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45899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45899</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45899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45899</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45899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45899</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45899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45899</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45899</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45899</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45899</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45899</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45899</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45899</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45899</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45899</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45899</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45899</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45899</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22825-2023</t>
        </is>
      </c>
      <c r="B26" s="1" t="n">
        <v>45072</v>
      </c>
      <c r="C26" s="1" t="n">
        <v>45899</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19158-2023</t>
        </is>
      </c>
      <c r="B27" s="1" t="n">
        <v>45048</v>
      </c>
      <c r="C27" s="1" t="n">
        <v>45899</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32396-2021</t>
        </is>
      </c>
      <c r="B28" s="1" t="n">
        <v>44371</v>
      </c>
      <c r="C28" s="1" t="n">
        <v>45899</v>
      </c>
      <c r="D28" t="inlineStr">
        <is>
          <t>KALMAR LÄN</t>
        </is>
      </c>
      <c r="E28" t="inlineStr">
        <is>
          <t>VIMMERBY</t>
        </is>
      </c>
      <c r="G28" t="n">
        <v>2.8</v>
      </c>
      <c r="H28" t="n">
        <v>1</v>
      </c>
      <c r="I28" t="n">
        <v>0</v>
      </c>
      <c r="J28" t="n">
        <v>0</v>
      </c>
      <c r="K28" t="n">
        <v>0</v>
      </c>
      <c r="L28" t="n">
        <v>0</v>
      </c>
      <c r="M28" t="n">
        <v>0</v>
      </c>
      <c r="N28" t="n">
        <v>0</v>
      </c>
      <c r="O28" t="n">
        <v>0</v>
      </c>
      <c r="P28" t="n">
        <v>0</v>
      </c>
      <c r="Q28" t="n">
        <v>1</v>
      </c>
      <c r="R28" s="2" t="inlineStr">
        <is>
          <t>Blåsippa</t>
        </is>
      </c>
      <c r="S28">
        <f>HYPERLINK("https://klasma.github.io/Logging_0884/artfynd/A 32396-2021 artfynd.xlsx", "A 32396-2021")</f>
        <v/>
      </c>
      <c r="T28">
        <f>HYPERLINK("https://klasma.github.io/Logging_0884/kartor/A 32396-2021 karta.png", "A 32396-2021")</f>
        <v/>
      </c>
      <c r="V28">
        <f>HYPERLINK("https://klasma.github.io/Logging_0884/klagomål/A 32396-2021 FSC-klagomål.docx", "A 32396-2021")</f>
        <v/>
      </c>
      <c r="W28">
        <f>HYPERLINK("https://klasma.github.io/Logging_0884/klagomålsmail/A 32396-2021 FSC-klagomål mail.docx", "A 32396-2021")</f>
        <v/>
      </c>
      <c r="X28">
        <f>HYPERLINK("https://klasma.github.io/Logging_0884/tillsyn/A 32396-2021 tillsynsbegäran.docx", "A 32396-2021")</f>
        <v/>
      </c>
      <c r="Y28">
        <f>HYPERLINK("https://klasma.github.io/Logging_0884/tillsynsmail/A 32396-2021 tillsynsbegäran mail.docx", "A 32396-2021")</f>
        <v/>
      </c>
    </row>
    <row r="29" ht="15" customHeight="1">
      <c r="A29" t="inlineStr">
        <is>
          <t>A 37930-2021</t>
        </is>
      </c>
      <c r="B29" s="1" t="n">
        <v>44403</v>
      </c>
      <c r="C29" s="1" t="n">
        <v>45899</v>
      </c>
      <c r="D29" t="inlineStr">
        <is>
          <t>KALMAR LÄN</t>
        </is>
      </c>
      <c r="E29" t="inlineStr">
        <is>
          <t>VIMMERBY</t>
        </is>
      </c>
      <c r="G29" t="n">
        <v>4.4</v>
      </c>
      <c r="H29" t="n">
        <v>0</v>
      </c>
      <c r="I29" t="n">
        <v>0</v>
      </c>
      <c r="J29" t="n">
        <v>1</v>
      </c>
      <c r="K29" t="n">
        <v>0</v>
      </c>
      <c r="L29" t="n">
        <v>0</v>
      </c>
      <c r="M29" t="n">
        <v>0</v>
      </c>
      <c r="N29" t="n">
        <v>0</v>
      </c>
      <c r="O29" t="n">
        <v>1</v>
      </c>
      <c r="P29" t="n">
        <v>0</v>
      </c>
      <c r="Q29" t="n">
        <v>1</v>
      </c>
      <c r="R29" s="2" t="inlineStr">
        <is>
          <t>Spindelört</t>
        </is>
      </c>
      <c r="S29">
        <f>HYPERLINK("https://klasma.github.io/Logging_0884/artfynd/A 37930-2021 artfynd.xlsx", "A 37930-2021")</f>
        <v/>
      </c>
      <c r="T29">
        <f>HYPERLINK("https://klasma.github.io/Logging_0884/kartor/A 37930-2021 karta.png", "A 37930-2021")</f>
        <v/>
      </c>
      <c r="V29">
        <f>HYPERLINK("https://klasma.github.io/Logging_0884/klagomål/A 37930-2021 FSC-klagomål.docx", "A 37930-2021")</f>
        <v/>
      </c>
      <c r="W29">
        <f>HYPERLINK("https://klasma.github.io/Logging_0884/klagomålsmail/A 37930-2021 FSC-klagomål mail.docx", "A 37930-2021")</f>
        <v/>
      </c>
      <c r="X29">
        <f>HYPERLINK("https://klasma.github.io/Logging_0884/tillsyn/A 37930-2021 tillsynsbegäran.docx", "A 37930-2021")</f>
        <v/>
      </c>
      <c r="Y29">
        <f>HYPERLINK("https://klasma.github.io/Logging_0884/tillsynsmail/A 37930-2021 tillsynsbegäran mail.docx", "A 37930-2021")</f>
        <v/>
      </c>
    </row>
    <row r="30" ht="15" customHeight="1">
      <c r="A30" t="inlineStr">
        <is>
          <t>A 15122-2024</t>
        </is>
      </c>
      <c r="B30" s="1" t="n">
        <v>45399.71412037037</v>
      </c>
      <c r="C30" s="1" t="n">
        <v>45899</v>
      </c>
      <c r="D30" t="inlineStr">
        <is>
          <t>KALMAR LÄN</t>
        </is>
      </c>
      <c r="E30" t="inlineStr">
        <is>
          <t>VIMMERBY</t>
        </is>
      </c>
      <c r="G30" t="n">
        <v>1.7</v>
      </c>
      <c r="H30" t="n">
        <v>0</v>
      </c>
      <c r="I30" t="n">
        <v>0</v>
      </c>
      <c r="J30" t="n">
        <v>0</v>
      </c>
      <c r="K30" t="n">
        <v>1</v>
      </c>
      <c r="L30" t="n">
        <v>0</v>
      </c>
      <c r="M30" t="n">
        <v>0</v>
      </c>
      <c r="N30" t="n">
        <v>0</v>
      </c>
      <c r="O30" t="n">
        <v>1</v>
      </c>
      <c r="P30" t="n">
        <v>1</v>
      </c>
      <c r="Q30" t="n">
        <v>1</v>
      </c>
      <c r="R30" s="2" t="inlineStr">
        <is>
          <t>Sågfibbla</t>
        </is>
      </c>
      <c r="S30">
        <f>HYPERLINK("https://klasma.github.io/Logging_0884/artfynd/A 15122-2024 artfynd.xlsx", "A 15122-2024")</f>
        <v/>
      </c>
      <c r="T30">
        <f>HYPERLINK("https://klasma.github.io/Logging_0884/kartor/A 15122-2024 karta.png", "A 15122-2024")</f>
        <v/>
      </c>
      <c r="V30">
        <f>HYPERLINK("https://klasma.github.io/Logging_0884/klagomål/A 15122-2024 FSC-klagomål.docx", "A 15122-2024")</f>
        <v/>
      </c>
      <c r="W30">
        <f>HYPERLINK("https://klasma.github.io/Logging_0884/klagomålsmail/A 15122-2024 FSC-klagomål mail.docx", "A 15122-2024")</f>
        <v/>
      </c>
      <c r="X30">
        <f>HYPERLINK("https://klasma.github.io/Logging_0884/tillsyn/A 15122-2024 tillsynsbegäran.docx", "A 15122-2024")</f>
        <v/>
      </c>
      <c r="Y30">
        <f>HYPERLINK("https://klasma.github.io/Logging_0884/tillsynsmail/A 15122-2024 tillsynsbegäran mail.docx", "A 15122-2024")</f>
        <v/>
      </c>
    </row>
    <row r="31" ht="15" customHeight="1">
      <c r="A31" t="inlineStr">
        <is>
          <t>A 32985-2023</t>
        </is>
      </c>
      <c r="B31" s="1" t="n">
        <v>45125</v>
      </c>
      <c r="C31" s="1" t="n">
        <v>45899</v>
      </c>
      <c r="D31" t="inlineStr">
        <is>
          <t>KALMAR LÄN</t>
        </is>
      </c>
      <c r="E31" t="inlineStr">
        <is>
          <t>VIMMERBY</t>
        </is>
      </c>
      <c r="G31" t="n">
        <v>1.9</v>
      </c>
      <c r="H31" t="n">
        <v>0</v>
      </c>
      <c r="I31" t="n">
        <v>0</v>
      </c>
      <c r="J31" t="n">
        <v>0</v>
      </c>
      <c r="K31" t="n">
        <v>0</v>
      </c>
      <c r="L31" t="n">
        <v>1</v>
      </c>
      <c r="M31" t="n">
        <v>0</v>
      </c>
      <c r="N31" t="n">
        <v>0</v>
      </c>
      <c r="O31" t="n">
        <v>1</v>
      </c>
      <c r="P31" t="n">
        <v>1</v>
      </c>
      <c r="Q31" t="n">
        <v>1</v>
      </c>
      <c r="R31" s="2" t="inlineStr">
        <is>
          <t>Ryl</t>
        </is>
      </c>
      <c r="S31">
        <f>HYPERLINK("https://klasma.github.io/Logging_0884/artfynd/A 32985-2023 artfynd.xlsx", "A 32985-2023")</f>
        <v/>
      </c>
      <c r="T31">
        <f>HYPERLINK("https://klasma.github.io/Logging_0884/kartor/A 32985-2023 karta.png", "A 32985-2023")</f>
        <v/>
      </c>
      <c r="V31">
        <f>HYPERLINK("https://klasma.github.io/Logging_0884/klagomål/A 32985-2023 FSC-klagomål.docx", "A 32985-2023")</f>
        <v/>
      </c>
      <c r="W31">
        <f>HYPERLINK("https://klasma.github.io/Logging_0884/klagomålsmail/A 32985-2023 FSC-klagomål mail.docx", "A 32985-2023")</f>
        <v/>
      </c>
      <c r="X31">
        <f>HYPERLINK("https://klasma.github.io/Logging_0884/tillsyn/A 32985-2023 tillsynsbegäran.docx", "A 32985-2023")</f>
        <v/>
      </c>
      <c r="Y31">
        <f>HYPERLINK("https://klasma.github.io/Logging_0884/tillsynsmail/A 32985-2023 tillsynsbegäran mail.docx", "A 32985-2023")</f>
        <v/>
      </c>
    </row>
    <row r="32" ht="15" customHeight="1">
      <c r="A32" t="inlineStr">
        <is>
          <t>A 44306-2020</t>
        </is>
      </c>
      <c r="B32" s="1" t="n">
        <v>44082</v>
      </c>
      <c r="C32" s="1" t="n">
        <v>45899</v>
      </c>
      <c r="D32" t="inlineStr">
        <is>
          <t>KALMAR LÄN</t>
        </is>
      </c>
      <c r="E32" t="inlineStr">
        <is>
          <t>VIMMERBY</t>
        </is>
      </c>
      <c r="G32" t="n">
        <v>16.4</v>
      </c>
      <c r="H32" t="n">
        <v>1</v>
      </c>
      <c r="I32" t="n">
        <v>1</v>
      </c>
      <c r="J32" t="n">
        <v>0</v>
      </c>
      <c r="K32" t="n">
        <v>0</v>
      </c>
      <c r="L32" t="n">
        <v>0</v>
      </c>
      <c r="M32" t="n">
        <v>0</v>
      </c>
      <c r="N32" t="n">
        <v>0</v>
      </c>
      <c r="O32" t="n">
        <v>0</v>
      </c>
      <c r="P32" t="n">
        <v>0</v>
      </c>
      <c r="Q32" t="n">
        <v>1</v>
      </c>
      <c r="R32" s="2" t="inlineStr">
        <is>
          <t>Plattlummer</t>
        </is>
      </c>
      <c r="S32">
        <f>HYPERLINK("https://klasma.github.io/Logging_0884/artfynd/A 44306-2020 artfynd.xlsx", "A 44306-2020")</f>
        <v/>
      </c>
      <c r="T32">
        <f>HYPERLINK("https://klasma.github.io/Logging_0884/kartor/A 44306-2020 karta.png", "A 44306-2020")</f>
        <v/>
      </c>
      <c r="V32">
        <f>HYPERLINK("https://klasma.github.io/Logging_0884/klagomål/A 44306-2020 FSC-klagomål.docx", "A 44306-2020")</f>
        <v/>
      </c>
      <c r="W32">
        <f>HYPERLINK("https://klasma.github.io/Logging_0884/klagomålsmail/A 44306-2020 FSC-klagomål mail.docx", "A 44306-2020")</f>
        <v/>
      </c>
      <c r="X32">
        <f>HYPERLINK("https://klasma.github.io/Logging_0884/tillsyn/A 44306-2020 tillsynsbegäran.docx", "A 44306-2020")</f>
        <v/>
      </c>
      <c r="Y32">
        <f>HYPERLINK("https://klasma.github.io/Logging_0884/tillsynsmail/A 44306-2020 tillsynsbegäran mail.docx", "A 44306-2020")</f>
        <v/>
      </c>
    </row>
    <row r="33" ht="15" customHeight="1">
      <c r="A33" t="inlineStr">
        <is>
          <t>A 1201-2025</t>
        </is>
      </c>
      <c r="B33" s="1" t="n">
        <v>45667</v>
      </c>
      <c r="C33" s="1" t="n">
        <v>45899</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28852-2023</t>
        </is>
      </c>
      <c r="B34" s="1" t="n">
        <v>45104</v>
      </c>
      <c r="C34" s="1" t="n">
        <v>45899</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44515-2024</t>
        </is>
      </c>
      <c r="B35" s="1" t="n">
        <v>45574.42767361111</v>
      </c>
      <c r="C35" s="1" t="n">
        <v>45899</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61860-2024</t>
        </is>
      </c>
      <c r="B36" s="1" t="n">
        <v>45649</v>
      </c>
      <c r="C36" s="1" t="n">
        <v>45899</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29183-2025</t>
        </is>
      </c>
      <c r="B37" s="1" t="n">
        <v>45821</v>
      </c>
      <c r="C37" s="1" t="n">
        <v>45899</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45899</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45899</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6841-2021</t>
        </is>
      </c>
      <c r="B40" s="1" t="n">
        <v>44236</v>
      </c>
      <c r="C40" s="1" t="n">
        <v>45899</v>
      </c>
      <c r="D40" t="inlineStr">
        <is>
          <t>KALMAR LÄN</t>
        </is>
      </c>
      <c r="E40" t="inlineStr">
        <is>
          <t>VIMMERBY</t>
        </is>
      </c>
      <c r="G40" t="n">
        <v>25</v>
      </c>
      <c r="H40" t="n">
        <v>0</v>
      </c>
      <c r="I40" t="n">
        <v>0</v>
      </c>
      <c r="J40" t="n">
        <v>1</v>
      </c>
      <c r="K40" t="n">
        <v>0</v>
      </c>
      <c r="L40" t="n">
        <v>0</v>
      </c>
      <c r="M40" t="n">
        <v>0</v>
      </c>
      <c r="N40" t="n">
        <v>0</v>
      </c>
      <c r="O40" t="n">
        <v>1</v>
      </c>
      <c r="P40" t="n">
        <v>0</v>
      </c>
      <c r="Q40" t="n">
        <v>1</v>
      </c>
      <c r="R40" s="2" t="inlineStr">
        <is>
          <t>Bredbrämad bastardsvärmare</t>
        </is>
      </c>
      <c r="S40">
        <f>HYPERLINK("https://klasma.github.io/Logging_0884/artfynd/A 6841-2021 artfynd.xlsx", "A 6841-2021")</f>
        <v/>
      </c>
      <c r="T40">
        <f>HYPERLINK("https://klasma.github.io/Logging_0884/kartor/A 6841-2021 karta.png", "A 6841-2021")</f>
        <v/>
      </c>
      <c r="V40">
        <f>HYPERLINK("https://klasma.github.io/Logging_0884/klagomål/A 6841-2021 FSC-klagomål.docx", "A 6841-2021")</f>
        <v/>
      </c>
      <c r="W40">
        <f>HYPERLINK("https://klasma.github.io/Logging_0884/klagomålsmail/A 6841-2021 FSC-klagomål mail.docx", "A 6841-2021")</f>
        <v/>
      </c>
      <c r="X40">
        <f>HYPERLINK("https://klasma.github.io/Logging_0884/tillsyn/A 6841-2021 tillsynsbegäran.docx", "A 6841-2021")</f>
        <v/>
      </c>
      <c r="Y40">
        <f>HYPERLINK("https://klasma.github.io/Logging_0884/tillsynsmail/A 6841-2021 tillsynsbegäran mail.docx", "A 6841-2021")</f>
        <v/>
      </c>
    </row>
    <row r="41" ht="15" customHeight="1">
      <c r="A41" t="inlineStr">
        <is>
          <t>A 9067-2025</t>
        </is>
      </c>
      <c r="B41" s="1" t="n">
        <v>45713</v>
      </c>
      <c r="C41" s="1" t="n">
        <v>45899</v>
      </c>
      <c r="D41" t="inlineStr">
        <is>
          <t>KALMAR LÄN</t>
        </is>
      </c>
      <c r="E41" t="inlineStr">
        <is>
          <t>VIMMERBY</t>
        </is>
      </c>
      <c r="G41" t="n">
        <v>3.9</v>
      </c>
      <c r="H41" t="n">
        <v>0</v>
      </c>
      <c r="I41" t="n">
        <v>1</v>
      </c>
      <c r="J41" t="n">
        <v>0</v>
      </c>
      <c r="K41" t="n">
        <v>0</v>
      </c>
      <c r="L41" t="n">
        <v>0</v>
      </c>
      <c r="M41" t="n">
        <v>0</v>
      </c>
      <c r="N41" t="n">
        <v>0</v>
      </c>
      <c r="O41" t="n">
        <v>0</v>
      </c>
      <c r="P41" t="n">
        <v>0</v>
      </c>
      <c r="Q41" t="n">
        <v>1</v>
      </c>
      <c r="R41" s="2" t="inlineStr">
        <is>
          <t>Ögonpyrola</t>
        </is>
      </c>
      <c r="S41">
        <f>HYPERLINK("https://klasma.github.io/Logging_0884/artfynd/A 9067-2025 artfynd.xlsx", "A 9067-2025")</f>
        <v/>
      </c>
      <c r="T41">
        <f>HYPERLINK("https://klasma.github.io/Logging_0884/kartor/A 9067-2025 karta.png", "A 9067-2025")</f>
        <v/>
      </c>
      <c r="V41">
        <f>HYPERLINK("https://klasma.github.io/Logging_0884/klagomål/A 9067-2025 FSC-klagomål.docx", "A 9067-2025")</f>
        <v/>
      </c>
      <c r="W41">
        <f>HYPERLINK("https://klasma.github.io/Logging_0884/klagomålsmail/A 9067-2025 FSC-klagomål mail.docx", "A 9067-2025")</f>
        <v/>
      </c>
      <c r="X41">
        <f>HYPERLINK("https://klasma.github.io/Logging_0884/tillsyn/A 9067-2025 tillsynsbegäran.docx", "A 9067-2025")</f>
        <v/>
      </c>
      <c r="Y41">
        <f>HYPERLINK("https://klasma.github.io/Logging_0884/tillsynsmail/A 9067-2025 tillsynsbegäran mail.docx", "A 9067-2025")</f>
        <v/>
      </c>
    </row>
    <row r="42" ht="15" customHeight="1">
      <c r="A42" t="inlineStr">
        <is>
          <t>A 23602-2023</t>
        </is>
      </c>
      <c r="B42" s="1" t="n">
        <v>45077</v>
      </c>
      <c r="C42" s="1" t="n">
        <v>45899</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42097-2020</t>
        </is>
      </c>
      <c r="B43" s="1" t="n">
        <v>44075</v>
      </c>
      <c r="C43" s="1" t="n">
        <v>45899</v>
      </c>
      <c r="D43" t="inlineStr">
        <is>
          <t>KALMAR LÄN</t>
        </is>
      </c>
      <c r="E43" t="inlineStr">
        <is>
          <t>VIMMERBY</t>
        </is>
      </c>
      <c r="G43" t="n">
        <v>5.5</v>
      </c>
      <c r="H43" t="n">
        <v>0</v>
      </c>
      <c r="I43" t="n">
        <v>0</v>
      </c>
      <c r="J43" t="n">
        <v>1</v>
      </c>
      <c r="K43" t="n">
        <v>0</v>
      </c>
      <c r="L43" t="n">
        <v>0</v>
      </c>
      <c r="M43" t="n">
        <v>0</v>
      </c>
      <c r="N43" t="n">
        <v>0</v>
      </c>
      <c r="O43" t="n">
        <v>1</v>
      </c>
      <c r="P43" t="n">
        <v>0</v>
      </c>
      <c r="Q43" t="n">
        <v>1</v>
      </c>
      <c r="R43" s="2" t="inlineStr">
        <is>
          <t>Mjukdån</t>
        </is>
      </c>
      <c r="S43">
        <f>HYPERLINK("https://klasma.github.io/Logging_0884/artfynd/A 42097-2020 artfynd.xlsx", "A 42097-2020")</f>
        <v/>
      </c>
      <c r="T43">
        <f>HYPERLINK("https://klasma.github.io/Logging_0884/kartor/A 42097-2020 karta.png", "A 42097-2020")</f>
        <v/>
      </c>
      <c r="V43">
        <f>HYPERLINK("https://klasma.github.io/Logging_0884/klagomål/A 42097-2020 FSC-klagomål.docx", "A 42097-2020")</f>
        <v/>
      </c>
      <c r="W43">
        <f>HYPERLINK("https://klasma.github.io/Logging_0884/klagomålsmail/A 42097-2020 FSC-klagomål mail.docx", "A 42097-2020")</f>
        <v/>
      </c>
      <c r="X43">
        <f>HYPERLINK("https://klasma.github.io/Logging_0884/tillsyn/A 42097-2020 tillsynsbegäran.docx", "A 42097-2020")</f>
        <v/>
      </c>
      <c r="Y43">
        <f>HYPERLINK("https://klasma.github.io/Logging_0884/tillsynsmail/A 42097-2020 tillsynsbegäran mail.docx", "A 42097-2020")</f>
        <v/>
      </c>
    </row>
    <row r="44" ht="15" customHeight="1">
      <c r="A44" t="inlineStr">
        <is>
          <t>A 52301-2023</t>
        </is>
      </c>
      <c r="B44" s="1" t="n">
        <v>45224</v>
      </c>
      <c r="C44" s="1" t="n">
        <v>45899</v>
      </c>
      <c r="D44" t="inlineStr">
        <is>
          <t>KALMAR LÄN</t>
        </is>
      </c>
      <c r="E44" t="inlineStr">
        <is>
          <t>VIMMERBY</t>
        </is>
      </c>
      <c r="G44" t="n">
        <v>5.3</v>
      </c>
      <c r="H44" t="n">
        <v>0</v>
      </c>
      <c r="I44" t="n">
        <v>0</v>
      </c>
      <c r="J44" t="n">
        <v>0</v>
      </c>
      <c r="K44" t="n">
        <v>0</v>
      </c>
      <c r="L44" t="n">
        <v>1</v>
      </c>
      <c r="M44" t="n">
        <v>0</v>
      </c>
      <c r="N44" t="n">
        <v>0</v>
      </c>
      <c r="O44" t="n">
        <v>1</v>
      </c>
      <c r="P44" t="n">
        <v>1</v>
      </c>
      <c r="Q44" t="n">
        <v>1</v>
      </c>
      <c r="R44" s="2" t="inlineStr">
        <is>
          <t>Ask</t>
        </is>
      </c>
      <c r="S44">
        <f>HYPERLINK("https://klasma.github.io/Logging_0884/artfynd/A 52301-2023 artfynd.xlsx", "A 52301-2023")</f>
        <v/>
      </c>
      <c r="T44">
        <f>HYPERLINK("https://klasma.github.io/Logging_0884/kartor/A 52301-2023 karta.png", "A 52301-2023")</f>
        <v/>
      </c>
      <c r="V44">
        <f>HYPERLINK("https://klasma.github.io/Logging_0884/klagomål/A 52301-2023 FSC-klagomål.docx", "A 52301-2023")</f>
        <v/>
      </c>
      <c r="W44">
        <f>HYPERLINK("https://klasma.github.io/Logging_0884/klagomålsmail/A 52301-2023 FSC-klagomål mail.docx", "A 52301-2023")</f>
        <v/>
      </c>
      <c r="X44">
        <f>HYPERLINK("https://klasma.github.io/Logging_0884/tillsyn/A 52301-2023 tillsynsbegäran.docx", "A 52301-2023")</f>
        <v/>
      </c>
      <c r="Y44">
        <f>HYPERLINK("https://klasma.github.io/Logging_0884/tillsynsmail/A 52301-2023 tillsynsbegäran mail.docx", "A 52301-2023")</f>
        <v/>
      </c>
    </row>
    <row r="45" ht="15" customHeight="1">
      <c r="A45" t="inlineStr">
        <is>
          <t>A 33436-2021</t>
        </is>
      </c>
      <c r="B45" s="1" t="n">
        <v>44377.61104166666</v>
      </c>
      <c r="C45" s="1" t="n">
        <v>45899</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44000-2020</t>
        </is>
      </c>
      <c r="B46" s="1" t="n">
        <v>44083</v>
      </c>
      <c r="C46" s="1" t="n">
        <v>45899</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45899</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45899</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45899</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45899</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45899</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45899</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45899</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45899</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45899</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45899</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45899</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45899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45899</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45899</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45899</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45899</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45899</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45899</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45899</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45899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45899</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45899</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45899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45899</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45899</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45899</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45899</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45899</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45899</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45899</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45899</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45899</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45899</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45899</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45899</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41438-2022</t>
        </is>
      </c>
      <c r="B82" s="1" t="n">
        <v>44826.68010416667</v>
      </c>
      <c r="C82" s="1" t="n">
        <v>45899</v>
      </c>
      <c r="D82" t="inlineStr">
        <is>
          <t>KALMAR LÄN</t>
        </is>
      </c>
      <c r="E82" t="inlineStr">
        <is>
          <t>VIMMERBY</t>
        </is>
      </c>
      <c r="G82" t="n">
        <v>3.1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45899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45899</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45899</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45899</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45899</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45899</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45899</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45899</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45899</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45899</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45899</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45899</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45899</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45899</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45899</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45899</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45899</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45899</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45899</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45899</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45899</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45899</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45899</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45899</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45899</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45899</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45899</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45899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45899</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45899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45899</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45899</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45899</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45899</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45899</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45899</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45899</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45899</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45899</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45899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45899</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45899</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45899</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45899</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45899</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45899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45899</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45899</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45899</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45899</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45899</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45899</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45899</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45899</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45899</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44605-2020</t>
        </is>
      </c>
      <c r="B138" s="1" t="n">
        <v>44085</v>
      </c>
      <c r="C138" s="1" t="n">
        <v>45899</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46461-2020</t>
        </is>
      </c>
      <c r="B139" s="1" t="n">
        <v>44092</v>
      </c>
      <c r="C139" s="1" t="n">
        <v>45899</v>
      </c>
      <c r="D139" t="inlineStr">
        <is>
          <t>KALMAR LÄN</t>
        </is>
      </c>
      <c r="E139" t="inlineStr">
        <is>
          <t>VIMMERBY</t>
        </is>
      </c>
      <c r="G139" t="n">
        <v>2.4</v>
      </c>
      <c r="H139" t="n">
        <v>0</v>
      </c>
      <c r="I139" t="n">
        <v>0</v>
      </c>
      <c r="J139" t="n">
        <v>0</v>
      </c>
      <c r="K139" t="n">
        <v>0</v>
      </c>
      <c r="L139" t="n">
        <v>0</v>
      </c>
      <c r="M139" t="n">
        <v>0</v>
      </c>
      <c r="N139" t="n">
        <v>0</v>
      </c>
      <c r="O139" t="n">
        <v>0</v>
      </c>
      <c r="P139" t="n">
        <v>0</v>
      </c>
      <c r="Q139" t="n">
        <v>0</v>
      </c>
      <c r="R139" s="2" t="inlineStr"/>
    </row>
    <row r="140" ht="15" customHeight="1">
      <c r="A140" t="inlineStr">
        <is>
          <t>A 8454-2022</t>
        </is>
      </c>
      <c r="B140" s="1" t="n">
        <v>44612.86762731482</v>
      </c>
      <c r="C140" s="1" t="n">
        <v>45899</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35001-2021</t>
        </is>
      </c>
      <c r="B141" s="1" t="n">
        <v>44383</v>
      </c>
      <c r="C141" s="1" t="n">
        <v>45899</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57948-2020</t>
        </is>
      </c>
      <c r="B142" s="1" t="n">
        <v>44142</v>
      </c>
      <c r="C142" s="1" t="n">
        <v>45899</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13180-2022</t>
        </is>
      </c>
      <c r="B143" s="1" t="n">
        <v>44644</v>
      </c>
      <c r="C143" s="1" t="n">
        <v>45899</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55674-2021</t>
        </is>
      </c>
      <c r="B144" s="1" t="n">
        <v>44476</v>
      </c>
      <c r="C144" s="1" t="n">
        <v>45899</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18276-2021</t>
        </is>
      </c>
      <c r="B145" s="1" t="n">
        <v>44305.40046296296</v>
      </c>
      <c r="C145" s="1" t="n">
        <v>45899</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45899</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47473-2021</t>
        </is>
      </c>
      <c r="B147" s="1" t="n">
        <v>44447</v>
      </c>
      <c r="C147" s="1" t="n">
        <v>45899</v>
      </c>
      <c r="D147" t="inlineStr">
        <is>
          <t>KALMAR LÄN</t>
        </is>
      </c>
      <c r="E147" t="inlineStr">
        <is>
          <t>VIMMERBY</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65887-2021</t>
        </is>
      </c>
      <c r="B148" s="1" t="n">
        <v>44517</v>
      </c>
      <c r="C148" s="1" t="n">
        <v>45899</v>
      </c>
      <c r="D148" t="inlineStr">
        <is>
          <t>KALMAR LÄN</t>
        </is>
      </c>
      <c r="E148" t="inlineStr">
        <is>
          <t>VIMMERBY</t>
        </is>
      </c>
      <c r="G148" t="n">
        <v>1.4</v>
      </c>
      <c r="H148" t="n">
        <v>0</v>
      </c>
      <c r="I148" t="n">
        <v>0</v>
      </c>
      <c r="J148" t="n">
        <v>0</v>
      </c>
      <c r="K148" t="n">
        <v>0</v>
      </c>
      <c r="L148" t="n">
        <v>0</v>
      </c>
      <c r="M148" t="n">
        <v>0</v>
      </c>
      <c r="N148" t="n">
        <v>0</v>
      </c>
      <c r="O148" t="n">
        <v>0</v>
      </c>
      <c r="P148" t="n">
        <v>0</v>
      </c>
      <c r="Q148" t="n">
        <v>0</v>
      </c>
      <c r="R148" s="2" t="inlineStr"/>
    </row>
    <row r="149" ht="15" customHeight="1">
      <c r="A149" t="inlineStr">
        <is>
          <t>A 47769-2022</t>
        </is>
      </c>
      <c r="B149" s="1" t="n">
        <v>44854</v>
      </c>
      <c r="C149" s="1" t="n">
        <v>45899</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39959-2022</t>
        </is>
      </c>
      <c r="B150" s="1" t="n">
        <v>44819</v>
      </c>
      <c r="C150" s="1" t="n">
        <v>45899</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41056-2022</t>
        </is>
      </c>
      <c r="B151" s="1" t="n">
        <v>44824</v>
      </c>
      <c r="C151" s="1" t="n">
        <v>45899</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31660-2021</t>
        </is>
      </c>
      <c r="B152" s="1" t="n">
        <v>44369</v>
      </c>
      <c r="C152" s="1" t="n">
        <v>45899</v>
      </c>
      <c r="D152" t="inlineStr">
        <is>
          <t>KALMAR LÄN</t>
        </is>
      </c>
      <c r="E152" t="inlineStr">
        <is>
          <t>VIMMERBY</t>
        </is>
      </c>
      <c r="G152" t="n">
        <v>4.2</v>
      </c>
      <c r="H152" t="n">
        <v>0</v>
      </c>
      <c r="I152" t="n">
        <v>0</v>
      </c>
      <c r="J152" t="n">
        <v>0</v>
      </c>
      <c r="K152" t="n">
        <v>0</v>
      </c>
      <c r="L152" t="n">
        <v>0</v>
      </c>
      <c r="M152" t="n">
        <v>0</v>
      </c>
      <c r="N152" t="n">
        <v>0</v>
      </c>
      <c r="O152" t="n">
        <v>0</v>
      </c>
      <c r="P152" t="n">
        <v>0</v>
      </c>
      <c r="Q152" t="n">
        <v>0</v>
      </c>
      <c r="R152" s="2" t="inlineStr"/>
    </row>
    <row r="153" ht="15" customHeight="1">
      <c r="A153" t="inlineStr">
        <is>
          <t>A 27455-2022</t>
        </is>
      </c>
      <c r="B153" s="1" t="n">
        <v>44742</v>
      </c>
      <c r="C153" s="1" t="n">
        <v>45899</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42850-2022</t>
        </is>
      </c>
      <c r="B154" s="1" t="n">
        <v>44832.67608796297</v>
      </c>
      <c r="C154" s="1" t="n">
        <v>45899</v>
      </c>
      <c r="D154" t="inlineStr">
        <is>
          <t>KALMAR LÄN</t>
        </is>
      </c>
      <c r="E154" t="inlineStr">
        <is>
          <t>VIMMERBY</t>
        </is>
      </c>
      <c r="G154" t="n">
        <v>5.9</v>
      </c>
      <c r="H154" t="n">
        <v>0</v>
      </c>
      <c r="I154" t="n">
        <v>0</v>
      </c>
      <c r="J154" t="n">
        <v>0</v>
      </c>
      <c r="K154" t="n">
        <v>0</v>
      </c>
      <c r="L154" t="n">
        <v>0</v>
      </c>
      <c r="M154" t="n">
        <v>0</v>
      </c>
      <c r="N154" t="n">
        <v>0</v>
      </c>
      <c r="O154" t="n">
        <v>0</v>
      </c>
      <c r="P154" t="n">
        <v>0</v>
      </c>
      <c r="Q154" t="n">
        <v>0</v>
      </c>
      <c r="R154" s="2" t="inlineStr"/>
    </row>
    <row r="155" ht="15" customHeight="1">
      <c r="A155" t="inlineStr">
        <is>
          <t>A 48377-2021</t>
        </is>
      </c>
      <c r="B155" s="1" t="n">
        <v>44451.8375</v>
      </c>
      <c r="C155" s="1" t="n">
        <v>45899</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40472-2022</t>
        </is>
      </c>
      <c r="B156" s="1" t="n">
        <v>44823</v>
      </c>
      <c r="C156" s="1" t="n">
        <v>45899</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12661-2021</t>
        </is>
      </c>
      <c r="B157" s="1" t="n">
        <v>44270</v>
      </c>
      <c r="C157" s="1" t="n">
        <v>45899</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24999-2021</t>
        </is>
      </c>
      <c r="B158" s="1" t="n">
        <v>44341</v>
      </c>
      <c r="C158" s="1" t="n">
        <v>45899</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7917-2022</t>
        </is>
      </c>
      <c r="B159" s="1" t="n">
        <v>44608</v>
      </c>
      <c r="C159" s="1" t="n">
        <v>45899</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3330-2021</t>
        </is>
      </c>
      <c r="B160" s="1" t="n">
        <v>44217.79856481482</v>
      </c>
      <c r="C160" s="1" t="n">
        <v>45899</v>
      </c>
      <c r="D160" t="inlineStr">
        <is>
          <t>KALMAR LÄN</t>
        </is>
      </c>
      <c r="E160" t="inlineStr">
        <is>
          <t>VIMMERBY</t>
        </is>
      </c>
      <c r="G160" t="n">
        <v>11.1</v>
      </c>
      <c r="H160" t="n">
        <v>0</v>
      </c>
      <c r="I160" t="n">
        <v>0</v>
      </c>
      <c r="J160" t="n">
        <v>0</v>
      </c>
      <c r="K160" t="n">
        <v>0</v>
      </c>
      <c r="L160" t="n">
        <v>0</v>
      </c>
      <c r="M160" t="n">
        <v>0</v>
      </c>
      <c r="N160" t="n">
        <v>0</v>
      </c>
      <c r="O160" t="n">
        <v>0</v>
      </c>
      <c r="P160" t="n">
        <v>0</v>
      </c>
      <c r="Q160" t="n">
        <v>0</v>
      </c>
      <c r="R160" s="2" t="inlineStr"/>
    </row>
    <row r="161" ht="15" customHeight="1">
      <c r="A161" t="inlineStr">
        <is>
          <t>A 47208-2021</t>
        </is>
      </c>
      <c r="B161" s="1" t="n">
        <v>44447.34237268518</v>
      </c>
      <c r="C161" s="1" t="n">
        <v>45899</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35316-2021</t>
        </is>
      </c>
      <c r="B162" s="1" t="n">
        <v>44384</v>
      </c>
      <c r="C162" s="1" t="n">
        <v>45899</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45899</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45899</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10086-2022</t>
        </is>
      </c>
      <c r="B165" s="1" t="n">
        <v>44621</v>
      </c>
      <c r="C165" s="1" t="n">
        <v>45899</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16705-2021</t>
        </is>
      </c>
      <c r="B166" s="1" t="n">
        <v>44294</v>
      </c>
      <c r="C166" s="1" t="n">
        <v>45899</v>
      </c>
      <c r="D166" t="inlineStr">
        <is>
          <t>KALMAR LÄN</t>
        </is>
      </c>
      <c r="E166" t="inlineStr">
        <is>
          <t>VIMMERBY</t>
        </is>
      </c>
      <c r="G166" t="n">
        <v>2.6</v>
      </c>
      <c r="H166" t="n">
        <v>0</v>
      </c>
      <c r="I166" t="n">
        <v>0</v>
      </c>
      <c r="J166" t="n">
        <v>0</v>
      </c>
      <c r="K166" t="n">
        <v>0</v>
      </c>
      <c r="L166" t="n">
        <v>0</v>
      </c>
      <c r="M166" t="n">
        <v>0</v>
      </c>
      <c r="N166" t="n">
        <v>0</v>
      </c>
      <c r="O166" t="n">
        <v>0</v>
      </c>
      <c r="P166" t="n">
        <v>0</v>
      </c>
      <c r="Q166" t="n">
        <v>0</v>
      </c>
      <c r="R166" s="2" t="inlineStr"/>
    </row>
    <row r="167" ht="15" customHeight="1">
      <c r="A167" t="inlineStr">
        <is>
          <t>A 51977-2020</t>
        </is>
      </c>
      <c r="B167" s="1" t="n">
        <v>44116</v>
      </c>
      <c r="C167" s="1" t="n">
        <v>45899</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9918-2022</t>
        </is>
      </c>
      <c r="B168" s="1" t="n">
        <v>44620</v>
      </c>
      <c r="C168" s="1" t="n">
        <v>45899</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65564-2020</t>
        </is>
      </c>
      <c r="B169" s="1" t="n">
        <v>44172</v>
      </c>
      <c r="C169" s="1" t="n">
        <v>45899</v>
      </c>
      <c r="D169" t="inlineStr">
        <is>
          <t>KALMAR LÄN</t>
        </is>
      </c>
      <c r="E169" t="inlineStr">
        <is>
          <t>VIMMERBY</t>
        </is>
      </c>
      <c r="G169" t="n">
        <v>4.1</v>
      </c>
      <c r="H169" t="n">
        <v>0</v>
      </c>
      <c r="I169" t="n">
        <v>0</v>
      </c>
      <c r="J169" t="n">
        <v>0</v>
      </c>
      <c r="K169" t="n">
        <v>0</v>
      </c>
      <c r="L169" t="n">
        <v>0</v>
      </c>
      <c r="M169" t="n">
        <v>0</v>
      </c>
      <c r="N169" t="n">
        <v>0</v>
      </c>
      <c r="O169" t="n">
        <v>0</v>
      </c>
      <c r="P169" t="n">
        <v>0</v>
      </c>
      <c r="Q169" t="n">
        <v>0</v>
      </c>
      <c r="R169" s="2" t="inlineStr"/>
    </row>
    <row r="170" ht="15" customHeight="1">
      <c r="A170" t="inlineStr">
        <is>
          <t>A 56389-2021</t>
        </is>
      </c>
      <c r="B170" s="1" t="n">
        <v>44480</v>
      </c>
      <c r="C170" s="1" t="n">
        <v>45899</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53145-2022</t>
        </is>
      </c>
      <c r="B171" s="1" t="n">
        <v>44876.48346064815</v>
      </c>
      <c r="C171" s="1" t="n">
        <v>45899</v>
      </c>
      <c r="D171" t="inlineStr">
        <is>
          <t>KALMAR LÄN</t>
        </is>
      </c>
      <c r="E171" t="inlineStr">
        <is>
          <t>VIMMERBY</t>
        </is>
      </c>
      <c r="G171" t="n">
        <v>0.4</v>
      </c>
      <c r="H171" t="n">
        <v>0</v>
      </c>
      <c r="I171" t="n">
        <v>0</v>
      </c>
      <c r="J171" t="n">
        <v>0</v>
      </c>
      <c r="K171" t="n">
        <v>0</v>
      </c>
      <c r="L171" t="n">
        <v>0</v>
      </c>
      <c r="M171" t="n">
        <v>0</v>
      </c>
      <c r="N171" t="n">
        <v>0</v>
      </c>
      <c r="O171" t="n">
        <v>0</v>
      </c>
      <c r="P171" t="n">
        <v>0</v>
      </c>
      <c r="Q171" t="n">
        <v>0</v>
      </c>
      <c r="R171" s="2" t="inlineStr"/>
    </row>
    <row r="172" ht="15" customHeight="1">
      <c r="A172" t="inlineStr">
        <is>
          <t>A 25738-2022</t>
        </is>
      </c>
      <c r="B172" s="1" t="n">
        <v>44733.43092592592</v>
      </c>
      <c r="C172" s="1" t="n">
        <v>45899</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45528-2020</t>
        </is>
      </c>
      <c r="B173" s="1" t="n">
        <v>44089.78633101852</v>
      </c>
      <c r="C173" s="1" t="n">
        <v>45899</v>
      </c>
      <c r="D173" t="inlineStr">
        <is>
          <t>KALMAR LÄN</t>
        </is>
      </c>
      <c r="E173" t="inlineStr">
        <is>
          <t>VIMMERBY</t>
        </is>
      </c>
      <c r="G173" t="n">
        <v>3.8</v>
      </c>
      <c r="H173" t="n">
        <v>0</v>
      </c>
      <c r="I173" t="n">
        <v>0</v>
      </c>
      <c r="J173" t="n">
        <v>0</v>
      </c>
      <c r="K173" t="n">
        <v>0</v>
      </c>
      <c r="L173" t="n">
        <v>0</v>
      </c>
      <c r="M173" t="n">
        <v>0</v>
      </c>
      <c r="N173" t="n">
        <v>0</v>
      </c>
      <c r="O173" t="n">
        <v>0</v>
      </c>
      <c r="P173" t="n">
        <v>0</v>
      </c>
      <c r="Q173" t="n">
        <v>0</v>
      </c>
      <c r="R173" s="2" t="inlineStr"/>
    </row>
    <row r="174" ht="15" customHeight="1">
      <c r="A174" t="inlineStr">
        <is>
          <t>A 618-2021</t>
        </is>
      </c>
      <c r="B174" s="1" t="n">
        <v>44203</v>
      </c>
      <c r="C174" s="1" t="n">
        <v>45899</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67952-2021</t>
        </is>
      </c>
      <c r="B175" s="1" t="n">
        <v>44525.63913194444</v>
      </c>
      <c r="C175" s="1" t="n">
        <v>45899</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45899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14521-2021</t>
        </is>
      </c>
      <c r="B177" s="1" t="n">
        <v>44279.64934027778</v>
      </c>
      <c r="C177" s="1" t="n">
        <v>45899</v>
      </c>
      <c r="D177" t="inlineStr">
        <is>
          <t>KALMAR LÄN</t>
        </is>
      </c>
      <c r="E177" t="inlineStr">
        <is>
          <t>VIMMERBY</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12241-2021</t>
        </is>
      </c>
      <c r="B178" s="1" t="n">
        <v>44266.7240625</v>
      </c>
      <c r="C178" s="1" t="n">
        <v>45899</v>
      </c>
      <c r="D178" t="inlineStr">
        <is>
          <t>KALMAR LÄN</t>
        </is>
      </c>
      <c r="E178" t="inlineStr">
        <is>
          <t>VIMMERBY</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45899</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45050-2020</t>
        </is>
      </c>
      <c r="B180" s="1" t="n">
        <v>44088</v>
      </c>
      <c r="C180" s="1" t="n">
        <v>45899</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15533-2022</t>
        </is>
      </c>
      <c r="B181" s="1" t="n">
        <v>44662</v>
      </c>
      <c r="C181" s="1" t="n">
        <v>45899</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45054-2020</t>
        </is>
      </c>
      <c r="B182" s="1" t="n">
        <v>44088</v>
      </c>
      <c r="C182" s="1" t="n">
        <v>45899</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12662-2021</t>
        </is>
      </c>
      <c r="B183" s="1" t="n">
        <v>44270.49743055556</v>
      </c>
      <c r="C183" s="1" t="n">
        <v>45899</v>
      </c>
      <c r="D183" t="inlineStr">
        <is>
          <t>KALMAR LÄN</t>
        </is>
      </c>
      <c r="E183" t="inlineStr">
        <is>
          <t>VIMMERBY</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46527-2020</t>
        </is>
      </c>
      <c r="B184" s="1" t="n">
        <v>44095</v>
      </c>
      <c r="C184" s="1" t="n">
        <v>45899</v>
      </c>
      <c r="D184" t="inlineStr">
        <is>
          <t>KALMAR LÄN</t>
        </is>
      </c>
      <c r="E184" t="inlineStr">
        <is>
          <t>VIMMERBY</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45899</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68744-2020</t>
        </is>
      </c>
      <c r="B186" s="1" t="n">
        <v>44186</v>
      </c>
      <c r="C186" s="1" t="n">
        <v>45899</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45899</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165-2022</t>
        </is>
      </c>
      <c r="B188" s="1" t="n">
        <v>44564</v>
      </c>
      <c r="C188" s="1" t="n">
        <v>45899</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45899</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32603-2021</t>
        </is>
      </c>
      <c r="B190" s="1" t="n">
        <v>44375.38789351852</v>
      </c>
      <c r="C190" s="1" t="n">
        <v>45899</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36117-2021</t>
        </is>
      </c>
      <c r="B191" s="1" t="n">
        <v>44386</v>
      </c>
      <c r="C191" s="1" t="n">
        <v>45899</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23825-2022</t>
        </is>
      </c>
      <c r="B192" s="1" t="n">
        <v>44722.48768518519</v>
      </c>
      <c r="C192" s="1" t="n">
        <v>45899</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42521-2021</t>
        </is>
      </c>
      <c r="B193" s="1" t="n">
        <v>44427</v>
      </c>
      <c r="C193" s="1" t="n">
        <v>45899</v>
      </c>
      <c r="D193" t="inlineStr">
        <is>
          <t>KALMAR LÄN</t>
        </is>
      </c>
      <c r="E193" t="inlineStr">
        <is>
          <t>VIMMERBY</t>
        </is>
      </c>
      <c r="G193" t="n">
        <v>5.4</v>
      </c>
      <c r="H193" t="n">
        <v>0</v>
      </c>
      <c r="I193" t="n">
        <v>0</v>
      </c>
      <c r="J193" t="n">
        <v>0</v>
      </c>
      <c r="K193" t="n">
        <v>0</v>
      </c>
      <c r="L193" t="n">
        <v>0</v>
      </c>
      <c r="M193" t="n">
        <v>0</v>
      </c>
      <c r="N193" t="n">
        <v>0</v>
      </c>
      <c r="O193" t="n">
        <v>0</v>
      </c>
      <c r="P193" t="n">
        <v>0</v>
      </c>
      <c r="Q193" t="n">
        <v>0</v>
      </c>
      <c r="R193" s="2" t="inlineStr"/>
    </row>
    <row r="194" ht="15" customHeight="1">
      <c r="A194" t="inlineStr">
        <is>
          <t>A 8453-2022</t>
        </is>
      </c>
      <c r="B194" s="1" t="n">
        <v>44612.86554398148</v>
      </c>
      <c r="C194" s="1" t="n">
        <v>45899</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45899</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34040-2021</t>
        </is>
      </c>
      <c r="B196" s="1" t="n">
        <v>44379</v>
      </c>
      <c r="C196" s="1" t="n">
        <v>45899</v>
      </c>
      <c r="D196" t="inlineStr">
        <is>
          <t>KALMAR LÄN</t>
        </is>
      </c>
      <c r="E196" t="inlineStr">
        <is>
          <t>VIMMERBY</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50621-2022</t>
        </is>
      </c>
      <c r="B197" s="1" t="n">
        <v>44866.81100694444</v>
      </c>
      <c r="C197" s="1" t="n">
        <v>45899</v>
      </c>
      <c r="D197" t="inlineStr">
        <is>
          <t>KALMAR LÄN</t>
        </is>
      </c>
      <c r="E197" t="inlineStr">
        <is>
          <t>VIMMERBY</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15200-2021</t>
        </is>
      </c>
      <c r="B198" s="1" t="n">
        <v>44284.44574074074</v>
      </c>
      <c r="C198" s="1" t="n">
        <v>45899</v>
      </c>
      <c r="D198" t="inlineStr">
        <is>
          <t>KALMAR LÄN</t>
        </is>
      </c>
      <c r="E198" t="inlineStr">
        <is>
          <t>VIMMERBY</t>
        </is>
      </c>
      <c r="G198" t="n">
        <v>1.2</v>
      </c>
      <c r="H198" t="n">
        <v>0</v>
      </c>
      <c r="I198" t="n">
        <v>0</v>
      </c>
      <c r="J198" t="n">
        <v>0</v>
      </c>
      <c r="K198" t="n">
        <v>0</v>
      </c>
      <c r="L198" t="n">
        <v>0</v>
      </c>
      <c r="M198" t="n">
        <v>0</v>
      </c>
      <c r="N198" t="n">
        <v>0</v>
      </c>
      <c r="O198" t="n">
        <v>0</v>
      </c>
      <c r="P198" t="n">
        <v>0</v>
      </c>
      <c r="Q198" t="n">
        <v>0</v>
      </c>
      <c r="R198" s="2" t="inlineStr"/>
    </row>
    <row r="199" ht="15" customHeight="1">
      <c r="A199" t="inlineStr">
        <is>
          <t>A 54065-2021</t>
        </is>
      </c>
      <c r="B199" s="1" t="n">
        <v>44470.44232638889</v>
      </c>
      <c r="C199" s="1" t="n">
        <v>45899</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31824-2022</t>
        </is>
      </c>
      <c r="B200" s="1" t="n">
        <v>44776</v>
      </c>
      <c r="C200" s="1" t="n">
        <v>45899</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11733-2022</t>
        </is>
      </c>
      <c r="B201" s="1" t="n">
        <v>44634</v>
      </c>
      <c r="C201" s="1" t="n">
        <v>45899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45899</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7804-2022</t>
        </is>
      </c>
      <c r="B203" s="1" t="n">
        <v>44608.50458333334</v>
      </c>
      <c r="C203" s="1" t="n">
        <v>45899</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39225-2022</t>
        </is>
      </c>
      <c r="B204" s="1" t="n">
        <v>44817.57988425926</v>
      </c>
      <c r="C204" s="1" t="n">
        <v>45899</v>
      </c>
      <c r="D204" t="inlineStr">
        <is>
          <t>KALMAR LÄN</t>
        </is>
      </c>
      <c r="E204" t="inlineStr">
        <is>
          <t>VIMMERBY</t>
        </is>
      </c>
      <c r="G204" t="n">
        <v>2.2</v>
      </c>
      <c r="H204" t="n">
        <v>0</v>
      </c>
      <c r="I204" t="n">
        <v>0</v>
      </c>
      <c r="J204" t="n">
        <v>0</v>
      </c>
      <c r="K204" t="n">
        <v>0</v>
      </c>
      <c r="L204" t="n">
        <v>0</v>
      </c>
      <c r="M204" t="n">
        <v>0</v>
      </c>
      <c r="N204" t="n">
        <v>0</v>
      </c>
      <c r="O204" t="n">
        <v>0</v>
      </c>
      <c r="P204" t="n">
        <v>0</v>
      </c>
      <c r="Q204" t="n">
        <v>0</v>
      </c>
      <c r="R204" s="2" t="inlineStr"/>
    </row>
    <row r="205" ht="15" customHeight="1">
      <c r="A205" t="inlineStr">
        <is>
          <t>A 39042-2022</t>
        </is>
      </c>
      <c r="B205" s="1" t="n">
        <v>44817</v>
      </c>
      <c r="C205" s="1" t="n">
        <v>45899</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46964-2022</t>
        </is>
      </c>
      <c r="B206" s="1" t="n">
        <v>44851.95016203704</v>
      </c>
      <c r="C206" s="1" t="n">
        <v>45899</v>
      </c>
      <c r="D206" t="inlineStr">
        <is>
          <t>KALMAR LÄN</t>
        </is>
      </c>
      <c r="E206" t="inlineStr">
        <is>
          <t>VIMMERBY</t>
        </is>
      </c>
      <c r="G206" t="n">
        <v>0.2</v>
      </c>
      <c r="H206" t="n">
        <v>0</v>
      </c>
      <c r="I206" t="n">
        <v>0</v>
      </c>
      <c r="J206" t="n">
        <v>0</v>
      </c>
      <c r="K206" t="n">
        <v>0</v>
      </c>
      <c r="L206" t="n">
        <v>0</v>
      </c>
      <c r="M206" t="n">
        <v>0</v>
      </c>
      <c r="N206" t="n">
        <v>0</v>
      </c>
      <c r="O206" t="n">
        <v>0</v>
      </c>
      <c r="P206" t="n">
        <v>0</v>
      </c>
      <c r="Q206" t="n">
        <v>0</v>
      </c>
      <c r="R206" s="2" t="inlineStr"/>
    </row>
    <row r="207" ht="15" customHeight="1">
      <c r="A207" t="inlineStr">
        <is>
          <t>A 16602-2021</t>
        </is>
      </c>
      <c r="B207" s="1" t="n">
        <v>44294</v>
      </c>
      <c r="C207" s="1" t="n">
        <v>45899</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16607-2021</t>
        </is>
      </c>
      <c r="B208" s="1" t="n">
        <v>44294</v>
      </c>
      <c r="C208" s="1" t="n">
        <v>45899</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17029-2022</t>
        </is>
      </c>
      <c r="B209" s="1" t="n">
        <v>44676.85248842592</v>
      </c>
      <c r="C209" s="1" t="n">
        <v>45899</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16288-2021</t>
        </is>
      </c>
      <c r="B210" s="1" t="n">
        <v>44292</v>
      </c>
      <c r="C210" s="1" t="n">
        <v>45899</v>
      </c>
      <c r="D210" t="inlineStr">
        <is>
          <t>KALMAR LÄN</t>
        </is>
      </c>
      <c r="E210" t="inlineStr">
        <is>
          <t>VIMMERBY</t>
        </is>
      </c>
      <c r="F210" t="inlineStr">
        <is>
          <t>Övriga Aktiebolag</t>
        </is>
      </c>
      <c r="G210" t="n">
        <v>27.6</v>
      </c>
      <c r="H210" t="n">
        <v>0</v>
      </c>
      <c r="I210" t="n">
        <v>0</v>
      </c>
      <c r="J210" t="n">
        <v>0</v>
      </c>
      <c r="K210" t="n">
        <v>0</v>
      </c>
      <c r="L210" t="n">
        <v>0</v>
      </c>
      <c r="M210" t="n">
        <v>0</v>
      </c>
      <c r="N210" t="n">
        <v>0</v>
      </c>
      <c r="O210" t="n">
        <v>0</v>
      </c>
      <c r="P210" t="n">
        <v>0</v>
      </c>
      <c r="Q210" t="n">
        <v>0</v>
      </c>
      <c r="R210" s="2" t="inlineStr"/>
    </row>
    <row r="211" ht="15" customHeight="1">
      <c r="A211" t="inlineStr">
        <is>
          <t>A 52435-2021</t>
        </is>
      </c>
      <c r="B211" s="1" t="n">
        <v>44466.34962962963</v>
      </c>
      <c r="C211" s="1" t="n">
        <v>45899</v>
      </c>
      <c r="D211" t="inlineStr">
        <is>
          <t>KALMAR LÄN</t>
        </is>
      </c>
      <c r="E211" t="inlineStr">
        <is>
          <t>VIMMERBY</t>
        </is>
      </c>
      <c r="G211" t="n">
        <v>2.8</v>
      </c>
      <c r="H211" t="n">
        <v>0</v>
      </c>
      <c r="I211" t="n">
        <v>0</v>
      </c>
      <c r="J211" t="n">
        <v>0</v>
      </c>
      <c r="K211" t="n">
        <v>0</v>
      </c>
      <c r="L211" t="n">
        <v>0</v>
      </c>
      <c r="M211" t="n">
        <v>0</v>
      </c>
      <c r="N211" t="n">
        <v>0</v>
      </c>
      <c r="O211" t="n">
        <v>0</v>
      </c>
      <c r="P211" t="n">
        <v>0</v>
      </c>
      <c r="Q211" t="n">
        <v>0</v>
      </c>
      <c r="R211" s="2" t="inlineStr"/>
    </row>
    <row r="212" ht="15" customHeight="1">
      <c r="A212" t="inlineStr">
        <is>
          <t>A 29093-2023</t>
        </is>
      </c>
      <c r="B212" s="1" t="n">
        <v>45105</v>
      </c>
      <c r="C212" s="1" t="n">
        <v>45899</v>
      </c>
      <c r="D212" t="inlineStr">
        <is>
          <t>KALMAR LÄN</t>
        </is>
      </c>
      <c r="E212" t="inlineStr">
        <is>
          <t>VIMMERBY</t>
        </is>
      </c>
      <c r="G212" t="n">
        <v>2.9</v>
      </c>
      <c r="H212" t="n">
        <v>0</v>
      </c>
      <c r="I212" t="n">
        <v>0</v>
      </c>
      <c r="J212" t="n">
        <v>0</v>
      </c>
      <c r="K212" t="n">
        <v>0</v>
      </c>
      <c r="L212" t="n">
        <v>0</v>
      </c>
      <c r="M212" t="n">
        <v>0</v>
      </c>
      <c r="N212" t="n">
        <v>0</v>
      </c>
      <c r="O212" t="n">
        <v>0</v>
      </c>
      <c r="P212" t="n">
        <v>0</v>
      </c>
      <c r="Q212" t="n">
        <v>0</v>
      </c>
      <c r="R212" s="2" t="inlineStr"/>
    </row>
    <row r="213" ht="15" customHeight="1">
      <c r="A213" t="inlineStr">
        <is>
          <t>A 14220-2021</t>
        </is>
      </c>
      <c r="B213" s="1" t="n">
        <v>44278.54855324074</v>
      </c>
      <c r="C213" s="1" t="n">
        <v>45899</v>
      </c>
      <c r="D213" t="inlineStr">
        <is>
          <t>KALMAR LÄN</t>
        </is>
      </c>
      <c r="E213" t="inlineStr">
        <is>
          <t>VIMMERBY</t>
        </is>
      </c>
      <c r="G213" t="n">
        <v>0.3</v>
      </c>
      <c r="H213" t="n">
        <v>0</v>
      </c>
      <c r="I213" t="n">
        <v>0</v>
      </c>
      <c r="J213" t="n">
        <v>0</v>
      </c>
      <c r="K213" t="n">
        <v>0</v>
      </c>
      <c r="L213" t="n">
        <v>0</v>
      </c>
      <c r="M213" t="n">
        <v>0</v>
      </c>
      <c r="N213" t="n">
        <v>0</v>
      </c>
      <c r="O213" t="n">
        <v>0</v>
      </c>
      <c r="P213" t="n">
        <v>0</v>
      </c>
      <c r="Q213" t="n">
        <v>0</v>
      </c>
      <c r="R213" s="2" t="inlineStr"/>
    </row>
    <row r="214" ht="15" customHeight="1">
      <c r="A214" t="inlineStr">
        <is>
          <t>A 46078-2023</t>
        </is>
      </c>
      <c r="B214" s="1" t="n">
        <v>45196</v>
      </c>
      <c r="C214" s="1" t="n">
        <v>45899</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7167-2022</t>
        </is>
      </c>
      <c r="B215" s="1" t="n">
        <v>44604</v>
      </c>
      <c r="C215" s="1" t="n">
        <v>45899</v>
      </c>
      <c r="D215" t="inlineStr">
        <is>
          <t>KALMAR LÄN</t>
        </is>
      </c>
      <c r="E215" t="inlineStr">
        <is>
          <t>VIMMERBY</t>
        </is>
      </c>
      <c r="G215" t="n">
        <v>1.7</v>
      </c>
      <c r="H215" t="n">
        <v>0</v>
      </c>
      <c r="I215" t="n">
        <v>0</v>
      </c>
      <c r="J215" t="n">
        <v>0</v>
      </c>
      <c r="K215" t="n">
        <v>0</v>
      </c>
      <c r="L215" t="n">
        <v>0</v>
      </c>
      <c r="M215" t="n">
        <v>0</v>
      </c>
      <c r="N215" t="n">
        <v>0</v>
      </c>
      <c r="O215" t="n">
        <v>0</v>
      </c>
      <c r="P215" t="n">
        <v>0</v>
      </c>
      <c r="Q215" t="n">
        <v>0</v>
      </c>
      <c r="R215" s="2" t="inlineStr"/>
    </row>
    <row r="216" ht="15" customHeight="1">
      <c r="A216" t="inlineStr">
        <is>
          <t>A 29441-2024</t>
        </is>
      </c>
      <c r="B216" s="1" t="n">
        <v>45483.82834490741</v>
      </c>
      <c r="C216" s="1" t="n">
        <v>45899</v>
      </c>
      <c r="D216" t="inlineStr">
        <is>
          <t>KALMAR LÄN</t>
        </is>
      </c>
      <c r="E216" t="inlineStr">
        <is>
          <t>VIMMERBY</t>
        </is>
      </c>
      <c r="G216" t="n">
        <v>1.3</v>
      </c>
      <c r="H216" t="n">
        <v>0</v>
      </c>
      <c r="I216" t="n">
        <v>0</v>
      </c>
      <c r="J216" t="n">
        <v>0</v>
      </c>
      <c r="K216" t="n">
        <v>0</v>
      </c>
      <c r="L216" t="n">
        <v>0</v>
      </c>
      <c r="M216" t="n">
        <v>0</v>
      </c>
      <c r="N216" t="n">
        <v>0</v>
      </c>
      <c r="O216" t="n">
        <v>0</v>
      </c>
      <c r="P216" t="n">
        <v>0</v>
      </c>
      <c r="Q216" t="n">
        <v>0</v>
      </c>
      <c r="R216" s="2" t="inlineStr"/>
    </row>
    <row r="217" ht="15" customHeight="1">
      <c r="A217" t="inlineStr">
        <is>
          <t>A 25728-2023</t>
        </is>
      </c>
      <c r="B217" s="1" t="n">
        <v>45090.38012731481</v>
      </c>
      <c r="C217" s="1" t="n">
        <v>45899</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7643-2022</t>
        </is>
      </c>
      <c r="B218" s="1" t="n">
        <v>44607</v>
      </c>
      <c r="C218" s="1" t="n">
        <v>45899</v>
      </c>
      <c r="D218" t="inlineStr">
        <is>
          <t>KALMAR LÄN</t>
        </is>
      </c>
      <c r="E218" t="inlineStr">
        <is>
          <t>VIMMERBY</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33359-2021</t>
        </is>
      </c>
      <c r="B219" s="1" t="n">
        <v>44377.49684027778</v>
      </c>
      <c r="C219" s="1" t="n">
        <v>45899</v>
      </c>
      <c r="D219" t="inlineStr">
        <is>
          <t>KALMAR LÄN</t>
        </is>
      </c>
      <c r="E219" t="inlineStr">
        <is>
          <t>VIMMERBY</t>
        </is>
      </c>
      <c r="F219" t="inlineStr">
        <is>
          <t>Kommuner</t>
        </is>
      </c>
      <c r="G219" t="n">
        <v>8</v>
      </c>
      <c r="H219" t="n">
        <v>0</v>
      </c>
      <c r="I219" t="n">
        <v>0</v>
      </c>
      <c r="J219" t="n">
        <v>0</v>
      </c>
      <c r="K219" t="n">
        <v>0</v>
      </c>
      <c r="L219" t="n">
        <v>0</v>
      </c>
      <c r="M219" t="n">
        <v>0</v>
      </c>
      <c r="N219" t="n">
        <v>0</v>
      </c>
      <c r="O219" t="n">
        <v>0</v>
      </c>
      <c r="P219" t="n">
        <v>0</v>
      </c>
      <c r="Q219" t="n">
        <v>0</v>
      </c>
      <c r="R219" s="2" t="inlineStr"/>
    </row>
    <row r="220" ht="15" customHeight="1">
      <c r="A220" t="inlineStr">
        <is>
          <t>A 3494-2023</t>
        </is>
      </c>
      <c r="B220" s="1" t="n">
        <v>44949</v>
      </c>
      <c r="C220" s="1" t="n">
        <v>45899</v>
      </c>
      <c r="D220" t="inlineStr">
        <is>
          <t>KALMAR LÄN</t>
        </is>
      </c>
      <c r="E220" t="inlineStr">
        <is>
          <t>VIMMERBY</t>
        </is>
      </c>
      <c r="F220" t="inlineStr">
        <is>
          <t>Kyrkan</t>
        </is>
      </c>
      <c r="G220" t="n">
        <v>0.8</v>
      </c>
      <c r="H220" t="n">
        <v>0</v>
      </c>
      <c r="I220" t="n">
        <v>0</v>
      </c>
      <c r="J220" t="n">
        <v>0</v>
      </c>
      <c r="K220" t="n">
        <v>0</v>
      </c>
      <c r="L220" t="n">
        <v>0</v>
      </c>
      <c r="M220" t="n">
        <v>0</v>
      </c>
      <c r="N220" t="n">
        <v>0</v>
      </c>
      <c r="O220" t="n">
        <v>0</v>
      </c>
      <c r="P220" t="n">
        <v>0</v>
      </c>
      <c r="Q220" t="n">
        <v>0</v>
      </c>
      <c r="R220" s="2" t="inlineStr"/>
    </row>
    <row r="221" ht="15" customHeight="1">
      <c r="A221" t="inlineStr">
        <is>
          <t>A 43038-2022</t>
        </is>
      </c>
      <c r="B221" s="1" t="n">
        <v>44833.60123842592</v>
      </c>
      <c r="C221" s="1" t="n">
        <v>45899</v>
      </c>
      <c r="D221" t="inlineStr">
        <is>
          <t>KALMAR LÄN</t>
        </is>
      </c>
      <c r="E221" t="inlineStr">
        <is>
          <t>VIMMERBY</t>
        </is>
      </c>
      <c r="G221" t="n">
        <v>4.2</v>
      </c>
      <c r="H221" t="n">
        <v>0</v>
      </c>
      <c r="I221" t="n">
        <v>0</v>
      </c>
      <c r="J221" t="n">
        <v>0</v>
      </c>
      <c r="K221" t="n">
        <v>0</v>
      </c>
      <c r="L221" t="n">
        <v>0</v>
      </c>
      <c r="M221" t="n">
        <v>0</v>
      </c>
      <c r="N221" t="n">
        <v>0</v>
      </c>
      <c r="O221" t="n">
        <v>0</v>
      </c>
      <c r="P221" t="n">
        <v>0</v>
      </c>
      <c r="Q221" t="n">
        <v>0</v>
      </c>
      <c r="R221" s="2" t="inlineStr"/>
    </row>
    <row r="222" ht="15" customHeight="1">
      <c r="A222" t="inlineStr">
        <is>
          <t>A 18356-2021</t>
        </is>
      </c>
      <c r="B222" s="1" t="n">
        <v>44305</v>
      </c>
      <c r="C222" s="1" t="n">
        <v>45899</v>
      </c>
      <c r="D222" t="inlineStr">
        <is>
          <t>KALMAR LÄN</t>
        </is>
      </c>
      <c r="E222" t="inlineStr">
        <is>
          <t>VIMMERBY</t>
        </is>
      </c>
      <c r="G222" t="n">
        <v>3.4</v>
      </c>
      <c r="H222" t="n">
        <v>0</v>
      </c>
      <c r="I222" t="n">
        <v>0</v>
      </c>
      <c r="J222" t="n">
        <v>0</v>
      </c>
      <c r="K222" t="n">
        <v>0</v>
      </c>
      <c r="L222" t="n">
        <v>0</v>
      </c>
      <c r="M222" t="n">
        <v>0</v>
      </c>
      <c r="N222" t="n">
        <v>0</v>
      </c>
      <c r="O222" t="n">
        <v>0</v>
      </c>
      <c r="P222" t="n">
        <v>0</v>
      </c>
      <c r="Q222" t="n">
        <v>0</v>
      </c>
      <c r="R222" s="2" t="inlineStr"/>
    </row>
    <row r="223" ht="15" customHeight="1">
      <c r="A223" t="inlineStr">
        <is>
          <t>A 50087-2023</t>
        </is>
      </c>
      <c r="B223" s="1" t="n">
        <v>45215.59743055556</v>
      </c>
      <c r="C223" s="1" t="n">
        <v>45899</v>
      </c>
      <c r="D223" t="inlineStr">
        <is>
          <t>KALMAR LÄN</t>
        </is>
      </c>
      <c r="E223" t="inlineStr">
        <is>
          <t>VIMMERBY</t>
        </is>
      </c>
      <c r="G223" t="n">
        <v>0.9</v>
      </c>
      <c r="H223" t="n">
        <v>0</v>
      </c>
      <c r="I223" t="n">
        <v>0</v>
      </c>
      <c r="J223" t="n">
        <v>0</v>
      </c>
      <c r="K223" t="n">
        <v>0</v>
      </c>
      <c r="L223" t="n">
        <v>0</v>
      </c>
      <c r="M223" t="n">
        <v>0</v>
      </c>
      <c r="N223" t="n">
        <v>0</v>
      </c>
      <c r="O223" t="n">
        <v>0</v>
      </c>
      <c r="P223" t="n">
        <v>0</v>
      </c>
      <c r="Q223" t="n">
        <v>0</v>
      </c>
      <c r="R223" s="2" t="inlineStr"/>
    </row>
    <row r="224" ht="15" customHeight="1">
      <c r="A224" t="inlineStr">
        <is>
          <t>A 33681-2022</t>
        </is>
      </c>
      <c r="B224" s="1" t="n">
        <v>44789</v>
      </c>
      <c r="C224" s="1" t="n">
        <v>45899</v>
      </c>
      <c r="D224" t="inlineStr">
        <is>
          <t>KALMAR LÄN</t>
        </is>
      </c>
      <c r="E224" t="inlineStr">
        <is>
          <t>VIMMERBY</t>
        </is>
      </c>
      <c r="G224" t="n">
        <v>3.2</v>
      </c>
      <c r="H224" t="n">
        <v>0</v>
      </c>
      <c r="I224" t="n">
        <v>0</v>
      </c>
      <c r="J224" t="n">
        <v>0</v>
      </c>
      <c r="K224" t="n">
        <v>0</v>
      </c>
      <c r="L224" t="n">
        <v>0</v>
      </c>
      <c r="M224" t="n">
        <v>0</v>
      </c>
      <c r="N224" t="n">
        <v>0</v>
      </c>
      <c r="O224" t="n">
        <v>0</v>
      </c>
      <c r="P224" t="n">
        <v>0</v>
      </c>
      <c r="Q224" t="n">
        <v>0</v>
      </c>
      <c r="R224" s="2" t="inlineStr"/>
    </row>
    <row r="225" ht="15" customHeight="1">
      <c r="A225" t="inlineStr">
        <is>
          <t>A 32633-2023</t>
        </is>
      </c>
      <c r="B225" s="1" t="n">
        <v>45121.58699074074</v>
      </c>
      <c r="C225" s="1" t="n">
        <v>45899</v>
      </c>
      <c r="D225" t="inlineStr">
        <is>
          <t>KALMAR LÄN</t>
        </is>
      </c>
      <c r="E225" t="inlineStr">
        <is>
          <t>VIMMERBY</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43601-2024</t>
        </is>
      </c>
      <c r="B226" s="1" t="n">
        <v>45569.44684027778</v>
      </c>
      <c r="C226" s="1" t="n">
        <v>45899</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13813-2024</t>
        </is>
      </c>
      <c r="B227" s="1" t="n">
        <v>45391.41310185185</v>
      </c>
      <c r="C227" s="1" t="n">
        <v>45899</v>
      </c>
      <c r="D227" t="inlineStr">
        <is>
          <t>KALMAR LÄN</t>
        </is>
      </c>
      <c r="E227" t="inlineStr">
        <is>
          <t>VIMMERBY</t>
        </is>
      </c>
      <c r="G227" t="n">
        <v>0.4</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45899</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25234-2023</t>
        </is>
      </c>
      <c r="B229" s="1" t="n">
        <v>45086.63194444445</v>
      </c>
      <c r="C229" s="1" t="n">
        <v>45899</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25236-2023</t>
        </is>
      </c>
      <c r="B230" s="1" t="n">
        <v>45086.63334490741</v>
      </c>
      <c r="C230" s="1" t="n">
        <v>45899</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55716-2023</t>
        </is>
      </c>
      <c r="B231" s="1" t="n">
        <v>45232</v>
      </c>
      <c r="C231" s="1" t="n">
        <v>45899</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34386-2024</t>
        </is>
      </c>
      <c r="B232" s="1" t="n">
        <v>45525.41762731481</v>
      </c>
      <c r="C232" s="1" t="n">
        <v>45899</v>
      </c>
      <c r="D232" t="inlineStr">
        <is>
          <t>KALMAR LÄN</t>
        </is>
      </c>
      <c r="E232" t="inlineStr">
        <is>
          <t>VIMMERBY</t>
        </is>
      </c>
      <c r="G232" t="n">
        <v>0.3</v>
      </c>
      <c r="H232" t="n">
        <v>0</v>
      </c>
      <c r="I232" t="n">
        <v>0</v>
      </c>
      <c r="J232" t="n">
        <v>0</v>
      </c>
      <c r="K232" t="n">
        <v>0</v>
      </c>
      <c r="L232" t="n">
        <v>0</v>
      </c>
      <c r="M232" t="n">
        <v>0</v>
      </c>
      <c r="N232" t="n">
        <v>0</v>
      </c>
      <c r="O232" t="n">
        <v>0</v>
      </c>
      <c r="P232" t="n">
        <v>0</v>
      </c>
      <c r="Q232" t="n">
        <v>0</v>
      </c>
      <c r="R232" s="2" t="inlineStr"/>
    </row>
    <row r="233" ht="15" customHeight="1">
      <c r="A233" t="inlineStr">
        <is>
          <t>A 12033-2024</t>
        </is>
      </c>
      <c r="B233" s="1" t="n">
        <v>45377.40043981482</v>
      </c>
      <c r="C233" s="1" t="n">
        <v>45899</v>
      </c>
      <c r="D233" t="inlineStr">
        <is>
          <t>KALMAR LÄN</t>
        </is>
      </c>
      <c r="E233" t="inlineStr">
        <is>
          <t>VIMMERBY</t>
        </is>
      </c>
      <c r="G233" t="n">
        <v>1.6</v>
      </c>
      <c r="H233" t="n">
        <v>0</v>
      </c>
      <c r="I233" t="n">
        <v>0</v>
      </c>
      <c r="J233" t="n">
        <v>0</v>
      </c>
      <c r="K233" t="n">
        <v>0</v>
      </c>
      <c r="L233" t="n">
        <v>0</v>
      </c>
      <c r="M233" t="n">
        <v>0</v>
      </c>
      <c r="N233" t="n">
        <v>0</v>
      </c>
      <c r="O233" t="n">
        <v>0</v>
      </c>
      <c r="P233" t="n">
        <v>0</v>
      </c>
      <c r="Q233" t="n">
        <v>0</v>
      </c>
      <c r="R233" s="2" t="inlineStr"/>
    </row>
    <row r="234" ht="15" customHeight="1">
      <c r="A234" t="inlineStr">
        <is>
          <t>A 6214-2025</t>
        </is>
      </c>
      <c r="B234" s="1" t="n">
        <v>45698.51711805556</v>
      </c>
      <c r="C234" s="1" t="n">
        <v>45899</v>
      </c>
      <c r="D234" t="inlineStr">
        <is>
          <t>KALMAR LÄN</t>
        </is>
      </c>
      <c r="E234" t="inlineStr">
        <is>
          <t>VIMMERBY</t>
        </is>
      </c>
      <c r="G234" t="n">
        <v>1.2</v>
      </c>
      <c r="H234" t="n">
        <v>0</v>
      </c>
      <c r="I234" t="n">
        <v>0</v>
      </c>
      <c r="J234" t="n">
        <v>0</v>
      </c>
      <c r="K234" t="n">
        <v>0</v>
      </c>
      <c r="L234" t="n">
        <v>0</v>
      </c>
      <c r="M234" t="n">
        <v>0</v>
      </c>
      <c r="N234" t="n">
        <v>0</v>
      </c>
      <c r="O234" t="n">
        <v>0</v>
      </c>
      <c r="P234" t="n">
        <v>0</v>
      </c>
      <c r="Q234" t="n">
        <v>0</v>
      </c>
      <c r="R234" s="2" t="inlineStr"/>
    </row>
    <row r="235" ht="15" customHeight="1">
      <c r="A235" t="inlineStr">
        <is>
          <t>A 42429-2024</t>
        </is>
      </c>
      <c r="B235" s="1" t="n">
        <v>45565.40657407408</v>
      </c>
      <c r="C235" s="1" t="n">
        <v>45899</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49408-2023</t>
        </is>
      </c>
      <c r="B236" s="1" t="n">
        <v>45211.43555555555</v>
      </c>
      <c r="C236" s="1" t="n">
        <v>45899</v>
      </c>
      <c r="D236" t="inlineStr">
        <is>
          <t>KALMAR LÄN</t>
        </is>
      </c>
      <c r="E236" t="inlineStr">
        <is>
          <t>VIMMERBY</t>
        </is>
      </c>
      <c r="G236" t="n">
        <v>13.1</v>
      </c>
      <c r="H236" t="n">
        <v>0</v>
      </c>
      <c r="I236" t="n">
        <v>0</v>
      </c>
      <c r="J236" t="n">
        <v>0</v>
      </c>
      <c r="K236" t="n">
        <v>0</v>
      </c>
      <c r="L236" t="n">
        <v>0</v>
      </c>
      <c r="M236" t="n">
        <v>0</v>
      </c>
      <c r="N236" t="n">
        <v>0</v>
      </c>
      <c r="O236" t="n">
        <v>0</v>
      </c>
      <c r="P236" t="n">
        <v>0</v>
      </c>
      <c r="Q236" t="n">
        <v>0</v>
      </c>
      <c r="R236" s="2" t="inlineStr"/>
    </row>
    <row r="237" ht="15" customHeight="1">
      <c r="A237" t="inlineStr">
        <is>
          <t>A 25244-2023</t>
        </is>
      </c>
      <c r="B237" s="1" t="n">
        <v>45086</v>
      </c>
      <c r="C237" s="1" t="n">
        <v>45899</v>
      </c>
      <c r="D237" t="inlineStr">
        <is>
          <t>KALMAR LÄN</t>
        </is>
      </c>
      <c r="E237" t="inlineStr">
        <is>
          <t>VIMMERBY</t>
        </is>
      </c>
      <c r="G237" t="n">
        <v>4.7</v>
      </c>
      <c r="H237" t="n">
        <v>0</v>
      </c>
      <c r="I237" t="n">
        <v>0</v>
      </c>
      <c r="J237" t="n">
        <v>0</v>
      </c>
      <c r="K237" t="n">
        <v>0</v>
      </c>
      <c r="L237" t="n">
        <v>0</v>
      </c>
      <c r="M237" t="n">
        <v>0</v>
      </c>
      <c r="N237" t="n">
        <v>0</v>
      </c>
      <c r="O237" t="n">
        <v>0</v>
      </c>
      <c r="P237" t="n">
        <v>0</v>
      </c>
      <c r="Q237" t="n">
        <v>0</v>
      </c>
      <c r="R237" s="2" t="inlineStr"/>
    </row>
    <row r="238" ht="15" customHeight="1">
      <c r="A238" t="inlineStr">
        <is>
          <t>A 11946-2025</t>
        </is>
      </c>
      <c r="B238" s="1" t="n">
        <v>45728.54832175926</v>
      </c>
      <c r="C238" s="1" t="n">
        <v>45899</v>
      </c>
      <c r="D238" t="inlineStr">
        <is>
          <t>KALMAR LÄN</t>
        </is>
      </c>
      <c r="E238" t="inlineStr">
        <is>
          <t>VIMMERBY</t>
        </is>
      </c>
      <c r="G238" t="n">
        <v>0.4</v>
      </c>
      <c r="H238" t="n">
        <v>0</v>
      </c>
      <c r="I238" t="n">
        <v>0</v>
      </c>
      <c r="J238" t="n">
        <v>0</v>
      </c>
      <c r="K238" t="n">
        <v>0</v>
      </c>
      <c r="L238" t="n">
        <v>0</v>
      </c>
      <c r="M238" t="n">
        <v>0</v>
      </c>
      <c r="N238" t="n">
        <v>0</v>
      </c>
      <c r="O238" t="n">
        <v>0</v>
      </c>
      <c r="P238" t="n">
        <v>0</v>
      </c>
      <c r="Q238" t="n">
        <v>0</v>
      </c>
      <c r="R238" s="2" t="inlineStr"/>
    </row>
    <row r="239" ht="15" customHeight="1">
      <c r="A239" t="inlineStr">
        <is>
          <t>A 27443-2023</t>
        </is>
      </c>
      <c r="B239" s="1" t="n">
        <v>45097.40524305555</v>
      </c>
      <c r="C239" s="1" t="n">
        <v>45899</v>
      </c>
      <c r="D239" t="inlineStr">
        <is>
          <t>KALMAR LÄN</t>
        </is>
      </c>
      <c r="E239" t="inlineStr">
        <is>
          <t>VIMMERBY</t>
        </is>
      </c>
      <c r="F239" t="inlineStr">
        <is>
          <t>Övriga Aktiebolag</t>
        </is>
      </c>
      <c r="G239" t="n">
        <v>2.3</v>
      </c>
      <c r="H239" t="n">
        <v>0</v>
      </c>
      <c r="I239" t="n">
        <v>0</v>
      </c>
      <c r="J239" t="n">
        <v>0</v>
      </c>
      <c r="K239" t="n">
        <v>0</v>
      </c>
      <c r="L239" t="n">
        <v>0</v>
      </c>
      <c r="M239" t="n">
        <v>0</v>
      </c>
      <c r="N239" t="n">
        <v>0</v>
      </c>
      <c r="O239" t="n">
        <v>0</v>
      </c>
      <c r="P239" t="n">
        <v>0</v>
      </c>
      <c r="Q239" t="n">
        <v>0</v>
      </c>
      <c r="R239" s="2" t="inlineStr"/>
    </row>
    <row r="240" ht="15" customHeight="1">
      <c r="A240" t="inlineStr">
        <is>
          <t>A 28395-2023</t>
        </is>
      </c>
      <c r="B240" s="1" t="n">
        <v>45100.4062962963</v>
      </c>
      <c r="C240" s="1" t="n">
        <v>45899</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59943-2023</t>
        </is>
      </c>
      <c r="B241" s="1" t="n">
        <v>45257.67958333333</v>
      </c>
      <c r="C241" s="1" t="n">
        <v>45899</v>
      </c>
      <c r="D241" t="inlineStr">
        <is>
          <t>KALMAR LÄN</t>
        </is>
      </c>
      <c r="E241" t="inlineStr">
        <is>
          <t>VIMMERBY</t>
        </is>
      </c>
      <c r="G241" t="n">
        <v>6.4</v>
      </c>
      <c r="H241" t="n">
        <v>0</v>
      </c>
      <c r="I241" t="n">
        <v>0</v>
      </c>
      <c r="J241" t="n">
        <v>0</v>
      </c>
      <c r="K241" t="n">
        <v>0</v>
      </c>
      <c r="L241" t="n">
        <v>0</v>
      </c>
      <c r="M241" t="n">
        <v>0</v>
      </c>
      <c r="N241" t="n">
        <v>0</v>
      </c>
      <c r="O241" t="n">
        <v>0</v>
      </c>
      <c r="P241" t="n">
        <v>0</v>
      </c>
      <c r="Q241" t="n">
        <v>0</v>
      </c>
      <c r="R241" s="2" t="inlineStr"/>
    </row>
    <row r="242" ht="15" customHeight="1">
      <c r="A242" t="inlineStr">
        <is>
          <t>A 23341-2022</t>
        </is>
      </c>
      <c r="B242" s="1" t="n">
        <v>44720.53898148148</v>
      </c>
      <c r="C242" s="1" t="n">
        <v>45899</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8086-2021</t>
        </is>
      </c>
      <c r="B243" s="1" t="n">
        <v>44243</v>
      </c>
      <c r="C243" s="1" t="n">
        <v>45899</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15493-2023</t>
        </is>
      </c>
      <c r="B244" s="1" t="n">
        <v>45018</v>
      </c>
      <c r="C244" s="1" t="n">
        <v>45899</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51881-2024</t>
        </is>
      </c>
      <c r="B245" s="1" t="n">
        <v>45607.56773148148</v>
      </c>
      <c r="C245" s="1" t="n">
        <v>45899</v>
      </c>
      <c r="D245" t="inlineStr">
        <is>
          <t>KALMAR LÄN</t>
        </is>
      </c>
      <c r="E245" t="inlineStr">
        <is>
          <t>VIMMERBY</t>
        </is>
      </c>
      <c r="G245" t="n">
        <v>3.4</v>
      </c>
      <c r="H245" t="n">
        <v>0</v>
      </c>
      <c r="I245" t="n">
        <v>0</v>
      </c>
      <c r="J245" t="n">
        <v>0</v>
      </c>
      <c r="K245" t="n">
        <v>0</v>
      </c>
      <c r="L245" t="n">
        <v>0</v>
      </c>
      <c r="M245" t="n">
        <v>0</v>
      </c>
      <c r="N245" t="n">
        <v>0</v>
      </c>
      <c r="O245" t="n">
        <v>0</v>
      </c>
      <c r="P245" t="n">
        <v>0</v>
      </c>
      <c r="Q245" t="n">
        <v>0</v>
      </c>
      <c r="R245" s="2" t="inlineStr"/>
    </row>
    <row r="246" ht="15" customHeight="1">
      <c r="A246" t="inlineStr">
        <is>
          <t>A 18501-2024</t>
        </is>
      </c>
      <c r="B246" s="1" t="n">
        <v>45425.57538194444</v>
      </c>
      <c r="C246" s="1" t="n">
        <v>45899</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1021-2024</t>
        </is>
      </c>
      <c r="B247" s="1" t="n">
        <v>45301.67736111111</v>
      </c>
      <c r="C247" s="1" t="n">
        <v>45899</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32569-2024</t>
        </is>
      </c>
      <c r="B248" s="1" t="n">
        <v>45513.55840277778</v>
      </c>
      <c r="C248" s="1" t="n">
        <v>45899</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32575-2024</t>
        </is>
      </c>
      <c r="B249" s="1" t="n">
        <v>45513.56527777778</v>
      </c>
      <c r="C249" s="1" t="n">
        <v>45899</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30063-2023</t>
        </is>
      </c>
      <c r="B250" s="1" t="n">
        <v>45110.4184375</v>
      </c>
      <c r="C250" s="1" t="n">
        <v>45899</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17482-2024</t>
        </is>
      </c>
      <c r="B251" s="1" t="n">
        <v>45415.47848379629</v>
      </c>
      <c r="C251" s="1" t="n">
        <v>45899</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25799-2023</t>
        </is>
      </c>
      <c r="B252" s="1" t="n">
        <v>45090</v>
      </c>
      <c r="C252" s="1" t="n">
        <v>45899</v>
      </c>
      <c r="D252" t="inlineStr">
        <is>
          <t>KALMAR LÄN</t>
        </is>
      </c>
      <c r="E252" t="inlineStr">
        <is>
          <t>VIMMERBY</t>
        </is>
      </c>
      <c r="G252" t="n">
        <v>7.7</v>
      </c>
      <c r="H252" t="n">
        <v>0</v>
      </c>
      <c r="I252" t="n">
        <v>0</v>
      </c>
      <c r="J252" t="n">
        <v>0</v>
      </c>
      <c r="K252" t="n">
        <v>0</v>
      </c>
      <c r="L252" t="n">
        <v>0</v>
      </c>
      <c r="M252" t="n">
        <v>0</v>
      </c>
      <c r="N252" t="n">
        <v>0</v>
      </c>
      <c r="O252" t="n">
        <v>0</v>
      </c>
      <c r="P252" t="n">
        <v>0</v>
      </c>
      <c r="Q252" t="n">
        <v>0</v>
      </c>
      <c r="R252" s="2" t="inlineStr"/>
    </row>
    <row r="253" ht="15" customHeight="1">
      <c r="A253" t="inlineStr">
        <is>
          <t>A 71793-2021</t>
        </is>
      </c>
      <c r="B253" s="1" t="n">
        <v>44539</v>
      </c>
      <c r="C253" s="1" t="n">
        <v>45899</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16015-2025</t>
        </is>
      </c>
      <c r="B254" s="1" t="n">
        <v>45749.60487268519</v>
      </c>
      <c r="C254" s="1" t="n">
        <v>45899</v>
      </c>
      <c r="D254" t="inlineStr">
        <is>
          <t>KALMAR LÄN</t>
        </is>
      </c>
      <c r="E254" t="inlineStr">
        <is>
          <t>VIMMERBY</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13817-2024</t>
        </is>
      </c>
      <c r="B255" s="1" t="n">
        <v>45391.41976851852</v>
      </c>
      <c r="C255" s="1" t="n">
        <v>45899</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57256-2023</t>
        </is>
      </c>
      <c r="B256" s="1" t="n">
        <v>45245.5735300926</v>
      </c>
      <c r="C256" s="1" t="n">
        <v>45899</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30406-2023</t>
        </is>
      </c>
      <c r="B257" s="1" t="n">
        <v>45111.48787037037</v>
      </c>
      <c r="C257" s="1" t="n">
        <v>45899</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23088-2024</t>
        </is>
      </c>
      <c r="B258" s="1" t="n">
        <v>45450.51092592593</v>
      </c>
      <c r="C258" s="1" t="n">
        <v>45899</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73938-2021</t>
        </is>
      </c>
      <c r="B259" s="1" t="n">
        <v>44553</v>
      </c>
      <c r="C259" s="1" t="n">
        <v>45899</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29020-2024</t>
        </is>
      </c>
      <c r="B260" s="1" t="n">
        <v>45481.58048611111</v>
      </c>
      <c r="C260" s="1" t="n">
        <v>45899</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6069-2023</t>
        </is>
      </c>
      <c r="B261" s="1" t="n">
        <v>44964.5115162037</v>
      </c>
      <c r="C261" s="1" t="n">
        <v>45899</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57189-2022</t>
        </is>
      </c>
      <c r="B262" s="1" t="n">
        <v>44895.62296296296</v>
      </c>
      <c r="C262" s="1" t="n">
        <v>45899</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1987-2024</t>
        </is>
      </c>
      <c r="B263" s="1" t="n">
        <v>45308.61152777778</v>
      </c>
      <c r="C263" s="1" t="n">
        <v>45899</v>
      </c>
      <c r="D263" t="inlineStr">
        <is>
          <t>KALMAR LÄN</t>
        </is>
      </c>
      <c r="E263" t="inlineStr">
        <is>
          <t>VIMMERBY</t>
        </is>
      </c>
      <c r="G263" t="n">
        <v>3</v>
      </c>
      <c r="H263" t="n">
        <v>0</v>
      </c>
      <c r="I263" t="n">
        <v>0</v>
      </c>
      <c r="J263" t="n">
        <v>0</v>
      </c>
      <c r="K263" t="n">
        <v>0</v>
      </c>
      <c r="L263" t="n">
        <v>0</v>
      </c>
      <c r="M263" t="n">
        <v>0</v>
      </c>
      <c r="N263" t="n">
        <v>0</v>
      </c>
      <c r="O263" t="n">
        <v>0</v>
      </c>
      <c r="P263" t="n">
        <v>0</v>
      </c>
      <c r="Q263" t="n">
        <v>0</v>
      </c>
      <c r="R263" s="2" t="inlineStr"/>
    </row>
    <row r="264" ht="15" customHeight="1">
      <c r="A264" t="inlineStr">
        <is>
          <t>A 527-2024</t>
        </is>
      </c>
      <c r="B264" s="1" t="n">
        <v>45299.47513888889</v>
      </c>
      <c r="C264" s="1" t="n">
        <v>45899</v>
      </c>
      <c r="D264" t="inlineStr">
        <is>
          <t>KALMAR LÄN</t>
        </is>
      </c>
      <c r="E264" t="inlineStr">
        <is>
          <t>VIMMERBY</t>
        </is>
      </c>
      <c r="G264" t="n">
        <v>2.2</v>
      </c>
      <c r="H264" t="n">
        <v>0</v>
      </c>
      <c r="I264" t="n">
        <v>0</v>
      </c>
      <c r="J264" t="n">
        <v>0</v>
      </c>
      <c r="K264" t="n">
        <v>0</v>
      </c>
      <c r="L264" t="n">
        <v>0</v>
      </c>
      <c r="M264" t="n">
        <v>0</v>
      </c>
      <c r="N264" t="n">
        <v>0</v>
      </c>
      <c r="O264" t="n">
        <v>0</v>
      </c>
      <c r="P264" t="n">
        <v>0</v>
      </c>
      <c r="Q264" t="n">
        <v>0</v>
      </c>
      <c r="R264" s="2" t="inlineStr"/>
    </row>
    <row r="265" ht="15" customHeight="1">
      <c r="A265" t="inlineStr">
        <is>
          <t>A 50995-2022</t>
        </is>
      </c>
      <c r="B265" s="1" t="n">
        <v>44867</v>
      </c>
      <c r="C265" s="1" t="n">
        <v>45899</v>
      </c>
      <c r="D265" t="inlineStr">
        <is>
          <t>KALMAR LÄN</t>
        </is>
      </c>
      <c r="E265" t="inlineStr">
        <is>
          <t>VIMMERBY</t>
        </is>
      </c>
      <c r="G265" t="n">
        <v>2.4</v>
      </c>
      <c r="H265" t="n">
        <v>0</v>
      </c>
      <c r="I265" t="n">
        <v>0</v>
      </c>
      <c r="J265" t="n">
        <v>0</v>
      </c>
      <c r="K265" t="n">
        <v>0</v>
      </c>
      <c r="L265" t="n">
        <v>0</v>
      </c>
      <c r="M265" t="n">
        <v>0</v>
      </c>
      <c r="N265" t="n">
        <v>0</v>
      </c>
      <c r="O265" t="n">
        <v>0</v>
      </c>
      <c r="P265" t="n">
        <v>0</v>
      </c>
      <c r="Q265" t="n">
        <v>0</v>
      </c>
      <c r="R265" s="2" t="inlineStr"/>
    </row>
    <row r="266" ht="15" customHeight="1">
      <c r="A266" t="inlineStr">
        <is>
          <t>A 27122-2023</t>
        </is>
      </c>
      <c r="B266" s="1" t="n">
        <v>45096.45247685185</v>
      </c>
      <c r="C266" s="1" t="n">
        <v>45899</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37192-2024</t>
        </is>
      </c>
      <c r="B267" s="1" t="n">
        <v>45539.66027777778</v>
      </c>
      <c r="C267" s="1" t="n">
        <v>45899</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30402-2023</t>
        </is>
      </c>
      <c r="B268" s="1" t="n">
        <v>45111.48395833333</v>
      </c>
      <c r="C268" s="1" t="n">
        <v>45899</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22014-2025</t>
        </is>
      </c>
      <c r="B269" s="1" t="n">
        <v>45784.74996527778</v>
      </c>
      <c r="C269" s="1" t="n">
        <v>45899</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47842-2024</t>
        </is>
      </c>
      <c r="B270" s="1" t="n">
        <v>45588.65545138889</v>
      </c>
      <c r="C270" s="1" t="n">
        <v>45899</v>
      </c>
      <c r="D270" t="inlineStr">
        <is>
          <t>KALMAR LÄN</t>
        </is>
      </c>
      <c r="E270" t="inlineStr">
        <is>
          <t>VIMMERBY</t>
        </is>
      </c>
      <c r="G270" t="n">
        <v>2.4</v>
      </c>
      <c r="H270" t="n">
        <v>0</v>
      </c>
      <c r="I270" t="n">
        <v>0</v>
      </c>
      <c r="J270" t="n">
        <v>0</v>
      </c>
      <c r="K270" t="n">
        <v>0</v>
      </c>
      <c r="L270" t="n">
        <v>0</v>
      </c>
      <c r="M270" t="n">
        <v>0</v>
      </c>
      <c r="N270" t="n">
        <v>0</v>
      </c>
      <c r="O270" t="n">
        <v>0</v>
      </c>
      <c r="P270" t="n">
        <v>0</v>
      </c>
      <c r="Q270" t="n">
        <v>0</v>
      </c>
      <c r="R270" s="2" t="inlineStr"/>
    </row>
    <row r="271" ht="15" customHeight="1">
      <c r="A271" t="inlineStr">
        <is>
          <t>A 6857-2023</t>
        </is>
      </c>
      <c r="B271" s="1" t="n">
        <v>44967.45122685185</v>
      </c>
      <c r="C271" s="1" t="n">
        <v>45899</v>
      </c>
      <c r="D271" t="inlineStr">
        <is>
          <t>KALMAR LÄN</t>
        </is>
      </c>
      <c r="E271" t="inlineStr">
        <is>
          <t>VIMMERBY</t>
        </is>
      </c>
      <c r="G271" t="n">
        <v>2.1</v>
      </c>
      <c r="H271" t="n">
        <v>0</v>
      </c>
      <c r="I271" t="n">
        <v>0</v>
      </c>
      <c r="J271" t="n">
        <v>0</v>
      </c>
      <c r="K271" t="n">
        <v>0</v>
      </c>
      <c r="L271" t="n">
        <v>0</v>
      </c>
      <c r="M271" t="n">
        <v>0</v>
      </c>
      <c r="N271" t="n">
        <v>0</v>
      </c>
      <c r="O271" t="n">
        <v>0</v>
      </c>
      <c r="P271" t="n">
        <v>0</v>
      </c>
      <c r="Q271" t="n">
        <v>0</v>
      </c>
      <c r="R271" s="2" t="inlineStr"/>
    </row>
    <row r="272" ht="15" customHeight="1">
      <c r="A272" t="inlineStr">
        <is>
          <t>A 47063-2022</t>
        </is>
      </c>
      <c r="B272" s="1" t="n">
        <v>44852</v>
      </c>
      <c r="C272" s="1" t="n">
        <v>45899</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12819-2024</t>
        </is>
      </c>
      <c r="B273" s="1" t="n">
        <v>45384.66917824074</v>
      </c>
      <c r="C273" s="1" t="n">
        <v>45899</v>
      </c>
      <c r="D273" t="inlineStr">
        <is>
          <t>KALMAR LÄN</t>
        </is>
      </c>
      <c r="E273" t="inlineStr">
        <is>
          <t>VIMMERBY</t>
        </is>
      </c>
      <c r="G273" t="n">
        <v>5.1</v>
      </c>
      <c r="H273" t="n">
        <v>0</v>
      </c>
      <c r="I273" t="n">
        <v>0</v>
      </c>
      <c r="J273" t="n">
        <v>0</v>
      </c>
      <c r="K273" t="n">
        <v>0</v>
      </c>
      <c r="L273" t="n">
        <v>0</v>
      </c>
      <c r="M273" t="n">
        <v>0</v>
      </c>
      <c r="N273" t="n">
        <v>0</v>
      </c>
      <c r="O273" t="n">
        <v>0</v>
      </c>
      <c r="P273" t="n">
        <v>0</v>
      </c>
      <c r="Q273" t="n">
        <v>0</v>
      </c>
      <c r="R273" s="2" t="inlineStr"/>
    </row>
    <row r="274" ht="15" customHeight="1">
      <c r="A274" t="inlineStr">
        <is>
          <t>A 25582-2024</t>
        </is>
      </c>
      <c r="B274" s="1" t="n">
        <v>45463</v>
      </c>
      <c r="C274" s="1" t="n">
        <v>45899</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57578-2024</t>
        </is>
      </c>
      <c r="B275" s="1" t="n">
        <v>45630.47564814815</v>
      </c>
      <c r="C275" s="1" t="n">
        <v>45899</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31382-2023</t>
        </is>
      </c>
      <c r="B276" s="1" t="n">
        <v>45114.55136574074</v>
      </c>
      <c r="C276" s="1" t="n">
        <v>45899</v>
      </c>
      <c r="D276" t="inlineStr">
        <is>
          <t>KALMAR LÄN</t>
        </is>
      </c>
      <c r="E276" t="inlineStr">
        <is>
          <t>VIMMERBY</t>
        </is>
      </c>
      <c r="G276" t="n">
        <v>3.7</v>
      </c>
      <c r="H276" t="n">
        <v>0</v>
      </c>
      <c r="I276" t="n">
        <v>0</v>
      </c>
      <c r="J276" t="n">
        <v>0</v>
      </c>
      <c r="K276" t="n">
        <v>0</v>
      </c>
      <c r="L276" t="n">
        <v>0</v>
      </c>
      <c r="M276" t="n">
        <v>0</v>
      </c>
      <c r="N276" t="n">
        <v>0</v>
      </c>
      <c r="O276" t="n">
        <v>0</v>
      </c>
      <c r="P276" t="n">
        <v>0</v>
      </c>
      <c r="Q276" t="n">
        <v>0</v>
      </c>
      <c r="R276" s="2" t="inlineStr"/>
    </row>
    <row r="277" ht="15" customHeight="1">
      <c r="A277" t="inlineStr">
        <is>
          <t>A 11073-2023</t>
        </is>
      </c>
      <c r="B277" s="1" t="n">
        <v>44992</v>
      </c>
      <c r="C277" s="1" t="n">
        <v>45899</v>
      </c>
      <c r="D277" t="inlineStr">
        <is>
          <t>KALMAR LÄN</t>
        </is>
      </c>
      <c r="E277" t="inlineStr">
        <is>
          <t>VIMMERBY</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46224-2024</t>
        </is>
      </c>
      <c r="B278" s="1" t="n">
        <v>45581.57016203704</v>
      </c>
      <c r="C278" s="1" t="n">
        <v>45899</v>
      </c>
      <c r="D278" t="inlineStr">
        <is>
          <t>KALMAR LÄN</t>
        </is>
      </c>
      <c r="E278" t="inlineStr">
        <is>
          <t>VIMMERBY</t>
        </is>
      </c>
      <c r="G278" t="n">
        <v>3.1</v>
      </c>
      <c r="H278" t="n">
        <v>0</v>
      </c>
      <c r="I278" t="n">
        <v>0</v>
      </c>
      <c r="J278" t="n">
        <v>0</v>
      </c>
      <c r="K278" t="n">
        <v>0</v>
      </c>
      <c r="L278" t="n">
        <v>0</v>
      </c>
      <c r="M278" t="n">
        <v>0</v>
      </c>
      <c r="N278" t="n">
        <v>0</v>
      </c>
      <c r="O278" t="n">
        <v>0</v>
      </c>
      <c r="P278" t="n">
        <v>0</v>
      </c>
      <c r="Q278" t="n">
        <v>0</v>
      </c>
      <c r="R278" s="2" t="inlineStr"/>
    </row>
    <row r="279" ht="15" customHeight="1">
      <c r="A279" t="inlineStr">
        <is>
          <t>A 59955-2023</t>
        </is>
      </c>
      <c r="B279" s="1" t="n">
        <v>45257.70313657408</v>
      </c>
      <c r="C279" s="1" t="n">
        <v>45899</v>
      </c>
      <c r="D279" t="inlineStr">
        <is>
          <t>KALMAR LÄN</t>
        </is>
      </c>
      <c r="E279" t="inlineStr">
        <is>
          <t>VIMMERBY</t>
        </is>
      </c>
      <c r="G279" t="n">
        <v>13.8</v>
      </c>
      <c r="H279" t="n">
        <v>0</v>
      </c>
      <c r="I279" t="n">
        <v>0</v>
      </c>
      <c r="J279" t="n">
        <v>0</v>
      </c>
      <c r="K279" t="n">
        <v>0</v>
      </c>
      <c r="L279" t="n">
        <v>0</v>
      </c>
      <c r="M279" t="n">
        <v>0</v>
      </c>
      <c r="N279" t="n">
        <v>0</v>
      </c>
      <c r="O279" t="n">
        <v>0</v>
      </c>
      <c r="P279" t="n">
        <v>0</v>
      </c>
      <c r="Q279" t="n">
        <v>0</v>
      </c>
      <c r="R279" s="2" t="inlineStr"/>
    </row>
    <row r="280" ht="15" customHeight="1">
      <c r="A280" t="inlineStr">
        <is>
          <t>A 36802-2021</t>
        </is>
      </c>
      <c r="B280" s="1" t="n">
        <v>44392</v>
      </c>
      <c r="C280" s="1" t="n">
        <v>45899</v>
      </c>
      <c r="D280" t="inlineStr">
        <is>
          <t>KALMAR LÄN</t>
        </is>
      </c>
      <c r="E280" t="inlineStr">
        <is>
          <t>VIMMERBY</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29013-2024</t>
        </is>
      </c>
      <c r="B281" s="1" t="n">
        <v>45481.55984953704</v>
      </c>
      <c r="C281" s="1" t="n">
        <v>45899</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61820-2023</t>
        </is>
      </c>
      <c r="B282" s="1" t="n">
        <v>45266.32614583334</v>
      </c>
      <c r="C282" s="1" t="n">
        <v>45899</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37028-2024</t>
        </is>
      </c>
      <c r="B283" s="1" t="n">
        <v>45539.38744212963</v>
      </c>
      <c r="C283" s="1" t="n">
        <v>45899</v>
      </c>
      <c r="D283" t="inlineStr">
        <is>
          <t>KALMAR LÄN</t>
        </is>
      </c>
      <c r="E283" t="inlineStr">
        <is>
          <t>VIMMERBY</t>
        </is>
      </c>
      <c r="G283" t="n">
        <v>5.2</v>
      </c>
      <c r="H283" t="n">
        <v>0</v>
      </c>
      <c r="I283" t="n">
        <v>0</v>
      </c>
      <c r="J283" t="n">
        <v>0</v>
      </c>
      <c r="K283" t="n">
        <v>0</v>
      </c>
      <c r="L283" t="n">
        <v>0</v>
      </c>
      <c r="M283" t="n">
        <v>0</v>
      </c>
      <c r="N283" t="n">
        <v>0</v>
      </c>
      <c r="O283" t="n">
        <v>0</v>
      </c>
      <c r="P283" t="n">
        <v>0</v>
      </c>
      <c r="Q283" t="n">
        <v>0</v>
      </c>
      <c r="R283" s="2" t="inlineStr"/>
    </row>
    <row r="284" ht="15" customHeight="1">
      <c r="A284" t="inlineStr">
        <is>
          <t>A 3269-2024</t>
        </is>
      </c>
      <c r="B284" s="1" t="n">
        <v>45317.40372685185</v>
      </c>
      <c r="C284" s="1" t="n">
        <v>45899</v>
      </c>
      <c r="D284" t="inlineStr">
        <is>
          <t>KALMAR LÄN</t>
        </is>
      </c>
      <c r="E284" t="inlineStr">
        <is>
          <t>VIMMERBY</t>
        </is>
      </c>
      <c r="F284" t="inlineStr">
        <is>
          <t>Övriga Aktiebolag</t>
        </is>
      </c>
      <c r="G284" t="n">
        <v>1.7</v>
      </c>
      <c r="H284" t="n">
        <v>0</v>
      </c>
      <c r="I284" t="n">
        <v>0</v>
      </c>
      <c r="J284" t="n">
        <v>0</v>
      </c>
      <c r="K284" t="n">
        <v>0</v>
      </c>
      <c r="L284" t="n">
        <v>0</v>
      </c>
      <c r="M284" t="n">
        <v>0</v>
      </c>
      <c r="N284" t="n">
        <v>0</v>
      </c>
      <c r="O284" t="n">
        <v>0</v>
      </c>
      <c r="P284" t="n">
        <v>0</v>
      </c>
      <c r="Q284" t="n">
        <v>0</v>
      </c>
      <c r="R284" s="2" t="inlineStr"/>
    </row>
    <row r="285" ht="15" customHeight="1">
      <c r="A285" t="inlineStr">
        <is>
          <t>A 2157-2024</t>
        </is>
      </c>
      <c r="B285" s="1" t="n">
        <v>45309.59487268519</v>
      </c>
      <c r="C285" s="1" t="n">
        <v>45899</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22398-2025</t>
        </is>
      </c>
      <c r="B286" s="1" t="n">
        <v>45786.52931712963</v>
      </c>
      <c r="C286" s="1" t="n">
        <v>45899</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22399-2025</t>
        </is>
      </c>
      <c r="B287" s="1" t="n">
        <v>45786.52996527778</v>
      </c>
      <c r="C287" s="1" t="n">
        <v>45899</v>
      </c>
      <c r="D287" t="inlineStr">
        <is>
          <t>KALMAR LÄN</t>
        </is>
      </c>
      <c r="E287" t="inlineStr">
        <is>
          <t>VIMMERBY</t>
        </is>
      </c>
      <c r="G287" t="n">
        <v>2.1</v>
      </c>
      <c r="H287" t="n">
        <v>0</v>
      </c>
      <c r="I287" t="n">
        <v>0</v>
      </c>
      <c r="J287" t="n">
        <v>0</v>
      </c>
      <c r="K287" t="n">
        <v>0</v>
      </c>
      <c r="L287" t="n">
        <v>0</v>
      </c>
      <c r="M287" t="n">
        <v>0</v>
      </c>
      <c r="N287" t="n">
        <v>0</v>
      </c>
      <c r="O287" t="n">
        <v>0</v>
      </c>
      <c r="P287" t="n">
        <v>0</v>
      </c>
      <c r="Q287" t="n">
        <v>0</v>
      </c>
      <c r="R287" s="2" t="inlineStr"/>
    </row>
    <row r="288" ht="15" customHeight="1">
      <c r="A288" t="inlineStr">
        <is>
          <t>A 9416-2024</t>
        </is>
      </c>
      <c r="B288" s="1" t="n">
        <v>45359.44837962963</v>
      </c>
      <c r="C288" s="1" t="n">
        <v>45899</v>
      </c>
      <c r="D288" t="inlineStr">
        <is>
          <t>KALMAR LÄN</t>
        </is>
      </c>
      <c r="E288" t="inlineStr">
        <is>
          <t>VIMMERBY</t>
        </is>
      </c>
      <c r="G288" t="n">
        <v>3.2</v>
      </c>
      <c r="H288" t="n">
        <v>0</v>
      </c>
      <c r="I288" t="n">
        <v>0</v>
      </c>
      <c r="J288" t="n">
        <v>0</v>
      </c>
      <c r="K288" t="n">
        <v>0</v>
      </c>
      <c r="L288" t="n">
        <v>0</v>
      </c>
      <c r="M288" t="n">
        <v>0</v>
      </c>
      <c r="N288" t="n">
        <v>0</v>
      </c>
      <c r="O288" t="n">
        <v>0</v>
      </c>
      <c r="P288" t="n">
        <v>0</v>
      </c>
      <c r="Q288" t="n">
        <v>0</v>
      </c>
      <c r="R288" s="2" t="inlineStr"/>
    </row>
    <row r="289" ht="15" customHeight="1">
      <c r="A289" t="inlineStr">
        <is>
          <t>A 58318-2021</t>
        </is>
      </c>
      <c r="B289" s="1" t="n">
        <v>44488.35878472222</v>
      </c>
      <c r="C289" s="1" t="n">
        <v>45899</v>
      </c>
      <c r="D289" t="inlineStr">
        <is>
          <t>KALMAR LÄN</t>
        </is>
      </c>
      <c r="E289" t="inlineStr">
        <is>
          <t>VIMMERBY</t>
        </is>
      </c>
      <c r="G289" t="n">
        <v>4</v>
      </c>
      <c r="H289" t="n">
        <v>0</v>
      </c>
      <c r="I289" t="n">
        <v>0</v>
      </c>
      <c r="J289" t="n">
        <v>0</v>
      </c>
      <c r="K289" t="n">
        <v>0</v>
      </c>
      <c r="L289" t="n">
        <v>0</v>
      </c>
      <c r="M289" t="n">
        <v>0</v>
      </c>
      <c r="N289" t="n">
        <v>0</v>
      </c>
      <c r="O289" t="n">
        <v>0</v>
      </c>
      <c r="P289" t="n">
        <v>0</v>
      </c>
      <c r="Q289" t="n">
        <v>0</v>
      </c>
      <c r="R289" s="2" t="inlineStr"/>
    </row>
    <row r="290" ht="15" customHeight="1">
      <c r="A290" t="inlineStr">
        <is>
          <t>A 53083-2021</t>
        </is>
      </c>
      <c r="B290" s="1" t="n">
        <v>44467.83386574074</v>
      </c>
      <c r="C290" s="1" t="n">
        <v>45899</v>
      </c>
      <c r="D290" t="inlineStr">
        <is>
          <t>KALMAR LÄN</t>
        </is>
      </c>
      <c r="E290" t="inlineStr">
        <is>
          <t>VIMMERBY</t>
        </is>
      </c>
      <c r="G290" t="n">
        <v>6.8</v>
      </c>
      <c r="H290" t="n">
        <v>0</v>
      </c>
      <c r="I290" t="n">
        <v>0</v>
      </c>
      <c r="J290" t="n">
        <v>0</v>
      </c>
      <c r="K290" t="n">
        <v>0</v>
      </c>
      <c r="L290" t="n">
        <v>0</v>
      </c>
      <c r="M290" t="n">
        <v>0</v>
      </c>
      <c r="N290" t="n">
        <v>0</v>
      </c>
      <c r="O290" t="n">
        <v>0</v>
      </c>
      <c r="P290" t="n">
        <v>0</v>
      </c>
      <c r="Q290" t="n">
        <v>0</v>
      </c>
      <c r="R290" s="2" t="inlineStr"/>
    </row>
    <row r="291" ht="15" customHeight="1">
      <c r="A291" t="inlineStr">
        <is>
          <t>A 29173-2024</t>
        </is>
      </c>
      <c r="B291" s="1" t="n">
        <v>45482.52887731481</v>
      </c>
      <c r="C291" s="1" t="n">
        <v>45899</v>
      </c>
      <c r="D291" t="inlineStr">
        <is>
          <t>KALMAR LÄN</t>
        </is>
      </c>
      <c r="E291" t="inlineStr">
        <is>
          <t>VIMMERBY</t>
        </is>
      </c>
      <c r="G291" t="n">
        <v>0.6</v>
      </c>
      <c r="H291" t="n">
        <v>0</v>
      </c>
      <c r="I291" t="n">
        <v>0</v>
      </c>
      <c r="J291" t="n">
        <v>0</v>
      </c>
      <c r="K291" t="n">
        <v>0</v>
      </c>
      <c r="L291" t="n">
        <v>0</v>
      </c>
      <c r="M291" t="n">
        <v>0</v>
      </c>
      <c r="N291" t="n">
        <v>0</v>
      </c>
      <c r="O291" t="n">
        <v>0</v>
      </c>
      <c r="P291" t="n">
        <v>0</v>
      </c>
      <c r="Q291" t="n">
        <v>0</v>
      </c>
      <c r="R291" s="2" t="inlineStr"/>
    </row>
    <row r="292" ht="15" customHeight="1">
      <c r="A292" t="inlineStr">
        <is>
          <t>A 11111-2024</t>
        </is>
      </c>
      <c r="B292" s="1" t="n">
        <v>45371.36359953704</v>
      </c>
      <c r="C292" s="1" t="n">
        <v>45899</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37187-2024</t>
        </is>
      </c>
      <c r="B293" s="1" t="n">
        <v>45539.65212962963</v>
      </c>
      <c r="C293" s="1" t="n">
        <v>45899</v>
      </c>
      <c r="D293" t="inlineStr">
        <is>
          <t>KALMAR LÄN</t>
        </is>
      </c>
      <c r="E293" t="inlineStr">
        <is>
          <t>VIMMERBY</t>
        </is>
      </c>
      <c r="G293" t="n">
        <v>2.7</v>
      </c>
      <c r="H293" t="n">
        <v>0</v>
      </c>
      <c r="I293" t="n">
        <v>0</v>
      </c>
      <c r="J293" t="n">
        <v>0</v>
      </c>
      <c r="K293" t="n">
        <v>0</v>
      </c>
      <c r="L293" t="n">
        <v>0</v>
      </c>
      <c r="M293" t="n">
        <v>0</v>
      </c>
      <c r="N293" t="n">
        <v>0</v>
      </c>
      <c r="O293" t="n">
        <v>0</v>
      </c>
      <c r="P293" t="n">
        <v>0</v>
      </c>
      <c r="Q293" t="n">
        <v>0</v>
      </c>
      <c r="R293" s="2" t="inlineStr"/>
    </row>
    <row r="294" ht="15" customHeight="1">
      <c r="A294" t="inlineStr">
        <is>
          <t>A 11141-2024</t>
        </is>
      </c>
      <c r="B294" s="1" t="n">
        <v>45371.45865740741</v>
      </c>
      <c r="C294" s="1" t="n">
        <v>45899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9418-2024</t>
        </is>
      </c>
      <c r="B295" s="1" t="n">
        <v>45359.45038194444</v>
      </c>
      <c r="C295" s="1" t="n">
        <v>45899</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49313-2022</t>
        </is>
      </c>
      <c r="B296" s="1" t="n">
        <v>44861.52505787037</v>
      </c>
      <c r="C296" s="1" t="n">
        <v>45899</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35998-2024</t>
        </is>
      </c>
      <c r="B297" s="1" t="n">
        <v>45533.54429398148</v>
      </c>
      <c r="C297" s="1" t="n">
        <v>45899</v>
      </c>
      <c r="D297" t="inlineStr">
        <is>
          <t>KALMAR LÄN</t>
        </is>
      </c>
      <c r="E297" t="inlineStr">
        <is>
          <t>VIMMERBY</t>
        </is>
      </c>
      <c r="G297" t="n">
        <v>8.6</v>
      </c>
      <c r="H297" t="n">
        <v>0</v>
      </c>
      <c r="I297" t="n">
        <v>0</v>
      </c>
      <c r="J297" t="n">
        <v>0</v>
      </c>
      <c r="K297" t="n">
        <v>0</v>
      </c>
      <c r="L297" t="n">
        <v>0</v>
      </c>
      <c r="M297" t="n">
        <v>0</v>
      </c>
      <c r="N297" t="n">
        <v>0</v>
      </c>
      <c r="O297" t="n">
        <v>0</v>
      </c>
      <c r="P297" t="n">
        <v>0</v>
      </c>
      <c r="Q297" t="n">
        <v>0</v>
      </c>
      <c r="R297" s="2" t="inlineStr"/>
    </row>
    <row r="298" ht="15" customHeight="1">
      <c r="A298" t="inlineStr">
        <is>
          <t>A 36040-2024</t>
        </is>
      </c>
      <c r="B298" s="1" t="n">
        <v>45533.60232638889</v>
      </c>
      <c r="C298" s="1" t="n">
        <v>45899</v>
      </c>
      <c r="D298" t="inlineStr">
        <is>
          <t>KALMAR LÄN</t>
        </is>
      </c>
      <c r="E298" t="inlineStr">
        <is>
          <t>VIMMERBY</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36043-2024</t>
        </is>
      </c>
      <c r="B299" s="1" t="n">
        <v>45533.60770833334</v>
      </c>
      <c r="C299" s="1" t="n">
        <v>45899</v>
      </c>
      <c r="D299" t="inlineStr">
        <is>
          <t>KALMAR LÄN</t>
        </is>
      </c>
      <c r="E299" t="inlineStr">
        <is>
          <t>VIMMERBY</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22197-2024</t>
        </is>
      </c>
      <c r="B300" s="1" t="n">
        <v>45446.36774305555</v>
      </c>
      <c r="C300" s="1" t="n">
        <v>45899</v>
      </c>
      <c r="D300" t="inlineStr">
        <is>
          <t>KALMAR LÄN</t>
        </is>
      </c>
      <c r="E300" t="inlineStr">
        <is>
          <t>VIMMERBY</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35710-2023</t>
        </is>
      </c>
      <c r="B301" s="1" t="n">
        <v>45147.67096064815</v>
      </c>
      <c r="C301" s="1" t="n">
        <v>45899</v>
      </c>
      <c r="D301" t="inlineStr">
        <is>
          <t>KALMAR LÄN</t>
        </is>
      </c>
      <c r="E301" t="inlineStr">
        <is>
          <t>VIMMERBY</t>
        </is>
      </c>
      <c r="G301" t="n">
        <v>3.1</v>
      </c>
      <c r="H301" t="n">
        <v>0</v>
      </c>
      <c r="I301" t="n">
        <v>0</v>
      </c>
      <c r="J301" t="n">
        <v>0</v>
      </c>
      <c r="K301" t="n">
        <v>0</v>
      </c>
      <c r="L301" t="n">
        <v>0</v>
      </c>
      <c r="M301" t="n">
        <v>0</v>
      </c>
      <c r="N301" t="n">
        <v>0</v>
      </c>
      <c r="O301" t="n">
        <v>0</v>
      </c>
      <c r="P301" t="n">
        <v>0</v>
      </c>
      <c r="Q301" t="n">
        <v>0</v>
      </c>
      <c r="R301" s="2" t="inlineStr"/>
    </row>
    <row r="302" ht="15" customHeight="1">
      <c r="A302" t="inlineStr">
        <is>
          <t>A 35711-2023</t>
        </is>
      </c>
      <c r="B302" s="1" t="n">
        <v>45147.67172453704</v>
      </c>
      <c r="C302" s="1" t="n">
        <v>45899</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22397-2025</t>
        </is>
      </c>
      <c r="B303" s="1" t="n">
        <v>45786.52878472222</v>
      </c>
      <c r="C303" s="1" t="n">
        <v>45899</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12630-2023</t>
        </is>
      </c>
      <c r="B304" s="1" t="n">
        <v>45000.47998842593</v>
      </c>
      <c r="C304" s="1" t="n">
        <v>45899</v>
      </c>
      <c r="D304" t="inlineStr">
        <is>
          <t>KALMAR LÄN</t>
        </is>
      </c>
      <c r="E304" t="inlineStr">
        <is>
          <t>VIMMERBY</t>
        </is>
      </c>
      <c r="G304" t="n">
        <v>2.1</v>
      </c>
      <c r="H304" t="n">
        <v>0</v>
      </c>
      <c r="I304" t="n">
        <v>0</v>
      </c>
      <c r="J304" t="n">
        <v>0</v>
      </c>
      <c r="K304" t="n">
        <v>0</v>
      </c>
      <c r="L304" t="n">
        <v>0</v>
      </c>
      <c r="M304" t="n">
        <v>0</v>
      </c>
      <c r="N304" t="n">
        <v>0</v>
      </c>
      <c r="O304" t="n">
        <v>0</v>
      </c>
      <c r="P304" t="n">
        <v>0</v>
      </c>
      <c r="Q304" t="n">
        <v>0</v>
      </c>
      <c r="R304" s="2" t="inlineStr"/>
    </row>
    <row r="305" ht="15" customHeight="1">
      <c r="A305" t="inlineStr">
        <is>
          <t>A 39584-2024</t>
        </is>
      </c>
      <c r="B305" s="1" t="n">
        <v>45552.36759259259</v>
      </c>
      <c r="C305" s="1" t="n">
        <v>45899</v>
      </c>
      <c r="D305" t="inlineStr">
        <is>
          <t>KALMAR LÄN</t>
        </is>
      </c>
      <c r="E305" t="inlineStr">
        <is>
          <t>VIMMERBY</t>
        </is>
      </c>
      <c r="G305" t="n">
        <v>1.9</v>
      </c>
      <c r="H305" t="n">
        <v>0</v>
      </c>
      <c r="I305" t="n">
        <v>0</v>
      </c>
      <c r="J305" t="n">
        <v>0</v>
      </c>
      <c r="K305" t="n">
        <v>0</v>
      </c>
      <c r="L305" t="n">
        <v>0</v>
      </c>
      <c r="M305" t="n">
        <v>0</v>
      </c>
      <c r="N305" t="n">
        <v>0</v>
      </c>
      <c r="O305" t="n">
        <v>0</v>
      </c>
      <c r="P305" t="n">
        <v>0</v>
      </c>
      <c r="Q305" t="n">
        <v>0</v>
      </c>
      <c r="R305" s="2" t="inlineStr"/>
    </row>
    <row r="306" ht="15" customHeight="1">
      <c r="A306" t="inlineStr">
        <is>
          <t>A 27705-2023</t>
        </is>
      </c>
      <c r="B306" s="1" t="n">
        <v>45098.30535879629</v>
      </c>
      <c r="C306" s="1" t="n">
        <v>45899</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31013-2023</t>
        </is>
      </c>
      <c r="B307" s="1" t="n">
        <v>45113.56574074074</v>
      </c>
      <c r="C307" s="1" t="n">
        <v>45899</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15388-2025</t>
        </is>
      </c>
      <c r="B308" s="1" t="n">
        <v>45747.42633101852</v>
      </c>
      <c r="C308" s="1" t="n">
        <v>45899</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15391-2025</t>
        </is>
      </c>
      <c r="B309" s="1" t="n">
        <v>45747.42958333333</v>
      </c>
      <c r="C309" s="1" t="n">
        <v>45899</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11303-2025</t>
        </is>
      </c>
      <c r="B310" s="1" t="n">
        <v>45726.44471064815</v>
      </c>
      <c r="C310" s="1" t="n">
        <v>45899</v>
      </c>
      <c r="D310" t="inlineStr">
        <is>
          <t>KALMAR LÄN</t>
        </is>
      </c>
      <c r="E310" t="inlineStr">
        <is>
          <t>VIMMERBY</t>
        </is>
      </c>
      <c r="G310" t="n">
        <v>2.1</v>
      </c>
      <c r="H310" t="n">
        <v>0</v>
      </c>
      <c r="I310" t="n">
        <v>0</v>
      </c>
      <c r="J310" t="n">
        <v>0</v>
      </c>
      <c r="K310" t="n">
        <v>0</v>
      </c>
      <c r="L310" t="n">
        <v>0</v>
      </c>
      <c r="M310" t="n">
        <v>0</v>
      </c>
      <c r="N310" t="n">
        <v>0</v>
      </c>
      <c r="O310" t="n">
        <v>0</v>
      </c>
      <c r="P310" t="n">
        <v>0</v>
      </c>
      <c r="Q310" t="n">
        <v>0</v>
      </c>
      <c r="R310" s="2" t="inlineStr"/>
    </row>
    <row r="311" ht="15" customHeight="1">
      <c r="A311" t="inlineStr">
        <is>
          <t>A 11442-2025</t>
        </is>
      </c>
      <c r="B311" s="1" t="n">
        <v>45726.62721064815</v>
      </c>
      <c r="C311" s="1" t="n">
        <v>45899</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6307-2025</t>
        </is>
      </c>
      <c r="B312" s="1" t="n">
        <v>45698.69016203703</v>
      </c>
      <c r="C312" s="1" t="n">
        <v>45899</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45526.3865625</v>
      </c>
      <c r="C313" s="1" t="n">
        <v>45899</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33352-2022</t>
        </is>
      </c>
      <c r="B314" s="1" t="n">
        <v>44788</v>
      </c>
      <c r="C314" s="1" t="n">
        <v>45899</v>
      </c>
      <c r="D314" t="inlineStr">
        <is>
          <t>KALMAR LÄN</t>
        </is>
      </c>
      <c r="E314" t="inlineStr">
        <is>
          <t>VIMMERBY</t>
        </is>
      </c>
      <c r="G314" t="n">
        <v>0.8</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45899</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46234-2024</t>
        </is>
      </c>
      <c r="B316" s="1" t="n">
        <v>45581.57958333333</v>
      </c>
      <c r="C316" s="1" t="n">
        <v>45899</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39053-2024</t>
        </is>
      </c>
      <c r="B317" s="1" t="n">
        <v>45548</v>
      </c>
      <c r="C317" s="1" t="n">
        <v>45899</v>
      </c>
      <c r="D317" t="inlineStr">
        <is>
          <t>KALMAR LÄN</t>
        </is>
      </c>
      <c r="E317" t="inlineStr">
        <is>
          <t>VIMMERBY</t>
        </is>
      </c>
      <c r="G317" t="n">
        <v>5</v>
      </c>
      <c r="H317" t="n">
        <v>0</v>
      </c>
      <c r="I317" t="n">
        <v>0</v>
      </c>
      <c r="J317" t="n">
        <v>0</v>
      </c>
      <c r="K317" t="n">
        <v>0</v>
      </c>
      <c r="L317" t="n">
        <v>0</v>
      </c>
      <c r="M317" t="n">
        <v>0</v>
      </c>
      <c r="N317" t="n">
        <v>0</v>
      </c>
      <c r="O317" t="n">
        <v>0</v>
      </c>
      <c r="P317" t="n">
        <v>0</v>
      </c>
      <c r="Q317" t="n">
        <v>0</v>
      </c>
      <c r="R317" s="2" t="inlineStr"/>
    </row>
    <row r="318" ht="15" customHeight="1">
      <c r="A318" t="inlineStr">
        <is>
          <t>A 15449-2023</t>
        </is>
      </c>
      <c r="B318" s="1" t="n">
        <v>45020</v>
      </c>
      <c r="C318" s="1" t="n">
        <v>45899</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43594-2024</t>
        </is>
      </c>
      <c r="B319" s="1" t="n">
        <v>45569.44295138889</v>
      </c>
      <c r="C319" s="1" t="n">
        <v>45899</v>
      </c>
      <c r="D319" t="inlineStr">
        <is>
          <t>KALMAR LÄN</t>
        </is>
      </c>
      <c r="E319" t="inlineStr">
        <is>
          <t>VIMMERBY</t>
        </is>
      </c>
      <c r="G319" t="n">
        <v>3.9</v>
      </c>
      <c r="H319" t="n">
        <v>0</v>
      </c>
      <c r="I319" t="n">
        <v>0</v>
      </c>
      <c r="J319" t="n">
        <v>0</v>
      </c>
      <c r="K319" t="n">
        <v>0</v>
      </c>
      <c r="L319" t="n">
        <v>0</v>
      </c>
      <c r="M319" t="n">
        <v>0</v>
      </c>
      <c r="N319" t="n">
        <v>0</v>
      </c>
      <c r="O319" t="n">
        <v>0</v>
      </c>
      <c r="P319" t="n">
        <v>0</v>
      </c>
      <c r="Q319" t="n">
        <v>0</v>
      </c>
      <c r="R319" s="2" t="inlineStr"/>
    </row>
    <row r="320" ht="15" customHeight="1">
      <c r="A320" t="inlineStr">
        <is>
          <t>A 17486-2024</t>
        </is>
      </c>
      <c r="B320" s="1" t="n">
        <v>45415.48979166667</v>
      </c>
      <c r="C320" s="1" t="n">
        <v>45899</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14248-2023</t>
        </is>
      </c>
      <c r="B321" s="1" t="n">
        <v>45009</v>
      </c>
      <c r="C321" s="1" t="n">
        <v>45899</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23394-2025</t>
        </is>
      </c>
      <c r="B322" s="1" t="n">
        <v>45791.89865740741</v>
      </c>
      <c r="C322" s="1" t="n">
        <v>45899</v>
      </c>
      <c r="D322" t="inlineStr">
        <is>
          <t>KALMAR LÄN</t>
        </is>
      </c>
      <c r="E322" t="inlineStr">
        <is>
          <t>VIMMERBY</t>
        </is>
      </c>
      <c r="G322" t="n">
        <v>3.1</v>
      </c>
      <c r="H322" t="n">
        <v>0</v>
      </c>
      <c r="I322" t="n">
        <v>0</v>
      </c>
      <c r="J322" t="n">
        <v>0</v>
      </c>
      <c r="K322" t="n">
        <v>0</v>
      </c>
      <c r="L322" t="n">
        <v>0</v>
      </c>
      <c r="M322" t="n">
        <v>0</v>
      </c>
      <c r="N322" t="n">
        <v>0</v>
      </c>
      <c r="O322" t="n">
        <v>0</v>
      </c>
      <c r="P322" t="n">
        <v>0</v>
      </c>
      <c r="Q322" t="n">
        <v>0</v>
      </c>
      <c r="R322" s="2" t="inlineStr"/>
    </row>
    <row r="323" ht="15" customHeight="1">
      <c r="A323" t="inlineStr">
        <is>
          <t>A 30400-2023</t>
        </is>
      </c>
      <c r="B323" s="1" t="n">
        <v>45111.48225694444</v>
      </c>
      <c r="C323" s="1" t="n">
        <v>45899</v>
      </c>
      <c r="D323" t="inlineStr">
        <is>
          <t>KALMAR LÄN</t>
        </is>
      </c>
      <c r="E323" t="inlineStr">
        <is>
          <t>VIMMERBY</t>
        </is>
      </c>
      <c r="G323" t="n">
        <v>2.7</v>
      </c>
      <c r="H323" t="n">
        <v>0</v>
      </c>
      <c r="I323" t="n">
        <v>0</v>
      </c>
      <c r="J323" t="n">
        <v>0</v>
      </c>
      <c r="K323" t="n">
        <v>0</v>
      </c>
      <c r="L323" t="n">
        <v>0</v>
      </c>
      <c r="M323" t="n">
        <v>0</v>
      </c>
      <c r="N323" t="n">
        <v>0</v>
      </c>
      <c r="O323" t="n">
        <v>0</v>
      </c>
      <c r="P323" t="n">
        <v>0</v>
      </c>
      <c r="Q323" t="n">
        <v>0</v>
      </c>
      <c r="R323" s="2" t="inlineStr"/>
    </row>
    <row r="324" ht="15" customHeight="1">
      <c r="A324" t="inlineStr">
        <is>
          <t>A 30404-2023</t>
        </is>
      </c>
      <c r="B324" s="1" t="n">
        <v>45111.48636574074</v>
      </c>
      <c r="C324" s="1" t="n">
        <v>45899</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55123-2024</t>
        </is>
      </c>
      <c r="B325" s="1" t="n">
        <v>45621.46103009259</v>
      </c>
      <c r="C325" s="1" t="n">
        <v>45899</v>
      </c>
      <c r="D325" t="inlineStr">
        <is>
          <t>KALMAR LÄN</t>
        </is>
      </c>
      <c r="E325" t="inlineStr">
        <is>
          <t>VIMMERBY</t>
        </is>
      </c>
      <c r="G325" t="n">
        <v>3.1</v>
      </c>
      <c r="H325" t="n">
        <v>0</v>
      </c>
      <c r="I325" t="n">
        <v>0</v>
      </c>
      <c r="J325" t="n">
        <v>0</v>
      </c>
      <c r="K325" t="n">
        <v>0</v>
      </c>
      <c r="L325" t="n">
        <v>0</v>
      </c>
      <c r="M325" t="n">
        <v>0</v>
      </c>
      <c r="N325" t="n">
        <v>0</v>
      </c>
      <c r="O325" t="n">
        <v>0</v>
      </c>
      <c r="P325" t="n">
        <v>0</v>
      </c>
      <c r="Q325" t="n">
        <v>0</v>
      </c>
      <c r="R325" s="2" t="inlineStr"/>
    </row>
    <row r="326" ht="15" customHeight="1">
      <c r="A326" t="inlineStr">
        <is>
          <t>A 31405-2023</t>
        </is>
      </c>
      <c r="B326" s="1" t="n">
        <v>45114.58148148148</v>
      </c>
      <c r="C326" s="1" t="n">
        <v>45899</v>
      </c>
      <c r="D326" t="inlineStr">
        <is>
          <t>KALMAR LÄN</t>
        </is>
      </c>
      <c r="E326" t="inlineStr">
        <is>
          <t>VIMMERBY</t>
        </is>
      </c>
      <c r="G326" t="n">
        <v>2.6</v>
      </c>
      <c r="H326" t="n">
        <v>0</v>
      </c>
      <c r="I326" t="n">
        <v>0</v>
      </c>
      <c r="J326" t="n">
        <v>0</v>
      </c>
      <c r="K326" t="n">
        <v>0</v>
      </c>
      <c r="L326" t="n">
        <v>0</v>
      </c>
      <c r="M326" t="n">
        <v>0</v>
      </c>
      <c r="N326" t="n">
        <v>0</v>
      </c>
      <c r="O326" t="n">
        <v>0</v>
      </c>
      <c r="P326" t="n">
        <v>0</v>
      </c>
      <c r="Q326" t="n">
        <v>0</v>
      </c>
      <c r="R326" s="2" t="inlineStr"/>
    </row>
    <row r="327" ht="15" customHeight="1">
      <c r="A327" t="inlineStr">
        <is>
          <t>A 24707-2024</t>
        </is>
      </c>
      <c r="B327" s="1" t="n">
        <v>45460.62172453704</v>
      </c>
      <c r="C327" s="1" t="n">
        <v>45899</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36049-2024</t>
        </is>
      </c>
      <c r="B328" s="1" t="n">
        <v>45533.61996527778</v>
      </c>
      <c r="C328" s="1" t="n">
        <v>45899</v>
      </c>
      <c r="D328" t="inlineStr">
        <is>
          <t>KALMAR LÄN</t>
        </is>
      </c>
      <c r="E328" t="inlineStr">
        <is>
          <t>VIMMERBY</t>
        </is>
      </c>
      <c r="F328" t="inlineStr">
        <is>
          <t>Kommuner</t>
        </is>
      </c>
      <c r="G328" t="n">
        <v>2.6</v>
      </c>
      <c r="H328" t="n">
        <v>0</v>
      </c>
      <c r="I328" t="n">
        <v>0</v>
      </c>
      <c r="J328" t="n">
        <v>0</v>
      </c>
      <c r="K328" t="n">
        <v>0</v>
      </c>
      <c r="L328" t="n">
        <v>0</v>
      </c>
      <c r="M328" t="n">
        <v>0</v>
      </c>
      <c r="N328" t="n">
        <v>0</v>
      </c>
      <c r="O328" t="n">
        <v>0</v>
      </c>
      <c r="P328" t="n">
        <v>0</v>
      </c>
      <c r="Q328" t="n">
        <v>0</v>
      </c>
      <c r="R328" s="2" t="inlineStr"/>
    </row>
    <row r="329" ht="15" customHeight="1">
      <c r="A329" t="inlineStr">
        <is>
          <t>A 43998-2020</t>
        </is>
      </c>
      <c r="B329" s="1" t="n">
        <v>44083</v>
      </c>
      <c r="C329" s="1" t="n">
        <v>45899</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3331-2023</t>
        </is>
      </c>
      <c r="B330" s="1" t="n">
        <v>44949</v>
      </c>
      <c r="C330" s="1" t="n">
        <v>45899</v>
      </c>
      <c r="D330" t="inlineStr">
        <is>
          <t>KALMAR LÄN</t>
        </is>
      </c>
      <c r="E330" t="inlineStr">
        <is>
          <t>VIMMERBY</t>
        </is>
      </c>
      <c r="G330" t="n">
        <v>6.2</v>
      </c>
      <c r="H330" t="n">
        <v>0</v>
      </c>
      <c r="I330" t="n">
        <v>0</v>
      </c>
      <c r="J330" t="n">
        <v>0</v>
      </c>
      <c r="K330" t="n">
        <v>0</v>
      </c>
      <c r="L330" t="n">
        <v>0</v>
      </c>
      <c r="M330" t="n">
        <v>0</v>
      </c>
      <c r="N330" t="n">
        <v>0</v>
      </c>
      <c r="O330" t="n">
        <v>0</v>
      </c>
      <c r="P330" t="n">
        <v>0</v>
      </c>
      <c r="Q330" t="n">
        <v>0</v>
      </c>
      <c r="R330" s="2" t="inlineStr"/>
    </row>
    <row r="331" ht="15" customHeight="1">
      <c r="A331" t="inlineStr">
        <is>
          <t>A 40828-2023</t>
        </is>
      </c>
      <c r="B331" s="1" t="n">
        <v>45171.96248842592</v>
      </c>
      <c r="C331" s="1" t="n">
        <v>45899</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58159-2024</t>
        </is>
      </c>
      <c r="B332" s="1" t="n">
        <v>45632.44886574074</v>
      </c>
      <c r="C332" s="1" t="n">
        <v>45899</v>
      </c>
      <c r="D332" t="inlineStr">
        <is>
          <t>KALMAR LÄN</t>
        </is>
      </c>
      <c r="E332" t="inlineStr">
        <is>
          <t>VIMMERBY</t>
        </is>
      </c>
      <c r="G332" t="n">
        <v>7.5</v>
      </c>
      <c r="H332" t="n">
        <v>0</v>
      </c>
      <c r="I332" t="n">
        <v>0</v>
      </c>
      <c r="J332" t="n">
        <v>0</v>
      </c>
      <c r="K332" t="n">
        <v>0</v>
      </c>
      <c r="L332" t="n">
        <v>0</v>
      </c>
      <c r="M332" t="n">
        <v>0</v>
      </c>
      <c r="N332" t="n">
        <v>0</v>
      </c>
      <c r="O332" t="n">
        <v>0</v>
      </c>
      <c r="P332" t="n">
        <v>0</v>
      </c>
      <c r="Q332" t="n">
        <v>0</v>
      </c>
      <c r="R332" s="2" t="inlineStr"/>
    </row>
    <row r="333" ht="15" customHeight="1">
      <c r="A333" t="inlineStr">
        <is>
          <t>A 16734-2023</t>
        </is>
      </c>
      <c r="B333" s="1" t="n">
        <v>45030.71012731481</v>
      </c>
      <c r="C333" s="1" t="n">
        <v>45899</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14359-2025</t>
        </is>
      </c>
      <c r="B334" s="1" t="n">
        <v>45741.37270833334</v>
      </c>
      <c r="C334" s="1" t="n">
        <v>45899</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23984-2025</t>
        </is>
      </c>
      <c r="B335" s="1" t="n">
        <v>45796</v>
      </c>
      <c r="C335" s="1" t="n">
        <v>45899</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64143-2021</t>
        </is>
      </c>
      <c r="B336" s="1" t="n">
        <v>44510.52157407408</v>
      </c>
      <c r="C336" s="1" t="n">
        <v>45899</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9720-2023</t>
        </is>
      </c>
      <c r="B337" s="1" t="n">
        <v>44984</v>
      </c>
      <c r="C337" s="1" t="n">
        <v>45899</v>
      </c>
      <c r="D337" t="inlineStr">
        <is>
          <t>KALMAR LÄN</t>
        </is>
      </c>
      <c r="E337" t="inlineStr">
        <is>
          <t>VIMMERBY</t>
        </is>
      </c>
      <c r="G337" t="n">
        <v>4.4</v>
      </c>
      <c r="H337" t="n">
        <v>0</v>
      </c>
      <c r="I337" t="n">
        <v>0</v>
      </c>
      <c r="J337" t="n">
        <v>0</v>
      </c>
      <c r="K337" t="n">
        <v>0</v>
      </c>
      <c r="L337" t="n">
        <v>0</v>
      </c>
      <c r="M337" t="n">
        <v>0</v>
      </c>
      <c r="N337" t="n">
        <v>0</v>
      </c>
      <c r="O337" t="n">
        <v>0</v>
      </c>
      <c r="P337" t="n">
        <v>0</v>
      </c>
      <c r="Q337" t="n">
        <v>0</v>
      </c>
      <c r="R337" s="2" t="inlineStr"/>
    </row>
    <row r="338" ht="15" customHeight="1">
      <c r="A338" t="inlineStr">
        <is>
          <t>A 5938-2022</t>
        </is>
      </c>
      <c r="B338" s="1" t="n">
        <v>44598</v>
      </c>
      <c r="C338" s="1" t="n">
        <v>45899</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1687-2023</t>
        </is>
      </c>
      <c r="B339" s="1" t="n">
        <v>44938</v>
      </c>
      <c r="C339" s="1" t="n">
        <v>45899</v>
      </c>
      <c r="D339" t="inlineStr">
        <is>
          <t>KALMAR LÄN</t>
        </is>
      </c>
      <c r="E339" t="inlineStr">
        <is>
          <t>VIMMERBY</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29440-2024</t>
        </is>
      </c>
      <c r="B340" s="1" t="n">
        <v>45483.82479166667</v>
      </c>
      <c r="C340" s="1" t="n">
        <v>45899</v>
      </c>
      <c r="D340" t="inlineStr">
        <is>
          <t>KALMAR LÄN</t>
        </is>
      </c>
      <c r="E340" t="inlineStr">
        <is>
          <t>VIMMERBY</t>
        </is>
      </c>
      <c r="G340" t="n">
        <v>4.5</v>
      </c>
      <c r="H340" t="n">
        <v>0</v>
      </c>
      <c r="I340" t="n">
        <v>0</v>
      </c>
      <c r="J340" t="n">
        <v>0</v>
      </c>
      <c r="K340" t="n">
        <v>0</v>
      </c>
      <c r="L340" t="n">
        <v>0</v>
      </c>
      <c r="M340" t="n">
        <v>0</v>
      </c>
      <c r="N340" t="n">
        <v>0</v>
      </c>
      <c r="O340" t="n">
        <v>0</v>
      </c>
      <c r="P340" t="n">
        <v>0</v>
      </c>
      <c r="Q340" t="n">
        <v>0</v>
      </c>
      <c r="R340" s="2" t="inlineStr"/>
    </row>
    <row r="341" ht="15" customHeight="1">
      <c r="A341" t="inlineStr">
        <is>
          <t>A 30921-2024</t>
        </is>
      </c>
      <c r="B341" s="1" t="n">
        <v>45498</v>
      </c>
      <c r="C341" s="1" t="n">
        <v>45899</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39578-2024</t>
        </is>
      </c>
      <c r="B342" s="1" t="n">
        <v>45552.36484953704</v>
      </c>
      <c r="C342" s="1" t="n">
        <v>45899</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53482-2022</t>
        </is>
      </c>
      <c r="B343" s="1" t="n">
        <v>44879</v>
      </c>
      <c r="C343" s="1" t="n">
        <v>45899</v>
      </c>
      <c r="D343" t="inlineStr">
        <is>
          <t>KALMAR LÄN</t>
        </is>
      </c>
      <c r="E343" t="inlineStr">
        <is>
          <t>VIMMERBY</t>
        </is>
      </c>
      <c r="G343" t="n">
        <v>10.1</v>
      </c>
      <c r="H343" t="n">
        <v>0</v>
      </c>
      <c r="I343" t="n">
        <v>0</v>
      </c>
      <c r="J343" t="n">
        <v>0</v>
      </c>
      <c r="K343" t="n">
        <v>0</v>
      </c>
      <c r="L343" t="n">
        <v>0</v>
      </c>
      <c r="M343" t="n">
        <v>0</v>
      </c>
      <c r="N343" t="n">
        <v>0</v>
      </c>
      <c r="O343" t="n">
        <v>0</v>
      </c>
      <c r="P343" t="n">
        <v>0</v>
      </c>
      <c r="Q343" t="n">
        <v>0</v>
      </c>
      <c r="R343" s="2" t="inlineStr"/>
    </row>
    <row r="344" ht="15" customHeight="1">
      <c r="A344" t="inlineStr">
        <is>
          <t>A 62779-2023</t>
        </is>
      </c>
      <c r="B344" s="1" t="n">
        <v>45271.66576388889</v>
      </c>
      <c r="C344" s="1" t="n">
        <v>45899</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29180-2024</t>
        </is>
      </c>
      <c r="B345" s="1" t="n">
        <v>45482.54108796296</v>
      </c>
      <c r="C345" s="1" t="n">
        <v>45899</v>
      </c>
      <c r="D345" t="inlineStr">
        <is>
          <t>KALMAR LÄN</t>
        </is>
      </c>
      <c r="E345" t="inlineStr">
        <is>
          <t>VIMMERBY</t>
        </is>
      </c>
      <c r="G345" t="n">
        <v>3.8</v>
      </c>
      <c r="H345" t="n">
        <v>0</v>
      </c>
      <c r="I345" t="n">
        <v>0</v>
      </c>
      <c r="J345" t="n">
        <v>0</v>
      </c>
      <c r="K345" t="n">
        <v>0</v>
      </c>
      <c r="L345" t="n">
        <v>0</v>
      </c>
      <c r="M345" t="n">
        <v>0</v>
      </c>
      <c r="N345" t="n">
        <v>0</v>
      </c>
      <c r="O345" t="n">
        <v>0</v>
      </c>
      <c r="P345" t="n">
        <v>0</v>
      </c>
      <c r="Q345" t="n">
        <v>0</v>
      </c>
      <c r="R345" s="2" t="inlineStr"/>
    </row>
    <row r="346" ht="15" customHeight="1">
      <c r="A346" t="inlineStr">
        <is>
          <t>A 46399-2024</t>
        </is>
      </c>
      <c r="B346" s="1" t="n">
        <v>45582.41200231481</v>
      </c>
      <c r="C346" s="1" t="n">
        <v>45899</v>
      </c>
      <c r="D346" t="inlineStr">
        <is>
          <t>KALMAR LÄN</t>
        </is>
      </c>
      <c r="E346" t="inlineStr">
        <is>
          <t>VIMMERBY</t>
        </is>
      </c>
      <c r="G346" t="n">
        <v>4.6</v>
      </c>
      <c r="H346" t="n">
        <v>0</v>
      </c>
      <c r="I346" t="n">
        <v>0</v>
      </c>
      <c r="J346" t="n">
        <v>0</v>
      </c>
      <c r="K346" t="n">
        <v>0</v>
      </c>
      <c r="L346" t="n">
        <v>0</v>
      </c>
      <c r="M346" t="n">
        <v>0</v>
      </c>
      <c r="N346" t="n">
        <v>0</v>
      </c>
      <c r="O346" t="n">
        <v>0</v>
      </c>
      <c r="P346" t="n">
        <v>0</v>
      </c>
      <c r="Q346" t="n">
        <v>0</v>
      </c>
      <c r="R346" s="2" t="inlineStr"/>
    </row>
    <row r="347" ht="15" customHeight="1">
      <c r="A347" t="inlineStr">
        <is>
          <t>A 51278-2024</t>
        </is>
      </c>
      <c r="B347" s="1" t="n">
        <v>45603.74959490741</v>
      </c>
      <c r="C347" s="1" t="n">
        <v>45899</v>
      </c>
      <c r="D347" t="inlineStr">
        <is>
          <t>KALMAR LÄN</t>
        </is>
      </c>
      <c r="E347" t="inlineStr">
        <is>
          <t>VIMMERBY</t>
        </is>
      </c>
      <c r="G347" t="n">
        <v>3.4</v>
      </c>
      <c r="H347" t="n">
        <v>0</v>
      </c>
      <c r="I347" t="n">
        <v>0</v>
      </c>
      <c r="J347" t="n">
        <v>0</v>
      </c>
      <c r="K347" t="n">
        <v>0</v>
      </c>
      <c r="L347" t="n">
        <v>0</v>
      </c>
      <c r="M347" t="n">
        <v>0</v>
      </c>
      <c r="N347" t="n">
        <v>0</v>
      </c>
      <c r="O347" t="n">
        <v>0</v>
      </c>
      <c r="P347" t="n">
        <v>0</v>
      </c>
      <c r="Q347" t="n">
        <v>0</v>
      </c>
      <c r="R347" s="2" t="inlineStr"/>
    </row>
    <row r="348" ht="15" customHeight="1">
      <c r="A348" t="inlineStr">
        <is>
          <t>A 29783-2024</t>
        </is>
      </c>
      <c r="B348" s="1" t="n">
        <v>45485.45778935185</v>
      </c>
      <c r="C348" s="1" t="n">
        <v>45899</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3425-2022</t>
        </is>
      </c>
      <c r="B349" s="1" t="n">
        <v>44585.51060185185</v>
      </c>
      <c r="C349" s="1" t="n">
        <v>45899</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43962-2024</t>
        </is>
      </c>
      <c r="B350" s="1" t="n">
        <v>45572.48293981481</v>
      </c>
      <c r="C350" s="1" t="n">
        <v>45899</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54838-2024</t>
        </is>
      </c>
      <c r="B351" s="1" t="n">
        <v>45618.56787037037</v>
      </c>
      <c r="C351" s="1" t="n">
        <v>45899</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12810-2023</t>
        </is>
      </c>
      <c r="B352" s="1" t="n">
        <v>45001.43854166667</v>
      </c>
      <c r="C352" s="1" t="n">
        <v>45899</v>
      </c>
      <c r="D352" t="inlineStr">
        <is>
          <t>KALMAR LÄN</t>
        </is>
      </c>
      <c r="E352" t="inlineStr">
        <is>
          <t>VIMMERBY</t>
        </is>
      </c>
      <c r="G352" t="n">
        <v>1.5</v>
      </c>
      <c r="H352" t="n">
        <v>0</v>
      </c>
      <c r="I352" t="n">
        <v>0</v>
      </c>
      <c r="J352" t="n">
        <v>0</v>
      </c>
      <c r="K352" t="n">
        <v>0</v>
      </c>
      <c r="L352" t="n">
        <v>0</v>
      </c>
      <c r="M352" t="n">
        <v>0</v>
      </c>
      <c r="N352" t="n">
        <v>0</v>
      </c>
      <c r="O352" t="n">
        <v>0</v>
      </c>
      <c r="P352" t="n">
        <v>0</v>
      </c>
      <c r="Q352" t="n">
        <v>0</v>
      </c>
      <c r="R352" s="2" t="inlineStr"/>
    </row>
    <row r="353" ht="15" customHeight="1">
      <c r="A353" t="inlineStr">
        <is>
          <t>A 25987-2024</t>
        </is>
      </c>
      <c r="B353" s="1" t="n">
        <v>45467.74417824074</v>
      </c>
      <c r="C353" s="1" t="n">
        <v>45899</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25109-2023</t>
        </is>
      </c>
      <c r="B354" s="1" t="n">
        <v>45086</v>
      </c>
      <c r="C354" s="1" t="n">
        <v>45899</v>
      </c>
      <c r="D354" t="inlineStr">
        <is>
          <t>KALMAR LÄN</t>
        </is>
      </c>
      <c r="E354" t="inlineStr">
        <is>
          <t>VIMMERBY</t>
        </is>
      </c>
      <c r="G354" t="n">
        <v>1.5</v>
      </c>
      <c r="H354" t="n">
        <v>0</v>
      </c>
      <c r="I354" t="n">
        <v>0</v>
      </c>
      <c r="J354" t="n">
        <v>0</v>
      </c>
      <c r="K354" t="n">
        <v>0</v>
      </c>
      <c r="L354" t="n">
        <v>0</v>
      </c>
      <c r="M354" t="n">
        <v>0</v>
      </c>
      <c r="N354" t="n">
        <v>0</v>
      </c>
      <c r="O354" t="n">
        <v>0</v>
      </c>
      <c r="P354" t="n">
        <v>0</v>
      </c>
      <c r="Q354" t="n">
        <v>0</v>
      </c>
      <c r="R354" s="2" t="inlineStr"/>
    </row>
    <row r="355" ht="15" customHeight="1">
      <c r="A355" t="inlineStr">
        <is>
          <t>A 61878-2020</t>
        </is>
      </c>
      <c r="B355" s="1" t="n">
        <v>44159</v>
      </c>
      <c r="C355" s="1" t="n">
        <v>45899</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43068-2023</t>
        </is>
      </c>
      <c r="B356" s="1" t="n">
        <v>45182.78834490741</v>
      </c>
      <c r="C356" s="1" t="n">
        <v>45899</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35082-2024</t>
        </is>
      </c>
      <c r="B357" s="1" t="n">
        <v>45527.68784722222</v>
      </c>
      <c r="C357" s="1" t="n">
        <v>45899</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62023-2022</t>
        </is>
      </c>
      <c r="B358" s="1" t="n">
        <v>44918.50106481482</v>
      </c>
      <c r="C358" s="1" t="n">
        <v>45899</v>
      </c>
      <c r="D358" t="inlineStr">
        <is>
          <t>KALMAR LÄN</t>
        </is>
      </c>
      <c r="E358" t="inlineStr">
        <is>
          <t>VIMMERBY</t>
        </is>
      </c>
      <c r="G358" t="n">
        <v>0.3</v>
      </c>
      <c r="H358" t="n">
        <v>0</v>
      </c>
      <c r="I358" t="n">
        <v>0</v>
      </c>
      <c r="J358" t="n">
        <v>0</v>
      </c>
      <c r="K358" t="n">
        <v>0</v>
      </c>
      <c r="L358" t="n">
        <v>0</v>
      </c>
      <c r="M358" t="n">
        <v>0</v>
      </c>
      <c r="N358" t="n">
        <v>0</v>
      </c>
      <c r="O358" t="n">
        <v>0</v>
      </c>
      <c r="P358" t="n">
        <v>0</v>
      </c>
      <c r="Q358" t="n">
        <v>0</v>
      </c>
      <c r="R358" s="2" t="inlineStr"/>
    </row>
    <row r="359" ht="15" customHeight="1">
      <c r="A359" t="inlineStr">
        <is>
          <t>A 44582-2024</t>
        </is>
      </c>
      <c r="B359" s="1" t="n">
        <v>45574.49298611111</v>
      </c>
      <c r="C359" s="1" t="n">
        <v>45899</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9456-2025</t>
        </is>
      </c>
      <c r="B360" s="1" t="n">
        <v>45715.44159722222</v>
      </c>
      <c r="C360" s="1" t="n">
        <v>45899</v>
      </c>
      <c r="D360" t="inlineStr">
        <is>
          <t>KALMAR LÄN</t>
        </is>
      </c>
      <c r="E360" t="inlineStr">
        <is>
          <t>VIMMERBY</t>
        </is>
      </c>
      <c r="G360" t="n">
        <v>1.5</v>
      </c>
      <c r="H360" t="n">
        <v>0</v>
      </c>
      <c r="I360" t="n">
        <v>0</v>
      </c>
      <c r="J360" t="n">
        <v>0</v>
      </c>
      <c r="K360" t="n">
        <v>0</v>
      </c>
      <c r="L360" t="n">
        <v>0</v>
      </c>
      <c r="M360" t="n">
        <v>0</v>
      </c>
      <c r="N360" t="n">
        <v>0</v>
      </c>
      <c r="O360" t="n">
        <v>0</v>
      </c>
      <c r="P360" t="n">
        <v>0</v>
      </c>
      <c r="Q360" t="n">
        <v>0</v>
      </c>
      <c r="R360" s="2" t="inlineStr"/>
    </row>
    <row r="361" ht="15" customHeight="1">
      <c r="A361" t="inlineStr">
        <is>
          <t>A 58104-2024</t>
        </is>
      </c>
      <c r="B361" s="1" t="n">
        <v>45632.37459490741</v>
      </c>
      <c r="C361" s="1" t="n">
        <v>45899</v>
      </c>
      <c r="D361" t="inlineStr">
        <is>
          <t>KALMAR LÄN</t>
        </is>
      </c>
      <c r="E361" t="inlineStr">
        <is>
          <t>VIMMERBY</t>
        </is>
      </c>
      <c r="G361" t="n">
        <v>5</v>
      </c>
      <c r="H361" t="n">
        <v>0</v>
      </c>
      <c r="I361" t="n">
        <v>0</v>
      </c>
      <c r="J361" t="n">
        <v>0</v>
      </c>
      <c r="K361" t="n">
        <v>0</v>
      </c>
      <c r="L361" t="n">
        <v>0</v>
      </c>
      <c r="M361" t="n">
        <v>0</v>
      </c>
      <c r="N361" t="n">
        <v>0</v>
      </c>
      <c r="O361" t="n">
        <v>0</v>
      </c>
      <c r="P361" t="n">
        <v>0</v>
      </c>
      <c r="Q361" t="n">
        <v>0</v>
      </c>
      <c r="R361" s="2" t="inlineStr"/>
    </row>
    <row r="362" ht="15" customHeight="1">
      <c r="A362" t="inlineStr">
        <is>
          <t>A 12215-2024</t>
        </is>
      </c>
      <c r="B362" s="1" t="n">
        <v>45378.32185185186</v>
      </c>
      <c r="C362" s="1" t="n">
        <v>45899</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30920-2024</t>
        </is>
      </c>
      <c r="B363" s="1" t="n">
        <v>45498.673125</v>
      </c>
      <c r="C363" s="1" t="n">
        <v>45899</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56536-2022</t>
        </is>
      </c>
      <c r="B364" s="1" t="n">
        <v>44893</v>
      </c>
      <c r="C364" s="1" t="n">
        <v>45899</v>
      </c>
      <c r="D364" t="inlineStr">
        <is>
          <t>KALMAR LÄN</t>
        </is>
      </c>
      <c r="E364" t="inlineStr">
        <is>
          <t>VIMMERBY</t>
        </is>
      </c>
      <c r="G364" t="n">
        <v>3.2</v>
      </c>
      <c r="H364" t="n">
        <v>0</v>
      </c>
      <c r="I364" t="n">
        <v>0</v>
      </c>
      <c r="J364" t="n">
        <v>0</v>
      </c>
      <c r="K364" t="n">
        <v>0</v>
      </c>
      <c r="L364" t="n">
        <v>0</v>
      </c>
      <c r="M364" t="n">
        <v>0</v>
      </c>
      <c r="N364" t="n">
        <v>0</v>
      </c>
      <c r="O364" t="n">
        <v>0</v>
      </c>
      <c r="P364" t="n">
        <v>0</v>
      </c>
      <c r="Q364" t="n">
        <v>0</v>
      </c>
      <c r="R364" s="2" t="inlineStr"/>
    </row>
    <row r="365" ht="15" customHeight="1">
      <c r="A365" t="inlineStr">
        <is>
          <t>A 63541-2023</t>
        </is>
      </c>
      <c r="B365" s="1" t="n">
        <v>45275.32266203704</v>
      </c>
      <c r="C365" s="1" t="n">
        <v>45899</v>
      </c>
      <c r="D365" t="inlineStr">
        <is>
          <t>KALMAR LÄN</t>
        </is>
      </c>
      <c r="E365" t="inlineStr">
        <is>
          <t>VIMMERBY</t>
        </is>
      </c>
      <c r="G365" t="n">
        <v>1.1</v>
      </c>
      <c r="H365" t="n">
        <v>0</v>
      </c>
      <c r="I365" t="n">
        <v>0</v>
      </c>
      <c r="J365" t="n">
        <v>0</v>
      </c>
      <c r="K365" t="n">
        <v>0</v>
      </c>
      <c r="L365" t="n">
        <v>0</v>
      </c>
      <c r="M365" t="n">
        <v>0</v>
      </c>
      <c r="N365" t="n">
        <v>0</v>
      </c>
      <c r="O365" t="n">
        <v>0</v>
      </c>
      <c r="P365" t="n">
        <v>0</v>
      </c>
      <c r="Q365" t="n">
        <v>0</v>
      </c>
      <c r="R365" s="2" t="inlineStr"/>
    </row>
    <row r="366" ht="15" customHeight="1">
      <c r="A366" t="inlineStr">
        <is>
          <t>A 11111-2023</t>
        </is>
      </c>
      <c r="B366" s="1" t="n">
        <v>44992.4255787037</v>
      </c>
      <c r="C366" s="1" t="n">
        <v>45899</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37323-2024</t>
        </is>
      </c>
      <c r="B367" s="1" t="n">
        <v>45540.50098379629</v>
      </c>
      <c r="C367" s="1" t="n">
        <v>45899</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12075-2024</t>
        </is>
      </c>
      <c r="B368" s="1" t="n">
        <v>45377</v>
      </c>
      <c r="C368" s="1" t="n">
        <v>45899</v>
      </c>
      <c r="D368" t="inlineStr">
        <is>
          <t>KALMAR LÄN</t>
        </is>
      </c>
      <c r="E368" t="inlineStr">
        <is>
          <t>VIMMERBY</t>
        </is>
      </c>
      <c r="G368" t="n">
        <v>3.7</v>
      </c>
      <c r="H368" t="n">
        <v>0</v>
      </c>
      <c r="I368" t="n">
        <v>0</v>
      </c>
      <c r="J368" t="n">
        <v>0</v>
      </c>
      <c r="K368" t="n">
        <v>0</v>
      </c>
      <c r="L368" t="n">
        <v>0</v>
      </c>
      <c r="M368" t="n">
        <v>0</v>
      </c>
      <c r="N368" t="n">
        <v>0</v>
      </c>
      <c r="O368" t="n">
        <v>0</v>
      </c>
      <c r="P368" t="n">
        <v>0</v>
      </c>
      <c r="Q368" t="n">
        <v>0</v>
      </c>
      <c r="R368" s="2" t="inlineStr"/>
    </row>
    <row r="369" ht="15" customHeight="1">
      <c r="A369" t="inlineStr">
        <is>
          <t>A 58724-2024</t>
        </is>
      </c>
      <c r="B369" s="1" t="n">
        <v>45635.66409722222</v>
      </c>
      <c r="C369" s="1" t="n">
        <v>45899</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15494-2024</t>
        </is>
      </c>
      <c r="B370" s="1" t="n">
        <v>45401.53033564815</v>
      </c>
      <c r="C370" s="1" t="n">
        <v>45899</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45899</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26039-2025</t>
        </is>
      </c>
      <c r="B372" s="1" t="n">
        <v>45804.6953587963</v>
      </c>
      <c r="C372" s="1" t="n">
        <v>45899</v>
      </c>
      <c r="D372" t="inlineStr">
        <is>
          <t>KALMAR LÄN</t>
        </is>
      </c>
      <c r="E372" t="inlineStr">
        <is>
          <t>VIMMERBY</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26046-2025</t>
        </is>
      </c>
      <c r="B373" s="1" t="n">
        <v>45804.708125</v>
      </c>
      <c r="C373" s="1" t="n">
        <v>45899</v>
      </c>
      <c r="D373" t="inlineStr">
        <is>
          <t>KALMAR LÄN</t>
        </is>
      </c>
      <c r="E373" t="inlineStr">
        <is>
          <t>VIMMERBY</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25792-2025</t>
        </is>
      </c>
      <c r="B374" s="1" t="n">
        <v>45804.39141203704</v>
      </c>
      <c r="C374" s="1" t="n">
        <v>45899</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11429-2022</t>
        </is>
      </c>
      <c r="B375" s="1" t="n">
        <v>44630</v>
      </c>
      <c r="C375" s="1" t="n">
        <v>45899</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56582-2022</t>
        </is>
      </c>
      <c r="B376" s="1" t="n">
        <v>44893</v>
      </c>
      <c r="C376" s="1" t="n">
        <v>45899</v>
      </c>
      <c r="D376" t="inlineStr">
        <is>
          <t>KALMAR LÄN</t>
        </is>
      </c>
      <c r="E376" t="inlineStr">
        <is>
          <t>VIMMERBY</t>
        </is>
      </c>
      <c r="G376" t="n">
        <v>2.2</v>
      </c>
      <c r="H376" t="n">
        <v>0</v>
      </c>
      <c r="I376" t="n">
        <v>0</v>
      </c>
      <c r="J376" t="n">
        <v>0</v>
      </c>
      <c r="K376" t="n">
        <v>0</v>
      </c>
      <c r="L376" t="n">
        <v>0</v>
      </c>
      <c r="M376" t="n">
        <v>0</v>
      </c>
      <c r="N376" t="n">
        <v>0</v>
      </c>
      <c r="O376" t="n">
        <v>0</v>
      </c>
      <c r="P376" t="n">
        <v>0</v>
      </c>
      <c r="Q376" t="n">
        <v>0</v>
      </c>
      <c r="R376" s="2" t="inlineStr"/>
    </row>
    <row r="377" ht="15" customHeight="1">
      <c r="A377" t="inlineStr">
        <is>
          <t>A 1799-2025</t>
        </is>
      </c>
      <c r="B377" s="1" t="n">
        <v>45671.46746527778</v>
      </c>
      <c r="C377" s="1" t="n">
        <v>45899</v>
      </c>
      <c r="D377" t="inlineStr">
        <is>
          <t>KALMAR LÄN</t>
        </is>
      </c>
      <c r="E377" t="inlineStr">
        <is>
          <t>VIMMERBY</t>
        </is>
      </c>
      <c r="G377" t="n">
        <v>3.3</v>
      </c>
      <c r="H377" t="n">
        <v>0</v>
      </c>
      <c r="I377" t="n">
        <v>0</v>
      </c>
      <c r="J377" t="n">
        <v>0</v>
      </c>
      <c r="K377" t="n">
        <v>0</v>
      </c>
      <c r="L377" t="n">
        <v>0</v>
      </c>
      <c r="M377" t="n">
        <v>0</v>
      </c>
      <c r="N377" t="n">
        <v>0</v>
      </c>
      <c r="O377" t="n">
        <v>0</v>
      </c>
      <c r="P377" t="n">
        <v>0</v>
      </c>
      <c r="Q377" t="n">
        <v>0</v>
      </c>
      <c r="R377" s="2" t="inlineStr"/>
    </row>
    <row r="378" ht="15" customHeight="1">
      <c r="A378" t="inlineStr">
        <is>
          <t>A 26006-2025</t>
        </is>
      </c>
      <c r="B378" s="1" t="n">
        <v>45804.67065972222</v>
      </c>
      <c r="C378" s="1" t="n">
        <v>45899</v>
      </c>
      <c r="D378" t="inlineStr">
        <is>
          <t>KALMAR LÄN</t>
        </is>
      </c>
      <c r="E378" t="inlineStr">
        <is>
          <t>VIMMERBY</t>
        </is>
      </c>
      <c r="G378" t="n">
        <v>2.7</v>
      </c>
      <c r="H378" t="n">
        <v>0</v>
      </c>
      <c r="I378" t="n">
        <v>0</v>
      </c>
      <c r="J378" t="n">
        <v>0</v>
      </c>
      <c r="K378" t="n">
        <v>0</v>
      </c>
      <c r="L378" t="n">
        <v>0</v>
      </c>
      <c r="M378" t="n">
        <v>0</v>
      </c>
      <c r="N378" t="n">
        <v>0</v>
      </c>
      <c r="O378" t="n">
        <v>0</v>
      </c>
      <c r="P378" t="n">
        <v>0</v>
      </c>
      <c r="Q378" t="n">
        <v>0</v>
      </c>
      <c r="R378" s="2" t="inlineStr"/>
    </row>
    <row r="379" ht="15" customHeight="1">
      <c r="A379" t="inlineStr">
        <is>
          <t>A 25830-2025</t>
        </is>
      </c>
      <c r="B379" s="1" t="n">
        <v>45804.44519675926</v>
      </c>
      <c r="C379" s="1" t="n">
        <v>45899</v>
      </c>
      <c r="D379" t="inlineStr">
        <is>
          <t>KALMAR LÄN</t>
        </is>
      </c>
      <c r="E379" t="inlineStr">
        <is>
          <t>VIMMERBY</t>
        </is>
      </c>
      <c r="G379" t="n">
        <v>4.9</v>
      </c>
      <c r="H379" t="n">
        <v>0</v>
      </c>
      <c r="I379" t="n">
        <v>0</v>
      </c>
      <c r="J379" t="n">
        <v>0</v>
      </c>
      <c r="K379" t="n">
        <v>0</v>
      </c>
      <c r="L379" t="n">
        <v>0</v>
      </c>
      <c r="M379" t="n">
        <v>0</v>
      </c>
      <c r="N379" t="n">
        <v>0</v>
      </c>
      <c r="O379" t="n">
        <v>0</v>
      </c>
      <c r="P379" t="n">
        <v>0</v>
      </c>
      <c r="Q379" t="n">
        <v>0</v>
      </c>
      <c r="R379" s="2" t="inlineStr"/>
    </row>
    <row r="380" ht="15" customHeight="1">
      <c r="A380" t="inlineStr">
        <is>
          <t>A 6408-2025</t>
        </is>
      </c>
      <c r="B380" s="1" t="n">
        <v>45699.45671296296</v>
      </c>
      <c r="C380" s="1" t="n">
        <v>45899</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11609-2023</t>
        </is>
      </c>
      <c r="B381" s="1" t="n">
        <v>44994.40635416667</v>
      </c>
      <c r="C381" s="1" t="n">
        <v>45899</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26124-2025</t>
        </is>
      </c>
      <c r="B382" s="1" t="n">
        <v>45805.39247685186</v>
      </c>
      <c r="C382" s="1" t="n">
        <v>45899</v>
      </c>
      <c r="D382" t="inlineStr">
        <is>
          <t>KALMAR LÄN</t>
        </is>
      </c>
      <c r="E382" t="inlineStr">
        <is>
          <t>VIMMERBY</t>
        </is>
      </c>
      <c r="G382" t="n">
        <v>6.6</v>
      </c>
      <c r="H382" t="n">
        <v>0</v>
      </c>
      <c r="I382" t="n">
        <v>0</v>
      </c>
      <c r="J382" t="n">
        <v>0</v>
      </c>
      <c r="K382" t="n">
        <v>0</v>
      </c>
      <c r="L382" t="n">
        <v>0</v>
      </c>
      <c r="M382" t="n">
        <v>0</v>
      </c>
      <c r="N382" t="n">
        <v>0</v>
      </c>
      <c r="O382" t="n">
        <v>0</v>
      </c>
      <c r="P382" t="n">
        <v>0</v>
      </c>
      <c r="Q382" t="n">
        <v>0</v>
      </c>
      <c r="R382" s="2" t="inlineStr"/>
    </row>
    <row r="383" ht="15" customHeight="1">
      <c r="A383" t="inlineStr">
        <is>
          <t>A 2462-2022</t>
        </is>
      </c>
      <c r="B383" s="1" t="n">
        <v>44579.62225694444</v>
      </c>
      <c r="C383" s="1" t="n">
        <v>45899</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44464-2024</t>
        </is>
      </c>
      <c r="B384" s="1" t="n">
        <v>45574.35809027778</v>
      </c>
      <c r="C384" s="1" t="n">
        <v>45899</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41066-2024</t>
        </is>
      </c>
      <c r="B385" s="1" t="n">
        <v>45559.38876157408</v>
      </c>
      <c r="C385" s="1" t="n">
        <v>45899</v>
      </c>
      <c r="D385" t="inlineStr">
        <is>
          <t>KALMAR LÄN</t>
        </is>
      </c>
      <c r="E385" t="inlineStr">
        <is>
          <t>VIMMERBY</t>
        </is>
      </c>
      <c r="G385" t="n">
        <v>2.4</v>
      </c>
      <c r="H385" t="n">
        <v>0</v>
      </c>
      <c r="I385" t="n">
        <v>0</v>
      </c>
      <c r="J385" t="n">
        <v>0</v>
      </c>
      <c r="K385" t="n">
        <v>0</v>
      </c>
      <c r="L385" t="n">
        <v>0</v>
      </c>
      <c r="M385" t="n">
        <v>0</v>
      </c>
      <c r="N385" t="n">
        <v>0</v>
      </c>
      <c r="O385" t="n">
        <v>0</v>
      </c>
      <c r="P385" t="n">
        <v>0</v>
      </c>
      <c r="Q385" t="n">
        <v>0</v>
      </c>
      <c r="R385" s="2" t="inlineStr"/>
    </row>
    <row r="386" ht="15" customHeight="1">
      <c r="A386" t="inlineStr">
        <is>
          <t>A 26254-2025</t>
        </is>
      </c>
      <c r="B386" s="1" t="n">
        <v>45805</v>
      </c>
      <c r="C386" s="1" t="n">
        <v>45899</v>
      </c>
      <c r="D386" t="inlineStr">
        <is>
          <t>KALMAR LÄN</t>
        </is>
      </c>
      <c r="E386" t="inlineStr">
        <is>
          <t>VIMMERBY</t>
        </is>
      </c>
      <c r="G386" t="n">
        <v>2</v>
      </c>
      <c r="H386" t="n">
        <v>0</v>
      </c>
      <c r="I386" t="n">
        <v>0</v>
      </c>
      <c r="J386" t="n">
        <v>0</v>
      </c>
      <c r="K386" t="n">
        <v>0</v>
      </c>
      <c r="L386" t="n">
        <v>0</v>
      </c>
      <c r="M386" t="n">
        <v>0</v>
      </c>
      <c r="N386" t="n">
        <v>0</v>
      </c>
      <c r="O386" t="n">
        <v>0</v>
      </c>
      <c r="P386" t="n">
        <v>0</v>
      </c>
      <c r="Q386" t="n">
        <v>0</v>
      </c>
      <c r="R386" s="2" t="inlineStr"/>
    </row>
    <row r="387" ht="15" customHeight="1">
      <c r="A387" t="inlineStr">
        <is>
          <t>A 3816-2022</t>
        </is>
      </c>
      <c r="B387" s="1" t="n">
        <v>44587</v>
      </c>
      <c r="C387" s="1" t="n">
        <v>45899</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26207-2025</t>
        </is>
      </c>
      <c r="B388" s="1" t="n">
        <v>45805.52983796296</v>
      </c>
      <c r="C388" s="1" t="n">
        <v>45899</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1081-2023</t>
        </is>
      </c>
      <c r="B389" s="1" t="n">
        <v>44935</v>
      </c>
      <c r="C389" s="1" t="n">
        <v>45899</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13015-2022</t>
        </is>
      </c>
      <c r="B390" s="1" t="n">
        <v>44643</v>
      </c>
      <c r="C390" s="1" t="n">
        <v>45899</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7047-2022</t>
        </is>
      </c>
      <c r="B391" s="1" t="n">
        <v>44603</v>
      </c>
      <c r="C391" s="1" t="n">
        <v>45899</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12499-2023</t>
        </is>
      </c>
      <c r="B392" s="1" t="n">
        <v>44999.86172453704</v>
      </c>
      <c r="C392" s="1" t="n">
        <v>45899</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12500-2023</t>
        </is>
      </c>
      <c r="B393" s="1" t="n">
        <v>44999.8625</v>
      </c>
      <c r="C393" s="1" t="n">
        <v>45899</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4624-2024</t>
        </is>
      </c>
      <c r="B394" s="1" t="n">
        <v>45328.38755787037</v>
      </c>
      <c r="C394" s="1" t="n">
        <v>45899</v>
      </c>
      <c r="D394" t="inlineStr">
        <is>
          <t>KALMAR LÄN</t>
        </is>
      </c>
      <c r="E394" t="inlineStr">
        <is>
          <t>VIMMERBY</t>
        </is>
      </c>
      <c r="G394" t="n">
        <v>1.7</v>
      </c>
      <c r="H394" t="n">
        <v>0</v>
      </c>
      <c r="I394" t="n">
        <v>0</v>
      </c>
      <c r="J394" t="n">
        <v>0</v>
      </c>
      <c r="K394" t="n">
        <v>0</v>
      </c>
      <c r="L394" t="n">
        <v>0</v>
      </c>
      <c r="M394" t="n">
        <v>0</v>
      </c>
      <c r="N394" t="n">
        <v>0</v>
      </c>
      <c r="O394" t="n">
        <v>0</v>
      </c>
      <c r="P394" t="n">
        <v>0</v>
      </c>
      <c r="Q394" t="n">
        <v>0</v>
      </c>
      <c r="R394" s="2" t="inlineStr"/>
    </row>
    <row r="395" ht="15" customHeight="1">
      <c r="A395" t="inlineStr">
        <is>
          <t>A 9129-2025</t>
        </is>
      </c>
      <c r="B395" s="1" t="n">
        <v>45713.92412037037</v>
      </c>
      <c r="C395" s="1" t="n">
        <v>45899</v>
      </c>
      <c r="D395" t="inlineStr">
        <is>
          <t>KALMAR LÄN</t>
        </is>
      </c>
      <c r="E395" t="inlineStr">
        <is>
          <t>VIMMERBY</t>
        </is>
      </c>
      <c r="G395" t="n">
        <v>2.8</v>
      </c>
      <c r="H395" t="n">
        <v>0</v>
      </c>
      <c r="I395" t="n">
        <v>0</v>
      </c>
      <c r="J395" t="n">
        <v>0</v>
      </c>
      <c r="K395" t="n">
        <v>0</v>
      </c>
      <c r="L395" t="n">
        <v>0</v>
      </c>
      <c r="M395" t="n">
        <v>0</v>
      </c>
      <c r="N395" t="n">
        <v>0</v>
      </c>
      <c r="O395" t="n">
        <v>0</v>
      </c>
      <c r="P395" t="n">
        <v>0</v>
      </c>
      <c r="Q395" t="n">
        <v>0</v>
      </c>
      <c r="R395" s="2" t="inlineStr"/>
    </row>
    <row r="396" ht="15" customHeight="1">
      <c r="A396" t="inlineStr">
        <is>
          <t>A 6066-2023</t>
        </is>
      </c>
      <c r="B396" s="1" t="n">
        <v>44964.50894675926</v>
      </c>
      <c r="C396" s="1" t="n">
        <v>45899</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22643-2023</t>
        </is>
      </c>
      <c r="B397" s="1" t="n">
        <v>45071</v>
      </c>
      <c r="C397" s="1" t="n">
        <v>45899</v>
      </c>
      <c r="D397" t="inlineStr">
        <is>
          <t>KALMAR LÄN</t>
        </is>
      </c>
      <c r="E397" t="inlineStr">
        <is>
          <t>VIMMERBY</t>
        </is>
      </c>
      <c r="G397" t="n">
        <v>3.9</v>
      </c>
      <c r="H397" t="n">
        <v>0</v>
      </c>
      <c r="I397" t="n">
        <v>0</v>
      </c>
      <c r="J397" t="n">
        <v>0</v>
      </c>
      <c r="K397" t="n">
        <v>0</v>
      </c>
      <c r="L397" t="n">
        <v>0</v>
      </c>
      <c r="M397" t="n">
        <v>0</v>
      </c>
      <c r="N397" t="n">
        <v>0</v>
      </c>
      <c r="O397" t="n">
        <v>0</v>
      </c>
      <c r="P397" t="n">
        <v>0</v>
      </c>
      <c r="Q397" t="n">
        <v>0</v>
      </c>
      <c r="R397" s="2" t="inlineStr"/>
    </row>
    <row r="398" ht="15" customHeight="1">
      <c r="A398" t="inlineStr">
        <is>
          <t>A 34597-2022</t>
        </is>
      </c>
      <c r="B398" s="1" t="n">
        <v>44795</v>
      </c>
      <c r="C398" s="1" t="n">
        <v>45899</v>
      </c>
      <c r="D398" t="inlineStr">
        <is>
          <t>KALMAR LÄN</t>
        </is>
      </c>
      <c r="E398" t="inlineStr">
        <is>
          <t>VIMMERBY</t>
        </is>
      </c>
      <c r="G398" t="n">
        <v>2.2</v>
      </c>
      <c r="H398" t="n">
        <v>0</v>
      </c>
      <c r="I398" t="n">
        <v>0</v>
      </c>
      <c r="J398" t="n">
        <v>0</v>
      </c>
      <c r="K398" t="n">
        <v>0</v>
      </c>
      <c r="L398" t="n">
        <v>0</v>
      </c>
      <c r="M398" t="n">
        <v>0</v>
      </c>
      <c r="N398" t="n">
        <v>0</v>
      </c>
      <c r="O398" t="n">
        <v>0</v>
      </c>
      <c r="P398" t="n">
        <v>0</v>
      </c>
      <c r="Q398" t="n">
        <v>0</v>
      </c>
      <c r="R398" s="2" t="inlineStr"/>
    </row>
    <row r="399" ht="15" customHeight="1">
      <c r="A399" t="inlineStr">
        <is>
          <t>A 33103-2024</t>
        </is>
      </c>
      <c r="B399" s="1" t="n">
        <v>45517.8162037037</v>
      </c>
      <c r="C399" s="1" t="n">
        <v>45899</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40079-2023</t>
        </is>
      </c>
      <c r="B400" s="1" t="n">
        <v>45168.89298611111</v>
      </c>
      <c r="C400" s="1" t="n">
        <v>45899</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33161-2024</t>
        </is>
      </c>
      <c r="B401" s="1" t="n">
        <v>45518.40657407408</v>
      </c>
      <c r="C401" s="1" t="n">
        <v>45899</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12510-2022</t>
        </is>
      </c>
      <c r="B402" s="1" t="n">
        <v>44638.55256944444</v>
      </c>
      <c r="C402" s="1" t="n">
        <v>45899</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19833-2023</t>
        </is>
      </c>
      <c r="B403" s="1" t="n">
        <v>45052</v>
      </c>
      <c r="C403" s="1" t="n">
        <v>45899</v>
      </c>
      <c r="D403" t="inlineStr">
        <is>
          <t>KALMAR LÄN</t>
        </is>
      </c>
      <c r="E403" t="inlineStr">
        <is>
          <t>VIMMERBY</t>
        </is>
      </c>
      <c r="G403" t="n">
        <v>6.7</v>
      </c>
      <c r="H403" t="n">
        <v>0</v>
      </c>
      <c r="I403" t="n">
        <v>0</v>
      </c>
      <c r="J403" t="n">
        <v>0</v>
      </c>
      <c r="K403" t="n">
        <v>0</v>
      </c>
      <c r="L403" t="n">
        <v>0</v>
      </c>
      <c r="M403" t="n">
        <v>0</v>
      </c>
      <c r="N403" t="n">
        <v>0</v>
      </c>
      <c r="O403" t="n">
        <v>0</v>
      </c>
      <c r="P403" t="n">
        <v>0</v>
      </c>
      <c r="Q403" t="n">
        <v>0</v>
      </c>
      <c r="R403" s="2" t="inlineStr"/>
    </row>
    <row r="404" ht="15" customHeight="1">
      <c r="A404" t="inlineStr">
        <is>
          <t>A 1146-2025</t>
        </is>
      </c>
      <c r="B404" s="1" t="n">
        <v>45666</v>
      </c>
      <c r="C404" s="1" t="n">
        <v>45899</v>
      </c>
      <c r="D404" t="inlineStr">
        <is>
          <t>KALMAR LÄN</t>
        </is>
      </c>
      <c r="E404" t="inlineStr">
        <is>
          <t>VIMMERBY</t>
        </is>
      </c>
      <c r="G404" t="n">
        <v>4</v>
      </c>
      <c r="H404" t="n">
        <v>0</v>
      </c>
      <c r="I404" t="n">
        <v>0</v>
      </c>
      <c r="J404" t="n">
        <v>0</v>
      </c>
      <c r="K404" t="n">
        <v>0</v>
      </c>
      <c r="L404" t="n">
        <v>0</v>
      </c>
      <c r="M404" t="n">
        <v>0</v>
      </c>
      <c r="N404" t="n">
        <v>0</v>
      </c>
      <c r="O404" t="n">
        <v>0</v>
      </c>
      <c r="P404" t="n">
        <v>0</v>
      </c>
      <c r="Q404" t="n">
        <v>0</v>
      </c>
      <c r="R404" s="2" t="inlineStr"/>
    </row>
    <row r="405" ht="15" customHeight="1">
      <c r="A405" t="inlineStr">
        <is>
          <t>A 12890-2023</t>
        </is>
      </c>
      <c r="B405" s="1" t="n">
        <v>45001.59209490741</v>
      </c>
      <c r="C405" s="1" t="n">
        <v>45899</v>
      </c>
      <c r="D405" t="inlineStr">
        <is>
          <t>KALMAR LÄN</t>
        </is>
      </c>
      <c r="E405" t="inlineStr">
        <is>
          <t>VIMMERBY</t>
        </is>
      </c>
      <c r="G405" t="n">
        <v>2.8</v>
      </c>
      <c r="H405" t="n">
        <v>0</v>
      </c>
      <c r="I405" t="n">
        <v>0</v>
      </c>
      <c r="J405" t="n">
        <v>0</v>
      </c>
      <c r="K405" t="n">
        <v>0</v>
      </c>
      <c r="L405" t="n">
        <v>0</v>
      </c>
      <c r="M405" t="n">
        <v>0</v>
      </c>
      <c r="N405" t="n">
        <v>0</v>
      </c>
      <c r="O405" t="n">
        <v>0</v>
      </c>
      <c r="P405" t="n">
        <v>0</v>
      </c>
      <c r="Q405" t="n">
        <v>0</v>
      </c>
      <c r="R405" s="2" t="inlineStr"/>
    </row>
    <row r="406" ht="15" customHeight="1">
      <c r="A406" t="inlineStr">
        <is>
          <t>A 3902-2022</t>
        </is>
      </c>
      <c r="B406" s="1" t="n">
        <v>44587.48847222222</v>
      </c>
      <c r="C406" s="1" t="n">
        <v>45899</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89-2023</t>
        </is>
      </c>
      <c r="B407" s="1" t="n">
        <v>44918</v>
      </c>
      <c r="C407" s="1" t="n">
        <v>45899</v>
      </c>
      <c r="D407" t="inlineStr">
        <is>
          <t>KALMAR LÄN</t>
        </is>
      </c>
      <c r="E407" t="inlineStr">
        <is>
          <t>VIMMERBY</t>
        </is>
      </c>
      <c r="G407" t="n">
        <v>16.1</v>
      </c>
      <c r="H407" t="n">
        <v>0</v>
      </c>
      <c r="I407" t="n">
        <v>0</v>
      </c>
      <c r="J407" t="n">
        <v>0</v>
      </c>
      <c r="K407" t="n">
        <v>0</v>
      </c>
      <c r="L407" t="n">
        <v>0</v>
      </c>
      <c r="M407" t="n">
        <v>0</v>
      </c>
      <c r="N407" t="n">
        <v>0</v>
      </c>
      <c r="O407" t="n">
        <v>0</v>
      </c>
      <c r="P407" t="n">
        <v>0</v>
      </c>
      <c r="Q407" t="n">
        <v>0</v>
      </c>
      <c r="R407" s="2" t="inlineStr"/>
    </row>
    <row r="408" ht="15" customHeight="1">
      <c r="A408" t="inlineStr">
        <is>
          <t>A 5382-2023</t>
        </is>
      </c>
      <c r="B408" s="1" t="n">
        <v>44959.66407407408</v>
      </c>
      <c r="C408" s="1" t="n">
        <v>45899</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27719-2025</t>
        </is>
      </c>
      <c r="B409" s="1" t="n">
        <v>45814.3865625</v>
      </c>
      <c r="C409" s="1" t="n">
        <v>45899</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27718-2025</t>
        </is>
      </c>
      <c r="B410" s="1" t="n">
        <v>45814.38221064815</v>
      </c>
      <c r="C410" s="1" t="n">
        <v>45899</v>
      </c>
      <c r="D410" t="inlineStr">
        <is>
          <t>KALMAR LÄN</t>
        </is>
      </c>
      <c r="E410" t="inlineStr">
        <is>
          <t>VIMMERBY</t>
        </is>
      </c>
      <c r="G410" t="n">
        <v>0.9</v>
      </c>
      <c r="H410" t="n">
        <v>0</v>
      </c>
      <c r="I410" t="n">
        <v>0</v>
      </c>
      <c r="J410" t="n">
        <v>0</v>
      </c>
      <c r="K410" t="n">
        <v>0</v>
      </c>
      <c r="L410" t="n">
        <v>0</v>
      </c>
      <c r="M410" t="n">
        <v>0</v>
      </c>
      <c r="N410" t="n">
        <v>0</v>
      </c>
      <c r="O410" t="n">
        <v>0</v>
      </c>
      <c r="P410" t="n">
        <v>0</v>
      </c>
      <c r="Q410" t="n">
        <v>0</v>
      </c>
      <c r="R410" s="2" t="inlineStr"/>
    </row>
    <row r="411" ht="15" customHeight="1">
      <c r="A411" t="inlineStr">
        <is>
          <t>A 17084-2025</t>
        </is>
      </c>
      <c r="B411" s="1" t="n">
        <v>45755.64450231481</v>
      </c>
      <c r="C411" s="1" t="n">
        <v>45899</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6668-2023</t>
        </is>
      </c>
      <c r="B412" s="1" t="n">
        <v>44966</v>
      </c>
      <c r="C412" s="1" t="n">
        <v>45899</v>
      </c>
      <c r="D412" t="inlineStr">
        <is>
          <t>KALMAR LÄN</t>
        </is>
      </c>
      <c r="E412" t="inlineStr">
        <is>
          <t>VIMMERBY</t>
        </is>
      </c>
      <c r="G412" t="n">
        <v>0.9</v>
      </c>
      <c r="H412" t="n">
        <v>0</v>
      </c>
      <c r="I412" t="n">
        <v>0</v>
      </c>
      <c r="J412" t="n">
        <v>0</v>
      </c>
      <c r="K412" t="n">
        <v>0</v>
      </c>
      <c r="L412" t="n">
        <v>0</v>
      </c>
      <c r="M412" t="n">
        <v>0</v>
      </c>
      <c r="N412" t="n">
        <v>0</v>
      </c>
      <c r="O412" t="n">
        <v>0</v>
      </c>
      <c r="P412" t="n">
        <v>0</v>
      </c>
      <c r="Q412" t="n">
        <v>0</v>
      </c>
      <c r="R412" s="2" t="inlineStr"/>
    </row>
    <row r="413" ht="15" customHeight="1">
      <c r="A413" t="inlineStr">
        <is>
          <t>A 56022-2024</t>
        </is>
      </c>
      <c r="B413" s="1" t="n">
        <v>45623.95947916667</v>
      </c>
      <c r="C413" s="1" t="n">
        <v>45899</v>
      </c>
      <c r="D413" t="inlineStr">
        <is>
          <t>KALMAR LÄN</t>
        </is>
      </c>
      <c r="E413" t="inlineStr">
        <is>
          <t>VIMMERBY</t>
        </is>
      </c>
      <c r="G413" t="n">
        <v>0.3</v>
      </c>
      <c r="H413" t="n">
        <v>0</v>
      </c>
      <c r="I413" t="n">
        <v>0</v>
      </c>
      <c r="J413" t="n">
        <v>0</v>
      </c>
      <c r="K413" t="n">
        <v>0</v>
      </c>
      <c r="L413" t="n">
        <v>0</v>
      </c>
      <c r="M413" t="n">
        <v>0</v>
      </c>
      <c r="N413" t="n">
        <v>0</v>
      </c>
      <c r="O413" t="n">
        <v>0</v>
      </c>
      <c r="P413" t="n">
        <v>0</v>
      </c>
      <c r="Q413" t="n">
        <v>0</v>
      </c>
      <c r="R413" s="2" t="inlineStr"/>
    </row>
    <row r="414" ht="15" customHeight="1">
      <c r="A414" t="inlineStr">
        <is>
          <t>A 172-2022</t>
        </is>
      </c>
      <c r="B414" s="1" t="n">
        <v>44564.62598379629</v>
      </c>
      <c r="C414" s="1" t="n">
        <v>45899</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11928-2022</t>
        </is>
      </c>
      <c r="B415" s="1" t="n">
        <v>44635</v>
      </c>
      <c r="C415" s="1" t="n">
        <v>45899</v>
      </c>
      <c r="D415" t="inlineStr">
        <is>
          <t>KALMAR LÄN</t>
        </is>
      </c>
      <c r="E415" t="inlineStr">
        <is>
          <t>VIMMERBY</t>
        </is>
      </c>
      <c r="G415" t="n">
        <v>2.8</v>
      </c>
      <c r="H415" t="n">
        <v>0</v>
      </c>
      <c r="I415" t="n">
        <v>0</v>
      </c>
      <c r="J415" t="n">
        <v>0</v>
      </c>
      <c r="K415" t="n">
        <v>0</v>
      </c>
      <c r="L415" t="n">
        <v>0</v>
      </c>
      <c r="M415" t="n">
        <v>0</v>
      </c>
      <c r="N415" t="n">
        <v>0</v>
      </c>
      <c r="O415" t="n">
        <v>0</v>
      </c>
      <c r="P415" t="n">
        <v>0</v>
      </c>
      <c r="Q415" t="n">
        <v>0</v>
      </c>
      <c r="R415" s="2" t="inlineStr"/>
    </row>
    <row r="416" ht="15" customHeight="1">
      <c r="A416" t="inlineStr">
        <is>
          <t>A 35596-2025</t>
        </is>
      </c>
      <c r="B416" s="1" t="n">
        <v>45858.60641203704</v>
      </c>
      <c r="C416" s="1" t="n">
        <v>45899</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30634-2024</t>
        </is>
      </c>
      <c r="B417" s="1" t="n">
        <v>45495</v>
      </c>
      <c r="C417" s="1" t="n">
        <v>45899</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28290-2025</t>
        </is>
      </c>
      <c r="B418" s="1" t="n">
        <v>45818.59261574074</v>
      </c>
      <c r="C418" s="1" t="n">
        <v>45899</v>
      </c>
      <c r="D418" t="inlineStr">
        <is>
          <t>KALMAR LÄN</t>
        </is>
      </c>
      <c r="E418" t="inlineStr">
        <is>
          <t>VIMMERBY</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6355-2022</t>
        </is>
      </c>
      <c r="B419" s="1" t="n">
        <v>44600</v>
      </c>
      <c r="C419" s="1" t="n">
        <v>45899</v>
      </c>
      <c r="D419" t="inlineStr">
        <is>
          <t>KALMAR LÄN</t>
        </is>
      </c>
      <c r="E419" t="inlineStr">
        <is>
          <t>VIMMERBY</t>
        </is>
      </c>
      <c r="G419" t="n">
        <v>4.9</v>
      </c>
      <c r="H419" t="n">
        <v>0</v>
      </c>
      <c r="I419" t="n">
        <v>0</v>
      </c>
      <c r="J419" t="n">
        <v>0</v>
      </c>
      <c r="K419" t="n">
        <v>0</v>
      </c>
      <c r="L419" t="n">
        <v>0</v>
      </c>
      <c r="M419" t="n">
        <v>0</v>
      </c>
      <c r="N419" t="n">
        <v>0</v>
      </c>
      <c r="O419" t="n">
        <v>0</v>
      </c>
      <c r="P419" t="n">
        <v>0</v>
      </c>
      <c r="Q419" t="n">
        <v>0</v>
      </c>
      <c r="R419" s="2" t="inlineStr"/>
    </row>
    <row r="420" ht="15" customHeight="1">
      <c r="A420" t="inlineStr">
        <is>
          <t>A 28280-2025</t>
        </is>
      </c>
      <c r="B420" s="1" t="n">
        <v>45818.5862037037</v>
      </c>
      <c r="C420" s="1" t="n">
        <v>45899</v>
      </c>
      <c r="D420" t="inlineStr">
        <is>
          <t>KALMAR LÄN</t>
        </is>
      </c>
      <c r="E420" t="inlineStr">
        <is>
          <t>VIMMERBY</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28286-2025</t>
        </is>
      </c>
      <c r="B421" s="1" t="n">
        <v>45818.58993055556</v>
      </c>
      <c r="C421" s="1" t="n">
        <v>45899</v>
      </c>
      <c r="D421" t="inlineStr">
        <is>
          <t>KALMAR LÄN</t>
        </is>
      </c>
      <c r="E421" t="inlineStr">
        <is>
          <t>VIMMERBY</t>
        </is>
      </c>
      <c r="F421" t="inlineStr">
        <is>
          <t>Sveaskog</t>
        </is>
      </c>
      <c r="G421" t="n">
        <v>8</v>
      </c>
      <c r="H421" t="n">
        <v>0</v>
      </c>
      <c r="I421" t="n">
        <v>0</v>
      </c>
      <c r="J421" t="n">
        <v>0</v>
      </c>
      <c r="K421" t="n">
        <v>0</v>
      </c>
      <c r="L421" t="n">
        <v>0</v>
      </c>
      <c r="M421" t="n">
        <v>0</v>
      </c>
      <c r="N421" t="n">
        <v>0</v>
      </c>
      <c r="O421" t="n">
        <v>0</v>
      </c>
      <c r="P421" t="n">
        <v>0</v>
      </c>
      <c r="Q421" t="n">
        <v>0</v>
      </c>
      <c r="R421" s="2" t="inlineStr"/>
    </row>
    <row r="422" ht="15" customHeight="1">
      <c r="A422" t="inlineStr">
        <is>
          <t>A 35597-2025</t>
        </is>
      </c>
      <c r="B422" s="1" t="n">
        <v>45858.66019675926</v>
      </c>
      <c r="C422" s="1" t="n">
        <v>45899</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16020-2023</t>
        </is>
      </c>
      <c r="B423" s="1" t="n">
        <v>45026.82216435186</v>
      </c>
      <c r="C423" s="1" t="n">
        <v>45899</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5527-2022</t>
        </is>
      </c>
      <c r="B424" s="1" t="n">
        <v>44595.583125</v>
      </c>
      <c r="C424" s="1" t="n">
        <v>45899</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60292-2022</t>
        </is>
      </c>
      <c r="B425" s="1" t="n">
        <v>44910.54231481482</v>
      </c>
      <c r="C425" s="1" t="n">
        <v>45899</v>
      </c>
      <c r="D425" t="inlineStr">
        <is>
          <t>KALMAR LÄN</t>
        </is>
      </c>
      <c r="E425" t="inlineStr">
        <is>
          <t>VIMMERBY</t>
        </is>
      </c>
      <c r="G425" t="n">
        <v>4.4</v>
      </c>
      <c r="H425" t="n">
        <v>0</v>
      </c>
      <c r="I425" t="n">
        <v>0</v>
      </c>
      <c r="J425" t="n">
        <v>0</v>
      </c>
      <c r="K425" t="n">
        <v>0</v>
      </c>
      <c r="L425" t="n">
        <v>0</v>
      </c>
      <c r="M425" t="n">
        <v>0</v>
      </c>
      <c r="N425" t="n">
        <v>0</v>
      </c>
      <c r="O425" t="n">
        <v>0</v>
      </c>
      <c r="P425" t="n">
        <v>0</v>
      </c>
      <c r="Q425" t="n">
        <v>0</v>
      </c>
      <c r="R425" s="2" t="inlineStr"/>
    </row>
    <row r="426" ht="15" customHeight="1">
      <c r="A426" t="inlineStr">
        <is>
          <t>A 43034-2024</t>
        </is>
      </c>
      <c r="B426" s="1" t="n">
        <v>45567.42011574074</v>
      </c>
      <c r="C426" s="1" t="n">
        <v>45899</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40256-2024</t>
        </is>
      </c>
      <c r="B427" s="1" t="n">
        <v>45554.62944444444</v>
      </c>
      <c r="C427" s="1" t="n">
        <v>45899</v>
      </c>
      <c r="D427" t="inlineStr">
        <is>
          <t>KALMAR LÄN</t>
        </is>
      </c>
      <c r="E427" t="inlineStr">
        <is>
          <t>VIMMERBY</t>
        </is>
      </c>
      <c r="G427" t="n">
        <v>0.9</v>
      </c>
      <c r="H427" t="n">
        <v>0</v>
      </c>
      <c r="I427" t="n">
        <v>0</v>
      </c>
      <c r="J427" t="n">
        <v>0</v>
      </c>
      <c r="K427" t="n">
        <v>0</v>
      </c>
      <c r="L427" t="n">
        <v>0</v>
      </c>
      <c r="M427" t="n">
        <v>0</v>
      </c>
      <c r="N427" t="n">
        <v>0</v>
      </c>
      <c r="O427" t="n">
        <v>0</v>
      </c>
      <c r="P427" t="n">
        <v>0</v>
      </c>
      <c r="Q427" t="n">
        <v>0</v>
      </c>
      <c r="R427" s="2" t="inlineStr"/>
    </row>
    <row r="428" ht="15" customHeight="1">
      <c r="A428" t="inlineStr">
        <is>
          <t>A 28282-2025</t>
        </is>
      </c>
      <c r="B428" s="1" t="n">
        <v>45818.58769675926</v>
      </c>
      <c r="C428" s="1" t="n">
        <v>45899</v>
      </c>
      <c r="D428" t="inlineStr">
        <is>
          <t>KALMAR LÄN</t>
        </is>
      </c>
      <c r="E428" t="inlineStr">
        <is>
          <t>VIMMERBY</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28294-2025</t>
        </is>
      </c>
      <c r="B429" s="1" t="n">
        <v>45818.595625</v>
      </c>
      <c r="C429" s="1" t="n">
        <v>45899</v>
      </c>
      <c r="D429" t="inlineStr">
        <is>
          <t>KALMAR LÄN</t>
        </is>
      </c>
      <c r="E429" t="inlineStr">
        <is>
          <t>VIMMERBY</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49461-2023</t>
        </is>
      </c>
      <c r="B430" s="1" t="n">
        <v>45211.52642361111</v>
      </c>
      <c r="C430" s="1" t="n">
        <v>45899</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49474-2023</t>
        </is>
      </c>
      <c r="B431" s="1" t="n">
        <v>45211.541875</v>
      </c>
      <c r="C431" s="1" t="n">
        <v>45899</v>
      </c>
      <c r="D431" t="inlineStr">
        <is>
          <t>KALMAR LÄN</t>
        </is>
      </c>
      <c r="E431" t="inlineStr">
        <is>
          <t>VIMMERBY</t>
        </is>
      </c>
      <c r="G431" t="n">
        <v>3.6</v>
      </c>
      <c r="H431" t="n">
        <v>0</v>
      </c>
      <c r="I431" t="n">
        <v>0</v>
      </c>
      <c r="J431" t="n">
        <v>0</v>
      </c>
      <c r="K431" t="n">
        <v>0</v>
      </c>
      <c r="L431" t="n">
        <v>0</v>
      </c>
      <c r="M431" t="n">
        <v>0</v>
      </c>
      <c r="N431" t="n">
        <v>0</v>
      </c>
      <c r="O431" t="n">
        <v>0</v>
      </c>
      <c r="P431" t="n">
        <v>0</v>
      </c>
      <c r="Q431" t="n">
        <v>0</v>
      </c>
      <c r="R431" s="2" t="inlineStr"/>
    </row>
    <row r="432" ht="15" customHeight="1">
      <c r="A432" t="inlineStr">
        <is>
          <t>A 61861-2024</t>
        </is>
      </c>
      <c r="B432" s="1" t="n">
        <v>45650.37370370371</v>
      </c>
      <c r="C432" s="1" t="n">
        <v>45899</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43093-2024</t>
        </is>
      </c>
      <c r="B433" s="1" t="n">
        <v>45567</v>
      </c>
      <c r="C433" s="1" t="n">
        <v>45899</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45846-2023</t>
        </is>
      </c>
      <c r="B434" s="1" t="n">
        <v>45195.58452546296</v>
      </c>
      <c r="C434" s="1" t="n">
        <v>45899</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28713-2025</t>
        </is>
      </c>
      <c r="B435" s="1" t="n">
        <v>45820.33930555556</v>
      </c>
      <c r="C435" s="1" t="n">
        <v>45899</v>
      </c>
      <c r="D435" t="inlineStr">
        <is>
          <t>KALMAR LÄN</t>
        </is>
      </c>
      <c r="E435" t="inlineStr">
        <is>
          <t>VIMMERBY</t>
        </is>
      </c>
      <c r="G435" t="n">
        <v>2.3</v>
      </c>
      <c r="H435" t="n">
        <v>0</v>
      </c>
      <c r="I435" t="n">
        <v>0</v>
      </c>
      <c r="J435" t="n">
        <v>0</v>
      </c>
      <c r="K435" t="n">
        <v>0</v>
      </c>
      <c r="L435" t="n">
        <v>0</v>
      </c>
      <c r="M435" t="n">
        <v>0</v>
      </c>
      <c r="N435" t="n">
        <v>0</v>
      </c>
      <c r="O435" t="n">
        <v>0</v>
      </c>
      <c r="P435" t="n">
        <v>0</v>
      </c>
      <c r="Q435" t="n">
        <v>0</v>
      </c>
      <c r="R435" s="2" t="inlineStr"/>
    </row>
    <row r="436" ht="15" customHeight="1">
      <c r="A436" t="inlineStr">
        <is>
          <t>A 8167-2024</t>
        </is>
      </c>
      <c r="B436" s="1" t="n">
        <v>45351.6062962963</v>
      </c>
      <c r="C436" s="1" t="n">
        <v>45899</v>
      </c>
      <c r="D436" t="inlineStr">
        <is>
          <t>KALMAR LÄN</t>
        </is>
      </c>
      <c r="E436" t="inlineStr">
        <is>
          <t>VIMMERBY</t>
        </is>
      </c>
      <c r="G436" t="n">
        <v>3.8</v>
      </c>
      <c r="H436" t="n">
        <v>0</v>
      </c>
      <c r="I436" t="n">
        <v>0</v>
      </c>
      <c r="J436" t="n">
        <v>0</v>
      </c>
      <c r="K436" t="n">
        <v>0</v>
      </c>
      <c r="L436" t="n">
        <v>0</v>
      </c>
      <c r="M436" t="n">
        <v>0</v>
      </c>
      <c r="N436" t="n">
        <v>0</v>
      </c>
      <c r="O436" t="n">
        <v>0</v>
      </c>
      <c r="P436" t="n">
        <v>0</v>
      </c>
      <c r="Q436" t="n">
        <v>0</v>
      </c>
      <c r="R436" s="2" t="inlineStr"/>
    </row>
    <row r="437" ht="15" customHeight="1">
      <c r="A437" t="inlineStr">
        <is>
          <t>A 35198-2023</t>
        </is>
      </c>
      <c r="B437" s="1" t="n">
        <v>45145</v>
      </c>
      <c r="C437" s="1" t="n">
        <v>45899</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28712-2025</t>
        </is>
      </c>
      <c r="B438" s="1" t="n">
        <v>45820.33708333333</v>
      </c>
      <c r="C438" s="1" t="n">
        <v>45899</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28714-2025</t>
        </is>
      </c>
      <c r="B439" s="1" t="n">
        <v>45820.34128472222</v>
      </c>
      <c r="C439" s="1" t="n">
        <v>45899</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28620-2025</t>
        </is>
      </c>
      <c r="B440" s="1" t="n">
        <v>45819.61060185185</v>
      </c>
      <c r="C440" s="1" t="n">
        <v>45899</v>
      </c>
      <c r="D440" t="inlineStr">
        <is>
          <t>KALMAR LÄN</t>
        </is>
      </c>
      <c r="E440" t="inlineStr">
        <is>
          <t>VIMMERBY</t>
        </is>
      </c>
      <c r="G440" t="n">
        <v>5.6</v>
      </c>
      <c r="H440" t="n">
        <v>0</v>
      </c>
      <c r="I440" t="n">
        <v>0</v>
      </c>
      <c r="J440" t="n">
        <v>0</v>
      </c>
      <c r="K440" t="n">
        <v>0</v>
      </c>
      <c r="L440" t="n">
        <v>0</v>
      </c>
      <c r="M440" t="n">
        <v>0</v>
      </c>
      <c r="N440" t="n">
        <v>0</v>
      </c>
      <c r="O440" t="n">
        <v>0</v>
      </c>
      <c r="P440" t="n">
        <v>0</v>
      </c>
      <c r="Q440" t="n">
        <v>0</v>
      </c>
      <c r="R440" s="2" t="inlineStr"/>
    </row>
    <row r="441" ht="15" customHeight="1">
      <c r="A441" t="inlineStr">
        <is>
          <t>A 49382-2023</t>
        </is>
      </c>
      <c r="B441" s="1" t="n">
        <v>45208</v>
      </c>
      <c r="C441" s="1" t="n">
        <v>45899</v>
      </c>
      <c r="D441" t="inlineStr">
        <is>
          <t>KALMAR LÄN</t>
        </is>
      </c>
      <c r="E441" t="inlineStr">
        <is>
          <t>VIMMERBY</t>
        </is>
      </c>
      <c r="G441" t="n">
        <v>2.2</v>
      </c>
      <c r="H441" t="n">
        <v>0</v>
      </c>
      <c r="I441" t="n">
        <v>0</v>
      </c>
      <c r="J441" t="n">
        <v>0</v>
      </c>
      <c r="K441" t="n">
        <v>0</v>
      </c>
      <c r="L441" t="n">
        <v>0</v>
      </c>
      <c r="M441" t="n">
        <v>0</v>
      </c>
      <c r="N441" t="n">
        <v>0</v>
      </c>
      <c r="O441" t="n">
        <v>0</v>
      </c>
      <c r="P441" t="n">
        <v>0</v>
      </c>
      <c r="Q441" t="n">
        <v>0</v>
      </c>
      <c r="R441" s="2" t="inlineStr"/>
    </row>
    <row r="442" ht="15" customHeight="1">
      <c r="A442" t="inlineStr">
        <is>
          <t>A 12121-2025</t>
        </is>
      </c>
      <c r="B442" s="1" t="n">
        <v>45729.36868055556</v>
      </c>
      <c r="C442" s="1" t="n">
        <v>45899</v>
      </c>
      <c r="D442" t="inlineStr">
        <is>
          <t>KALMAR LÄN</t>
        </is>
      </c>
      <c r="E442" t="inlineStr">
        <is>
          <t>VIMMERBY</t>
        </is>
      </c>
      <c r="G442" t="n">
        <v>4.3</v>
      </c>
      <c r="H442" t="n">
        <v>0</v>
      </c>
      <c r="I442" t="n">
        <v>0</v>
      </c>
      <c r="J442" t="n">
        <v>0</v>
      </c>
      <c r="K442" t="n">
        <v>0</v>
      </c>
      <c r="L442" t="n">
        <v>0</v>
      </c>
      <c r="M442" t="n">
        <v>0</v>
      </c>
      <c r="N442" t="n">
        <v>0</v>
      </c>
      <c r="O442" t="n">
        <v>0</v>
      </c>
      <c r="P442" t="n">
        <v>0</v>
      </c>
      <c r="Q442" t="n">
        <v>0</v>
      </c>
      <c r="R442" s="2" t="inlineStr"/>
    </row>
    <row r="443" ht="15" customHeight="1">
      <c r="A443" t="inlineStr">
        <is>
          <t>A 58374-2024</t>
        </is>
      </c>
      <c r="B443" s="1" t="n">
        <v>45632.72635416667</v>
      </c>
      <c r="C443" s="1" t="n">
        <v>45899</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35846-2023</t>
        </is>
      </c>
      <c r="B444" s="1" t="n">
        <v>45148</v>
      </c>
      <c r="C444" s="1" t="n">
        <v>45899</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35913-2023</t>
        </is>
      </c>
      <c r="B445" s="1" t="n">
        <v>45148</v>
      </c>
      <c r="C445" s="1" t="n">
        <v>45899</v>
      </c>
      <c r="D445" t="inlineStr">
        <is>
          <t>KALMAR LÄN</t>
        </is>
      </c>
      <c r="E445" t="inlineStr">
        <is>
          <t>VIMMERBY</t>
        </is>
      </c>
      <c r="G445" t="n">
        <v>6.9</v>
      </c>
      <c r="H445" t="n">
        <v>0</v>
      </c>
      <c r="I445" t="n">
        <v>0</v>
      </c>
      <c r="J445" t="n">
        <v>0</v>
      </c>
      <c r="K445" t="n">
        <v>0</v>
      </c>
      <c r="L445" t="n">
        <v>0</v>
      </c>
      <c r="M445" t="n">
        <v>0</v>
      </c>
      <c r="N445" t="n">
        <v>0</v>
      </c>
      <c r="O445" t="n">
        <v>0</v>
      </c>
      <c r="P445" t="n">
        <v>0</v>
      </c>
      <c r="Q445" t="n">
        <v>0</v>
      </c>
      <c r="R445" s="2" t="inlineStr"/>
    </row>
    <row r="446" ht="15" customHeight="1">
      <c r="A446" t="inlineStr">
        <is>
          <t>A 38757-2023</t>
        </is>
      </c>
      <c r="B446" s="1" t="n">
        <v>45163.41376157408</v>
      </c>
      <c r="C446" s="1" t="n">
        <v>45899</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55300-2021</t>
        </is>
      </c>
      <c r="B447" s="1" t="n">
        <v>44475</v>
      </c>
      <c r="C447" s="1" t="n">
        <v>45899</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29727-2025</t>
        </is>
      </c>
      <c r="B448" s="1" t="n">
        <v>45825.5796875</v>
      </c>
      <c r="C448" s="1" t="n">
        <v>45899</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29737-2025</t>
        </is>
      </c>
      <c r="B449" s="1" t="n">
        <v>45825.58672453704</v>
      </c>
      <c r="C449" s="1" t="n">
        <v>45899</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20136-2024</t>
        </is>
      </c>
      <c r="B450" s="1" t="n">
        <v>45434.56291666667</v>
      </c>
      <c r="C450" s="1" t="n">
        <v>45899</v>
      </c>
      <c r="D450" t="inlineStr">
        <is>
          <t>KALMAR LÄN</t>
        </is>
      </c>
      <c r="E450" t="inlineStr">
        <is>
          <t>VIMMERBY</t>
        </is>
      </c>
      <c r="F450" t="inlineStr">
        <is>
          <t>Sveaskog</t>
        </is>
      </c>
      <c r="G450" t="n">
        <v>8.4</v>
      </c>
      <c r="H450" t="n">
        <v>0</v>
      </c>
      <c r="I450" t="n">
        <v>0</v>
      </c>
      <c r="J450" t="n">
        <v>0</v>
      </c>
      <c r="K450" t="n">
        <v>0</v>
      </c>
      <c r="L450" t="n">
        <v>0</v>
      </c>
      <c r="M450" t="n">
        <v>0</v>
      </c>
      <c r="N450" t="n">
        <v>0</v>
      </c>
      <c r="O450" t="n">
        <v>0</v>
      </c>
      <c r="P450" t="n">
        <v>0</v>
      </c>
      <c r="Q450" t="n">
        <v>0</v>
      </c>
      <c r="R450" s="2" t="inlineStr"/>
    </row>
    <row r="451" ht="15" customHeight="1">
      <c r="A451" t="inlineStr">
        <is>
          <t>A 36226-2025</t>
        </is>
      </c>
      <c r="B451" s="1" t="n">
        <v>45867.51630787037</v>
      </c>
      <c r="C451" s="1" t="n">
        <v>45899</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36246-2025</t>
        </is>
      </c>
      <c r="B452" s="1" t="n">
        <v>45867.56320601852</v>
      </c>
      <c r="C452" s="1" t="n">
        <v>45899</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36273-2025</t>
        </is>
      </c>
      <c r="B453" s="1" t="n">
        <v>45867.63094907408</v>
      </c>
      <c r="C453" s="1" t="n">
        <v>45899</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36221-2025</t>
        </is>
      </c>
      <c r="B454" s="1" t="n">
        <v>45867.50792824074</v>
      </c>
      <c r="C454" s="1" t="n">
        <v>45899</v>
      </c>
      <c r="D454" t="inlineStr">
        <is>
          <t>KALMAR LÄN</t>
        </is>
      </c>
      <c r="E454" t="inlineStr">
        <is>
          <t>VIMMERBY</t>
        </is>
      </c>
      <c r="G454" t="n">
        <v>2.5</v>
      </c>
      <c r="H454" t="n">
        <v>0</v>
      </c>
      <c r="I454" t="n">
        <v>0</v>
      </c>
      <c r="J454" t="n">
        <v>0</v>
      </c>
      <c r="K454" t="n">
        <v>0</v>
      </c>
      <c r="L454" t="n">
        <v>0</v>
      </c>
      <c r="M454" t="n">
        <v>0</v>
      </c>
      <c r="N454" t="n">
        <v>0</v>
      </c>
      <c r="O454" t="n">
        <v>0</v>
      </c>
      <c r="P454" t="n">
        <v>0</v>
      </c>
      <c r="Q454" t="n">
        <v>0</v>
      </c>
      <c r="R454" s="2" t="inlineStr"/>
    </row>
    <row r="455" ht="15" customHeight="1">
      <c r="A455" t="inlineStr">
        <is>
          <t>A 36297-2025</t>
        </is>
      </c>
      <c r="B455" s="1" t="n">
        <v>45867.68625</v>
      </c>
      <c r="C455" s="1" t="n">
        <v>45899</v>
      </c>
      <c r="D455" t="inlineStr">
        <is>
          <t>KALMAR LÄN</t>
        </is>
      </c>
      <c r="E455" t="inlineStr">
        <is>
          <t>VIMMERBY</t>
        </is>
      </c>
      <c r="G455" t="n">
        <v>4.9</v>
      </c>
      <c r="H455" t="n">
        <v>0</v>
      </c>
      <c r="I455" t="n">
        <v>0</v>
      </c>
      <c r="J455" t="n">
        <v>0</v>
      </c>
      <c r="K455" t="n">
        <v>0</v>
      </c>
      <c r="L455" t="n">
        <v>0</v>
      </c>
      <c r="M455" t="n">
        <v>0</v>
      </c>
      <c r="N455" t="n">
        <v>0</v>
      </c>
      <c r="O455" t="n">
        <v>0</v>
      </c>
      <c r="P455" t="n">
        <v>0</v>
      </c>
      <c r="Q455" t="n">
        <v>0</v>
      </c>
      <c r="R455" s="2" t="inlineStr"/>
    </row>
    <row r="456" ht="15" customHeight="1">
      <c r="A456" t="inlineStr">
        <is>
          <t>A 36299-2025</t>
        </is>
      </c>
      <c r="B456" s="1" t="n">
        <v>45867.69346064814</v>
      </c>
      <c r="C456" s="1" t="n">
        <v>45899</v>
      </c>
      <c r="D456" t="inlineStr">
        <is>
          <t>KALMAR LÄN</t>
        </is>
      </c>
      <c r="E456" t="inlineStr">
        <is>
          <t>VIMMERBY</t>
        </is>
      </c>
      <c r="G456" t="n">
        <v>7.6</v>
      </c>
      <c r="H456" t="n">
        <v>0</v>
      </c>
      <c r="I456" t="n">
        <v>0</v>
      </c>
      <c r="J456" t="n">
        <v>0</v>
      </c>
      <c r="K456" t="n">
        <v>0</v>
      </c>
      <c r="L456" t="n">
        <v>0</v>
      </c>
      <c r="M456" t="n">
        <v>0</v>
      </c>
      <c r="N456" t="n">
        <v>0</v>
      </c>
      <c r="O456" t="n">
        <v>0</v>
      </c>
      <c r="P456" t="n">
        <v>0</v>
      </c>
      <c r="Q456" t="n">
        <v>0</v>
      </c>
      <c r="R456" s="2" t="inlineStr"/>
    </row>
    <row r="457" ht="15" customHeight="1">
      <c r="A457" t="inlineStr">
        <is>
          <t>A 47263-2023</t>
        </is>
      </c>
      <c r="B457" s="1" t="n">
        <v>45202.4209837963</v>
      </c>
      <c r="C457" s="1" t="n">
        <v>45899</v>
      </c>
      <c r="D457" t="inlineStr">
        <is>
          <t>KALMAR LÄN</t>
        </is>
      </c>
      <c r="E457" t="inlineStr">
        <is>
          <t>VIMMERBY</t>
        </is>
      </c>
      <c r="G457" t="n">
        <v>1.8</v>
      </c>
      <c r="H457" t="n">
        <v>0</v>
      </c>
      <c r="I457" t="n">
        <v>0</v>
      </c>
      <c r="J457" t="n">
        <v>0</v>
      </c>
      <c r="K457" t="n">
        <v>0</v>
      </c>
      <c r="L457" t="n">
        <v>0</v>
      </c>
      <c r="M457" t="n">
        <v>0</v>
      </c>
      <c r="N457" t="n">
        <v>0</v>
      </c>
      <c r="O457" t="n">
        <v>0</v>
      </c>
      <c r="P457" t="n">
        <v>0</v>
      </c>
      <c r="Q457" t="n">
        <v>0</v>
      </c>
      <c r="R457" s="2" t="inlineStr"/>
    </row>
    <row r="458" ht="15" customHeight="1">
      <c r="A458" t="inlineStr">
        <is>
          <t>A 24283-2023</t>
        </is>
      </c>
      <c r="B458" s="1" t="n">
        <v>45079.87827546296</v>
      </c>
      <c r="C458" s="1" t="n">
        <v>45899</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36282-2025</t>
        </is>
      </c>
      <c r="B459" s="1" t="n">
        <v>45867.64663194444</v>
      </c>
      <c r="C459" s="1" t="n">
        <v>45899</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29726-2025</t>
        </is>
      </c>
      <c r="B460" s="1" t="n">
        <v>45825.57805555555</v>
      </c>
      <c r="C460" s="1" t="n">
        <v>45899</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29724-2025</t>
        </is>
      </c>
      <c r="B461" s="1" t="n">
        <v>45825.57680555555</v>
      </c>
      <c r="C461" s="1" t="n">
        <v>45899</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2536-2023</t>
        </is>
      </c>
      <c r="B462" s="1" t="n">
        <v>44943.62954861111</v>
      </c>
      <c r="C462" s="1" t="n">
        <v>45899</v>
      </c>
      <c r="D462" t="inlineStr">
        <is>
          <t>KALMAR LÄN</t>
        </is>
      </c>
      <c r="E462" t="inlineStr">
        <is>
          <t>VIMMERBY</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2801-2023</t>
        </is>
      </c>
      <c r="B463" s="1" t="n">
        <v>44944.73487268519</v>
      </c>
      <c r="C463" s="1" t="n">
        <v>45899</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17968-2025</t>
        </is>
      </c>
      <c r="B464" s="1" t="n">
        <v>45761.35990740741</v>
      </c>
      <c r="C464" s="1" t="n">
        <v>45899</v>
      </c>
      <c r="D464" t="inlineStr">
        <is>
          <t>KALMAR LÄN</t>
        </is>
      </c>
      <c r="E464" t="inlineStr">
        <is>
          <t>VIMMERBY</t>
        </is>
      </c>
      <c r="G464" t="n">
        <v>3.3</v>
      </c>
      <c r="H464" t="n">
        <v>0</v>
      </c>
      <c r="I464" t="n">
        <v>0</v>
      </c>
      <c r="J464" t="n">
        <v>0</v>
      </c>
      <c r="K464" t="n">
        <v>0</v>
      </c>
      <c r="L464" t="n">
        <v>0</v>
      </c>
      <c r="M464" t="n">
        <v>0</v>
      </c>
      <c r="N464" t="n">
        <v>0</v>
      </c>
      <c r="O464" t="n">
        <v>0</v>
      </c>
      <c r="P464" t="n">
        <v>0</v>
      </c>
      <c r="Q464" t="n">
        <v>0</v>
      </c>
      <c r="R464" s="2" t="inlineStr"/>
    </row>
    <row r="465" ht="15" customHeight="1">
      <c r="A465" t="inlineStr">
        <is>
          <t>A 30293-2025</t>
        </is>
      </c>
      <c r="B465" s="1" t="n">
        <v>45827</v>
      </c>
      <c r="C465" s="1" t="n">
        <v>45899</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36602-2025</t>
        </is>
      </c>
      <c r="B466" s="1" t="n">
        <v>45870.52111111111</v>
      </c>
      <c r="C466" s="1" t="n">
        <v>45899</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59598-2023</t>
        </is>
      </c>
      <c r="B467" s="1" t="n">
        <v>45254.62489583333</v>
      </c>
      <c r="C467" s="1" t="n">
        <v>45899</v>
      </c>
      <c r="D467" t="inlineStr">
        <is>
          <t>KALMAR LÄN</t>
        </is>
      </c>
      <c r="E467" t="inlineStr">
        <is>
          <t>VIMMERBY</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30920-2023</t>
        </is>
      </c>
      <c r="B468" s="1" t="n">
        <v>45113.43921296296</v>
      </c>
      <c r="C468" s="1" t="n">
        <v>45899</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36598-2025</t>
        </is>
      </c>
      <c r="B469" s="1" t="n">
        <v>45870.51708333333</v>
      </c>
      <c r="C469" s="1" t="n">
        <v>45899</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36601-2025</t>
        </is>
      </c>
      <c r="B470" s="1" t="n">
        <v>45870.52005787037</v>
      </c>
      <c r="C470" s="1" t="n">
        <v>45899</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36603-2025</t>
        </is>
      </c>
      <c r="B471" s="1" t="n">
        <v>45870.52142361111</v>
      </c>
      <c r="C471" s="1" t="n">
        <v>45899</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36600-2025</t>
        </is>
      </c>
      <c r="B472" s="1" t="n">
        <v>45870.51958333333</v>
      </c>
      <c r="C472" s="1" t="n">
        <v>45899</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14451-2024</t>
        </is>
      </c>
      <c r="B473" s="1" t="n">
        <v>45394.50028935185</v>
      </c>
      <c r="C473" s="1" t="n">
        <v>45899</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36538-2025</t>
        </is>
      </c>
      <c r="B474" s="1" t="n">
        <v>45869.62276620371</v>
      </c>
      <c r="C474" s="1" t="n">
        <v>45899</v>
      </c>
      <c r="D474" t="inlineStr">
        <is>
          <t>KALMAR LÄN</t>
        </is>
      </c>
      <c r="E474" t="inlineStr">
        <is>
          <t>VIMMERBY</t>
        </is>
      </c>
      <c r="G474" t="n">
        <v>2.6</v>
      </c>
      <c r="H474" t="n">
        <v>0</v>
      </c>
      <c r="I474" t="n">
        <v>0</v>
      </c>
      <c r="J474" t="n">
        <v>0</v>
      </c>
      <c r="K474" t="n">
        <v>0</v>
      </c>
      <c r="L474" t="n">
        <v>0</v>
      </c>
      <c r="M474" t="n">
        <v>0</v>
      </c>
      <c r="N474" t="n">
        <v>0</v>
      </c>
      <c r="O474" t="n">
        <v>0</v>
      </c>
      <c r="P474" t="n">
        <v>0</v>
      </c>
      <c r="Q474" t="n">
        <v>0</v>
      </c>
      <c r="R474" s="2" t="inlineStr"/>
    </row>
    <row r="475" ht="15" customHeight="1">
      <c r="A475" t="inlineStr">
        <is>
          <t>A 30290-2025</t>
        </is>
      </c>
      <c r="B475" s="1" t="n">
        <v>45827</v>
      </c>
      <c r="C475" s="1" t="n">
        <v>45899</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46238-2024</t>
        </is>
      </c>
      <c r="B476" s="1" t="n">
        <v>45581.58418981481</v>
      </c>
      <c r="C476" s="1" t="n">
        <v>45899</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50993-2022</t>
        </is>
      </c>
      <c r="B477" s="1" t="n">
        <v>44867</v>
      </c>
      <c r="C477" s="1" t="n">
        <v>45899</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45899</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36055-2024</t>
        </is>
      </c>
      <c r="B479" s="1" t="n">
        <v>45533.63056712963</v>
      </c>
      <c r="C479" s="1" t="n">
        <v>45899</v>
      </c>
      <c r="D479" t="inlineStr">
        <is>
          <t>KALMAR LÄN</t>
        </is>
      </c>
      <c r="E479" t="inlineStr">
        <is>
          <t>VIMMERBY</t>
        </is>
      </c>
      <c r="F479" t="inlineStr">
        <is>
          <t>Kommuner</t>
        </is>
      </c>
      <c r="G479" t="n">
        <v>1.9</v>
      </c>
      <c r="H479" t="n">
        <v>0</v>
      </c>
      <c r="I479" t="n">
        <v>0</v>
      </c>
      <c r="J479" t="n">
        <v>0</v>
      </c>
      <c r="K479" t="n">
        <v>0</v>
      </c>
      <c r="L479" t="n">
        <v>0</v>
      </c>
      <c r="M479" t="n">
        <v>0</v>
      </c>
      <c r="N479" t="n">
        <v>0</v>
      </c>
      <c r="O479" t="n">
        <v>0</v>
      </c>
      <c r="P479" t="n">
        <v>0</v>
      </c>
      <c r="Q479" t="n">
        <v>0</v>
      </c>
      <c r="R479" s="2" t="inlineStr"/>
    </row>
    <row r="480" ht="15" customHeight="1">
      <c r="A480" t="inlineStr">
        <is>
          <t>A 47859-2024</t>
        </is>
      </c>
      <c r="B480" s="1" t="n">
        <v>45588.67070601852</v>
      </c>
      <c r="C480" s="1" t="n">
        <v>45899</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32835-2022</t>
        </is>
      </c>
      <c r="B481" s="1" t="n">
        <v>44784.42528935185</v>
      </c>
      <c r="C481" s="1" t="n">
        <v>45899</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30850-2025</t>
        </is>
      </c>
      <c r="B482" s="1" t="n">
        <v>45831</v>
      </c>
      <c r="C482" s="1" t="n">
        <v>45899</v>
      </c>
      <c r="D482" t="inlineStr">
        <is>
          <t>KALMAR LÄN</t>
        </is>
      </c>
      <c r="E482" t="inlineStr">
        <is>
          <t>VIMMERBY</t>
        </is>
      </c>
      <c r="G482" t="n">
        <v>2.7</v>
      </c>
      <c r="H482" t="n">
        <v>0</v>
      </c>
      <c r="I482" t="n">
        <v>0</v>
      </c>
      <c r="J482" t="n">
        <v>0</v>
      </c>
      <c r="K482" t="n">
        <v>0</v>
      </c>
      <c r="L482" t="n">
        <v>0</v>
      </c>
      <c r="M482" t="n">
        <v>0</v>
      </c>
      <c r="N482" t="n">
        <v>0</v>
      </c>
      <c r="O482" t="n">
        <v>0</v>
      </c>
      <c r="P482" t="n">
        <v>0</v>
      </c>
      <c r="Q482" t="n">
        <v>0</v>
      </c>
      <c r="R482" s="2" t="inlineStr"/>
    </row>
    <row r="483" ht="15" customHeight="1">
      <c r="A483" t="inlineStr">
        <is>
          <t>A 40929-2022</t>
        </is>
      </c>
      <c r="B483" s="1" t="n">
        <v>44825.4336574074</v>
      </c>
      <c r="C483" s="1" t="n">
        <v>45899</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41896-2023</t>
        </is>
      </c>
      <c r="B484" s="1" t="n">
        <v>45176.72427083334</v>
      </c>
      <c r="C484" s="1" t="n">
        <v>45899</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36934-2025</t>
        </is>
      </c>
      <c r="B485" s="1" t="n">
        <v>45874.57109953704</v>
      </c>
      <c r="C485" s="1" t="n">
        <v>45899</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30882-2025</t>
        </is>
      </c>
      <c r="B486" s="1" t="n">
        <v>45832.34540509259</v>
      </c>
      <c r="C486" s="1" t="n">
        <v>45899</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43606-2024</t>
        </is>
      </c>
      <c r="B487" s="1" t="n">
        <v>45569.45017361111</v>
      </c>
      <c r="C487" s="1" t="n">
        <v>45899</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30971-2025</t>
        </is>
      </c>
      <c r="B488" s="1" t="n">
        <v>45832.46146990741</v>
      </c>
      <c r="C488" s="1" t="n">
        <v>45899</v>
      </c>
      <c r="D488" t="inlineStr">
        <is>
          <t>KALMAR LÄN</t>
        </is>
      </c>
      <c r="E488" t="inlineStr">
        <is>
          <t>VIMMERBY</t>
        </is>
      </c>
      <c r="G488" t="n">
        <v>1.2</v>
      </c>
      <c r="H488" t="n">
        <v>0</v>
      </c>
      <c r="I488" t="n">
        <v>0</v>
      </c>
      <c r="J488" t="n">
        <v>0</v>
      </c>
      <c r="K488" t="n">
        <v>0</v>
      </c>
      <c r="L488" t="n">
        <v>0</v>
      </c>
      <c r="M488" t="n">
        <v>0</v>
      </c>
      <c r="N488" t="n">
        <v>0</v>
      </c>
      <c r="O488" t="n">
        <v>0</v>
      </c>
      <c r="P488" t="n">
        <v>0</v>
      </c>
      <c r="Q488" t="n">
        <v>0</v>
      </c>
      <c r="R488" s="2" t="inlineStr"/>
    </row>
    <row r="489" ht="15" customHeight="1">
      <c r="A489" t="inlineStr">
        <is>
          <t>A 12325-2023</t>
        </is>
      </c>
      <c r="B489" s="1" t="n">
        <v>44999.35858796296</v>
      </c>
      <c r="C489" s="1" t="n">
        <v>45899</v>
      </c>
      <c r="D489" t="inlineStr">
        <is>
          <t>KALMAR LÄN</t>
        </is>
      </c>
      <c r="E489" t="inlineStr">
        <is>
          <t>VIMMERBY</t>
        </is>
      </c>
      <c r="G489" t="n">
        <v>3.4</v>
      </c>
      <c r="H489" t="n">
        <v>0</v>
      </c>
      <c r="I489" t="n">
        <v>0</v>
      </c>
      <c r="J489" t="n">
        <v>0</v>
      </c>
      <c r="K489" t="n">
        <v>0</v>
      </c>
      <c r="L489" t="n">
        <v>0</v>
      </c>
      <c r="M489" t="n">
        <v>0</v>
      </c>
      <c r="N489" t="n">
        <v>0</v>
      </c>
      <c r="O489" t="n">
        <v>0</v>
      </c>
      <c r="P489" t="n">
        <v>0</v>
      </c>
      <c r="Q489" t="n">
        <v>0</v>
      </c>
      <c r="R489" s="2" t="inlineStr"/>
    </row>
    <row r="490" ht="15" customHeight="1">
      <c r="A490" t="inlineStr">
        <is>
          <t>A 33380-2023</t>
        </is>
      </c>
      <c r="B490" s="1" t="n">
        <v>45128</v>
      </c>
      <c r="C490" s="1" t="n">
        <v>45899</v>
      </c>
      <c r="D490" t="inlineStr">
        <is>
          <t>KALMAR LÄN</t>
        </is>
      </c>
      <c r="E490" t="inlineStr">
        <is>
          <t>VIMMERBY</t>
        </is>
      </c>
      <c r="G490" t="n">
        <v>5.2</v>
      </c>
      <c r="H490" t="n">
        <v>0</v>
      </c>
      <c r="I490" t="n">
        <v>0</v>
      </c>
      <c r="J490" t="n">
        <v>0</v>
      </c>
      <c r="K490" t="n">
        <v>0</v>
      </c>
      <c r="L490" t="n">
        <v>0</v>
      </c>
      <c r="M490" t="n">
        <v>0</v>
      </c>
      <c r="N490" t="n">
        <v>0</v>
      </c>
      <c r="O490" t="n">
        <v>0</v>
      </c>
      <c r="P490" t="n">
        <v>0</v>
      </c>
      <c r="Q490" t="n">
        <v>0</v>
      </c>
      <c r="R490" s="2" t="inlineStr"/>
    </row>
    <row r="491" ht="15" customHeight="1">
      <c r="A491" t="inlineStr">
        <is>
          <t>A 46144-2023</t>
        </is>
      </c>
      <c r="B491" s="1" t="n">
        <v>45196.57247685185</v>
      </c>
      <c r="C491" s="1" t="n">
        <v>45899</v>
      </c>
      <c r="D491" t="inlineStr">
        <is>
          <t>KALMAR LÄN</t>
        </is>
      </c>
      <c r="E491" t="inlineStr">
        <is>
          <t>VIMMERBY</t>
        </is>
      </c>
      <c r="G491" t="n">
        <v>6.5</v>
      </c>
      <c r="H491" t="n">
        <v>0</v>
      </c>
      <c r="I491" t="n">
        <v>0</v>
      </c>
      <c r="J491" t="n">
        <v>0</v>
      </c>
      <c r="K491" t="n">
        <v>0</v>
      </c>
      <c r="L491" t="n">
        <v>0</v>
      </c>
      <c r="M491" t="n">
        <v>0</v>
      </c>
      <c r="N491" t="n">
        <v>0</v>
      </c>
      <c r="O491" t="n">
        <v>0</v>
      </c>
      <c r="P491" t="n">
        <v>0</v>
      </c>
      <c r="Q491" t="n">
        <v>0</v>
      </c>
      <c r="R491" s="2" t="inlineStr"/>
    </row>
    <row r="492" ht="15" customHeight="1">
      <c r="A492" t="inlineStr">
        <is>
          <t>A 8945-2025</t>
        </is>
      </c>
      <c r="B492" s="1" t="n">
        <v>45713.45311342592</v>
      </c>
      <c r="C492" s="1" t="n">
        <v>45899</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31552-2025</t>
        </is>
      </c>
      <c r="B493" s="1" t="n">
        <v>45833.64563657407</v>
      </c>
      <c r="C493" s="1" t="n">
        <v>45899</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31555-2025</t>
        </is>
      </c>
      <c r="B494" s="1" t="n">
        <v>45833.64814814815</v>
      </c>
      <c r="C494" s="1" t="n">
        <v>45899</v>
      </c>
      <c r="D494" t="inlineStr">
        <is>
          <t>KALMAR LÄN</t>
        </is>
      </c>
      <c r="E494" t="inlineStr">
        <is>
          <t>VIMMERBY</t>
        </is>
      </c>
      <c r="G494" t="n">
        <v>1.8</v>
      </c>
      <c r="H494" t="n">
        <v>0</v>
      </c>
      <c r="I494" t="n">
        <v>0</v>
      </c>
      <c r="J494" t="n">
        <v>0</v>
      </c>
      <c r="K494" t="n">
        <v>0</v>
      </c>
      <c r="L494" t="n">
        <v>0</v>
      </c>
      <c r="M494" t="n">
        <v>0</v>
      </c>
      <c r="N494" t="n">
        <v>0</v>
      </c>
      <c r="O494" t="n">
        <v>0</v>
      </c>
      <c r="P494" t="n">
        <v>0</v>
      </c>
      <c r="Q494" t="n">
        <v>0</v>
      </c>
      <c r="R494" s="2" t="inlineStr"/>
    </row>
    <row r="495" ht="15" customHeight="1">
      <c r="A495" t="inlineStr">
        <is>
          <t>A 40665-2023</t>
        </is>
      </c>
      <c r="B495" s="1" t="n">
        <v>45170</v>
      </c>
      <c r="C495" s="1" t="n">
        <v>45899</v>
      </c>
      <c r="D495" t="inlineStr">
        <is>
          <t>KALMAR LÄN</t>
        </is>
      </c>
      <c r="E495" t="inlineStr">
        <is>
          <t>VIMMERBY</t>
        </is>
      </c>
      <c r="G495" t="n">
        <v>2.6</v>
      </c>
      <c r="H495" t="n">
        <v>0</v>
      </c>
      <c r="I495" t="n">
        <v>0</v>
      </c>
      <c r="J495" t="n">
        <v>0</v>
      </c>
      <c r="K495" t="n">
        <v>0</v>
      </c>
      <c r="L495" t="n">
        <v>0</v>
      </c>
      <c r="M495" t="n">
        <v>0</v>
      </c>
      <c r="N495" t="n">
        <v>0</v>
      </c>
      <c r="O495" t="n">
        <v>0</v>
      </c>
      <c r="P495" t="n">
        <v>0</v>
      </c>
      <c r="Q495" t="n">
        <v>0</v>
      </c>
      <c r="R495" s="2" t="inlineStr"/>
    </row>
    <row r="496" ht="15" customHeight="1">
      <c r="A496" t="inlineStr">
        <is>
          <t>A 13307-2025</t>
        </is>
      </c>
      <c r="B496" s="1" t="n">
        <v>45735.58024305556</v>
      </c>
      <c r="C496" s="1" t="n">
        <v>45899</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54787-2023</t>
        </is>
      </c>
      <c r="B497" s="1" t="n">
        <v>45236</v>
      </c>
      <c r="C497" s="1" t="n">
        <v>45899</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28034-2022</t>
        </is>
      </c>
      <c r="B498" s="1" t="n">
        <v>44746.38834490741</v>
      </c>
      <c r="C498" s="1" t="n">
        <v>45899</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15715-2022</t>
        </is>
      </c>
      <c r="B499" s="1" t="n">
        <v>44663</v>
      </c>
      <c r="C499" s="1" t="n">
        <v>45899</v>
      </c>
      <c r="D499" t="inlineStr">
        <is>
          <t>KALMAR LÄN</t>
        </is>
      </c>
      <c r="E499" t="inlineStr">
        <is>
          <t>VIMMERBY</t>
        </is>
      </c>
      <c r="G499" t="n">
        <v>2.3</v>
      </c>
      <c r="H499" t="n">
        <v>0</v>
      </c>
      <c r="I499" t="n">
        <v>0</v>
      </c>
      <c r="J499" t="n">
        <v>0</v>
      </c>
      <c r="K499" t="n">
        <v>0</v>
      </c>
      <c r="L499" t="n">
        <v>0</v>
      </c>
      <c r="M499" t="n">
        <v>0</v>
      </c>
      <c r="N499" t="n">
        <v>0</v>
      </c>
      <c r="O499" t="n">
        <v>0</v>
      </c>
      <c r="P499" t="n">
        <v>0</v>
      </c>
      <c r="Q499" t="n">
        <v>0</v>
      </c>
      <c r="R499" s="2" t="inlineStr"/>
    </row>
    <row r="500" ht="15" customHeight="1">
      <c r="A500" t="inlineStr">
        <is>
          <t>A 37102-2025</t>
        </is>
      </c>
      <c r="B500" s="1" t="n">
        <v>45875.47454861111</v>
      </c>
      <c r="C500" s="1" t="n">
        <v>45899</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37088-2025</t>
        </is>
      </c>
      <c r="B501" s="1" t="n">
        <v>45875.45716435185</v>
      </c>
      <c r="C501" s="1" t="n">
        <v>45899</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43774-2023</t>
        </is>
      </c>
      <c r="B502" s="1" t="n">
        <v>45187</v>
      </c>
      <c r="C502" s="1" t="n">
        <v>45899</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43705-2023</t>
        </is>
      </c>
      <c r="B503" s="1" t="n">
        <v>45187.42854166667</v>
      </c>
      <c r="C503" s="1" t="n">
        <v>45899</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45899</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55605-2024</t>
        </is>
      </c>
      <c r="B505" s="1" t="n">
        <v>45622</v>
      </c>
      <c r="C505" s="1" t="n">
        <v>45899</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13532-2025</t>
        </is>
      </c>
      <c r="B506" s="1" t="n">
        <v>45736.50743055555</v>
      </c>
      <c r="C506" s="1" t="n">
        <v>45899</v>
      </c>
      <c r="D506" t="inlineStr">
        <is>
          <t>KALMAR LÄN</t>
        </is>
      </c>
      <c r="E506" t="inlineStr">
        <is>
          <t>VIMMERBY</t>
        </is>
      </c>
      <c r="G506" t="n">
        <v>3.6</v>
      </c>
      <c r="H506" t="n">
        <v>0</v>
      </c>
      <c r="I506" t="n">
        <v>0</v>
      </c>
      <c r="J506" t="n">
        <v>0</v>
      </c>
      <c r="K506" t="n">
        <v>0</v>
      </c>
      <c r="L506" t="n">
        <v>0</v>
      </c>
      <c r="M506" t="n">
        <v>0</v>
      </c>
      <c r="N506" t="n">
        <v>0</v>
      </c>
      <c r="O506" t="n">
        <v>0</v>
      </c>
      <c r="P506" t="n">
        <v>0</v>
      </c>
      <c r="Q506" t="n">
        <v>0</v>
      </c>
      <c r="R506" s="2" t="inlineStr"/>
    </row>
    <row r="507" ht="15" customHeight="1">
      <c r="A507" t="inlineStr">
        <is>
          <t>A 65049-2020</t>
        </is>
      </c>
      <c r="B507" s="1" t="n">
        <v>44172</v>
      </c>
      <c r="C507" s="1" t="n">
        <v>45899</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42165-2024</t>
        </is>
      </c>
      <c r="B508" s="1" t="n">
        <v>45562.46342592593</v>
      </c>
      <c r="C508" s="1" t="n">
        <v>45899</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31870-2025</t>
        </is>
      </c>
      <c r="B509" s="1" t="n">
        <v>45834.64667824074</v>
      </c>
      <c r="C509" s="1" t="n">
        <v>45899</v>
      </c>
      <c r="D509" t="inlineStr">
        <is>
          <t>KALMAR LÄN</t>
        </is>
      </c>
      <c r="E509" t="inlineStr">
        <is>
          <t>VIMMERBY</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20129-2024</t>
        </is>
      </c>
      <c r="B510" s="1" t="n">
        <v>45434.55831018519</v>
      </c>
      <c r="C510" s="1" t="n">
        <v>45899</v>
      </c>
      <c r="D510" t="inlineStr">
        <is>
          <t>KALMAR LÄN</t>
        </is>
      </c>
      <c r="E510" t="inlineStr">
        <is>
          <t>VIMMERBY</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20137-2024</t>
        </is>
      </c>
      <c r="B511" s="1" t="n">
        <v>45434.56398148148</v>
      </c>
      <c r="C511" s="1" t="n">
        <v>45899</v>
      </c>
      <c r="D511" t="inlineStr">
        <is>
          <t>KALMAR LÄN</t>
        </is>
      </c>
      <c r="E511" t="inlineStr">
        <is>
          <t>VIMMERBY</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23095-2023</t>
        </is>
      </c>
      <c r="B512" s="1" t="n">
        <v>45075.43059027778</v>
      </c>
      <c r="C512" s="1" t="n">
        <v>45899</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32919-2022</t>
        </is>
      </c>
      <c r="B513" s="1" t="n">
        <v>44784.62724537037</v>
      </c>
      <c r="C513" s="1" t="n">
        <v>45899</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37079-2025</t>
        </is>
      </c>
      <c r="B514" s="1" t="n">
        <v>45875.42716435185</v>
      </c>
      <c r="C514" s="1" t="n">
        <v>45899</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1978-2024</t>
        </is>
      </c>
      <c r="B515" s="1" t="n">
        <v>45308.59001157407</v>
      </c>
      <c r="C515" s="1" t="n">
        <v>45899</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6399-2025</t>
        </is>
      </c>
      <c r="B516" s="1" t="n">
        <v>45699.44291666667</v>
      </c>
      <c r="C516" s="1" t="n">
        <v>45899</v>
      </c>
      <c r="D516" t="inlineStr">
        <is>
          <t>KALMAR LÄN</t>
        </is>
      </c>
      <c r="E516" t="inlineStr">
        <is>
          <t>VIMMERBY</t>
        </is>
      </c>
      <c r="G516" t="n">
        <v>3.1</v>
      </c>
      <c r="H516" t="n">
        <v>0</v>
      </c>
      <c r="I516" t="n">
        <v>0</v>
      </c>
      <c r="J516" t="n">
        <v>0</v>
      </c>
      <c r="K516" t="n">
        <v>0</v>
      </c>
      <c r="L516" t="n">
        <v>0</v>
      </c>
      <c r="M516" t="n">
        <v>0</v>
      </c>
      <c r="N516" t="n">
        <v>0</v>
      </c>
      <c r="O516" t="n">
        <v>0</v>
      </c>
      <c r="P516" t="n">
        <v>0</v>
      </c>
      <c r="Q516" t="n">
        <v>0</v>
      </c>
      <c r="R516" s="2" t="inlineStr"/>
    </row>
    <row r="517" ht="15" customHeight="1">
      <c r="A517" t="inlineStr">
        <is>
          <t>A 41311-2023</t>
        </is>
      </c>
      <c r="B517" s="1" t="n">
        <v>45174</v>
      </c>
      <c r="C517" s="1" t="n">
        <v>45899</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8559-2025</t>
        </is>
      </c>
      <c r="B518" s="1" t="n">
        <v>45709.62280092593</v>
      </c>
      <c r="C518" s="1" t="n">
        <v>45899</v>
      </c>
      <c r="D518" t="inlineStr">
        <is>
          <t>KALMAR LÄN</t>
        </is>
      </c>
      <c r="E518" t="inlineStr">
        <is>
          <t>VIMMERBY</t>
        </is>
      </c>
      <c r="G518" t="n">
        <v>8.9</v>
      </c>
      <c r="H518" t="n">
        <v>0</v>
      </c>
      <c r="I518" t="n">
        <v>0</v>
      </c>
      <c r="J518" t="n">
        <v>0</v>
      </c>
      <c r="K518" t="n">
        <v>0</v>
      </c>
      <c r="L518" t="n">
        <v>0</v>
      </c>
      <c r="M518" t="n">
        <v>0</v>
      </c>
      <c r="N518" t="n">
        <v>0</v>
      </c>
      <c r="O518" t="n">
        <v>0</v>
      </c>
      <c r="P518" t="n">
        <v>0</v>
      </c>
      <c r="Q518" t="n">
        <v>0</v>
      </c>
      <c r="R518" s="2" t="inlineStr"/>
    </row>
    <row r="519" ht="15" customHeight="1">
      <c r="A519" t="inlineStr">
        <is>
          <t>A 7068-2024</t>
        </is>
      </c>
      <c r="B519" s="1" t="n">
        <v>45343.68038194445</v>
      </c>
      <c r="C519" s="1" t="n">
        <v>45899</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31872-2025</t>
        </is>
      </c>
      <c r="B520" s="1" t="n">
        <v>45834.65040509259</v>
      </c>
      <c r="C520" s="1" t="n">
        <v>45899</v>
      </c>
      <c r="D520" t="inlineStr">
        <is>
          <t>KALMAR LÄN</t>
        </is>
      </c>
      <c r="E520" t="inlineStr">
        <is>
          <t>VIMMERBY</t>
        </is>
      </c>
      <c r="F520" t="inlineStr">
        <is>
          <t>Sveaskog</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31876-2025</t>
        </is>
      </c>
      <c r="B521" s="1" t="n">
        <v>45834.65197916667</v>
      </c>
      <c r="C521" s="1" t="n">
        <v>45899</v>
      </c>
      <c r="D521" t="inlineStr">
        <is>
          <t>KALMAR LÄN</t>
        </is>
      </c>
      <c r="E521" t="inlineStr">
        <is>
          <t>VIMMERBY</t>
        </is>
      </c>
      <c r="F521" t="inlineStr">
        <is>
          <t>Sveaskog</t>
        </is>
      </c>
      <c r="G521" t="n">
        <v>3.3</v>
      </c>
      <c r="H521" t="n">
        <v>0</v>
      </c>
      <c r="I521" t="n">
        <v>0</v>
      </c>
      <c r="J521" t="n">
        <v>0</v>
      </c>
      <c r="K521" t="n">
        <v>0</v>
      </c>
      <c r="L521" t="n">
        <v>0</v>
      </c>
      <c r="M521" t="n">
        <v>0</v>
      </c>
      <c r="N521" t="n">
        <v>0</v>
      </c>
      <c r="O521" t="n">
        <v>0</v>
      </c>
      <c r="P521" t="n">
        <v>0</v>
      </c>
      <c r="Q521" t="n">
        <v>0</v>
      </c>
      <c r="R521" s="2" t="inlineStr"/>
    </row>
    <row r="522" ht="15" customHeight="1">
      <c r="A522" t="inlineStr">
        <is>
          <t>A 12596-2021</t>
        </is>
      </c>
      <c r="B522" s="1" t="n">
        <v>44270.39765046296</v>
      </c>
      <c r="C522" s="1" t="n">
        <v>45899</v>
      </c>
      <c r="D522" t="inlineStr">
        <is>
          <t>KALMAR LÄN</t>
        </is>
      </c>
      <c r="E522" t="inlineStr">
        <is>
          <t>VIMMERBY</t>
        </is>
      </c>
      <c r="F522" t="inlineStr">
        <is>
          <t>Sveaskog</t>
        </is>
      </c>
      <c r="G522" t="n">
        <v>3.1</v>
      </c>
      <c r="H522" t="n">
        <v>0</v>
      </c>
      <c r="I522" t="n">
        <v>0</v>
      </c>
      <c r="J522" t="n">
        <v>0</v>
      </c>
      <c r="K522" t="n">
        <v>0</v>
      </c>
      <c r="L522" t="n">
        <v>0</v>
      </c>
      <c r="M522" t="n">
        <v>0</v>
      </c>
      <c r="N522" t="n">
        <v>0</v>
      </c>
      <c r="O522" t="n">
        <v>0</v>
      </c>
      <c r="P522" t="n">
        <v>0</v>
      </c>
      <c r="Q522" t="n">
        <v>0</v>
      </c>
      <c r="R522" s="2" t="inlineStr"/>
    </row>
    <row r="523" ht="15" customHeight="1">
      <c r="A523" t="inlineStr">
        <is>
          <t>A 31551-2025</t>
        </is>
      </c>
      <c r="B523" s="1" t="n">
        <v>45833.64237268519</v>
      </c>
      <c r="C523" s="1" t="n">
        <v>45899</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31987-2025</t>
        </is>
      </c>
      <c r="B524" s="1" t="n">
        <v>45835.36229166666</v>
      </c>
      <c r="C524" s="1" t="n">
        <v>45899</v>
      </c>
      <c r="D524" t="inlineStr">
        <is>
          <t>KALMAR LÄN</t>
        </is>
      </c>
      <c r="E524" t="inlineStr">
        <is>
          <t>VIMMERBY</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32120-2025</t>
        </is>
      </c>
      <c r="B525" s="1" t="n">
        <v>45835.4924537037</v>
      </c>
      <c r="C525" s="1" t="n">
        <v>45899</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32655-2023</t>
        </is>
      </c>
      <c r="B526" s="1" t="n">
        <v>45121.61318287037</v>
      </c>
      <c r="C526" s="1" t="n">
        <v>45899</v>
      </c>
      <c r="D526" t="inlineStr">
        <is>
          <t>KALMAR LÄN</t>
        </is>
      </c>
      <c r="E526" t="inlineStr">
        <is>
          <t>VIMMERBY</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32116-2025</t>
        </is>
      </c>
      <c r="B527" s="1" t="n">
        <v>45835.48862268519</v>
      </c>
      <c r="C527" s="1" t="n">
        <v>45899</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37578-2025</t>
        </is>
      </c>
      <c r="B528" s="1" t="n">
        <v>45880.38380787037</v>
      </c>
      <c r="C528" s="1" t="n">
        <v>45899</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10785-2025</t>
        </is>
      </c>
      <c r="B529" s="1" t="n">
        <v>45722.48634259259</v>
      </c>
      <c r="C529" s="1" t="n">
        <v>45899</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54409-2024</t>
        </is>
      </c>
      <c r="B530" s="1" t="n">
        <v>45617.47570601852</v>
      </c>
      <c r="C530" s="1" t="n">
        <v>45899</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37667-2025</t>
        </is>
      </c>
      <c r="B531" s="1" t="n">
        <v>45880.51413194444</v>
      </c>
      <c r="C531" s="1" t="n">
        <v>45899</v>
      </c>
      <c r="D531" t="inlineStr">
        <is>
          <t>KALMAR LÄN</t>
        </is>
      </c>
      <c r="E531" t="inlineStr">
        <is>
          <t>VIMMERBY</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37668-2025</t>
        </is>
      </c>
      <c r="B532" s="1" t="n">
        <v>45880.51550925926</v>
      </c>
      <c r="C532" s="1" t="n">
        <v>45899</v>
      </c>
      <c r="D532" t="inlineStr">
        <is>
          <t>KALMAR LÄN</t>
        </is>
      </c>
      <c r="E532" t="inlineStr">
        <is>
          <t>VIMMERBY</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32380-2025</t>
        </is>
      </c>
      <c r="B533" s="1" t="n">
        <v>45837.77701388889</v>
      </c>
      <c r="C533" s="1" t="n">
        <v>45899</v>
      </c>
      <c r="D533" t="inlineStr">
        <is>
          <t>KALMAR LÄN</t>
        </is>
      </c>
      <c r="E533" t="inlineStr">
        <is>
          <t>VIMMERBY</t>
        </is>
      </c>
      <c r="G533" t="n">
        <v>3.1</v>
      </c>
      <c r="H533" t="n">
        <v>0</v>
      </c>
      <c r="I533" t="n">
        <v>0</v>
      </c>
      <c r="J533" t="n">
        <v>0</v>
      </c>
      <c r="K533" t="n">
        <v>0</v>
      </c>
      <c r="L533" t="n">
        <v>0</v>
      </c>
      <c r="M533" t="n">
        <v>0</v>
      </c>
      <c r="N533" t="n">
        <v>0</v>
      </c>
      <c r="O533" t="n">
        <v>0</v>
      </c>
      <c r="P533" t="n">
        <v>0</v>
      </c>
      <c r="Q533" t="n">
        <v>0</v>
      </c>
      <c r="R533" s="2" t="inlineStr"/>
    </row>
    <row r="534" ht="15" customHeight="1">
      <c r="A534" t="inlineStr">
        <is>
          <t>A 32109-2025</t>
        </is>
      </c>
      <c r="B534" s="1" t="n">
        <v>45835.48267361111</v>
      </c>
      <c r="C534" s="1" t="n">
        <v>45899</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32113-2025</t>
        </is>
      </c>
      <c r="B535" s="1" t="n">
        <v>45835.48445601852</v>
      </c>
      <c r="C535" s="1" t="n">
        <v>45899</v>
      </c>
      <c r="D535" t="inlineStr">
        <is>
          <t>KALMAR LÄN</t>
        </is>
      </c>
      <c r="E535" t="inlineStr">
        <is>
          <t>VIMMERBY</t>
        </is>
      </c>
      <c r="G535" t="n">
        <v>3.5</v>
      </c>
      <c r="H535" t="n">
        <v>0</v>
      </c>
      <c r="I535" t="n">
        <v>0</v>
      </c>
      <c r="J535" t="n">
        <v>0</v>
      </c>
      <c r="K535" t="n">
        <v>0</v>
      </c>
      <c r="L535" t="n">
        <v>0</v>
      </c>
      <c r="M535" t="n">
        <v>0</v>
      </c>
      <c r="N535" t="n">
        <v>0</v>
      </c>
      <c r="O535" t="n">
        <v>0</v>
      </c>
      <c r="P535" t="n">
        <v>0</v>
      </c>
      <c r="Q535" t="n">
        <v>0</v>
      </c>
      <c r="R535" s="2" t="inlineStr"/>
    </row>
    <row r="536" ht="15" customHeight="1">
      <c r="A536" t="inlineStr">
        <is>
          <t>A 10211-2025</t>
        </is>
      </c>
      <c r="B536" s="1" t="n">
        <v>45719.84378472222</v>
      </c>
      <c r="C536" s="1" t="n">
        <v>45899</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32077-2025</t>
        </is>
      </c>
      <c r="B537" s="1" t="n">
        <v>45835.45099537037</v>
      </c>
      <c r="C537" s="1" t="n">
        <v>45899</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32382-2025</t>
        </is>
      </c>
      <c r="B538" s="1" t="n">
        <v>45837.77916666667</v>
      </c>
      <c r="C538" s="1" t="n">
        <v>45899</v>
      </c>
      <c r="D538" t="inlineStr">
        <is>
          <t>KALMAR LÄN</t>
        </is>
      </c>
      <c r="E538" t="inlineStr">
        <is>
          <t>VIMMERBY</t>
        </is>
      </c>
      <c r="G538" t="n">
        <v>4.6</v>
      </c>
      <c r="H538" t="n">
        <v>0</v>
      </c>
      <c r="I538" t="n">
        <v>0</v>
      </c>
      <c r="J538" t="n">
        <v>0</v>
      </c>
      <c r="K538" t="n">
        <v>0</v>
      </c>
      <c r="L538" t="n">
        <v>0</v>
      </c>
      <c r="M538" t="n">
        <v>0</v>
      </c>
      <c r="N538" t="n">
        <v>0</v>
      </c>
      <c r="O538" t="n">
        <v>0</v>
      </c>
      <c r="P538" t="n">
        <v>0</v>
      </c>
      <c r="Q538" t="n">
        <v>0</v>
      </c>
      <c r="R538" s="2" t="inlineStr"/>
    </row>
    <row r="539" ht="15" customHeight="1">
      <c r="A539" t="inlineStr">
        <is>
          <t>A 9475-2023</t>
        </is>
      </c>
      <c r="B539" s="1" t="n">
        <v>44981.58834490741</v>
      </c>
      <c r="C539" s="1" t="n">
        <v>45899</v>
      </c>
      <c r="D539" t="inlineStr">
        <is>
          <t>KALMAR LÄN</t>
        </is>
      </c>
      <c r="E539" t="inlineStr">
        <is>
          <t>VIMMERBY</t>
        </is>
      </c>
      <c r="G539" t="n">
        <v>2</v>
      </c>
      <c r="H539" t="n">
        <v>0</v>
      </c>
      <c r="I539" t="n">
        <v>0</v>
      </c>
      <c r="J539" t="n">
        <v>0</v>
      </c>
      <c r="K539" t="n">
        <v>0</v>
      </c>
      <c r="L539" t="n">
        <v>0</v>
      </c>
      <c r="M539" t="n">
        <v>0</v>
      </c>
      <c r="N539" t="n">
        <v>0</v>
      </c>
      <c r="O539" t="n">
        <v>0</v>
      </c>
      <c r="P539" t="n">
        <v>0</v>
      </c>
      <c r="Q539" t="n">
        <v>0</v>
      </c>
      <c r="R539" s="2" t="inlineStr"/>
    </row>
    <row r="540" ht="15" customHeight="1">
      <c r="A540" t="inlineStr">
        <is>
          <t>A 32064-2025</t>
        </is>
      </c>
      <c r="B540" s="1" t="n">
        <v>45835.44709490741</v>
      </c>
      <c r="C540" s="1" t="n">
        <v>45899</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18020-2025</t>
        </is>
      </c>
      <c r="B541" s="1" t="n">
        <v>45761.4437962963</v>
      </c>
      <c r="C541" s="1" t="n">
        <v>45899</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32065-2025</t>
        </is>
      </c>
      <c r="B542" s="1" t="n">
        <v>45835.44732638889</v>
      </c>
      <c r="C542" s="1" t="n">
        <v>45899</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585-2024</t>
        </is>
      </c>
      <c r="B543" s="1" t="n">
        <v>45299.62576388889</v>
      </c>
      <c r="C543" s="1" t="n">
        <v>45899</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37866-2025</t>
        </is>
      </c>
      <c r="B544" s="1" t="n">
        <v>45881</v>
      </c>
      <c r="C544" s="1" t="n">
        <v>45899</v>
      </c>
      <c r="D544" t="inlineStr">
        <is>
          <t>KALMAR LÄN</t>
        </is>
      </c>
      <c r="E544" t="inlineStr">
        <is>
          <t>VIMMERBY</t>
        </is>
      </c>
      <c r="G544" t="n">
        <v>3.4</v>
      </c>
      <c r="H544" t="n">
        <v>0</v>
      </c>
      <c r="I544" t="n">
        <v>0</v>
      </c>
      <c r="J544" t="n">
        <v>0</v>
      </c>
      <c r="K544" t="n">
        <v>0</v>
      </c>
      <c r="L544" t="n">
        <v>0</v>
      </c>
      <c r="M544" t="n">
        <v>0</v>
      </c>
      <c r="N544" t="n">
        <v>0</v>
      </c>
      <c r="O544" t="n">
        <v>0</v>
      </c>
      <c r="P544" t="n">
        <v>0</v>
      </c>
      <c r="Q544" t="n">
        <v>0</v>
      </c>
      <c r="R544" s="2" t="inlineStr"/>
    </row>
    <row r="545" ht="15" customHeight="1">
      <c r="A545" t="inlineStr">
        <is>
          <t>A 6802-2025</t>
        </is>
      </c>
      <c r="B545" s="1" t="n">
        <v>45700.68289351852</v>
      </c>
      <c r="C545" s="1" t="n">
        <v>45899</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43092-2024</t>
        </is>
      </c>
      <c r="B546" s="1" t="n">
        <v>45567</v>
      </c>
      <c r="C546" s="1" t="n">
        <v>45899</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11619-2023</t>
        </is>
      </c>
      <c r="B547" s="1" t="n">
        <v>44994.42113425926</v>
      </c>
      <c r="C547" s="1" t="n">
        <v>45899</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33186-2025</t>
        </is>
      </c>
      <c r="B548" s="1" t="n">
        <v>45840.59474537037</v>
      </c>
      <c r="C548" s="1" t="n">
        <v>45899</v>
      </c>
      <c r="D548" t="inlineStr">
        <is>
          <t>KALMAR LÄN</t>
        </is>
      </c>
      <c r="E548" t="inlineStr">
        <is>
          <t>VIMMERBY</t>
        </is>
      </c>
      <c r="G548" t="n">
        <v>2.6</v>
      </c>
      <c r="H548" t="n">
        <v>0</v>
      </c>
      <c r="I548" t="n">
        <v>0</v>
      </c>
      <c r="J548" t="n">
        <v>0</v>
      </c>
      <c r="K548" t="n">
        <v>0</v>
      </c>
      <c r="L548" t="n">
        <v>0</v>
      </c>
      <c r="M548" t="n">
        <v>0</v>
      </c>
      <c r="N548" t="n">
        <v>0</v>
      </c>
      <c r="O548" t="n">
        <v>0</v>
      </c>
      <c r="P548" t="n">
        <v>0</v>
      </c>
      <c r="Q548" t="n">
        <v>0</v>
      </c>
      <c r="R548" s="2" t="inlineStr"/>
    </row>
    <row r="549" ht="15" customHeight="1">
      <c r="A549" t="inlineStr">
        <is>
          <t>A 33188-2025</t>
        </is>
      </c>
      <c r="B549" s="1" t="n">
        <v>45840.59853009259</v>
      </c>
      <c r="C549" s="1" t="n">
        <v>45899</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5074-2023</t>
        </is>
      </c>
      <c r="B550" s="1" t="n">
        <v>44958.61047453704</v>
      </c>
      <c r="C550" s="1" t="n">
        <v>45899</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56020-2024</t>
        </is>
      </c>
      <c r="B551" s="1" t="n">
        <v>45623.9525462963</v>
      </c>
      <c r="C551" s="1" t="n">
        <v>45899</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33842-2022</t>
        </is>
      </c>
      <c r="B552" s="1" t="n">
        <v>44790.49523148148</v>
      </c>
      <c r="C552" s="1" t="n">
        <v>45899</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60675-2023</t>
        </is>
      </c>
      <c r="B553" s="1" t="n">
        <v>45260.4716550926</v>
      </c>
      <c r="C553" s="1" t="n">
        <v>45899</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30977-2025</t>
        </is>
      </c>
      <c r="B554" s="1" t="n">
        <v>45832.46649305556</v>
      </c>
      <c r="C554" s="1" t="n">
        <v>45899</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40095-2022</t>
        </is>
      </c>
      <c r="B555" s="1" t="n">
        <v>44820</v>
      </c>
      <c r="C555" s="1" t="n">
        <v>45899</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37939-2025</t>
        </is>
      </c>
      <c r="B556" s="1" t="n">
        <v>45881.59877314815</v>
      </c>
      <c r="C556" s="1" t="n">
        <v>45899</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38604-2025</t>
        </is>
      </c>
      <c r="B557" s="1" t="n">
        <v>45884.50613425926</v>
      </c>
      <c r="C557" s="1" t="n">
        <v>45899</v>
      </c>
      <c r="D557" t="inlineStr">
        <is>
          <t>KALMAR LÄN</t>
        </is>
      </c>
      <c r="E557" t="inlineStr">
        <is>
          <t>VIMMERBY</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19537-2022</t>
        </is>
      </c>
      <c r="B558" s="1" t="n">
        <v>44693.62822916666</v>
      </c>
      <c r="C558" s="1" t="n">
        <v>45899</v>
      </c>
      <c r="D558" t="inlineStr">
        <is>
          <t>KALMAR LÄN</t>
        </is>
      </c>
      <c r="E558" t="inlineStr">
        <is>
          <t>VIMMERBY</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19502-2025</t>
        </is>
      </c>
      <c r="B559" s="1" t="n">
        <v>45769</v>
      </c>
      <c r="C559" s="1" t="n">
        <v>45899</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57311-2023</t>
        </is>
      </c>
      <c r="B560" s="1" t="n">
        <v>45245.63574074074</v>
      </c>
      <c r="C560" s="1" t="n">
        <v>45899</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64428-2023</t>
        </is>
      </c>
      <c r="B561" s="1" t="n">
        <v>45280.66769675926</v>
      </c>
      <c r="C561" s="1" t="n">
        <v>45899</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4527-2023</t>
        </is>
      </c>
      <c r="B562" s="1" t="n">
        <v>44956</v>
      </c>
      <c r="C562" s="1" t="n">
        <v>45899</v>
      </c>
      <c r="D562" t="inlineStr">
        <is>
          <t>KALMAR LÄN</t>
        </is>
      </c>
      <c r="E562" t="inlineStr">
        <is>
          <t>VIMMERBY</t>
        </is>
      </c>
      <c r="F562" t="inlineStr">
        <is>
          <t>Kommuner</t>
        </is>
      </c>
      <c r="G562" t="n">
        <v>8.5</v>
      </c>
      <c r="H562" t="n">
        <v>0</v>
      </c>
      <c r="I562" t="n">
        <v>0</v>
      </c>
      <c r="J562" t="n">
        <v>0</v>
      </c>
      <c r="K562" t="n">
        <v>0</v>
      </c>
      <c r="L562" t="n">
        <v>0</v>
      </c>
      <c r="M562" t="n">
        <v>0</v>
      </c>
      <c r="N562" t="n">
        <v>0</v>
      </c>
      <c r="O562" t="n">
        <v>0</v>
      </c>
      <c r="P562" t="n">
        <v>0</v>
      </c>
      <c r="Q562" t="n">
        <v>0</v>
      </c>
      <c r="R562" s="2" t="inlineStr"/>
    </row>
    <row r="563" ht="15" customHeight="1">
      <c r="A563" t="inlineStr">
        <is>
          <t>A 3268-2024</t>
        </is>
      </c>
      <c r="B563" s="1" t="n">
        <v>45317</v>
      </c>
      <c r="C563" s="1" t="n">
        <v>45899</v>
      </c>
      <c r="D563" t="inlineStr">
        <is>
          <t>KALMAR LÄN</t>
        </is>
      </c>
      <c r="E563" t="inlineStr">
        <is>
          <t>VIMMERBY</t>
        </is>
      </c>
      <c r="F563" t="inlineStr">
        <is>
          <t>Övriga Aktiebolag</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51408-2023</t>
        </is>
      </c>
      <c r="B564" s="1" t="n">
        <v>45219.69356481481</v>
      </c>
      <c r="C564" s="1" t="n">
        <v>45899</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12480-2024</t>
        </is>
      </c>
      <c r="B565" s="1" t="n">
        <v>45379</v>
      </c>
      <c r="C565" s="1" t="n">
        <v>45899</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52588-2023</t>
        </is>
      </c>
      <c r="B566" s="1" t="n">
        <v>45225.60192129629</v>
      </c>
      <c r="C566" s="1" t="n">
        <v>45899</v>
      </c>
      <c r="D566" t="inlineStr">
        <is>
          <t>KALMAR LÄN</t>
        </is>
      </c>
      <c r="E566" t="inlineStr">
        <is>
          <t>VIMMERBY</t>
        </is>
      </c>
      <c r="G566" t="n">
        <v>2.9</v>
      </c>
      <c r="H566" t="n">
        <v>0</v>
      </c>
      <c r="I566" t="n">
        <v>0</v>
      </c>
      <c r="J566" t="n">
        <v>0</v>
      </c>
      <c r="K566" t="n">
        <v>0</v>
      </c>
      <c r="L566" t="n">
        <v>0</v>
      </c>
      <c r="M566" t="n">
        <v>0</v>
      </c>
      <c r="N566" t="n">
        <v>0</v>
      </c>
      <c r="O566" t="n">
        <v>0</v>
      </c>
      <c r="P566" t="n">
        <v>0</v>
      </c>
      <c r="Q566" t="n">
        <v>0</v>
      </c>
      <c r="R566" s="2" t="inlineStr"/>
    </row>
    <row r="567" ht="15" customHeight="1">
      <c r="A567" t="inlineStr">
        <is>
          <t>A 33695-2025</t>
        </is>
      </c>
      <c r="B567" s="1" t="n">
        <v>45841.70569444444</v>
      </c>
      <c r="C567" s="1" t="n">
        <v>45899</v>
      </c>
      <c r="D567" t="inlineStr">
        <is>
          <t>KALMAR LÄN</t>
        </is>
      </c>
      <c r="E567" t="inlineStr">
        <is>
          <t>VIMMERBY</t>
        </is>
      </c>
      <c r="G567" t="n">
        <v>2.7</v>
      </c>
      <c r="H567" t="n">
        <v>0</v>
      </c>
      <c r="I567" t="n">
        <v>0</v>
      </c>
      <c r="J567" t="n">
        <v>0</v>
      </c>
      <c r="K567" t="n">
        <v>0</v>
      </c>
      <c r="L567" t="n">
        <v>0</v>
      </c>
      <c r="M567" t="n">
        <v>0</v>
      </c>
      <c r="N567" t="n">
        <v>0</v>
      </c>
      <c r="O567" t="n">
        <v>0</v>
      </c>
      <c r="P567" t="n">
        <v>0</v>
      </c>
      <c r="Q567" t="n">
        <v>0</v>
      </c>
      <c r="R567" s="2" t="inlineStr"/>
    </row>
    <row r="568" ht="15" customHeight="1">
      <c r="A568" t="inlineStr">
        <is>
          <t>A 33698-2025</t>
        </is>
      </c>
      <c r="B568" s="1" t="n">
        <v>45841.70868055556</v>
      </c>
      <c r="C568" s="1" t="n">
        <v>45899</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6368-2023</t>
        </is>
      </c>
      <c r="B569" s="1" t="n">
        <v>44965</v>
      </c>
      <c r="C569" s="1" t="n">
        <v>45899</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55236-2023</t>
        </is>
      </c>
      <c r="B570" s="1" t="n">
        <v>45237.63225694445</v>
      </c>
      <c r="C570" s="1" t="n">
        <v>45899</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55245-2023</t>
        </is>
      </c>
      <c r="B571" s="1" t="n">
        <v>45237.64408564815</v>
      </c>
      <c r="C571" s="1" t="n">
        <v>45899</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5701-2024</t>
        </is>
      </c>
      <c r="B572" s="1" t="n">
        <v>45334.78826388889</v>
      </c>
      <c r="C572" s="1" t="n">
        <v>45899</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19111-2025</t>
        </is>
      </c>
      <c r="B573" s="1" t="n">
        <v>45768.65611111111</v>
      </c>
      <c r="C573" s="1" t="n">
        <v>45899</v>
      </c>
      <c r="D573" t="inlineStr">
        <is>
          <t>KALMAR LÄN</t>
        </is>
      </c>
      <c r="E573" t="inlineStr">
        <is>
          <t>VIMMERBY</t>
        </is>
      </c>
      <c r="G573" t="n">
        <v>6.2</v>
      </c>
      <c r="H573" t="n">
        <v>0</v>
      </c>
      <c r="I573" t="n">
        <v>0</v>
      </c>
      <c r="J573" t="n">
        <v>0</v>
      </c>
      <c r="K573" t="n">
        <v>0</v>
      </c>
      <c r="L573" t="n">
        <v>0</v>
      </c>
      <c r="M573" t="n">
        <v>0</v>
      </c>
      <c r="N573" t="n">
        <v>0</v>
      </c>
      <c r="O573" t="n">
        <v>0</v>
      </c>
      <c r="P573" t="n">
        <v>0</v>
      </c>
      <c r="Q573" t="n">
        <v>0</v>
      </c>
      <c r="R573" s="2" t="inlineStr"/>
    </row>
    <row r="574" ht="15" customHeight="1">
      <c r="A574" t="inlineStr">
        <is>
          <t>A 7797-2023</t>
        </is>
      </c>
      <c r="B574" s="1" t="n">
        <v>44973.43075231482</v>
      </c>
      <c r="C574" s="1" t="n">
        <v>45899</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33696-2025</t>
        </is>
      </c>
      <c r="B575" s="1" t="n">
        <v>45841.7072337963</v>
      </c>
      <c r="C575" s="1" t="n">
        <v>45899</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24655-2021</t>
        </is>
      </c>
      <c r="B576" s="1" t="n">
        <v>44340</v>
      </c>
      <c r="C576" s="1" t="n">
        <v>45899</v>
      </c>
      <c r="D576" t="inlineStr">
        <is>
          <t>KALMAR LÄN</t>
        </is>
      </c>
      <c r="E576" t="inlineStr">
        <is>
          <t>VIMMERBY</t>
        </is>
      </c>
      <c r="G576" t="n">
        <v>14.9</v>
      </c>
      <c r="H576" t="n">
        <v>0</v>
      </c>
      <c r="I576" t="n">
        <v>0</v>
      </c>
      <c r="J576" t="n">
        <v>0</v>
      </c>
      <c r="K576" t="n">
        <v>0</v>
      </c>
      <c r="L576" t="n">
        <v>0</v>
      </c>
      <c r="M576" t="n">
        <v>0</v>
      </c>
      <c r="N576" t="n">
        <v>0</v>
      </c>
      <c r="O576" t="n">
        <v>0</v>
      </c>
      <c r="P576" t="n">
        <v>0</v>
      </c>
      <c r="Q576" t="n">
        <v>0</v>
      </c>
      <c r="R576" s="2" t="inlineStr"/>
    </row>
    <row r="577" ht="15" customHeight="1">
      <c r="A577" t="inlineStr">
        <is>
          <t>A 25370-2022</t>
        </is>
      </c>
      <c r="B577" s="1" t="n">
        <v>44732.3659837963</v>
      </c>
      <c r="C577" s="1" t="n">
        <v>45899</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38602-2025</t>
        </is>
      </c>
      <c r="B578" s="1" t="n">
        <v>45884.50331018519</v>
      </c>
      <c r="C578" s="1" t="n">
        <v>45899</v>
      </c>
      <c r="D578" t="inlineStr">
        <is>
          <t>KALMAR LÄN</t>
        </is>
      </c>
      <c r="E578" t="inlineStr">
        <is>
          <t>VIMMERBY</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28702-2025</t>
        </is>
      </c>
      <c r="B579" s="1" t="n">
        <v>45820.03976851852</v>
      </c>
      <c r="C579" s="1" t="n">
        <v>45899</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8410-2023</t>
        </is>
      </c>
      <c r="B580" s="1" t="n">
        <v>44977</v>
      </c>
      <c r="C580" s="1" t="n">
        <v>45899</v>
      </c>
      <c r="D580" t="inlineStr">
        <is>
          <t>KALMAR LÄN</t>
        </is>
      </c>
      <c r="E580" t="inlineStr">
        <is>
          <t>VIMMERBY</t>
        </is>
      </c>
      <c r="G580" t="n">
        <v>0.9</v>
      </c>
      <c r="H580" t="n">
        <v>0</v>
      </c>
      <c r="I580" t="n">
        <v>0</v>
      </c>
      <c r="J580" t="n">
        <v>0</v>
      </c>
      <c r="K580" t="n">
        <v>0</v>
      </c>
      <c r="L580" t="n">
        <v>0</v>
      </c>
      <c r="M580" t="n">
        <v>0</v>
      </c>
      <c r="N580" t="n">
        <v>0</v>
      </c>
      <c r="O580" t="n">
        <v>0</v>
      </c>
      <c r="P580" t="n">
        <v>0</v>
      </c>
      <c r="Q580" t="n">
        <v>0</v>
      </c>
      <c r="R580" s="2" t="inlineStr"/>
    </row>
    <row r="581" ht="15" customHeight="1">
      <c r="A581" t="inlineStr">
        <is>
          <t>A 33838-2022</t>
        </is>
      </c>
      <c r="B581" s="1" t="n">
        <v>44790.49040509259</v>
      </c>
      <c r="C581" s="1" t="n">
        <v>45899</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6028-2023</t>
        </is>
      </c>
      <c r="B582" s="1" t="n">
        <v>44964.44356481481</v>
      </c>
      <c r="C582" s="1" t="n">
        <v>45899</v>
      </c>
      <c r="D582" t="inlineStr">
        <is>
          <t>KALMAR LÄN</t>
        </is>
      </c>
      <c r="E582" t="inlineStr">
        <is>
          <t>VIMMERBY</t>
        </is>
      </c>
      <c r="G582" t="n">
        <v>2.5</v>
      </c>
      <c r="H582" t="n">
        <v>0</v>
      </c>
      <c r="I582" t="n">
        <v>0</v>
      </c>
      <c r="J582" t="n">
        <v>0</v>
      </c>
      <c r="K582" t="n">
        <v>0</v>
      </c>
      <c r="L582" t="n">
        <v>0</v>
      </c>
      <c r="M582" t="n">
        <v>0</v>
      </c>
      <c r="N582" t="n">
        <v>0</v>
      </c>
      <c r="O582" t="n">
        <v>0</v>
      </c>
      <c r="P582" t="n">
        <v>0</v>
      </c>
      <c r="Q582" t="n">
        <v>0</v>
      </c>
      <c r="R582" s="2" t="inlineStr"/>
    </row>
    <row r="583" ht="15" customHeight="1">
      <c r="A583" t="inlineStr">
        <is>
          <t>A 38964-2025</t>
        </is>
      </c>
      <c r="B583" s="1" t="n">
        <v>45887.68759259259</v>
      </c>
      <c r="C583" s="1" t="n">
        <v>45899</v>
      </c>
      <c r="D583" t="inlineStr">
        <is>
          <t>KALMAR LÄN</t>
        </is>
      </c>
      <c r="E583" t="inlineStr">
        <is>
          <t>VIMMERBY</t>
        </is>
      </c>
      <c r="G583" t="n">
        <v>7.5</v>
      </c>
      <c r="H583" t="n">
        <v>0</v>
      </c>
      <c r="I583" t="n">
        <v>0</v>
      </c>
      <c r="J583" t="n">
        <v>0</v>
      </c>
      <c r="K583" t="n">
        <v>0</v>
      </c>
      <c r="L583" t="n">
        <v>0</v>
      </c>
      <c r="M583" t="n">
        <v>0</v>
      </c>
      <c r="N583" t="n">
        <v>0</v>
      </c>
      <c r="O583" t="n">
        <v>0</v>
      </c>
      <c r="P583" t="n">
        <v>0</v>
      </c>
      <c r="Q583" t="n">
        <v>0</v>
      </c>
      <c r="R583" s="2" t="inlineStr"/>
    </row>
    <row r="584" ht="15" customHeight="1">
      <c r="A584" t="inlineStr">
        <is>
          <t>A 4058-2024</t>
        </is>
      </c>
      <c r="B584" s="1" t="n">
        <v>45323.53744212963</v>
      </c>
      <c r="C584" s="1" t="n">
        <v>45899</v>
      </c>
      <c r="D584" t="inlineStr">
        <is>
          <t>KALMAR LÄN</t>
        </is>
      </c>
      <c r="E584" t="inlineStr">
        <is>
          <t>VIMMERBY</t>
        </is>
      </c>
      <c r="G584" t="n">
        <v>6.5</v>
      </c>
      <c r="H584" t="n">
        <v>0</v>
      </c>
      <c r="I584" t="n">
        <v>0</v>
      </c>
      <c r="J584" t="n">
        <v>0</v>
      </c>
      <c r="K584" t="n">
        <v>0</v>
      </c>
      <c r="L584" t="n">
        <v>0</v>
      </c>
      <c r="M584" t="n">
        <v>0</v>
      </c>
      <c r="N584" t="n">
        <v>0</v>
      </c>
      <c r="O584" t="n">
        <v>0</v>
      </c>
      <c r="P584" t="n">
        <v>0</v>
      </c>
      <c r="Q584" t="n">
        <v>0</v>
      </c>
      <c r="R584" s="2" t="inlineStr"/>
    </row>
    <row r="585" ht="15" customHeight="1">
      <c r="A585" t="inlineStr">
        <is>
          <t>A 36008-2024</t>
        </is>
      </c>
      <c r="B585" s="1" t="n">
        <v>45533.55362268518</v>
      </c>
      <c r="C585" s="1" t="n">
        <v>45899</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52823-2024</t>
        </is>
      </c>
      <c r="B586" s="1" t="n">
        <v>45610.59094907407</v>
      </c>
      <c r="C586" s="1" t="n">
        <v>45899</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18669-2025</t>
        </is>
      </c>
      <c r="B587" s="1" t="n">
        <v>45763.59436342592</v>
      </c>
      <c r="C587" s="1" t="n">
        <v>45899</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8540-2024</t>
        </is>
      </c>
      <c r="B588" s="1" t="n">
        <v>45355.54138888889</v>
      </c>
      <c r="C588" s="1" t="n">
        <v>45899</v>
      </c>
      <c r="D588" t="inlineStr">
        <is>
          <t>KALMAR LÄN</t>
        </is>
      </c>
      <c r="E588" t="inlineStr">
        <is>
          <t>VIMMERBY</t>
        </is>
      </c>
      <c r="G588" t="n">
        <v>1.9</v>
      </c>
      <c r="H588" t="n">
        <v>0</v>
      </c>
      <c r="I588" t="n">
        <v>0</v>
      </c>
      <c r="J588" t="n">
        <v>0</v>
      </c>
      <c r="K588" t="n">
        <v>0</v>
      </c>
      <c r="L588" t="n">
        <v>0</v>
      </c>
      <c r="M588" t="n">
        <v>0</v>
      </c>
      <c r="N588" t="n">
        <v>0</v>
      </c>
      <c r="O588" t="n">
        <v>0</v>
      </c>
      <c r="P588" t="n">
        <v>0</v>
      </c>
      <c r="Q588" t="n">
        <v>0</v>
      </c>
      <c r="R588" s="2" t="inlineStr"/>
    </row>
    <row r="589" ht="15" customHeight="1">
      <c r="A589" t="inlineStr">
        <is>
          <t>A 9623-2024</t>
        </is>
      </c>
      <c r="B589" s="1" t="n">
        <v>45361.87975694444</v>
      </c>
      <c r="C589" s="1" t="n">
        <v>45899</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5146-2024</t>
        </is>
      </c>
      <c r="B590" s="1" t="n">
        <v>45330</v>
      </c>
      <c r="C590" s="1" t="n">
        <v>45899</v>
      </c>
      <c r="D590" t="inlineStr">
        <is>
          <t>KALMAR LÄN</t>
        </is>
      </c>
      <c r="E590" t="inlineStr">
        <is>
          <t>VIMMERBY</t>
        </is>
      </c>
      <c r="G590" t="n">
        <v>5.3</v>
      </c>
      <c r="H590" t="n">
        <v>0</v>
      </c>
      <c r="I590" t="n">
        <v>0</v>
      </c>
      <c r="J590" t="n">
        <v>0</v>
      </c>
      <c r="K590" t="n">
        <v>0</v>
      </c>
      <c r="L590" t="n">
        <v>0</v>
      </c>
      <c r="M590" t="n">
        <v>0</v>
      </c>
      <c r="N590" t="n">
        <v>0</v>
      </c>
      <c r="O590" t="n">
        <v>0</v>
      </c>
      <c r="P590" t="n">
        <v>0</v>
      </c>
      <c r="Q590" t="n">
        <v>0</v>
      </c>
      <c r="R590" s="2" t="inlineStr"/>
    </row>
    <row r="591" ht="15" customHeight="1">
      <c r="A591" t="inlineStr">
        <is>
          <t>A 5148-2024</t>
        </is>
      </c>
      <c r="B591" s="1" t="n">
        <v>45330</v>
      </c>
      <c r="C591" s="1" t="n">
        <v>45899</v>
      </c>
      <c r="D591" t="inlineStr">
        <is>
          <t>KALMAR LÄN</t>
        </is>
      </c>
      <c r="E591" t="inlineStr">
        <is>
          <t>VIMMERBY</t>
        </is>
      </c>
      <c r="G591" t="n">
        <v>5.6</v>
      </c>
      <c r="H591" t="n">
        <v>0</v>
      </c>
      <c r="I591" t="n">
        <v>0</v>
      </c>
      <c r="J591" t="n">
        <v>0</v>
      </c>
      <c r="K591" t="n">
        <v>0</v>
      </c>
      <c r="L591" t="n">
        <v>0</v>
      </c>
      <c r="M591" t="n">
        <v>0</v>
      </c>
      <c r="N591" t="n">
        <v>0</v>
      </c>
      <c r="O591" t="n">
        <v>0</v>
      </c>
      <c r="P591" t="n">
        <v>0</v>
      </c>
      <c r="Q591" t="n">
        <v>0</v>
      </c>
      <c r="R591" s="2" t="inlineStr"/>
    </row>
    <row r="592" ht="15" customHeight="1">
      <c r="A592" t="inlineStr">
        <is>
          <t>A 34060-2025</t>
        </is>
      </c>
      <c r="B592" s="1" t="n">
        <v>45845.42015046296</v>
      </c>
      <c r="C592" s="1" t="n">
        <v>45899</v>
      </c>
      <c r="D592" t="inlineStr">
        <is>
          <t>KALMAR LÄN</t>
        </is>
      </c>
      <c r="E592" t="inlineStr">
        <is>
          <t>VIMMERBY</t>
        </is>
      </c>
      <c r="G592" t="n">
        <v>5.7</v>
      </c>
      <c r="H592" t="n">
        <v>0</v>
      </c>
      <c r="I592" t="n">
        <v>0</v>
      </c>
      <c r="J592" t="n">
        <v>0</v>
      </c>
      <c r="K592" t="n">
        <v>0</v>
      </c>
      <c r="L592" t="n">
        <v>0</v>
      </c>
      <c r="M592" t="n">
        <v>0</v>
      </c>
      <c r="N592" t="n">
        <v>0</v>
      </c>
      <c r="O592" t="n">
        <v>0</v>
      </c>
      <c r="P592" t="n">
        <v>0</v>
      </c>
      <c r="Q592" t="n">
        <v>0</v>
      </c>
      <c r="R592" s="2" t="inlineStr"/>
    </row>
    <row r="593" ht="15" customHeight="1">
      <c r="A593" t="inlineStr">
        <is>
          <t>A 34071-2025</t>
        </is>
      </c>
      <c r="B593" s="1" t="n">
        <v>45845.43803240741</v>
      </c>
      <c r="C593" s="1" t="n">
        <v>45899</v>
      </c>
      <c r="D593" t="inlineStr">
        <is>
          <t>KALMAR LÄN</t>
        </is>
      </c>
      <c r="E593" t="inlineStr">
        <is>
          <t>VIMMERBY</t>
        </is>
      </c>
      <c r="G593" t="n">
        <v>6.8</v>
      </c>
      <c r="H593" t="n">
        <v>0</v>
      </c>
      <c r="I593" t="n">
        <v>0</v>
      </c>
      <c r="J593" t="n">
        <v>0</v>
      </c>
      <c r="K593" t="n">
        <v>0</v>
      </c>
      <c r="L593" t="n">
        <v>0</v>
      </c>
      <c r="M593" t="n">
        <v>0</v>
      </c>
      <c r="N593" t="n">
        <v>0</v>
      </c>
      <c r="O593" t="n">
        <v>0</v>
      </c>
      <c r="P593" t="n">
        <v>0</v>
      </c>
      <c r="Q593" t="n">
        <v>0</v>
      </c>
      <c r="R593" s="2" t="inlineStr"/>
    </row>
    <row r="594" ht="15" customHeight="1">
      <c r="A594" t="inlineStr">
        <is>
          <t>A 56853-2022</t>
        </is>
      </c>
      <c r="B594" s="1" t="n">
        <v>44894.49538194444</v>
      </c>
      <c r="C594" s="1" t="n">
        <v>45899</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11152-2023</t>
        </is>
      </c>
      <c r="B595" s="1" t="n">
        <v>44992</v>
      </c>
      <c r="C595" s="1" t="n">
        <v>45899</v>
      </c>
      <c r="D595" t="inlineStr">
        <is>
          <t>KALMAR LÄN</t>
        </is>
      </c>
      <c r="E595" t="inlineStr">
        <is>
          <t>VIMMERBY</t>
        </is>
      </c>
      <c r="G595" t="n">
        <v>10.6</v>
      </c>
      <c r="H595" t="n">
        <v>0</v>
      </c>
      <c r="I595" t="n">
        <v>0</v>
      </c>
      <c r="J595" t="n">
        <v>0</v>
      </c>
      <c r="K595" t="n">
        <v>0</v>
      </c>
      <c r="L595" t="n">
        <v>0</v>
      </c>
      <c r="M595" t="n">
        <v>0</v>
      </c>
      <c r="N595" t="n">
        <v>0</v>
      </c>
      <c r="O595" t="n">
        <v>0</v>
      </c>
      <c r="P595" t="n">
        <v>0</v>
      </c>
      <c r="Q595" t="n">
        <v>0</v>
      </c>
      <c r="R595" s="2" t="inlineStr"/>
    </row>
    <row r="596" ht="15" customHeight="1">
      <c r="A596" t="inlineStr">
        <is>
          <t>A 34106-2025</t>
        </is>
      </c>
      <c r="B596" s="1" t="n">
        <v>45845.49414351852</v>
      </c>
      <c r="C596" s="1" t="n">
        <v>45899</v>
      </c>
      <c r="D596" t="inlineStr">
        <is>
          <t>KALMAR LÄN</t>
        </is>
      </c>
      <c r="E596" t="inlineStr">
        <is>
          <t>VIMMERBY</t>
        </is>
      </c>
      <c r="G596" t="n">
        <v>6</v>
      </c>
      <c r="H596" t="n">
        <v>0</v>
      </c>
      <c r="I596" t="n">
        <v>0</v>
      </c>
      <c r="J596" t="n">
        <v>0</v>
      </c>
      <c r="K596" t="n">
        <v>0</v>
      </c>
      <c r="L596" t="n">
        <v>0</v>
      </c>
      <c r="M596" t="n">
        <v>0</v>
      </c>
      <c r="N596" t="n">
        <v>0</v>
      </c>
      <c r="O596" t="n">
        <v>0</v>
      </c>
      <c r="P596" t="n">
        <v>0</v>
      </c>
      <c r="Q596" t="n">
        <v>0</v>
      </c>
      <c r="R596" s="2" t="inlineStr"/>
    </row>
    <row r="597" ht="15" customHeight="1">
      <c r="A597" t="inlineStr">
        <is>
          <t>A 44179-2022</t>
        </is>
      </c>
      <c r="B597" s="1" t="n">
        <v>44839.4528125</v>
      </c>
      <c r="C597" s="1" t="n">
        <v>45899</v>
      </c>
      <c r="D597" t="inlineStr">
        <is>
          <t>KALMAR LÄN</t>
        </is>
      </c>
      <c r="E597" t="inlineStr">
        <is>
          <t>VIMMERBY</t>
        </is>
      </c>
      <c r="G597" t="n">
        <v>2.8</v>
      </c>
      <c r="H597" t="n">
        <v>0</v>
      </c>
      <c r="I597" t="n">
        <v>0</v>
      </c>
      <c r="J597" t="n">
        <v>0</v>
      </c>
      <c r="K597" t="n">
        <v>0</v>
      </c>
      <c r="L597" t="n">
        <v>0</v>
      </c>
      <c r="M597" t="n">
        <v>0</v>
      </c>
      <c r="N597" t="n">
        <v>0</v>
      </c>
      <c r="O597" t="n">
        <v>0</v>
      </c>
      <c r="P597" t="n">
        <v>0</v>
      </c>
      <c r="Q597" t="n">
        <v>0</v>
      </c>
      <c r="R597" s="2" t="inlineStr"/>
    </row>
    <row r="598" ht="15" customHeight="1">
      <c r="A598" t="inlineStr">
        <is>
          <t>A 15550-2023</t>
        </is>
      </c>
      <c r="B598" s="1" t="n">
        <v>45020</v>
      </c>
      <c r="C598" s="1" t="n">
        <v>45899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50648-2023</t>
        </is>
      </c>
      <c r="B599" s="1" t="n">
        <v>45217.47834490741</v>
      </c>
      <c r="C599" s="1" t="n">
        <v>45899</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26956-2025</t>
        </is>
      </c>
      <c r="B600" s="1" t="n">
        <v>45811.45460648148</v>
      </c>
      <c r="C600" s="1" t="n">
        <v>45899</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31355-2023</t>
        </is>
      </c>
      <c r="B601" s="1" t="n">
        <v>45114.49505787037</v>
      </c>
      <c r="C601" s="1" t="n">
        <v>45899</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2121-2022</t>
        </is>
      </c>
      <c r="B602" s="1" t="n">
        <v>44578.32717592592</v>
      </c>
      <c r="C602" s="1" t="n">
        <v>45899</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18330-2023</t>
        </is>
      </c>
      <c r="B603" s="1" t="n">
        <v>45041</v>
      </c>
      <c r="C603" s="1" t="n">
        <v>45899</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57799-2022</t>
        </is>
      </c>
      <c r="B604" s="1" t="n">
        <v>44897</v>
      </c>
      <c r="C604" s="1" t="n">
        <v>45899</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15394-2025</t>
        </is>
      </c>
      <c r="B605" s="1" t="n">
        <v>45747.43196759259</v>
      </c>
      <c r="C605" s="1" t="n">
        <v>45899</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58100-2024</t>
        </is>
      </c>
      <c r="B606" s="1" t="n">
        <v>45632.36706018518</v>
      </c>
      <c r="C606" s="1" t="n">
        <v>45899</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34628-2025</t>
        </is>
      </c>
      <c r="B607" s="1" t="n">
        <v>45847.91280092593</v>
      </c>
      <c r="C607" s="1" t="n">
        <v>45899</v>
      </c>
      <c r="D607" t="inlineStr">
        <is>
          <t>KALMAR LÄN</t>
        </is>
      </c>
      <c r="E607" t="inlineStr">
        <is>
          <t>VIMMERBY</t>
        </is>
      </c>
      <c r="G607" t="n">
        <v>4.2</v>
      </c>
      <c r="H607" t="n">
        <v>0</v>
      </c>
      <c r="I607" t="n">
        <v>0</v>
      </c>
      <c r="J607" t="n">
        <v>0</v>
      </c>
      <c r="K607" t="n">
        <v>0</v>
      </c>
      <c r="L607" t="n">
        <v>0</v>
      </c>
      <c r="M607" t="n">
        <v>0</v>
      </c>
      <c r="N607" t="n">
        <v>0</v>
      </c>
      <c r="O607" t="n">
        <v>0</v>
      </c>
      <c r="P607" t="n">
        <v>0</v>
      </c>
      <c r="Q607" t="n">
        <v>0</v>
      </c>
      <c r="R607" s="2" t="inlineStr"/>
    </row>
    <row r="608" ht="15" customHeight="1">
      <c r="A608" t="inlineStr">
        <is>
          <t>A 27993-2022</t>
        </is>
      </c>
      <c r="B608" s="1" t="n">
        <v>44745.84396990741</v>
      </c>
      <c r="C608" s="1" t="n">
        <v>45899</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38969-2023</t>
        </is>
      </c>
      <c r="B609" s="1" t="n">
        <v>45163.63621527778</v>
      </c>
      <c r="C609" s="1" t="n">
        <v>45899</v>
      </c>
      <c r="D609" t="inlineStr">
        <is>
          <t>KALMAR LÄN</t>
        </is>
      </c>
      <c r="E609" t="inlineStr">
        <is>
          <t>VIMMERBY</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26318-2023</t>
        </is>
      </c>
      <c r="B610" s="1" t="n">
        <v>45091.67936342592</v>
      </c>
      <c r="C610" s="1" t="n">
        <v>45899</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60437-2023</t>
        </is>
      </c>
      <c r="B611" s="1" t="n">
        <v>45259.51916666667</v>
      </c>
      <c r="C611" s="1" t="n">
        <v>45899</v>
      </c>
      <c r="D611" t="inlineStr">
        <is>
          <t>KALMAR LÄN</t>
        </is>
      </c>
      <c r="E611" t="inlineStr">
        <is>
          <t>VIMMERBY</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60438-2023</t>
        </is>
      </c>
      <c r="B612" s="1" t="n">
        <v>45259.52020833334</v>
      </c>
      <c r="C612" s="1" t="n">
        <v>45899</v>
      </c>
      <c r="D612" t="inlineStr">
        <is>
          <t>KALMAR LÄN</t>
        </is>
      </c>
      <c r="E612" t="inlineStr">
        <is>
          <t>VIMMERBY</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13076-2025</t>
        </is>
      </c>
      <c r="B613" s="1" t="n">
        <v>45734.62017361111</v>
      </c>
      <c r="C613" s="1" t="n">
        <v>45899</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53752-2024</t>
        </is>
      </c>
      <c r="B614" s="1" t="n">
        <v>45615.48927083334</v>
      </c>
      <c r="C614" s="1" t="n">
        <v>45899</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39736-2025</t>
        </is>
      </c>
      <c r="B615" s="1" t="n">
        <v>45891</v>
      </c>
      <c r="C615" s="1" t="n">
        <v>45899</v>
      </c>
      <c r="D615" t="inlineStr">
        <is>
          <t>KALMAR LÄN</t>
        </is>
      </c>
      <c r="E615" t="inlineStr">
        <is>
          <t>VIMMERBY</t>
        </is>
      </c>
      <c r="G615" t="n">
        <v>12.8</v>
      </c>
      <c r="H615" t="n">
        <v>0</v>
      </c>
      <c r="I615" t="n">
        <v>0</v>
      </c>
      <c r="J615" t="n">
        <v>0</v>
      </c>
      <c r="K615" t="n">
        <v>0</v>
      </c>
      <c r="L615" t="n">
        <v>0</v>
      </c>
      <c r="M615" t="n">
        <v>0</v>
      </c>
      <c r="N615" t="n">
        <v>0</v>
      </c>
      <c r="O615" t="n">
        <v>0</v>
      </c>
      <c r="P615" t="n">
        <v>0</v>
      </c>
      <c r="Q615" t="n">
        <v>0</v>
      </c>
      <c r="R615" s="2" t="inlineStr"/>
    </row>
    <row r="616" ht="15" customHeight="1">
      <c r="A616" t="inlineStr">
        <is>
          <t>A 7758-2024</t>
        </is>
      </c>
      <c r="B616" s="1" t="n">
        <v>45349.54434027777</v>
      </c>
      <c r="C616" s="1" t="n">
        <v>45899</v>
      </c>
      <c r="D616" t="inlineStr">
        <is>
          <t>KALMAR LÄN</t>
        </is>
      </c>
      <c r="E616" t="inlineStr">
        <is>
          <t>VIMMERBY</t>
        </is>
      </c>
      <c r="G616" t="n">
        <v>3.5</v>
      </c>
      <c r="H616" t="n">
        <v>0</v>
      </c>
      <c r="I616" t="n">
        <v>0</v>
      </c>
      <c r="J616" t="n">
        <v>0</v>
      </c>
      <c r="K616" t="n">
        <v>0</v>
      </c>
      <c r="L616" t="n">
        <v>0</v>
      </c>
      <c r="M616" t="n">
        <v>0</v>
      </c>
      <c r="N616" t="n">
        <v>0</v>
      </c>
      <c r="O616" t="n">
        <v>0</v>
      </c>
      <c r="P616" t="n">
        <v>0</v>
      </c>
      <c r="Q616" t="n">
        <v>0</v>
      </c>
      <c r="R616" s="2" t="inlineStr"/>
    </row>
    <row r="617" ht="15" customHeight="1">
      <c r="A617" t="inlineStr">
        <is>
          <t>A 39803-2025</t>
        </is>
      </c>
      <c r="B617" s="1" t="n">
        <v>45891.50525462963</v>
      </c>
      <c r="C617" s="1" t="n">
        <v>45899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39807-2025</t>
        </is>
      </c>
      <c r="B618" s="1" t="n">
        <v>45891.50986111111</v>
      </c>
      <c r="C618" s="1" t="n">
        <v>45899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7456-2024</t>
        </is>
      </c>
      <c r="B619" s="1" t="n">
        <v>45345.83557870371</v>
      </c>
      <c r="C619" s="1" t="n">
        <v>45899</v>
      </c>
      <c r="D619" t="inlineStr">
        <is>
          <t>KALMAR LÄN</t>
        </is>
      </c>
      <c r="E619" t="inlineStr">
        <is>
          <t>VIMMERBY</t>
        </is>
      </c>
      <c r="G619" t="n">
        <v>4.1</v>
      </c>
      <c r="H619" t="n">
        <v>0</v>
      </c>
      <c r="I619" t="n">
        <v>0</v>
      </c>
      <c r="J619" t="n">
        <v>0</v>
      </c>
      <c r="K619" t="n">
        <v>0</v>
      </c>
      <c r="L619" t="n">
        <v>0</v>
      </c>
      <c r="M619" t="n">
        <v>0</v>
      </c>
      <c r="N619" t="n">
        <v>0</v>
      </c>
      <c r="O619" t="n">
        <v>0</v>
      </c>
      <c r="P619" t="n">
        <v>0</v>
      </c>
      <c r="Q619" t="n">
        <v>0</v>
      </c>
      <c r="R619" s="2" t="inlineStr"/>
    </row>
    <row r="620" ht="15" customHeight="1">
      <c r="A620" t="inlineStr">
        <is>
          <t>A 6082-2022</t>
        </is>
      </c>
      <c r="B620" s="1" t="n">
        <v>44599</v>
      </c>
      <c r="C620" s="1" t="n">
        <v>45899</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46979-2023</t>
        </is>
      </c>
      <c r="B621" s="1" t="n">
        <v>45201</v>
      </c>
      <c r="C621" s="1" t="n">
        <v>45899</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39801-2025</t>
        </is>
      </c>
      <c r="B622" s="1" t="n">
        <v>45891.50216435185</v>
      </c>
      <c r="C622" s="1" t="n">
        <v>45899</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2596-2025</t>
        </is>
      </c>
      <c r="B623" s="1" t="n">
        <v>45674.71810185185</v>
      </c>
      <c r="C623" s="1" t="n">
        <v>45899</v>
      </c>
      <c r="D623" t="inlineStr">
        <is>
          <t>KALMAR LÄN</t>
        </is>
      </c>
      <c r="E623" t="inlineStr">
        <is>
          <t>VIMMERBY</t>
        </is>
      </c>
      <c r="G623" t="n">
        <v>9</v>
      </c>
      <c r="H623" t="n">
        <v>0</v>
      </c>
      <c r="I623" t="n">
        <v>0</v>
      </c>
      <c r="J623" t="n">
        <v>0</v>
      </c>
      <c r="K623" t="n">
        <v>0</v>
      </c>
      <c r="L623" t="n">
        <v>0</v>
      </c>
      <c r="M623" t="n">
        <v>0</v>
      </c>
      <c r="N623" t="n">
        <v>0</v>
      </c>
      <c r="O623" t="n">
        <v>0</v>
      </c>
      <c r="P623" t="n">
        <v>0</v>
      </c>
      <c r="Q623" t="n">
        <v>0</v>
      </c>
      <c r="R623" s="2" t="inlineStr"/>
    </row>
    <row r="624" ht="15" customHeight="1">
      <c r="A624" t="inlineStr">
        <is>
          <t>A 47855-2024</t>
        </is>
      </c>
      <c r="B624" s="1" t="n">
        <v>45588.66457175926</v>
      </c>
      <c r="C624" s="1" t="n">
        <v>45899</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63583-2023</t>
        </is>
      </c>
      <c r="B625" s="1" t="n">
        <v>45275.41833333333</v>
      </c>
      <c r="C625" s="1" t="n">
        <v>45899</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58728-2024</t>
        </is>
      </c>
      <c r="B626" s="1" t="n">
        <v>45635.66695601852</v>
      </c>
      <c r="C626" s="1" t="n">
        <v>45899</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43242-2024</t>
        </is>
      </c>
      <c r="B627" s="1" t="n">
        <v>45568.30189814815</v>
      </c>
      <c r="C627" s="1" t="n">
        <v>45899</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16983-2023</t>
        </is>
      </c>
      <c r="B628" s="1" t="n">
        <v>45033.76043981482</v>
      </c>
      <c r="C628" s="1" t="n">
        <v>45899</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60228-2021</t>
        </is>
      </c>
      <c r="B629" s="1" t="n">
        <v>44495</v>
      </c>
      <c r="C629" s="1" t="n">
        <v>45899</v>
      </c>
      <c r="D629" t="inlineStr">
        <is>
          <t>KALMAR LÄN</t>
        </is>
      </c>
      <c r="E629" t="inlineStr">
        <is>
          <t>VIMMERBY</t>
        </is>
      </c>
      <c r="G629" t="n">
        <v>4.1</v>
      </c>
      <c r="H629" t="n">
        <v>0</v>
      </c>
      <c r="I629" t="n">
        <v>0</v>
      </c>
      <c r="J629" t="n">
        <v>0</v>
      </c>
      <c r="K629" t="n">
        <v>0</v>
      </c>
      <c r="L629" t="n">
        <v>0</v>
      </c>
      <c r="M629" t="n">
        <v>0</v>
      </c>
      <c r="N629" t="n">
        <v>0</v>
      </c>
      <c r="O629" t="n">
        <v>0</v>
      </c>
      <c r="P629" t="n">
        <v>0</v>
      </c>
      <c r="Q629" t="n">
        <v>0</v>
      </c>
      <c r="R629" s="2" t="inlineStr"/>
    </row>
    <row r="630" ht="15" customHeight="1">
      <c r="A630" t="inlineStr">
        <is>
          <t>A 35270-2025</t>
        </is>
      </c>
      <c r="B630" s="1" t="n">
        <v>45853.87112268519</v>
      </c>
      <c r="C630" s="1" t="n">
        <v>45899</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6405-2025</t>
        </is>
      </c>
      <c r="B631" s="1" t="n">
        <v>45699.45392361111</v>
      </c>
      <c r="C631" s="1" t="n">
        <v>45899</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36843-2023</t>
        </is>
      </c>
      <c r="B632" s="1" t="n">
        <v>45154.49831018518</v>
      </c>
      <c r="C632" s="1" t="n">
        <v>45899</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46522-2022</t>
        </is>
      </c>
      <c r="B633" s="1" t="n">
        <v>44848.59133101852</v>
      </c>
      <c r="C633" s="1" t="n">
        <v>45899</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21109-2024</t>
        </is>
      </c>
      <c r="B634" s="1" t="n">
        <v>45440.28329861111</v>
      </c>
      <c r="C634" s="1" t="n">
        <v>45899</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35271-2025</t>
        </is>
      </c>
      <c r="B635" s="1" t="n">
        <v>45853.87599537037</v>
      </c>
      <c r="C635" s="1" t="n">
        <v>45899</v>
      </c>
      <c r="D635" t="inlineStr">
        <is>
          <t>KALMAR LÄN</t>
        </is>
      </c>
      <c r="E635" t="inlineStr">
        <is>
          <t>VIMMERBY</t>
        </is>
      </c>
      <c r="G635" t="n">
        <v>0.4</v>
      </c>
      <c r="H635" t="n">
        <v>0</v>
      </c>
      <c r="I635" t="n">
        <v>0</v>
      </c>
      <c r="J635" t="n">
        <v>0</v>
      </c>
      <c r="K635" t="n">
        <v>0</v>
      </c>
      <c r="L635" t="n">
        <v>0</v>
      </c>
      <c r="M635" t="n">
        <v>0</v>
      </c>
      <c r="N635" t="n">
        <v>0</v>
      </c>
      <c r="O635" t="n">
        <v>0</v>
      </c>
      <c r="P635" t="n">
        <v>0</v>
      </c>
      <c r="Q635" t="n">
        <v>0</v>
      </c>
      <c r="R635" s="2" t="inlineStr"/>
    </row>
    <row r="636" ht="15" customHeight="1">
      <c r="A636" t="inlineStr">
        <is>
          <t>A 35272-2025</t>
        </is>
      </c>
      <c r="B636" s="1" t="n">
        <v>45853.88070601852</v>
      </c>
      <c r="C636" s="1" t="n">
        <v>45899</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57486-2024</t>
        </is>
      </c>
      <c r="B637" s="1" t="n">
        <v>45630.35827546296</v>
      </c>
      <c r="C637" s="1" t="n">
        <v>45899</v>
      </c>
      <c r="D637" t="inlineStr">
        <is>
          <t>KALMAR LÄN</t>
        </is>
      </c>
      <c r="E637" t="inlineStr">
        <is>
          <t>VIMMERBY</t>
        </is>
      </c>
      <c r="G637" t="n">
        <v>0.4</v>
      </c>
      <c r="H637" t="n">
        <v>0</v>
      </c>
      <c r="I637" t="n">
        <v>0</v>
      </c>
      <c r="J637" t="n">
        <v>0</v>
      </c>
      <c r="K637" t="n">
        <v>0</v>
      </c>
      <c r="L637" t="n">
        <v>0</v>
      </c>
      <c r="M637" t="n">
        <v>0</v>
      </c>
      <c r="N637" t="n">
        <v>0</v>
      </c>
      <c r="O637" t="n">
        <v>0</v>
      </c>
      <c r="P637" t="n">
        <v>0</v>
      </c>
      <c r="Q637" t="n">
        <v>0</v>
      </c>
      <c r="R637" s="2" t="inlineStr"/>
    </row>
    <row r="638" ht="15" customHeight="1">
      <c r="A638" t="inlineStr">
        <is>
          <t>A 40684-2025</t>
        </is>
      </c>
      <c r="B638" s="1" t="n">
        <v>45896.86820601852</v>
      </c>
      <c r="C638" s="1" t="n">
        <v>45899</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16953-2025</t>
        </is>
      </c>
      <c r="B639" s="1" t="n">
        <v>45755.44333333334</v>
      </c>
      <c r="C639" s="1" t="n">
        <v>45899</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33815-2022</t>
        </is>
      </c>
      <c r="B640" s="1" t="n">
        <v>44790.45876157407</v>
      </c>
      <c r="C640" s="1" t="n">
        <v>45899</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39889-2025</t>
        </is>
      </c>
      <c r="B641" s="1" t="n">
        <v>45891</v>
      </c>
      <c r="C641" s="1" t="n">
        <v>45899</v>
      </c>
      <c r="D641" t="inlineStr">
        <is>
          <t>KALMAR LÄN</t>
        </is>
      </c>
      <c r="E641" t="inlineStr">
        <is>
          <t>VIMMERBY</t>
        </is>
      </c>
      <c r="G641" t="n">
        <v>4.5</v>
      </c>
      <c r="H641" t="n">
        <v>0</v>
      </c>
      <c r="I641" t="n">
        <v>0</v>
      </c>
      <c r="J641" t="n">
        <v>0</v>
      </c>
      <c r="K641" t="n">
        <v>0</v>
      </c>
      <c r="L641" t="n">
        <v>0</v>
      </c>
      <c r="M641" t="n">
        <v>0</v>
      </c>
      <c r="N641" t="n">
        <v>0</v>
      </c>
      <c r="O641" t="n">
        <v>0</v>
      </c>
      <c r="P641" t="n">
        <v>0</v>
      </c>
      <c r="Q641" t="n">
        <v>0</v>
      </c>
      <c r="R641" s="2" t="inlineStr"/>
    </row>
    <row r="642" ht="15" customHeight="1">
      <c r="A642" t="inlineStr">
        <is>
          <t>A 66295-2020</t>
        </is>
      </c>
      <c r="B642" s="1" t="n">
        <v>44176</v>
      </c>
      <c r="C642" s="1" t="n">
        <v>45899</v>
      </c>
      <c r="D642" t="inlineStr">
        <is>
          <t>KALMAR LÄN</t>
        </is>
      </c>
      <c r="E642" t="inlineStr">
        <is>
          <t>VIMMERBY</t>
        </is>
      </c>
      <c r="G642" t="n">
        <v>4.1</v>
      </c>
      <c r="H642" t="n">
        <v>0</v>
      </c>
      <c r="I642" t="n">
        <v>0</v>
      </c>
      <c r="J642" t="n">
        <v>0</v>
      </c>
      <c r="K642" t="n">
        <v>0</v>
      </c>
      <c r="L642" t="n">
        <v>0</v>
      </c>
      <c r="M642" t="n">
        <v>0</v>
      </c>
      <c r="N642" t="n">
        <v>0</v>
      </c>
      <c r="O642" t="n">
        <v>0</v>
      </c>
      <c r="P642" t="n">
        <v>0</v>
      </c>
      <c r="Q642" t="n">
        <v>0</v>
      </c>
      <c r="R642" s="2" t="inlineStr"/>
    </row>
    <row r="643" ht="15" customHeight="1">
      <c r="A643" t="inlineStr">
        <is>
          <t>A 49461-2022</t>
        </is>
      </c>
      <c r="B643" s="1" t="n">
        <v>44861</v>
      </c>
      <c r="C643" s="1" t="n">
        <v>45899</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53542-2022</t>
        </is>
      </c>
      <c r="B644" s="1" t="n">
        <v>44879.62173611111</v>
      </c>
      <c r="C644" s="1" t="n">
        <v>45899</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35713-2023</t>
        </is>
      </c>
      <c r="B645" s="1" t="n">
        <v>45147</v>
      </c>
      <c r="C645" s="1" t="n">
        <v>45899</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44423-2023</t>
        </is>
      </c>
      <c r="B646" s="1" t="n">
        <v>45189</v>
      </c>
      <c r="C646" s="1" t="n">
        <v>45899</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10424-2023</t>
        </is>
      </c>
      <c r="B647" s="1" t="n">
        <v>44987.54104166666</v>
      </c>
      <c r="C647" s="1" t="n">
        <v>45899</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20-2025</t>
        </is>
      </c>
      <c r="B648" s="1" t="n">
        <v>45658.80232638889</v>
      </c>
      <c r="C648" s="1" t="n">
        <v>45899</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23-2025</t>
        </is>
      </c>
      <c r="B649" s="1" t="n">
        <v>45658.80827546296</v>
      </c>
      <c r="C649" s="1" t="n">
        <v>45899</v>
      </c>
      <c r="D649" t="inlineStr">
        <is>
          <t>KALMAR LÄN</t>
        </is>
      </c>
      <c r="E649" t="inlineStr">
        <is>
          <t>VIMMERBY</t>
        </is>
      </c>
      <c r="G649" t="n">
        <v>1.8</v>
      </c>
      <c r="H649" t="n">
        <v>0</v>
      </c>
      <c r="I649" t="n">
        <v>0</v>
      </c>
      <c r="J649" t="n">
        <v>0</v>
      </c>
      <c r="K649" t="n">
        <v>0</v>
      </c>
      <c r="L649" t="n">
        <v>0</v>
      </c>
      <c r="M649" t="n">
        <v>0</v>
      </c>
      <c r="N649" t="n">
        <v>0</v>
      </c>
      <c r="O649" t="n">
        <v>0</v>
      </c>
      <c r="P649" t="n">
        <v>0</v>
      </c>
      <c r="Q649" t="n">
        <v>0</v>
      </c>
      <c r="R649" s="2" t="inlineStr"/>
    </row>
    <row r="650" ht="15" customHeight="1">
      <c r="A650" t="inlineStr">
        <is>
          <t>A 40921-2025</t>
        </is>
      </c>
      <c r="B650" s="1" t="n">
        <v>45897.63520833333</v>
      </c>
      <c r="C650" s="1" t="n">
        <v>45899</v>
      </c>
      <c r="D650" t="inlineStr">
        <is>
          <t>KALMAR LÄN</t>
        </is>
      </c>
      <c r="E650" t="inlineStr">
        <is>
          <t>VIMMERBY</t>
        </is>
      </c>
      <c r="G650" t="n">
        <v>4.2</v>
      </c>
      <c r="H650" t="n">
        <v>0</v>
      </c>
      <c r="I650" t="n">
        <v>0</v>
      </c>
      <c r="J650" t="n">
        <v>0</v>
      </c>
      <c r="K650" t="n">
        <v>0</v>
      </c>
      <c r="L650" t="n">
        <v>0</v>
      </c>
      <c r="M650" t="n">
        <v>0</v>
      </c>
      <c r="N650" t="n">
        <v>0</v>
      </c>
      <c r="O650" t="n">
        <v>0</v>
      </c>
      <c r="P650" t="n">
        <v>0</v>
      </c>
      <c r="Q650" t="n">
        <v>0</v>
      </c>
      <c r="R650" s="2" t="inlineStr"/>
    </row>
    <row r="651" ht="15" customHeight="1">
      <c r="A651" t="inlineStr">
        <is>
          <t>A 21496-2023</t>
        </is>
      </c>
      <c r="B651" s="1" t="n">
        <v>45063.49936342592</v>
      </c>
      <c r="C651" s="1" t="n">
        <v>45899</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40971-2025</t>
        </is>
      </c>
      <c r="B652" s="1" t="n">
        <v>45897.88836805556</v>
      </c>
      <c r="C652" s="1" t="n">
        <v>45899</v>
      </c>
      <c r="D652" t="inlineStr">
        <is>
          <t>KALMAR LÄN</t>
        </is>
      </c>
      <c r="E652" t="inlineStr">
        <is>
          <t>VIMMERBY</t>
        </is>
      </c>
      <c r="G652" t="n">
        <v>1.5</v>
      </c>
      <c r="H652" t="n">
        <v>0</v>
      </c>
      <c r="I652" t="n">
        <v>0</v>
      </c>
      <c r="J652" t="n">
        <v>0</v>
      </c>
      <c r="K652" t="n">
        <v>0</v>
      </c>
      <c r="L652" t="n">
        <v>0</v>
      </c>
      <c r="M652" t="n">
        <v>0</v>
      </c>
      <c r="N652" t="n">
        <v>0</v>
      </c>
      <c r="O652" t="n">
        <v>0</v>
      </c>
      <c r="P652" t="n">
        <v>0</v>
      </c>
      <c r="Q652" t="n">
        <v>0</v>
      </c>
      <c r="R652" s="2" t="inlineStr"/>
    </row>
    <row r="653" ht="15" customHeight="1">
      <c r="A653" t="inlineStr">
        <is>
          <t>A 18022-2025</t>
        </is>
      </c>
      <c r="B653" s="1" t="n">
        <v>45761.44584490741</v>
      </c>
      <c r="C653" s="1" t="n">
        <v>45899</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31056-2022</t>
        </is>
      </c>
      <c r="B654" s="1" t="n">
        <v>44769.45805555556</v>
      </c>
      <c r="C654" s="1" t="n">
        <v>45899</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40925-2025</t>
        </is>
      </c>
      <c r="B655" s="1" t="n">
        <v>45897.64208333333</v>
      </c>
      <c r="C655" s="1" t="n">
        <v>45899</v>
      </c>
      <c r="D655" t="inlineStr">
        <is>
          <t>KALMAR LÄN</t>
        </is>
      </c>
      <c r="E655" t="inlineStr">
        <is>
          <t>VIMMERBY</t>
        </is>
      </c>
      <c r="G655" t="n">
        <v>1.9</v>
      </c>
      <c r="H655" t="n">
        <v>0</v>
      </c>
      <c r="I655" t="n">
        <v>0</v>
      </c>
      <c r="J655" t="n">
        <v>0</v>
      </c>
      <c r="K655" t="n">
        <v>0</v>
      </c>
      <c r="L655" t="n">
        <v>0</v>
      </c>
      <c r="M655" t="n">
        <v>0</v>
      </c>
      <c r="N655" t="n">
        <v>0</v>
      </c>
      <c r="O655" t="n">
        <v>0</v>
      </c>
      <c r="P655" t="n">
        <v>0</v>
      </c>
      <c r="Q655" t="n">
        <v>0</v>
      </c>
      <c r="R655" s="2" t="inlineStr"/>
    </row>
    <row r="656" ht="15" customHeight="1">
      <c r="A656" t="inlineStr">
        <is>
          <t>A 41224-2025</t>
        </is>
      </c>
      <c r="B656" s="1" t="n">
        <v>45898.58861111111</v>
      </c>
      <c r="C656" s="1" t="n">
        <v>45899</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40973-2025</t>
        </is>
      </c>
      <c r="B657" s="1" t="n">
        <v>45897.89737268518</v>
      </c>
      <c r="C657" s="1" t="n">
        <v>45899</v>
      </c>
      <c r="D657" t="inlineStr">
        <is>
          <t>KALMAR LÄN</t>
        </is>
      </c>
      <c r="E657" t="inlineStr">
        <is>
          <t>VIMMERBY</t>
        </is>
      </c>
      <c r="G657" t="n">
        <v>1.8</v>
      </c>
      <c r="H657" t="n">
        <v>0</v>
      </c>
      <c r="I657" t="n">
        <v>0</v>
      </c>
      <c r="J657" t="n">
        <v>0</v>
      </c>
      <c r="K657" t="n">
        <v>0</v>
      </c>
      <c r="L657" t="n">
        <v>0</v>
      </c>
      <c r="M657" t="n">
        <v>0</v>
      </c>
      <c r="N657" t="n">
        <v>0</v>
      </c>
      <c r="O657" t="n">
        <v>0</v>
      </c>
      <c r="P657" t="n">
        <v>0</v>
      </c>
      <c r="Q657" t="n">
        <v>0</v>
      </c>
      <c r="R657" s="2" t="inlineStr"/>
    </row>
    <row r="658" ht="15" customHeight="1">
      <c r="A658" t="inlineStr">
        <is>
          <t>A 40970-2025</t>
        </is>
      </c>
      <c r="B658" s="1" t="n">
        <v>45897.88706018519</v>
      </c>
      <c r="C658" s="1" t="n">
        <v>45899</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72701-2021</t>
        </is>
      </c>
      <c r="B659" s="1" t="n">
        <v>44546</v>
      </c>
      <c r="C659" s="1" t="n">
        <v>45899</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52294-2023</t>
        </is>
      </c>
      <c r="B660" s="1" t="n">
        <v>45224.60075231481</v>
      </c>
      <c r="C660" s="1" t="n">
        <v>45899</v>
      </c>
      <c r="D660" t="inlineStr">
        <is>
          <t>KALMAR LÄN</t>
        </is>
      </c>
      <c r="E660" t="inlineStr">
        <is>
          <t>VIMMERBY</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61355-2024</t>
        </is>
      </c>
      <c r="B661" s="1" t="n">
        <v>45646.38200231481</v>
      </c>
      <c r="C661" s="1" t="n">
        <v>45899</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33340-2023</t>
        </is>
      </c>
      <c r="B662" s="1" t="n">
        <v>45128.37305555555</v>
      </c>
      <c r="C662" s="1" t="n">
        <v>45899</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33374-2021</t>
        </is>
      </c>
      <c r="B663" s="1" t="n">
        <v>44377</v>
      </c>
      <c r="C663" s="1" t="n">
        <v>45899</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29017-2024</t>
        </is>
      </c>
      <c r="B664" s="1" t="n">
        <v>45481.56722222222</v>
      </c>
      <c r="C664" s="1" t="n">
        <v>45899</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58046-2022</t>
        </is>
      </c>
      <c r="B665" s="1" t="n">
        <v>44900.57393518519</v>
      </c>
      <c r="C665" s="1" t="n">
        <v>45899</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14548-2024</t>
        </is>
      </c>
      <c r="B666" s="1" t="n">
        <v>45394.66887731481</v>
      </c>
      <c r="C666" s="1" t="n">
        <v>45899</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10759-2023</t>
        </is>
      </c>
      <c r="B667" s="1" t="n">
        <v>44988</v>
      </c>
      <c r="C667" s="1" t="n">
        <v>45899</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18899-2025</t>
        </is>
      </c>
      <c r="B668" s="1" t="n">
        <v>45764.44931712963</v>
      </c>
      <c r="C668" s="1" t="n">
        <v>45899</v>
      </c>
      <c r="D668" t="inlineStr">
        <is>
          <t>KALMAR LÄN</t>
        </is>
      </c>
      <c r="E668" t="inlineStr">
        <is>
          <t>VIMMERBY</t>
        </is>
      </c>
      <c r="F668" t="inlineStr">
        <is>
          <t>Kommuner</t>
        </is>
      </c>
      <c r="G668" t="n">
        <v>4</v>
      </c>
      <c r="H668" t="n">
        <v>0</v>
      </c>
      <c r="I668" t="n">
        <v>0</v>
      </c>
      <c r="J668" t="n">
        <v>0</v>
      </c>
      <c r="K668" t="n">
        <v>0</v>
      </c>
      <c r="L668" t="n">
        <v>0</v>
      </c>
      <c r="M668" t="n">
        <v>0</v>
      </c>
      <c r="N668" t="n">
        <v>0</v>
      </c>
      <c r="O668" t="n">
        <v>0</v>
      </c>
      <c r="P668" t="n">
        <v>0</v>
      </c>
      <c r="Q668" t="n">
        <v>0</v>
      </c>
      <c r="R668" s="2" t="inlineStr"/>
    </row>
    <row r="669" ht="15" customHeight="1">
      <c r="A669" t="inlineStr">
        <is>
          <t>A 12586-2021</t>
        </is>
      </c>
      <c r="B669" s="1" t="n">
        <v>44270.38002314815</v>
      </c>
      <c r="C669" s="1" t="n">
        <v>45899</v>
      </c>
      <c r="D669" t="inlineStr">
        <is>
          <t>KALMAR LÄN</t>
        </is>
      </c>
      <c r="E669" t="inlineStr">
        <is>
          <t>VIMMERBY</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32614-2023</t>
        </is>
      </c>
      <c r="B670" s="1" t="n">
        <v>45121</v>
      </c>
      <c r="C670" s="1" t="n">
        <v>45899</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61939-2021</t>
        </is>
      </c>
      <c r="B671" s="1" t="n">
        <v>44502</v>
      </c>
      <c r="C671" s="1" t="n">
        <v>45899</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48120-2022</t>
        </is>
      </c>
      <c r="B672" s="1" t="n">
        <v>44857.65989583333</v>
      </c>
      <c r="C672" s="1" t="n">
        <v>45899</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3423-2022</t>
        </is>
      </c>
      <c r="B673" s="1" t="n">
        <v>44585.50431712963</v>
      </c>
      <c r="C673" s="1" t="n">
        <v>45899</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11074-2023</t>
        </is>
      </c>
      <c r="B674" s="1" t="n">
        <v>44992.34151620371</v>
      </c>
      <c r="C674" s="1" t="n">
        <v>45899</v>
      </c>
      <c r="D674" t="inlineStr">
        <is>
          <t>KALMAR LÄN</t>
        </is>
      </c>
      <c r="E674" t="inlineStr">
        <is>
          <t>VIMMERBY</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71631-2021</t>
        </is>
      </c>
      <c r="B675" s="1" t="n">
        <v>44542.90072916666</v>
      </c>
      <c r="C675" s="1" t="n">
        <v>45899</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6218-2025</t>
        </is>
      </c>
      <c r="B676" s="1" t="n">
        <v>45698.53336805556</v>
      </c>
      <c r="C676" s="1" t="n">
        <v>45899</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40076-2021</t>
        </is>
      </c>
      <c r="B677" s="1" t="n">
        <v>44418</v>
      </c>
      <c r="C677" s="1" t="n">
        <v>45899</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49039-2021</t>
        </is>
      </c>
      <c r="B678" s="1" t="n">
        <v>44453.56578703703</v>
      </c>
      <c r="C678" s="1" t="n">
        <v>45899</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42918-2021</t>
        </is>
      </c>
      <c r="B679" s="1" t="n">
        <v>44431</v>
      </c>
      <c r="C679" s="1" t="n">
        <v>45899</v>
      </c>
      <c r="D679" t="inlineStr">
        <is>
          <t>KALMAR LÄN</t>
        </is>
      </c>
      <c r="E679" t="inlineStr">
        <is>
          <t>VIMMERBY</t>
        </is>
      </c>
      <c r="G679" t="n">
        <v>1.6</v>
      </c>
      <c r="H679" t="n">
        <v>0</v>
      </c>
      <c r="I679" t="n">
        <v>0</v>
      </c>
      <c r="J679" t="n">
        <v>0</v>
      </c>
      <c r="K679" t="n">
        <v>0</v>
      </c>
      <c r="L679" t="n">
        <v>0</v>
      </c>
      <c r="M679" t="n">
        <v>0</v>
      </c>
      <c r="N679" t="n">
        <v>0</v>
      </c>
      <c r="O679" t="n">
        <v>0</v>
      </c>
      <c r="P679" t="n">
        <v>0</v>
      </c>
      <c r="Q679" t="n">
        <v>0</v>
      </c>
      <c r="R679" s="2" t="inlineStr"/>
    </row>
    <row r="680" ht="15" customHeight="1">
      <c r="A680" t="inlineStr">
        <is>
          <t>A 529-2022</t>
        </is>
      </c>
      <c r="B680" s="1" t="n">
        <v>44566</v>
      </c>
      <c r="C680" s="1" t="n">
        <v>45899</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15976-2025</t>
        </is>
      </c>
      <c r="B681" s="1" t="n">
        <v>45749.56196759259</v>
      </c>
      <c r="C681" s="1" t="n">
        <v>45899</v>
      </c>
      <c r="D681" t="inlineStr">
        <is>
          <t>KALMAR LÄN</t>
        </is>
      </c>
      <c r="E681" t="inlineStr">
        <is>
          <t>VIMMERBY</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14855-2025</t>
        </is>
      </c>
      <c r="B682" s="1" t="n">
        <v>45743.41148148148</v>
      </c>
      <c r="C682" s="1" t="n">
        <v>45899</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60951-2023</t>
        </is>
      </c>
      <c r="B683" s="1" t="n">
        <v>45261.44914351852</v>
      </c>
      <c r="C683" s="1" t="n">
        <v>45899</v>
      </c>
      <c r="D683" t="inlineStr">
        <is>
          <t>KALMAR LÄN</t>
        </is>
      </c>
      <c r="E683" t="inlineStr">
        <is>
          <t>VIMMERBY</t>
        </is>
      </c>
      <c r="G683" t="n">
        <v>4.3</v>
      </c>
      <c r="H683" t="n">
        <v>0</v>
      </c>
      <c r="I683" t="n">
        <v>0</v>
      </c>
      <c r="J683" t="n">
        <v>0</v>
      </c>
      <c r="K683" t="n">
        <v>0</v>
      </c>
      <c r="L683" t="n">
        <v>0</v>
      </c>
      <c r="M683" t="n">
        <v>0</v>
      </c>
      <c r="N683" t="n">
        <v>0</v>
      </c>
      <c r="O683" t="n">
        <v>0</v>
      </c>
      <c r="P683" t="n">
        <v>0</v>
      </c>
      <c r="Q683" t="n">
        <v>0</v>
      </c>
      <c r="R683" s="2" t="inlineStr"/>
    </row>
    <row r="684" ht="15" customHeight="1">
      <c r="A684" t="inlineStr">
        <is>
          <t>A 19162-2023</t>
        </is>
      </c>
      <c r="B684" s="1" t="n">
        <v>45048.59699074074</v>
      </c>
      <c r="C684" s="1" t="n">
        <v>45899</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12588-2025</t>
        </is>
      </c>
      <c r="B685" s="1" t="n">
        <v>45732.76936342593</v>
      </c>
      <c r="C685" s="1" t="n">
        <v>45899</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25979-2023</t>
        </is>
      </c>
      <c r="B686" s="1" t="n">
        <v>45090.89653935185</v>
      </c>
      <c r="C686" s="1" t="n">
        <v>45899</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25980-2023</t>
        </is>
      </c>
      <c r="B687" s="1" t="n">
        <v>45090.89880787037</v>
      </c>
      <c r="C687" s="1" t="n">
        <v>45899</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31209-2024</t>
        </is>
      </c>
      <c r="B688" s="1" t="n">
        <v>45503.5658912037</v>
      </c>
      <c r="C688" s="1" t="n">
        <v>45899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46921-2023</t>
        </is>
      </c>
      <c r="B689" s="1" t="n">
        <v>45201.39996527778</v>
      </c>
      <c r="C689" s="1" t="n">
        <v>45899</v>
      </c>
      <c r="D689" t="inlineStr">
        <is>
          <t>KALMAR LÄN</t>
        </is>
      </c>
      <c r="E689" t="inlineStr">
        <is>
          <t>VIMMERBY</t>
        </is>
      </c>
      <c r="G689" t="n">
        <v>2.6</v>
      </c>
      <c r="H689" t="n">
        <v>0</v>
      </c>
      <c r="I689" t="n">
        <v>0</v>
      </c>
      <c r="J689" t="n">
        <v>0</v>
      </c>
      <c r="K689" t="n">
        <v>0</v>
      </c>
      <c r="L689" t="n">
        <v>0</v>
      </c>
      <c r="M689" t="n">
        <v>0</v>
      </c>
      <c r="N689" t="n">
        <v>0</v>
      </c>
      <c r="O689" t="n">
        <v>0</v>
      </c>
      <c r="P689" t="n">
        <v>0</v>
      </c>
      <c r="Q689" t="n">
        <v>0</v>
      </c>
      <c r="R689" s="2" t="inlineStr"/>
    </row>
    <row r="690" ht="15" customHeight="1">
      <c r="A690" t="inlineStr">
        <is>
          <t>A 10837-2023</t>
        </is>
      </c>
      <c r="B690" s="1" t="n">
        <v>44991.30547453704</v>
      </c>
      <c r="C690" s="1" t="n">
        <v>45899</v>
      </c>
      <c r="D690" t="inlineStr">
        <is>
          <t>KALMAR LÄN</t>
        </is>
      </c>
      <c r="E690" t="inlineStr">
        <is>
          <t>VIMMERBY</t>
        </is>
      </c>
      <c r="G690" t="n">
        <v>7.3</v>
      </c>
      <c r="H690" t="n">
        <v>0</v>
      </c>
      <c r="I690" t="n">
        <v>0</v>
      </c>
      <c r="J690" t="n">
        <v>0</v>
      </c>
      <c r="K690" t="n">
        <v>0</v>
      </c>
      <c r="L690" t="n">
        <v>0</v>
      </c>
      <c r="M690" t="n">
        <v>0</v>
      </c>
      <c r="N690" t="n">
        <v>0</v>
      </c>
      <c r="O690" t="n">
        <v>0</v>
      </c>
      <c r="P690" t="n">
        <v>0</v>
      </c>
      <c r="Q690" t="n">
        <v>0</v>
      </c>
      <c r="R690" s="2" t="inlineStr"/>
    </row>
    <row r="691" ht="15" customHeight="1">
      <c r="A691" t="inlineStr">
        <is>
          <t>A 10838-2023</t>
        </is>
      </c>
      <c r="B691" s="1" t="n">
        <v>44991</v>
      </c>
      <c r="C691" s="1" t="n">
        <v>45899</v>
      </c>
      <c r="D691" t="inlineStr">
        <is>
          <t>KALMAR LÄN</t>
        </is>
      </c>
      <c r="E691" t="inlineStr">
        <is>
          <t>VIMMERBY</t>
        </is>
      </c>
      <c r="G691" t="n">
        <v>5.1</v>
      </c>
      <c r="H691" t="n">
        <v>0</v>
      </c>
      <c r="I691" t="n">
        <v>0</v>
      </c>
      <c r="J691" t="n">
        <v>0</v>
      </c>
      <c r="K691" t="n">
        <v>0</v>
      </c>
      <c r="L691" t="n">
        <v>0</v>
      </c>
      <c r="M691" t="n">
        <v>0</v>
      </c>
      <c r="N691" t="n">
        <v>0</v>
      </c>
      <c r="O691" t="n">
        <v>0</v>
      </c>
      <c r="P691" t="n">
        <v>0</v>
      </c>
      <c r="Q691" t="n">
        <v>0</v>
      </c>
      <c r="R691" s="2" t="inlineStr"/>
    </row>
    <row r="692" ht="15" customHeight="1">
      <c r="A692" t="inlineStr">
        <is>
          <t>A 30912-2023</t>
        </is>
      </c>
      <c r="B692" s="1" t="n">
        <v>45113.41633101852</v>
      </c>
      <c r="C692" s="1" t="n">
        <v>45899</v>
      </c>
      <c r="D692" t="inlineStr">
        <is>
          <t>KALMAR LÄN</t>
        </is>
      </c>
      <c r="E692" t="inlineStr">
        <is>
          <t>VIMMERBY</t>
        </is>
      </c>
      <c r="G692" t="n">
        <v>5</v>
      </c>
      <c r="H692" t="n">
        <v>0</v>
      </c>
      <c r="I692" t="n">
        <v>0</v>
      </c>
      <c r="J692" t="n">
        <v>0</v>
      </c>
      <c r="K692" t="n">
        <v>0</v>
      </c>
      <c r="L692" t="n">
        <v>0</v>
      </c>
      <c r="M692" t="n">
        <v>0</v>
      </c>
      <c r="N692" t="n">
        <v>0</v>
      </c>
      <c r="O692" t="n">
        <v>0</v>
      </c>
      <c r="P692" t="n">
        <v>0</v>
      </c>
      <c r="Q692" t="n">
        <v>0</v>
      </c>
      <c r="R692" s="2" t="inlineStr"/>
    </row>
    <row r="693" ht="15" customHeight="1">
      <c r="A693" t="inlineStr">
        <is>
          <t>A 55436-2023</t>
        </is>
      </c>
      <c r="B693" s="1" t="n">
        <v>45238.4328587963</v>
      </c>
      <c r="C693" s="1" t="n">
        <v>45899</v>
      </c>
      <c r="D693" t="inlineStr">
        <is>
          <t>KALMAR LÄN</t>
        </is>
      </c>
      <c r="E693" t="inlineStr">
        <is>
          <t>VIMMERBY</t>
        </is>
      </c>
      <c r="G693" t="n">
        <v>5.6</v>
      </c>
      <c r="H693" t="n">
        <v>0</v>
      </c>
      <c r="I693" t="n">
        <v>0</v>
      </c>
      <c r="J693" t="n">
        <v>0</v>
      </c>
      <c r="K693" t="n">
        <v>0</v>
      </c>
      <c r="L693" t="n">
        <v>0</v>
      </c>
      <c r="M693" t="n">
        <v>0</v>
      </c>
      <c r="N693" t="n">
        <v>0</v>
      </c>
      <c r="O693" t="n">
        <v>0</v>
      </c>
      <c r="P693" t="n">
        <v>0</v>
      </c>
      <c r="Q693" t="n">
        <v>0</v>
      </c>
      <c r="R693" s="2" t="inlineStr"/>
    </row>
    <row r="694" ht="15" customHeight="1">
      <c r="A694" t="inlineStr">
        <is>
          <t>A 5864-2022</t>
        </is>
      </c>
      <c r="B694" s="1" t="n">
        <v>44596</v>
      </c>
      <c r="C694" s="1" t="n">
        <v>45899</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21507-2023</t>
        </is>
      </c>
      <c r="B695" s="1" t="n">
        <v>45063.508125</v>
      </c>
      <c r="C695" s="1" t="n">
        <v>45899</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51187-2023</t>
        </is>
      </c>
      <c r="B696" s="1" t="n">
        <v>45219.40528935185</v>
      </c>
      <c r="C696" s="1" t="n">
        <v>45899</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43266-2024</t>
        </is>
      </c>
      <c r="B697" s="1" t="n">
        <v>45568.36879629629</v>
      </c>
      <c r="C697" s="1" t="n">
        <v>45899</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42494-2020</t>
        </is>
      </c>
      <c r="B698" s="1" t="n">
        <v>44077</v>
      </c>
      <c r="C698" s="1" t="n">
        <v>45899</v>
      </c>
      <c r="D698" t="inlineStr">
        <is>
          <t>KALMAR LÄN</t>
        </is>
      </c>
      <c r="E698" t="inlineStr">
        <is>
          <t>VIMMERBY</t>
        </is>
      </c>
      <c r="G698" t="n">
        <v>2</v>
      </c>
      <c r="H698" t="n">
        <v>0</v>
      </c>
      <c r="I698" t="n">
        <v>0</v>
      </c>
      <c r="J698" t="n">
        <v>0</v>
      </c>
      <c r="K698" t="n">
        <v>0</v>
      </c>
      <c r="L698" t="n">
        <v>0</v>
      </c>
      <c r="M698" t="n">
        <v>0</v>
      </c>
      <c r="N698" t="n">
        <v>0</v>
      </c>
      <c r="O698" t="n">
        <v>0</v>
      </c>
      <c r="P698" t="n">
        <v>0</v>
      </c>
      <c r="Q698" t="n">
        <v>0</v>
      </c>
      <c r="R698" s="2" t="inlineStr"/>
    </row>
    <row r="699" ht="15" customHeight="1">
      <c r="A699" t="inlineStr">
        <is>
          <t>A 3938-2023</t>
        </is>
      </c>
      <c r="B699" s="1" t="n">
        <v>44952.35775462963</v>
      </c>
      <c r="C699" s="1" t="n">
        <v>45899</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13290-2025</t>
        </is>
      </c>
      <c r="B700" s="1" t="n">
        <v>45735.56751157407</v>
      </c>
      <c r="C700" s="1" t="n">
        <v>45899</v>
      </c>
      <c r="D700" t="inlineStr">
        <is>
          <t>KALMAR LÄN</t>
        </is>
      </c>
      <c r="E700" t="inlineStr">
        <is>
          <t>VIMMERBY</t>
        </is>
      </c>
      <c r="G700" t="n">
        <v>0.8</v>
      </c>
      <c r="H700" t="n">
        <v>0</v>
      </c>
      <c r="I700" t="n">
        <v>0</v>
      </c>
      <c r="J700" t="n">
        <v>0</v>
      </c>
      <c r="K700" t="n">
        <v>0</v>
      </c>
      <c r="L700" t="n">
        <v>0</v>
      </c>
      <c r="M700" t="n">
        <v>0</v>
      </c>
      <c r="N700" t="n">
        <v>0</v>
      </c>
      <c r="O700" t="n">
        <v>0</v>
      </c>
      <c r="P700" t="n">
        <v>0</v>
      </c>
      <c r="Q700" t="n">
        <v>0</v>
      </c>
      <c r="R700" s="2" t="inlineStr"/>
    </row>
    <row r="701" ht="15" customHeight="1">
      <c r="A701" t="inlineStr">
        <is>
          <t>A 45560-2021</t>
        </is>
      </c>
      <c r="B701" s="1" t="n">
        <v>44440</v>
      </c>
      <c r="C701" s="1" t="n">
        <v>45899</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26937-2023</t>
        </is>
      </c>
      <c r="B702" s="1" t="n">
        <v>45093.62777777778</v>
      </c>
      <c r="C702" s="1" t="n">
        <v>45899</v>
      </c>
      <c r="D702" t="inlineStr">
        <is>
          <t>KALMAR LÄN</t>
        </is>
      </c>
      <c r="E702" t="inlineStr">
        <is>
          <t>VIMMERBY</t>
        </is>
      </c>
      <c r="F702" t="inlineStr">
        <is>
          <t>Sveaskog</t>
        </is>
      </c>
      <c r="G702" t="n">
        <v>14.5</v>
      </c>
      <c r="H702" t="n">
        <v>0</v>
      </c>
      <c r="I702" t="n">
        <v>0</v>
      </c>
      <c r="J702" t="n">
        <v>0</v>
      </c>
      <c r="K702" t="n">
        <v>0</v>
      </c>
      <c r="L702" t="n">
        <v>0</v>
      </c>
      <c r="M702" t="n">
        <v>0</v>
      </c>
      <c r="N702" t="n">
        <v>0</v>
      </c>
      <c r="O702" t="n">
        <v>0</v>
      </c>
      <c r="P702" t="n">
        <v>0</v>
      </c>
      <c r="Q702" t="n">
        <v>0</v>
      </c>
      <c r="R702" s="2" t="inlineStr"/>
    </row>
    <row r="703" ht="15" customHeight="1">
      <c r="A703" t="inlineStr">
        <is>
          <t>A 50085-2023</t>
        </is>
      </c>
      <c r="B703" s="1" t="n">
        <v>45215.5959375</v>
      </c>
      <c r="C703" s="1" t="n">
        <v>45899</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16622-2025</t>
        </is>
      </c>
      <c r="B704" s="1" t="n">
        <v>45754.33641203704</v>
      </c>
      <c r="C704" s="1" t="n">
        <v>45899</v>
      </c>
      <c r="D704" t="inlineStr">
        <is>
          <t>KALMAR LÄN</t>
        </is>
      </c>
      <c r="E704" t="inlineStr">
        <is>
          <t>VIMMERBY</t>
        </is>
      </c>
      <c r="G704" t="n">
        <v>1</v>
      </c>
      <c r="H704" t="n">
        <v>0</v>
      </c>
      <c r="I704" t="n">
        <v>0</v>
      </c>
      <c r="J704" t="n">
        <v>0</v>
      </c>
      <c r="K704" t="n">
        <v>0</v>
      </c>
      <c r="L704" t="n">
        <v>0</v>
      </c>
      <c r="M704" t="n">
        <v>0</v>
      </c>
      <c r="N704" t="n">
        <v>0</v>
      </c>
      <c r="O704" t="n">
        <v>0</v>
      </c>
      <c r="P704" t="n">
        <v>0</v>
      </c>
      <c r="Q704" t="n">
        <v>0</v>
      </c>
      <c r="R704" s="2" t="inlineStr"/>
    </row>
    <row r="705" ht="15" customHeight="1">
      <c r="A705" t="inlineStr">
        <is>
          <t>A 11219-2023</t>
        </is>
      </c>
      <c r="B705" s="1" t="n">
        <v>44992.62498842592</v>
      </c>
      <c r="C705" s="1" t="n">
        <v>45899</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31340-2023</t>
        </is>
      </c>
      <c r="B706" s="1" t="n">
        <v>45114.47895833333</v>
      </c>
      <c r="C706" s="1" t="n">
        <v>45899</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29168-2024</t>
        </is>
      </c>
      <c r="B707" s="1" t="n">
        <v>45482.49870370371</v>
      </c>
      <c r="C707" s="1" t="n">
        <v>45899</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29186-2024</t>
        </is>
      </c>
      <c r="B708" s="1" t="n">
        <v>45482.54844907407</v>
      </c>
      <c r="C708" s="1" t="n">
        <v>45899</v>
      </c>
      <c r="D708" t="inlineStr">
        <is>
          <t>KALMAR LÄN</t>
        </is>
      </c>
      <c r="E708" t="inlineStr">
        <is>
          <t>VIMMERBY</t>
        </is>
      </c>
      <c r="G708" t="n">
        <v>2.6</v>
      </c>
      <c r="H708" t="n">
        <v>0</v>
      </c>
      <c r="I708" t="n">
        <v>0</v>
      </c>
      <c r="J708" t="n">
        <v>0</v>
      </c>
      <c r="K708" t="n">
        <v>0</v>
      </c>
      <c r="L708" t="n">
        <v>0</v>
      </c>
      <c r="M708" t="n">
        <v>0</v>
      </c>
      <c r="N708" t="n">
        <v>0</v>
      </c>
      <c r="O708" t="n">
        <v>0</v>
      </c>
      <c r="P708" t="n">
        <v>0</v>
      </c>
      <c r="Q708" t="n">
        <v>0</v>
      </c>
      <c r="R708" s="2" t="inlineStr"/>
    </row>
    <row r="709" ht="15" customHeight="1">
      <c r="A709" t="inlineStr">
        <is>
          <t>A 35895-2024</t>
        </is>
      </c>
      <c r="B709" s="1" t="n">
        <v>45533.38870370371</v>
      </c>
      <c r="C709" s="1" t="n">
        <v>45899</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12590-2025</t>
        </is>
      </c>
      <c r="B710" s="1" t="n">
        <v>45732.79925925926</v>
      </c>
      <c r="C710" s="1" t="n">
        <v>45899</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30318-2023</t>
        </is>
      </c>
      <c r="B711" s="1" t="n">
        <v>45111.30824074074</v>
      </c>
      <c r="C711" s="1" t="n">
        <v>45899</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6850-2023</t>
        </is>
      </c>
      <c r="B712" s="1" t="n">
        <v>44967.44255787037</v>
      </c>
      <c r="C712" s="1" t="n">
        <v>45899</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6358-2022</t>
        </is>
      </c>
      <c r="B713" s="1" t="n">
        <v>44600</v>
      </c>
      <c r="C713" s="1" t="n">
        <v>45899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43186-2021</t>
        </is>
      </c>
      <c r="B714" s="1" t="n">
        <v>44431.84840277778</v>
      </c>
      <c r="C714" s="1" t="n">
        <v>45899</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60215-2022</t>
        </is>
      </c>
      <c r="B715" s="1" t="n">
        <v>44910.41346064815</v>
      </c>
      <c r="C715" s="1" t="n">
        <v>45899</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60230-2022</t>
        </is>
      </c>
      <c r="B716" s="1" t="n">
        <v>44910</v>
      </c>
      <c r="C716" s="1" t="n">
        <v>45899</v>
      </c>
      <c r="D716" t="inlineStr">
        <is>
          <t>KALMAR LÄN</t>
        </is>
      </c>
      <c r="E716" t="inlineStr">
        <is>
          <t>VIMMERBY</t>
        </is>
      </c>
      <c r="G716" t="n">
        <v>11.3</v>
      </c>
      <c r="H716" t="n">
        <v>0</v>
      </c>
      <c r="I716" t="n">
        <v>0</v>
      </c>
      <c r="J716" t="n">
        <v>0</v>
      </c>
      <c r="K716" t="n">
        <v>0</v>
      </c>
      <c r="L716" t="n">
        <v>0</v>
      </c>
      <c r="M716" t="n">
        <v>0</v>
      </c>
      <c r="N716" t="n">
        <v>0</v>
      </c>
      <c r="O716" t="n">
        <v>0</v>
      </c>
      <c r="P716" t="n">
        <v>0</v>
      </c>
      <c r="Q716" t="n">
        <v>0</v>
      </c>
      <c r="R716" s="2" t="inlineStr"/>
    </row>
    <row r="717" ht="15" customHeight="1">
      <c r="A717" t="inlineStr">
        <is>
          <t>A 43853-2023</t>
        </is>
      </c>
      <c r="B717" s="1" t="n">
        <v>45187.60813657408</v>
      </c>
      <c r="C717" s="1" t="n">
        <v>45899</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7075-2021</t>
        </is>
      </c>
      <c r="B718" s="1" t="n">
        <v>44237</v>
      </c>
      <c r="C718" s="1" t="n">
        <v>45899</v>
      </c>
      <c r="D718" t="inlineStr">
        <is>
          <t>KALMAR LÄN</t>
        </is>
      </c>
      <c r="E718" t="inlineStr">
        <is>
          <t>VIMMERBY</t>
        </is>
      </c>
      <c r="G718" t="n">
        <v>3.6</v>
      </c>
      <c r="H718" t="n">
        <v>0</v>
      </c>
      <c r="I718" t="n">
        <v>0</v>
      </c>
      <c r="J718" t="n">
        <v>0</v>
      </c>
      <c r="K718" t="n">
        <v>0</v>
      </c>
      <c r="L718" t="n">
        <v>0</v>
      </c>
      <c r="M718" t="n">
        <v>0</v>
      </c>
      <c r="N718" t="n">
        <v>0</v>
      </c>
      <c r="O718" t="n">
        <v>0</v>
      </c>
      <c r="P718" t="n">
        <v>0</v>
      </c>
      <c r="Q718" t="n">
        <v>0</v>
      </c>
      <c r="R718" s="2" t="inlineStr"/>
    </row>
    <row r="719" ht="15" customHeight="1">
      <c r="A719" t="inlineStr">
        <is>
          <t>A 5925-2022</t>
        </is>
      </c>
      <c r="B719" s="1" t="n">
        <v>44598.7384837963</v>
      </c>
      <c r="C719" s="1" t="n">
        <v>45899</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845-2023</t>
        </is>
      </c>
      <c r="B720" s="1" t="n">
        <v>44931</v>
      </c>
      <c r="C720" s="1" t="n">
        <v>45899</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16119-2023</t>
        </is>
      </c>
      <c r="B721" s="1" t="n">
        <v>45027.59450231482</v>
      </c>
      <c r="C721" s="1" t="n">
        <v>45899</v>
      </c>
      <c r="D721" t="inlineStr">
        <is>
          <t>KALMAR LÄN</t>
        </is>
      </c>
      <c r="E721" t="inlineStr">
        <is>
          <t>VIMMERBY</t>
        </is>
      </c>
      <c r="F721" t="inlineStr">
        <is>
          <t>Kommuner</t>
        </is>
      </c>
      <c r="G721" t="n">
        <v>4.4</v>
      </c>
      <c r="H721" t="n">
        <v>0</v>
      </c>
      <c r="I721" t="n">
        <v>0</v>
      </c>
      <c r="J721" t="n">
        <v>0</v>
      </c>
      <c r="K721" t="n">
        <v>0</v>
      </c>
      <c r="L721" t="n">
        <v>0</v>
      </c>
      <c r="M721" t="n">
        <v>0</v>
      </c>
      <c r="N721" t="n">
        <v>0</v>
      </c>
      <c r="O721" t="n">
        <v>0</v>
      </c>
      <c r="P721" t="n">
        <v>0</v>
      </c>
      <c r="Q721" t="n">
        <v>0</v>
      </c>
      <c r="R721" s="2" t="inlineStr"/>
    </row>
    <row r="722" ht="15" customHeight="1">
      <c r="A722" t="inlineStr">
        <is>
          <t>A 30588-2023</t>
        </is>
      </c>
      <c r="B722" s="1" t="n">
        <v>45112.33599537037</v>
      </c>
      <c r="C722" s="1" t="n">
        <v>45899</v>
      </c>
      <c r="D722" t="inlineStr">
        <is>
          <t>KALMAR LÄN</t>
        </is>
      </c>
      <c r="E722" t="inlineStr">
        <is>
          <t>VIMMERBY</t>
        </is>
      </c>
      <c r="G722" t="n">
        <v>2.7</v>
      </c>
      <c r="H722" t="n">
        <v>0</v>
      </c>
      <c r="I722" t="n">
        <v>0</v>
      </c>
      <c r="J722" t="n">
        <v>0</v>
      </c>
      <c r="K722" t="n">
        <v>0</v>
      </c>
      <c r="L722" t="n">
        <v>0</v>
      </c>
      <c r="M722" t="n">
        <v>0</v>
      </c>
      <c r="N722" t="n">
        <v>0</v>
      </c>
      <c r="O722" t="n">
        <v>0</v>
      </c>
      <c r="P722" t="n">
        <v>0</v>
      </c>
      <c r="Q722" t="n">
        <v>0</v>
      </c>
      <c r="R722" s="2" t="inlineStr"/>
    </row>
    <row r="723" ht="15" customHeight="1">
      <c r="A723" t="inlineStr">
        <is>
          <t>A 48673-2021</t>
        </is>
      </c>
      <c r="B723" s="1" t="n">
        <v>44452</v>
      </c>
      <c r="C723" s="1" t="n">
        <v>45899</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50764-2020</t>
        </is>
      </c>
      <c r="B724" s="1" t="n">
        <v>44111</v>
      </c>
      <c r="C724" s="1" t="n">
        <v>45899</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45528-2021</t>
        </is>
      </c>
      <c r="B725" s="1" t="n">
        <v>44440.60415509259</v>
      </c>
      <c r="C725" s="1" t="n">
        <v>45899</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14137-2023</t>
        </is>
      </c>
      <c r="B726" s="1" t="n">
        <v>45009.4671875</v>
      </c>
      <c r="C726" s="1" t="n">
        <v>45899</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7630-2025</t>
        </is>
      </c>
      <c r="B727" s="1" t="n">
        <v>45705.74418981482</v>
      </c>
      <c r="C727" s="1" t="n">
        <v>45899</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16516-2023</t>
        </is>
      </c>
      <c r="B728" s="1" t="n">
        <v>45029</v>
      </c>
      <c r="C728" s="1" t="n">
        <v>45899</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2510-2023</t>
        </is>
      </c>
      <c r="B729" s="1" t="n">
        <v>44943.57309027778</v>
      </c>
      <c r="C729" s="1" t="n">
        <v>45899</v>
      </c>
      <c r="D729" t="inlineStr">
        <is>
          <t>KALMAR LÄN</t>
        </is>
      </c>
      <c r="E729" t="inlineStr">
        <is>
          <t>VIMMERBY</t>
        </is>
      </c>
      <c r="G729" t="n">
        <v>8.6</v>
      </c>
      <c r="H729" t="n">
        <v>0</v>
      </c>
      <c r="I729" t="n">
        <v>0</v>
      </c>
      <c r="J729" t="n">
        <v>0</v>
      </c>
      <c r="K729" t="n">
        <v>0</v>
      </c>
      <c r="L729" t="n">
        <v>0</v>
      </c>
      <c r="M729" t="n">
        <v>0</v>
      </c>
      <c r="N729" t="n">
        <v>0</v>
      </c>
      <c r="O729" t="n">
        <v>0</v>
      </c>
      <c r="P729" t="n">
        <v>0</v>
      </c>
      <c r="Q729" t="n">
        <v>0</v>
      </c>
      <c r="R729" s="2" t="inlineStr"/>
    </row>
    <row r="730" ht="15" customHeight="1">
      <c r="A730" t="inlineStr">
        <is>
          <t>A 38780-2021</t>
        </is>
      </c>
      <c r="B730" s="1" t="n">
        <v>44410</v>
      </c>
      <c r="C730" s="1" t="n">
        <v>45899</v>
      </c>
      <c r="D730" t="inlineStr">
        <is>
          <t>KALMAR LÄN</t>
        </is>
      </c>
      <c r="E730" t="inlineStr">
        <is>
          <t>VIMMERBY</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30503-2023</t>
        </is>
      </c>
      <c r="B731" s="1" t="n">
        <v>45111</v>
      </c>
      <c r="C731" s="1" t="n">
        <v>45899</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48373-2021</t>
        </is>
      </c>
      <c r="B732" s="1" t="n">
        <v>44451</v>
      </c>
      <c r="C732" s="1" t="n">
        <v>45899</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45899</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7485-2024</t>
        </is>
      </c>
      <c r="B734" s="1" t="n">
        <v>45346.67184027778</v>
      </c>
      <c r="C734" s="1" t="n">
        <v>45899</v>
      </c>
      <c r="D734" t="inlineStr">
        <is>
          <t>KALMAR LÄN</t>
        </is>
      </c>
      <c r="E734" t="inlineStr">
        <is>
          <t>VIMMERBY</t>
        </is>
      </c>
      <c r="G734" t="n">
        <v>1.9</v>
      </c>
      <c r="H734" t="n">
        <v>0</v>
      </c>
      <c r="I734" t="n">
        <v>0</v>
      </c>
      <c r="J734" t="n">
        <v>0</v>
      </c>
      <c r="K734" t="n">
        <v>0</v>
      </c>
      <c r="L734" t="n">
        <v>0</v>
      </c>
      <c r="M734" t="n">
        <v>0</v>
      </c>
      <c r="N734" t="n">
        <v>0</v>
      </c>
      <c r="O734" t="n">
        <v>0</v>
      </c>
      <c r="P734" t="n">
        <v>0</v>
      </c>
      <c r="Q734" t="n">
        <v>0</v>
      </c>
      <c r="R734" s="2" t="inlineStr"/>
    </row>
    <row r="735" ht="15" customHeight="1">
      <c r="A735" t="inlineStr">
        <is>
          <t>A 59300-2024</t>
        </is>
      </c>
      <c r="B735" s="1" t="n">
        <v>45637.66542824074</v>
      </c>
      <c r="C735" s="1" t="n">
        <v>45899</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6574-2023</t>
        </is>
      </c>
      <c r="B736" s="1" t="n">
        <v>44966</v>
      </c>
      <c r="C736" s="1" t="n">
        <v>45899</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20054-2023</t>
        </is>
      </c>
      <c r="B737" s="1" t="n">
        <v>45054.6750462963</v>
      </c>
      <c r="C737" s="1" t="n">
        <v>45899</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44903.33363425926</v>
      </c>
      <c r="C738" s="1" t="n">
        <v>45899</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19445-2021</t>
        </is>
      </c>
      <c r="B739" s="1" t="n">
        <v>44310</v>
      </c>
      <c r="C739" s="1" t="n">
        <v>45899</v>
      </c>
      <c r="D739" t="inlineStr">
        <is>
          <t>KALMAR LÄN</t>
        </is>
      </c>
      <c r="E739" t="inlineStr">
        <is>
          <t>VIMMERBY</t>
        </is>
      </c>
      <c r="G739" t="n">
        <v>6.8</v>
      </c>
      <c r="H739" t="n">
        <v>0</v>
      </c>
      <c r="I739" t="n">
        <v>0</v>
      </c>
      <c r="J739" t="n">
        <v>0</v>
      </c>
      <c r="K739" t="n">
        <v>0</v>
      </c>
      <c r="L739" t="n">
        <v>0</v>
      </c>
      <c r="M739" t="n">
        <v>0</v>
      </c>
      <c r="N739" t="n">
        <v>0</v>
      </c>
      <c r="O739" t="n">
        <v>0</v>
      </c>
      <c r="P739" t="n">
        <v>0</v>
      </c>
      <c r="Q739" t="n">
        <v>0</v>
      </c>
      <c r="R739" s="2" t="inlineStr"/>
    </row>
    <row r="740" ht="15" customHeight="1">
      <c r="A740" t="inlineStr">
        <is>
          <t>A 18329-2023</t>
        </is>
      </c>
      <c r="B740" s="1" t="n">
        <v>45041.63380787037</v>
      </c>
      <c r="C740" s="1" t="n">
        <v>45899</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5720-2023</t>
        </is>
      </c>
      <c r="B741" s="1" t="n">
        <v>44961</v>
      </c>
      <c r="C741" s="1" t="n">
        <v>45899</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2260-2022</t>
        </is>
      </c>
      <c r="B742" s="1" t="n">
        <v>44578.62943287037</v>
      </c>
      <c r="C742" s="1" t="n">
        <v>45899</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44916.55414351852</v>
      </c>
      <c r="C743" s="1" t="n">
        <v>45899</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50860-2022</t>
        </is>
      </c>
      <c r="B744" s="1" t="n">
        <v>44867</v>
      </c>
      <c r="C744" s="1" t="n">
        <v>45899</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53483-2022</t>
        </is>
      </c>
      <c r="B745" s="1" t="n">
        <v>44879.55940972222</v>
      </c>
      <c r="C745" s="1" t="n">
        <v>45899</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694-2024</t>
        </is>
      </c>
      <c r="B746" s="1" t="n">
        <v>45300.3794212963</v>
      </c>
      <c r="C746" s="1" t="n">
        <v>45899</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45899</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57114-2023</t>
        </is>
      </c>
      <c r="B748" s="1" t="n">
        <v>45245.36174768519</v>
      </c>
      <c r="C748" s="1" t="n">
        <v>45899</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58967-2022</t>
        </is>
      </c>
      <c r="B749" s="1" t="n">
        <v>44896</v>
      </c>
      <c r="C749" s="1" t="n">
        <v>45899</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57682-2022</t>
        </is>
      </c>
      <c r="B750" s="1" t="n">
        <v>44890</v>
      </c>
      <c r="C750" s="1" t="n">
        <v>45899</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4076-2022</t>
        </is>
      </c>
      <c r="B751" s="1" t="n">
        <v>44588.37998842593</v>
      </c>
      <c r="C751" s="1" t="n">
        <v>45899</v>
      </c>
      <c r="D751" t="inlineStr">
        <is>
          <t>KALMAR LÄN</t>
        </is>
      </c>
      <c r="E751" t="inlineStr">
        <is>
          <t>VIMMERBY</t>
        </is>
      </c>
      <c r="G751" t="n">
        <v>3</v>
      </c>
      <c r="H751" t="n">
        <v>0</v>
      </c>
      <c r="I751" t="n">
        <v>0</v>
      </c>
      <c r="J751" t="n">
        <v>0</v>
      </c>
      <c r="K751" t="n">
        <v>0</v>
      </c>
      <c r="L751" t="n">
        <v>0</v>
      </c>
      <c r="M751" t="n">
        <v>0</v>
      </c>
      <c r="N751" t="n">
        <v>0</v>
      </c>
      <c r="O751" t="n">
        <v>0</v>
      </c>
      <c r="P751" t="n">
        <v>0</v>
      </c>
      <c r="Q751" t="n">
        <v>0</v>
      </c>
      <c r="R751" s="2" t="inlineStr"/>
    </row>
    <row r="752" ht="15" customHeight="1">
      <c r="A752" t="inlineStr">
        <is>
          <t>A 4122-2022</t>
        </is>
      </c>
      <c r="B752" s="1" t="n">
        <v>44588</v>
      </c>
      <c r="C752" s="1" t="n">
        <v>45899</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12327-2023</t>
        </is>
      </c>
      <c r="B753" s="1" t="n">
        <v>44999.36081018519</v>
      </c>
      <c r="C753" s="1" t="n">
        <v>45899</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65961-2020</t>
        </is>
      </c>
      <c r="B754" s="1" t="n">
        <v>44175.39748842592</v>
      </c>
      <c r="C754" s="1" t="n">
        <v>45899</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30633-2024</t>
        </is>
      </c>
      <c r="B755" s="1" t="n">
        <v>45495</v>
      </c>
      <c r="C755" s="1" t="n">
        <v>45899</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9624-2024</t>
        </is>
      </c>
      <c r="B756" s="1" t="n">
        <v>45361.90282407407</v>
      </c>
      <c r="C756" s="1" t="n">
        <v>45899</v>
      </c>
      <c r="D756" t="inlineStr">
        <is>
          <t>KALMAR LÄN</t>
        </is>
      </c>
      <c r="E756" t="inlineStr">
        <is>
          <t>VIMMERBY</t>
        </is>
      </c>
      <c r="G756" t="n">
        <v>3.8</v>
      </c>
      <c r="H756" t="n">
        <v>0</v>
      </c>
      <c r="I756" t="n">
        <v>0</v>
      </c>
      <c r="J756" t="n">
        <v>0</v>
      </c>
      <c r="K756" t="n">
        <v>0</v>
      </c>
      <c r="L756" t="n">
        <v>0</v>
      </c>
      <c r="M756" t="n">
        <v>0</v>
      </c>
      <c r="N756" t="n">
        <v>0</v>
      </c>
      <c r="O756" t="n">
        <v>0</v>
      </c>
      <c r="P756" t="n">
        <v>0</v>
      </c>
      <c r="Q756" t="n">
        <v>0</v>
      </c>
      <c r="R756" s="2" t="inlineStr"/>
    </row>
    <row r="757" ht="15" customHeight="1">
      <c r="A757" t="inlineStr">
        <is>
          <t>A 52327-2023</t>
        </is>
      </c>
      <c r="B757" s="1" t="n">
        <v>45224.6515162037</v>
      </c>
      <c r="C757" s="1" t="n">
        <v>45899</v>
      </c>
      <c r="D757" t="inlineStr">
        <is>
          <t>KALMAR LÄN</t>
        </is>
      </c>
      <c r="E757" t="inlineStr">
        <is>
          <t>VIMMERBY</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33424-2023</t>
        </is>
      </c>
      <c r="B758" s="1" t="n">
        <v>45128.9325</v>
      </c>
      <c r="C758" s="1" t="n">
        <v>45899</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33425-2023</t>
        </is>
      </c>
      <c r="B759" s="1" t="n">
        <v>45128.93540509259</v>
      </c>
      <c r="C759" s="1" t="n">
        <v>45899</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3609-2024</t>
        </is>
      </c>
      <c r="B760" s="1" t="n">
        <v>45320.89128472222</v>
      </c>
      <c r="C760" s="1" t="n">
        <v>45899</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45899</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29348-2023</t>
        </is>
      </c>
      <c r="B762" s="1" t="n">
        <v>45106.25025462963</v>
      </c>
      <c r="C762" s="1" t="n">
        <v>45899</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ht="15" customHeight="1">
      <c r="A763" t="inlineStr">
        <is>
          <t>A 28403-2023</t>
        </is>
      </c>
      <c r="B763" s="1" t="n">
        <v>45100.85270833333</v>
      </c>
      <c r="C763" s="1" t="n">
        <v>45899</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17511-2024</t>
        </is>
      </c>
      <c r="B764" s="1" t="n">
        <v>45415.57682870371</v>
      </c>
      <c r="C764" s="1" t="n">
        <v>45899</v>
      </c>
      <c r="D764" t="inlineStr">
        <is>
          <t>KALMAR LÄN</t>
        </is>
      </c>
      <c r="E764" t="inlineStr">
        <is>
          <t>VIMMERBY</t>
        </is>
      </c>
      <c r="G764" t="n">
        <v>5.3</v>
      </c>
      <c r="H764" t="n">
        <v>0</v>
      </c>
      <c r="I764" t="n">
        <v>0</v>
      </c>
      <c r="J764" t="n">
        <v>0</v>
      </c>
      <c r="K764" t="n">
        <v>0</v>
      </c>
      <c r="L764" t="n">
        <v>0</v>
      </c>
      <c r="M764" t="n">
        <v>0</v>
      </c>
      <c r="N764" t="n">
        <v>0</v>
      </c>
      <c r="O764" t="n">
        <v>0</v>
      </c>
      <c r="P764" t="n">
        <v>0</v>
      </c>
      <c r="Q764" t="n">
        <v>0</v>
      </c>
      <c r="R764" s="2" t="inlineStr"/>
    </row>
    <row r="765" ht="15" customHeight="1">
      <c r="A765" t="inlineStr">
        <is>
          <t>A 66022-2021</t>
        </is>
      </c>
      <c r="B765" s="1" t="n">
        <v>44517</v>
      </c>
      <c r="C765" s="1" t="n">
        <v>45899</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29973-2023</t>
        </is>
      </c>
      <c r="B766" s="1" t="n">
        <v>45108.703125</v>
      </c>
      <c r="C766" s="1" t="n">
        <v>45899</v>
      </c>
      <c r="D766" t="inlineStr">
        <is>
          <t>KALMAR LÄN</t>
        </is>
      </c>
      <c r="E766" t="inlineStr">
        <is>
          <t>VIMMERBY</t>
        </is>
      </c>
      <c r="G766" t="n">
        <v>4</v>
      </c>
      <c r="H766" t="n">
        <v>0</v>
      </c>
      <c r="I766" t="n">
        <v>0</v>
      </c>
      <c r="J766" t="n">
        <v>0</v>
      </c>
      <c r="K766" t="n">
        <v>0</v>
      </c>
      <c r="L766" t="n">
        <v>0</v>
      </c>
      <c r="M766" t="n">
        <v>0</v>
      </c>
      <c r="N766" t="n">
        <v>0</v>
      </c>
      <c r="O766" t="n">
        <v>0</v>
      </c>
      <c r="P766" t="n">
        <v>0</v>
      </c>
      <c r="Q766" t="n">
        <v>0</v>
      </c>
      <c r="R766" s="2" t="inlineStr"/>
    </row>
    <row r="767" ht="15" customHeight="1">
      <c r="A767" t="inlineStr">
        <is>
          <t>A 30070-2023</t>
        </is>
      </c>
      <c r="B767" s="1" t="n">
        <v>45110.4275</v>
      </c>
      <c r="C767" s="1" t="n">
        <v>45899</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8650-2022</t>
        </is>
      </c>
      <c r="B768" s="1" t="n">
        <v>44613</v>
      </c>
      <c r="C768" s="1" t="n">
        <v>45899</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11147-2023</t>
        </is>
      </c>
      <c r="B769" s="1" t="n">
        <v>44992</v>
      </c>
      <c r="C769" s="1" t="n">
        <v>45899</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16676-2023</t>
        </is>
      </c>
      <c r="B770" s="1" t="n">
        <v>45028</v>
      </c>
      <c r="C770" s="1" t="n">
        <v>45899</v>
      </c>
      <c r="D770" t="inlineStr">
        <is>
          <t>KALMAR LÄN</t>
        </is>
      </c>
      <c r="E770" t="inlineStr">
        <is>
          <t>VIMMERBY</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23263-2024</t>
        </is>
      </c>
      <c r="B771" s="1" t="n">
        <v>45453.36854166666</v>
      </c>
      <c r="C771" s="1" t="n">
        <v>45899</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49488-2023</t>
        </is>
      </c>
      <c r="B772" s="1" t="n">
        <v>45211.55472222222</v>
      </c>
      <c r="C772" s="1" t="n">
        <v>45899</v>
      </c>
      <c r="D772" t="inlineStr">
        <is>
          <t>KALMAR LÄN</t>
        </is>
      </c>
      <c r="E772" t="inlineStr">
        <is>
          <t>VIMMERBY</t>
        </is>
      </c>
      <c r="F772" t="inlineStr">
        <is>
          <t>Sveaskog</t>
        </is>
      </c>
      <c r="G772" t="n">
        <v>6.2</v>
      </c>
      <c r="H772" t="n">
        <v>0</v>
      </c>
      <c r="I772" t="n">
        <v>0</v>
      </c>
      <c r="J772" t="n">
        <v>0</v>
      </c>
      <c r="K772" t="n">
        <v>0</v>
      </c>
      <c r="L772" t="n">
        <v>0</v>
      </c>
      <c r="M772" t="n">
        <v>0</v>
      </c>
      <c r="N772" t="n">
        <v>0</v>
      </c>
      <c r="O772" t="n">
        <v>0</v>
      </c>
      <c r="P772" t="n">
        <v>0</v>
      </c>
      <c r="Q772" t="n">
        <v>0</v>
      </c>
      <c r="R772" s="2" t="inlineStr"/>
    </row>
    <row r="773" ht="15" customHeight="1">
      <c r="A773" t="inlineStr">
        <is>
          <t>A 59768-2024</t>
        </is>
      </c>
      <c r="B773" s="1" t="n">
        <v>45639.56185185185</v>
      </c>
      <c r="C773" s="1" t="n">
        <v>45899</v>
      </c>
      <c r="D773" t="inlineStr">
        <is>
          <t>KALMAR LÄN</t>
        </is>
      </c>
      <c r="E773" t="inlineStr">
        <is>
          <t>VIMMERBY</t>
        </is>
      </c>
      <c r="G773" t="n">
        <v>5.9</v>
      </c>
      <c r="H773" t="n">
        <v>0</v>
      </c>
      <c r="I773" t="n">
        <v>0</v>
      </c>
      <c r="J773" t="n">
        <v>0</v>
      </c>
      <c r="K773" t="n">
        <v>0</v>
      </c>
      <c r="L773" t="n">
        <v>0</v>
      </c>
      <c r="M773" t="n">
        <v>0</v>
      </c>
      <c r="N773" t="n">
        <v>0</v>
      </c>
      <c r="O773" t="n">
        <v>0</v>
      </c>
      <c r="P773" t="n">
        <v>0</v>
      </c>
      <c r="Q773" t="n">
        <v>0</v>
      </c>
      <c r="R773" s="2" t="inlineStr"/>
    </row>
    <row r="774" ht="15" customHeight="1">
      <c r="A774" t="inlineStr">
        <is>
          <t>A 72067-2021</t>
        </is>
      </c>
      <c r="B774" s="1" t="n">
        <v>44540</v>
      </c>
      <c r="C774" s="1" t="n">
        <v>45899</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41158-2023</t>
        </is>
      </c>
      <c r="B775" s="1" t="n">
        <v>45174.31395833333</v>
      </c>
      <c r="C775" s="1" t="n">
        <v>45899</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22198-2024</t>
        </is>
      </c>
      <c r="B776" s="1" t="n">
        <v>45446.36865740741</v>
      </c>
      <c r="C776" s="1" t="n">
        <v>45899</v>
      </c>
      <c r="D776" t="inlineStr">
        <is>
          <t>KALMAR LÄN</t>
        </is>
      </c>
      <c r="E776" t="inlineStr">
        <is>
          <t>VIMMERBY</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9511-2023</t>
        </is>
      </c>
      <c r="B777" s="1" t="n">
        <v>44981.64725694444</v>
      </c>
      <c r="C777" s="1" t="n">
        <v>45899</v>
      </c>
      <c r="D777" t="inlineStr">
        <is>
          <t>KALMAR LÄN</t>
        </is>
      </c>
      <c r="E777" t="inlineStr">
        <is>
          <t>VIMMERBY</t>
        </is>
      </c>
      <c r="G777" t="n">
        <v>3.5</v>
      </c>
      <c r="H777" t="n">
        <v>0</v>
      </c>
      <c r="I777" t="n">
        <v>0</v>
      </c>
      <c r="J777" t="n">
        <v>0</v>
      </c>
      <c r="K777" t="n">
        <v>0</v>
      </c>
      <c r="L777" t="n">
        <v>0</v>
      </c>
      <c r="M777" t="n">
        <v>0</v>
      </c>
      <c r="N777" t="n">
        <v>0</v>
      </c>
      <c r="O777" t="n">
        <v>0</v>
      </c>
      <c r="P777" t="n">
        <v>0</v>
      </c>
      <c r="Q777" t="n">
        <v>0</v>
      </c>
      <c r="R777" s="2" t="inlineStr"/>
    </row>
    <row r="778" ht="15" customHeight="1">
      <c r="A778" t="inlineStr">
        <is>
          <t>A 34205-2023</t>
        </is>
      </c>
      <c r="B778" s="1" t="n">
        <v>45138</v>
      </c>
      <c r="C778" s="1" t="n">
        <v>45899</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57091-2022</t>
        </is>
      </c>
      <c r="B779" s="1" t="n">
        <v>44895.46524305556</v>
      </c>
      <c r="C779" s="1" t="n">
        <v>45899</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2604-2025</t>
        </is>
      </c>
      <c r="B780" s="1" t="n">
        <v>45674.74094907408</v>
      </c>
      <c r="C780" s="1" t="n">
        <v>45899</v>
      </c>
      <c r="D780" t="inlineStr">
        <is>
          <t>KALMAR LÄN</t>
        </is>
      </c>
      <c r="E780" t="inlineStr">
        <is>
          <t>VIMMERBY</t>
        </is>
      </c>
      <c r="G780" t="n">
        <v>7.6</v>
      </c>
      <c r="H780" t="n">
        <v>0</v>
      </c>
      <c r="I780" t="n">
        <v>0</v>
      </c>
      <c r="J780" t="n">
        <v>0</v>
      </c>
      <c r="K780" t="n">
        <v>0</v>
      </c>
      <c r="L780" t="n">
        <v>0</v>
      </c>
      <c r="M780" t="n">
        <v>0</v>
      </c>
      <c r="N780" t="n">
        <v>0</v>
      </c>
      <c r="O780" t="n">
        <v>0</v>
      </c>
      <c r="P780" t="n">
        <v>0</v>
      </c>
      <c r="Q780" t="n">
        <v>0</v>
      </c>
      <c r="R780" s="2" t="inlineStr"/>
    </row>
    <row r="781" ht="15" customHeight="1">
      <c r="A781" t="inlineStr">
        <is>
          <t>A 6807-2025</t>
        </is>
      </c>
      <c r="B781" s="1" t="n">
        <v>45700.68672453704</v>
      </c>
      <c r="C781" s="1" t="n">
        <v>45899</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38851-2023</t>
        </is>
      </c>
      <c r="B782" s="1" t="n">
        <v>45163</v>
      </c>
      <c r="C782" s="1" t="n">
        <v>45899</v>
      </c>
      <c r="D782" t="inlineStr">
        <is>
          <t>KALMAR LÄN</t>
        </is>
      </c>
      <c r="E782" t="inlineStr">
        <is>
          <t>VIMMERBY</t>
        </is>
      </c>
      <c r="G782" t="n">
        <v>4.3</v>
      </c>
      <c r="H782" t="n">
        <v>0</v>
      </c>
      <c r="I782" t="n">
        <v>0</v>
      </c>
      <c r="J782" t="n">
        <v>0</v>
      </c>
      <c r="K782" t="n">
        <v>0</v>
      </c>
      <c r="L782" t="n">
        <v>0</v>
      </c>
      <c r="M782" t="n">
        <v>0</v>
      </c>
      <c r="N782" t="n">
        <v>0</v>
      </c>
      <c r="O782" t="n">
        <v>0</v>
      </c>
      <c r="P782" t="n">
        <v>0</v>
      </c>
      <c r="Q782" t="n">
        <v>0</v>
      </c>
      <c r="R782" s="2" t="inlineStr"/>
    </row>
    <row r="783" ht="15" customHeight="1">
      <c r="A783" t="inlineStr">
        <is>
          <t>A 23252-2024</t>
        </is>
      </c>
      <c r="B783" s="1" t="n">
        <v>45453.36067129629</v>
      </c>
      <c r="C783" s="1" t="n">
        <v>45899</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5792-2023</t>
        </is>
      </c>
      <c r="B784" s="1" t="n">
        <v>44963.44769675926</v>
      </c>
      <c r="C784" s="1" t="n">
        <v>45899</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2797-2023</t>
        </is>
      </c>
      <c r="B785" s="1" t="n">
        <v>44944.71386574074</v>
      </c>
      <c r="C785" s="1" t="n">
        <v>45899</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2799-2023</t>
        </is>
      </c>
      <c r="B786" s="1" t="n">
        <v>44944.72100694444</v>
      </c>
      <c r="C786" s="1" t="n">
        <v>45899</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6220-2025</t>
        </is>
      </c>
      <c r="B787" s="1" t="n">
        <v>45698.53725694444</v>
      </c>
      <c r="C787" s="1" t="n">
        <v>45899</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58278-2023</t>
        </is>
      </c>
      <c r="B788" s="1" t="n">
        <v>45250.5278587963</v>
      </c>
      <c r="C788" s="1" t="n">
        <v>45899</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45899</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36526-2023</t>
        </is>
      </c>
      <c r="B790" s="1" t="n">
        <v>45153.32778935185</v>
      </c>
      <c r="C790" s="1" t="n">
        <v>45899</v>
      </c>
      <c r="D790" t="inlineStr">
        <is>
          <t>KALMAR LÄN</t>
        </is>
      </c>
      <c r="E790" t="inlineStr">
        <is>
          <t>VIMMERBY</t>
        </is>
      </c>
      <c r="G790" t="n">
        <v>2.7</v>
      </c>
      <c r="H790" t="n">
        <v>0</v>
      </c>
      <c r="I790" t="n">
        <v>0</v>
      </c>
      <c r="J790" t="n">
        <v>0</v>
      </c>
      <c r="K790" t="n">
        <v>0</v>
      </c>
      <c r="L790" t="n">
        <v>0</v>
      </c>
      <c r="M790" t="n">
        <v>0</v>
      </c>
      <c r="N790" t="n">
        <v>0</v>
      </c>
      <c r="O790" t="n">
        <v>0</v>
      </c>
      <c r="P790" t="n">
        <v>0</v>
      </c>
      <c r="Q790" t="n">
        <v>0</v>
      </c>
      <c r="R790" s="2" t="inlineStr"/>
    </row>
    <row r="791" ht="15" customHeight="1">
      <c r="A791" t="inlineStr">
        <is>
          <t>A 17988-2025</t>
        </is>
      </c>
      <c r="B791" s="1" t="n">
        <v>45761.39600694444</v>
      </c>
      <c r="C791" s="1" t="n">
        <v>45899</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29350-2023</t>
        </is>
      </c>
      <c r="B792" s="1" t="n">
        <v>45106</v>
      </c>
      <c r="C792" s="1" t="n">
        <v>45899</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29351-2023</t>
        </is>
      </c>
      <c r="B793" s="1" t="n">
        <v>45106.2610300926</v>
      </c>
      <c r="C793" s="1" t="n">
        <v>45899</v>
      </c>
      <c r="D793" t="inlineStr">
        <is>
          <t>KALMAR LÄN</t>
        </is>
      </c>
      <c r="E793" t="inlineStr">
        <is>
          <t>VIMMERBY</t>
        </is>
      </c>
      <c r="G793" t="n">
        <v>0.4</v>
      </c>
      <c r="H793" t="n">
        <v>0</v>
      </c>
      <c r="I793" t="n">
        <v>0</v>
      </c>
      <c r="J793" t="n">
        <v>0</v>
      </c>
      <c r="K793" t="n">
        <v>0</v>
      </c>
      <c r="L793" t="n">
        <v>0</v>
      </c>
      <c r="M793" t="n">
        <v>0</v>
      </c>
      <c r="N793" t="n">
        <v>0</v>
      </c>
      <c r="O793" t="n">
        <v>0</v>
      </c>
      <c r="P793" t="n">
        <v>0</v>
      </c>
      <c r="Q793" t="n">
        <v>0</v>
      </c>
      <c r="R793" s="2" t="inlineStr"/>
    </row>
    <row r="794" ht="15" customHeight="1">
      <c r="A794" t="inlineStr">
        <is>
          <t>A 6474-2025</t>
        </is>
      </c>
      <c r="B794" s="1" t="n">
        <v>45699.60055555555</v>
      </c>
      <c r="C794" s="1" t="n">
        <v>45899</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17-2025</t>
        </is>
      </c>
      <c r="B795" s="1" t="n">
        <v>45658.78774305555</v>
      </c>
      <c r="C795" s="1" t="n">
        <v>45899</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57555-2024</t>
        </is>
      </c>
      <c r="B796" s="1" t="n">
        <v>45630.45069444444</v>
      </c>
      <c r="C796" s="1" t="n">
        <v>45899</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18411-2021</t>
        </is>
      </c>
      <c r="B797" s="1" t="n">
        <v>44302</v>
      </c>
      <c r="C797" s="1" t="n">
        <v>45899</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52279-2023</t>
        </is>
      </c>
      <c r="B798" s="1" t="n">
        <v>45224</v>
      </c>
      <c r="C798" s="1" t="n">
        <v>45899</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52324-2023</t>
        </is>
      </c>
      <c r="B799" s="1" t="n">
        <v>45224.64659722222</v>
      </c>
      <c r="C799" s="1" t="n">
        <v>45899</v>
      </c>
      <c r="D799" t="inlineStr">
        <is>
          <t>KALMAR LÄN</t>
        </is>
      </c>
      <c r="E799" t="inlineStr">
        <is>
          <t>VIMMERBY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32639-2023</t>
        </is>
      </c>
      <c r="B800" s="1" t="n">
        <v>45121.5965162037</v>
      </c>
      <c r="C800" s="1" t="n">
        <v>45899</v>
      </c>
      <c r="D800" t="inlineStr">
        <is>
          <t>KALMAR LÄN</t>
        </is>
      </c>
      <c r="E800" t="inlineStr">
        <is>
          <t>VIMMERBY</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32642-2023</t>
        </is>
      </c>
      <c r="B801" s="1" t="n">
        <v>45121.59954861111</v>
      </c>
      <c r="C801" s="1" t="n">
        <v>45899</v>
      </c>
      <c r="D801" t="inlineStr">
        <is>
          <t>KALMAR LÄN</t>
        </is>
      </c>
      <c r="E801" t="inlineStr">
        <is>
          <t>VIMMERBY</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32651-2023</t>
        </is>
      </c>
      <c r="B802" s="1" t="n">
        <v>45121.6096875</v>
      </c>
      <c r="C802" s="1" t="n">
        <v>45899</v>
      </c>
      <c r="D802" t="inlineStr">
        <is>
          <t>KALMAR LÄN</t>
        </is>
      </c>
      <c r="E802" t="inlineStr">
        <is>
          <t>VIMMERBY</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40730-2024</t>
        </is>
      </c>
      <c r="B803" s="1" t="n">
        <v>45558.44914351852</v>
      </c>
      <c r="C803" s="1" t="n">
        <v>45899</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9643-2023</t>
        </is>
      </c>
      <c r="B804" s="1" t="n">
        <v>44984</v>
      </c>
      <c r="C804" s="1" t="n">
        <v>45899</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56213-2024</t>
        </is>
      </c>
      <c r="B805" s="1" t="n">
        <v>45624.60141203704</v>
      </c>
      <c r="C805" s="1" t="n">
        <v>45899</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20126-2024</t>
        </is>
      </c>
      <c r="B806" s="1" t="n">
        <v>45434.55471064815</v>
      </c>
      <c r="C806" s="1" t="n">
        <v>45899</v>
      </c>
      <c r="D806" t="inlineStr">
        <is>
          <t>KALMAR LÄN</t>
        </is>
      </c>
      <c r="E806" t="inlineStr">
        <is>
          <t>VIMMERBY</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19865-2021</t>
        </is>
      </c>
      <c r="B807" s="1" t="n">
        <v>44312</v>
      </c>
      <c r="C807" s="1" t="n">
        <v>45899</v>
      </c>
      <c r="D807" t="inlineStr">
        <is>
          <t>KALMAR LÄN</t>
        </is>
      </c>
      <c r="E807" t="inlineStr">
        <is>
          <t>VIMMERBY</t>
        </is>
      </c>
      <c r="G807" t="n">
        <v>8.6</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44984.45895833334</v>
      </c>
      <c r="C808" s="1" t="n">
        <v>45899</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45899</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6216-2025</t>
        </is>
      </c>
      <c r="B810" s="1" t="n">
        <v>45698.52806712963</v>
      </c>
      <c r="C810" s="1" t="n">
        <v>45899</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7944-2024</t>
        </is>
      </c>
      <c r="B811" s="1" t="n">
        <v>45350.53306712963</v>
      </c>
      <c r="C811" s="1" t="n">
        <v>45899</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598-2025</t>
        </is>
      </c>
      <c r="B812" s="1" t="n">
        <v>45660</v>
      </c>
      <c r="C812" s="1" t="n">
        <v>45899</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10674-2021</t>
        </is>
      </c>
      <c r="B813" s="1" t="n">
        <v>44258</v>
      </c>
      <c r="C813" s="1" t="n">
        <v>45899</v>
      </c>
      <c r="D813" t="inlineStr">
        <is>
          <t>KALMAR LÄN</t>
        </is>
      </c>
      <c r="E813" t="inlineStr">
        <is>
          <t>VIMMERBY</t>
        </is>
      </c>
      <c r="G813" t="n">
        <v>8.4</v>
      </c>
      <c r="H813" t="n">
        <v>0</v>
      </c>
      <c r="I813" t="n">
        <v>0</v>
      </c>
      <c r="J813" t="n">
        <v>0</v>
      </c>
      <c r="K813" t="n">
        <v>0</v>
      </c>
      <c r="L813" t="n">
        <v>0</v>
      </c>
      <c r="M813" t="n">
        <v>0</v>
      </c>
      <c r="N813" t="n">
        <v>0</v>
      </c>
      <c r="O813" t="n">
        <v>0</v>
      </c>
      <c r="P813" t="n">
        <v>0</v>
      </c>
      <c r="Q813" t="n">
        <v>0</v>
      </c>
      <c r="R813" s="2" t="inlineStr"/>
    </row>
    <row r="814" ht="15" customHeight="1">
      <c r="A814" t="inlineStr">
        <is>
          <t>A 10807-2024</t>
        </is>
      </c>
      <c r="B814" s="1" t="n">
        <v>45369.62780092593</v>
      </c>
      <c r="C814" s="1" t="n">
        <v>45899</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40260-2024</t>
        </is>
      </c>
      <c r="B815" s="1" t="n">
        <v>45554.63225694445</v>
      </c>
      <c r="C815" s="1" t="n">
        <v>45899</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10787-2025</t>
        </is>
      </c>
      <c r="B816" s="1" t="n">
        <v>45722.48915509259</v>
      </c>
      <c r="C816" s="1" t="n">
        <v>45899</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58577-2024</t>
        </is>
      </c>
      <c r="B817" s="1" t="n">
        <v>45635.4874537037</v>
      </c>
      <c r="C817" s="1" t="n">
        <v>45899</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38198-2024</t>
        </is>
      </c>
      <c r="B818" s="1" t="n">
        <v>45545.49508101852</v>
      </c>
      <c r="C818" s="1" t="n">
        <v>45899</v>
      </c>
      <c r="D818" t="inlineStr">
        <is>
          <t>KALMAR LÄN</t>
        </is>
      </c>
      <c r="E818" t="inlineStr">
        <is>
          <t>VIMMERBY</t>
        </is>
      </c>
      <c r="G818" t="n">
        <v>7.9</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45899</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22264-2023</t>
        </is>
      </c>
      <c r="B820" s="1" t="n">
        <v>45070.3665625</v>
      </c>
      <c r="C820" s="1" t="n">
        <v>45899</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22266-2023</t>
        </is>
      </c>
      <c r="B821" s="1" t="n">
        <v>45070</v>
      </c>
      <c r="C821" s="1" t="n">
        <v>45899</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50091-2023</t>
        </is>
      </c>
      <c r="B822" s="1" t="n">
        <v>45215.60199074074</v>
      </c>
      <c r="C822" s="1" t="n">
        <v>45899</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10303-2025</t>
        </is>
      </c>
      <c r="B823" s="1" t="n">
        <v>45720.44217592593</v>
      </c>
      <c r="C823" s="1" t="n">
        <v>45899</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11027-2023</t>
        </is>
      </c>
      <c r="B824" s="1" t="n">
        <v>44991.89657407408</v>
      </c>
      <c r="C824" s="1" t="n">
        <v>45899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44994.46908564815</v>
      </c>
      <c r="C825" s="1" t="n">
        <v>45899</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36155-2023</t>
        </is>
      </c>
      <c r="B826" s="1" t="n">
        <v>45149.60917824074</v>
      </c>
      <c r="C826" s="1" t="n">
        <v>45899</v>
      </c>
      <c r="D826" t="inlineStr">
        <is>
          <t>KALMAR LÄN</t>
        </is>
      </c>
      <c r="E826" t="inlineStr">
        <is>
          <t>VIMMERBY</t>
        </is>
      </c>
      <c r="G826" t="n">
        <v>5</v>
      </c>
      <c r="H826" t="n">
        <v>0</v>
      </c>
      <c r="I826" t="n">
        <v>0</v>
      </c>
      <c r="J826" t="n">
        <v>0</v>
      </c>
      <c r="K826" t="n">
        <v>0</v>
      </c>
      <c r="L826" t="n">
        <v>0</v>
      </c>
      <c r="M826" t="n">
        <v>0</v>
      </c>
      <c r="N826" t="n">
        <v>0</v>
      </c>
      <c r="O826" t="n">
        <v>0</v>
      </c>
      <c r="P826" t="n">
        <v>0</v>
      </c>
      <c r="Q826" t="n">
        <v>0</v>
      </c>
      <c r="R826" s="2" t="inlineStr"/>
    </row>
    <row r="827" ht="15" customHeight="1">
      <c r="A827" t="inlineStr">
        <is>
          <t>A 40147-2023</t>
        </is>
      </c>
      <c r="B827" s="1" t="n">
        <v>45169</v>
      </c>
      <c r="C827" s="1" t="n">
        <v>45899</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63950-2023</t>
        </is>
      </c>
      <c r="B828" s="1" t="n">
        <v>45278</v>
      </c>
      <c r="C828" s="1" t="n">
        <v>45899</v>
      </c>
      <c r="D828" t="inlineStr">
        <is>
          <t>KALMAR LÄN</t>
        </is>
      </c>
      <c r="E828" t="inlineStr">
        <is>
          <t>VIMMERBY</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24096-2024</t>
        </is>
      </c>
      <c r="B829" s="1" t="n">
        <v>45456.59289351852</v>
      </c>
      <c r="C829" s="1" t="n">
        <v>45899</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45899</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41199-2023</t>
        </is>
      </c>
      <c r="B831" s="1" t="n">
        <v>45174.40454861111</v>
      </c>
      <c r="C831" s="1" t="n">
        <v>45899</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45899</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45899</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7627-2025</t>
        </is>
      </c>
      <c r="B834" s="1" t="n">
        <v>45705.73300925926</v>
      </c>
      <c r="C834" s="1" t="n">
        <v>45899</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6321-2023</t>
        </is>
      </c>
      <c r="B835" s="1" t="n">
        <v>44965.4815162037</v>
      </c>
      <c r="C835" s="1" t="n">
        <v>45899</v>
      </c>
      <c r="D835" t="inlineStr">
        <is>
          <t>KALMAR LÄN</t>
        </is>
      </c>
      <c r="E835" t="inlineStr">
        <is>
          <t>VIMMERBY</t>
        </is>
      </c>
      <c r="G835" t="n">
        <v>1.8</v>
      </c>
      <c r="H835" t="n">
        <v>0</v>
      </c>
      <c r="I835" t="n">
        <v>0</v>
      </c>
      <c r="J835" t="n">
        <v>0</v>
      </c>
      <c r="K835" t="n">
        <v>0</v>
      </c>
      <c r="L835" t="n">
        <v>0</v>
      </c>
      <c r="M835" t="n">
        <v>0</v>
      </c>
      <c r="N835" t="n">
        <v>0</v>
      </c>
      <c r="O835" t="n">
        <v>0</v>
      </c>
      <c r="P835" t="n">
        <v>0</v>
      </c>
      <c r="Q835" t="n">
        <v>0</v>
      </c>
      <c r="R835" s="2" t="inlineStr"/>
    </row>
    <row r="836" ht="15" customHeight="1">
      <c r="A836" t="inlineStr">
        <is>
          <t>A 52755-2022</t>
        </is>
      </c>
      <c r="B836" s="1" t="n">
        <v>44875.27736111111</v>
      </c>
      <c r="C836" s="1" t="n">
        <v>45899</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40823-2023</t>
        </is>
      </c>
      <c r="B837" s="1" t="n">
        <v>45171.77335648148</v>
      </c>
      <c r="C837" s="1" t="n">
        <v>45899</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27761-2024</t>
        </is>
      </c>
      <c r="B838" s="1" t="n">
        <v>45475.49018518518</v>
      </c>
      <c r="C838" s="1" t="n">
        <v>45899</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21028-2023</t>
        </is>
      </c>
      <c r="B839" s="1" t="n">
        <v>45061</v>
      </c>
      <c r="C839" s="1" t="n">
        <v>45899</v>
      </c>
      <c r="D839" t="inlineStr">
        <is>
          <t>KALMAR LÄN</t>
        </is>
      </c>
      <c r="E839" t="inlineStr">
        <is>
          <t>VIMMERBY</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64203-2021</t>
        </is>
      </c>
      <c r="B840" s="1" t="n">
        <v>44510.60921296296</v>
      </c>
      <c r="C840" s="1" t="n">
        <v>45899</v>
      </c>
      <c r="D840" t="inlineStr">
        <is>
          <t>KALMAR LÄN</t>
        </is>
      </c>
      <c r="E840" t="inlineStr">
        <is>
          <t>VIMMERBY</t>
        </is>
      </c>
      <c r="F840" t="inlineStr">
        <is>
          <t>Övriga Aktiebolag</t>
        </is>
      </c>
      <c r="G840" t="n">
        <v>5.4</v>
      </c>
      <c r="H840" t="n">
        <v>0</v>
      </c>
      <c r="I840" t="n">
        <v>0</v>
      </c>
      <c r="J840" t="n">
        <v>0</v>
      </c>
      <c r="K840" t="n">
        <v>0</v>
      </c>
      <c r="L840" t="n">
        <v>0</v>
      </c>
      <c r="M840" t="n">
        <v>0</v>
      </c>
      <c r="N840" t="n">
        <v>0</v>
      </c>
      <c r="O840" t="n">
        <v>0</v>
      </c>
      <c r="P840" t="n">
        <v>0</v>
      </c>
      <c r="Q840" t="n">
        <v>0</v>
      </c>
      <c r="R840" s="2" t="inlineStr"/>
    </row>
    <row r="841" ht="15" customHeight="1">
      <c r="A841" t="inlineStr">
        <is>
          <t>A 1016-2024</t>
        </is>
      </c>
      <c r="B841" s="1" t="n">
        <v>45301</v>
      </c>
      <c r="C841" s="1" t="n">
        <v>45899</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1024-2024</t>
        </is>
      </c>
      <c r="B842" s="1" t="n">
        <v>45301.68237268519</v>
      </c>
      <c r="C842" s="1" t="n">
        <v>45899</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27758-2024</t>
        </is>
      </c>
      <c r="B843" s="1" t="n">
        <v>45475.48303240741</v>
      </c>
      <c r="C843" s="1" t="n">
        <v>45899</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45899</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22194-2024</t>
        </is>
      </c>
      <c r="B845" s="1" t="n">
        <v>45446.36482638889</v>
      </c>
      <c r="C845" s="1" t="n">
        <v>45899</v>
      </c>
      <c r="D845" t="inlineStr">
        <is>
          <t>KALMAR LÄN</t>
        </is>
      </c>
      <c r="E845" t="inlineStr">
        <is>
          <t>VIMMERBY</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17926-2025</t>
        </is>
      </c>
      <c r="B846" s="1" t="n">
        <v>45759.38987268518</v>
      </c>
      <c r="C846" s="1" t="n">
        <v>45899</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45899</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1206-2025</t>
        </is>
      </c>
      <c r="B848" s="1" t="n">
        <v>45667.39670138889</v>
      </c>
      <c r="C848" s="1" t="n">
        <v>45899</v>
      </c>
      <c r="D848" t="inlineStr">
        <is>
          <t>KALMAR LÄN</t>
        </is>
      </c>
      <c r="E848" t="inlineStr">
        <is>
          <t>VIMMERBY</t>
        </is>
      </c>
      <c r="G848" t="n">
        <v>3.5</v>
      </c>
      <c r="H848" t="n">
        <v>0</v>
      </c>
      <c r="I848" t="n">
        <v>0</v>
      </c>
      <c r="J848" t="n">
        <v>0</v>
      </c>
      <c r="K848" t="n">
        <v>0</v>
      </c>
      <c r="L848" t="n">
        <v>0</v>
      </c>
      <c r="M848" t="n">
        <v>0</v>
      </c>
      <c r="N848" t="n">
        <v>0</v>
      </c>
      <c r="O848" t="n">
        <v>0</v>
      </c>
      <c r="P848" t="n">
        <v>0</v>
      </c>
      <c r="Q848" t="n">
        <v>0</v>
      </c>
      <c r="R848" s="2" t="inlineStr"/>
    </row>
    <row r="849" ht="15" customHeight="1">
      <c r="A849" t="inlineStr">
        <is>
          <t>A 33383-2023</t>
        </is>
      </c>
      <c r="B849" s="1" t="n">
        <v>45128.58414351852</v>
      </c>
      <c r="C849" s="1" t="n">
        <v>45899</v>
      </c>
      <c r="D849" t="inlineStr">
        <is>
          <t>KALMAR LÄN</t>
        </is>
      </c>
      <c r="E849" t="inlineStr">
        <is>
          <t>VIMMERBY</t>
        </is>
      </c>
      <c r="G849" t="n">
        <v>2.3</v>
      </c>
      <c r="H849" t="n">
        <v>0</v>
      </c>
      <c r="I849" t="n">
        <v>0</v>
      </c>
      <c r="J849" t="n">
        <v>0</v>
      </c>
      <c r="K849" t="n">
        <v>0</v>
      </c>
      <c r="L849" t="n">
        <v>0</v>
      </c>
      <c r="M849" t="n">
        <v>0</v>
      </c>
      <c r="N849" t="n">
        <v>0</v>
      </c>
      <c r="O849" t="n">
        <v>0</v>
      </c>
      <c r="P849" t="n">
        <v>0</v>
      </c>
      <c r="Q849" t="n">
        <v>0</v>
      </c>
      <c r="R849" s="2" t="inlineStr"/>
    </row>
    <row r="850">
      <c r="A850" t="inlineStr">
        <is>
          <t>A 4297-2022</t>
        </is>
      </c>
      <c r="B850" s="1" t="n">
        <v>44588</v>
      </c>
      <c r="C850" s="1" t="n">
        <v>45899</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2025-08-30T08:31:13Z</dcterms:created>
  <dcterms:modified xmlns:dcterms="http://purl.org/dc/terms/" xmlns:xsi="http://www.w3.org/2001/XMLSchema-instance" xsi:type="dcterms:W3CDTF">2025-08-30T08:31:14Z</dcterms:modified>
</cp:coreProperties>
</file>