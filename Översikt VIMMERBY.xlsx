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45731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45731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45731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45731</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45731</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45731</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45731</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45731</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45731</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45731</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45731</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45731</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45731</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45731</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45731</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45731</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45731</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45731</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45731</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45731</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45731</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45731</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45731</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45731</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45731</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45731</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45731</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45731</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45731</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45731</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45731</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45731</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45731</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45731</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45731</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45731</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45731</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45731</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45731</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45731</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45731</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45731</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45731</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45731</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45731</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45731</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45731</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45731</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45731</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45731</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45731</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45731</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45731</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45731</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45731</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45731</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45731</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45731</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45731</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45731</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45731</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45731</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45731</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45731</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45731</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45731</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45731</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45731</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45731</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45731</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45731</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45731</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45731</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45731</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45731</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45731</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45731</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45731</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45731</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45731</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45731</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9067-2025</t>
        </is>
      </c>
      <c r="B83" s="1" t="n">
        <v>45713</v>
      </c>
      <c r="C83" s="1" t="n">
        <v>45731</v>
      </c>
      <c r="D83" t="inlineStr">
        <is>
          <t>KALMAR LÄN</t>
        </is>
      </c>
      <c r="E83" t="inlineStr">
        <is>
          <t>VIMMERBY</t>
        </is>
      </c>
      <c r="G83" t="n">
        <v>3.9</v>
      </c>
      <c r="H83" t="n">
        <v>0</v>
      </c>
      <c r="I83" t="n">
        <v>1</v>
      </c>
      <c r="J83" t="n">
        <v>0</v>
      </c>
      <c r="K83" t="n">
        <v>0</v>
      </c>
      <c r="L83" t="n">
        <v>0</v>
      </c>
      <c r="M83" t="n">
        <v>0</v>
      </c>
      <c r="N83" t="n">
        <v>0</v>
      </c>
      <c r="O83" t="n">
        <v>0</v>
      </c>
      <c r="P83" t="n">
        <v>0</v>
      </c>
      <c r="Q83" t="n">
        <v>1</v>
      </c>
      <c r="R83" s="2" t="inlineStr">
        <is>
          <t>Ögonpyrola</t>
        </is>
      </c>
      <c r="S83">
        <f>HYPERLINK("https://klasma.github.io/Logging_0884/artfynd/A 9067-2025 artfynd.xlsx", "A 9067-2025")</f>
        <v/>
      </c>
      <c r="T83">
        <f>HYPERLINK("https://klasma.github.io/Logging_0884/kartor/A 9067-2025 karta.png", "A 9067-2025")</f>
        <v/>
      </c>
      <c r="V83">
        <f>HYPERLINK("https://klasma.github.io/Logging_0884/klagomål/A 9067-2025 FSC-klagomål.docx", "A 9067-2025")</f>
        <v/>
      </c>
      <c r="W83">
        <f>HYPERLINK("https://klasma.github.io/Logging_0884/klagomålsmail/A 9067-2025 FSC-klagomål mail.docx", "A 9067-2025")</f>
        <v/>
      </c>
      <c r="X83">
        <f>HYPERLINK("https://klasma.github.io/Logging_0884/tillsyn/A 9067-2025 tillsynsbegäran.docx", "A 9067-2025")</f>
        <v/>
      </c>
      <c r="Y83">
        <f>HYPERLINK("https://klasma.github.io/Logging_0884/tillsynsmail/A 9067-2025 tillsynsbegäran mail.docx", "A 9067-2025")</f>
        <v/>
      </c>
    </row>
    <row r="84" ht="15" customHeight="1">
      <c r="A84" t="inlineStr">
        <is>
          <t>A 18658-2019</t>
        </is>
      </c>
      <c r="B84" s="1" t="n">
        <v>43559</v>
      </c>
      <c r="C84" s="1" t="n">
        <v>45731</v>
      </c>
      <c r="D84" t="inlineStr">
        <is>
          <t>KALMAR LÄN</t>
        </is>
      </c>
      <c r="E84" t="inlineStr">
        <is>
          <t>VIMMERBY</t>
        </is>
      </c>
      <c r="G84" t="n">
        <v>2.5</v>
      </c>
      <c r="H84" t="n">
        <v>0</v>
      </c>
      <c r="I84" t="n">
        <v>0</v>
      </c>
      <c r="J84" t="n">
        <v>0</v>
      </c>
      <c r="K84" t="n">
        <v>0</v>
      </c>
      <c r="L84" t="n">
        <v>0</v>
      </c>
      <c r="M84" t="n">
        <v>0</v>
      </c>
      <c r="N84" t="n">
        <v>0</v>
      </c>
      <c r="O84" t="n">
        <v>0</v>
      </c>
      <c r="P84" t="n">
        <v>0</v>
      </c>
      <c r="Q84" t="n">
        <v>0</v>
      </c>
      <c r="R84" s="2" t="inlineStr"/>
    </row>
    <row r="85" ht="15" customHeight="1">
      <c r="A85" t="inlineStr">
        <is>
          <t>A 18656-2019</t>
        </is>
      </c>
      <c r="B85" s="1" t="n">
        <v>43559</v>
      </c>
      <c r="C85" s="1" t="n">
        <v>45731</v>
      </c>
      <c r="D85" t="inlineStr">
        <is>
          <t>KALMAR LÄN</t>
        </is>
      </c>
      <c r="E85" t="inlineStr">
        <is>
          <t>VIMMERBY</t>
        </is>
      </c>
      <c r="G85" t="n">
        <v>2.1</v>
      </c>
      <c r="H85" t="n">
        <v>0</v>
      </c>
      <c r="I85" t="n">
        <v>0</v>
      </c>
      <c r="J85" t="n">
        <v>0</v>
      </c>
      <c r="K85" t="n">
        <v>0</v>
      </c>
      <c r="L85" t="n">
        <v>0</v>
      </c>
      <c r="M85" t="n">
        <v>0</v>
      </c>
      <c r="N85" t="n">
        <v>0</v>
      </c>
      <c r="O85" t="n">
        <v>0</v>
      </c>
      <c r="P85" t="n">
        <v>0</v>
      </c>
      <c r="Q85" t="n">
        <v>0</v>
      </c>
      <c r="R85" s="2" t="inlineStr"/>
    </row>
    <row r="86" ht="15" customHeight="1">
      <c r="A86" t="inlineStr">
        <is>
          <t>A 18755-2019</t>
        </is>
      </c>
      <c r="B86" s="1" t="n">
        <v>43560</v>
      </c>
      <c r="C86" s="1" t="n">
        <v>45731</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19057-2019</t>
        </is>
      </c>
      <c r="B87" s="1" t="n">
        <v>43563</v>
      </c>
      <c r="C87" s="1" t="n">
        <v>45731</v>
      </c>
      <c r="D87" t="inlineStr">
        <is>
          <t>KALMAR LÄN</t>
        </is>
      </c>
      <c r="E87" t="inlineStr">
        <is>
          <t>VIMMERBY</t>
        </is>
      </c>
      <c r="G87" t="n">
        <v>10.1</v>
      </c>
      <c r="H87" t="n">
        <v>0</v>
      </c>
      <c r="I87" t="n">
        <v>0</v>
      </c>
      <c r="J87" t="n">
        <v>0</v>
      </c>
      <c r="K87" t="n">
        <v>0</v>
      </c>
      <c r="L87" t="n">
        <v>0</v>
      </c>
      <c r="M87" t="n">
        <v>0</v>
      </c>
      <c r="N87" t="n">
        <v>0</v>
      </c>
      <c r="O87" t="n">
        <v>0</v>
      </c>
      <c r="P87" t="n">
        <v>0</v>
      </c>
      <c r="Q87" t="n">
        <v>0</v>
      </c>
      <c r="R87" s="2" t="inlineStr"/>
    </row>
    <row r="88" ht="15" customHeight="1">
      <c r="A88" t="inlineStr">
        <is>
          <t>A 19056-2019</t>
        </is>
      </c>
      <c r="B88" s="1" t="n">
        <v>43563</v>
      </c>
      <c r="C88" s="1" t="n">
        <v>45731</v>
      </c>
      <c r="D88" t="inlineStr">
        <is>
          <t>KALMAR LÄN</t>
        </is>
      </c>
      <c r="E88" t="inlineStr">
        <is>
          <t>VIMMERBY</t>
        </is>
      </c>
      <c r="G88" t="n">
        <v>3.2</v>
      </c>
      <c r="H88" t="n">
        <v>0</v>
      </c>
      <c r="I88" t="n">
        <v>0</v>
      </c>
      <c r="J88" t="n">
        <v>0</v>
      </c>
      <c r="K88" t="n">
        <v>0</v>
      </c>
      <c r="L88" t="n">
        <v>0</v>
      </c>
      <c r="M88" t="n">
        <v>0</v>
      </c>
      <c r="N88" t="n">
        <v>0</v>
      </c>
      <c r="O88" t="n">
        <v>0</v>
      </c>
      <c r="P88" t="n">
        <v>0</v>
      </c>
      <c r="Q88" t="n">
        <v>0</v>
      </c>
      <c r="R88" s="2" t="inlineStr"/>
    </row>
    <row r="89" ht="15" customHeight="1">
      <c r="A89" t="inlineStr">
        <is>
          <t>A 19054-2019</t>
        </is>
      </c>
      <c r="B89" s="1" t="n">
        <v>43563</v>
      </c>
      <c r="C89" s="1" t="n">
        <v>45731</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19616-2019</t>
        </is>
      </c>
      <c r="B90" s="1" t="n">
        <v>43566</v>
      </c>
      <c r="C90" s="1" t="n">
        <v>45731</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19632-2019</t>
        </is>
      </c>
      <c r="B91" s="1" t="n">
        <v>43566</v>
      </c>
      <c r="C91" s="1" t="n">
        <v>45731</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19899-2019</t>
        </is>
      </c>
      <c r="B92" s="1" t="n">
        <v>43567</v>
      </c>
      <c r="C92" s="1" t="n">
        <v>45731</v>
      </c>
      <c r="D92" t="inlineStr">
        <is>
          <t>KALMAR LÄN</t>
        </is>
      </c>
      <c r="E92" t="inlineStr">
        <is>
          <t>VIMMERBY</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20035-2019</t>
        </is>
      </c>
      <c r="B93" s="1" t="n">
        <v>43570</v>
      </c>
      <c r="C93" s="1" t="n">
        <v>45731</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19983-2019</t>
        </is>
      </c>
      <c r="B94" s="1" t="n">
        <v>43570</v>
      </c>
      <c r="C94" s="1" t="n">
        <v>45731</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20080-2019</t>
        </is>
      </c>
      <c r="B95" s="1" t="n">
        <v>43570</v>
      </c>
      <c r="C95" s="1" t="n">
        <v>45731</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20069-2019</t>
        </is>
      </c>
      <c r="B96" s="1" t="n">
        <v>43570</v>
      </c>
      <c r="C96" s="1" t="n">
        <v>45731</v>
      </c>
      <c r="D96" t="inlineStr">
        <is>
          <t>KALMAR LÄN</t>
        </is>
      </c>
      <c r="E96" t="inlineStr">
        <is>
          <t>VIMMERBY</t>
        </is>
      </c>
      <c r="G96" t="n">
        <v>4.9</v>
      </c>
      <c r="H96" t="n">
        <v>0</v>
      </c>
      <c r="I96" t="n">
        <v>0</v>
      </c>
      <c r="J96" t="n">
        <v>0</v>
      </c>
      <c r="K96" t="n">
        <v>0</v>
      </c>
      <c r="L96" t="n">
        <v>0</v>
      </c>
      <c r="M96" t="n">
        <v>0</v>
      </c>
      <c r="N96" t="n">
        <v>0</v>
      </c>
      <c r="O96" t="n">
        <v>0</v>
      </c>
      <c r="P96" t="n">
        <v>0</v>
      </c>
      <c r="Q96" t="n">
        <v>0</v>
      </c>
      <c r="R96" s="2" t="inlineStr"/>
    </row>
    <row r="97" ht="15" customHeight="1">
      <c r="A97" t="inlineStr">
        <is>
          <t>A 20314-2019</t>
        </is>
      </c>
      <c r="B97" s="1" t="n">
        <v>43571</v>
      </c>
      <c r="C97" s="1" t="n">
        <v>45731</v>
      </c>
      <c r="D97" t="inlineStr">
        <is>
          <t>KALMAR LÄN</t>
        </is>
      </c>
      <c r="E97" t="inlineStr">
        <is>
          <t>VIMMERBY</t>
        </is>
      </c>
      <c r="G97" t="n">
        <v>2.2</v>
      </c>
      <c r="H97" t="n">
        <v>0</v>
      </c>
      <c r="I97" t="n">
        <v>0</v>
      </c>
      <c r="J97" t="n">
        <v>0</v>
      </c>
      <c r="K97" t="n">
        <v>0</v>
      </c>
      <c r="L97" t="n">
        <v>0</v>
      </c>
      <c r="M97" t="n">
        <v>0</v>
      </c>
      <c r="N97" t="n">
        <v>0</v>
      </c>
      <c r="O97" t="n">
        <v>0</v>
      </c>
      <c r="P97" t="n">
        <v>0</v>
      </c>
      <c r="Q97" t="n">
        <v>0</v>
      </c>
      <c r="R97" s="2" t="inlineStr"/>
    </row>
    <row r="98" ht="15" customHeight="1">
      <c r="A98" t="inlineStr">
        <is>
          <t>A 20312-2019</t>
        </is>
      </c>
      <c r="B98" s="1" t="n">
        <v>43571</v>
      </c>
      <c r="C98" s="1" t="n">
        <v>45731</v>
      </c>
      <c r="D98" t="inlineStr">
        <is>
          <t>KALMAR LÄN</t>
        </is>
      </c>
      <c r="E98" t="inlineStr">
        <is>
          <t>VIMMERBY</t>
        </is>
      </c>
      <c r="G98" t="n">
        <v>4.2</v>
      </c>
      <c r="H98" t="n">
        <v>0</v>
      </c>
      <c r="I98" t="n">
        <v>0</v>
      </c>
      <c r="J98" t="n">
        <v>0</v>
      </c>
      <c r="K98" t="n">
        <v>0</v>
      </c>
      <c r="L98" t="n">
        <v>0</v>
      </c>
      <c r="M98" t="n">
        <v>0</v>
      </c>
      <c r="N98" t="n">
        <v>0</v>
      </c>
      <c r="O98" t="n">
        <v>0</v>
      </c>
      <c r="P98" t="n">
        <v>0</v>
      </c>
      <c r="Q98" t="n">
        <v>0</v>
      </c>
      <c r="R98" s="2" t="inlineStr"/>
    </row>
    <row r="99" ht="15" customHeight="1">
      <c r="A99" t="inlineStr">
        <is>
          <t>A 20565-2019</t>
        </is>
      </c>
      <c r="B99" s="1" t="n">
        <v>43572</v>
      </c>
      <c r="C99" s="1" t="n">
        <v>45731</v>
      </c>
      <c r="D99" t="inlineStr">
        <is>
          <t>KALMAR LÄN</t>
        </is>
      </c>
      <c r="E99" t="inlineStr">
        <is>
          <t>VIMMERBY</t>
        </is>
      </c>
      <c r="G99" t="n">
        <v>5.5</v>
      </c>
      <c r="H99" t="n">
        <v>0</v>
      </c>
      <c r="I99" t="n">
        <v>0</v>
      </c>
      <c r="J99" t="n">
        <v>0</v>
      </c>
      <c r="K99" t="n">
        <v>0</v>
      </c>
      <c r="L99" t="n">
        <v>0</v>
      </c>
      <c r="M99" t="n">
        <v>0</v>
      </c>
      <c r="N99" t="n">
        <v>0</v>
      </c>
      <c r="O99" t="n">
        <v>0</v>
      </c>
      <c r="P99" t="n">
        <v>0</v>
      </c>
      <c r="Q99" t="n">
        <v>0</v>
      </c>
      <c r="R99" s="2" t="inlineStr"/>
    </row>
    <row r="100" ht="15" customHeight="1">
      <c r="A100" t="inlineStr">
        <is>
          <t>A 20856-2019</t>
        </is>
      </c>
      <c r="B100" s="1" t="n">
        <v>43578</v>
      </c>
      <c r="C100" s="1" t="n">
        <v>45731</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21557-2019</t>
        </is>
      </c>
      <c r="B101" s="1" t="n">
        <v>43580</v>
      </c>
      <c r="C101" s="1" t="n">
        <v>45731</v>
      </c>
      <c r="D101" t="inlineStr">
        <is>
          <t>KALMAR LÄN</t>
        </is>
      </c>
      <c r="E101" t="inlineStr">
        <is>
          <t>VIMMERBY</t>
        </is>
      </c>
      <c r="G101" t="n">
        <v>13.8</v>
      </c>
      <c r="H101" t="n">
        <v>0</v>
      </c>
      <c r="I101" t="n">
        <v>0</v>
      </c>
      <c r="J101" t="n">
        <v>0</v>
      </c>
      <c r="K101" t="n">
        <v>0</v>
      </c>
      <c r="L101" t="n">
        <v>0</v>
      </c>
      <c r="M101" t="n">
        <v>0</v>
      </c>
      <c r="N101" t="n">
        <v>0</v>
      </c>
      <c r="O101" t="n">
        <v>0</v>
      </c>
      <c r="P101" t="n">
        <v>0</v>
      </c>
      <c r="Q101" t="n">
        <v>0</v>
      </c>
      <c r="R101" s="2" t="inlineStr"/>
    </row>
    <row r="102" ht="15" customHeight="1">
      <c r="A102" t="inlineStr">
        <is>
          <t>A 21500-2019</t>
        </is>
      </c>
      <c r="B102" s="1" t="n">
        <v>43580</v>
      </c>
      <c r="C102" s="1" t="n">
        <v>45731</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21688-2019</t>
        </is>
      </c>
      <c r="B103" s="1" t="n">
        <v>43581</v>
      </c>
      <c r="C103" s="1" t="n">
        <v>45731</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22372-2019</t>
        </is>
      </c>
      <c r="B104" s="1" t="n">
        <v>43587</v>
      </c>
      <c r="C104" s="1" t="n">
        <v>45731</v>
      </c>
      <c r="D104" t="inlineStr">
        <is>
          <t>KALMAR LÄN</t>
        </is>
      </c>
      <c r="E104" t="inlineStr">
        <is>
          <t>VIMMERBY</t>
        </is>
      </c>
      <c r="G104" t="n">
        <v>0.3</v>
      </c>
      <c r="H104" t="n">
        <v>0</v>
      </c>
      <c r="I104" t="n">
        <v>0</v>
      </c>
      <c r="J104" t="n">
        <v>0</v>
      </c>
      <c r="K104" t="n">
        <v>0</v>
      </c>
      <c r="L104" t="n">
        <v>0</v>
      </c>
      <c r="M104" t="n">
        <v>0</v>
      </c>
      <c r="N104" t="n">
        <v>0</v>
      </c>
      <c r="O104" t="n">
        <v>0</v>
      </c>
      <c r="P104" t="n">
        <v>0</v>
      </c>
      <c r="Q104" t="n">
        <v>0</v>
      </c>
      <c r="R104" s="2" t="inlineStr"/>
    </row>
    <row r="105" ht="15" customHeight="1">
      <c r="A105" t="inlineStr">
        <is>
          <t>A 22659-2019</t>
        </is>
      </c>
      <c r="B105" s="1" t="n">
        <v>43588</v>
      </c>
      <c r="C105" s="1" t="n">
        <v>45731</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23498-2019</t>
        </is>
      </c>
      <c r="B106" s="1" t="n">
        <v>43593</v>
      </c>
      <c r="C106" s="1" t="n">
        <v>45731</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24254-2019</t>
        </is>
      </c>
      <c r="B107" s="1" t="n">
        <v>43599</v>
      </c>
      <c r="C107" s="1" t="n">
        <v>45731</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24937-2019</t>
        </is>
      </c>
      <c r="B108" s="1" t="n">
        <v>43602</v>
      </c>
      <c r="C108" s="1" t="n">
        <v>45731</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26073-2019</t>
        </is>
      </c>
      <c r="B109" s="1" t="n">
        <v>43609</v>
      </c>
      <c r="C109" s="1" t="n">
        <v>45731</v>
      </c>
      <c r="D109" t="inlineStr">
        <is>
          <t>KALMAR LÄN</t>
        </is>
      </c>
      <c r="E109" t="inlineStr">
        <is>
          <t>VIMMERBY</t>
        </is>
      </c>
      <c r="G109" t="n">
        <v>0.4</v>
      </c>
      <c r="H109" t="n">
        <v>0</v>
      </c>
      <c r="I109" t="n">
        <v>0</v>
      </c>
      <c r="J109" t="n">
        <v>0</v>
      </c>
      <c r="K109" t="n">
        <v>0</v>
      </c>
      <c r="L109" t="n">
        <v>0</v>
      </c>
      <c r="M109" t="n">
        <v>0</v>
      </c>
      <c r="N109" t="n">
        <v>0</v>
      </c>
      <c r="O109" t="n">
        <v>0</v>
      </c>
      <c r="P109" t="n">
        <v>0</v>
      </c>
      <c r="Q109" t="n">
        <v>0</v>
      </c>
      <c r="R109" s="2" t="inlineStr"/>
    </row>
    <row r="110" ht="15" customHeight="1">
      <c r="A110" t="inlineStr">
        <is>
          <t>A 26660-2019</t>
        </is>
      </c>
      <c r="B110" s="1" t="n">
        <v>43613</v>
      </c>
      <c r="C110" s="1" t="n">
        <v>45731</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28013-2019</t>
        </is>
      </c>
      <c r="B111" s="1" t="n">
        <v>43621</v>
      </c>
      <c r="C111" s="1" t="n">
        <v>45731</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28348-2019</t>
        </is>
      </c>
      <c r="B112" s="1" t="n">
        <v>43624</v>
      </c>
      <c r="C112" s="1" t="n">
        <v>45731</v>
      </c>
      <c r="D112" t="inlineStr">
        <is>
          <t>KALMAR LÄN</t>
        </is>
      </c>
      <c r="E112" t="inlineStr">
        <is>
          <t>VIMMERBY</t>
        </is>
      </c>
      <c r="G112" t="n">
        <v>1</v>
      </c>
      <c r="H112" t="n">
        <v>0</v>
      </c>
      <c r="I112" t="n">
        <v>0</v>
      </c>
      <c r="J112" t="n">
        <v>0</v>
      </c>
      <c r="K112" t="n">
        <v>0</v>
      </c>
      <c r="L112" t="n">
        <v>0</v>
      </c>
      <c r="M112" t="n">
        <v>0</v>
      </c>
      <c r="N112" t="n">
        <v>0</v>
      </c>
      <c r="O112" t="n">
        <v>0</v>
      </c>
      <c r="P112" t="n">
        <v>0</v>
      </c>
      <c r="Q112" t="n">
        <v>0</v>
      </c>
      <c r="R112" s="2" t="inlineStr"/>
    </row>
    <row r="113" ht="15" customHeight="1">
      <c r="A113" t="inlineStr">
        <is>
          <t>A 28414-2019</t>
        </is>
      </c>
      <c r="B113" s="1" t="n">
        <v>43626</v>
      </c>
      <c r="C113" s="1" t="n">
        <v>45731</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29004-2019</t>
        </is>
      </c>
      <c r="B114" s="1" t="n">
        <v>43628</v>
      </c>
      <c r="C114" s="1" t="n">
        <v>45731</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29228-2019</t>
        </is>
      </c>
      <c r="B115" s="1" t="n">
        <v>43629</v>
      </c>
      <c r="C115" s="1" t="n">
        <v>45731</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29408-2019</t>
        </is>
      </c>
      <c r="B116" s="1" t="n">
        <v>43629</v>
      </c>
      <c r="C116" s="1" t="n">
        <v>45731</v>
      </c>
      <c r="D116" t="inlineStr">
        <is>
          <t>KALMAR LÄN</t>
        </is>
      </c>
      <c r="E116" t="inlineStr">
        <is>
          <t>VIMMERBY</t>
        </is>
      </c>
      <c r="G116" t="n">
        <v>10.2</v>
      </c>
      <c r="H116" t="n">
        <v>0</v>
      </c>
      <c r="I116" t="n">
        <v>0</v>
      </c>
      <c r="J116" t="n">
        <v>0</v>
      </c>
      <c r="K116" t="n">
        <v>0</v>
      </c>
      <c r="L116" t="n">
        <v>0</v>
      </c>
      <c r="M116" t="n">
        <v>0</v>
      </c>
      <c r="N116" t="n">
        <v>0</v>
      </c>
      <c r="O116" t="n">
        <v>0</v>
      </c>
      <c r="P116" t="n">
        <v>0</v>
      </c>
      <c r="Q116" t="n">
        <v>0</v>
      </c>
      <c r="R116" s="2" t="inlineStr"/>
    </row>
    <row r="117" ht="15" customHeight="1">
      <c r="A117" t="inlineStr">
        <is>
          <t>A 29693-2019</t>
        </is>
      </c>
      <c r="B117" s="1" t="n">
        <v>43630</v>
      </c>
      <c r="C117" s="1" t="n">
        <v>45731</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29675-2019</t>
        </is>
      </c>
      <c r="B118" s="1" t="n">
        <v>43630</v>
      </c>
      <c r="C118" s="1" t="n">
        <v>45731</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29775-2019</t>
        </is>
      </c>
      <c r="B119" s="1" t="n">
        <v>43632</v>
      </c>
      <c r="C119" s="1" t="n">
        <v>45731</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29773-2019</t>
        </is>
      </c>
      <c r="B120" s="1" t="n">
        <v>43632</v>
      </c>
      <c r="C120" s="1" t="n">
        <v>45731</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31027-2019</t>
        </is>
      </c>
      <c r="B121" s="1" t="n">
        <v>43636</v>
      </c>
      <c r="C121" s="1" t="n">
        <v>45731</v>
      </c>
      <c r="D121" t="inlineStr">
        <is>
          <t>KALMAR LÄN</t>
        </is>
      </c>
      <c r="E121" t="inlineStr">
        <is>
          <t>VIMMERBY</t>
        </is>
      </c>
      <c r="F121" t="inlineStr">
        <is>
          <t>Övriga statliga verk och myndigheter</t>
        </is>
      </c>
      <c r="G121" t="n">
        <v>0.5</v>
      </c>
      <c r="H121" t="n">
        <v>0</v>
      </c>
      <c r="I121" t="n">
        <v>0</v>
      </c>
      <c r="J121" t="n">
        <v>0</v>
      </c>
      <c r="K121" t="n">
        <v>0</v>
      </c>
      <c r="L121" t="n">
        <v>0</v>
      </c>
      <c r="M121" t="n">
        <v>0</v>
      </c>
      <c r="N121" t="n">
        <v>0</v>
      </c>
      <c r="O121" t="n">
        <v>0</v>
      </c>
      <c r="P121" t="n">
        <v>0</v>
      </c>
      <c r="Q121" t="n">
        <v>0</v>
      </c>
      <c r="R121" s="2" t="inlineStr"/>
    </row>
    <row r="122" ht="15" customHeight="1">
      <c r="A122" t="inlineStr">
        <is>
          <t>A 30994-2019</t>
        </is>
      </c>
      <c r="B122" s="1" t="n">
        <v>43640</v>
      </c>
      <c r="C122" s="1" t="n">
        <v>45731</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31859-2019</t>
        </is>
      </c>
      <c r="B123" s="1" t="n">
        <v>43642</v>
      </c>
      <c r="C123" s="1" t="n">
        <v>45731</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32911-2019</t>
        </is>
      </c>
      <c r="B124" s="1" t="n">
        <v>43648</v>
      </c>
      <c r="C124" s="1" t="n">
        <v>45731</v>
      </c>
      <c r="D124" t="inlineStr">
        <is>
          <t>KALMAR LÄN</t>
        </is>
      </c>
      <c r="E124" t="inlineStr">
        <is>
          <t>VIMMERBY</t>
        </is>
      </c>
      <c r="G124" t="n">
        <v>5</v>
      </c>
      <c r="H124" t="n">
        <v>0</v>
      </c>
      <c r="I124" t="n">
        <v>0</v>
      </c>
      <c r="J124" t="n">
        <v>0</v>
      </c>
      <c r="K124" t="n">
        <v>0</v>
      </c>
      <c r="L124" t="n">
        <v>0</v>
      </c>
      <c r="M124" t="n">
        <v>0</v>
      </c>
      <c r="N124" t="n">
        <v>0</v>
      </c>
      <c r="O124" t="n">
        <v>0</v>
      </c>
      <c r="P124" t="n">
        <v>0</v>
      </c>
      <c r="Q124" t="n">
        <v>0</v>
      </c>
      <c r="R124" s="2" t="inlineStr"/>
    </row>
    <row r="125" ht="15" customHeight="1">
      <c r="A125" t="inlineStr">
        <is>
          <t>A 32924-2019</t>
        </is>
      </c>
      <c r="B125" s="1" t="n">
        <v>43648</v>
      </c>
      <c r="C125" s="1" t="n">
        <v>45731</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32918-2019</t>
        </is>
      </c>
      <c r="B126" s="1" t="n">
        <v>43648</v>
      </c>
      <c r="C126" s="1" t="n">
        <v>45731</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32910-2019</t>
        </is>
      </c>
      <c r="B127" s="1" t="n">
        <v>43648</v>
      </c>
      <c r="C127" s="1" t="n">
        <v>45731</v>
      </c>
      <c r="D127" t="inlineStr">
        <is>
          <t>KALMAR LÄN</t>
        </is>
      </c>
      <c r="E127" t="inlineStr">
        <is>
          <t>VIMMERBY</t>
        </is>
      </c>
      <c r="G127" t="n">
        <v>6</v>
      </c>
      <c r="H127" t="n">
        <v>0</v>
      </c>
      <c r="I127" t="n">
        <v>0</v>
      </c>
      <c r="J127" t="n">
        <v>0</v>
      </c>
      <c r="K127" t="n">
        <v>0</v>
      </c>
      <c r="L127" t="n">
        <v>0</v>
      </c>
      <c r="M127" t="n">
        <v>0</v>
      </c>
      <c r="N127" t="n">
        <v>0</v>
      </c>
      <c r="O127" t="n">
        <v>0</v>
      </c>
      <c r="P127" t="n">
        <v>0</v>
      </c>
      <c r="Q127" t="n">
        <v>0</v>
      </c>
      <c r="R127" s="2" t="inlineStr"/>
    </row>
    <row r="128" ht="15" customHeight="1">
      <c r="A128" t="inlineStr">
        <is>
          <t>A 34765-2019</t>
        </is>
      </c>
      <c r="B128" s="1" t="n">
        <v>43649</v>
      </c>
      <c r="C128" s="1" t="n">
        <v>45731</v>
      </c>
      <c r="D128" t="inlineStr">
        <is>
          <t>KALMAR LÄN</t>
        </is>
      </c>
      <c r="E128" t="inlineStr">
        <is>
          <t>VIMMERBY</t>
        </is>
      </c>
      <c r="G128" t="n">
        <v>6.9</v>
      </c>
      <c r="H128" t="n">
        <v>0</v>
      </c>
      <c r="I128" t="n">
        <v>0</v>
      </c>
      <c r="J128" t="n">
        <v>0</v>
      </c>
      <c r="K128" t="n">
        <v>0</v>
      </c>
      <c r="L128" t="n">
        <v>0</v>
      </c>
      <c r="M128" t="n">
        <v>0</v>
      </c>
      <c r="N128" t="n">
        <v>0</v>
      </c>
      <c r="O128" t="n">
        <v>0</v>
      </c>
      <c r="P128" t="n">
        <v>0</v>
      </c>
      <c r="Q128" t="n">
        <v>0</v>
      </c>
      <c r="R128" s="2" t="inlineStr"/>
    </row>
    <row r="129" ht="15" customHeight="1">
      <c r="A129" t="inlineStr">
        <is>
          <t>A 33411-2019</t>
        </is>
      </c>
      <c r="B129" s="1" t="n">
        <v>43650</v>
      </c>
      <c r="C129" s="1" t="n">
        <v>45731</v>
      </c>
      <c r="D129" t="inlineStr">
        <is>
          <t>KALMAR LÄN</t>
        </is>
      </c>
      <c r="E129" t="inlineStr">
        <is>
          <t>VIMMERBY</t>
        </is>
      </c>
      <c r="G129" t="n">
        <v>1.6</v>
      </c>
      <c r="H129" t="n">
        <v>0</v>
      </c>
      <c r="I129" t="n">
        <v>0</v>
      </c>
      <c r="J129" t="n">
        <v>0</v>
      </c>
      <c r="K129" t="n">
        <v>0</v>
      </c>
      <c r="L129" t="n">
        <v>0</v>
      </c>
      <c r="M129" t="n">
        <v>0</v>
      </c>
      <c r="N129" t="n">
        <v>0</v>
      </c>
      <c r="O129" t="n">
        <v>0</v>
      </c>
      <c r="P129" t="n">
        <v>0</v>
      </c>
      <c r="Q129" t="n">
        <v>0</v>
      </c>
      <c r="R129" s="2" t="inlineStr"/>
    </row>
    <row r="130" ht="15" customHeight="1">
      <c r="A130" t="inlineStr">
        <is>
          <t>A 33410-2019</t>
        </is>
      </c>
      <c r="B130" s="1" t="n">
        <v>43650</v>
      </c>
      <c r="C130" s="1" t="n">
        <v>45731</v>
      </c>
      <c r="D130" t="inlineStr">
        <is>
          <t>KALMAR LÄN</t>
        </is>
      </c>
      <c r="E130" t="inlineStr">
        <is>
          <t>VIMMERBY</t>
        </is>
      </c>
      <c r="G130" t="n">
        <v>4.4</v>
      </c>
      <c r="H130" t="n">
        <v>0</v>
      </c>
      <c r="I130" t="n">
        <v>0</v>
      </c>
      <c r="J130" t="n">
        <v>0</v>
      </c>
      <c r="K130" t="n">
        <v>0</v>
      </c>
      <c r="L130" t="n">
        <v>0</v>
      </c>
      <c r="M130" t="n">
        <v>0</v>
      </c>
      <c r="N130" t="n">
        <v>0</v>
      </c>
      <c r="O130" t="n">
        <v>0</v>
      </c>
      <c r="P130" t="n">
        <v>0</v>
      </c>
      <c r="Q130" t="n">
        <v>0</v>
      </c>
      <c r="R130" s="2" t="inlineStr"/>
    </row>
    <row r="131" ht="15" customHeight="1">
      <c r="A131" t="inlineStr">
        <is>
          <t>A 35259-2019</t>
        </is>
      </c>
      <c r="B131" s="1" t="n">
        <v>43651</v>
      </c>
      <c r="C131" s="1" t="n">
        <v>45731</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33869-2019</t>
        </is>
      </c>
      <c r="B132" s="1" t="n">
        <v>43652</v>
      </c>
      <c r="C132" s="1" t="n">
        <v>45731</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34241-2019</t>
        </is>
      </c>
      <c r="B133" s="1" t="n">
        <v>43655</v>
      </c>
      <c r="C133" s="1" t="n">
        <v>45731</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34244-2019</t>
        </is>
      </c>
      <c r="B134" s="1" t="n">
        <v>43655</v>
      </c>
      <c r="C134" s="1" t="n">
        <v>45731</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34273-2019</t>
        </is>
      </c>
      <c r="B135" s="1" t="n">
        <v>43655</v>
      </c>
      <c r="C135" s="1" t="n">
        <v>45731</v>
      </c>
      <c r="D135" t="inlineStr">
        <is>
          <t>KALMAR LÄN</t>
        </is>
      </c>
      <c r="E135" t="inlineStr">
        <is>
          <t>VIMMERBY</t>
        </is>
      </c>
      <c r="G135" t="n">
        <v>3.1</v>
      </c>
      <c r="H135" t="n">
        <v>0</v>
      </c>
      <c r="I135" t="n">
        <v>0</v>
      </c>
      <c r="J135" t="n">
        <v>0</v>
      </c>
      <c r="K135" t="n">
        <v>0</v>
      </c>
      <c r="L135" t="n">
        <v>0</v>
      </c>
      <c r="M135" t="n">
        <v>0</v>
      </c>
      <c r="N135" t="n">
        <v>0</v>
      </c>
      <c r="O135" t="n">
        <v>0</v>
      </c>
      <c r="P135" t="n">
        <v>0</v>
      </c>
      <c r="Q135" t="n">
        <v>0</v>
      </c>
      <c r="R135" s="2" t="inlineStr"/>
    </row>
    <row r="136" ht="15" customHeight="1">
      <c r="A136" t="inlineStr">
        <is>
          <t>A 35701-2019</t>
        </is>
      </c>
      <c r="B136" s="1" t="n">
        <v>43655</v>
      </c>
      <c r="C136" s="1" t="n">
        <v>45731</v>
      </c>
      <c r="D136" t="inlineStr">
        <is>
          <t>KALMAR LÄN</t>
        </is>
      </c>
      <c r="E136" t="inlineStr">
        <is>
          <t>VIMMERBY</t>
        </is>
      </c>
      <c r="G136" t="n">
        <v>1.3</v>
      </c>
      <c r="H136" t="n">
        <v>0</v>
      </c>
      <c r="I136" t="n">
        <v>0</v>
      </c>
      <c r="J136" t="n">
        <v>0</v>
      </c>
      <c r="K136" t="n">
        <v>0</v>
      </c>
      <c r="L136" t="n">
        <v>0</v>
      </c>
      <c r="M136" t="n">
        <v>0</v>
      </c>
      <c r="N136" t="n">
        <v>0</v>
      </c>
      <c r="O136" t="n">
        <v>0</v>
      </c>
      <c r="P136" t="n">
        <v>0</v>
      </c>
      <c r="Q136" t="n">
        <v>0</v>
      </c>
      <c r="R136" s="2" t="inlineStr"/>
    </row>
    <row r="137" ht="15" customHeight="1">
      <c r="A137" t="inlineStr">
        <is>
          <t>A 34672-2019</t>
        </is>
      </c>
      <c r="B137" s="1" t="n">
        <v>43657</v>
      </c>
      <c r="C137" s="1" t="n">
        <v>45731</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35780-2019</t>
        </is>
      </c>
      <c r="B138" s="1" t="n">
        <v>43665</v>
      </c>
      <c r="C138" s="1" t="n">
        <v>45731</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35834-2019</t>
        </is>
      </c>
      <c r="B139" s="1" t="n">
        <v>43665</v>
      </c>
      <c r="C139" s="1" t="n">
        <v>45731</v>
      </c>
      <c r="D139" t="inlineStr">
        <is>
          <t>KALMAR LÄN</t>
        </is>
      </c>
      <c r="E139" t="inlineStr">
        <is>
          <t>VIMMERBY</t>
        </is>
      </c>
      <c r="G139" t="n">
        <v>0.2</v>
      </c>
      <c r="H139" t="n">
        <v>0</v>
      </c>
      <c r="I139" t="n">
        <v>0</v>
      </c>
      <c r="J139" t="n">
        <v>0</v>
      </c>
      <c r="K139" t="n">
        <v>0</v>
      </c>
      <c r="L139" t="n">
        <v>0</v>
      </c>
      <c r="M139" t="n">
        <v>0</v>
      </c>
      <c r="N139" t="n">
        <v>0</v>
      </c>
      <c r="O139" t="n">
        <v>0</v>
      </c>
      <c r="P139" t="n">
        <v>0</v>
      </c>
      <c r="Q139" t="n">
        <v>0</v>
      </c>
      <c r="R139" s="2" t="inlineStr"/>
    </row>
    <row r="140" ht="15" customHeight="1">
      <c r="A140" t="inlineStr">
        <is>
          <t>A 35829-2019</t>
        </is>
      </c>
      <c r="B140" s="1" t="n">
        <v>43665</v>
      </c>
      <c r="C140" s="1" t="n">
        <v>45731</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35919-2019</t>
        </is>
      </c>
      <c r="B141" s="1" t="n">
        <v>43665</v>
      </c>
      <c r="C141" s="1" t="n">
        <v>45731</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36027-2019</t>
        </is>
      </c>
      <c r="B142" s="1" t="n">
        <v>43668</v>
      </c>
      <c r="C142" s="1" t="n">
        <v>45731</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36024-2019</t>
        </is>
      </c>
      <c r="B143" s="1" t="n">
        <v>43668</v>
      </c>
      <c r="C143" s="1" t="n">
        <v>45731</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36716-2019</t>
        </is>
      </c>
      <c r="B144" s="1" t="n">
        <v>43669</v>
      </c>
      <c r="C144" s="1" t="n">
        <v>45731</v>
      </c>
      <c r="D144" t="inlineStr">
        <is>
          <t>KALMAR LÄN</t>
        </is>
      </c>
      <c r="E144" t="inlineStr">
        <is>
          <t>VIMMERBY</t>
        </is>
      </c>
      <c r="G144" t="n">
        <v>3.6</v>
      </c>
      <c r="H144" t="n">
        <v>0</v>
      </c>
      <c r="I144" t="n">
        <v>0</v>
      </c>
      <c r="J144" t="n">
        <v>0</v>
      </c>
      <c r="K144" t="n">
        <v>0</v>
      </c>
      <c r="L144" t="n">
        <v>0</v>
      </c>
      <c r="M144" t="n">
        <v>0</v>
      </c>
      <c r="N144" t="n">
        <v>0</v>
      </c>
      <c r="O144" t="n">
        <v>0</v>
      </c>
      <c r="P144" t="n">
        <v>0</v>
      </c>
      <c r="Q144" t="n">
        <v>0</v>
      </c>
      <c r="R144" s="2" t="inlineStr"/>
    </row>
    <row r="145" ht="15" customHeight="1">
      <c r="A145" t="inlineStr">
        <is>
          <t>A 36454-2019</t>
        </is>
      </c>
      <c r="B145" s="1" t="n">
        <v>43670</v>
      </c>
      <c r="C145" s="1" t="n">
        <v>45731</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37031-2019</t>
        </is>
      </c>
      <c r="B146" s="1" t="n">
        <v>43672</v>
      </c>
      <c r="C146" s="1" t="n">
        <v>45731</v>
      </c>
      <c r="D146" t="inlineStr">
        <is>
          <t>KALMAR LÄN</t>
        </is>
      </c>
      <c r="E146" t="inlineStr">
        <is>
          <t>VIMMERBY</t>
        </is>
      </c>
      <c r="G146" t="n">
        <v>16.8</v>
      </c>
      <c r="H146" t="n">
        <v>0</v>
      </c>
      <c r="I146" t="n">
        <v>0</v>
      </c>
      <c r="J146" t="n">
        <v>0</v>
      </c>
      <c r="K146" t="n">
        <v>0</v>
      </c>
      <c r="L146" t="n">
        <v>0</v>
      </c>
      <c r="M146" t="n">
        <v>0</v>
      </c>
      <c r="N146" t="n">
        <v>0</v>
      </c>
      <c r="O146" t="n">
        <v>0</v>
      </c>
      <c r="P146" t="n">
        <v>0</v>
      </c>
      <c r="Q146" t="n">
        <v>0</v>
      </c>
      <c r="R146" s="2" t="inlineStr"/>
    </row>
    <row r="147" ht="15" customHeight="1">
      <c r="A147" t="inlineStr">
        <is>
          <t>A 36830-2019</t>
        </is>
      </c>
      <c r="B147" s="1" t="n">
        <v>43674</v>
      </c>
      <c r="C147" s="1" t="n">
        <v>45731</v>
      </c>
      <c r="D147" t="inlineStr">
        <is>
          <t>KALMAR LÄN</t>
        </is>
      </c>
      <c r="E147" t="inlineStr">
        <is>
          <t>VIMMERBY</t>
        </is>
      </c>
      <c r="G147" t="n">
        <v>7.2</v>
      </c>
      <c r="H147" t="n">
        <v>0</v>
      </c>
      <c r="I147" t="n">
        <v>0</v>
      </c>
      <c r="J147" t="n">
        <v>0</v>
      </c>
      <c r="K147" t="n">
        <v>0</v>
      </c>
      <c r="L147" t="n">
        <v>0</v>
      </c>
      <c r="M147" t="n">
        <v>0</v>
      </c>
      <c r="N147" t="n">
        <v>0</v>
      </c>
      <c r="O147" t="n">
        <v>0</v>
      </c>
      <c r="P147" t="n">
        <v>0</v>
      </c>
      <c r="Q147" t="n">
        <v>0</v>
      </c>
      <c r="R147" s="2" t="inlineStr"/>
    </row>
    <row r="148" ht="15" customHeight="1">
      <c r="A148" t="inlineStr">
        <is>
          <t>A 36936-2019</t>
        </is>
      </c>
      <c r="B148" s="1" t="n">
        <v>43675</v>
      </c>
      <c r="C148" s="1" t="n">
        <v>45731</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37063-2019</t>
        </is>
      </c>
      <c r="B149" s="1" t="n">
        <v>43676</v>
      </c>
      <c r="C149" s="1" t="n">
        <v>45731</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37209-2019</t>
        </is>
      </c>
      <c r="B150" s="1" t="n">
        <v>43677</v>
      </c>
      <c r="C150" s="1" t="n">
        <v>45731</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37412-2019</t>
        </is>
      </c>
      <c r="B151" s="1" t="n">
        <v>43678</v>
      </c>
      <c r="C151" s="1" t="n">
        <v>45731</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38602-2019</t>
        </is>
      </c>
      <c r="B152" s="1" t="n">
        <v>43684</v>
      </c>
      <c r="C152" s="1" t="n">
        <v>45731</v>
      </c>
      <c r="D152" t="inlineStr">
        <is>
          <t>KALMAR LÄN</t>
        </is>
      </c>
      <c r="E152" t="inlineStr">
        <is>
          <t>VIMMERBY</t>
        </is>
      </c>
      <c r="G152" t="n">
        <v>2.7</v>
      </c>
      <c r="H152" t="n">
        <v>0</v>
      </c>
      <c r="I152" t="n">
        <v>0</v>
      </c>
      <c r="J152" t="n">
        <v>0</v>
      </c>
      <c r="K152" t="n">
        <v>0</v>
      </c>
      <c r="L152" t="n">
        <v>0</v>
      </c>
      <c r="M152" t="n">
        <v>0</v>
      </c>
      <c r="N152" t="n">
        <v>0</v>
      </c>
      <c r="O152" t="n">
        <v>0</v>
      </c>
      <c r="P152" t="n">
        <v>0</v>
      </c>
      <c r="Q152" t="n">
        <v>0</v>
      </c>
      <c r="R152" s="2" t="inlineStr"/>
    </row>
    <row r="153" ht="15" customHeight="1">
      <c r="A153" t="inlineStr">
        <is>
          <t>A 38866-2019</t>
        </is>
      </c>
      <c r="B153" s="1" t="n">
        <v>43685</v>
      </c>
      <c r="C153" s="1" t="n">
        <v>45731</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38789-2019</t>
        </is>
      </c>
      <c r="B154" s="1" t="n">
        <v>43687</v>
      </c>
      <c r="C154" s="1" t="n">
        <v>45731</v>
      </c>
      <c r="D154" t="inlineStr">
        <is>
          <t>KALMAR LÄN</t>
        </is>
      </c>
      <c r="E154" t="inlineStr">
        <is>
          <t>VIMMERBY</t>
        </is>
      </c>
      <c r="G154" t="n">
        <v>0.3</v>
      </c>
      <c r="H154" t="n">
        <v>0</v>
      </c>
      <c r="I154" t="n">
        <v>0</v>
      </c>
      <c r="J154" t="n">
        <v>0</v>
      </c>
      <c r="K154" t="n">
        <v>0</v>
      </c>
      <c r="L154" t="n">
        <v>0</v>
      </c>
      <c r="M154" t="n">
        <v>0</v>
      </c>
      <c r="N154" t="n">
        <v>0</v>
      </c>
      <c r="O154" t="n">
        <v>0</v>
      </c>
      <c r="P154" t="n">
        <v>0</v>
      </c>
      <c r="Q154" t="n">
        <v>0</v>
      </c>
      <c r="R154" s="2" t="inlineStr"/>
    </row>
    <row r="155" ht="15" customHeight="1">
      <c r="A155" t="inlineStr">
        <is>
          <t>A 38835-2019</t>
        </is>
      </c>
      <c r="B155" s="1" t="n">
        <v>43689</v>
      </c>
      <c r="C155" s="1" t="n">
        <v>45731</v>
      </c>
      <c r="D155" t="inlineStr">
        <is>
          <t>KALMAR LÄN</t>
        </is>
      </c>
      <c r="E155" t="inlineStr">
        <is>
          <t>VIMMERBY</t>
        </is>
      </c>
      <c r="G155" t="n">
        <v>3.8</v>
      </c>
      <c r="H155" t="n">
        <v>0</v>
      </c>
      <c r="I155" t="n">
        <v>0</v>
      </c>
      <c r="J155" t="n">
        <v>0</v>
      </c>
      <c r="K155" t="n">
        <v>0</v>
      </c>
      <c r="L155" t="n">
        <v>0</v>
      </c>
      <c r="M155" t="n">
        <v>0</v>
      </c>
      <c r="N155" t="n">
        <v>0</v>
      </c>
      <c r="O155" t="n">
        <v>0</v>
      </c>
      <c r="P155" t="n">
        <v>0</v>
      </c>
      <c r="Q155" t="n">
        <v>0</v>
      </c>
      <c r="R155" s="2" t="inlineStr"/>
    </row>
    <row r="156" ht="15" customHeight="1">
      <c r="A156" t="inlineStr">
        <is>
          <t>A 38823-2019</t>
        </is>
      </c>
      <c r="B156" s="1" t="n">
        <v>43689</v>
      </c>
      <c r="C156" s="1" t="n">
        <v>45731</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38837-2019</t>
        </is>
      </c>
      <c r="B157" s="1" t="n">
        <v>43689</v>
      </c>
      <c r="C157" s="1" t="n">
        <v>45731</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38831-2019</t>
        </is>
      </c>
      <c r="B158" s="1" t="n">
        <v>43689</v>
      </c>
      <c r="C158" s="1" t="n">
        <v>45731</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39442-2019</t>
        </is>
      </c>
      <c r="B159" s="1" t="n">
        <v>43691</v>
      </c>
      <c r="C159" s="1" t="n">
        <v>45731</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39575-2019</t>
        </is>
      </c>
      <c r="B160" s="1" t="n">
        <v>43691</v>
      </c>
      <c r="C160" s="1" t="n">
        <v>45731</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39568-2019</t>
        </is>
      </c>
      <c r="B161" s="1" t="n">
        <v>43691</v>
      </c>
      <c r="C161" s="1" t="n">
        <v>45731</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39564-2019</t>
        </is>
      </c>
      <c r="B162" s="1" t="n">
        <v>43691</v>
      </c>
      <c r="C162" s="1" t="n">
        <v>45731</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39577-2019</t>
        </is>
      </c>
      <c r="B163" s="1" t="n">
        <v>43691</v>
      </c>
      <c r="C163" s="1" t="n">
        <v>45731</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39856-2019</t>
        </is>
      </c>
      <c r="B164" s="1" t="n">
        <v>43692</v>
      </c>
      <c r="C164" s="1" t="n">
        <v>45731</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39901-2019</t>
        </is>
      </c>
      <c r="B165" s="1" t="n">
        <v>43692</v>
      </c>
      <c r="C165" s="1" t="n">
        <v>45731</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39962-2019</t>
        </is>
      </c>
      <c r="B166" s="1" t="n">
        <v>43692</v>
      </c>
      <c r="C166" s="1" t="n">
        <v>45731</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39899-2019</t>
        </is>
      </c>
      <c r="B167" s="1" t="n">
        <v>43692</v>
      </c>
      <c r="C167" s="1" t="n">
        <v>45731</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39894-2019</t>
        </is>
      </c>
      <c r="B168" s="1" t="n">
        <v>43692</v>
      </c>
      <c r="C168" s="1" t="n">
        <v>45731</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39920-2019</t>
        </is>
      </c>
      <c r="B169" s="1" t="n">
        <v>43692</v>
      </c>
      <c r="C169" s="1" t="n">
        <v>45731</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39897-2019</t>
        </is>
      </c>
      <c r="B170" s="1" t="n">
        <v>43692</v>
      </c>
      <c r="C170" s="1" t="n">
        <v>45731</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40140-2019</t>
        </is>
      </c>
      <c r="B171" s="1" t="n">
        <v>43693</v>
      </c>
      <c r="C171" s="1" t="n">
        <v>45731</v>
      </c>
      <c r="D171" t="inlineStr">
        <is>
          <t>KALMAR LÄN</t>
        </is>
      </c>
      <c r="E171" t="inlineStr">
        <is>
          <t>VIMMERBY</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40691-2019</t>
        </is>
      </c>
      <c r="B172" s="1" t="n">
        <v>43696</v>
      </c>
      <c r="C172" s="1" t="n">
        <v>45731</v>
      </c>
      <c r="D172" t="inlineStr">
        <is>
          <t>KALMAR LÄN</t>
        </is>
      </c>
      <c r="E172" t="inlineStr">
        <is>
          <t>VIMMERBY</t>
        </is>
      </c>
      <c r="G172" t="n">
        <v>10.9</v>
      </c>
      <c r="H172" t="n">
        <v>0</v>
      </c>
      <c r="I172" t="n">
        <v>0</v>
      </c>
      <c r="J172" t="n">
        <v>0</v>
      </c>
      <c r="K172" t="n">
        <v>0</v>
      </c>
      <c r="L172" t="n">
        <v>0</v>
      </c>
      <c r="M172" t="n">
        <v>0</v>
      </c>
      <c r="N172" t="n">
        <v>0</v>
      </c>
      <c r="O172" t="n">
        <v>0</v>
      </c>
      <c r="P172" t="n">
        <v>0</v>
      </c>
      <c r="Q172" t="n">
        <v>0</v>
      </c>
      <c r="R172" s="2" t="inlineStr"/>
    </row>
    <row r="173" ht="15" customHeight="1">
      <c r="A173" t="inlineStr">
        <is>
          <t>A 40692-2019</t>
        </is>
      </c>
      <c r="B173" s="1" t="n">
        <v>43696</v>
      </c>
      <c r="C173" s="1" t="n">
        <v>45731</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41347-2019</t>
        </is>
      </c>
      <c r="B174" s="1" t="n">
        <v>43698</v>
      </c>
      <c r="C174" s="1" t="n">
        <v>45731</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42142-2019</t>
        </is>
      </c>
      <c r="B175" s="1" t="n">
        <v>43703</v>
      </c>
      <c r="C175" s="1" t="n">
        <v>45731</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42759-2019</t>
        </is>
      </c>
      <c r="B176" s="1" t="n">
        <v>43704</v>
      </c>
      <c r="C176" s="1" t="n">
        <v>45731</v>
      </c>
      <c r="D176" t="inlineStr">
        <is>
          <t>KALMAR LÄN</t>
        </is>
      </c>
      <c r="E176" t="inlineStr">
        <is>
          <t>VIMMERBY</t>
        </is>
      </c>
      <c r="G176" t="n">
        <v>4.6</v>
      </c>
      <c r="H176" t="n">
        <v>0</v>
      </c>
      <c r="I176" t="n">
        <v>0</v>
      </c>
      <c r="J176" t="n">
        <v>0</v>
      </c>
      <c r="K176" t="n">
        <v>0</v>
      </c>
      <c r="L176" t="n">
        <v>0</v>
      </c>
      <c r="M176" t="n">
        <v>0</v>
      </c>
      <c r="N176" t="n">
        <v>0</v>
      </c>
      <c r="O176" t="n">
        <v>0</v>
      </c>
      <c r="P176" t="n">
        <v>0</v>
      </c>
      <c r="Q176" t="n">
        <v>0</v>
      </c>
      <c r="R176" s="2" t="inlineStr"/>
    </row>
    <row r="177" ht="15" customHeight="1">
      <c r="A177" t="inlineStr">
        <is>
          <t>A 42758-2019</t>
        </is>
      </c>
      <c r="B177" s="1" t="n">
        <v>43704</v>
      </c>
      <c r="C177" s="1" t="n">
        <v>45731</v>
      </c>
      <c r="D177" t="inlineStr">
        <is>
          <t>KALMAR LÄN</t>
        </is>
      </c>
      <c r="E177" t="inlineStr">
        <is>
          <t>VIMMERBY</t>
        </is>
      </c>
      <c r="G177" t="n">
        <v>6.2</v>
      </c>
      <c r="H177" t="n">
        <v>0</v>
      </c>
      <c r="I177" t="n">
        <v>0</v>
      </c>
      <c r="J177" t="n">
        <v>0</v>
      </c>
      <c r="K177" t="n">
        <v>0</v>
      </c>
      <c r="L177" t="n">
        <v>0</v>
      </c>
      <c r="M177" t="n">
        <v>0</v>
      </c>
      <c r="N177" t="n">
        <v>0</v>
      </c>
      <c r="O177" t="n">
        <v>0</v>
      </c>
      <c r="P177" t="n">
        <v>0</v>
      </c>
      <c r="Q177" t="n">
        <v>0</v>
      </c>
      <c r="R177" s="2" t="inlineStr"/>
    </row>
    <row r="178" ht="15" customHeight="1">
      <c r="A178" t="inlineStr">
        <is>
          <t>A 42947-2019</t>
        </is>
      </c>
      <c r="B178" s="1" t="n">
        <v>43705</v>
      </c>
      <c r="C178" s="1" t="n">
        <v>45731</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42972-2019</t>
        </is>
      </c>
      <c r="B179" s="1" t="n">
        <v>43705</v>
      </c>
      <c r="C179" s="1" t="n">
        <v>45731</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44202-2019</t>
        </is>
      </c>
      <c r="B180" s="1" t="n">
        <v>43710</v>
      </c>
      <c r="C180" s="1" t="n">
        <v>45731</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44630-2019</t>
        </is>
      </c>
      <c r="B181" s="1" t="n">
        <v>43712</v>
      </c>
      <c r="C181" s="1" t="n">
        <v>45731</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45446-2019</t>
        </is>
      </c>
      <c r="B182" s="1" t="n">
        <v>43714</v>
      </c>
      <c r="C182" s="1" t="n">
        <v>45731</v>
      </c>
      <c r="D182" t="inlineStr">
        <is>
          <t>KALMAR LÄN</t>
        </is>
      </c>
      <c r="E182" t="inlineStr">
        <is>
          <t>VIMMERBY</t>
        </is>
      </c>
      <c r="G182" t="n">
        <v>3.8</v>
      </c>
      <c r="H182" t="n">
        <v>0</v>
      </c>
      <c r="I182" t="n">
        <v>0</v>
      </c>
      <c r="J182" t="n">
        <v>0</v>
      </c>
      <c r="K182" t="n">
        <v>0</v>
      </c>
      <c r="L182" t="n">
        <v>0</v>
      </c>
      <c r="M182" t="n">
        <v>0</v>
      </c>
      <c r="N182" t="n">
        <v>0</v>
      </c>
      <c r="O182" t="n">
        <v>0</v>
      </c>
      <c r="P182" t="n">
        <v>0</v>
      </c>
      <c r="Q182" t="n">
        <v>0</v>
      </c>
      <c r="R182" s="2" t="inlineStr"/>
    </row>
    <row r="183" ht="15" customHeight="1">
      <c r="A183" t="inlineStr">
        <is>
          <t>A 45413-2019</t>
        </is>
      </c>
      <c r="B183" s="1" t="n">
        <v>43714</v>
      </c>
      <c r="C183" s="1" t="n">
        <v>45731</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45515-2019</t>
        </is>
      </c>
      <c r="B184" s="1" t="n">
        <v>43714</v>
      </c>
      <c r="C184" s="1" t="n">
        <v>45731</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46242-2019</t>
        </is>
      </c>
      <c r="B185" s="1" t="n">
        <v>43718</v>
      </c>
      <c r="C185" s="1" t="n">
        <v>45731</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46845-2019</t>
        </is>
      </c>
      <c r="B186" s="1" t="n">
        <v>43718</v>
      </c>
      <c r="C186" s="1" t="n">
        <v>45731</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46291-2019</t>
        </is>
      </c>
      <c r="B187" s="1" t="n">
        <v>43718</v>
      </c>
      <c r="C187" s="1" t="n">
        <v>45731</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47187-2019</t>
        </is>
      </c>
      <c r="B188" s="1" t="n">
        <v>43719</v>
      </c>
      <c r="C188" s="1" t="n">
        <v>45731</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46619-2019</t>
        </is>
      </c>
      <c r="B189" s="1" t="n">
        <v>43719</v>
      </c>
      <c r="C189" s="1" t="n">
        <v>45731</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46988-2019</t>
        </is>
      </c>
      <c r="B190" s="1" t="n">
        <v>43720</v>
      </c>
      <c r="C190" s="1" t="n">
        <v>45731</v>
      </c>
      <c r="D190" t="inlineStr">
        <is>
          <t>KALMAR LÄN</t>
        </is>
      </c>
      <c r="E190" t="inlineStr">
        <is>
          <t>VIMMERBY</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48029-2019</t>
        </is>
      </c>
      <c r="B191" s="1" t="n">
        <v>43725</v>
      </c>
      <c r="C191" s="1" t="n">
        <v>45731</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48051-2019</t>
        </is>
      </c>
      <c r="B192" s="1" t="n">
        <v>43725</v>
      </c>
      <c r="C192" s="1" t="n">
        <v>45731</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48164-2019</t>
        </is>
      </c>
      <c r="B193" s="1" t="n">
        <v>43726</v>
      </c>
      <c r="C193" s="1" t="n">
        <v>45731</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48381-2019</t>
        </is>
      </c>
      <c r="B194" s="1" t="n">
        <v>43726</v>
      </c>
      <c r="C194" s="1" t="n">
        <v>45731</v>
      </c>
      <c r="D194" t="inlineStr">
        <is>
          <t>KALMAR LÄN</t>
        </is>
      </c>
      <c r="E194" t="inlineStr">
        <is>
          <t>VIMMERBY</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48380-2019</t>
        </is>
      </c>
      <c r="B195" s="1" t="n">
        <v>43726</v>
      </c>
      <c r="C195" s="1" t="n">
        <v>45731</v>
      </c>
      <c r="D195" t="inlineStr">
        <is>
          <t>KALMAR LÄN</t>
        </is>
      </c>
      <c r="E195" t="inlineStr">
        <is>
          <t>VIMMERBY</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48834-2019</t>
        </is>
      </c>
      <c r="B196" s="1" t="n">
        <v>43728</v>
      </c>
      <c r="C196" s="1" t="n">
        <v>45731</v>
      </c>
      <c r="D196" t="inlineStr">
        <is>
          <t>KALMAR LÄN</t>
        </is>
      </c>
      <c r="E196" t="inlineStr">
        <is>
          <t>VIMMERBY</t>
        </is>
      </c>
      <c r="G196" t="n">
        <v>5.3</v>
      </c>
      <c r="H196" t="n">
        <v>0</v>
      </c>
      <c r="I196" t="n">
        <v>0</v>
      </c>
      <c r="J196" t="n">
        <v>0</v>
      </c>
      <c r="K196" t="n">
        <v>0</v>
      </c>
      <c r="L196" t="n">
        <v>0</v>
      </c>
      <c r="M196" t="n">
        <v>0</v>
      </c>
      <c r="N196" t="n">
        <v>0</v>
      </c>
      <c r="O196" t="n">
        <v>0</v>
      </c>
      <c r="P196" t="n">
        <v>0</v>
      </c>
      <c r="Q196" t="n">
        <v>0</v>
      </c>
      <c r="R196" s="2" t="inlineStr"/>
    </row>
    <row r="197" ht="15" customHeight="1">
      <c r="A197" t="inlineStr">
        <is>
          <t>A 48921-2019</t>
        </is>
      </c>
      <c r="B197" s="1" t="n">
        <v>43728</v>
      </c>
      <c r="C197" s="1" t="n">
        <v>45731</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49212-2019</t>
        </is>
      </c>
      <c r="B198" s="1" t="n">
        <v>43731</v>
      </c>
      <c r="C198" s="1" t="n">
        <v>45731</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49208-2019</t>
        </is>
      </c>
      <c r="B199" s="1" t="n">
        <v>43731</v>
      </c>
      <c r="C199" s="1" t="n">
        <v>45731</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49206-2019</t>
        </is>
      </c>
      <c r="B200" s="1" t="n">
        <v>43731</v>
      </c>
      <c r="C200" s="1" t="n">
        <v>45731</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49741-2019</t>
        </is>
      </c>
      <c r="B201" s="1" t="n">
        <v>43733</v>
      </c>
      <c r="C201" s="1" t="n">
        <v>45731</v>
      </c>
      <c r="D201" t="inlineStr">
        <is>
          <t>KALMAR LÄN</t>
        </is>
      </c>
      <c r="E201" t="inlineStr">
        <is>
          <t>VIMMERBY</t>
        </is>
      </c>
      <c r="G201" t="n">
        <v>2.2</v>
      </c>
      <c r="H201" t="n">
        <v>0</v>
      </c>
      <c r="I201" t="n">
        <v>0</v>
      </c>
      <c r="J201" t="n">
        <v>0</v>
      </c>
      <c r="K201" t="n">
        <v>0</v>
      </c>
      <c r="L201" t="n">
        <v>0</v>
      </c>
      <c r="M201" t="n">
        <v>0</v>
      </c>
      <c r="N201" t="n">
        <v>0</v>
      </c>
      <c r="O201" t="n">
        <v>0</v>
      </c>
      <c r="P201" t="n">
        <v>0</v>
      </c>
      <c r="Q201" t="n">
        <v>0</v>
      </c>
      <c r="R201" s="2" t="inlineStr"/>
    </row>
    <row r="202" ht="15" customHeight="1">
      <c r="A202" t="inlineStr">
        <is>
          <t>A 49760-2019</t>
        </is>
      </c>
      <c r="B202" s="1" t="n">
        <v>43733</v>
      </c>
      <c r="C202" s="1" t="n">
        <v>45731</v>
      </c>
      <c r="D202" t="inlineStr">
        <is>
          <t>KALMAR LÄN</t>
        </is>
      </c>
      <c r="E202" t="inlineStr">
        <is>
          <t>VIMMERBY</t>
        </is>
      </c>
      <c r="G202" t="n">
        <v>2.3</v>
      </c>
      <c r="H202" t="n">
        <v>0</v>
      </c>
      <c r="I202" t="n">
        <v>0</v>
      </c>
      <c r="J202" t="n">
        <v>0</v>
      </c>
      <c r="K202" t="n">
        <v>0</v>
      </c>
      <c r="L202" t="n">
        <v>0</v>
      </c>
      <c r="M202" t="n">
        <v>0</v>
      </c>
      <c r="N202" t="n">
        <v>0</v>
      </c>
      <c r="O202" t="n">
        <v>0</v>
      </c>
      <c r="P202" t="n">
        <v>0</v>
      </c>
      <c r="Q202" t="n">
        <v>0</v>
      </c>
      <c r="R202" s="2" t="inlineStr"/>
    </row>
    <row r="203" ht="15" customHeight="1">
      <c r="A203" t="inlineStr">
        <is>
          <t>A 49747-2019</t>
        </is>
      </c>
      <c r="B203" s="1" t="n">
        <v>43733</v>
      </c>
      <c r="C203" s="1" t="n">
        <v>45731</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49855-2019</t>
        </is>
      </c>
      <c r="B204" s="1" t="n">
        <v>43733</v>
      </c>
      <c r="C204" s="1" t="n">
        <v>45731</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49871-2019</t>
        </is>
      </c>
      <c r="B205" s="1" t="n">
        <v>43733</v>
      </c>
      <c r="C205" s="1" t="n">
        <v>45731</v>
      </c>
      <c r="D205" t="inlineStr">
        <is>
          <t>KALMAR LÄN</t>
        </is>
      </c>
      <c r="E205" t="inlineStr">
        <is>
          <t>VIMMERBY</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49880-2019</t>
        </is>
      </c>
      <c r="B206" s="1" t="n">
        <v>43733</v>
      </c>
      <c r="C206" s="1" t="n">
        <v>45731</v>
      </c>
      <c r="D206" t="inlineStr">
        <is>
          <t>KALMAR LÄN</t>
        </is>
      </c>
      <c r="E206" t="inlineStr">
        <is>
          <t>VIMMERBY</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49885-2019</t>
        </is>
      </c>
      <c r="B207" s="1" t="n">
        <v>43733</v>
      </c>
      <c r="C207" s="1" t="n">
        <v>45731</v>
      </c>
      <c r="D207" t="inlineStr">
        <is>
          <t>KALMAR LÄN</t>
        </is>
      </c>
      <c r="E207" t="inlineStr">
        <is>
          <t>VIMMERBY</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49901-2019</t>
        </is>
      </c>
      <c r="B208" s="1" t="n">
        <v>43733</v>
      </c>
      <c r="C208" s="1" t="n">
        <v>45731</v>
      </c>
      <c r="D208" t="inlineStr">
        <is>
          <t>KALMAR LÄN</t>
        </is>
      </c>
      <c r="E208" t="inlineStr">
        <is>
          <t>VIMMERBY</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49891-2019</t>
        </is>
      </c>
      <c r="B209" s="1" t="n">
        <v>43733</v>
      </c>
      <c r="C209" s="1" t="n">
        <v>45731</v>
      </c>
      <c r="D209" t="inlineStr">
        <is>
          <t>KALMAR LÄN</t>
        </is>
      </c>
      <c r="E209" t="inlineStr">
        <is>
          <t>VIMMERBY</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49695-2019</t>
        </is>
      </c>
      <c r="B210" s="1" t="n">
        <v>43733</v>
      </c>
      <c r="C210" s="1" t="n">
        <v>45731</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50214-2019</t>
        </is>
      </c>
      <c r="B211" s="1" t="n">
        <v>43734</v>
      </c>
      <c r="C211" s="1" t="n">
        <v>45731</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50317-2019</t>
        </is>
      </c>
      <c r="B212" s="1" t="n">
        <v>43735</v>
      </c>
      <c r="C212" s="1" t="n">
        <v>45731</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50761-2019</t>
        </is>
      </c>
      <c r="B213" s="1" t="n">
        <v>43738</v>
      </c>
      <c r="C213" s="1" t="n">
        <v>45731</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51273-2019</t>
        </is>
      </c>
      <c r="B214" s="1" t="n">
        <v>43739</v>
      </c>
      <c r="C214" s="1" t="n">
        <v>45731</v>
      </c>
      <c r="D214" t="inlineStr">
        <is>
          <t>KALMAR LÄN</t>
        </is>
      </c>
      <c r="E214" t="inlineStr">
        <is>
          <t>VIMMERBY</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51277-2019</t>
        </is>
      </c>
      <c r="B215" s="1" t="n">
        <v>43739</v>
      </c>
      <c r="C215" s="1" t="n">
        <v>45731</v>
      </c>
      <c r="D215" t="inlineStr">
        <is>
          <t>KALMAR LÄN</t>
        </is>
      </c>
      <c r="E215" t="inlineStr">
        <is>
          <t>VIMMERBY</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51362-2019</t>
        </is>
      </c>
      <c r="B216" s="1" t="n">
        <v>43740</v>
      </c>
      <c r="C216" s="1" t="n">
        <v>45731</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51552-2019</t>
        </is>
      </c>
      <c r="B217" s="1" t="n">
        <v>43740</v>
      </c>
      <c r="C217" s="1" t="n">
        <v>45731</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51719-2019</t>
        </is>
      </c>
      <c r="B218" s="1" t="n">
        <v>43741</v>
      </c>
      <c r="C218" s="1" t="n">
        <v>45731</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52173-2019</t>
        </is>
      </c>
      <c r="B219" s="1" t="n">
        <v>43742</v>
      </c>
      <c r="C219" s="1" t="n">
        <v>45731</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52356-2019</t>
        </is>
      </c>
      <c r="B220" s="1" t="n">
        <v>43745</v>
      </c>
      <c r="C220" s="1" t="n">
        <v>45731</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52909-2019</t>
        </is>
      </c>
      <c r="B221" s="1" t="n">
        <v>43746</v>
      </c>
      <c r="C221" s="1" t="n">
        <v>45731</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52908-2019</t>
        </is>
      </c>
      <c r="B222" s="1" t="n">
        <v>43746</v>
      </c>
      <c r="C222" s="1" t="n">
        <v>45731</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52780-2019</t>
        </is>
      </c>
      <c r="B223" s="1" t="n">
        <v>43746</v>
      </c>
      <c r="C223" s="1" t="n">
        <v>45731</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53691-2019</t>
        </is>
      </c>
      <c r="B224" s="1" t="n">
        <v>43749</v>
      </c>
      <c r="C224" s="1" t="n">
        <v>45731</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54593-2019</t>
        </is>
      </c>
      <c r="B225" s="1" t="n">
        <v>43754</v>
      </c>
      <c r="C225" s="1" t="n">
        <v>45731</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54794-2019</t>
        </is>
      </c>
      <c r="B226" s="1" t="n">
        <v>43755</v>
      </c>
      <c r="C226" s="1" t="n">
        <v>45731</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55757-2019</t>
        </is>
      </c>
      <c r="B227" s="1" t="n">
        <v>43759</v>
      </c>
      <c r="C227" s="1" t="n">
        <v>45731</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57998-2019</t>
        </is>
      </c>
      <c r="B228" s="1" t="n">
        <v>43762</v>
      </c>
      <c r="C228" s="1" t="n">
        <v>45731</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57509-2019</t>
        </is>
      </c>
      <c r="B229" s="1" t="n">
        <v>43767</v>
      </c>
      <c r="C229" s="1" t="n">
        <v>45731</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57886-2019</t>
        </is>
      </c>
      <c r="B230" s="1" t="n">
        <v>43768</v>
      </c>
      <c r="C230" s="1" t="n">
        <v>45731</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59256-2019</t>
        </is>
      </c>
      <c r="B231" s="1" t="n">
        <v>43773</v>
      </c>
      <c r="C231" s="1" t="n">
        <v>45731</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58812-2019</t>
        </is>
      </c>
      <c r="B232" s="1" t="n">
        <v>43774</v>
      </c>
      <c r="C232" s="1" t="n">
        <v>45731</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60253-2019</t>
        </is>
      </c>
      <c r="B233" s="1" t="n">
        <v>43780</v>
      </c>
      <c r="C233" s="1" t="n">
        <v>45731</v>
      </c>
      <c r="D233" t="inlineStr">
        <is>
          <t>KALMAR LÄN</t>
        </is>
      </c>
      <c r="E233" t="inlineStr">
        <is>
          <t>VIMMERBY</t>
        </is>
      </c>
      <c r="G233" t="n">
        <v>4.4</v>
      </c>
      <c r="H233" t="n">
        <v>0</v>
      </c>
      <c r="I233" t="n">
        <v>0</v>
      </c>
      <c r="J233" t="n">
        <v>0</v>
      </c>
      <c r="K233" t="n">
        <v>0</v>
      </c>
      <c r="L233" t="n">
        <v>0</v>
      </c>
      <c r="M233" t="n">
        <v>0</v>
      </c>
      <c r="N233" t="n">
        <v>0</v>
      </c>
      <c r="O233" t="n">
        <v>0</v>
      </c>
      <c r="P233" t="n">
        <v>0</v>
      </c>
      <c r="Q233" t="n">
        <v>0</v>
      </c>
      <c r="R233" s="2" t="inlineStr"/>
    </row>
    <row r="234" ht="15" customHeight="1">
      <c r="A234" t="inlineStr">
        <is>
          <t>A 60673-2019</t>
        </is>
      </c>
      <c r="B234" s="1" t="n">
        <v>43781</v>
      </c>
      <c r="C234" s="1" t="n">
        <v>45731</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60802-2019</t>
        </is>
      </c>
      <c r="B235" s="1" t="n">
        <v>43781</v>
      </c>
      <c r="C235" s="1" t="n">
        <v>45731</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61049-2019</t>
        </is>
      </c>
      <c r="B236" s="1" t="n">
        <v>43782</v>
      </c>
      <c r="C236" s="1" t="n">
        <v>45731</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63362-2019</t>
        </is>
      </c>
      <c r="B237" s="1" t="n">
        <v>43787</v>
      </c>
      <c r="C237" s="1" t="n">
        <v>45731</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62625-2019</t>
        </is>
      </c>
      <c r="B238" s="1" t="n">
        <v>43789</v>
      </c>
      <c r="C238" s="1" t="n">
        <v>45731</v>
      </c>
      <c r="D238" t="inlineStr">
        <is>
          <t>KALMAR LÄN</t>
        </is>
      </c>
      <c r="E238" t="inlineStr">
        <is>
          <t>VIMMERBY</t>
        </is>
      </c>
      <c r="F238" t="inlineStr">
        <is>
          <t>Övriga Aktiebolag</t>
        </is>
      </c>
      <c r="G238" t="n">
        <v>8.1</v>
      </c>
      <c r="H238" t="n">
        <v>0</v>
      </c>
      <c r="I238" t="n">
        <v>0</v>
      </c>
      <c r="J238" t="n">
        <v>0</v>
      </c>
      <c r="K238" t="n">
        <v>0</v>
      </c>
      <c r="L238" t="n">
        <v>0</v>
      </c>
      <c r="M238" t="n">
        <v>0</v>
      </c>
      <c r="N238" t="n">
        <v>0</v>
      </c>
      <c r="O238" t="n">
        <v>0</v>
      </c>
      <c r="P238" t="n">
        <v>0</v>
      </c>
      <c r="Q238" t="n">
        <v>0</v>
      </c>
      <c r="R238" s="2" t="inlineStr"/>
    </row>
    <row r="239" ht="15" customHeight="1">
      <c r="A239" t="inlineStr">
        <is>
          <t>A 63029-2019</t>
        </is>
      </c>
      <c r="B239" s="1" t="n">
        <v>43791</v>
      </c>
      <c r="C239" s="1" t="n">
        <v>45731</v>
      </c>
      <c r="D239" t="inlineStr">
        <is>
          <t>KALMAR LÄN</t>
        </is>
      </c>
      <c r="E239" t="inlineStr">
        <is>
          <t>VIMMERBY</t>
        </is>
      </c>
      <c r="F239" t="inlineStr">
        <is>
          <t>Kyrkan</t>
        </is>
      </c>
      <c r="G239" t="n">
        <v>3.1</v>
      </c>
      <c r="H239" t="n">
        <v>0</v>
      </c>
      <c r="I239" t="n">
        <v>0</v>
      </c>
      <c r="J239" t="n">
        <v>0</v>
      </c>
      <c r="K239" t="n">
        <v>0</v>
      </c>
      <c r="L239" t="n">
        <v>0</v>
      </c>
      <c r="M239" t="n">
        <v>0</v>
      </c>
      <c r="N239" t="n">
        <v>0</v>
      </c>
      <c r="O239" t="n">
        <v>0</v>
      </c>
      <c r="P239" t="n">
        <v>0</v>
      </c>
      <c r="Q239" t="n">
        <v>0</v>
      </c>
      <c r="R239" s="2" t="inlineStr"/>
    </row>
    <row r="240" ht="15" customHeight="1">
      <c r="A240" t="inlineStr">
        <is>
          <t>A 63746-2019</t>
        </is>
      </c>
      <c r="B240" s="1" t="n">
        <v>43795</v>
      </c>
      <c r="C240" s="1" t="n">
        <v>45731</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64119-2019</t>
        </is>
      </c>
      <c r="B241" s="1" t="n">
        <v>43796</v>
      </c>
      <c r="C241" s="1" t="n">
        <v>45731</v>
      </c>
      <c r="D241" t="inlineStr">
        <is>
          <t>KALMAR LÄN</t>
        </is>
      </c>
      <c r="E241" t="inlineStr">
        <is>
          <t>VIMMERBY</t>
        </is>
      </c>
      <c r="G241" t="n">
        <v>4.6</v>
      </c>
      <c r="H241" t="n">
        <v>0</v>
      </c>
      <c r="I241" t="n">
        <v>0</v>
      </c>
      <c r="J241" t="n">
        <v>0</v>
      </c>
      <c r="K241" t="n">
        <v>0</v>
      </c>
      <c r="L241" t="n">
        <v>0</v>
      </c>
      <c r="M241" t="n">
        <v>0</v>
      </c>
      <c r="N241" t="n">
        <v>0</v>
      </c>
      <c r="O241" t="n">
        <v>0</v>
      </c>
      <c r="P241" t="n">
        <v>0</v>
      </c>
      <c r="Q241" t="n">
        <v>0</v>
      </c>
      <c r="R241" s="2" t="inlineStr"/>
    </row>
    <row r="242" ht="15" customHeight="1">
      <c r="A242" t="inlineStr">
        <is>
          <t>A 64345-2019</t>
        </is>
      </c>
      <c r="B242" s="1" t="n">
        <v>43797</v>
      </c>
      <c r="C242" s="1" t="n">
        <v>45731</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64334-2019</t>
        </is>
      </c>
      <c r="B243" s="1" t="n">
        <v>43797</v>
      </c>
      <c r="C243" s="1" t="n">
        <v>45731</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65267-2019</t>
        </is>
      </c>
      <c r="B244" s="1" t="n">
        <v>43802</v>
      </c>
      <c r="C244" s="1" t="n">
        <v>45731</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66169-2019</t>
        </is>
      </c>
      <c r="B245" s="1" t="n">
        <v>43808</v>
      </c>
      <c r="C245" s="1" t="n">
        <v>45731</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66172-2019</t>
        </is>
      </c>
      <c r="B246" s="1" t="n">
        <v>43808</v>
      </c>
      <c r="C246" s="1" t="n">
        <v>45731</v>
      </c>
      <c r="D246" t="inlineStr">
        <is>
          <t>KALMAR LÄN</t>
        </is>
      </c>
      <c r="E246" t="inlineStr">
        <is>
          <t>VIMMERBY</t>
        </is>
      </c>
      <c r="G246" t="n">
        <v>3.6</v>
      </c>
      <c r="H246" t="n">
        <v>0</v>
      </c>
      <c r="I246" t="n">
        <v>0</v>
      </c>
      <c r="J246" t="n">
        <v>0</v>
      </c>
      <c r="K246" t="n">
        <v>0</v>
      </c>
      <c r="L246" t="n">
        <v>0</v>
      </c>
      <c r="M246" t="n">
        <v>0</v>
      </c>
      <c r="N246" t="n">
        <v>0</v>
      </c>
      <c r="O246" t="n">
        <v>0</v>
      </c>
      <c r="P246" t="n">
        <v>0</v>
      </c>
      <c r="Q246" t="n">
        <v>0</v>
      </c>
      <c r="R246" s="2" t="inlineStr"/>
    </row>
    <row r="247" ht="15" customHeight="1">
      <c r="A247" t="inlineStr">
        <is>
          <t>A 66151-2019</t>
        </is>
      </c>
      <c r="B247" s="1" t="n">
        <v>43808</v>
      </c>
      <c r="C247" s="1" t="n">
        <v>45731</v>
      </c>
      <c r="D247" t="inlineStr">
        <is>
          <t>KALMAR LÄN</t>
        </is>
      </c>
      <c r="E247" t="inlineStr">
        <is>
          <t>VIMMERBY</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67293-2019</t>
        </is>
      </c>
      <c r="B248" s="1" t="n">
        <v>43812</v>
      </c>
      <c r="C248" s="1" t="n">
        <v>45731</v>
      </c>
      <c r="D248" t="inlineStr">
        <is>
          <t>KALMAR LÄN</t>
        </is>
      </c>
      <c r="E248" t="inlineStr">
        <is>
          <t>VIMMERBY</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67359-2019</t>
        </is>
      </c>
      <c r="B249" s="1" t="n">
        <v>43812</v>
      </c>
      <c r="C249" s="1" t="n">
        <v>45731</v>
      </c>
      <c r="D249" t="inlineStr">
        <is>
          <t>KALMAR LÄN</t>
        </is>
      </c>
      <c r="E249" t="inlineStr">
        <is>
          <t>VIMMERBY</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67346-2019</t>
        </is>
      </c>
      <c r="B250" s="1" t="n">
        <v>43812</v>
      </c>
      <c r="C250" s="1" t="n">
        <v>45731</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447-2020</t>
        </is>
      </c>
      <c r="B251" s="1" t="n">
        <v>43837</v>
      </c>
      <c r="C251" s="1" t="n">
        <v>45731</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306-2020</t>
        </is>
      </c>
      <c r="B252" s="1" t="n">
        <v>43837</v>
      </c>
      <c r="C252" s="1" t="n">
        <v>45731</v>
      </c>
      <c r="D252" t="inlineStr">
        <is>
          <t>KALMAR LÄN</t>
        </is>
      </c>
      <c r="E252" t="inlineStr">
        <is>
          <t>VIMMERBY</t>
        </is>
      </c>
      <c r="G252" t="n">
        <v>9.9</v>
      </c>
      <c r="H252" t="n">
        <v>0</v>
      </c>
      <c r="I252" t="n">
        <v>0</v>
      </c>
      <c r="J252" t="n">
        <v>0</v>
      </c>
      <c r="K252" t="n">
        <v>0</v>
      </c>
      <c r="L252" t="n">
        <v>0</v>
      </c>
      <c r="M252" t="n">
        <v>0</v>
      </c>
      <c r="N252" t="n">
        <v>0</v>
      </c>
      <c r="O252" t="n">
        <v>0</v>
      </c>
      <c r="P252" t="n">
        <v>0</v>
      </c>
      <c r="Q252" t="n">
        <v>0</v>
      </c>
      <c r="R252" s="2" t="inlineStr"/>
    </row>
    <row r="253" ht="15" customHeight="1">
      <c r="A253" t="inlineStr">
        <is>
          <t>A 593-2020</t>
        </is>
      </c>
      <c r="B253" s="1" t="n">
        <v>43838</v>
      </c>
      <c r="C253" s="1" t="n">
        <v>45731</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2473-2020</t>
        </is>
      </c>
      <c r="B254" s="1" t="n">
        <v>43840</v>
      </c>
      <c r="C254" s="1" t="n">
        <v>45731</v>
      </c>
      <c r="D254" t="inlineStr">
        <is>
          <t>KALMAR LÄN</t>
        </is>
      </c>
      <c r="E254" t="inlineStr">
        <is>
          <t>VIMMERBY</t>
        </is>
      </c>
      <c r="G254" t="n">
        <v>4.5</v>
      </c>
      <c r="H254" t="n">
        <v>0</v>
      </c>
      <c r="I254" t="n">
        <v>0</v>
      </c>
      <c r="J254" t="n">
        <v>0</v>
      </c>
      <c r="K254" t="n">
        <v>0</v>
      </c>
      <c r="L254" t="n">
        <v>0</v>
      </c>
      <c r="M254" t="n">
        <v>0</v>
      </c>
      <c r="N254" t="n">
        <v>0</v>
      </c>
      <c r="O254" t="n">
        <v>0</v>
      </c>
      <c r="P254" t="n">
        <v>0</v>
      </c>
      <c r="Q254" t="n">
        <v>0</v>
      </c>
      <c r="R254" s="2" t="inlineStr"/>
    </row>
    <row r="255" ht="15" customHeight="1">
      <c r="A255" t="inlineStr">
        <is>
          <t>A 1967-2020</t>
        </is>
      </c>
      <c r="B255" s="1" t="n">
        <v>43845</v>
      </c>
      <c r="C255" s="1" t="n">
        <v>45731</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2070-2020</t>
        </is>
      </c>
      <c r="B256" s="1" t="n">
        <v>43845</v>
      </c>
      <c r="C256" s="1" t="n">
        <v>45731</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3434-2020</t>
        </is>
      </c>
      <c r="B257" s="1" t="n">
        <v>43845</v>
      </c>
      <c r="C257" s="1" t="n">
        <v>45731</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2756-2020</t>
        </is>
      </c>
      <c r="B258" s="1" t="n">
        <v>43850</v>
      </c>
      <c r="C258" s="1" t="n">
        <v>45731</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2856-2020</t>
        </is>
      </c>
      <c r="B259" s="1" t="n">
        <v>43850</v>
      </c>
      <c r="C259" s="1" t="n">
        <v>45731</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3211-2020</t>
        </is>
      </c>
      <c r="B260" s="1" t="n">
        <v>43851</v>
      </c>
      <c r="C260" s="1" t="n">
        <v>45731</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3414-2020</t>
        </is>
      </c>
      <c r="B261" s="1" t="n">
        <v>43852</v>
      </c>
      <c r="C261" s="1" t="n">
        <v>45731</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3672-2020</t>
        </is>
      </c>
      <c r="B262" s="1" t="n">
        <v>43853</v>
      </c>
      <c r="C262" s="1" t="n">
        <v>45731</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5047-2020</t>
        </is>
      </c>
      <c r="B263" s="1" t="n">
        <v>43853</v>
      </c>
      <c r="C263" s="1" t="n">
        <v>45731</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5043-2020</t>
        </is>
      </c>
      <c r="B264" s="1" t="n">
        <v>43853</v>
      </c>
      <c r="C264" s="1" t="n">
        <v>45731</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4194-2020</t>
        </is>
      </c>
      <c r="B265" s="1" t="n">
        <v>43857</v>
      </c>
      <c r="C265" s="1" t="n">
        <v>45731</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5362-2020</t>
        </is>
      </c>
      <c r="B266" s="1" t="n">
        <v>43857</v>
      </c>
      <c r="C266" s="1" t="n">
        <v>45731</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4472-2020</t>
        </is>
      </c>
      <c r="B267" s="1" t="n">
        <v>43858</v>
      </c>
      <c r="C267" s="1" t="n">
        <v>45731</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5548-2020</t>
        </is>
      </c>
      <c r="B268" s="1" t="n">
        <v>43861</v>
      </c>
      <c r="C268" s="1" t="n">
        <v>45731</v>
      </c>
      <c r="D268" t="inlineStr">
        <is>
          <t>KALMAR LÄN</t>
        </is>
      </c>
      <c r="E268" t="inlineStr">
        <is>
          <t>VIMMERBY</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6042-2020</t>
        </is>
      </c>
      <c r="B269" s="1" t="n">
        <v>43865</v>
      </c>
      <c r="C269" s="1" t="n">
        <v>45731</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7870-2020</t>
        </is>
      </c>
      <c r="B270" s="1" t="n">
        <v>43873</v>
      </c>
      <c r="C270" s="1" t="n">
        <v>45731</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8691-2020</t>
        </is>
      </c>
      <c r="B271" s="1" t="n">
        <v>43878</v>
      </c>
      <c r="C271" s="1" t="n">
        <v>45731</v>
      </c>
      <c r="D271" t="inlineStr">
        <is>
          <t>KALMAR LÄN</t>
        </is>
      </c>
      <c r="E271" t="inlineStr">
        <is>
          <t>VIMMERBY</t>
        </is>
      </c>
      <c r="G271" t="n">
        <v>5.1</v>
      </c>
      <c r="H271" t="n">
        <v>0</v>
      </c>
      <c r="I271" t="n">
        <v>0</v>
      </c>
      <c r="J271" t="n">
        <v>0</v>
      </c>
      <c r="K271" t="n">
        <v>0</v>
      </c>
      <c r="L271" t="n">
        <v>0</v>
      </c>
      <c r="M271" t="n">
        <v>0</v>
      </c>
      <c r="N271" t="n">
        <v>0</v>
      </c>
      <c r="O271" t="n">
        <v>0</v>
      </c>
      <c r="P271" t="n">
        <v>0</v>
      </c>
      <c r="Q271" t="n">
        <v>0</v>
      </c>
      <c r="R271" s="2" t="inlineStr"/>
    </row>
    <row r="272" ht="15" customHeight="1">
      <c r="A272" t="inlineStr">
        <is>
          <t>A 9151-2020</t>
        </is>
      </c>
      <c r="B272" s="1" t="n">
        <v>43879</v>
      </c>
      <c r="C272" s="1" t="n">
        <v>45731</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9382-2020</t>
        </is>
      </c>
      <c r="B273" s="1" t="n">
        <v>43880</v>
      </c>
      <c r="C273" s="1" t="n">
        <v>45731</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9718-2020</t>
        </is>
      </c>
      <c r="B274" s="1" t="n">
        <v>43881</v>
      </c>
      <c r="C274" s="1" t="n">
        <v>45731</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10474-2020</t>
        </is>
      </c>
      <c r="B275" s="1" t="n">
        <v>43887</v>
      </c>
      <c r="C275" s="1" t="n">
        <v>45731</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10484-2020</t>
        </is>
      </c>
      <c r="B276" s="1" t="n">
        <v>43887</v>
      </c>
      <c r="C276" s="1" t="n">
        <v>45731</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10923-2020</t>
        </is>
      </c>
      <c r="B277" s="1" t="n">
        <v>43889</v>
      </c>
      <c r="C277" s="1" t="n">
        <v>45731</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11243-2020</t>
        </is>
      </c>
      <c r="B278" s="1" t="n">
        <v>43892</v>
      </c>
      <c r="C278" s="1" t="n">
        <v>45731</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12823-2020</t>
        </is>
      </c>
      <c r="B279" s="1" t="n">
        <v>43899</v>
      </c>
      <c r="C279" s="1" t="n">
        <v>45731</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13496-2020</t>
        </is>
      </c>
      <c r="B280" s="1" t="n">
        <v>43900</v>
      </c>
      <c r="C280" s="1" t="n">
        <v>45731</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14410-2020</t>
        </is>
      </c>
      <c r="B281" s="1" t="n">
        <v>43902</v>
      </c>
      <c r="C281" s="1" t="n">
        <v>45731</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13606-2020</t>
        </is>
      </c>
      <c r="B282" s="1" t="n">
        <v>43903</v>
      </c>
      <c r="C282" s="1" t="n">
        <v>45731</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14022-2020</t>
        </is>
      </c>
      <c r="B283" s="1" t="n">
        <v>43906</v>
      </c>
      <c r="C283" s="1" t="n">
        <v>45731</v>
      </c>
      <c r="D283" t="inlineStr">
        <is>
          <t>KALMAR LÄN</t>
        </is>
      </c>
      <c r="E283" t="inlineStr">
        <is>
          <t>VIMMERBY</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16222-2020</t>
        </is>
      </c>
      <c r="B284" s="1" t="n">
        <v>43917</v>
      </c>
      <c r="C284" s="1" t="n">
        <v>45731</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18676-2020</t>
        </is>
      </c>
      <c r="B285" s="1" t="n">
        <v>43930</v>
      </c>
      <c r="C285" s="1" t="n">
        <v>45731</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18855-2020</t>
        </is>
      </c>
      <c r="B286" s="1" t="n">
        <v>43930</v>
      </c>
      <c r="C286" s="1" t="n">
        <v>45731</v>
      </c>
      <c r="D286" t="inlineStr">
        <is>
          <t>KALMAR LÄN</t>
        </is>
      </c>
      <c r="E286" t="inlineStr">
        <is>
          <t>VIMMERBY</t>
        </is>
      </c>
      <c r="G286" t="n">
        <v>2.9</v>
      </c>
      <c r="H286" t="n">
        <v>0</v>
      </c>
      <c r="I286" t="n">
        <v>0</v>
      </c>
      <c r="J286" t="n">
        <v>0</v>
      </c>
      <c r="K286" t="n">
        <v>0</v>
      </c>
      <c r="L286" t="n">
        <v>0</v>
      </c>
      <c r="M286" t="n">
        <v>0</v>
      </c>
      <c r="N286" t="n">
        <v>0</v>
      </c>
      <c r="O286" t="n">
        <v>0</v>
      </c>
      <c r="P286" t="n">
        <v>0</v>
      </c>
      <c r="Q286" t="n">
        <v>0</v>
      </c>
      <c r="R286" s="2" t="inlineStr"/>
    </row>
    <row r="287" ht="15" customHeight="1">
      <c r="A287" t="inlineStr">
        <is>
          <t>A 18885-2020</t>
        </is>
      </c>
      <c r="B287" s="1" t="n">
        <v>43935</v>
      </c>
      <c r="C287" s="1" t="n">
        <v>45731</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18909-2020</t>
        </is>
      </c>
      <c r="B288" s="1" t="n">
        <v>43935</v>
      </c>
      <c r="C288" s="1" t="n">
        <v>45731</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20291-2020</t>
        </is>
      </c>
      <c r="B289" s="1" t="n">
        <v>43945</v>
      </c>
      <c r="C289" s="1" t="n">
        <v>45731</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21408-2020</t>
        </is>
      </c>
      <c r="B290" s="1" t="n">
        <v>43955</v>
      </c>
      <c r="C290" s="1" t="n">
        <v>45731</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21581-2020</t>
        </is>
      </c>
      <c r="B291" s="1" t="n">
        <v>43956</v>
      </c>
      <c r="C291" s="1" t="n">
        <v>45731</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21891-2020</t>
        </is>
      </c>
      <c r="B292" s="1" t="n">
        <v>43958</v>
      </c>
      <c r="C292" s="1" t="n">
        <v>45731</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22267-2020</t>
        </is>
      </c>
      <c r="B293" s="1" t="n">
        <v>43962</v>
      </c>
      <c r="C293" s="1" t="n">
        <v>45731</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22574-2020</t>
        </is>
      </c>
      <c r="B294" s="1" t="n">
        <v>43963</v>
      </c>
      <c r="C294" s="1" t="n">
        <v>45731</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22637-2020</t>
        </is>
      </c>
      <c r="B295" s="1" t="n">
        <v>43963</v>
      </c>
      <c r="C295" s="1" t="n">
        <v>45731</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22828-2020</t>
        </is>
      </c>
      <c r="B296" s="1" t="n">
        <v>43964</v>
      </c>
      <c r="C296" s="1" t="n">
        <v>45731</v>
      </c>
      <c r="D296" t="inlineStr">
        <is>
          <t>KALMAR LÄN</t>
        </is>
      </c>
      <c r="E296" t="inlineStr">
        <is>
          <t>VIMMERBY</t>
        </is>
      </c>
      <c r="G296" t="n">
        <v>7.5</v>
      </c>
      <c r="H296" t="n">
        <v>0</v>
      </c>
      <c r="I296" t="n">
        <v>0</v>
      </c>
      <c r="J296" t="n">
        <v>0</v>
      </c>
      <c r="K296" t="n">
        <v>0</v>
      </c>
      <c r="L296" t="n">
        <v>0</v>
      </c>
      <c r="M296" t="n">
        <v>0</v>
      </c>
      <c r="N296" t="n">
        <v>0</v>
      </c>
      <c r="O296" t="n">
        <v>0</v>
      </c>
      <c r="P296" t="n">
        <v>0</v>
      </c>
      <c r="Q296" t="n">
        <v>0</v>
      </c>
      <c r="R296" s="2" t="inlineStr"/>
    </row>
    <row r="297" ht="15" customHeight="1">
      <c r="A297" t="inlineStr">
        <is>
          <t>A 23391-2020</t>
        </is>
      </c>
      <c r="B297" s="1" t="n">
        <v>43968</v>
      </c>
      <c r="C297" s="1" t="n">
        <v>45731</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23394-2020</t>
        </is>
      </c>
      <c r="B298" s="1" t="n">
        <v>43968</v>
      </c>
      <c r="C298" s="1" t="n">
        <v>45731</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23705-2020</t>
        </is>
      </c>
      <c r="B299" s="1" t="n">
        <v>43970</v>
      </c>
      <c r="C299" s="1" t="n">
        <v>45731</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23877-2020</t>
        </is>
      </c>
      <c r="B300" s="1" t="n">
        <v>43971</v>
      </c>
      <c r="C300" s="1" t="n">
        <v>45731</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24016-2020</t>
        </is>
      </c>
      <c r="B301" s="1" t="n">
        <v>43971</v>
      </c>
      <c r="C301" s="1" t="n">
        <v>45731</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24770-2020</t>
        </is>
      </c>
      <c r="B302" s="1" t="n">
        <v>43978</v>
      </c>
      <c r="C302" s="1" t="n">
        <v>45731</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24784-2020</t>
        </is>
      </c>
      <c r="B303" s="1" t="n">
        <v>43978</v>
      </c>
      <c r="C303" s="1" t="n">
        <v>45731</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24782-2020</t>
        </is>
      </c>
      <c r="B304" s="1" t="n">
        <v>43978</v>
      </c>
      <c r="C304" s="1" t="n">
        <v>45731</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25761-2020</t>
        </is>
      </c>
      <c r="B305" s="1" t="n">
        <v>43984</v>
      </c>
      <c r="C305" s="1" t="n">
        <v>45731</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26723-2020</t>
        </is>
      </c>
      <c r="B306" s="1" t="n">
        <v>43990</v>
      </c>
      <c r="C306" s="1" t="n">
        <v>45731</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27104-2020</t>
        </is>
      </c>
      <c r="B307" s="1" t="n">
        <v>43991</v>
      </c>
      <c r="C307" s="1" t="n">
        <v>45731</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27212-2020</t>
        </is>
      </c>
      <c r="B308" s="1" t="n">
        <v>43992</v>
      </c>
      <c r="C308" s="1" t="n">
        <v>45731</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27316-2020</t>
        </is>
      </c>
      <c r="B309" s="1" t="n">
        <v>43992</v>
      </c>
      <c r="C309" s="1" t="n">
        <v>45731</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27214-2020</t>
        </is>
      </c>
      <c r="B310" s="1" t="n">
        <v>43992</v>
      </c>
      <c r="C310" s="1" t="n">
        <v>45731</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27213-2020</t>
        </is>
      </c>
      <c r="B311" s="1" t="n">
        <v>43992</v>
      </c>
      <c r="C311" s="1" t="n">
        <v>45731</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27236-2020</t>
        </is>
      </c>
      <c r="B312" s="1" t="n">
        <v>43992</v>
      </c>
      <c r="C312" s="1" t="n">
        <v>45731</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28853-2020</t>
        </is>
      </c>
      <c r="B313" s="1" t="n">
        <v>44000</v>
      </c>
      <c r="C313" s="1" t="n">
        <v>45731</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28885-2020</t>
        </is>
      </c>
      <c r="B314" s="1" t="n">
        <v>44000</v>
      </c>
      <c r="C314" s="1" t="n">
        <v>45731</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28969-2020</t>
        </is>
      </c>
      <c r="B315" s="1" t="n">
        <v>44000</v>
      </c>
      <c r="C315" s="1" t="n">
        <v>45731</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29235-2020</t>
        </is>
      </c>
      <c r="B316" s="1" t="n">
        <v>44004</v>
      </c>
      <c r="C316" s="1" t="n">
        <v>45731</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29913-2020</t>
        </is>
      </c>
      <c r="B317" s="1" t="n">
        <v>44006</v>
      </c>
      <c r="C317" s="1" t="n">
        <v>45731</v>
      </c>
      <c r="D317" t="inlineStr">
        <is>
          <t>KALMAR LÄN</t>
        </is>
      </c>
      <c r="E317" t="inlineStr">
        <is>
          <t>VIMMERBY</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29918-2020</t>
        </is>
      </c>
      <c r="B318" s="1" t="n">
        <v>44006</v>
      </c>
      <c r="C318" s="1" t="n">
        <v>45731</v>
      </c>
      <c r="D318" t="inlineStr">
        <is>
          <t>KALMAR LÄN</t>
        </is>
      </c>
      <c r="E318" t="inlineStr">
        <is>
          <t>VIMMERBY</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29979-2020</t>
        </is>
      </c>
      <c r="B319" s="1" t="n">
        <v>44006</v>
      </c>
      <c r="C319" s="1" t="n">
        <v>45731</v>
      </c>
      <c r="D319" t="inlineStr">
        <is>
          <t>KALMAR LÄN</t>
        </is>
      </c>
      <c r="E319" t="inlineStr">
        <is>
          <t>VIMMERBY</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29935-2020</t>
        </is>
      </c>
      <c r="B320" s="1" t="n">
        <v>44006</v>
      </c>
      <c r="C320" s="1" t="n">
        <v>45731</v>
      </c>
      <c r="D320" t="inlineStr">
        <is>
          <t>KALMAR LÄN</t>
        </is>
      </c>
      <c r="E320" t="inlineStr">
        <is>
          <t>VIMMERBY</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30206-2020</t>
        </is>
      </c>
      <c r="B321" s="1" t="n">
        <v>44007</v>
      </c>
      <c r="C321" s="1" t="n">
        <v>45731</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31289-2020</t>
        </is>
      </c>
      <c r="B322" s="1" t="n">
        <v>44012</v>
      </c>
      <c r="C322" s="1" t="n">
        <v>45731</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33159-2020</t>
        </is>
      </c>
      <c r="B323" s="1" t="n">
        <v>44021</v>
      </c>
      <c r="C323" s="1" t="n">
        <v>45731</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33279-2020</t>
        </is>
      </c>
      <c r="B324" s="1" t="n">
        <v>44022</v>
      </c>
      <c r="C324" s="1" t="n">
        <v>45731</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33856-2020</t>
        </is>
      </c>
      <c r="B325" s="1" t="n">
        <v>44027</v>
      </c>
      <c r="C325" s="1" t="n">
        <v>45731</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34350-2020</t>
        </is>
      </c>
      <c r="B326" s="1" t="n">
        <v>44028</v>
      </c>
      <c r="C326" s="1" t="n">
        <v>45731</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34345-2020</t>
        </is>
      </c>
      <c r="B327" s="1" t="n">
        <v>44028</v>
      </c>
      <c r="C327" s="1" t="n">
        <v>45731</v>
      </c>
      <c r="D327" t="inlineStr">
        <is>
          <t>KALMAR LÄN</t>
        </is>
      </c>
      <c r="E327" t="inlineStr">
        <is>
          <t>VIMMERBY</t>
        </is>
      </c>
      <c r="G327" t="n">
        <v>5.1</v>
      </c>
      <c r="H327" t="n">
        <v>0</v>
      </c>
      <c r="I327" t="n">
        <v>0</v>
      </c>
      <c r="J327" t="n">
        <v>0</v>
      </c>
      <c r="K327" t="n">
        <v>0</v>
      </c>
      <c r="L327" t="n">
        <v>0</v>
      </c>
      <c r="M327" t="n">
        <v>0</v>
      </c>
      <c r="N327" t="n">
        <v>0</v>
      </c>
      <c r="O327" t="n">
        <v>0</v>
      </c>
      <c r="P327" t="n">
        <v>0</v>
      </c>
      <c r="Q327" t="n">
        <v>0</v>
      </c>
      <c r="R327" s="2" t="inlineStr"/>
    </row>
    <row r="328" ht="15" customHeight="1">
      <c r="A328" t="inlineStr">
        <is>
          <t>A 34719-2020</t>
        </is>
      </c>
      <c r="B328" s="1" t="n">
        <v>44035</v>
      </c>
      <c r="C328" s="1" t="n">
        <v>45731</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34907-2020</t>
        </is>
      </c>
      <c r="B329" s="1" t="n">
        <v>44036</v>
      </c>
      <c r="C329" s="1" t="n">
        <v>45731</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35350-2020</t>
        </is>
      </c>
      <c r="B330" s="1" t="n">
        <v>44041</v>
      </c>
      <c r="C330" s="1" t="n">
        <v>45731</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35462-2020</t>
        </is>
      </c>
      <c r="B331" s="1" t="n">
        <v>44042</v>
      </c>
      <c r="C331" s="1" t="n">
        <v>45731</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35886-2020</t>
        </is>
      </c>
      <c r="B332" s="1" t="n">
        <v>44047</v>
      </c>
      <c r="C332" s="1" t="n">
        <v>45731</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36085-2020</t>
        </is>
      </c>
      <c r="B333" s="1" t="n">
        <v>44048</v>
      </c>
      <c r="C333" s="1" t="n">
        <v>45731</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36161-2020</t>
        </is>
      </c>
      <c r="B334" s="1" t="n">
        <v>44048</v>
      </c>
      <c r="C334" s="1" t="n">
        <v>45731</v>
      </c>
      <c r="D334" t="inlineStr">
        <is>
          <t>KALMAR LÄN</t>
        </is>
      </c>
      <c r="E334" t="inlineStr">
        <is>
          <t>VIMMERBY</t>
        </is>
      </c>
      <c r="G334" t="n">
        <v>12.5</v>
      </c>
      <c r="H334" t="n">
        <v>0</v>
      </c>
      <c r="I334" t="n">
        <v>0</v>
      </c>
      <c r="J334" t="n">
        <v>0</v>
      </c>
      <c r="K334" t="n">
        <v>0</v>
      </c>
      <c r="L334" t="n">
        <v>0</v>
      </c>
      <c r="M334" t="n">
        <v>0</v>
      </c>
      <c r="N334" t="n">
        <v>0</v>
      </c>
      <c r="O334" t="n">
        <v>0</v>
      </c>
      <c r="P334" t="n">
        <v>0</v>
      </c>
      <c r="Q334" t="n">
        <v>0</v>
      </c>
      <c r="R334" s="2" t="inlineStr"/>
    </row>
    <row r="335" ht="15" customHeight="1">
      <c r="A335" t="inlineStr">
        <is>
          <t>A 37104-2020</t>
        </is>
      </c>
      <c r="B335" s="1" t="n">
        <v>44054</v>
      </c>
      <c r="C335" s="1" t="n">
        <v>45731</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37201-2020</t>
        </is>
      </c>
      <c r="B336" s="1" t="n">
        <v>44054</v>
      </c>
      <c r="C336" s="1" t="n">
        <v>45731</v>
      </c>
      <c r="D336" t="inlineStr">
        <is>
          <t>KALMAR LÄN</t>
        </is>
      </c>
      <c r="E336" t="inlineStr">
        <is>
          <t>VIMMERBY</t>
        </is>
      </c>
      <c r="G336" t="n">
        <v>3.6</v>
      </c>
      <c r="H336" t="n">
        <v>0</v>
      </c>
      <c r="I336" t="n">
        <v>0</v>
      </c>
      <c r="J336" t="n">
        <v>0</v>
      </c>
      <c r="K336" t="n">
        <v>0</v>
      </c>
      <c r="L336" t="n">
        <v>0</v>
      </c>
      <c r="M336" t="n">
        <v>0</v>
      </c>
      <c r="N336" t="n">
        <v>0</v>
      </c>
      <c r="O336" t="n">
        <v>0</v>
      </c>
      <c r="P336" t="n">
        <v>0</v>
      </c>
      <c r="Q336" t="n">
        <v>0</v>
      </c>
      <c r="R336" s="2" t="inlineStr"/>
    </row>
    <row r="337" ht="15" customHeight="1">
      <c r="A337" t="inlineStr">
        <is>
          <t>A 37078-2020</t>
        </is>
      </c>
      <c r="B337" s="1" t="n">
        <v>44054</v>
      </c>
      <c r="C337" s="1" t="n">
        <v>45731</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37362-2020</t>
        </is>
      </c>
      <c r="B338" s="1" t="n">
        <v>44055</v>
      </c>
      <c r="C338" s="1" t="n">
        <v>45731</v>
      </c>
      <c r="D338" t="inlineStr">
        <is>
          <t>KALMAR LÄN</t>
        </is>
      </c>
      <c r="E338" t="inlineStr">
        <is>
          <t>VIMMERBY</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37813-2020</t>
        </is>
      </c>
      <c r="B339" s="1" t="n">
        <v>44057</v>
      </c>
      <c r="C339" s="1" t="n">
        <v>45731</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37973-2020</t>
        </is>
      </c>
      <c r="B340" s="1" t="n">
        <v>44057</v>
      </c>
      <c r="C340" s="1" t="n">
        <v>45731</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38153-2020</t>
        </is>
      </c>
      <c r="B341" s="1" t="n">
        <v>44060</v>
      </c>
      <c r="C341" s="1" t="n">
        <v>45731</v>
      </c>
      <c r="D341" t="inlineStr">
        <is>
          <t>KALMAR LÄN</t>
        </is>
      </c>
      <c r="E341" t="inlineStr">
        <is>
          <t>VIMMERBY</t>
        </is>
      </c>
      <c r="G341" t="n">
        <v>6</v>
      </c>
      <c r="H341" t="n">
        <v>0</v>
      </c>
      <c r="I341" t="n">
        <v>0</v>
      </c>
      <c r="J341" t="n">
        <v>0</v>
      </c>
      <c r="K341" t="n">
        <v>0</v>
      </c>
      <c r="L341" t="n">
        <v>0</v>
      </c>
      <c r="M341" t="n">
        <v>0</v>
      </c>
      <c r="N341" t="n">
        <v>0</v>
      </c>
      <c r="O341" t="n">
        <v>0</v>
      </c>
      <c r="P341" t="n">
        <v>0</v>
      </c>
      <c r="Q341" t="n">
        <v>0</v>
      </c>
      <c r="R341" s="2" t="inlineStr"/>
    </row>
    <row r="342" ht="15" customHeight="1">
      <c r="A342" t="inlineStr">
        <is>
          <t>A 38397-2020</t>
        </is>
      </c>
      <c r="B342" s="1" t="n">
        <v>44060</v>
      </c>
      <c r="C342" s="1" t="n">
        <v>45731</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45731</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38710-2020</t>
        </is>
      </c>
      <c r="B344" s="1" t="n">
        <v>44061</v>
      </c>
      <c r="C344" s="1" t="n">
        <v>45731</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38844-2020</t>
        </is>
      </c>
      <c r="B345" s="1" t="n">
        <v>44062</v>
      </c>
      <c r="C345" s="1" t="n">
        <v>45731</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39191-2020</t>
        </is>
      </c>
      <c r="B346" s="1" t="n">
        <v>44063</v>
      </c>
      <c r="C346" s="1" t="n">
        <v>45731</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39251-2020</t>
        </is>
      </c>
      <c r="B347" s="1" t="n">
        <v>44063</v>
      </c>
      <c r="C347" s="1" t="n">
        <v>45731</v>
      </c>
      <c r="D347" t="inlineStr">
        <is>
          <t>KALMAR LÄN</t>
        </is>
      </c>
      <c r="E347" t="inlineStr">
        <is>
          <t>VIMMERBY</t>
        </is>
      </c>
      <c r="G347" t="n">
        <v>6.1</v>
      </c>
      <c r="H347" t="n">
        <v>0</v>
      </c>
      <c r="I347" t="n">
        <v>0</v>
      </c>
      <c r="J347" t="n">
        <v>0</v>
      </c>
      <c r="K347" t="n">
        <v>0</v>
      </c>
      <c r="L347" t="n">
        <v>0</v>
      </c>
      <c r="M347" t="n">
        <v>0</v>
      </c>
      <c r="N347" t="n">
        <v>0</v>
      </c>
      <c r="O347" t="n">
        <v>0</v>
      </c>
      <c r="P347" t="n">
        <v>0</v>
      </c>
      <c r="Q347" t="n">
        <v>0</v>
      </c>
      <c r="R347" s="2" t="inlineStr"/>
    </row>
    <row r="348" ht="15" customHeight="1">
      <c r="A348" t="inlineStr">
        <is>
          <t>A 39125-2020</t>
        </is>
      </c>
      <c r="B348" s="1" t="n">
        <v>44063</v>
      </c>
      <c r="C348" s="1" t="n">
        <v>45731</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39300-2020</t>
        </is>
      </c>
      <c r="B349" s="1" t="n">
        <v>44063</v>
      </c>
      <c r="C349" s="1" t="n">
        <v>45731</v>
      </c>
      <c r="D349" t="inlineStr">
        <is>
          <t>KALMAR LÄN</t>
        </is>
      </c>
      <c r="E349" t="inlineStr">
        <is>
          <t>VIMMERBY</t>
        </is>
      </c>
      <c r="G349" t="n">
        <v>5.1</v>
      </c>
      <c r="H349" t="n">
        <v>0</v>
      </c>
      <c r="I349" t="n">
        <v>0</v>
      </c>
      <c r="J349" t="n">
        <v>0</v>
      </c>
      <c r="K349" t="n">
        <v>0</v>
      </c>
      <c r="L349" t="n">
        <v>0</v>
      </c>
      <c r="M349" t="n">
        <v>0</v>
      </c>
      <c r="N349" t="n">
        <v>0</v>
      </c>
      <c r="O349" t="n">
        <v>0</v>
      </c>
      <c r="P349" t="n">
        <v>0</v>
      </c>
      <c r="Q349" t="n">
        <v>0</v>
      </c>
      <c r="R349" s="2" t="inlineStr"/>
    </row>
    <row r="350" ht="15" customHeight="1">
      <c r="A350" t="inlineStr">
        <is>
          <t>A 39288-2020</t>
        </is>
      </c>
      <c r="B350" s="1" t="n">
        <v>44063</v>
      </c>
      <c r="C350" s="1" t="n">
        <v>45731</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39508-2020</t>
        </is>
      </c>
      <c r="B351" s="1" t="n">
        <v>44064</v>
      </c>
      <c r="C351" s="1" t="n">
        <v>45731</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39769-2020</t>
        </is>
      </c>
      <c r="B352" s="1" t="n">
        <v>44064</v>
      </c>
      <c r="C352" s="1" t="n">
        <v>45731</v>
      </c>
      <c r="D352" t="inlineStr">
        <is>
          <t>KALMAR LÄN</t>
        </is>
      </c>
      <c r="E352" t="inlineStr">
        <is>
          <t>VIMMERBY</t>
        </is>
      </c>
      <c r="G352" t="n">
        <v>24.6</v>
      </c>
      <c r="H352" t="n">
        <v>0</v>
      </c>
      <c r="I352" t="n">
        <v>0</v>
      </c>
      <c r="J352" t="n">
        <v>0</v>
      </c>
      <c r="K352" t="n">
        <v>0</v>
      </c>
      <c r="L352" t="n">
        <v>0</v>
      </c>
      <c r="M352" t="n">
        <v>0</v>
      </c>
      <c r="N352" t="n">
        <v>0</v>
      </c>
      <c r="O352" t="n">
        <v>0</v>
      </c>
      <c r="P352" t="n">
        <v>0</v>
      </c>
      <c r="Q352" t="n">
        <v>0</v>
      </c>
      <c r="R352" s="2" t="inlineStr"/>
    </row>
    <row r="353" ht="15" customHeight="1">
      <c r="A353" t="inlineStr">
        <is>
          <t>A 40239-2020</t>
        </is>
      </c>
      <c r="B353" s="1" t="n">
        <v>44068</v>
      </c>
      <c r="C353" s="1" t="n">
        <v>45731</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40766-2020</t>
        </is>
      </c>
      <c r="B354" s="1" t="n">
        <v>44070</v>
      </c>
      <c r="C354" s="1" t="n">
        <v>45731</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40890-2020</t>
        </is>
      </c>
      <c r="B355" s="1" t="n">
        <v>44070</v>
      </c>
      <c r="C355" s="1" t="n">
        <v>45731</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40812-2020</t>
        </is>
      </c>
      <c r="B356" s="1" t="n">
        <v>44070</v>
      </c>
      <c r="C356" s="1" t="n">
        <v>45731</v>
      </c>
      <c r="D356" t="inlineStr">
        <is>
          <t>KALMAR LÄN</t>
        </is>
      </c>
      <c r="E356" t="inlineStr">
        <is>
          <t>VIMMERBY</t>
        </is>
      </c>
      <c r="G356" t="n">
        <v>4.9</v>
      </c>
      <c r="H356" t="n">
        <v>0</v>
      </c>
      <c r="I356" t="n">
        <v>0</v>
      </c>
      <c r="J356" t="n">
        <v>0</v>
      </c>
      <c r="K356" t="n">
        <v>0</v>
      </c>
      <c r="L356" t="n">
        <v>0</v>
      </c>
      <c r="M356" t="n">
        <v>0</v>
      </c>
      <c r="N356" t="n">
        <v>0</v>
      </c>
      <c r="O356" t="n">
        <v>0</v>
      </c>
      <c r="P356" t="n">
        <v>0</v>
      </c>
      <c r="Q356" t="n">
        <v>0</v>
      </c>
      <c r="R356" s="2" t="inlineStr"/>
    </row>
    <row r="357" ht="15" customHeight="1">
      <c r="A357" t="inlineStr">
        <is>
          <t>A 40889-2020</t>
        </is>
      </c>
      <c r="B357" s="1" t="n">
        <v>44070</v>
      </c>
      <c r="C357" s="1" t="n">
        <v>45731</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40818-2020</t>
        </is>
      </c>
      <c r="B358" s="1" t="n">
        <v>44070</v>
      </c>
      <c r="C358" s="1" t="n">
        <v>45731</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40808-2020</t>
        </is>
      </c>
      <c r="B359" s="1" t="n">
        <v>44070</v>
      </c>
      <c r="C359" s="1" t="n">
        <v>45731</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42067-2020</t>
        </is>
      </c>
      <c r="B360" s="1" t="n">
        <v>44075</v>
      </c>
      <c r="C360" s="1" t="n">
        <v>45731</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42494-2020</t>
        </is>
      </c>
      <c r="B361" s="1" t="n">
        <v>44077</v>
      </c>
      <c r="C361" s="1" t="n">
        <v>45731</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44000-2020</t>
        </is>
      </c>
      <c r="B362" s="1" t="n">
        <v>44083</v>
      </c>
      <c r="C362" s="1" t="n">
        <v>45731</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43998-2020</t>
        </is>
      </c>
      <c r="B363" s="1" t="n">
        <v>44083</v>
      </c>
      <c r="C363" s="1" t="n">
        <v>45731</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44605-2020</t>
        </is>
      </c>
      <c r="B364" s="1" t="n">
        <v>44085</v>
      </c>
      <c r="C364" s="1" t="n">
        <v>45731</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45050-2020</t>
        </is>
      </c>
      <c r="B365" s="1" t="n">
        <v>44088</v>
      </c>
      <c r="C365" s="1" t="n">
        <v>45731</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45054-2020</t>
        </is>
      </c>
      <c r="B366" s="1" t="n">
        <v>44088</v>
      </c>
      <c r="C366" s="1" t="n">
        <v>45731</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45528-2020</t>
        </is>
      </c>
      <c r="B367" s="1" t="n">
        <v>44089</v>
      </c>
      <c r="C367" s="1" t="n">
        <v>45731</v>
      </c>
      <c r="D367" t="inlineStr">
        <is>
          <t>KALMAR LÄN</t>
        </is>
      </c>
      <c r="E367" t="inlineStr">
        <is>
          <t>VIMMERBY</t>
        </is>
      </c>
      <c r="G367" t="n">
        <v>3.8</v>
      </c>
      <c r="H367" t="n">
        <v>0</v>
      </c>
      <c r="I367" t="n">
        <v>0</v>
      </c>
      <c r="J367" t="n">
        <v>0</v>
      </c>
      <c r="K367" t="n">
        <v>0</v>
      </c>
      <c r="L367" t="n">
        <v>0</v>
      </c>
      <c r="M367" t="n">
        <v>0</v>
      </c>
      <c r="N367" t="n">
        <v>0</v>
      </c>
      <c r="O367" t="n">
        <v>0</v>
      </c>
      <c r="P367" t="n">
        <v>0</v>
      </c>
      <c r="Q367" t="n">
        <v>0</v>
      </c>
      <c r="R367" s="2" t="inlineStr"/>
    </row>
    <row r="368" ht="15" customHeight="1">
      <c r="A368" t="inlineStr">
        <is>
          <t>A 45678-2020</t>
        </is>
      </c>
      <c r="B368" s="1" t="n">
        <v>44090</v>
      </c>
      <c r="C368" s="1" t="n">
        <v>45731</v>
      </c>
      <c r="D368" t="inlineStr">
        <is>
          <t>KALMAR LÄN</t>
        </is>
      </c>
      <c r="E368" t="inlineStr">
        <is>
          <t>VIMMERBY</t>
        </is>
      </c>
      <c r="G368" t="n">
        <v>4.3</v>
      </c>
      <c r="H368" t="n">
        <v>0</v>
      </c>
      <c r="I368" t="n">
        <v>0</v>
      </c>
      <c r="J368" t="n">
        <v>0</v>
      </c>
      <c r="K368" t="n">
        <v>0</v>
      </c>
      <c r="L368" t="n">
        <v>0</v>
      </c>
      <c r="M368" t="n">
        <v>0</v>
      </c>
      <c r="N368" t="n">
        <v>0</v>
      </c>
      <c r="O368" t="n">
        <v>0</v>
      </c>
      <c r="P368" t="n">
        <v>0</v>
      </c>
      <c r="Q368" t="n">
        <v>0</v>
      </c>
      <c r="R368" s="2" t="inlineStr"/>
    </row>
    <row r="369" ht="15" customHeight="1">
      <c r="A369" t="inlineStr">
        <is>
          <t>A 46085-2020</t>
        </is>
      </c>
      <c r="B369" s="1" t="n">
        <v>44091</v>
      </c>
      <c r="C369" s="1" t="n">
        <v>45731</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46461-2020</t>
        </is>
      </c>
      <c r="B370" s="1" t="n">
        <v>44092</v>
      </c>
      <c r="C370" s="1" t="n">
        <v>45731</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46527-2020</t>
        </is>
      </c>
      <c r="B371" s="1" t="n">
        <v>44095</v>
      </c>
      <c r="C371" s="1" t="n">
        <v>45731</v>
      </c>
      <c r="D371" t="inlineStr">
        <is>
          <t>KALMAR LÄN</t>
        </is>
      </c>
      <c r="E371" t="inlineStr">
        <is>
          <t>VIMMERBY</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47295-2020</t>
        </is>
      </c>
      <c r="B372" s="1" t="n">
        <v>44097</v>
      </c>
      <c r="C372" s="1" t="n">
        <v>45731</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49059-2020</t>
        </is>
      </c>
      <c r="B373" s="1" t="n">
        <v>44102</v>
      </c>
      <c r="C373" s="1" t="n">
        <v>45731</v>
      </c>
      <c r="D373" t="inlineStr">
        <is>
          <t>KALMAR LÄN</t>
        </is>
      </c>
      <c r="E373" t="inlineStr">
        <is>
          <t>VIMMERBY</t>
        </is>
      </c>
      <c r="G373" t="n">
        <v>5.8</v>
      </c>
      <c r="H373" t="n">
        <v>0</v>
      </c>
      <c r="I373" t="n">
        <v>0</v>
      </c>
      <c r="J373" t="n">
        <v>0</v>
      </c>
      <c r="K373" t="n">
        <v>0</v>
      </c>
      <c r="L373" t="n">
        <v>0</v>
      </c>
      <c r="M373" t="n">
        <v>0</v>
      </c>
      <c r="N373" t="n">
        <v>0</v>
      </c>
      <c r="O373" t="n">
        <v>0</v>
      </c>
      <c r="P373" t="n">
        <v>0</v>
      </c>
      <c r="Q373" t="n">
        <v>0</v>
      </c>
      <c r="R373" s="2" t="inlineStr"/>
    </row>
    <row r="374" ht="15" customHeight="1">
      <c r="A374" t="inlineStr">
        <is>
          <t>A 48949-2020</t>
        </is>
      </c>
      <c r="B374" s="1" t="n">
        <v>44102</v>
      </c>
      <c r="C374" s="1" t="n">
        <v>45731</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49186-2020</t>
        </is>
      </c>
      <c r="B375" s="1" t="n">
        <v>44105</v>
      </c>
      <c r="C375" s="1" t="n">
        <v>45731</v>
      </c>
      <c r="D375" t="inlineStr">
        <is>
          <t>KALMAR LÄN</t>
        </is>
      </c>
      <c r="E375" t="inlineStr">
        <is>
          <t>VIMMERBY</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51571-2020</t>
        </is>
      </c>
      <c r="B376" s="1" t="n">
        <v>44109</v>
      </c>
      <c r="C376" s="1" t="n">
        <v>45731</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51569-2020</t>
        </is>
      </c>
      <c r="B377" s="1" t="n">
        <v>44109</v>
      </c>
      <c r="C377" s="1" t="n">
        <v>45731</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50764-2020</t>
        </is>
      </c>
      <c r="B378" s="1" t="n">
        <v>44111</v>
      </c>
      <c r="C378" s="1" t="n">
        <v>45731</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51977-2020</t>
        </is>
      </c>
      <c r="B379" s="1" t="n">
        <v>44116</v>
      </c>
      <c r="C379" s="1" t="n">
        <v>45731</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52073-2020</t>
        </is>
      </c>
      <c r="B380" s="1" t="n">
        <v>44117</v>
      </c>
      <c r="C380" s="1" t="n">
        <v>45731</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53100-2020</t>
        </is>
      </c>
      <c r="B381" s="1" t="n">
        <v>44120</v>
      </c>
      <c r="C381" s="1" t="n">
        <v>45731</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53387-2020</t>
        </is>
      </c>
      <c r="B382" s="1" t="n">
        <v>44123</v>
      </c>
      <c r="C382" s="1" t="n">
        <v>45731</v>
      </c>
      <c r="D382" t="inlineStr">
        <is>
          <t>KALMAR LÄN</t>
        </is>
      </c>
      <c r="E382" t="inlineStr">
        <is>
          <t>VIMMERBY</t>
        </is>
      </c>
      <c r="G382" t="n">
        <v>7.2</v>
      </c>
      <c r="H382" t="n">
        <v>0</v>
      </c>
      <c r="I382" t="n">
        <v>0</v>
      </c>
      <c r="J382" t="n">
        <v>0</v>
      </c>
      <c r="K382" t="n">
        <v>0</v>
      </c>
      <c r="L382" t="n">
        <v>0</v>
      </c>
      <c r="M382" t="n">
        <v>0</v>
      </c>
      <c r="N382" t="n">
        <v>0</v>
      </c>
      <c r="O382" t="n">
        <v>0</v>
      </c>
      <c r="P382" t="n">
        <v>0</v>
      </c>
      <c r="Q382" t="n">
        <v>0</v>
      </c>
      <c r="R382" s="2" t="inlineStr"/>
    </row>
    <row r="383" ht="15" customHeight="1">
      <c r="A383" t="inlineStr">
        <is>
          <t>A 53711-2020</t>
        </is>
      </c>
      <c r="B383" s="1" t="n">
        <v>44124</v>
      </c>
      <c r="C383" s="1" t="n">
        <v>45731</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54917-2020</t>
        </is>
      </c>
      <c r="B384" s="1" t="n">
        <v>44127</v>
      </c>
      <c r="C384" s="1" t="n">
        <v>45731</v>
      </c>
      <c r="D384" t="inlineStr">
        <is>
          <t>KALMAR LÄN</t>
        </is>
      </c>
      <c r="E384" t="inlineStr">
        <is>
          <t>VIMMERBY</t>
        </is>
      </c>
      <c r="G384" t="n">
        <v>9.5</v>
      </c>
      <c r="H384" t="n">
        <v>0</v>
      </c>
      <c r="I384" t="n">
        <v>0</v>
      </c>
      <c r="J384" t="n">
        <v>0</v>
      </c>
      <c r="K384" t="n">
        <v>0</v>
      </c>
      <c r="L384" t="n">
        <v>0</v>
      </c>
      <c r="M384" t="n">
        <v>0</v>
      </c>
      <c r="N384" t="n">
        <v>0</v>
      </c>
      <c r="O384" t="n">
        <v>0</v>
      </c>
      <c r="P384" t="n">
        <v>0</v>
      </c>
      <c r="Q384" t="n">
        <v>0</v>
      </c>
      <c r="R384" s="2" t="inlineStr"/>
    </row>
    <row r="385" ht="15" customHeight="1">
      <c r="A385" t="inlineStr">
        <is>
          <t>A 55053-2020</t>
        </is>
      </c>
      <c r="B385" s="1" t="n">
        <v>44130</v>
      </c>
      <c r="C385" s="1" t="n">
        <v>45731</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57948-2020</t>
        </is>
      </c>
      <c r="B386" s="1" t="n">
        <v>44142</v>
      </c>
      <c r="C386" s="1" t="n">
        <v>45731</v>
      </c>
      <c r="D386" t="inlineStr">
        <is>
          <t>KALMAR LÄN</t>
        </is>
      </c>
      <c r="E386" t="inlineStr">
        <is>
          <t>VIMMERBY</t>
        </is>
      </c>
      <c r="G386" t="n">
        <v>7.1</v>
      </c>
      <c r="H386" t="n">
        <v>0</v>
      </c>
      <c r="I386" t="n">
        <v>0</v>
      </c>
      <c r="J386" t="n">
        <v>0</v>
      </c>
      <c r="K386" t="n">
        <v>0</v>
      </c>
      <c r="L386" t="n">
        <v>0</v>
      </c>
      <c r="M386" t="n">
        <v>0</v>
      </c>
      <c r="N386" t="n">
        <v>0</v>
      </c>
      <c r="O386" t="n">
        <v>0</v>
      </c>
      <c r="P386" t="n">
        <v>0</v>
      </c>
      <c r="Q386" t="n">
        <v>0</v>
      </c>
      <c r="R386" s="2" t="inlineStr"/>
    </row>
    <row r="387" ht="15" customHeight="1">
      <c r="A387" t="inlineStr">
        <is>
          <t>A 58026-2020</t>
        </is>
      </c>
      <c r="B387" s="1" t="n">
        <v>44144</v>
      </c>
      <c r="C387" s="1" t="n">
        <v>45731</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58145-2020</t>
        </is>
      </c>
      <c r="B388" s="1" t="n">
        <v>44144</v>
      </c>
      <c r="C388" s="1" t="n">
        <v>45731</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60810-2020</t>
        </is>
      </c>
      <c r="B389" s="1" t="n">
        <v>44154</v>
      </c>
      <c r="C389" s="1" t="n">
        <v>45731</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61878-2020</t>
        </is>
      </c>
      <c r="B390" s="1" t="n">
        <v>44159</v>
      </c>
      <c r="C390" s="1" t="n">
        <v>45731</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64707-2020</t>
        </is>
      </c>
      <c r="B391" s="1" t="n">
        <v>44169</v>
      </c>
      <c r="C391" s="1" t="n">
        <v>45731</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65049-2020</t>
        </is>
      </c>
      <c r="B392" s="1" t="n">
        <v>44172</v>
      </c>
      <c r="C392" s="1" t="n">
        <v>45731</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65564-2020</t>
        </is>
      </c>
      <c r="B393" s="1" t="n">
        <v>44172</v>
      </c>
      <c r="C393" s="1" t="n">
        <v>45731</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65956-2020</t>
        </is>
      </c>
      <c r="B394" s="1" t="n">
        <v>44175</v>
      </c>
      <c r="C394" s="1" t="n">
        <v>45731</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65952-2020</t>
        </is>
      </c>
      <c r="B395" s="1" t="n">
        <v>44175</v>
      </c>
      <c r="C395" s="1" t="n">
        <v>45731</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65961-2020</t>
        </is>
      </c>
      <c r="B396" s="1" t="n">
        <v>44175</v>
      </c>
      <c r="C396" s="1" t="n">
        <v>45731</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65973-2020</t>
        </is>
      </c>
      <c r="B397" s="1" t="n">
        <v>44175</v>
      </c>
      <c r="C397" s="1" t="n">
        <v>45731</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66913-2020</t>
        </is>
      </c>
      <c r="B398" s="1" t="n">
        <v>44175</v>
      </c>
      <c r="C398" s="1" t="n">
        <v>45731</v>
      </c>
      <c r="D398" t="inlineStr">
        <is>
          <t>KALMAR LÄN</t>
        </is>
      </c>
      <c r="E398" t="inlineStr">
        <is>
          <t>VIMMERBY</t>
        </is>
      </c>
      <c r="G398" t="n">
        <v>5.6</v>
      </c>
      <c r="H398" t="n">
        <v>0</v>
      </c>
      <c r="I398" t="n">
        <v>0</v>
      </c>
      <c r="J398" t="n">
        <v>0</v>
      </c>
      <c r="K398" t="n">
        <v>0</v>
      </c>
      <c r="L398" t="n">
        <v>0</v>
      </c>
      <c r="M398" t="n">
        <v>0</v>
      </c>
      <c r="N398" t="n">
        <v>0</v>
      </c>
      <c r="O398" t="n">
        <v>0</v>
      </c>
      <c r="P398" t="n">
        <v>0</v>
      </c>
      <c r="Q398" t="n">
        <v>0</v>
      </c>
      <c r="R398" s="2" t="inlineStr"/>
    </row>
    <row r="399" ht="15" customHeight="1">
      <c r="A399" t="inlineStr">
        <is>
          <t>A 66295-2020</t>
        </is>
      </c>
      <c r="B399" s="1" t="n">
        <v>44176</v>
      </c>
      <c r="C399" s="1" t="n">
        <v>45731</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68744-2020</t>
        </is>
      </c>
      <c r="B400" s="1" t="n">
        <v>44186</v>
      </c>
      <c r="C400" s="1" t="n">
        <v>45731</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68785-2020</t>
        </is>
      </c>
      <c r="B401" s="1" t="n">
        <v>44186</v>
      </c>
      <c r="C401" s="1" t="n">
        <v>45731</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618-2021</t>
        </is>
      </c>
      <c r="B402" s="1" t="n">
        <v>44203</v>
      </c>
      <c r="C402" s="1" t="n">
        <v>45731</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1929-2021</t>
        </is>
      </c>
      <c r="B403" s="1" t="n">
        <v>44210</v>
      </c>
      <c r="C403" s="1" t="n">
        <v>45731</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2555-2021</t>
        </is>
      </c>
      <c r="B404" s="1" t="n">
        <v>44214</v>
      </c>
      <c r="C404" s="1" t="n">
        <v>45731</v>
      </c>
      <c r="D404" t="inlineStr">
        <is>
          <t>KALMAR LÄN</t>
        </is>
      </c>
      <c r="E404" t="inlineStr">
        <is>
          <t>VIMMERBY</t>
        </is>
      </c>
      <c r="G404" t="n">
        <v>7.3</v>
      </c>
      <c r="H404" t="n">
        <v>0</v>
      </c>
      <c r="I404" t="n">
        <v>0</v>
      </c>
      <c r="J404" t="n">
        <v>0</v>
      </c>
      <c r="K404" t="n">
        <v>0</v>
      </c>
      <c r="L404" t="n">
        <v>0</v>
      </c>
      <c r="M404" t="n">
        <v>0</v>
      </c>
      <c r="N404" t="n">
        <v>0</v>
      </c>
      <c r="O404" t="n">
        <v>0</v>
      </c>
      <c r="P404" t="n">
        <v>0</v>
      </c>
      <c r="Q404" t="n">
        <v>0</v>
      </c>
      <c r="R404" s="2" t="inlineStr"/>
    </row>
    <row r="405" ht="15" customHeight="1">
      <c r="A405" t="inlineStr">
        <is>
          <t>A 2654-2021</t>
        </is>
      </c>
      <c r="B405" s="1" t="n">
        <v>44215</v>
      </c>
      <c r="C405" s="1" t="n">
        <v>45731</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3330-2021</t>
        </is>
      </c>
      <c r="B406" s="1" t="n">
        <v>44217</v>
      </c>
      <c r="C406" s="1" t="n">
        <v>45731</v>
      </c>
      <c r="D406" t="inlineStr">
        <is>
          <t>KALMAR LÄN</t>
        </is>
      </c>
      <c r="E406" t="inlineStr">
        <is>
          <t>VIMMERBY</t>
        </is>
      </c>
      <c r="G406" t="n">
        <v>11.1</v>
      </c>
      <c r="H406" t="n">
        <v>0</v>
      </c>
      <c r="I406" t="n">
        <v>0</v>
      </c>
      <c r="J406" t="n">
        <v>0</v>
      </c>
      <c r="K406" t="n">
        <v>0</v>
      </c>
      <c r="L406" t="n">
        <v>0</v>
      </c>
      <c r="M406" t="n">
        <v>0</v>
      </c>
      <c r="N406" t="n">
        <v>0</v>
      </c>
      <c r="O406" t="n">
        <v>0</v>
      </c>
      <c r="P406" t="n">
        <v>0</v>
      </c>
      <c r="Q406" t="n">
        <v>0</v>
      </c>
      <c r="R406" s="2" t="inlineStr"/>
    </row>
    <row r="407" ht="15" customHeight="1">
      <c r="A407" t="inlineStr">
        <is>
          <t>A 3184-2021</t>
        </is>
      </c>
      <c r="B407" s="1" t="n">
        <v>44217</v>
      </c>
      <c r="C407" s="1" t="n">
        <v>45731</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3621-2021</t>
        </is>
      </c>
      <c r="B408" s="1" t="n">
        <v>44221</v>
      </c>
      <c r="C408" s="1" t="n">
        <v>45731</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4762-2021</t>
        </is>
      </c>
      <c r="B409" s="1" t="n">
        <v>44225</v>
      </c>
      <c r="C409" s="1" t="n">
        <v>45731</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5689-2021</t>
        </is>
      </c>
      <c r="B410" s="1" t="n">
        <v>44230</v>
      </c>
      <c r="C410" s="1" t="n">
        <v>45731</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5654-2021</t>
        </is>
      </c>
      <c r="B411" s="1" t="n">
        <v>44230</v>
      </c>
      <c r="C411" s="1" t="n">
        <v>45731</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7072-2021</t>
        </is>
      </c>
      <c r="B412" s="1" t="n">
        <v>44237</v>
      </c>
      <c r="C412" s="1" t="n">
        <v>45731</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7075-2021</t>
        </is>
      </c>
      <c r="B413" s="1" t="n">
        <v>44237</v>
      </c>
      <c r="C413" s="1" t="n">
        <v>45731</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7515-2021</t>
        </is>
      </c>
      <c r="B414" s="1" t="n">
        <v>44238</v>
      </c>
      <c r="C414" s="1" t="n">
        <v>45731</v>
      </c>
      <c r="D414" t="inlineStr">
        <is>
          <t>KALMAR LÄN</t>
        </is>
      </c>
      <c r="E414" t="inlineStr">
        <is>
          <t>VIMMERBY</t>
        </is>
      </c>
      <c r="G414" t="n">
        <v>20.9</v>
      </c>
      <c r="H414" t="n">
        <v>0</v>
      </c>
      <c r="I414" t="n">
        <v>0</v>
      </c>
      <c r="J414" t="n">
        <v>0</v>
      </c>
      <c r="K414" t="n">
        <v>0</v>
      </c>
      <c r="L414" t="n">
        <v>0</v>
      </c>
      <c r="M414" t="n">
        <v>0</v>
      </c>
      <c r="N414" t="n">
        <v>0</v>
      </c>
      <c r="O414" t="n">
        <v>0</v>
      </c>
      <c r="P414" t="n">
        <v>0</v>
      </c>
      <c r="Q414" t="n">
        <v>0</v>
      </c>
      <c r="R414" s="2" t="inlineStr"/>
    </row>
    <row r="415" ht="15" customHeight="1">
      <c r="A415" t="inlineStr">
        <is>
          <t>A 7828-2021</t>
        </is>
      </c>
      <c r="B415" s="1" t="n">
        <v>44242</v>
      </c>
      <c r="C415" s="1" t="n">
        <v>45731</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8121-2021</t>
        </is>
      </c>
      <c r="B416" s="1" t="n">
        <v>44243</v>
      </c>
      <c r="C416" s="1" t="n">
        <v>45731</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8086-2021</t>
        </is>
      </c>
      <c r="B417" s="1" t="n">
        <v>44243</v>
      </c>
      <c r="C417" s="1" t="n">
        <v>45731</v>
      </c>
      <c r="D417" t="inlineStr">
        <is>
          <t>KALMAR LÄN</t>
        </is>
      </c>
      <c r="E417" t="inlineStr">
        <is>
          <t>VIMMERBY</t>
        </is>
      </c>
      <c r="G417" t="n">
        <v>4.1</v>
      </c>
      <c r="H417" t="n">
        <v>0</v>
      </c>
      <c r="I417" t="n">
        <v>0</v>
      </c>
      <c r="J417" t="n">
        <v>0</v>
      </c>
      <c r="K417" t="n">
        <v>0</v>
      </c>
      <c r="L417" t="n">
        <v>0</v>
      </c>
      <c r="M417" t="n">
        <v>0</v>
      </c>
      <c r="N417" t="n">
        <v>0</v>
      </c>
      <c r="O417" t="n">
        <v>0</v>
      </c>
      <c r="P417" t="n">
        <v>0</v>
      </c>
      <c r="Q417" t="n">
        <v>0</v>
      </c>
      <c r="R417" s="2" t="inlineStr"/>
    </row>
    <row r="418" ht="15" customHeight="1">
      <c r="A418" t="inlineStr">
        <is>
          <t>A 8415-2021</t>
        </is>
      </c>
      <c r="B418" s="1" t="n">
        <v>44245</v>
      </c>
      <c r="C418" s="1" t="n">
        <v>45731</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9836-2021</t>
        </is>
      </c>
      <c r="B419" s="1" t="n">
        <v>44253</v>
      </c>
      <c r="C419" s="1" t="n">
        <v>45731</v>
      </c>
      <c r="D419" t="inlineStr">
        <is>
          <t>KALMAR LÄN</t>
        </is>
      </c>
      <c r="E419" t="inlineStr">
        <is>
          <t>VIMMERBY</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10674-2021</t>
        </is>
      </c>
      <c r="B420" s="1" t="n">
        <v>44258</v>
      </c>
      <c r="C420" s="1" t="n">
        <v>45731</v>
      </c>
      <c r="D420" t="inlineStr">
        <is>
          <t>KALMAR LÄN</t>
        </is>
      </c>
      <c r="E420" t="inlineStr">
        <is>
          <t>VIMMERBY</t>
        </is>
      </c>
      <c r="G420" t="n">
        <v>8.4</v>
      </c>
      <c r="H420" t="n">
        <v>0</v>
      </c>
      <c r="I420" t="n">
        <v>0</v>
      </c>
      <c r="J420" t="n">
        <v>0</v>
      </c>
      <c r="K420" t="n">
        <v>0</v>
      </c>
      <c r="L420" t="n">
        <v>0</v>
      </c>
      <c r="M420" t="n">
        <v>0</v>
      </c>
      <c r="N420" t="n">
        <v>0</v>
      </c>
      <c r="O420" t="n">
        <v>0</v>
      </c>
      <c r="P420" t="n">
        <v>0</v>
      </c>
      <c r="Q420" t="n">
        <v>0</v>
      </c>
      <c r="R420" s="2" t="inlineStr"/>
    </row>
    <row r="421" ht="15" customHeight="1">
      <c r="A421" t="inlineStr">
        <is>
          <t>A 10518-2021</t>
        </is>
      </c>
      <c r="B421" s="1" t="n">
        <v>44258</v>
      </c>
      <c r="C421" s="1" t="n">
        <v>45731</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10744-2021</t>
        </is>
      </c>
      <c r="B422" s="1" t="n">
        <v>44259</v>
      </c>
      <c r="C422" s="1" t="n">
        <v>45731</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10928-2021</t>
        </is>
      </c>
      <c r="B423" s="1" t="n">
        <v>44259</v>
      </c>
      <c r="C423" s="1" t="n">
        <v>45731</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11011-2021</t>
        </is>
      </c>
      <c r="B424" s="1" t="n">
        <v>44260</v>
      </c>
      <c r="C424" s="1" t="n">
        <v>45731</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12241-2021</t>
        </is>
      </c>
      <c r="B425" s="1" t="n">
        <v>44266</v>
      </c>
      <c r="C425" s="1" t="n">
        <v>45731</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12465-2021</t>
        </is>
      </c>
      <c r="B426" s="1" t="n">
        <v>44267</v>
      </c>
      <c r="C426" s="1" t="n">
        <v>45731</v>
      </c>
      <c r="D426" t="inlineStr">
        <is>
          <t>KALMAR LÄN</t>
        </is>
      </c>
      <c r="E426" t="inlineStr">
        <is>
          <t>VIMMERBY</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12467-2021</t>
        </is>
      </c>
      <c r="B427" s="1" t="n">
        <v>44267</v>
      </c>
      <c r="C427" s="1" t="n">
        <v>45731</v>
      </c>
      <c r="D427" t="inlineStr">
        <is>
          <t>KALMAR LÄN</t>
        </is>
      </c>
      <c r="E427" t="inlineStr">
        <is>
          <t>VIMMERBY</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12586-2021</t>
        </is>
      </c>
      <c r="B428" s="1" t="n">
        <v>44270</v>
      </c>
      <c r="C428" s="1" t="n">
        <v>45731</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12661-2021</t>
        </is>
      </c>
      <c r="B429" s="1" t="n">
        <v>44270</v>
      </c>
      <c r="C429" s="1" t="n">
        <v>45731</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12757-2021</t>
        </is>
      </c>
      <c r="B430" s="1" t="n">
        <v>44270</v>
      </c>
      <c r="C430" s="1" t="n">
        <v>45731</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12585-2021</t>
        </is>
      </c>
      <c r="B431" s="1" t="n">
        <v>44270</v>
      </c>
      <c r="C431" s="1" t="n">
        <v>45731</v>
      </c>
      <c r="D431" t="inlineStr">
        <is>
          <t>KALMAR LÄN</t>
        </is>
      </c>
      <c r="E431" t="inlineStr">
        <is>
          <t>VIMMERBY</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12597-2021</t>
        </is>
      </c>
      <c r="B432" s="1" t="n">
        <v>44270</v>
      </c>
      <c r="C432" s="1" t="n">
        <v>45731</v>
      </c>
      <c r="D432" t="inlineStr">
        <is>
          <t>KALMAR LÄN</t>
        </is>
      </c>
      <c r="E432" t="inlineStr">
        <is>
          <t>VIMMERBY</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12582-2021</t>
        </is>
      </c>
      <c r="B433" s="1" t="n">
        <v>44270</v>
      </c>
      <c r="C433" s="1" t="n">
        <v>45731</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12596-2021</t>
        </is>
      </c>
      <c r="B434" s="1" t="n">
        <v>44270</v>
      </c>
      <c r="C434" s="1" t="n">
        <v>45731</v>
      </c>
      <c r="D434" t="inlineStr">
        <is>
          <t>KALMAR LÄN</t>
        </is>
      </c>
      <c r="E434" t="inlineStr">
        <is>
          <t>VIMMERBY</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12587-2021</t>
        </is>
      </c>
      <c r="B435" s="1" t="n">
        <v>44270</v>
      </c>
      <c r="C435" s="1" t="n">
        <v>45731</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12595-2021</t>
        </is>
      </c>
      <c r="B436" s="1" t="n">
        <v>44270</v>
      </c>
      <c r="C436" s="1" t="n">
        <v>45731</v>
      </c>
      <c r="D436" t="inlineStr">
        <is>
          <t>KALMAR LÄN</t>
        </is>
      </c>
      <c r="E436" t="inlineStr">
        <is>
          <t>VIMMERBY</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12662-2021</t>
        </is>
      </c>
      <c r="B437" s="1" t="n">
        <v>44270</v>
      </c>
      <c r="C437" s="1" t="n">
        <v>45731</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12848-2021</t>
        </is>
      </c>
      <c r="B438" s="1" t="n">
        <v>44271</v>
      </c>
      <c r="C438" s="1" t="n">
        <v>45731</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13457-2021</t>
        </is>
      </c>
      <c r="B439" s="1" t="n">
        <v>44273</v>
      </c>
      <c r="C439" s="1" t="n">
        <v>45731</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13492-2021</t>
        </is>
      </c>
      <c r="B440" s="1" t="n">
        <v>44273</v>
      </c>
      <c r="C440" s="1" t="n">
        <v>45731</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14220-2021</t>
        </is>
      </c>
      <c r="B441" s="1" t="n">
        <v>44278</v>
      </c>
      <c r="C441" s="1" t="n">
        <v>45731</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14278-2021</t>
        </is>
      </c>
      <c r="B442" s="1" t="n">
        <v>44278</v>
      </c>
      <c r="C442" s="1" t="n">
        <v>45731</v>
      </c>
      <c r="D442" t="inlineStr">
        <is>
          <t>KALMAR LÄN</t>
        </is>
      </c>
      <c r="E442" t="inlineStr">
        <is>
          <t>VIMMERBY</t>
        </is>
      </c>
      <c r="F442" t="inlineStr">
        <is>
          <t>Övriga statliga verk och myndigheter</t>
        </is>
      </c>
      <c r="G442" t="n">
        <v>0.8</v>
      </c>
      <c r="H442" t="n">
        <v>0</v>
      </c>
      <c r="I442" t="n">
        <v>0</v>
      </c>
      <c r="J442" t="n">
        <v>0</v>
      </c>
      <c r="K442" t="n">
        <v>0</v>
      </c>
      <c r="L442" t="n">
        <v>0</v>
      </c>
      <c r="M442" t="n">
        <v>0</v>
      </c>
      <c r="N442" t="n">
        <v>0</v>
      </c>
      <c r="O442" t="n">
        <v>0</v>
      </c>
      <c r="P442" t="n">
        <v>0</v>
      </c>
      <c r="Q442" t="n">
        <v>0</v>
      </c>
      <c r="R442" s="2" t="inlineStr"/>
    </row>
    <row r="443" ht="15" customHeight="1">
      <c r="A443" t="inlineStr">
        <is>
          <t>A 14347-2021</t>
        </is>
      </c>
      <c r="B443" s="1" t="n">
        <v>44279</v>
      </c>
      <c r="C443" s="1" t="n">
        <v>45731</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14451-2021</t>
        </is>
      </c>
      <c r="B444" s="1" t="n">
        <v>44279</v>
      </c>
      <c r="C444" s="1" t="n">
        <v>45731</v>
      </c>
      <c r="D444" t="inlineStr">
        <is>
          <t>KALMAR LÄN</t>
        </is>
      </c>
      <c r="E444" t="inlineStr">
        <is>
          <t>VIMMERBY</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14521-2021</t>
        </is>
      </c>
      <c r="B445" s="1" t="n">
        <v>44279</v>
      </c>
      <c r="C445" s="1" t="n">
        <v>45731</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15092-2021</t>
        </is>
      </c>
      <c r="B446" s="1" t="n">
        <v>44281</v>
      </c>
      <c r="C446" s="1" t="n">
        <v>45731</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15188-2021</t>
        </is>
      </c>
      <c r="B447" s="1" t="n">
        <v>44284</v>
      </c>
      <c r="C447" s="1" t="n">
        <v>45731</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15191-2021</t>
        </is>
      </c>
      <c r="B448" s="1" t="n">
        <v>44284</v>
      </c>
      <c r="C448" s="1" t="n">
        <v>45731</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15200-2021</t>
        </is>
      </c>
      <c r="B449" s="1" t="n">
        <v>44284</v>
      </c>
      <c r="C449" s="1" t="n">
        <v>45731</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15903-2021</t>
        </is>
      </c>
      <c r="B450" s="1" t="n">
        <v>44287</v>
      </c>
      <c r="C450" s="1" t="n">
        <v>45731</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16288-2021</t>
        </is>
      </c>
      <c r="B451" s="1" t="n">
        <v>44292</v>
      </c>
      <c r="C451" s="1" t="n">
        <v>45731</v>
      </c>
      <c r="D451" t="inlineStr">
        <is>
          <t>KALMAR LÄN</t>
        </is>
      </c>
      <c r="E451" t="inlineStr">
        <is>
          <t>VIMMERBY</t>
        </is>
      </c>
      <c r="F451" t="inlineStr">
        <is>
          <t>Övriga Aktiebolag</t>
        </is>
      </c>
      <c r="G451" t="n">
        <v>27.6</v>
      </c>
      <c r="H451" t="n">
        <v>0</v>
      </c>
      <c r="I451" t="n">
        <v>0</v>
      </c>
      <c r="J451" t="n">
        <v>0</v>
      </c>
      <c r="K451" t="n">
        <v>0</v>
      </c>
      <c r="L451" t="n">
        <v>0</v>
      </c>
      <c r="M451" t="n">
        <v>0</v>
      </c>
      <c r="N451" t="n">
        <v>0</v>
      </c>
      <c r="O451" t="n">
        <v>0</v>
      </c>
      <c r="P451" t="n">
        <v>0</v>
      </c>
      <c r="Q451" t="n">
        <v>0</v>
      </c>
      <c r="R451" s="2" t="inlineStr"/>
    </row>
    <row r="452" ht="15" customHeight="1">
      <c r="A452" t="inlineStr">
        <is>
          <t>A 16602-2021</t>
        </is>
      </c>
      <c r="B452" s="1" t="n">
        <v>44294</v>
      </c>
      <c r="C452" s="1" t="n">
        <v>45731</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16607-2021</t>
        </is>
      </c>
      <c r="B453" s="1" t="n">
        <v>44294</v>
      </c>
      <c r="C453" s="1" t="n">
        <v>45731</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17869-2021</t>
        </is>
      </c>
      <c r="B454" s="1" t="n">
        <v>44301</v>
      </c>
      <c r="C454" s="1" t="n">
        <v>45731</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18411-2021</t>
        </is>
      </c>
      <c r="B455" s="1" t="n">
        <v>44302</v>
      </c>
      <c r="C455" s="1" t="n">
        <v>45731</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18276-2021</t>
        </is>
      </c>
      <c r="B456" s="1" t="n">
        <v>44305</v>
      </c>
      <c r="C456" s="1" t="n">
        <v>45731</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18356-2021</t>
        </is>
      </c>
      <c r="B457" s="1" t="n">
        <v>44305</v>
      </c>
      <c r="C457" s="1" t="n">
        <v>45731</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18756-2021</t>
        </is>
      </c>
      <c r="B458" s="1" t="n">
        <v>44307</v>
      </c>
      <c r="C458" s="1" t="n">
        <v>45731</v>
      </c>
      <c r="D458" t="inlineStr">
        <is>
          <t>KALMAR LÄN</t>
        </is>
      </c>
      <c r="E458" t="inlineStr">
        <is>
          <t>VIMMERBY</t>
        </is>
      </c>
      <c r="G458" t="n">
        <v>7.4</v>
      </c>
      <c r="H458" t="n">
        <v>0</v>
      </c>
      <c r="I458" t="n">
        <v>0</v>
      </c>
      <c r="J458" t="n">
        <v>0</v>
      </c>
      <c r="K458" t="n">
        <v>0</v>
      </c>
      <c r="L458" t="n">
        <v>0</v>
      </c>
      <c r="M458" t="n">
        <v>0</v>
      </c>
      <c r="N458" t="n">
        <v>0</v>
      </c>
      <c r="O458" t="n">
        <v>0</v>
      </c>
      <c r="P458" t="n">
        <v>0</v>
      </c>
      <c r="Q458" t="n">
        <v>0</v>
      </c>
      <c r="R458" s="2" t="inlineStr"/>
    </row>
    <row r="459" ht="15" customHeight="1">
      <c r="A459" t="inlineStr">
        <is>
          <t>A 19445-2021</t>
        </is>
      </c>
      <c r="B459" s="1" t="n">
        <v>44310</v>
      </c>
      <c r="C459" s="1" t="n">
        <v>45731</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19863-2021</t>
        </is>
      </c>
      <c r="B460" s="1" t="n">
        <v>44312</v>
      </c>
      <c r="C460" s="1" t="n">
        <v>45731</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19865-2021</t>
        </is>
      </c>
      <c r="B461" s="1" t="n">
        <v>44312</v>
      </c>
      <c r="C461" s="1" t="n">
        <v>45731</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22637-2021</t>
        </is>
      </c>
      <c r="B462" s="1" t="n">
        <v>44327</v>
      </c>
      <c r="C462" s="1" t="n">
        <v>45731</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24369-2021</t>
        </is>
      </c>
      <c r="B463" s="1" t="n">
        <v>44337</v>
      </c>
      <c r="C463" s="1" t="n">
        <v>45731</v>
      </c>
      <c r="D463" t="inlineStr">
        <is>
          <t>KALMAR LÄN</t>
        </is>
      </c>
      <c r="E463" t="inlineStr">
        <is>
          <t>VIMMERBY</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45731</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24752-2021</t>
        </is>
      </c>
      <c r="B465" s="1" t="n">
        <v>44340</v>
      </c>
      <c r="C465" s="1" t="n">
        <v>45731</v>
      </c>
      <c r="D465" t="inlineStr">
        <is>
          <t>KALMAR LÄN</t>
        </is>
      </c>
      <c r="E465" t="inlineStr">
        <is>
          <t>VIMMERBY</t>
        </is>
      </c>
      <c r="G465" t="n">
        <v>4.1</v>
      </c>
      <c r="H465" t="n">
        <v>0</v>
      </c>
      <c r="I465" t="n">
        <v>0</v>
      </c>
      <c r="J465" t="n">
        <v>0</v>
      </c>
      <c r="K465" t="n">
        <v>0</v>
      </c>
      <c r="L465" t="n">
        <v>0</v>
      </c>
      <c r="M465" t="n">
        <v>0</v>
      </c>
      <c r="N465" t="n">
        <v>0</v>
      </c>
      <c r="O465" t="n">
        <v>0</v>
      </c>
      <c r="P465" t="n">
        <v>0</v>
      </c>
      <c r="Q465" t="n">
        <v>0</v>
      </c>
      <c r="R465" s="2" t="inlineStr"/>
    </row>
    <row r="466" ht="15" customHeight="1">
      <c r="A466" t="inlineStr">
        <is>
          <t>A 24738-2021</t>
        </is>
      </c>
      <c r="B466" s="1" t="n">
        <v>44340</v>
      </c>
      <c r="C466" s="1" t="n">
        <v>45731</v>
      </c>
      <c r="D466" t="inlineStr">
        <is>
          <t>KALMAR LÄN</t>
        </is>
      </c>
      <c r="E466" t="inlineStr">
        <is>
          <t>VIMMERBY</t>
        </is>
      </c>
      <c r="G466" t="n">
        <v>3.5</v>
      </c>
      <c r="H466" t="n">
        <v>0</v>
      </c>
      <c r="I466" t="n">
        <v>0</v>
      </c>
      <c r="J466" t="n">
        <v>0</v>
      </c>
      <c r="K466" t="n">
        <v>0</v>
      </c>
      <c r="L466" t="n">
        <v>0</v>
      </c>
      <c r="M466" t="n">
        <v>0</v>
      </c>
      <c r="N466" t="n">
        <v>0</v>
      </c>
      <c r="O466" t="n">
        <v>0</v>
      </c>
      <c r="P466" t="n">
        <v>0</v>
      </c>
      <c r="Q466" t="n">
        <v>0</v>
      </c>
      <c r="R466" s="2" t="inlineStr"/>
    </row>
    <row r="467" ht="15" customHeight="1">
      <c r="A467" t="inlineStr">
        <is>
          <t>A 24723-2021</t>
        </is>
      </c>
      <c r="B467" s="1" t="n">
        <v>44340</v>
      </c>
      <c r="C467" s="1" t="n">
        <v>45731</v>
      </c>
      <c r="D467" t="inlineStr">
        <is>
          <t>KALMAR LÄN</t>
        </is>
      </c>
      <c r="E467" t="inlineStr">
        <is>
          <t>VIMMERBY</t>
        </is>
      </c>
      <c r="G467" t="n">
        <v>3.3</v>
      </c>
      <c r="H467" t="n">
        <v>0</v>
      </c>
      <c r="I467" t="n">
        <v>0</v>
      </c>
      <c r="J467" t="n">
        <v>0</v>
      </c>
      <c r="K467" t="n">
        <v>0</v>
      </c>
      <c r="L467" t="n">
        <v>0</v>
      </c>
      <c r="M467" t="n">
        <v>0</v>
      </c>
      <c r="N467" t="n">
        <v>0</v>
      </c>
      <c r="O467" t="n">
        <v>0</v>
      </c>
      <c r="P467" t="n">
        <v>0</v>
      </c>
      <c r="Q467" t="n">
        <v>0</v>
      </c>
      <c r="R467" s="2" t="inlineStr"/>
    </row>
    <row r="468" ht="15" customHeight="1">
      <c r="A468" t="inlineStr">
        <is>
          <t>A 24999-2021</t>
        </is>
      </c>
      <c r="B468" s="1" t="n">
        <v>44341</v>
      </c>
      <c r="C468" s="1" t="n">
        <v>45731</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27100-2021</t>
        </is>
      </c>
      <c r="B469" s="1" t="n">
        <v>44350</v>
      </c>
      <c r="C469" s="1" t="n">
        <v>45731</v>
      </c>
      <c r="D469" t="inlineStr">
        <is>
          <t>KALMAR LÄN</t>
        </is>
      </c>
      <c r="E469" t="inlineStr">
        <is>
          <t>VIMMERBY</t>
        </is>
      </c>
      <c r="G469" t="n">
        <v>9.6</v>
      </c>
      <c r="H469" t="n">
        <v>0</v>
      </c>
      <c r="I469" t="n">
        <v>0</v>
      </c>
      <c r="J469" t="n">
        <v>0</v>
      </c>
      <c r="K469" t="n">
        <v>0</v>
      </c>
      <c r="L469" t="n">
        <v>0</v>
      </c>
      <c r="M469" t="n">
        <v>0</v>
      </c>
      <c r="N469" t="n">
        <v>0</v>
      </c>
      <c r="O469" t="n">
        <v>0</v>
      </c>
      <c r="P469" t="n">
        <v>0</v>
      </c>
      <c r="Q469" t="n">
        <v>0</v>
      </c>
      <c r="R469" s="2" t="inlineStr"/>
    </row>
    <row r="470" ht="15" customHeight="1">
      <c r="A470" t="inlineStr">
        <is>
          <t>A 27086-2021</t>
        </is>
      </c>
      <c r="B470" s="1" t="n">
        <v>44350</v>
      </c>
      <c r="C470" s="1" t="n">
        <v>45731</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27759-2021</t>
        </is>
      </c>
      <c r="B471" s="1" t="n">
        <v>44354</v>
      </c>
      <c r="C471" s="1" t="n">
        <v>45731</v>
      </c>
      <c r="D471" t="inlineStr">
        <is>
          <t>KALMAR LÄN</t>
        </is>
      </c>
      <c r="E471" t="inlineStr">
        <is>
          <t>VIMMERBY</t>
        </is>
      </c>
      <c r="G471" t="n">
        <v>4.6</v>
      </c>
      <c r="H471" t="n">
        <v>0</v>
      </c>
      <c r="I471" t="n">
        <v>0</v>
      </c>
      <c r="J471" t="n">
        <v>0</v>
      </c>
      <c r="K471" t="n">
        <v>0</v>
      </c>
      <c r="L471" t="n">
        <v>0</v>
      </c>
      <c r="M471" t="n">
        <v>0</v>
      </c>
      <c r="N471" t="n">
        <v>0</v>
      </c>
      <c r="O471" t="n">
        <v>0</v>
      </c>
      <c r="P471" t="n">
        <v>0</v>
      </c>
      <c r="Q471" t="n">
        <v>0</v>
      </c>
      <c r="R471" s="2" t="inlineStr"/>
    </row>
    <row r="472" ht="15" customHeight="1">
      <c r="A472" t="inlineStr">
        <is>
          <t>A 27762-2021</t>
        </is>
      </c>
      <c r="B472" s="1" t="n">
        <v>44354</v>
      </c>
      <c r="C472" s="1" t="n">
        <v>45731</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30682-2021</t>
        </is>
      </c>
      <c r="B473" s="1" t="n">
        <v>44365</v>
      </c>
      <c r="C473" s="1" t="n">
        <v>45731</v>
      </c>
      <c r="D473" t="inlineStr">
        <is>
          <t>KALMAR LÄN</t>
        </is>
      </c>
      <c r="E473" t="inlineStr">
        <is>
          <t>VIMMERBY</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31660-2021</t>
        </is>
      </c>
      <c r="B474" s="1" t="n">
        <v>44369</v>
      </c>
      <c r="C474" s="1" t="n">
        <v>45731</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32386-2021</t>
        </is>
      </c>
      <c r="B475" s="1" t="n">
        <v>44371</v>
      </c>
      <c r="C475" s="1" t="n">
        <v>45731</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32607-2021</t>
        </is>
      </c>
      <c r="B476" s="1" t="n">
        <v>44375</v>
      </c>
      <c r="C476" s="1" t="n">
        <v>45731</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32603-2021</t>
        </is>
      </c>
      <c r="B477" s="1" t="n">
        <v>44375</v>
      </c>
      <c r="C477" s="1" t="n">
        <v>45731</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33359-2021</t>
        </is>
      </c>
      <c r="B478" s="1" t="n">
        <v>44377</v>
      </c>
      <c r="C478" s="1" t="n">
        <v>45731</v>
      </c>
      <c r="D478" t="inlineStr">
        <is>
          <t>KALMAR LÄN</t>
        </is>
      </c>
      <c r="E478" t="inlineStr">
        <is>
          <t>VIMMERBY</t>
        </is>
      </c>
      <c r="F478" t="inlineStr">
        <is>
          <t>Kommuner</t>
        </is>
      </c>
      <c r="G478" t="n">
        <v>8</v>
      </c>
      <c r="H478" t="n">
        <v>0</v>
      </c>
      <c r="I478" t="n">
        <v>0</v>
      </c>
      <c r="J478" t="n">
        <v>0</v>
      </c>
      <c r="K478" t="n">
        <v>0</v>
      </c>
      <c r="L478" t="n">
        <v>0</v>
      </c>
      <c r="M478" t="n">
        <v>0</v>
      </c>
      <c r="N478" t="n">
        <v>0</v>
      </c>
      <c r="O478" t="n">
        <v>0</v>
      </c>
      <c r="P478" t="n">
        <v>0</v>
      </c>
      <c r="Q478" t="n">
        <v>0</v>
      </c>
      <c r="R478" s="2" t="inlineStr"/>
    </row>
    <row r="479" ht="15" customHeight="1">
      <c r="A479" t="inlineStr">
        <is>
          <t>A 33374-2021</t>
        </is>
      </c>
      <c r="B479" s="1" t="n">
        <v>44377</v>
      </c>
      <c r="C479" s="1" t="n">
        <v>45731</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33446-2021</t>
        </is>
      </c>
      <c r="B480" s="1" t="n">
        <v>44377</v>
      </c>
      <c r="C480" s="1" t="n">
        <v>45731</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35198-2021</t>
        </is>
      </c>
      <c r="B481" s="1" t="n">
        <v>44377</v>
      </c>
      <c r="C481" s="1" t="n">
        <v>45731</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34040-2021</t>
        </is>
      </c>
      <c r="B482" s="1" t="n">
        <v>44379</v>
      </c>
      <c r="C482" s="1" t="n">
        <v>45731</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34036-2021</t>
        </is>
      </c>
      <c r="B483" s="1" t="n">
        <v>44379</v>
      </c>
      <c r="C483" s="1" t="n">
        <v>45731</v>
      </c>
      <c r="D483" t="inlineStr">
        <is>
          <t>KALMAR LÄN</t>
        </is>
      </c>
      <c r="E483" t="inlineStr">
        <is>
          <t>VIMMERBY</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35001-2021</t>
        </is>
      </c>
      <c r="B484" s="1" t="n">
        <v>44383</v>
      </c>
      <c r="C484" s="1" t="n">
        <v>45731</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35316-2021</t>
        </is>
      </c>
      <c r="B485" s="1" t="n">
        <v>44384</v>
      </c>
      <c r="C485" s="1" t="n">
        <v>45731</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35531-2021</t>
        </is>
      </c>
      <c r="B486" s="1" t="n">
        <v>44385</v>
      </c>
      <c r="C486" s="1" t="n">
        <v>45731</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35633-2021</t>
        </is>
      </c>
      <c r="B487" s="1" t="n">
        <v>44386</v>
      </c>
      <c r="C487" s="1" t="n">
        <v>45731</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36117-2021</t>
        </is>
      </c>
      <c r="B488" s="1" t="n">
        <v>44386</v>
      </c>
      <c r="C488" s="1" t="n">
        <v>45731</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36121-2021</t>
        </is>
      </c>
      <c r="B489" s="1" t="n">
        <v>44386</v>
      </c>
      <c r="C489" s="1" t="n">
        <v>45731</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36802-2021</t>
        </is>
      </c>
      <c r="B490" s="1" t="n">
        <v>44392</v>
      </c>
      <c r="C490" s="1" t="n">
        <v>45731</v>
      </c>
      <c r="D490" t="inlineStr">
        <is>
          <t>KALMAR LÄN</t>
        </is>
      </c>
      <c r="E490" t="inlineStr">
        <is>
          <t>VIMMERBY</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38086-2021</t>
        </is>
      </c>
      <c r="B491" s="1" t="n">
        <v>44404</v>
      </c>
      <c r="C491" s="1" t="n">
        <v>45731</v>
      </c>
      <c r="D491" t="inlineStr">
        <is>
          <t>KALMAR LÄN</t>
        </is>
      </c>
      <c r="E491" t="inlineStr">
        <is>
          <t>VIMMERBY</t>
        </is>
      </c>
      <c r="G491" t="n">
        <v>4.4</v>
      </c>
      <c r="H491" t="n">
        <v>0</v>
      </c>
      <c r="I491" t="n">
        <v>0</v>
      </c>
      <c r="J491" t="n">
        <v>0</v>
      </c>
      <c r="K491" t="n">
        <v>0</v>
      </c>
      <c r="L491" t="n">
        <v>0</v>
      </c>
      <c r="M491" t="n">
        <v>0</v>
      </c>
      <c r="N491" t="n">
        <v>0</v>
      </c>
      <c r="O491" t="n">
        <v>0</v>
      </c>
      <c r="P491" t="n">
        <v>0</v>
      </c>
      <c r="Q491" t="n">
        <v>0</v>
      </c>
      <c r="R491" s="2" t="inlineStr"/>
    </row>
    <row r="492" ht="15" customHeight="1">
      <c r="A492" t="inlineStr">
        <is>
          <t>A 38348-2021</t>
        </is>
      </c>
      <c r="B492" s="1" t="n">
        <v>44406</v>
      </c>
      <c r="C492" s="1" t="n">
        <v>45731</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38780-2021</t>
        </is>
      </c>
      <c r="B493" s="1" t="n">
        <v>44410</v>
      </c>
      <c r="C493" s="1" t="n">
        <v>45731</v>
      </c>
      <c r="D493" t="inlineStr">
        <is>
          <t>KALMAR LÄN</t>
        </is>
      </c>
      <c r="E493" t="inlineStr">
        <is>
          <t>VIMMERBY</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38789-2021</t>
        </is>
      </c>
      <c r="B494" s="1" t="n">
        <v>44410</v>
      </c>
      <c r="C494" s="1" t="n">
        <v>45731</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40073-2021</t>
        </is>
      </c>
      <c r="B495" s="1" t="n">
        <v>44418</v>
      </c>
      <c r="C495" s="1" t="n">
        <v>45731</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45731</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40071-2021</t>
        </is>
      </c>
      <c r="B497" s="1" t="n">
        <v>44418</v>
      </c>
      <c r="C497" s="1" t="n">
        <v>45731</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40077-2021</t>
        </is>
      </c>
      <c r="B498" s="1" t="n">
        <v>44418</v>
      </c>
      <c r="C498" s="1" t="n">
        <v>45731</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40971-2021</t>
        </is>
      </c>
      <c r="B499" s="1" t="n">
        <v>44421</v>
      </c>
      <c r="C499" s="1" t="n">
        <v>45731</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42521-2021</t>
        </is>
      </c>
      <c r="B500" s="1" t="n">
        <v>44427</v>
      </c>
      <c r="C500" s="1" t="n">
        <v>45731</v>
      </c>
      <c r="D500" t="inlineStr">
        <is>
          <t>KALMAR LÄN</t>
        </is>
      </c>
      <c r="E500" t="inlineStr">
        <is>
          <t>VIMMERBY</t>
        </is>
      </c>
      <c r="G500" t="n">
        <v>5.4</v>
      </c>
      <c r="H500" t="n">
        <v>0</v>
      </c>
      <c r="I500" t="n">
        <v>0</v>
      </c>
      <c r="J500" t="n">
        <v>0</v>
      </c>
      <c r="K500" t="n">
        <v>0</v>
      </c>
      <c r="L500" t="n">
        <v>0</v>
      </c>
      <c r="M500" t="n">
        <v>0</v>
      </c>
      <c r="N500" t="n">
        <v>0</v>
      </c>
      <c r="O500" t="n">
        <v>0</v>
      </c>
      <c r="P500" t="n">
        <v>0</v>
      </c>
      <c r="Q500" t="n">
        <v>0</v>
      </c>
      <c r="R500" s="2" t="inlineStr"/>
    </row>
    <row r="501" ht="15" customHeight="1">
      <c r="A501" t="inlineStr">
        <is>
          <t>A 42918-2021</t>
        </is>
      </c>
      <c r="B501" s="1" t="n">
        <v>44431</v>
      </c>
      <c r="C501" s="1" t="n">
        <v>45731</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v>
      </c>
      <c r="C502" s="1" t="n">
        <v>45731</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v>
      </c>
      <c r="C503" s="1" t="n">
        <v>45731</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45390-2021</t>
        </is>
      </c>
      <c r="B504" s="1" t="n">
        <v>44440</v>
      </c>
      <c r="C504" s="1" t="n">
        <v>45731</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45560-2021</t>
        </is>
      </c>
      <c r="B505" s="1" t="n">
        <v>44440</v>
      </c>
      <c r="C505" s="1" t="n">
        <v>45731</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47208-2021</t>
        </is>
      </c>
      <c r="B506" s="1" t="n">
        <v>44447</v>
      </c>
      <c r="C506" s="1" t="n">
        <v>45731</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47205-2021</t>
        </is>
      </c>
      <c r="B507" s="1" t="n">
        <v>44447</v>
      </c>
      <c r="C507" s="1" t="n">
        <v>45731</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47473-2021</t>
        </is>
      </c>
      <c r="B508" s="1" t="n">
        <v>44447</v>
      </c>
      <c r="C508" s="1" t="n">
        <v>45731</v>
      </c>
      <c r="D508" t="inlineStr">
        <is>
          <t>KALMAR LÄN</t>
        </is>
      </c>
      <c r="E508" t="inlineStr">
        <is>
          <t>VIMMERBY</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48377-2021</t>
        </is>
      </c>
      <c r="B509" s="1" t="n">
        <v>44451</v>
      </c>
      <c r="C509" s="1" t="n">
        <v>45731</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48373-2021</t>
        </is>
      </c>
      <c r="B510" s="1" t="n">
        <v>44451</v>
      </c>
      <c r="C510" s="1" t="n">
        <v>45731</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48673-2021</t>
        </is>
      </c>
      <c r="B511" s="1" t="n">
        <v>44452</v>
      </c>
      <c r="C511" s="1" t="n">
        <v>45731</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49039-2021</t>
        </is>
      </c>
      <c r="B512" s="1" t="n">
        <v>44453</v>
      </c>
      <c r="C512" s="1" t="n">
        <v>45731</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51972-2021</t>
        </is>
      </c>
      <c r="B513" s="1" t="n">
        <v>44463</v>
      </c>
      <c r="C513" s="1" t="n">
        <v>45731</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52433-2021</t>
        </is>
      </c>
      <c r="B514" s="1" t="n">
        <v>44466</v>
      </c>
      <c r="C514" s="1" t="n">
        <v>45731</v>
      </c>
      <c r="D514" t="inlineStr">
        <is>
          <t>KALMAR LÄN</t>
        </is>
      </c>
      <c r="E514" t="inlineStr">
        <is>
          <t>VIMMERBY</t>
        </is>
      </c>
      <c r="G514" t="n">
        <v>3.5</v>
      </c>
      <c r="H514" t="n">
        <v>0</v>
      </c>
      <c r="I514" t="n">
        <v>0</v>
      </c>
      <c r="J514" t="n">
        <v>0</v>
      </c>
      <c r="K514" t="n">
        <v>0</v>
      </c>
      <c r="L514" t="n">
        <v>0</v>
      </c>
      <c r="M514" t="n">
        <v>0</v>
      </c>
      <c r="N514" t="n">
        <v>0</v>
      </c>
      <c r="O514" t="n">
        <v>0</v>
      </c>
      <c r="P514" t="n">
        <v>0</v>
      </c>
      <c r="Q514" t="n">
        <v>0</v>
      </c>
      <c r="R514" s="2" t="inlineStr"/>
    </row>
    <row r="515" ht="15" customHeight="1">
      <c r="A515" t="inlineStr">
        <is>
          <t>A 52435-2021</t>
        </is>
      </c>
      <c r="B515" s="1" t="n">
        <v>44466</v>
      </c>
      <c r="C515" s="1" t="n">
        <v>45731</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53083-2021</t>
        </is>
      </c>
      <c r="B516" s="1" t="n">
        <v>44467</v>
      </c>
      <c r="C516" s="1" t="n">
        <v>45731</v>
      </c>
      <c r="D516" t="inlineStr">
        <is>
          <t>KALMAR LÄN</t>
        </is>
      </c>
      <c r="E516" t="inlineStr">
        <is>
          <t>VIMMERBY</t>
        </is>
      </c>
      <c r="G516" t="n">
        <v>6.8</v>
      </c>
      <c r="H516" t="n">
        <v>0</v>
      </c>
      <c r="I516" t="n">
        <v>0</v>
      </c>
      <c r="J516" t="n">
        <v>0</v>
      </c>
      <c r="K516" t="n">
        <v>0</v>
      </c>
      <c r="L516" t="n">
        <v>0</v>
      </c>
      <c r="M516" t="n">
        <v>0</v>
      </c>
      <c r="N516" t="n">
        <v>0</v>
      </c>
      <c r="O516" t="n">
        <v>0</v>
      </c>
      <c r="P516" t="n">
        <v>0</v>
      </c>
      <c r="Q516" t="n">
        <v>0</v>
      </c>
      <c r="R516" s="2" t="inlineStr"/>
    </row>
    <row r="517" ht="15" customHeight="1">
      <c r="A517" t="inlineStr">
        <is>
          <t>A 53080-2021</t>
        </is>
      </c>
      <c r="B517" s="1" t="n">
        <v>44467</v>
      </c>
      <c r="C517" s="1" t="n">
        <v>45731</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54065-2021</t>
        </is>
      </c>
      <c r="B518" s="1" t="n">
        <v>44470</v>
      </c>
      <c r="C518" s="1" t="n">
        <v>45731</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55300-2021</t>
        </is>
      </c>
      <c r="B519" s="1" t="n">
        <v>44475</v>
      </c>
      <c r="C519" s="1" t="n">
        <v>45731</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55297-2021</t>
        </is>
      </c>
      <c r="B520" s="1" t="n">
        <v>44475</v>
      </c>
      <c r="C520" s="1" t="n">
        <v>45731</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55674-2021</t>
        </is>
      </c>
      <c r="B521" s="1" t="n">
        <v>44476</v>
      </c>
      <c r="C521" s="1" t="n">
        <v>45731</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56029-2021</t>
        </is>
      </c>
      <c r="B522" s="1" t="n">
        <v>44477</v>
      </c>
      <c r="C522" s="1" t="n">
        <v>45731</v>
      </c>
      <c r="D522" t="inlineStr">
        <is>
          <t>KALMAR LÄN</t>
        </is>
      </c>
      <c r="E522" t="inlineStr">
        <is>
          <t>VIMMERBY</t>
        </is>
      </c>
      <c r="G522" t="n">
        <v>3.9</v>
      </c>
      <c r="H522" t="n">
        <v>0</v>
      </c>
      <c r="I522" t="n">
        <v>0</v>
      </c>
      <c r="J522" t="n">
        <v>0</v>
      </c>
      <c r="K522" t="n">
        <v>0</v>
      </c>
      <c r="L522" t="n">
        <v>0</v>
      </c>
      <c r="M522" t="n">
        <v>0</v>
      </c>
      <c r="N522" t="n">
        <v>0</v>
      </c>
      <c r="O522" t="n">
        <v>0</v>
      </c>
      <c r="P522" t="n">
        <v>0</v>
      </c>
      <c r="Q522" t="n">
        <v>0</v>
      </c>
      <c r="R522" s="2" t="inlineStr"/>
    </row>
    <row r="523" ht="15" customHeight="1">
      <c r="A523" t="inlineStr">
        <is>
          <t>A 56343-2021</t>
        </is>
      </c>
      <c r="B523" s="1" t="n">
        <v>44480</v>
      </c>
      <c r="C523" s="1" t="n">
        <v>45731</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56385-2021</t>
        </is>
      </c>
      <c r="B524" s="1" t="n">
        <v>44480</v>
      </c>
      <c r="C524" s="1" t="n">
        <v>45731</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56347-2021</t>
        </is>
      </c>
      <c r="B525" s="1" t="n">
        <v>44480</v>
      </c>
      <c r="C525" s="1" t="n">
        <v>45731</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56378-2021</t>
        </is>
      </c>
      <c r="B526" s="1" t="n">
        <v>44480</v>
      </c>
      <c r="C526" s="1" t="n">
        <v>45731</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56398-2021</t>
        </is>
      </c>
      <c r="B527" s="1" t="n">
        <v>44480</v>
      </c>
      <c r="C527" s="1" t="n">
        <v>45731</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56389-2021</t>
        </is>
      </c>
      <c r="B528" s="1" t="n">
        <v>44480</v>
      </c>
      <c r="C528" s="1" t="n">
        <v>45731</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56754-2021</t>
        </is>
      </c>
      <c r="B529" s="1" t="n">
        <v>44481</v>
      </c>
      <c r="C529" s="1" t="n">
        <v>45731</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57416-2021</t>
        </is>
      </c>
      <c r="B530" s="1" t="n">
        <v>44483</v>
      </c>
      <c r="C530" s="1" t="n">
        <v>45731</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57605-2021</t>
        </is>
      </c>
      <c r="B531" s="1" t="n">
        <v>44483</v>
      </c>
      <c r="C531" s="1" t="n">
        <v>45731</v>
      </c>
      <c r="D531" t="inlineStr">
        <is>
          <t>KALMAR LÄN</t>
        </is>
      </c>
      <c r="E531" t="inlineStr">
        <is>
          <t>VIMMERBY</t>
        </is>
      </c>
      <c r="G531" t="n">
        <v>13.1</v>
      </c>
      <c r="H531" t="n">
        <v>0</v>
      </c>
      <c r="I531" t="n">
        <v>0</v>
      </c>
      <c r="J531" t="n">
        <v>0</v>
      </c>
      <c r="K531" t="n">
        <v>0</v>
      </c>
      <c r="L531" t="n">
        <v>0</v>
      </c>
      <c r="M531" t="n">
        <v>0</v>
      </c>
      <c r="N531" t="n">
        <v>0</v>
      </c>
      <c r="O531" t="n">
        <v>0</v>
      </c>
      <c r="P531" t="n">
        <v>0</v>
      </c>
      <c r="Q531" t="n">
        <v>0</v>
      </c>
      <c r="R531" s="2" t="inlineStr"/>
    </row>
    <row r="532" ht="15" customHeight="1">
      <c r="A532" t="inlineStr">
        <is>
          <t>A 58318-2021</t>
        </is>
      </c>
      <c r="B532" s="1" t="n">
        <v>44488</v>
      </c>
      <c r="C532" s="1" t="n">
        <v>45731</v>
      </c>
      <c r="D532" t="inlineStr">
        <is>
          <t>KALMAR LÄN</t>
        </is>
      </c>
      <c r="E532" t="inlineStr">
        <is>
          <t>VIMMERBY</t>
        </is>
      </c>
      <c r="G532" t="n">
        <v>4</v>
      </c>
      <c r="H532" t="n">
        <v>0</v>
      </c>
      <c r="I532" t="n">
        <v>0</v>
      </c>
      <c r="J532" t="n">
        <v>0</v>
      </c>
      <c r="K532" t="n">
        <v>0</v>
      </c>
      <c r="L532" t="n">
        <v>0</v>
      </c>
      <c r="M532" t="n">
        <v>0</v>
      </c>
      <c r="N532" t="n">
        <v>0</v>
      </c>
      <c r="O532" t="n">
        <v>0</v>
      </c>
      <c r="P532" t="n">
        <v>0</v>
      </c>
      <c r="Q532" t="n">
        <v>0</v>
      </c>
      <c r="R532" s="2" t="inlineStr"/>
    </row>
    <row r="533" ht="15" customHeight="1">
      <c r="A533" t="inlineStr">
        <is>
          <t>A 59070-2021</t>
        </is>
      </c>
      <c r="B533" s="1" t="n">
        <v>44490</v>
      </c>
      <c r="C533" s="1" t="n">
        <v>45731</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59781-2021</t>
        </is>
      </c>
      <c r="B534" s="1" t="n">
        <v>44494</v>
      </c>
      <c r="C534" s="1" t="n">
        <v>45731</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59791-2021</t>
        </is>
      </c>
      <c r="B535" s="1" t="n">
        <v>44494</v>
      </c>
      <c r="C535" s="1" t="n">
        <v>45731</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60228-2021</t>
        </is>
      </c>
      <c r="B536" s="1" t="n">
        <v>44495</v>
      </c>
      <c r="C536" s="1" t="n">
        <v>45731</v>
      </c>
      <c r="D536" t="inlineStr">
        <is>
          <t>KALMAR LÄN</t>
        </is>
      </c>
      <c r="E536" t="inlineStr">
        <is>
          <t>VIMMERBY</t>
        </is>
      </c>
      <c r="G536" t="n">
        <v>4.1</v>
      </c>
      <c r="H536" t="n">
        <v>0</v>
      </c>
      <c r="I536" t="n">
        <v>0</v>
      </c>
      <c r="J536" t="n">
        <v>0</v>
      </c>
      <c r="K536" t="n">
        <v>0</v>
      </c>
      <c r="L536" t="n">
        <v>0</v>
      </c>
      <c r="M536" t="n">
        <v>0</v>
      </c>
      <c r="N536" t="n">
        <v>0</v>
      </c>
      <c r="O536" t="n">
        <v>0</v>
      </c>
      <c r="P536" t="n">
        <v>0</v>
      </c>
      <c r="Q536" t="n">
        <v>0</v>
      </c>
      <c r="R536" s="2" t="inlineStr"/>
    </row>
    <row r="537" ht="15" customHeight="1">
      <c r="A537" t="inlineStr">
        <is>
          <t>A 60225-2021</t>
        </is>
      </c>
      <c r="B537" s="1" t="n">
        <v>44495</v>
      </c>
      <c r="C537" s="1" t="n">
        <v>45731</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60994-2021</t>
        </is>
      </c>
      <c r="B538" s="1" t="n">
        <v>44497</v>
      </c>
      <c r="C538" s="1" t="n">
        <v>45731</v>
      </c>
      <c r="D538" t="inlineStr">
        <is>
          <t>KALMAR LÄN</t>
        </is>
      </c>
      <c r="E538" t="inlineStr">
        <is>
          <t>VIMMERBY</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61939-2021</t>
        </is>
      </c>
      <c r="B539" s="1" t="n">
        <v>44502</v>
      </c>
      <c r="C539" s="1" t="n">
        <v>45731</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63244-2021</t>
        </is>
      </c>
      <c r="B540" s="1" t="n">
        <v>44508</v>
      </c>
      <c r="C540" s="1" t="n">
        <v>45731</v>
      </c>
      <c r="D540" t="inlineStr">
        <is>
          <t>KALMAR LÄN</t>
        </is>
      </c>
      <c r="E540" t="inlineStr">
        <is>
          <t>VIMMERBY</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63926-2021</t>
        </is>
      </c>
      <c r="B541" s="1" t="n">
        <v>44509</v>
      </c>
      <c r="C541" s="1" t="n">
        <v>45731</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64143-2021</t>
        </is>
      </c>
      <c r="B542" s="1" t="n">
        <v>44510</v>
      </c>
      <c r="C542" s="1" t="n">
        <v>45731</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64203-2021</t>
        </is>
      </c>
      <c r="B543" s="1" t="n">
        <v>44510</v>
      </c>
      <c r="C543" s="1" t="n">
        <v>45731</v>
      </c>
      <c r="D543" t="inlineStr">
        <is>
          <t>KALMAR LÄN</t>
        </is>
      </c>
      <c r="E543" t="inlineStr">
        <is>
          <t>VIMMERBY</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64923-2021</t>
        </is>
      </c>
      <c r="B544" s="1" t="n">
        <v>44512</v>
      </c>
      <c r="C544" s="1" t="n">
        <v>45731</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65670-2021</t>
        </is>
      </c>
      <c r="B545" s="1" t="n">
        <v>44516</v>
      </c>
      <c r="C545" s="1" t="n">
        <v>45731</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65864-2021</t>
        </is>
      </c>
      <c r="B546" s="1" t="n">
        <v>44517</v>
      </c>
      <c r="C546" s="1" t="n">
        <v>45731</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65887-2021</t>
        </is>
      </c>
      <c r="B547" s="1" t="n">
        <v>44517</v>
      </c>
      <c r="C547" s="1" t="n">
        <v>45731</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66022-2021</t>
        </is>
      </c>
      <c r="B548" s="1" t="n">
        <v>44517</v>
      </c>
      <c r="C548" s="1" t="n">
        <v>45731</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67952-2021</t>
        </is>
      </c>
      <c r="B549" s="1" t="n">
        <v>44525</v>
      </c>
      <c r="C549" s="1" t="n">
        <v>45731</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67983-2021</t>
        </is>
      </c>
      <c r="B550" s="1" t="n">
        <v>44525</v>
      </c>
      <c r="C550" s="1" t="n">
        <v>45731</v>
      </c>
      <c r="D550" t="inlineStr">
        <is>
          <t>KALMAR LÄN</t>
        </is>
      </c>
      <c r="E550" t="inlineStr">
        <is>
          <t>VIMMERBY</t>
        </is>
      </c>
      <c r="G550" t="n">
        <v>6.1</v>
      </c>
      <c r="H550" t="n">
        <v>0</v>
      </c>
      <c r="I550" t="n">
        <v>0</v>
      </c>
      <c r="J550" t="n">
        <v>0</v>
      </c>
      <c r="K550" t="n">
        <v>0</v>
      </c>
      <c r="L550" t="n">
        <v>0</v>
      </c>
      <c r="M550" t="n">
        <v>0</v>
      </c>
      <c r="N550" t="n">
        <v>0</v>
      </c>
      <c r="O550" t="n">
        <v>0</v>
      </c>
      <c r="P550" t="n">
        <v>0</v>
      </c>
      <c r="Q550" t="n">
        <v>0</v>
      </c>
      <c r="R550" s="2" t="inlineStr"/>
    </row>
    <row r="551" ht="15" customHeight="1">
      <c r="A551" t="inlineStr">
        <is>
          <t>A 68426-2021</t>
        </is>
      </c>
      <c r="B551" s="1" t="n">
        <v>44529</v>
      </c>
      <c r="C551" s="1" t="n">
        <v>45731</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68840-2021</t>
        </is>
      </c>
      <c r="B552" s="1" t="n">
        <v>44530</v>
      </c>
      <c r="C552" s="1" t="n">
        <v>45731</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71775-2021</t>
        </is>
      </c>
      <c r="B553" s="1" t="n">
        <v>44539</v>
      </c>
      <c r="C553" s="1" t="n">
        <v>45731</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71793-2021</t>
        </is>
      </c>
      <c r="B554" s="1" t="n">
        <v>44539</v>
      </c>
      <c r="C554" s="1" t="n">
        <v>45731</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72067-2021</t>
        </is>
      </c>
      <c r="B555" s="1" t="n">
        <v>44540</v>
      </c>
      <c r="C555" s="1" t="n">
        <v>45731</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71631-2021</t>
        </is>
      </c>
      <c r="B556" s="1" t="n">
        <v>44542</v>
      </c>
      <c r="C556" s="1" t="n">
        <v>45731</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71626-2021</t>
        </is>
      </c>
      <c r="B557" s="1" t="n">
        <v>44542</v>
      </c>
      <c r="C557" s="1" t="n">
        <v>45731</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72701-2021</t>
        </is>
      </c>
      <c r="B558" s="1" t="n">
        <v>44546</v>
      </c>
      <c r="C558" s="1" t="n">
        <v>45731</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73938-2021</t>
        </is>
      </c>
      <c r="B559" s="1" t="n">
        <v>44553</v>
      </c>
      <c r="C559" s="1" t="n">
        <v>45731</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172-2022</t>
        </is>
      </c>
      <c r="B560" s="1" t="n">
        <v>44564</v>
      </c>
      <c r="C560" s="1" t="n">
        <v>45731</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165-2022</t>
        </is>
      </c>
      <c r="B561" s="1" t="n">
        <v>44564</v>
      </c>
      <c r="C561" s="1" t="n">
        <v>45731</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529-2022</t>
        </is>
      </c>
      <c r="B562" s="1" t="n">
        <v>44566</v>
      </c>
      <c r="C562" s="1" t="n">
        <v>45731</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1627-2022</t>
        </is>
      </c>
      <c r="B563" s="1" t="n">
        <v>44573</v>
      </c>
      <c r="C563" s="1" t="n">
        <v>45731</v>
      </c>
      <c r="D563" t="inlineStr">
        <is>
          <t>KALMAR LÄN</t>
        </is>
      </c>
      <c r="E563" t="inlineStr">
        <is>
          <t>VIMMERBY</t>
        </is>
      </c>
      <c r="G563" t="n">
        <v>2.3</v>
      </c>
      <c r="H563" t="n">
        <v>0</v>
      </c>
      <c r="I563" t="n">
        <v>0</v>
      </c>
      <c r="J563" t="n">
        <v>0</v>
      </c>
      <c r="K563" t="n">
        <v>0</v>
      </c>
      <c r="L563" t="n">
        <v>0</v>
      </c>
      <c r="M563" t="n">
        <v>0</v>
      </c>
      <c r="N563" t="n">
        <v>0</v>
      </c>
      <c r="O563" t="n">
        <v>0</v>
      </c>
      <c r="P563" t="n">
        <v>0</v>
      </c>
      <c r="Q563" t="n">
        <v>0</v>
      </c>
      <c r="R563" s="2" t="inlineStr"/>
    </row>
    <row r="564" ht="15" customHeight="1">
      <c r="A564" t="inlineStr">
        <is>
          <t>A 1838-2022</t>
        </is>
      </c>
      <c r="B564" s="1" t="n">
        <v>44574</v>
      </c>
      <c r="C564" s="1" t="n">
        <v>45731</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2069-2022</t>
        </is>
      </c>
      <c r="B565" s="1" t="n">
        <v>44575</v>
      </c>
      <c r="C565" s="1" t="n">
        <v>45731</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v>
      </c>
      <c r="C566" s="1" t="n">
        <v>45731</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2196-2022</t>
        </is>
      </c>
      <c r="B567" s="1" t="n">
        <v>44578</v>
      </c>
      <c r="C567" s="1" t="n">
        <v>45731</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2183-2022</t>
        </is>
      </c>
      <c r="B568" s="1" t="n">
        <v>44578</v>
      </c>
      <c r="C568" s="1" t="n">
        <v>45731</v>
      </c>
      <c r="D568" t="inlineStr">
        <is>
          <t>KALMAR LÄN</t>
        </is>
      </c>
      <c r="E568" t="inlineStr">
        <is>
          <t>VIMMERBY</t>
        </is>
      </c>
      <c r="G568" t="n">
        <v>4.8</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v>
      </c>
      <c r="C569" s="1" t="n">
        <v>45731</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2411-2022</t>
        </is>
      </c>
      <c r="B570" s="1" t="n">
        <v>44579</v>
      </c>
      <c r="C570" s="1" t="n">
        <v>45731</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2462-2022</t>
        </is>
      </c>
      <c r="B571" s="1" t="n">
        <v>44579</v>
      </c>
      <c r="C571" s="1" t="n">
        <v>45731</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45731</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v>
      </c>
      <c r="C573" s="1" t="n">
        <v>45731</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3426-2022</t>
        </is>
      </c>
      <c r="B574" s="1" t="n">
        <v>44585</v>
      </c>
      <c r="C574" s="1" t="n">
        <v>45731</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3816-2022</t>
        </is>
      </c>
      <c r="B575" s="1" t="n">
        <v>44587</v>
      </c>
      <c r="C575" s="1" t="n">
        <v>45731</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v>
      </c>
      <c r="C576" s="1" t="n">
        <v>45731</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4046-2022</t>
        </is>
      </c>
      <c r="B577" s="1" t="n">
        <v>44588</v>
      </c>
      <c r="C577" s="1" t="n">
        <v>45731</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4054-2022</t>
        </is>
      </c>
      <c r="B578" s="1" t="n">
        <v>44588</v>
      </c>
      <c r="C578" s="1" t="n">
        <v>45731</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4118-2022</t>
        </is>
      </c>
      <c r="B579" s="1" t="n">
        <v>44588</v>
      </c>
      <c r="C579" s="1" t="n">
        <v>45731</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4126-2022</t>
        </is>
      </c>
      <c r="B580" s="1" t="n">
        <v>44588</v>
      </c>
      <c r="C580" s="1" t="n">
        <v>45731</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4042-2022</t>
        </is>
      </c>
      <c r="B581" s="1" t="n">
        <v>44588</v>
      </c>
      <c r="C581" s="1" t="n">
        <v>45731</v>
      </c>
      <c r="D581" t="inlineStr">
        <is>
          <t>KALMAR LÄN</t>
        </is>
      </c>
      <c r="E581" t="inlineStr">
        <is>
          <t>VIMMERBY</t>
        </is>
      </c>
      <c r="G581" t="n">
        <v>4.7</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v>
      </c>
      <c r="C582" s="1" t="n">
        <v>45731</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45731</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4297-2022</t>
        </is>
      </c>
      <c r="B584" s="1" t="n">
        <v>44588</v>
      </c>
      <c r="C584" s="1" t="n">
        <v>45731</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4296-2022</t>
        </is>
      </c>
      <c r="B585" s="1" t="n">
        <v>44588</v>
      </c>
      <c r="C585" s="1" t="n">
        <v>45731</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4532-2022</t>
        </is>
      </c>
      <c r="B586" s="1" t="n">
        <v>44590</v>
      </c>
      <c r="C586" s="1" t="n">
        <v>45731</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5527-2022</t>
        </is>
      </c>
      <c r="B587" s="1" t="n">
        <v>44595</v>
      </c>
      <c r="C587" s="1" t="n">
        <v>45731</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5545-2022</t>
        </is>
      </c>
      <c r="B588" s="1" t="n">
        <v>44595</v>
      </c>
      <c r="C588" s="1" t="n">
        <v>45731</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5618-2022</t>
        </is>
      </c>
      <c r="B589" s="1" t="n">
        <v>44595</v>
      </c>
      <c r="C589" s="1" t="n">
        <v>45731</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5864-2022</t>
        </is>
      </c>
      <c r="B590" s="1" t="n">
        <v>44596</v>
      </c>
      <c r="C590" s="1" t="n">
        <v>45731</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5925-2022</t>
        </is>
      </c>
      <c r="B591" s="1" t="n">
        <v>44598</v>
      </c>
      <c r="C591" s="1" t="n">
        <v>45731</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45731</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6083-2022</t>
        </is>
      </c>
      <c r="B593" s="1" t="n">
        <v>44599</v>
      </c>
      <c r="C593" s="1" t="n">
        <v>45731</v>
      </c>
      <c r="D593" t="inlineStr">
        <is>
          <t>KALMAR LÄN</t>
        </is>
      </c>
      <c r="E593" t="inlineStr">
        <is>
          <t>VIMMERBY</t>
        </is>
      </c>
      <c r="G593" t="n">
        <v>6.6</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45731</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6358-2022</t>
        </is>
      </c>
      <c r="B595" s="1" t="n">
        <v>44600</v>
      </c>
      <c r="C595" s="1" t="n">
        <v>45731</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45731</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7047-2022</t>
        </is>
      </c>
      <c r="B597" s="1" t="n">
        <v>44603</v>
      </c>
      <c r="C597" s="1" t="n">
        <v>45731</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7049-2022</t>
        </is>
      </c>
      <c r="B598" s="1" t="n">
        <v>44603</v>
      </c>
      <c r="C598" s="1" t="n">
        <v>45731</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7167-2022</t>
        </is>
      </c>
      <c r="B599" s="1" t="n">
        <v>44604</v>
      </c>
      <c r="C599" s="1" t="n">
        <v>45731</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45731</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7804-2022</t>
        </is>
      </c>
      <c r="B601" s="1" t="n">
        <v>44608</v>
      </c>
      <c r="C601" s="1" t="n">
        <v>45731</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7917-2022</t>
        </is>
      </c>
      <c r="B602" s="1" t="n">
        <v>44608</v>
      </c>
      <c r="C602" s="1" t="n">
        <v>45731</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8194-2022</t>
        </is>
      </c>
      <c r="B603" s="1" t="n">
        <v>44609</v>
      </c>
      <c r="C603" s="1" t="n">
        <v>45731</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8454-2022</t>
        </is>
      </c>
      <c r="B604" s="1" t="n">
        <v>44612</v>
      </c>
      <c r="C604" s="1" t="n">
        <v>45731</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8453-2022</t>
        </is>
      </c>
      <c r="B605" s="1" t="n">
        <v>44612</v>
      </c>
      <c r="C605" s="1" t="n">
        <v>45731</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8462-2022</t>
        </is>
      </c>
      <c r="B606" s="1" t="n">
        <v>44612</v>
      </c>
      <c r="C606" s="1" t="n">
        <v>45731</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8650-2022</t>
        </is>
      </c>
      <c r="B607" s="1" t="n">
        <v>44613</v>
      </c>
      <c r="C607" s="1" t="n">
        <v>45731</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8908-2022</t>
        </is>
      </c>
      <c r="B608" s="1" t="n">
        <v>44614</v>
      </c>
      <c r="C608" s="1" t="n">
        <v>45731</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9311-2022</t>
        </is>
      </c>
      <c r="B609" s="1" t="n">
        <v>44616</v>
      </c>
      <c r="C609" s="1" t="n">
        <v>45731</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9918-2022</t>
        </is>
      </c>
      <c r="B610" s="1" t="n">
        <v>44620</v>
      </c>
      <c r="C610" s="1" t="n">
        <v>45731</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10086-2022</t>
        </is>
      </c>
      <c r="B611" s="1" t="n">
        <v>44621</v>
      </c>
      <c r="C611" s="1" t="n">
        <v>45731</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10487-2022</t>
        </is>
      </c>
      <c r="B612" s="1" t="n">
        <v>44623</v>
      </c>
      <c r="C612" s="1" t="n">
        <v>45731</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11429-2022</t>
        </is>
      </c>
      <c r="B613" s="1" t="n">
        <v>44630</v>
      </c>
      <c r="C613" s="1" t="n">
        <v>45731</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11733-2022</t>
        </is>
      </c>
      <c r="B614" s="1" t="n">
        <v>44634</v>
      </c>
      <c r="C614" s="1" t="n">
        <v>45731</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11814-2022</t>
        </is>
      </c>
      <c r="B615" s="1" t="n">
        <v>44634</v>
      </c>
      <c r="C615" s="1" t="n">
        <v>45731</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11928-2022</t>
        </is>
      </c>
      <c r="B616" s="1" t="n">
        <v>44635</v>
      </c>
      <c r="C616" s="1" t="n">
        <v>45731</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11930-2022</t>
        </is>
      </c>
      <c r="B617" s="1" t="n">
        <v>44635</v>
      </c>
      <c r="C617" s="1" t="n">
        <v>45731</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12107-2022</t>
        </is>
      </c>
      <c r="B618" s="1" t="n">
        <v>44636</v>
      </c>
      <c r="C618" s="1" t="n">
        <v>45731</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12510-2022</t>
        </is>
      </c>
      <c r="B619" s="1" t="n">
        <v>44638</v>
      </c>
      <c r="C619" s="1" t="n">
        <v>45731</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13015-2022</t>
        </is>
      </c>
      <c r="B620" s="1" t="n">
        <v>44643</v>
      </c>
      <c r="C620" s="1" t="n">
        <v>45731</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13180-2022</t>
        </is>
      </c>
      <c r="B621" s="1" t="n">
        <v>44644</v>
      </c>
      <c r="C621" s="1" t="n">
        <v>45731</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14347-2022</t>
        </is>
      </c>
      <c r="B622" s="1" t="n">
        <v>44652</v>
      </c>
      <c r="C622" s="1" t="n">
        <v>45731</v>
      </c>
      <c r="D622" t="inlineStr">
        <is>
          <t>KALMAR LÄN</t>
        </is>
      </c>
      <c r="E622" t="inlineStr">
        <is>
          <t>VIMMERBY</t>
        </is>
      </c>
      <c r="F622" t="inlineStr">
        <is>
          <t>Sveaskog</t>
        </is>
      </c>
      <c r="G622" t="n">
        <v>7.2</v>
      </c>
      <c r="H622" t="n">
        <v>0</v>
      </c>
      <c r="I622" t="n">
        <v>0</v>
      </c>
      <c r="J622" t="n">
        <v>0</v>
      </c>
      <c r="K622" t="n">
        <v>0</v>
      </c>
      <c r="L622" t="n">
        <v>0</v>
      </c>
      <c r="M622" t="n">
        <v>0</v>
      </c>
      <c r="N622" t="n">
        <v>0</v>
      </c>
      <c r="O622" t="n">
        <v>0</v>
      </c>
      <c r="P622" t="n">
        <v>0</v>
      </c>
      <c r="Q622" t="n">
        <v>0</v>
      </c>
      <c r="R622" s="2" t="inlineStr"/>
    </row>
    <row r="623" ht="15" customHeight="1">
      <c r="A623" t="inlineStr">
        <is>
          <t>A 15146-2022</t>
        </is>
      </c>
      <c r="B623" s="1" t="n">
        <v>44658</v>
      </c>
      <c r="C623" s="1" t="n">
        <v>45731</v>
      </c>
      <c r="D623" t="inlineStr">
        <is>
          <t>KALMAR LÄN</t>
        </is>
      </c>
      <c r="E623" t="inlineStr">
        <is>
          <t>VIMMERBY</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15438-2022</t>
        </is>
      </c>
      <c r="B624" s="1" t="n">
        <v>44659</v>
      </c>
      <c r="C624" s="1" t="n">
        <v>45731</v>
      </c>
      <c r="D624" t="inlineStr">
        <is>
          <t>KALMAR LÄN</t>
        </is>
      </c>
      <c r="E624" t="inlineStr">
        <is>
          <t>VIMMERBY</t>
        </is>
      </c>
      <c r="F624" t="inlineStr">
        <is>
          <t>Kommuner</t>
        </is>
      </c>
      <c r="G624" t="n">
        <v>2.8</v>
      </c>
      <c r="H624" t="n">
        <v>0</v>
      </c>
      <c r="I624" t="n">
        <v>0</v>
      </c>
      <c r="J624" t="n">
        <v>0</v>
      </c>
      <c r="K624" t="n">
        <v>0</v>
      </c>
      <c r="L624" t="n">
        <v>0</v>
      </c>
      <c r="M624" t="n">
        <v>0</v>
      </c>
      <c r="N624" t="n">
        <v>0</v>
      </c>
      <c r="O624" t="n">
        <v>0</v>
      </c>
      <c r="P624" t="n">
        <v>0</v>
      </c>
      <c r="Q624" t="n">
        <v>0</v>
      </c>
      <c r="R624" s="2" t="inlineStr"/>
    </row>
    <row r="625" ht="15" customHeight="1">
      <c r="A625" t="inlineStr">
        <is>
          <t>A 15533-2022</t>
        </is>
      </c>
      <c r="B625" s="1" t="n">
        <v>44662</v>
      </c>
      <c r="C625" s="1" t="n">
        <v>45731</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15535-2022</t>
        </is>
      </c>
      <c r="B626" s="1" t="n">
        <v>44662</v>
      </c>
      <c r="C626" s="1" t="n">
        <v>45731</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16156-2022</t>
        </is>
      </c>
      <c r="B627" s="1" t="n">
        <v>44666</v>
      </c>
      <c r="C627" s="1" t="n">
        <v>45731</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16288-2022</t>
        </is>
      </c>
      <c r="B628" s="1" t="n">
        <v>44670</v>
      </c>
      <c r="C628" s="1" t="n">
        <v>45731</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16283-2022</t>
        </is>
      </c>
      <c r="B629" s="1" t="n">
        <v>44670</v>
      </c>
      <c r="C629" s="1" t="n">
        <v>45731</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16290-2022</t>
        </is>
      </c>
      <c r="B630" s="1" t="n">
        <v>44670</v>
      </c>
      <c r="C630" s="1" t="n">
        <v>45731</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17029-2022</t>
        </is>
      </c>
      <c r="B631" s="1" t="n">
        <v>44676</v>
      </c>
      <c r="C631" s="1" t="n">
        <v>45731</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17253-2022</t>
        </is>
      </c>
      <c r="B632" s="1" t="n">
        <v>44678</v>
      </c>
      <c r="C632" s="1" t="n">
        <v>45731</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19535-2022</t>
        </is>
      </c>
      <c r="B633" s="1" t="n">
        <v>44693</v>
      </c>
      <c r="C633" s="1" t="n">
        <v>45731</v>
      </c>
      <c r="D633" t="inlineStr">
        <is>
          <t>KALMAR LÄN</t>
        </is>
      </c>
      <c r="E633" t="inlineStr">
        <is>
          <t>VIMMERBY</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19537-2022</t>
        </is>
      </c>
      <c r="B634" s="1" t="n">
        <v>44693</v>
      </c>
      <c r="C634" s="1" t="n">
        <v>45731</v>
      </c>
      <c r="D634" t="inlineStr">
        <is>
          <t>KALMAR LÄN</t>
        </is>
      </c>
      <c r="E634" t="inlineStr">
        <is>
          <t>VIMMERBY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23341-2022</t>
        </is>
      </c>
      <c r="B635" s="1" t="n">
        <v>44720</v>
      </c>
      <c r="C635" s="1" t="n">
        <v>45731</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23825-2022</t>
        </is>
      </c>
      <c r="B636" s="1" t="n">
        <v>44722</v>
      </c>
      <c r="C636" s="1" t="n">
        <v>45731</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25049-2022</t>
        </is>
      </c>
      <c r="B637" s="1" t="n">
        <v>44729</v>
      </c>
      <c r="C637" s="1" t="n">
        <v>45731</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25370-2022</t>
        </is>
      </c>
      <c r="B638" s="1" t="n">
        <v>44732</v>
      </c>
      <c r="C638" s="1" t="n">
        <v>45731</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25738-2022</t>
        </is>
      </c>
      <c r="B639" s="1" t="n">
        <v>44733</v>
      </c>
      <c r="C639" s="1" t="n">
        <v>45731</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25859-2022</t>
        </is>
      </c>
      <c r="B640" s="1" t="n">
        <v>44733</v>
      </c>
      <c r="C640" s="1" t="n">
        <v>45731</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25868-2022</t>
        </is>
      </c>
      <c r="B641" s="1" t="n">
        <v>44733</v>
      </c>
      <c r="C641" s="1" t="n">
        <v>45731</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27455-2022</t>
        </is>
      </c>
      <c r="B642" s="1" t="n">
        <v>44742</v>
      </c>
      <c r="C642" s="1" t="n">
        <v>45731</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27993-2022</t>
        </is>
      </c>
      <c r="B643" s="1" t="n">
        <v>44745</v>
      </c>
      <c r="C643" s="1" t="n">
        <v>45731</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28034-2022</t>
        </is>
      </c>
      <c r="B644" s="1" t="n">
        <v>44746</v>
      </c>
      <c r="C644" s="1" t="n">
        <v>45731</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28406-2022</t>
        </is>
      </c>
      <c r="B645" s="1" t="n">
        <v>44747</v>
      </c>
      <c r="C645" s="1" t="n">
        <v>45731</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28646-2022</t>
        </is>
      </c>
      <c r="B646" s="1" t="n">
        <v>44748</v>
      </c>
      <c r="C646" s="1" t="n">
        <v>45731</v>
      </c>
      <c r="D646" t="inlineStr">
        <is>
          <t>KALMAR LÄN</t>
        </is>
      </c>
      <c r="E646" t="inlineStr">
        <is>
          <t>VIMMERBY</t>
        </is>
      </c>
      <c r="G646" t="n">
        <v>4.4</v>
      </c>
      <c r="H646" t="n">
        <v>0</v>
      </c>
      <c r="I646" t="n">
        <v>0</v>
      </c>
      <c r="J646" t="n">
        <v>0</v>
      </c>
      <c r="K646" t="n">
        <v>0</v>
      </c>
      <c r="L646" t="n">
        <v>0</v>
      </c>
      <c r="M646" t="n">
        <v>0</v>
      </c>
      <c r="N646" t="n">
        <v>0</v>
      </c>
      <c r="O646" t="n">
        <v>0</v>
      </c>
      <c r="P646" t="n">
        <v>0</v>
      </c>
      <c r="Q646" t="n">
        <v>0</v>
      </c>
      <c r="R646" s="2" t="inlineStr"/>
    </row>
    <row r="647" ht="15" customHeight="1">
      <c r="A647" t="inlineStr">
        <is>
          <t>A 29616-2022</t>
        </is>
      </c>
      <c r="B647" s="1" t="n">
        <v>44754</v>
      </c>
      <c r="C647" s="1" t="n">
        <v>45731</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29910-2022</t>
        </is>
      </c>
      <c r="B648" s="1" t="n">
        <v>44756</v>
      </c>
      <c r="C648" s="1" t="n">
        <v>45731</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31053-2022</t>
        </is>
      </c>
      <c r="B649" s="1" t="n">
        <v>44769</v>
      </c>
      <c r="C649" s="1" t="n">
        <v>45731</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31056-2022</t>
        </is>
      </c>
      <c r="B650" s="1" t="n">
        <v>44769</v>
      </c>
      <c r="C650" s="1" t="n">
        <v>45731</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31533-2022</t>
        </is>
      </c>
      <c r="B651" s="1" t="n">
        <v>44774</v>
      </c>
      <c r="C651" s="1" t="n">
        <v>45731</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31824-2022</t>
        </is>
      </c>
      <c r="B652" s="1" t="n">
        <v>44776</v>
      </c>
      <c r="C652" s="1" t="n">
        <v>45731</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32835-2022</t>
        </is>
      </c>
      <c r="B653" s="1" t="n">
        <v>44784</v>
      </c>
      <c r="C653" s="1" t="n">
        <v>45731</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32919-2022</t>
        </is>
      </c>
      <c r="B654" s="1" t="n">
        <v>44784</v>
      </c>
      <c r="C654" s="1" t="n">
        <v>45731</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33051-2022</t>
        </is>
      </c>
      <c r="B655" s="1" t="n">
        <v>44785</v>
      </c>
      <c r="C655" s="1" t="n">
        <v>45731</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33352-2022</t>
        </is>
      </c>
      <c r="B656" s="1" t="n">
        <v>44788</v>
      </c>
      <c r="C656" s="1" t="n">
        <v>45731</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33681-2022</t>
        </is>
      </c>
      <c r="B657" s="1" t="n">
        <v>44789</v>
      </c>
      <c r="C657" s="1" t="n">
        <v>45731</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33690-2022</t>
        </is>
      </c>
      <c r="B658" s="1" t="n">
        <v>44789</v>
      </c>
      <c r="C658" s="1" t="n">
        <v>45731</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33815-2022</t>
        </is>
      </c>
      <c r="B659" s="1" t="n">
        <v>44790</v>
      </c>
      <c r="C659" s="1" t="n">
        <v>45731</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33829-2022</t>
        </is>
      </c>
      <c r="B660" s="1" t="n">
        <v>44790</v>
      </c>
      <c r="C660" s="1" t="n">
        <v>45731</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v>
      </c>
      <c r="C661" s="1" t="n">
        <v>45731</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33820-2022</t>
        </is>
      </c>
      <c r="B662" s="1" t="n">
        <v>44790</v>
      </c>
      <c r="C662" s="1" t="n">
        <v>45731</v>
      </c>
      <c r="D662" t="inlineStr">
        <is>
          <t>KALMAR LÄN</t>
        </is>
      </c>
      <c r="E662" t="inlineStr">
        <is>
          <t>VIMMERBY</t>
        </is>
      </c>
      <c r="G662" t="n">
        <v>3</v>
      </c>
      <c r="H662" t="n">
        <v>0</v>
      </c>
      <c r="I662" t="n">
        <v>0</v>
      </c>
      <c r="J662" t="n">
        <v>0</v>
      </c>
      <c r="K662" t="n">
        <v>0</v>
      </c>
      <c r="L662" t="n">
        <v>0</v>
      </c>
      <c r="M662" t="n">
        <v>0</v>
      </c>
      <c r="N662" t="n">
        <v>0</v>
      </c>
      <c r="O662" t="n">
        <v>0</v>
      </c>
      <c r="P662" t="n">
        <v>0</v>
      </c>
      <c r="Q662" t="n">
        <v>0</v>
      </c>
      <c r="R662" s="2" t="inlineStr"/>
    </row>
    <row r="663" ht="15" customHeight="1">
      <c r="A663" t="inlineStr">
        <is>
          <t>A 33831-2022</t>
        </is>
      </c>
      <c r="B663" s="1" t="n">
        <v>44790</v>
      </c>
      <c r="C663" s="1" t="n">
        <v>45731</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45731</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33824-2022</t>
        </is>
      </c>
      <c r="B665" s="1" t="n">
        <v>44790</v>
      </c>
      <c r="C665" s="1" t="n">
        <v>45731</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33840-2022</t>
        </is>
      </c>
      <c r="B666" s="1" t="n">
        <v>44790</v>
      </c>
      <c r="C666" s="1" t="n">
        <v>45731</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34376-2022</t>
        </is>
      </c>
      <c r="B667" s="1" t="n">
        <v>44792</v>
      </c>
      <c r="C667" s="1" t="n">
        <v>45731</v>
      </c>
      <c r="D667" t="inlineStr">
        <is>
          <t>KALMAR LÄN</t>
        </is>
      </c>
      <c r="E667" t="inlineStr">
        <is>
          <t>VIMMERBY</t>
        </is>
      </c>
      <c r="G667" t="n">
        <v>2.8</v>
      </c>
      <c r="H667" t="n">
        <v>0</v>
      </c>
      <c r="I667" t="n">
        <v>0</v>
      </c>
      <c r="J667" t="n">
        <v>0</v>
      </c>
      <c r="K667" t="n">
        <v>0</v>
      </c>
      <c r="L667" t="n">
        <v>0</v>
      </c>
      <c r="M667" t="n">
        <v>0</v>
      </c>
      <c r="N667" t="n">
        <v>0</v>
      </c>
      <c r="O667" t="n">
        <v>0</v>
      </c>
      <c r="P667" t="n">
        <v>0</v>
      </c>
      <c r="Q667" t="n">
        <v>0</v>
      </c>
      <c r="R667" s="2" t="inlineStr"/>
    </row>
    <row r="668" ht="15" customHeight="1">
      <c r="A668" t="inlineStr">
        <is>
          <t>A 34329-2022</t>
        </is>
      </c>
      <c r="B668" s="1" t="n">
        <v>44792</v>
      </c>
      <c r="C668" s="1" t="n">
        <v>45731</v>
      </c>
      <c r="D668" t="inlineStr">
        <is>
          <t>KALMAR LÄN</t>
        </is>
      </c>
      <c r="E668" t="inlineStr">
        <is>
          <t>VIMMERBY</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34597-2022</t>
        </is>
      </c>
      <c r="B669" s="1" t="n">
        <v>44795</v>
      </c>
      <c r="C669" s="1" t="n">
        <v>45731</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35429-2022</t>
        </is>
      </c>
      <c r="B670" s="1" t="n">
        <v>44798</v>
      </c>
      <c r="C670" s="1" t="n">
        <v>45731</v>
      </c>
      <c r="D670" t="inlineStr">
        <is>
          <t>KALMAR LÄN</t>
        </is>
      </c>
      <c r="E670" t="inlineStr">
        <is>
          <t>VIMMERBY</t>
        </is>
      </c>
      <c r="G670" t="n">
        <v>4.9</v>
      </c>
      <c r="H670" t="n">
        <v>0</v>
      </c>
      <c r="I670" t="n">
        <v>0</v>
      </c>
      <c r="J670" t="n">
        <v>0</v>
      </c>
      <c r="K670" t="n">
        <v>0</v>
      </c>
      <c r="L670" t="n">
        <v>0</v>
      </c>
      <c r="M670" t="n">
        <v>0</v>
      </c>
      <c r="N670" t="n">
        <v>0</v>
      </c>
      <c r="O670" t="n">
        <v>0</v>
      </c>
      <c r="P670" t="n">
        <v>0</v>
      </c>
      <c r="Q670" t="n">
        <v>0</v>
      </c>
      <c r="R670" s="2" t="inlineStr"/>
    </row>
    <row r="671" ht="15" customHeight="1">
      <c r="A671" t="inlineStr">
        <is>
          <t>A 35615-2022</t>
        </is>
      </c>
      <c r="B671" s="1" t="n">
        <v>44799</v>
      </c>
      <c r="C671" s="1" t="n">
        <v>45731</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36259-2022</t>
        </is>
      </c>
      <c r="B672" s="1" t="n">
        <v>44803</v>
      </c>
      <c r="C672" s="1" t="n">
        <v>45731</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36268-2022</t>
        </is>
      </c>
      <c r="B673" s="1" t="n">
        <v>44803</v>
      </c>
      <c r="C673" s="1" t="n">
        <v>45731</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36320-2022</t>
        </is>
      </c>
      <c r="B674" s="1" t="n">
        <v>44803</v>
      </c>
      <c r="C674" s="1" t="n">
        <v>45731</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39225-2022</t>
        </is>
      </c>
      <c r="B675" s="1" t="n">
        <v>44817</v>
      </c>
      <c r="C675" s="1" t="n">
        <v>45731</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39042-2022</t>
        </is>
      </c>
      <c r="B676" s="1" t="n">
        <v>44817</v>
      </c>
      <c r="C676" s="1" t="n">
        <v>45731</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39959-2022</t>
        </is>
      </c>
      <c r="B677" s="1" t="n">
        <v>44819</v>
      </c>
      <c r="C677" s="1" t="n">
        <v>45731</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40095-2022</t>
        </is>
      </c>
      <c r="B678" s="1" t="n">
        <v>44820</v>
      </c>
      <c r="C678" s="1" t="n">
        <v>45731</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40026-2022</t>
        </is>
      </c>
      <c r="B679" s="1" t="n">
        <v>44820</v>
      </c>
      <c r="C679" s="1" t="n">
        <v>45731</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40916-2022</t>
        </is>
      </c>
      <c r="B680" s="1" t="n">
        <v>44820</v>
      </c>
      <c r="C680" s="1" t="n">
        <v>45731</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40472-2022</t>
        </is>
      </c>
      <c r="B681" s="1" t="n">
        <v>44823</v>
      </c>
      <c r="C681" s="1" t="n">
        <v>45731</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40728-2022</t>
        </is>
      </c>
      <c r="B682" s="1" t="n">
        <v>44824</v>
      </c>
      <c r="C682" s="1" t="n">
        <v>45731</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41056-2022</t>
        </is>
      </c>
      <c r="B683" s="1" t="n">
        <v>44824</v>
      </c>
      <c r="C683" s="1" t="n">
        <v>45731</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v>
      </c>
      <c r="C684" s="1" t="n">
        <v>45731</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40927-2022</t>
        </is>
      </c>
      <c r="B685" s="1" t="n">
        <v>44825</v>
      </c>
      <c r="C685" s="1" t="n">
        <v>45731</v>
      </c>
      <c r="D685" t="inlineStr">
        <is>
          <t>KALMAR LÄN</t>
        </is>
      </c>
      <c r="E685" t="inlineStr">
        <is>
          <t>VIMMERBY</t>
        </is>
      </c>
      <c r="G685" t="n">
        <v>3.2</v>
      </c>
      <c r="H685" t="n">
        <v>0</v>
      </c>
      <c r="I685" t="n">
        <v>0</v>
      </c>
      <c r="J685" t="n">
        <v>0</v>
      </c>
      <c r="K685" t="n">
        <v>0</v>
      </c>
      <c r="L685" t="n">
        <v>0</v>
      </c>
      <c r="M685" t="n">
        <v>0</v>
      </c>
      <c r="N685" t="n">
        <v>0</v>
      </c>
      <c r="O685" t="n">
        <v>0</v>
      </c>
      <c r="P685" t="n">
        <v>0</v>
      </c>
      <c r="Q685" t="n">
        <v>0</v>
      </c>
      <c r="R685" s="2" t="inlineStr"/>
    </row>
    <row r="686" ht="15" customHeight="1">
      <c r="A686" t="inlineStr">
        <is>
          <t>A 41424-2022</t>
        </is>
      </c>
      <c r="B686" s="1" t="n">
        <v>44826</v>
      </c>
      <c r="C686" s="1" t="n">
        <v>45731</v>
      </c>
      <c r="D686" t="inlineStr">
        <is>
          <t>KALMAR LÄN</t>
        </is>
      </c>
      <c r="E686" t="inlineStr">
        <is>
          <t>VIMMERBY</t>
        </is>
      </c>
      <c r="G686" t="n">
        <v>4.8</v>
      </c>
      <c r="H686" t="n">
        <v>0</v>
      </c>
      <c r="I686" t="n">
        <v>0</v>
      </c>
      <c r="J686" t="n">
        <v>0</v>
      </c>
      <c r="K686" t="n">
        <v>0</v>
      </c>
      <c r="L686" t="n">
        <v>0</v>
      </c>
      <c r="M686" t="n">
        <v>0</v>
      </c>
      <c r="N686" t="n">
        <v>0</v>
      </c>
      <c r="O686" t="n">
        <v>0</v>
      </c>
      <c r="P686" t="n">
        <v>0</v>
      </c>
      <c r="Q686" t="n">
        <v>0</v>
      </c>
      <c r="R686" s="2" t="inlineStr"/>
    </row>
    <row r="687" ht="15" customHeight="1">
      <c r="A687" t="inlineStr">
        <is>
          <t>A 41438-2022</t>
        </is>
      </c>
      <c r="B687" s="1" t="n">
        <v>44826</v>
      </c>
      <c r="C687" s="1" t="n">
        <v>45731</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42850-2022</t>
        </is>
      </c>
      <c r="B688" s="1" t="n">
        <v>44832</v>
      </c>
      <c r="C688" s="1" t="n">
        <v>45731</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v>
      </c>
      <c r="C689" s="1" t="n">
        <v>45731</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43272-2022</t>
        </is>
      </c>
      <c r="B690" s="1" t="n">
        <v>44834</v>
      </c>
      <c r="C690" s="1" t="n">
        <v>45731</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43553-2022</t>
        </is>
      </c>
      <c r="B691" s="1" t="n">
        <v>44837</v>
      </c>
      <c r="C691" s="1" t="n">
        <v>45731</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44179-2022</t>
        </is>
      </c>
      <c r="B692" s="1" t="n">
        <v>44839</v>
      </c>
      <c r="C692" s="1" t="n">
        <v>45731</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44654-2022</t>
        </is>
      </c>
      <c r="B693" s="1" t="n">
        <v>44840</v>
      </c>
      <c r="C693" s="1" t="n">
        <v>45731</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44651-2022</t>
        </is>
      </c>
      <c r="B694" s="1" t="n">
        <v>44840</v>
      </c>
      <c r="C694" s="1" t="n">
        <v>45731</v>
      </c>
      <c r="D694" t="inlineStr">
        <is>
          <t>KALMAR LÄN</t>
        </is>
      </c>
      <c r="E694" t="inlineStr">
        <is>
          <t>VIMMERBY</t>
        </is>
      </c>
      <c r="G694" t="n">
        <v>5.3</v>
      </c>
      <c r="H694" t="n">
        <v>0</v>
      </c>
      <c r="I694" t="n">
        <v>0</v>
      </c>
      <c r="J694" t="n">
        <v>0</v>
      </c>
      <c r="K694" t="n">
        <v>0</v>
      </c>
      <c r="L694" t="n">
        <v>0</v>
      </c>
      <c r="M694" t="n">
        <v>0</v>
      </c>
      <c r="N694" t="n">
        <v>0</v>
      </c>
      <c r="O694" t="n">
        <v>0</v>
      </c>
      <c r="P694" t="n">
        <v>0</v>
      </c>
      <c r="Q694" t="n">
        <v>0</v>
      </c>
      <c r="R694" s="2" t="inlineStr"/>
    </row>
    <row r="695" ht="15" customHeight="1">
      <c r="A695" t="inlineStr">
        <is>
          <t>A 44656-2022</t>
        </is>
      </c>
      <c r="B695" s="1" t="n">
        <v>44840</v>
      </c>
      <c r="C695" s="1" t="n">
        <v>45731</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45861-2022</t>
        </is>
      </c>
      <c r="B696" s="1" t="n">
        <v>44846</v>
      </c>
      <c r="C696" s="1" t="n">
        <v>45731</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45858-2022</t>
        </is>
      </c>
      <c r="B697" s="1" t="n">
        <v>44846</v>
      </c>
      <c r="C697" s="1" t="n">
        <v>45731</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46522-2022</t>
        </is>
      </c>
      <c r="B698" s="1" t="n">
        <v>44848</v>
      </c>
      <c r="C698" s="1" t="n">
        <v>45731</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46964-2022</t>
        </is>
      </c>
      <c r="B699" s="1" t="n">
        <v>44852</v>
      </c>
      <c r="C699" s="1" t="n">
        <v>45731</v>
      </c>
      <c r="D699" t="inlineStr">
        <is>
          <t>KALMAR LÄN</t>
        </is>
      </c>
      <c r="E699" t="inlineStr">
        <is>
          <t>VIMMERBY</t>
        </is>
      </c>
      <c r="G699" t="n">
        <v>0.2</v>
      </c>
      <c r="H699" t="n">
        <v>0</v>
      </c>
      <c r="I699" t="n">
        <v>0</v>
      </c>
      <c r="J699" t="n">
        <v>0</v>
      </c>
      <c r="K699" t="n">
        <v>0</v>
      </c>
      <c r="L699" t="n">
        <v>0</v>
      </c>
      <c r="M699" t="n">
        <v>0</v>
      </c>
      <c r="N699" t="n">
        <v>0</v>
      </c>
      <c r="O699" t="n">
        <v>0</v>
      </c>
      <c r="P699" t="n">
        <v>0</v>
      </c>
      <c r="Q699" t="n">
        <v>0</v>
      </c>
      <c r="R699" s="2" t="inlineStr"/>
    </row>
    <row r="700" ht="15" customHeight="1">
      <c r="A700" t="inlineStr">
        <is>
          <t>A 47214-2022</t>
        </is>
      </c>
      <c r="B700" s="1" t="n">
        <v>44852</v>
      </c>
      <c r="C700" s="1" t="n">
        <v>45731</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47063-2022</t>
        </is>
      </c>
      <c r="B701" s="1" t="n">
        <v>44852</v>
      </c>
      <c r="C701" s="1" t="n">
        <v>45731</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47708-2022</t>
        </is>
      </c>
      <c r="B702" s="1" t="n">
        <v>44854</v>
      </c>
      <c r="C702" s="1" t="n">
        <v>45731</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47769-2022</t>
        </is>
      </c>
      <c r="B703" s="1" t="n">
        <v>44854</v>
      </c>
      <c r="C703" s="1" t="n">
        <v>45731</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48120-2022</t>
        </is>
      </c>
      <c r="B704" s="1" t="n">
        <v>44857</v>
      </c>
      <c r="C704" s="1" t="n">
        <v>45731</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49313-2022</t>
        </is>
      </c>
      <c r="B705" s="1" t="n">
        <v>44861</v>
      </c>
      <c r="C705" s="1" t="n">
        <v>45731</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45731</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50809-2022</t>
        </is>
      </c>
      <c r="B707" s="1" t="n">
        <v>44862</v>
      </c>
      <c r="C707" s="1" t="n">
        <v>45731</v>
      </c>
      <c r="D707" t="inlineStr">
        <is>
          <t>KALMAR LÄN</t>
        </is>
      </c>
      <c r="E707" t="inlineStr">
        <is>
          <t>VIMMERBY</t>
        </is>
      </c>
      <c r="G707" t="n">
        <v>3.7</v>
      </c>
      <c r="H707" t="n">
        <v>0</v>
      </c>
      <c r="I707" t="n">
        <v>0</v>
      </c>
      <c r="J707" t="n">
        <v>0</v>
      </c>
      <c r="K707" t="n">
        <v>0</v>
      </c>
      <c r="L707" t="n">
        <v>0</v>
      </c>
      <c r="M707" t="n">
        <v>0</v>
      </c>
      <c r="N707" t="n">
        <v>0</v>
      </c>
      <c r="O707" t="n">
        <v>0</v>
      </c>
      <c r="P707" t="n">
        <v>0</v>
      </c>
      <c r="Q707" t="n">
        <v>0</v>
      </c>
      <c r="R707" s="2" t="inlineStr"/>
    </row>
    <row r="708" ht="15" customHeight="1">
      <c r="A708" t="inlineStr">
        <is>
          <t>A 50804-2022</t>
        </is>
      </c>
      <c r="B708" s="1" t="n">
        <v>44862</v>
      </c>
      <c r="C708" s="1" t="n">
        <v>45731</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50535-2022</t>
        </is>
      </c>
      <c r="B709" s="1" t="n">
        <v>44866</v>
      </c>
      <c r="C709" s="1" t="n">
        <v>45731</v>
      </c>
      <c r="D709" t="inlineStr">
        <is>
          <t>KALMAR LÄN</t>
        </is>
      </c>
      <c r="E709" t="inlineStr">
        <is>
          <t>VIMMERBY</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50621-2022</t>
        </is>
      </c>
      <c r="B710" s="1" t="n">
        <v>44866</v>
      </c>
      <c r="C710" s="1" t="n">
        <v>45731</v>
      </c>
      <c r="D710" t="inlineStr">
        <is>
          <t>KALMAR LÄN</t>
        </is>
      </c>
      <c r="E710" t="inlineStr">
        <is>
          <t>VIMMERBY</t>
        </is>
      </c>
      <c r="F710" t="inlineStr">
        <is>
          <t>Övriga Aktiebolag</t>
        </is>
      </c>
      <c r="G710" t="n">
        <v>5.1</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45731</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50995-2022</t>
        </is>
      </c>
      <c r="B712" s="1" t="n">
        <v>44867</v>
      </c>
      <c r="C712" s="1" t="n">
        <v>45731</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50993-2022</t>
        </is>
      </c>
      <c r="B713" s="1" t="n">
        <v>44867</v>
      </c>
      <c r="C713" s="1" t="n">
        <v>45731</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52753-2022</t>
        </is>
      </c>
      <c r="B714" s="1" t="n">
        <v>44875</v>
      </c>
      <c r="C714" s="1" t="n">
        <v>45731</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52755-2022</t>
        </is>
      </c>
      <c r="B715" s="1" t="n">
        <v>44875</v>
      </c>
      <c r="C715" s="1" t="n">
        <v>45731</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53145-2022</t>
        </is>
      </c>
      <c r="B716" s="1" t="n">
        <v>44876</v>
      </c>
      <c r="C716" s="1" t="n">
        <v>45731</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53247-2022</t>
        </is>
      </c>
      <c r="B717" s="1" t="n">
        <v>44876</v>
      </c>
      <c r="C717" s="1" t="n">
        <v>45731</v>
      </c>
      <c r="D717" t="inlineStr">
        <is>
          <t>KALMAR LÄN</t>
        </is>
      </c>
      <c r="E717" t="inlineStr">
        <is>
          <t>VIMMERBY</t>
        </is>
      </c>
      <c r="G717" t="n">
        <v>3.3</v>
      </c>
      <c r="H717" t="n">
        <v>0</v>
      </c>
      <c r="I717" t="n">
        <v>0</v>
      </c>
      <c r="J717" t="n">
        <v>0</v>
      </c>
      <c r="K717" t="n">
        <v>0</v>
      </c>
      <c r="L717" t="n">
        <v>0</v>
      </c>
      <c r="M717" t="n">
        <v>0</v>
      </c>
      <c r="N717" t="n">
        <v>0</v>
      </c>
      <c r="O717" t="n">
        <v>0</v>
      </c>
      <c r="P717" t="n">
        <v>0</v>
      </c>
      <c r="Q717" t="n">
        <v>0</v>
      </c>
      <c r="R717" s="2" t="inlineStr"/>
    </row>
    <row r="718" ht="15" customHeight="1">
      <c r="A718" t="inlineStr">
        <is>
          <t>A 53482-2022</t>
        </is>
      </c>
      <c r="B718" s="1" t="n">
        <v>44879</v>
      </c>
      <c r="C718" s="1" t="n">
        <v>45731</v>
      </c>
      <c r="D718" t="inlineStr">
        <is>
          <t>KALMAR LÄN</t>
        </is>
      </c>
      <c r="E718" t="inlineStr">
        <is>
          <t>VIMMERBY</t>
        </is>
      </c>
      <c r="G718" t="n">
        <v>10.1</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v>
      </c>
      <c r="C719" s="1" t="n">
        <v>45731</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53483-2022</t>
        </is>
      </c>
      <c r="B720" s="1" t="n">
        <v>44879</v>
      </c>
      <c r="C720" s="1" t="n">
        <v>45731</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54020-2022</t>
        </is>
      </c>
      <c r="B721" s="1" t="n">
        <v>44881</v>
      </c>
      <c r="C721" s="1" t="n">
        <v>45731</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54749-2022</t>
        </is>
      </c>
      <c r="B722" s="1" t="n">
        <v>44883</v>
      </c>
      <c r="C722" s="1" t="n">
        <v>45731</v>
      </c>
      <c r="D722" t="inlineStr">
        <is>
          <t>KALMAR LÄN</t>
        </is>
      </c>
      <c r="E722" t="inlineStr">
        <is>
          <t>VIMMERBY</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54745-2022</t>
        </is>
      </c>
      <c r="B723" s="1" t="n">
        <v>44883</v>
      </c>
      <c r="C723" s="1" t="n">
        <v>45731</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54877-2022</t>
        </is>
      </c>
      <c r="B724" s="1" t="n">
        <v>44886</v>
      </c>
      <c r="C724" s="1" t="n">
        <v>45731</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55333-2022</t>
        </is>
      </c>
      <c r="B725" s="1" t="n">
        <v>44887</v>
      </c>
      <c r="C725" s="1" t="n">
        <v>45731</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45731</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56582-2022</t>
        </is>
      </c>
      <c r="B727" s="1" t="n">
        <v>44893</v>
      </c>
      <c r="C727" s="1" t="n">
        <v>45731</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56536-2022</t>
        </is>
      </c>
      <c r="B728" s="1" t="n">
        <v>44893</v>
      </c>
      <c r="C728" s="1" t="n">
        <v>45731</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56853-2022</t>
        </is>
      </c>
      <c r="B729" s="1" t="n">
        <v>44894</v>
      </c>
      <c r="C729" s="1" t="n">
        <v>45731</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57091-2022</t>
        </is>
      </c>
      <c r="B730" s="1" t="n">
        <v>44895</v>
      </c>
      <c r="C730" s="1" t="n">
        <v>45731</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57189-2022</t>
        </is>
      </c>
      <c r="B731" s="1" t="n">
        <v>44895</v>
      </c>
      <c r="C731" s="1" t="n">
        <v>45731</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57190-2022</t>
        </is>
      </c>
      <c r="B732" s="1" t="n">
        <v>44895</v>
      </c>
      <c r="C732" s="1" t="n">
        <v>45731</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45731</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57799-2022</t>
        </is>
      </c>
      <c r="B734" s="1" t="n">
        <v>44897</v>
      </c>
      <c r="C734" s="1" t="n">
        <v>45731</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58046-2022</t>
        </is>
      </c>
      <c r="B735" s="1" t="n">
        <v>44900</v>
      </c>
      <c r="C735" s="1" t="n">
        <v>45731</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58750-2022</t>
        </is>
      </c>
      <c r="B736" s="1" t="n">
        <v>44903</v>
      </c>
      <c r="C736" s="1" t="n">
        <v>45731</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58962-2022</t>
        </is>
      </c>
      <c r="B737" s="1" t="n">
        <v>44903</v>
      </c>
      <c r="C737" s="1" t="n">
        <v>45731</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45731</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60230-2022</t>
        </is>
      </c>
      <c r="B739" s="1" t="n">
        <v>44910</v>
      </c>
      <c r="C739" s="1" t="n">
        <v>45731</v>
      </c>
      <c r="D739" t="inlineStr">
        <is>
          <t>KALMAR LÄN</t>
        </is>
      </c>
      <c r="E739" t="inlineStr">
        <is>
          <t>VIMMERBY</t>
        </is>
      </c>
      <c r="G739" t="n">
        <v>11.3</v>
      </c>
      <c r="H739" t="n">
        <v>0</v>
      </c>
      <c r="I739" t="n">
        <v>0</v>
      </c>
      <c r="J739" t="n">
        <v>0</v>
      </c>
      <c r="K739" t="n">
        <v>0</v>
      </c>
      <c r="L739" t="n">
        <v>0</v>
      </c>
      <c r="M739" t="n">
        <v>0</v>
      </c>
      <c r="N739" t="n">
        <v>0</v>
      </c>
      <c r="O739" t="n">
        <v>0</v>
      </c>
      <c r="P739" t="n">
        <v>0</v>
      </c>
      <c r="Q739" t="n">
        <v>0</v>
      </c>
      <c r="R739" s="2" t="inlineStr"/>
    </row>
    <row r="740" ht="15" customHeight="1">
      <c r="A740" t="inlineStr">
        <is>
          <t>A 60215-2022</t>
        </is>
      </c>
      <c r="B740" s="1" t="n">
        <v>44910</v>
      </c>
      <c r="C740" s="1" t="n">
        <v>45731</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60292-2022</t>
        </is>
      </c>
      <c r="B741" s="1" t="n">
        <v>44910</v>
      </c>
      <c r="C741" s="1" t="n">
        <v>45731</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60339-2022</t>
        </is>
      </c>
      <c r="B742" s="1" t="n">
        <v>44910</v>
      </c>
      <c r="C742" s="1" t="n">
        <v>45731</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v>
      </c>
      <c r="C743" s="1" t="n">
        <v>45731</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62075-2022</t>
        </is>
      </c>
      <c r="B744" s="1" t="n">
        <v>44918</v>
      </c>
      <c r="C744" s="1" t="n">
        <v>45731</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62023-2022</t>
        </is>
      </c>
      <c r="B745" s="1" t="n">
        <v>44918</v>
      </c>
      <c r="C745" s="1" t="n">
        <v>45731</v>
      </c>
      <c r="D745" t="inlineStr">
        <is>
          <t>KALMAR LÄN</t>
        </is>
      </c>
      <c r="E745" t="inlineStr">
        <is>
          <t>VIMMERBY</t>
        </is>
      </c>
      <c r="G745" t="n">
        <v>0.3</v>
      </c>
      <c r="H745" t="n">
        <v>0</v>
      </c>
      <c r="I745" t="n">
        <v>0</v>
      </c>
      <c r="J745" t="n">
        <v>0</v>
      </c>
      <c r="K745" t="n">
        <v>0</v>
      </c>
      <c r="L745" t="n">
        <v>0</v>
      </c>
      <c r="M745" t="n">
        <v>0</v>
      </c>
      <c r="N745" t="n">
        <v>0</v>
      </c>
      <c r="O745" t="n">
        <v>0</v>
      </c>
      <c r="P745" t="n">
        <v>0</v>
      </c>
      <c r="Q745" t="n">
        <v>0</v>
      </c>
      <c r="R745" s="2" t="inlineStr"/>
    </row>
    <row r="746" ht="15" customHeight="1">
      <c r="A746" t="inlineStr">
        <is>
          <t>A 89-2023</t>
        </is>
      </c>
      <c r="B746" s="1" t="n">
        <v>44918</v>
      </c>
      <c r="C746" s="1" t="n">
        <v>45731</v>
      </c>
      <c r="D746" t="inlineStr">
        <is>
          <t>KALMAR LÄN</t>
        </is>
      </c>
      <c r="E746" t="inlineStr">
        <is>
          <t>VIMMERBY</t>
        </is>
      </c>
      <c r="G746" t="n">
        <v>16.1</v>
      </c>
      <c r="H746" t="n">
        <v>0</v>
      </c>
      <c r="I746" t="n">
        <v>0</v>
      </c>
      <c r="J746" t="n">
        <v>0</v>
      </c>
      <c r="K746" t="n">
        <v>0</v>
      </c>
      <c r="L746" t="n">
        <v>0</v>
      </c>
      <c r="M746" t="n">
        <v>0</v>
      </c>
      <c r="N746" t="n">
        <v>0</v>
      </c>
      <c r="O746" t="n">
        <v>0</v>
      </c>
      <c r="P746" t="n">
        <v>0</v>
      </c>
      <c r="Q746" t="n">
        <v>0</v>
      </c>
      <c r="R746" s="2" t="inlineStr"/>
    </row>
    <row r="747" ht="15" customHeight="1">
      <c r="A747" t="inlineStr">
        <is>
          <t>A 346-2023</t>
        </is>
      </c>
      <c r="B747" s="1" t="n">
        <v>44929</v>
      </c>
      <c r="C747" s="1" t="n">
        <v>45731</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343-2023</t>
        </is>
      </c>
      <c r="B748" s="1" t="n">
        <v>44929</v>
      </c>
      <c r="C748" s="1" t="n">
        <v>45731</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502-2023</t>
        </is>
      </c>
      <c r="B749" s="1" t="n">
        <v>44930</v>
      </c>
      <c r="C749" s="1" t="n">
        <v>45731</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508-2023</t>
        </is>
      </c>
      <c r="B750" s="1" t="n">
        <v>44930</v>
      </c>
      <c r="C750" s="1" t="n">
        <v>45731</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845-2023</t>
        </is>
      </c>
      <c r="B751" s="1" t="n">
        <v>44931</v>
      </c>
      <c r="C751" s="1" t="n">
        <v>45731</v>
      </c>
      <c r="D751" t="inlineStr">
        <is>
          <t>KALMAR LÄN</t>
        </is>
      </c>
      <c r="E751" t="inlineStr">
        <is>
          <t>VIMMERBY</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1086-2023</t>
        </is>
      </c>
      <c r="B752" s="1" t="n">
        <v>44935</v>
      </c>
      <c r="C752" s="1" t="n">
        <v>45731</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1081-2023</t>
        </is>
      </c>
      <c r="B753" s="1" t="n">
        <v>44935</v>
      </c>
      <c r="C753" s="1" t="n">
        <v>45731</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1687-2023</t>
        </is>
      </c>
      <c r="B754" s="1" t="n">
        <v>44938</v>
      </c>
      <c r="C754" s="1" t="n">
        <v>45731</v>
      </c>
      <c r="D754" t="inlineStr">
        <is>
          <t>KALMAR LÄN</t>
        </is>
      </c>
      <c r="E754" t="inlineStr">
        <is>
          <t>VIMMERBY</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1667-2023</t>
        </is>
      </c>
      <c r="B755" s="1" t="n">
        <v>44938</v>
      </c>
      <c r="C755" s="1" t="n">
        <v>45731</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1955-2023</t>
        </is>
      </c>
      <c r="B756" s="1" t="n">
        <v>44939</v>
      </c>
      <c r="C756" s="1" t="n">
        <v>45731</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2510-2023</t>
        </is>
      </c>
      <c r="B757" s="1" t="n">
        <v>44943</v>
      </c>
      <c r="C757" s="1" t="n">
        <v>45731</v>
      </c>
      <c r="D757" t="inlineStr">
        <is>
          <t>KALMAR LÄN</t>
        </is>
      </c>
      <c r="E757" t="inlineStr">
        <is>
          <t>VIMMERBY</t>
        </is>
      </c>
      <c r="G757" t="n">
        <v>8.6</v>
      </c>
      <c r="H757" t="n">
        <v>0</v>
      </c>
      <c r="I757" t="n">
        <v>0</v>
      </c>
      <c r="J757" t="n">
        <v>0</v>
      </c>
      <c r="K757" t="n">
        <v>0</v>
      </c>
      <c r="L757" t="n">
        <v>0</v>
      </c>
      <c r="M757" t="n">
        <v>0</v>
      </c>
      <c r="N757" t="n">
        <v>0</v>
      </c>
      <c r="O757" t="n">
        <v>0</v>
      </c>
      <c r="P757" t="n">
        <v>0</v>
      </c>
      <c r="Q757" t="n">
        <v>0</v>
      </c>
      <c r="R757" s="2" t="inlineStr"/>
    </row>
    <row r="758" ht="15" customHeight="1">
      <c r="A758" t="inlineStr">
        <is>
          <t>A 2536-2023</t>
        </is>
      </c>
      <c r="B758" s="1" t="n">
        <v>44943</v>
      </c>
      <c r="C758" s="1" t="n">
        <v>45731</v>
      </c>
      <c r="D758" t="inlineStr">
        <is>
          <t>KALMAR LÄN</t>
        </is>
      </c>
      <c r="E758" t="inlineStr">
        <is>
          <t>VIMMERBY</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2799-2023</t>
        </is>
      </c>
      <c r="B759" s="1" t="n">
        <v>44944</v>
      </c>
      <c r="C759" s="1" t="n">
        <v>45731</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2797-2023</t>
        </is>
      </c>
      <c r="B760" s="1" t="n">
        <v>44944</v>
      </c>
      <c r="C760" s="1" t="n">
        <v>45731</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2801-2023</t>
        </is>
      </c>
      <c r="B761" s="1" t="n">
        <v>44944</v>
      </c>
      <c r="C761" s="1" t="n">
        <v>45731</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3331-2023</t>
        </is>
      </c>
      <c r="B762" s="1" t="n">
        <v>44949</v>
      </c>
      <c r="C762" s="1" t="n">
        <v>45731</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3494-2023</t>
        </is>
      </c>
      <c r="B763" s="1" t="n">
        <v>44949</v>
      </c>
      <c r="C763" s="1" t="n">
        <v>45731</v>
      </c>
      <c r="D763" t="inlineStr">
        <is>
          <t>KALMAR LÄN</t>
        </is>
      </c>
      <c r="E763" t="inlineStr">
        <is>
          <t>VIMMERBY</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3587-2023</t>
        </is>
      </c>
      <c r="B764" s="1" t="n">
        <v>44950</v>
      </c>
      <c r="C764" s="1" t="n">
        <v>45731</v>
      </c>
      <c r="D764" t="inlineStr">
        <is>
          <t>KALMAR LÄN</t>
        </is>
      </c>
      <c r="E764" t="inlineStr">
        <is>
          <t>VIMMERBY</t>
        </is>
      </c>
      <c r="G764" t="n">
        <v>6.9</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v>
      </c>
      <c r="C765" s="1" t="n">
        <v>45731</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3924-2023</t>
        </is>
      </c>
      <c r="B766" s="1" t="n">
        <v>44952</v>
      </c>
      <c r="C766" s="1" t="n">
        <v>45731</v>
      </c>
      <c r="D766" t="inlineStr">
        <is>
          <t>KALMAR LÄN</t>
        </is>
      </c>
      <c r="E766" t="inlineStr">
        <is>
          <t>VIMMERBY</t>
        </is>
      </c>
      <c r="G766" t="n">
        <v>4.7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45731</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5074-2023</t>
        </is>
      </c>
      <c r="B768" s="1" t="n">
        <v>44958</v>
      </c>
      <c r="C768" s="1" t="n">
        <v>45731</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5342-2023</t>
        </is>
      </c>
      <c r="B769" s="1" t="n">
        <v>44959</v>
      </c>
      <c r="C769" s="1" t="n">
        <v>45731</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5382-2023</t>
        </is>
      </c>
      <c r="B770" s="1" t="n">
        <v>44959</v>
      </c>
      <c r="C770" s="1" t="n">
        <v>45731</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5720-2023</t>
        </is>
      </c>
      <c r="B771" s="1" t="n">
        <v>44961</v>
      </c>
      <c r="C771" s="1" t="n">
        <v>45731</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v>
      </c>
      <c r="C772" s="1" t="n">
        <v>45731</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6028-2023</t>
        </is>
      </c>
      <c r="B773" s="1" t="n">
        <v>44964</v>
      </c>
      <c r="C773" s="1" t="n">
        <v>45731</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6066-2023</t>
        </is>
      </c>
      <c r="B774" s="1" t="n">
        <v>44964</v>
      </c>
      <c r="C774" s="1" t="n">
        <v>45731</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6017-2023</t>
        </is>
      </c>
      <c r="B775" s="1" t="n">
        <v>44964</v>
      </c>
      <c r="C775" s="1" t="n">
        <v>45731</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6368-2023</t>
        </is>
      </c>
      <c r="B776" s="1" t="n">
        <v>44965</v>
      </c>
      <c r="C776" s="1" t="n">
        <v>45731</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v>
      </c>
      <c r="C777" s="1" t="n">
        <v>45731</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6660-2023</t>
        </is>
      </c>
      <c r="B778" s="1" t="n">
        <v>44966</v>
      </c>
      <c r="C778" s="1" t="n">
        <v>45731</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6574-2023</t>
        </is>
      </c>
      <c r="B779" s="1" t="n">
        <v>44966</v>
      </c>
      <c r="C779" s="1" t="n">
        <v>45731</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6662-2023</t>
        </is>
      </c>
      <c r="B780" s="1" t="n">
        <v>44966</v>
      </c>
      <c r="C780" s="1" t="n">
        <v>45731</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6668-2023</t>
        </is>
      </c>
      <c r="B781" s="1" t="n">
        <v>44966</v>
      </c>
      <c r="C781" s="1" t="n">
        <v>45731</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6538-2023</t>
        </is>
      </c>
      <c r="B782" s="1" t="n">
        <v>44966</v>
      </c>
      <c r="C782" s="1" t="n">
        <v>45731</v>
      </c>
      <c r="D782" t="inlineStr">
        <is>
          <t>KALMAR LÄN</t>
        </is>
      </c>
      <c r="E782" t="inlineStr">
        <is>
          <t>VIMMERBY</t>
        </is>
      </c>
      <c r="G782" t="n">
        <v>4.5</v>
      </c>
      <c r="H782" t="n">
        <v>0</v>
      </c>
      <c r="I782" t="n">
        <v>0</v>
      </c>
      <c r="J782" t="n">
        <v>0</v>
      </c>
      <c r="K782" t="n">
        <v>0</v>
      </c>
      <c r="L782" t="n">
        <v>0</v>
      </c>
      <c r="M782" t="n">
        <v>0</v>
      </c>
      <c r="N782" t="n">
        <v>0</v>
      </c>
      <c r="O782" t="n">
        <v>0</v>
      </c>
      <c r="P782" t="n">
        <v>0</v>
      </c>
      <c r="Q782" t="n">
        <v>0</v>
      </c>
      <c r="R782" s="2" t="inlineStr"/>
    </row>
    <row r="783" ht="15" customHeight="1">
      <c r="A783" t="inlineStr">
        <is>
          <t>A 6857-2023</t>
        </is>
      </c>
      <c r="B783" s="1" t="n">
        <v>44967</v>
      </c>
      <c r="C783" s="1" t="n">
        <v>45731</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6850-2023</t>
        </is>
      </c>
      <c r="B784" s="1" t="n">
        <v>44967</v>
      </c>
      <c r="C784" s="1" t="n">
        <v>45731</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7454-2023</t>
        </is>
      </c>
      <c r="B785" s="1" t="n">
        <v>44971</v>
      </c>
      <c r="C785" s="1" t="n">
        <v>45731</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7557-2023</t>
        </is>
      </c>
      <c r="B786" s="1" t="n">
        <v>44972</v>
      </c>
      <c r="C786" s="1" t="n">
        <v>45731</v>
      </c>
      <c r="D786" t="inlineStr">
        <is>
          <t>KALMAR LÄN</t>
        </is>
      </c>
      <c r="E786" t="inlineStr">
        <is>
          <t>VIMMERBY</t>
        </is>
      </c>
      <c r="G786" t="n">
        <v>4.6</v>
      </c>
      <c r="H786" t="n">
        <v>0</v>
      </c>
      <c r="I786" t="n">
        <v>0</v>
      </c>
      <c r="J786" t="n">
        <v>0</v>
      </c>
      <c r="K786" t="n">
        <v>0</v>
      </c>
      <c r="L786" t="n">
        <v>0</v>
      </c>
      <c r="M786" t="n">
        <v>0</v>
      </c>
      <c r="N786" t="n">
        <v>0</v>
      </c>
      <c r="O786" t="n">
        <v>0</v>
      </c>
      <c r="P786" t="n">
        <v>0</v>
      </c>
      <c r="Q786" t="n">
        <v>0</v>
      </c>
      <c r="R786" s="2" t="inlineStr"/>
    </row>
    <row r="787" ht="15" customHeight="1">
      <c r="A787" t="inlineStr">
        <is>
          <t>A 7594-2023</t>
        </is>
      </c>
      <c r="B787" s="1" t="n">
        <v>44972</v>
      </c>
      <c r="C787" s="1" t="n">
        <v>45731</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7797-2023</t>
        </is>
      </c>
      <c r="B788" s="1" t="n">
        <v>44973</v>
      </c>
      <c r="C788" s="1" t="n">
        <v>45731</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7883-2023</t>
        </is>
      </c>
      <c r="B789" s="1" t="n">
        <v>44973</v>
      </c>
      <c r="C789" s="1" t="n">
        <v>45731</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7885-2023</t>
        </is>
      </c>
      <c r="B790" s="1" t="n">
        <v>44973</v>
      </c>
      <c r="C790" s="1" t="n">
        <v>45731</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8219-2023</t>
        </is>
      </c>
      <c r="B791" s="1" t="n">
        <v>44974</v>
      </c>
      <c r="C791" s="1" t="n">
        <v>45731</v>
      </c>
      <c r="D791" t="inlineStr">
        <is>
          <t>KALMAR LÄN</t>
        </is>
      </c>
      <c r="E791" t="inlineStr">
        <is>
          <t>VIMMERBY</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8410-2023</t>
        </is>
      </c>
      <c r="B792" s="1" t="n">
        <v>44977</v>
      </c>
      <c r="C792" s="1" t="n">
        <v>45731</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9024-2023</t>
        </is>
      </c>
      <c r="B793" s="1" t="n">
        <v>44979</v>
      </c>
      <c r="C793" s="1" t="n">
        <v>45731</v>
      </c>
      <c r="D793" t="inlineStr">
        <is>
          <t>KALMAR LÄN</t>
        </is>
      </c>
      <c r="E793" t="inlineStr">
        <is>
          <t>VIMMERBY</t>
        </is>
      </c>
      <c r="G793" t="n">
        <v>5.2</v>
      </c>
      <c r="H793" t="n">
        <v>0</v>
      </c>
      <c r="I793" t="n">
        <v>0</v>
      </c>
      <c r="J793" t="n">
        <v>0</v>
      </c>
      <c r="K793" t="n">
        <v>0</v>
      </c>
      <c r="L793" t="n">
        <v>0</v>
      </c>
      <c r="M793" t="n">
        <v>0</v>
      </c>
      <c r="N793" t="n">
        <v>0</v>
      </c>
      <c r="O793" t="n">
        <v>0</v>
      </c>
      <c r="P793" t="n">
        <v>0</v>
      </c>
      <c r="Q793" t="n">
        <v>0</v>
      </c>
      <c r="R793" s="2" t="inlineStr"/>
    </row>
    <row r="794" ht="15" customHeight="1">
      <c r="A794" t="inlineStr">
        <is>
          <t>A 9113-2023</t>
        </is>
      </c>
      <c r="B794" s="1" t="n">
        <v>44979</v>
      </c>
      <c r="C794" s="1" t="n">
        <v>45731</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9475-2023</t>
        </is>
      </c>
      <c r="B795" s="1" t="n">
        <v>44981</v>
      </c>
      <c r="C795" s="1" t="n">
        <v>45731</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v>
      </c>
      <c r="C796" s="1" t="n">
        <v>45731</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9644-2023</t>
        </is>
      </c>
      <c r="B797" s="1" t="n">
        <v>44984</v>
      </c>
      <c r="C797" s="1" t="n">
        <v>45731</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v>
      </c>
      <c r="C798" s="1" t="n">
        <v>45731</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45731</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9720-2023</t>
        </is>
      </c>
      <c r="B800" s="1" t="n">
        <v>44984</v>
      </c>
      <c r="C800" s="1" t="n">
        <v>45731</v>
      </c>
      <c r="D800" t="inlineStr">
        <is>
          <t>KALMAR LÄN</t>
        </is>
      </c>
      <c r="E800" t="inlineStr">
        <is>
          <t>VIMMERBY</t>
        </is>
      </c>
      <c r="G800" t="n">
        <v>4.4</v>
      </c>
      <c r="H800" t="n">
        <v>0</v>
      </c>
      <c r="I800" t="n">
        <v>0</v>
      </c>
      <c r="J800" t="n">
        <v>0</v>
      </c>
      <c r="K800" t="n">
        <v>0</v>
      </c>
      <c r="L800" t="n">
        <v>0</v>
      </c>
      <c r="M800" t="n">
        <v>0</v>
      </c>
      <c r="N800" t="n">
        <v>0</v>
      </c>
      <c r="O800" t="n">
        <v>0</v>
      </c>
      <c r="P800" t="n">
        <v>0</v>
      </c>
      <c r="Q800" t="n">
        <v>0</v>
      </c>
      <c r="R800" s="2" t="inlineStr"/>
    </row>
    <row r="801" ht="15" customHeight="1">
      <c r="A801" t="inlineStr">
        <is>
          <t>A 9643-2023</t>
        </is>
      </c>
      <c r="B801" s="1" t="n">
        <v>44984</v>
      </c>
      <c r="C801" s="1" t="n">
        <v>45731</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10444-2023</t>
        </is>
      </c>
      <c r="B802" s="1" t="n">
        <v>44987</v>
      </c>
      <c r="C802" s="1" t="n">
        <v>45731</v>
      </c>
      <c r="D802" t="inlineStr">
        <is>
          <t>KALMAR LÄN</t>
        </is>
      </c>
      <c r="E802" t="inlineStr">
        <is>
          <t>VIMMERBY</t>
        </is>
      </c>
      <c r="G802" t="n">
        <v>7.4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v>
      </c>
      <c r="C803" s="1" t="n">
        <v>45731</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10439-2023</t>
        </is>
      </c>
      <c r="B804" s="1" t="n">
        <v>44987</v>
      </c>
      <c r="C804" s="1" t="n">
        <v>45731</v>
      </c>
      <c r="D804" t="inlineStr">
        <is>
          <t>KALMAR LÄN</t>
        </is>
      </c>
      <c r="E804" t="inlineStr">
        <is>
          <t>VIMMERBY</t>
        </is>
      </c>
      <c r="G804" t="n">
        <v>2.9</v>
      </c>
      <c r="H804" t="n">
        <v>0</v>
      </c>
      <c r="I804" t="n">
        <v>0</v>
      </c>
      <c r="J804" t="n">
        <v>0</v>
      </c>
      <c r="K804" t="n">
        <v>0</v>
      </c>
      <c r="L804" t="n">
        <v>0</v>
      </c>
      <c r="M804" t="n">
        <v>0</v>
      </c>
      <c r="N804" t="n">
        <v>0</v>
      </c>
      <c r="O804" t="n">
        <v>0</v>
      </c>
      <c r="P804" t="n">
        <v>0</v>
      </c>
      <c r="Q804" t="n">
        <v>0</v>
      </c>
      <c r="R804" s="2" t="inlineStr"/>
    </row>
    <row r="805" ht="15" customHeight="1">
      <c r="A805" t="inlineStr">
        <is>
          <t>A 10759-2023</t>
        </is>
      </c>
      <c r="B805" s="1" t="n">
        <v>44988</v>
      </c>
      <c r="C805" s="1" t="n">
        <v>45731</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10800-2023</t>
        </is>
      </c>
      <c r="B806" s="1" t="n">
        <v>44989</v>
      </c>
      <c r="C806" s="1" t="n">
        <v>45731</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10821-2023</t>
        </is>
      </c>
      <c r="B807" s="1" t="n">
        <v>44990</v>
      </c>
      <c r="C807" s="1" t="n">
        <v>45731</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10837-2023</t>
        </is>
      </c>
      <c r="B808" s="1" t="n">
        <v>44991</v>
      </c>
      <c r="C808" s="1" t="n">
        <v>45731</v>
      </c>
      <c r="D808" t="inlineStr">
        <is>
          <t>KALMAR LÄN</t>
        </is>
      </c>
      <c r="E808" t="inlineStr">
        <is>
          <t>VIMMERBY</t>
        </is>
      </c>
      <c r="G808" t="n">
        <v>7.3</v>
      </c>
      <c r="H808" t="n">
        <v>0</v>
      </c>
      <c r="I808" t="n">
        <v>0</v>
      </c>
      <c r="J808" t="n">
        <v>0</v>
      </c>
      <c r="K808" t="n">
        <v>0</v>
      </c>
      <c r="L808" t="n">
        <v>0</v>
      </c>
      <c r="M808" t="n">
        <v>0</v>
      </c>
      <c r="N808" t="n">
        <v>0</v>
      </c>
      <c r="O808" t="n">
        <v>0</v>
      </c>
      <c r="P808" t="n">
        <v>0</v>
      </c>
      <c r="Q808" t="n">
        <v>0</v>
      </c>
      <c r="R808" s="2" t="inlineStr"/>
    </row>
    <row r="809" ht="15" customHeight="1">
      <c r="A809" t="inlineStr">
        <is>
          <t>A 10835-2023</t>
        </is>
      </c>
      <c r="B809" s="1" t="n">
        <v>44991</v>
      </c>
      <c r="C809" s="1" t="n">
        <v>45731</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10838-2023</t>
        </is>
      </c>
      <c r="B810" s="1" t="n">
        <v>44991</v>
      </c>
      <c r="C810" s="1" t="n">
        <v>45731</v>
      </c>
      <c r="D810" t="inlineStr">
        <is>
          <t>KALMAR LÄN</t>
        </is>
      </c>
      <c r="E810" t="inlineStr">
        <is>
          <t>VIMMERBY</t>
        </is>
      </c>
      <c r="G810" t="n">
        <v>5.1</v>
      </c>
      <c r="H810" t="n">
        <v>0</v>
      </c>
      <c r="I810" t="n">
        <v>0</v>
      </c>
      <c r="J810" t="n">
        <v>0</v>
      </c>
      <c r="K810" t="n">
        <v>0</v>
      </c>
      <c r="L810" t="n">
        <v>0</v>
      </c>
      <c r="M810" t="n">
        <v>0</v>
      </c>
      <c r="N810" t="n">
        <v>0</v>
      </c>
      <c r="O810" t="n">
        <v>0</v>
      </c>
      <c r="P810" t="n">
        <v>0</v>
      </c>
      <c r="Q810" t="n">
        <v>0</v>
      </c>
      <c r="R810" s="2" t="inlineStr"/>
    </row>
    <row r="811" ht="15" customHeight="1">
      <c r="A811" t="inlineStr">
        <is>
          <t>A 11027-2023</t>
        </is>
      </c>
      <c r="B811" s="1" t="n">
        <v>44991</v>
      </c>
      <c r="C811" s="1" t="n">
        <v>45731</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11076-2023</t>
        </is>
      </c>
      <c r="B812" s="1" t="n">
        <v>44992</v>
      </c>
      <c r="C812" s="1" t="n">
        <v>45731</v>
      </c>
      <c r="D812" t="inlineStr">
        <is>
          <t>KALMAR LÄN</t>
        </is>
      </c>
      <c r="E812" t="inlineStr">
        <is>
          <t>VIMMERBY</t>
        </is>
      </c>
      <c r="G812" t="n">
        <v>6.1</v>
      </c>
      <c r="H812" t="n">
        <v>0</v>
      </c>
      <c r="I812" t="n">
        <v>0</v>
      </c>
      <c r="J812" t="n">
        <v>0</v>
      </c>
      <c r="K812" t="n">
        <v>0</v>
      </c>
      <c r="L812" t="n">
        <v>0</v>
      </c>
      <c r="M812" t="n">
        <v>0</v>
      </c>
      <c r="N812" t="n">
        <v>0</v>
      </c>
      <c r="O812" t="n">
        <v>0</v>
      </c>
      <c r="P812" t="n">
        <v>0</v>
      </c>
      <c r="Q812" t="n">
        <v>0</v>
      </c>
      <c r="R812" s="2" t="inlineStr"/>
    </row>
    <row r="813" ht="15" customHeight="1">
      <c r="A813" t="inlineStr">
        <is>
          <t>A 11073-2023</t>
        </is>
      </c>
      <c r="B813" s="1" t="n">
        <v>44992</v>
      </c>
      <c r="C813" s="1" t="n">
        <v>45731</v>
      </c>
      <c r="D813" t="inlineStr">
        <is>
          <t>KALMAR LÄN</t>
        </is>
      </c>
      <c r="E813" t="inlineStr">
        <is>
          <t>VIMMERBY</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45731</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11111-2023</t>
        </is>
      </c>
      <c r="B815" s="1" t="n">
        <v>44992</v>
      </c>
      <c r="C815" s="1" t="n">
        <v>45731</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11152-2023</t>
        </is>
      </c>
      <c r="B816" s="1" t="n">
        <v>44992</v>
      </c>
      <c r="C816" s="1" t="n">
        <v>45731</v>
      </c>
      <c r="D816" t="inlineStr">
        <is>
          <t>KALMAR LÄN</t>
        </is>
      </c>
      <c r="E816" t="inlineStr">
        <is>
          <t>VIMMERBY</t>
        </is>
      </c>
      <c r="G816" t="n">
        <v>10.6</v>
      </c>
      <c r="H816" t="n">
        <v>0</v>
      </c>
      <c r="I816" t="n">
        <v>0</v>
      </c>
      <c r="J816" t="n">
        <v>0</v>
      </c>
      <c r="K816" t="n">
        <v>0</v>
      </c>
      <c r="L816" t="n">
        <v>0</v>
      </c>
      <c r="M816" t="n">
        <v>0</v>
      </c>
      <c r="N816" t="n">
        <v>0</v>
      </c>
      <c r="O816" t="n">
        <v>0</v>
      </c>
      <c r="P816" t="n">
        <v>0</v>
      </c>
      <c r="Q816" t="n">
        <v>0</v>
      </c>
      <c r="R816" s="2" t="inlineStr"/>
    </row>
    <row r="817" ht="15" customHeight="1">
      <c r="A817" t="inlineStr">
        <is>
          <t>A 11074-2023</t>
        </is>
      </c>
      <c r="B817" s="1" t="n">
        <v>44992</v>
      </c>
      <c r="C817" s="1" t="n">
        <v>45731</v>
      </c>
      <c r="D817" t="inlineStr">
        <is>
          <t>KALMAR LÄN</t>
        </is>
      </c>
      <c r="E817" t="inlineStr">
        <is>
          <t>VIMMERBY</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11219-2023</t>
        </is>
      </c>
      <c r="B818" s="1" t="n">
        <v>44992</v>
      </c>
      <c r="C818" s="1" t="n">
        <v>45731</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11416-2023</t>
        </is>
      </c>
      <c r="B819" s="1" t="n">
        <v>44993</v>
      </c>
      <c r="C819" s="1" t="n">
        <v>45731</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v>
      </c>
      <c r="C820" s="1" t="n">
        <v>45731</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11609-2023</t>
        </is>
      </c>
      <c r="B821" s="1" t="n">
        <v>44994</v>
      </c>
      <c r="C821" s="1" t="n">
        <v>45731</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11661-2023</t>
        </is>
      </c>
      <c r="B822" s="1" t="n">
        <v>44994</v>
      </c>
      <c r="C822" s="1" t="n">
        <v>45731</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12008-2023</t>
        </is>
      </c>
      <c r="B823" s="1" t="n">
        <v>44995</v>
      </c>
      <c r="C823" s="1" t="n">
        <v>45731</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11999-2023</t>
        </is>
      </c>
      <c r="B824" s="1" t="n">
        <v>44995</v>
      </c>
      <c r="C824" s="1" t="n">
        <v>45731</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12012-2023</t>
        </is>
      </c>
      <c r="B825" s="1" t="n">
        <v>44995</v>
      </c>
      <c r="C825" s="1" t="n">
        <v>45731</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12010-2023</t>
        </is>
      </c>
      <c r="B826" s="1" t="n">
        <v>44995</v>
      </c>
      <c r="C826" s="1" t="n">
        <v>45731</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12325-2023</t>
        </is>
      </c>
      <c r="B827" s="1" t="n">
        <v>44999</v>
      </c>
      <c r="C827" s="1" t="n">
        <v>45731</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v>
      </c>
      <c r="C828" s="1" t="n">
        <v>45731</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12499-2023</t>
        </is>
      </c>
      <c r="B829" s="1" t="n">
        <v>44999</v>
      </c>
      <c r="C829" s="1" t="n">
        <v>45731</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12500-2023</t>
        </is>
      </c>
      <c r="B830" s="1" t="n">
        <v>44999</v>
      </c>
      <c r="C830" s="1" t="n">
        <v>45731</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12630-2023</t>
        </is>
      </c>
      <c r="B831" s="1" t="n">
        <v>45000</v>
      </c>
      <c r="C831" s="1" t="n">
        <v>45731</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12692-2023</t>
        </is>
      </c>
      <c r="B832" s="1" t="n">
        <v>45000</v>
      </c>
      <c r="C832" s="1" t="n">
        <v>45731</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v>
      </c>
      <c r="C833" s="1" t="n">
        <v>45731</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12890-2023</t>
        </is>
      </c>
      <c r="B834" s="1" t="n">
        <v>45001</v>
      </c>
      <c r="C834" s="1" t="n">
        <v>45731</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45731</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13462-2023</t>
        </is>
      </c>
      <c r="B836" s="1" t="n">
        <v>45005</v>
      </c>
      <c r="C836" s="1" t="n">
        <v>45731</v>
      </c>
      <c r="D836" t="inlineStr">
        <is>
          <t>KALMAR LÄN</t>
        </is>
      </c>
      <c r="E836" t="inlineStr">
        <is>
          <t>VIMMERBY</t>
        </is>
      </c>
      <c r="G836" t="n">
        <v>1.9</v>
      </c>
      <c r="H836" t="n">
        <v>0</v>
      </c>
      <c r="I836" t="n">
        <v>0</v>
      </c>
      <c r="J836" t="n">
        <v>0</v>
      </c>
      <c r="K836" t="n">
        <v>0</v>
      </c>
      <c r="L836" t="n">
        <v>0</v>
      </c>
      <c r="M836" t="n">
        <v>0</v>
      </c>
      <c r="N836" t="n">
        <v>0</v>
      </c>
      <c r="O836" t="n">
        <v>0</v>
      </c>
      <c r="P836" t="n">
        <v>0</v>
      </c>
      <c r="Q836" t="n">
        <v>0</v>
      </c>
      <c r="R836" s="2" t="inlineStr"/>
    </row>
    <row r="837" ht="15" customHeight="1">
      <c r="A837" t="inlineStr">
        <is>
          <t>A 13797-2023</t>
        </is>
      </c>
      <c r="B837" s="1" t="n">
        <v>45007</v>
      </c>
      <c r="C837" s="1" t="n">
        <v>45731</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14025-2023</t>
        </is>
      </c>
      <c r="B838" s="1" t="n">
        <v>45008</v>
      </c>
      <c r="C838" s="1" t="n">
        <v>45731</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14132-2023</t>
        </is>
      </c>
      <c r="B839" s="1" t="n">
        <v>45009</v>
      </c>
      <c r="C839" s="1" t="n">
        <v>45731</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14137-2023</t>
        </is>
      </c>
      <c r="B840" s="1" t="n">
        <v>45009</v>
      </c>
      <c r="C840" s="1" t="n">
        <v>45731</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14142-2023</t>
        </is>
      </c>
      <c r="B841" s="1" t="n">
        <v>45009</v>
      </c>
      <c r="C841" s="1" t="n">
        <v>45731</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14248-2023</t>
        </is>
      </c>
      <c r="B842" s="1" t="n">
        <v>45009</v>
      </c>
      <c r="C842" s="1" t="n">
        <v>45731</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14440-2023</t>
        </is>
      </c>
      <c r="B843" s="1" t="n">
        <v>45012</v>
      </c>
      <c r="C843" s="1" t="n">
        <v>45731</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14438-2023</t>
        </is>
      </c>
      <c r="B844" s="1" t="n">
        <v>45012</v>
      </c>
      <c r="C844" s="1" t="n">
        <v>45731</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14996-2023</t>
        </is>
      </c>
      <c r="B845" s="1" t="n">
        <v>45014</v>
      </c>
      <c r="C845" s="1" t="n">
        <v>45731</v>
      </c>
      <c r="D845" t="inlineStr">
        <is>
          <t>KALMAR LÄN</t>
        </is>
      </c>
      <c r="E845" t="inlineStr">
        <is>
          <t>VIMMERBY</t>
        </is>
      </c>
      <c r="G845" t="n">
        <v>6.9</v>
      </c>
      <c r="H845" t="n">
        <v>0</v>
      </c>
      <c r="I845" t="n">
        <v>0</v>
      </c>
      <c r="J845" t="n">
        <v>0</v>
      </c>
      <c r="K845" t="n">
        <v>0</v>
      </c>
      <c r="L845" t="n">
        <v>0</v>
      </c>
      <c r="M845" t="n">
        <v>0</v>
      </c>
      <c r="N845" t="n">
        <v>0</v>
      </c>
      <c r="O845" t="n">
        <v>0</v>
      </c>
      <c r="P845" t="n">
        <v>0</v>
      </c>
      <c r="Q845" t="n">
        <v>0</v>
      </c>
      <c r="R845" s="2" t="inlineStr"/>
    </row>
    <row r="846" ht="15" customHeight="1">
      <c r="A846" t="inlineStr">
        <is>
          <t>A 15493-2023</t>
        </is>
      </c>
      <c r="B846" s="1" t="n">
        <v>45018</v>
      </c>
      <c r="C846" s="1" t="n">
        <v>45731</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15550-2023</t>
        </is>
      </c>
      <c r="B847" s="1" t="n">
        <v>45020</v>
      </c>
      <c r="C847" s="1" t="n">
        <v>45731</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15449-2023</t>
        </is>
      </c>
      <c r="B848" s="1" t="n">
        <v>45020</v>
      </c>
      <c r="C848" s="1" t="n">
        <v>45731</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15486-2023</t>
        </is>
      </c>
      <c r="B849" s="1" t="n">
        <v>45020</v>
      </c>
      <c r="C849" s="1" t="n">
        <v>45731</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15490-2023</t>
        </is>
      </c>
      <c r="B850" s="1" t="n">
        <v>45020</v>
      </c>
      <c r="C850" s="1" t="n">
        <v>45731</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15740-2023</t>
        </is>
      </c>
      <c r="B851" s="1" t="n">
        <v>45021</v>
      </c>
      <c r="C851" s="1" t="n">
        <v>45731</v>
      </c>
      <c r="D851" t="inlineStr">
        <is>
          <t>KALMAR LÄN</t>
        </is>
      </c>
      <c r="E851" t="inlineStr">
        <is>
          <t>VIMMERBY</t>
        </is>
      </c>
      <c r="G851" t="n">
        <v>1.9</v>
      </c>
      <c r="H851" t="n">
        <v>0</v>
      </c>
      <c r="I851" t="n">
        <v>0</v>
      </c>
      <c r="J851" t="n">
        <v>0</v>
      </c>
      <c r="K851" t="n">
        <v>0</v>
      </c>
      <c r="L851" t="n">
        <v>0</v>
      </c>
      <c r="M851" t="n">
        <v>0</v>
      </c>
      <c r="N851" t="n">
        <v>0</v>
      </c>
      <c r="O851" t="n">
        <v>0</v>
      </c>
      <c r="P851" t="n">
        <v>0</v>
      </c>
      <c r="Q851" t="n">
        <v>0</v>
      </c>
      <c r="R851" s="2" t="inlineStr"/>
    </row>
    <row r="852" ht="15" customHeight="1">
      <c r="A852" t="inlineStr">
        <is>
          <t>A 15993-2023</t>
        </is>
      </c>
      <c r="B852" s="1" t="n">
        <v>45023</v>
      </c>
      <c r="C852" s="1" t="n">
        <v>45731</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16020-2023</t>
        </is>
      </c>
      <c r="B853" s="1" t="n">
        <v>45026</v>
      </c>
      <c r="C853" s="1" t="n">
        <v>45731</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16119-2023</t>
        </is>
      </c>
      <c r="B854" s="1" t="n">
        <v>45027</v>
      </c>
      <c r="C854" s="1" t="n">
        <v>45731</v>
      </c>
      <c r="D854" t="inlineStr">
        <is>
          <t>KALMAR LÄN</t>
        </is>
      </c>
      <c r="E854" t="inlineStr">
        <is>
          <t>VIMMERBY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16676-2023</t>
        </is>
      </c>
      <c r="B855" s="1" t="n">
        <v>45028</v>
      </c>
      <c r="C855" s="1" t="n">
        <v>45731</v>
      </c>
      <c r="D855" t="inlineStr">
        <is>
          <t>KALMAR LÄN</t>
        </is>
      </c>
      <c r="E855" t="inlineStr">
        <is>
          <t>VIMMERBY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16516-2023</t>
        </is>
      </c>
      <c r="B856" s="1" t="n">
        <v>45029</v>
      </c>
      <c r="C856" s="1" t="n">
        <v>45731</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16734-2023</t>
        </is>
      </c>
      <c r="B857" s="1" t="n">
        <v>45030</v>
      </c>
      <c r="C857" s="1" t="n">
        <v>45731</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16750-2023</t>
        </is>
      </c>
      <c r="B858" s="1" t="n">
        <v>45030</v>
      </c>
      <c r="C858" s="1" t="n">
        <v>45731</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16927-2023</t>
        </is>
      </c>
      <c r="B859" s="1" t="n">
        <v>45033</v>
      </c>
      <c r="C859" s="1" t="n">
        <v>45731</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16983-2023</t>
        </is>
      </c>
      <c r="B860" s="1" t="n">
        <v>45033</v>
      </c>
      <c r="C860" s="1" t="n">
        <v>45731</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17758-2023</t>
        </is>
      </c>
      <c r="B861" s="1" t="n">
        <v>45037</v>
      </c>
      <c r="C861" s="1" t="n">
        <v>45731</v>
      </c>
      <c r="D861" t="inlineStr">
        <is>
          <t>KALMAR LÄN</t>
        </is>
      </c>
      <c r="E861" t="inlineStr">
        <is>
          <t>VIMMERBY</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17964-2023</t>
        </is>
      </c>
      <c r="B862" s="1" t="n">
        <v>45040</v>
      </c>
      <c r="C862" s="1" t="n">
        <v>45731</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18209-2023</t>
        </is>
      </c>
      <c r="B863" s="1" t="n">
        <v>45041</v>
      </c>
      <c r="C863" s="1" t="n">
        <v>45731</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18330-2023</t>
        </is>
      </c>
      <c r="B864" s="1" t="n">
        <v>45041</v>
      </c>
      <c r="C864" s="1" t="n">
        <v>45731</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18329-2023</t>
        </is>
      </c>
      <c r="B865" s="1" t="n">
        <v>45041</v>
      </c>
      <c r="C865" s="1" t="n">
        <v>45731</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18328-2023</t>
        </is>
      </c>
      <c r="B866" s="1" t="n">
        <v>45041</v>
      </c>
      <c r="C866" s="1" t="n">
        <v>45731</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18609-2023</t>
        </is>
      </c>
      <c r="B867" s="1" t="n">
        <v>45041</v>
      </c>
      <c r="C867" s="1" t="n">
        <v>45731</v>
      </c>
      <c r="D867" t="inlineStr">
        <is>
          <t>KALMAR LÄN</t>
        </is>
      </c>
      <c r="E867" t="inlineStr">
        <is>
          <t>VIMMERBY</t>
        </is>
      </c>
      <c r="G867" t="n">
        <v>3</v>
      </c>
      <c r="H867" t="n">
        <v>0</v>
      </c>
      <c r="I867" t="n">
        <v>0</v>
      </c>
      <c r="J867" t="n">
        <v>0</v>
      </c>
      <c r="K867" t="n">
        <v>0</v>
      </c>
      <c r="L867" t="n">
        <v>0</v>
      </c>
      <c r="M867" t="n">
        <v>0</v>
      </c>
      <c r="N867" t="n">
        <v>0</v>
      </c>
      <c r="O867" t="n">
        <v>0</v>
      </c>
      <c r="P867" t="n">
        <v>0</v>
      </c>
      <c r="Q867" t="n">
        <v>0</v>
      </c>
      <c r="R867" s="2" t="inlineStr"/>
    </row>
    <row r="868" ht="15" customHeight="1">
      <c r="A868" t="inlineStr">
        <is>
          <t>A 18731-2023</t>
        </is>
      </c>
      <c r="B868" s="1" t="n">
        <v>45043</v>
      </c>
      <c r="C868" s="1" t="n">
        <v>45731</v>
      </c>
      <c r="D868" t="inlineStr">
        <is>
          <t>KALMAR LÄN</t>
        </is>
      </c>
      <c r="E868" t="inlineStr">
        <is>
          <t>VIMMERBY</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19013-2023</t>
        </is>
      </c>
      <c r="B869" s="1" t="n">
        <v>45045</v>
      </c>
      <c r="C869" s="1" t="n">
        <v>45731</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19162-2023</t>
        </is>
      </c>
      <c r="B870" s="1" t="n">
        <v>45048</v>
      </c>
      <c r="C870" s="1" t="n">
        <v>45731</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19833-2023</t>
        </is>
      </c>
      <c r="B871" s="1" t="n">
        <v>45052</v>
      </c>
      <c r="C871" s="1" t="n">
        <v>45731</v>
      </c>
      <c r="D871" t="inlineStr">
        <is>
          <t>KALMAR LÄN</t>
        </is>
      </c>
      <c r="E871" t="inlineStr">
        <is>
          <t>VIMMERBY</t>
        </is>
      </c>
      <c r="G871" t="n">
        <v>6.7</v>
      </c>
      <c r="H871" t="n">
        <v>0</v>
      </c>
      <c r="I871" t="n">
        <v>0</v>
      </c>
      <c r="J871" t="n">
        <v>0</v>
      </c>
      <c r="K871" t="n">
        <v>0</v>
      </c>
      <c r="L871" t="n">
        <v>0</v>
      </c>
      <c r="M871" t="n">
        <v>0</v>
      </c>
      <c r="N871" t="n">
        <v>0</v>
      </c>
      <c r="O871" t="n">
        <v>0</v>
      </c>
      <c r="P871" t="n">
        <v>0</v>
      </c>
      <c r="Q871" t="n">
        <v>0</v>
      </c>
      <c r="R871" s="2" t="inlineStr"/>
    </row>
    <row r="872" ht="15" customHeight="1">
      <c r="A872" t="inlineStr">
        <is>
          <t>A 20054-2023</t>
        </is>
      </c>
      <c r="B872" s="1" t="n">
        <v>45054</v>
      </c>
      <c r="C872" s="1" t="n">
        <v>45731</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20218-2023</t>
        </is>
      </c>
      <c r="B873" s="1" t="n">
        <v>45055</v>
      </c>
      <c r="C873" s="1" t="n">
        <v>45731</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20117-2023</t>
        </is>
      </c>
      <c r="B874" s="1" t="n">
        <v>45055</v>
      </c>
      <c r="C874" s="1" t="n">
        <v>45731</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20215-2023</t>
        </is>
      </c>
      <c r="B875" s="1" t="n">
        <v>45055</v>
      </c>
      <c r="C875" s="1" t="n">
        <v>45731</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20216-2023</t>
        </is>
      </c>
      <c r="B876" s="1" t="n">
        <v>45055</v>
      </c>
      <c r="C876" s="1" t="n">
        <v>45731</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20421-2023</t>
        </is>
      </c>
      <c r="B877" s="1" t="n">
        <v>45056</v>
      </c>
      <c r="C877" s="1" t="n">
        <v>45731</v>
      </c>
      <c r="D877" t="inlineStr">
        <is>
          <t>KALMAR LÄN</t>
        </is>
      </c>
      <c r="E877" t="inlineStr">
        <is>
          <t>VIMMERBY</t>
        </is>
      </c>
      <c r="G877" t="n">
        <v>5.2</v>
      </c>
      <c r="H877" t="n">
        <v>0</v>
      </c>
      <c r="I877" t="n">
        <v>0</v>
      </c>
      <c r="J877" t="n">
        <v>0</v>
      </c>
      <c r="K877" t="n">
        <v>0</v>
      </c>
      <c r="L877" t="n">
        <v>0</v>
      </c>
      <c r="M877" t="n">
        <v>0</v>
      </c>
      <c r="N877" t="n">
        <v>0</v>
      </c>
      <c r="O877" t="n">
        <v>0</v>
      </c>
      <c r="P877" t="n">
        <v>0</v>
      </c>
      <c r="Q877" t="n">
        <v>0</v>
      </c>
      <c r="R877" s="2" t="inlineStr"/>
    </row>
    <row r="878" ht="15" customHeight="1">
      <c r="A878" t="inlineStr">
        <is>
          <t>A 20542-2023</t>
        </is>
      </c>
      <c r="B878" s="1" t="n">
        <v>45057</v>
      </c>
      <c r="C878" s="1" t="n">
        <v>45731</v>
      </c>
      <c r="D878" t="inlineStr">
        <is>
          <t>KALMAR LÄN</t>
        </is>
      </c>
      <c r="E878" t="inlineStr">
        <is>
          <t>VIMMERBY</t>
        </is>
      </c>
      <c r="G878" t="n">
        <v>4.4</v>
      </c>
      <c r="H878" t="n">
        <v>0</v>
      </c>
      <c r="I878" t="n">
        <v>0</v>
      </c>
      <c r="J878" t="n">
        <v>0</v>
      </c>
      <c r="K878" t="n">
        <v>0</v>
      </c>
      <c r="L878" t="n">
        <v>0</v>
      </c>
      <c r="M878" t="n">
        <v>0</v>
      </c>
      <c r="N878" t="n">
        <v>0</v>
      </c>
      <c r="O878" t="n">
        <v>0</v>
      </c>
      <c r="P878" t="n">
        <v>0</v>
      </c>
      <c r="Q878" t="n">
        <v>0</v>
      </c>
      <c r="R878" s="2" t="inlineStr"/>
    </row>
    <row r="879" ht="15" customHeight="1">
      <c r="A879" t="inlineStr">
        <is>
          <t>A 20699-2023</t>
        </is>
      </c>
      <c r="B879" s="1" t="n">
        <v>45058</v>
      </c>
      <c r="C879" s="1" t="n">
        <v>45731</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20736-2023</t>
        </is>
      </c>
      <c r="B880" s="1" t="n">
        <v>45058</v>
      </c>
      <c r="C880" s="1" t="n">
        <v>45731</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21025-2023</t>
        </is>
      </c>
      <c r="B881" s="1" t="n">
        <v>45061</v>
      </c>
      <c r="C881" s="1" t="n">
        <v>45731</v>
      </c>
      <c r="D881" t="inlineStr">
        <is>
          <t>KALMAR LÄN</t>
        </is>
      </c>
      <c r="E881" t="inlineStr">
        <is>
          <t>VIMMERBY</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45731</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21496-2023</t>
        </is>
      </c>
      <c r="B883" s="1" t="n">
        <v>45063</v>
      </c>
      <c r="C883" s="1" t="n">
        <v>45731</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21507-2023</t>
        </is>
      </c>
      <c r="B884" s="1" t="n">
        <v>45063</v>
      </c>
      <c r="C884" s="1" t="n">
        <v>45731</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21911-2023</t>
        </is>
      </c>
      <c r="B885" s="1" t="n">
        <v>45068</v>
      </c>
      <c r="C885" s="1" t="n">
        <v>45731</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22415-2023</t>
        </is>
      </c>
      <c r="B886" s="1" t="n">
        <v>45070</v>
      </c>
      <c r="C886" s="1" t="n">
        <v>45731</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22264-2023</t>
        </is>
      </c>
      <c r="B887" s="1" t="n">
        <v>45070</v>
      </c>
      <c r="C887" s="1" t="n">
        <v>45731</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22421-2023</t>
        </is>
      </c>
      <c r="B888" s="1" t="n">
        <v>45070</v>
      </c>
      <c r="C888" s="1" t="n">
        <v>45731</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22266-2023</t>
        </is>
      </c>
      <c r="B889" s="1" t="n">
        <v>45070</v>
      </c>
      <c r="C889" s="1" t="n">
        <v>45731</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22418-2023</t>
        </is>
      </c>
      <c r="B890" s="1" t="n">
        <v>45070</v>
      </c>
      <c r="C890" s="1" t="n">
        <v>45731</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22426-2023</t>
        </is>
      </c>
      <c r="B891" s="1" t="n">
        <v>45070</v>
      </c>
      <c r="C891" s="1" t="n">
        <v>45731</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22423-2023</t>
        </is>
      </c>
      <c r="B892" s="1" t="n">
        <v>45070</v>
      </c>
      <c r="C892" s="1" t="n">
        <v>45731</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c r="U892">
        <f>HYPERLINK("https://klasma.github.io/Logging_0884/knärot/A 22423-2023 karta knärot.png", "A 22423-2023")</f>
        <v/>
      </c>
      <c r="V892">
        <f>HYPERLINK("https://klasma.github.io/Logging_0884/klagomål/A 22423-2023 FSC-klagomål.docx", "A 22423-2023")</f>
        <v/>
      </c>
      <c r="W892">
        <f>HYPERLINK("https://klasma.github.io/Logging_0884/klagomålsmail/A 22423-2023 FSC-klagomål mail.docx", "A 22423-2023")</f>
        <v/>
      </c>
      <c r="X892">
        <f>HYPERLINK("https://klasma.github.io/Logging_0884/tillsyn/A 22423-2023 tillsynsbegäran.docx", "A 22423-2023")</f>
        <v/>
      </c>
      <c r="Y892">
        <f>HYPERLINK("https://klasma.github.io/Logging_0884/tillsynsmail/A 22423-2023 tillsynsbegäran mail.docx", "A 22423-2023")</f>
        <v/>
      </c>
    </row>
    <row r="893" ht="15" customHeight="1">
      <c r="A893" t="inlineStr">
        <is>
          <t>A 22643-2023</t>
        </is>
      </c>
      <c r="B893" s="1" t="n">
        <v>45071</v>
      </c>
      <c r="C893" s="1" t="n">
        <v>45731</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22760-2023</t>
        </is>
      </c>
      <c r="B894" s="1" t="n">
        <v>45072</v>
      </c>
      <c r="C894" s="1" t="n">
        <v>45731</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23032-2023</t>
        </is>
      </c>
      <c r="B895" s="1" t="n">
        <v>45074</v>
      </c>
      <c r="C895" s="1" t="n">
        <v>45731</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23095-2023</t>
        </is>
      </c>
      <c r="B896" s="1" t="n">
        <v>45075</v>
      </c>
      <c r="C896" s="1" t="n">
        <v>45731</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23425-2023</t>
        </is>
      </c>
      <c r="B897" s="1" t="n">
        <v>45076</v>
      </c>
      <c r="C897" s="1" t="n">
        <v>45731</v>
      </c>
      <c r="D897" t="inlineStr">
        <is>
          <t>KALMAR LÄN</t>
        </is>
      </c>
      <c r="E897" t="inlineStr">
        <is>
          <t>VIMMERBY</t>
        </is>
      </c>
      <c r="G897" t="n">
        <v>4.8</v>
      </c>
      <c r="H897" t="n">
        <v>0</v>
      </c>
      <c r="I897" t="n">
        <v>0</v>
      </c>
      <c r="J897" t="n">
        <v>0</v>
      </c>
      <c r="K897" t="n">
        <v>0</v>
      </c>
      <c r="L897" t="n">
        <v>0</v>
      </c>
      <c r="M897" t="n">
        <v>0</v>
      </c>
      <c r="N897" t="n">
        <v>0</v>
      </c>
      <c r="O897" t="n">
        <v>0</v>
      </c>
      <c r="P897" t="n">
        <v>0</v>
      </c>
      <c r="Q897" t="n">
        <v>0</v>
      </c>
      <c r="R897" s="2" t="inlineStr"/>
    </row>
    <row r="898" ht="15" customHeight="1">
      <c r="A898" t="inlineStr">
        <is>
          <t>A 23539-2023</t>
        </is>
      </c>
      <c r="B898" s="1" t="n">
        <v>45077</v>
      </c>
      <c r="C898" s="1" t="n">
        <v>45731</v>
      </c>
      <c r="D898" t="inlineStr">
        <is>
          <t>KALMAR LÄN</t>
        </is>
      </c>
      <c r="E898" t="inlineStr">
        <is>
          <t>VIMMERBY</t>
        </is>
      </c>
      <c r="G898" t="n">
        <v>6.9</v>
      </c>
      <c r="H898" t="n">
        <v>0</v>
      </c>
      <c r="I898" t="n">
        <v>0</v>
      </c>
      <c r="J898" t="n">
        <v>0</v>
      </c>
      <c r="K898" t="n">
        <v>0</v>
      </c>
      <c r="L898" t="n">
        <v>0</v>
      </c>
      <c r="M898" t="n">
        <v>0</v>
      </c>
      <c r="N898" t="n">
        <v>0</v>
      </c>
      <c r="O898" t="n">
        <v>0</v>
      </c>
      <c r="P898" t="n">
        <v>0</v>
      </c>
      <c r="Q898" t="n">
        <v>0</v>
      </c>
      <c r="R898" s="2" t="inlineStr"/>
    </row>
    <row r="899" ht="15" customHeight="1">
      <c r="A899" t="inlineStr">
        <is>
          <t>A 23695-2023</t>
        </is>
      </c>
      <c r="B899" s="1" t="n">
        <v>45077</v>
      </c>
      <c r="C899" s="1" t="n">
        <v>45731</v>
      </c>
      <c r="D899" t="inlineStr">
        <is>
          <t>KALMAR LÄN</t>
        </is>
      </c>
      <c r="E899" t="inlineStr">
        <is>
          <t>VIMMERBY</t>
        </is>
      </c>
      <c r="G899" t="n">
        <v>7.6</v>
      </c>
      <c r="H899" t="n">
        <v>0</v>
      </c>
      <c r="I899" t="n">
        <v>0</v>
      </c>
      <c r="J899" t="n">
        <v>0</v>
      </c>
      <c r="K899" t="n">
        <v>0</v>
      </c>
      <c r="L899" t="n">
        <v>0</v>
      </c>
      <c r="M899" t="n">
        <v>0</v>
      </c>
      <c r="N899" t="n">
        <v>0</v>
      </c>
      <c r="O899" t="n">
        <v>0</v>
      </c>
      <c r="P899" t="n">
        <v>0</v>
      </c>
      <c r="Q899" t="n">
        <v>0</v>
      </c>
      <c r="R899" s="2" t="inlineStr"/>
    </row>
    <row r="900" ht="15" customHeight="1">
      <c r="A900" t="inlineStr">
        <is>
          <t>A 24283-2023</t>
        </is>
      </c>
      <c r="B900" s="1" t="n">
        <v>45079</v>
      </c>
      <c r="C900" s="1" t="n">
        <v>45731</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24285-2023</t>
        </is>
      </c>
      <c r="B901" s="1" t="n">
        <v>45079</v>
      </c>
      <c r="C901" s="1" t="n">
        <v>45731</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24288-2023</t>
        </is>
      </c>
      <c r="B902" s="1" t="n">
        <v>45080</v>
      </c>
      <c r="C902" s="1" t="n">
        <v>45731</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25109-2023</t>
        </is>
      </c>
      <c r="B903" s="1" t="n">
        <v>45086</v>
      </c>
      <c r="C903" s="1" t="n">
        <v>45731</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25236-2023</t>
        </is>
      </c>
      <c r="B904" s="1" t="n">
        <v>45086</v>
      </c>
      <c r="C904" s="1" t="n">
        <v>45731</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25244-2023</t>
        </is>
      </c>
      <c r="B905" s="1" t="n">
        <v>45086</v>
      </c>
      <c r="C905" s="1" t="n">
        <v>45731</v>
      </c>
      <c r="D905" t="inlineStr">
        <is>
          <t>KALMAR LÄN</t>
        </is>
      </c>
      <c r="E905" t="inlineStr">
        <is>
          <t>VIMMERBY</t>
        </is>
      </c>
      <c r="G905" t="n">
        <v>4.7</v>
      </c>
      <c r="H905" t="n">
        <v>0</v>
      </c>
      <c r="I905" t="n">
        <v>0</v>
      </c>
      <c r="J905" t="n">
        <v>0</v>
      </c>
      <c r="K905" t="n">
        <v>0</v>
      </c>
      <c r="L905" t="n">
        <v>0</v>
      </c>
      <c r="M905" t="n">
        <v>0</v>
      </c>
      <c r="N905" t="n">
        <v>0</v>
      </c>
      <c r="O905" t="n">
        <v>0</v>
      </c>
      <c r="P905" t="n">
        <v>0</v>
      </c>
      <c r="Q905" t="n">
        <v>0</v>
      </c>
      <c r="R905" s="2" t="inlineStr"/>
    </row>
    <row r="906" ht="15" customHeight="1">
      <c r="A906" t="inlineStr">
        <is>
          <t>A 25234-2023</t>
        </is>
      </c>
      <c r="B906" s="1" t="n">
        <v>45086</v>
      </c>
      <c r="C906" s="1" t="n">
        <v>45731</v>
      </c>
      <c r="D906" t="inlineStr">
        <is>
          <t>KALMAR LÄN</t>
        </is>
      </c>
      <c r="E906" t="inlineStr">
        <is>
          <t>VIMMERBY</t>
        </is>
      </c>
      <c r="G906" t="n">
        <v>2.1</v>
      </c>
      <c r="H906" t="n">
        <v>0</v>
      </c>
      <c r="I906" t="n">
        <v>0</v>
      </c>
      <c r="J906" t="n">
        <v>0</v>
      </c>
      <c r="K906" t="n">
        <v>0</v>
      </c>
      <c r="L906" t="n">
        <v>0</v>
      </c>
      <c r="M906" t="n">
        <v>0</v>
      </c>
      <c r="N906" t="n">
        <v>0</v>
      </c>
      <c r="O906" t="n">
        <v>0</v>
      </c>
      <c r="P906" t="n">
        <v>0</v>
      </c>
      <c r="Q906" t="n">
        <v>0</v>
      </c>
      <c r="R906" s="2" t="inlineStr"/>
    </row>
    <row r="907" ht="15" customHeight="1">
      <c r="A907" t="inlineStr">
        <is>
          <t>A 25885-2023</t>
        </is>
      </c>
      <c r="B907" s="1" t="n">
        <v>45090</v>
      </c>
      <c r="C907" s="1" t="n">
        <v>45731</v>
      </c>
      <c r="D907" t="inlineStr">
        <is>
          <t>KALMAR LÄN</t>
        </is>
      </c>
      <c r="E907" t="inlineStr">
        <is>
          <t>VIMMERBY</t>
        </is>
      </c>
      <c r="G907" t="n">
        <v>4.6</v>
      </c>
      <c r="H907" t="n">
        <v>0</v>
      </c>
      <c r="I907" t="n">
        <v>0</v>
      </c>
      <c r="J907" t="n">
        <v>0</v>
      </c>
      <c r="K907" t="n">
        <v>0</v>
      </c>
      <c r="L907" t="n">
        <v>0</v>
      </c>
      <c r="M907" t="n">
        <v>0</v>
      </c>
      <c r="N907" t="n">
        <v>0</v>
      </c>
      <c r="O907" t="n">
        <v>0</v>
      </c>
      <c r="P907" t="n">
        <v>0</v>
      </c>
      <c r="Q907" t="n">
        <v>0</v>
      </c>
      <c r="R907" s="2" t="inlineStr"/>
    </row>
    <row r="908" ht="15" customHeight="1">
      <c r="A908" t="inlineStr">
        <is>
          <t>A 25799-2023</t>
        </is>
      </c>
      <c r="B908" s="1" t="n">
        <v>45090</v>
      </c>
      <c r="C908" s="1" t="n">
        <v>45731</v>
      </c>
      <c r="D908" t="inlineStr">
        <is>
          <t>KALMAR LÄN</t>
        </is>
      </c>
      <c r="E908" t="inlineStr">
        <is>
          <t>VIMMERBY</t>
        </is>
      </c>
      <c r="G908" t="n">
        <v>7.7</v>
      </c>
      <c r="H908" t="n">
        <v>0</v>
      </c>
      <c r="I908" t="n">
        <v>0</v>
      </c>
      <c r="J908" t="n">
        <v>0</v>
      </c>
      <c r="K908" t="n">
        <v>0</v>
      </c>
      <c r="L908" t="n">
        <v>0</v>
      </c>
      <c r="M908" t="n">
        <v>0</v>
      </c>
      <c r="N908" t="n">
        <v>0</v>
      </c>
      <c r="O908" t="n">
        <v>0</v>
      </c>
      <c r="P908" t="n">
        <v>0</v>
      </c>
      <c r="Q908" t="n">
        <v>0</v>
      </c>
      <c r="R908" s="2" t="inlineStr"/>
    </row>
    <row r="909" ht="15" customHeight="1">
      <c r="A909" t="inlineStr">
        <is>
          <t>A 25979-2023</t>
        </is>
      </c>
      <c r="B909" s="1" t="n">
        <v>45090</v>
      </c>
      <c r="C909" s="1" t="n">
        <v>45731</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25976-2023</t>
        </is>
      </c>
      <c r="B910" s="1" t="n">
        <v>45090</v>
      </c>
      <c r="C910" s="1" t="n">
        <v>45731</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25980-2023</t>
        </is>
      </c>
      <c r="B911" s="1" t="n">
        <v>45090</v>
      </c>
      <c r="C911" s="1" t="n">
        <v>45731</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25977-2023</t>
        </is>
      </c>
      <c r="B912" s="1" t="n">
        <v>45090</v>
      </c>
      <c r="C912" s="1" t="n">
        <v>45731</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26318-2023</t>
        </is>
      </c>
      <c r="B913" s="1" t="n">
        <v>45091</v>
      </c>
      <c r="C913" s="1" t="n">
        <v>45731</v>
      </c>
      <c r="D913" t="inlineStr">
        <is>
          <t>KALMAR LÄN</t>
        </is>
      </c>
      <c r="E913" t="inlineStr">
        <is>
          <t>VIMMERBY</t>
        </is>
      </c>
      <c r="G913" t="n">
        <v>3.8</v>
      </c>
      <c r="H913" t="n">
        <v>0</v>
      </c>
      <c r="I913" t="n">
        <v>0</v>
      </c>
      <c r="J913" t="n">
        <v>0</v>
      </c>
      <c r="K913" t="n">
        <v>0</v>
      </c>
      <c r="L913" t="n">
        <v>0</v>
      </c>
      <c r="M913" t="n">
        <v>0</v>
      </c>
      <c r="N913" t="n">
        <v>0</v>
      </c>
      <c r="O913" t="n">
        <v>0</v>
      </c>
      <c r="P913" t="n">
        <v>0</v>
      </c>
      <c r="Q913" t="n">
        <v>0</v>
      </c>
      <c r="R913" s="2" t="inlineStr"/>
    </row>
    <row r="914" ht="15" customHeight="1">
      <c r="A914" t="inlineStr">
        <is>
          <t>A 26626-2023</t>
        </is>
      </c>
      <c r="B914" s="1" t="n">
        <v>45092</v>
      </c>
      <c r="C914" s="1" t="n">
        <v>45731</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26937-2023</t>
        </is>
      </c>
      <c r="B915" s="1" t="n">
        <v>45093</v>
      </c>
      <c r="C915" s="1" t="n">
        <v>45731</v>
      </c>
      <c r="D915" t="inlineStr">
        <is>
          <t>KALMAR LÄN</t>
        </is>
      </c>
      <c r="E915" t="inlineStr">
        <is>
          <t>VIMMERBY</t>
        </is>
      </c>
      <c r="F915" t="inlineStr">
        <is>
          <t>Sveaskog</t>
        </is>
      </c>
      <c r="G915" t="n">
        <v>14.5</v>
      </c>
      <c r="H915" t="n">
        <v>0</v>
      </c>
      <c r="I915" t="n">
        <v>0</v>
      </c>
      <c r="J915" t="n">
        <v>0</v>
      </c>
      <c r="K915" t="n">
        <v>0</v>
      </c>
      <c r="L915" t="n">
        <v>0</v>
      </c>
      <c r="M915" t="n">
        <v>0</v>
      </c>
      <c r="N915" t="n">
        <v>0</v>
      </c>
      <c r="O915" t="n">
        <v>0</v>
      </c>
      <c r="P915" t="n">
        <v>0</v>
      </c>
      <c r="Q915" t="n">
        <v>0</v>
      </c>
      <c r="R915" s="2" t="inlineStr"/>
    </row>
    <row r="916" ht="15" customHeight="1">
      <c r="A916" t="inlineStr">
        <is>
          <t>A 27122-2023</t>
        </is>
      </c>
      <c r="B916" s="1" t="n">
        <v>45096</v>
      </c>
      <c r="C916" s="1" t="n">
        <v>45731</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27138-2023</t>
        </is>
      </c>
      <c r="B917" s="1" t="n">
        <v>45096</v>
      </c>
      <c r="C917" s="1" t="n">
        <v>45731</v>
      </c>
      <c r="D917" t="inlineStr">
        <is>
          <t>KALMAR LÄN</t>
        </is>
      </c>
      <c r="E917" t="inlineStr">
        <is>
          <t>VIMMERBY</t>
        </is>
      </c>
      <c r="G917" t="n">
        <v>0.8</v>
      </c>
      <c r="H917" t="n">
        <v>0</v>
      </c>
      <c r="I917" t="n">
        <v>0</v>
      </c>
      <c r="J917" t="n">
        <v>0</v>
      </c>
      <c r="K917" t="n">
        <v>0</v>
      </c>
      <c r="L917" t="n">
        <v>0</v>
      </c>
      <c r="M917" t="n">
        <v>0</v>
      </c>
      <c r="N917" t="n">
        <v>0</v>
      </c>
      <c r="O917" t="n">
        <v>0</v>
      </c>
      <c r="P917" t="n">
        <v>0</v>
      </c>
      <c r="Q917" t="n">
        <v>0</v>
      </c>
      <c r="R917" s="2" t="inlineStr"/>
    </row>
    <row r="918" ht="15" customHeight="1">
      <c r="A918" t="inlineStr">
        <is>
          <t>A 28988-2023</t>
        </is>
      </c>
      <c r="B918" s="1" t="n">
        <v>45096</v>
      </c>
      <c r="C918" s="1" t="n">
        <v>45731</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ht="15" customHeight="1">
      <c r="A919" t="inlineStr">
        <is>
          <t>A 27443-2023</t>
        </is>
      </c>
      <c r="B919" s="1" t="n">
        <v>45097</v>
      </c>
      <c r="C919" s="1" t="n">
        <v>45731</v>
      </c>
      <c r="D919" t="inlineStr">
        <is>
          <t>KALMAR LÄN</t>
        </is>
      </c>
      <c r="E919" t="inlineStr">
        <is>
          <t>VIMMERBY</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27705-2023</t>
        </is>
      </c>
      <c r="B920" s="1" t="n">
        <v>45098</v>
      </c>
      <c r="C920" s="1" t="n">
        <v>45731</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28123-2023</t>
        </is>
      </c>
      <c r="B921" s="1" t="n">
        <v>45099</v>
      </c>
      <c r="C921" s="1" t="n">
        <v>45731</v>
      </c>
      <c r="D921" t="inlineStr">
        <is>
          <t>KALMAR LÄN</t>
        </is>
      </c>
      <c r="E921" t="inlineStr">
        <is>
          <t>VIMMERBY</t>
        </is>
      </c>
      <c r="G921" t="n">
        <v>2.5</v>
      </c>
      <c r="H921" t="n">
        <v>0</v>
      </c>
      <c r="I921" t="n">
        <v>0</v>
      </c>
      <c r="J921" t="n">
        <v>0</v>
      </c>
      <c r="K921" t="n">
        <v>0</v>
      </c>
      <c r="L921" t="n">
        <v>0</v>
      </c>
      <c r="M921" t="n">
        <v>0</v>
      </c>
      <c r="N921" t="n">
        <v>0</v>
      </c>
      <c r="O921" t="n">
        <v>0</v>
      </c>
      <c r="P921" t="n">
        <v>0</v>
      </c>
      <c r="Q921" t="n">
        <v>0</v>
      </c>
      <c r="R921" s="2" t="inlineStr"/>
    </row>
    <row r="922" ht="15" customHeight="1">
      <c r="A922" t="inlineStr">
        <is>
          <t>A 28129-2023</t>
        </is>
      </c>
      <c r="B922" s="1" t="n">
        <v>45099</v>
      </c>
      <c r="C922" s="1" t="n">
        <v>45731</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28395-2023</t>
        </is>
      </c>
      <c r="B923" s="1" t="n">
        <v>45100</v>
      </c>
      <c r="C923" s="1" t="n">
        <v>45731</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28403-2023</t>
        </is>
      </c>
      <c r="B924" s="1" t="n">
        <v>45100</v>
      </c>
      <c r="C924" s="1" t="n">
        <v>45731</v>
      </c>
      <c r="D924" t="inlineStr">
        <is>
          <t>KALMAR LÄN</t>
        </is>
      </c>
      <c r="E924" t="inlineStr">
        <is>
          <t>VIMMERBY</t>
        </is>
      </c>
      <c r="G924" t="n">
        <v>1.8</v>
      </c>
      <c r="H924" t="n">
        <v>0</v>
      </c>
      <c r="I924" t="n">
        <v>0</v>
      </c>
      <c r="J924" t="n">
        <v>0</v>
      </c>
      <c r="K924" t="n">
        <v>0</v>
      </c>
      <c r="L924" t="n">
        <v>0</v>
      </c>
      <c r="M924" t="n">
        <v>0</v>
      </c>
      <c r="N924" t="n">
        <v>0</v>
      </c>
      <c r="O924" t="n">
        <v>0</v>
      </c>
      <c r="P924" t="n">
        <v>0</v>
      </c>
      <c r="Q924" t="n">
        <v>0</v>
      </c>
      <c r="R924" s="2" t="inlineStr"/>
    </row>
    <row r="925" ht="15" customHeight="1">
      <c r="A925" t="inlineStr">
        <is>
          <t>A 29093-2023</t>
        </is>
      </c>
      <c r="B925" s="1" t="n">
        <v>45105</v>
      </c>
      <c r="C925" s="1" t="n">
        <v>45731</v>
      </c>
      <c r="D925" t="inlineStr">
        <is>
          <t>KALMAR LÄN</t>
        </is>
      </c>
      <c r="E925" t="inlineStr">
        <is>
          <t>VIMMERBY</t>
        </is>
      </c>
      <c r="G925" t="n">
        <v>2.9</v>
      </c>
      <c r="H925" t="n">
        <v>0</v>
      </c>
      <c r="I925" t="n">
        <v>0</v>
      </c>
      <c r="J925" t="n">
        <v>0</v>
      </c>
      <c r="K925" t="n">
        <v>0</v>
      </c>
      <c r="L925" t="n">
        <v>0</v>
      </c>
      <c r="M925" t="n">
        <v>0</v>
      </c>
      <c r="N925" t="n">
        <v>0</v>
      </c>
      <c r="O925" t="n">
        <v>0</v>
      </c>
      <c r="P925" t="n">
        <v>0</v>
      </c>
      <c r="Q925" t="n">
        <v>0</v>
      </c>
      <c r="R925" s="2" t="inlineStr"/>
    </row>
    <row r="926" ht="15" customHeight="1">
      <c r="A926" t="inlineStr">
        <is>
          <t>A 29196-2023</t>
        </is>
      </c>
      <c r="B926" s="1" t="n">
        <v>45105</v>
      </c>
      <c r="C926" s="1" t="n">
        <v>45731</v>
      </c>
      <c r="D926" t="inlineStr">
        <is>
          <t>KALMAR LÄN</t>
        </is>
      </c>
      <c r="E926" t="inlineStr">
        <is>
          <t>VIMMERBY</t>
        </is>
      </c>
      <c r="G926" t="n">
        <v>1.5</v>
      </c>
      <c r="H926" t="n">
        <v>0</v>
      </c>
      <c r="I926" t="n">
        <v>0</v>
      </c>
      <c r="J926" t="n">
        <v>0</v>
      </c>
      <c r="K926" t="n">
        <v>0</v>
      </c>
      <c r="L926" t="n">
        <v>0</v>
      </c>
      <c r="M926" t="n">
        <v>0</v>
      </c>
      <c r="N926" t="n">
        <v>0</v>
      </c>
      <c r="O926" t="n">
        <v>0</v>
      </c>
      <c r="P926" t="n">
        <v>0</v>
      </c>
      <c r="Q926" t="n">
        <v>0</v>
      </c>
      <c r="R926" s="2" t="inlineStr"/>
    </row>
    <row r="927" ht="15" customHeight="1">
      <c r="A927" t="inlineStr">
        <is>
          <t>A 29351-2023</t>
        </is>
      </c>
      <c r="B927" s="1" t="n">
        <v>45106</v>
      </c>
      <c r="C927" s="1" t="n">
        <v>45731</v>
      </c>
      <c r="D927" t="inlineStr">
        <is>
          <t>KALMAR LÄN</t>
        </is>
      </c>
      <c r="E927" t="inlineStr">
        <is>
          <t>VIMMERBY</t>
        </is>
      </c>
      <c r="G927" t="n">
        <v>0.4</v>
      </c>
      <c r="H927" t="n">
        <v>0</v>
      </c>
      <c r="I927" t="n">
        <v>0</v>
      </c>
      <c r="J927" t="n">
        <v>0</v>
      </c>
      <c r="K927" t="n">
        <v>0</v>
      </c>
      <c r="L927" t="n">
        <v>0</v>
      </c>
      <c r="M927" t="n">
        <v>0</v>
      </c>
      <c r="N927" t="n">
        <v>0</v>
      </c>
      <c r="O927" t="n">
        <v>0</v>
      </c>
      <c r="P927" t="n">
        <v>0</v>
      </c>
      <c r="Q927" t="n">
        <v>0</v>
      </c>
      <c r="R927" s="2" t="inlineStr"/>
    </row>
    <row r="928" ht="15" customHeight="1">
      <c r="A928" t="inlineStr">
        <is>
          <t>A 29350-2023</t>
        </is>
      </c>
      <c r="B928" s="1" t="n">
        <v>45106</v>
      </c>
      <c r="C928" s="1" t="n">
        <v>45731</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29348-2023</t>
        </is>
      </c>
      <c r="B929" s="1" t="n">
        <v>45106</v>
      </c>
      <c r="C929" s="1" t="n">
        <v>45731</v>
      </c>
      <c r="D929" t="inlineStr">
        <is>
          <t>KALMAR LÄN</t>
        </is>
      </c>
      <c r="E929" t="inlineStr">
        <is>
          <t>VIMMERBY</t>
        </is>
      </c>
      <c r="G929" t="n">
        <v>2.4</v>
      </c>
      <c r="H929" t="n">
        <v>0</v>
      </c>
      <c r="I929" t="n">
        <v>0</v>
      </c>
      <c r="J929" t="n">
        <v>0</v>
      </c>
      <c r="K929" t="n">
        <v>0</v>
      </c>
      <c r="L929" t="n">
        <v>0</v>
      </c>
      <c r="M929" t="n">
        <v>0</v>
      </c>
      <c r="N929" t="n">
        <v>0</v>
      </c>
      <c r="O929" t="n">
        <v>0</v>
      </c>
      <c r="P929" t="n">
        <v>0</v>
      </c>
      <c r="Q929" t="n">
        <v>0</v>
      </c>
      <c r="R929" s="2" t="inlineStr"/>
    </row>
    <row r="930" ht="15" customHeight="1">
      <c r="A930" t="inlineStr">
        <is>
          <t>A 29349-2023</t>
        </is>
      </c>
      <c r="B930" s="1" t="n">
        <v>45106</v>
      </c>
      <c r="C930" s="1" t="n">
        <v>45731</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29973-2023</t>
        </is>
      </c>
      <c r="B931" s="1" t="n">
        <v>45108</v>
      </c>
      <c r="C931" s="1" t="n">
        <v>45731</v>
      </c>
      <c r="D931" t="inlineStr">
        <is>
          <t>KALMAR LÄN</t>
        </is>
      </c>
      <c r="E931" t="inlineStr">
        <is>
          <t>VIMMERBY</t>
        </is>
      </c>
      <c r="G931" t="n">
        <v>4</v>
      </c>
      <c r="H931" t="n">
        <v>0</v>
      </c>
      <c r="I931" t="n">
        <v>0</v>
      </c>
      <c r="J931" t="n">
        <v>0</v>
      </c>
      <c r="K931" t="n">
        <v>0</v>
      </c>
      <c r="L931" t="n">
        <v>0</v>
      </c>
      <c r="M931" t="n">
        <v>0</v>
      </c>
      <c r="N931" t="n">
        <v>0</v>
      </c>
      <c r="O931" t="n">
        <v>0</v>
      </c>
      <c r="P931" t="n">
        <v>0</v>
      </c>
      <c r="Q931" t="n">
        <v>0</v>
      </c>
      <c r="R931" s="2" t="inlineStr"/>
    </row>
    <row r="932" ht="15" customHeight="1">
      <c r="A932" t="inlineStr">
        <is>
          <t>A 30070-2023</t>
        </is>
      </c>
      <c r="B932" s="1" t="n">
        <v>45110</v>
      </c>
      <c r="C932" s="1" t="n">
        <v>45731</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30063-2023</t>
        </is>
      </c>
      <c r="B933" s="1" t="n">
        <v>45110</v>
      </c>
      <c r="C933" s="1" t="n">
        <v>45731</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30090-2023</t>
        </is>
      </c>
      <c r="B934" s="1" t="n">
        <v>45110</v>
      </c>
      <c r="C934" s="1" t="n">
        <v>45731</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30503-2023</t>
        </is>
      </c>
      <c r="B935" s="1" t="n">
        <v>45111</v>
      </c>
      <c r="C935" s="1" t="n">
        <v>45731</v>
      </c>
      <c r="D935" t="inlineStr">
        <is>
          <t>KALMAR LÄN</t>
        </is>
      </c>
      <c r="E935" t="inlineStr">
        <is>
          <t>VIMMERBY</t>
        </is>
      </c>
      <c r="G935" t="n">
        <v>0.5</v>
      </c>
      <c r="H935" t="n">
        <v>0</v>
      </c>
      <c r="I935" t="n">
        <v>0</v>
      </c>
      <c r="J935" t="n">
        <v>0</v>
      </c>
      <c r="K935" t="n">
        <v>0</v>
      </c>
      <c r="L935" t="n">
        <v>0</v>
      </c>
      <c r="M935" t="n">
        <v>0</v>
      </c>
      <c r="N935" t="n">
        <v>0</v>
      </c>
      <c r="O935" t="n">
        <v>0</v>
      </c>
      <c r="P935" t="n">
        <v>0</v>
      </c>
      <c r="Q935" t="n">
        <v>0</v>
      </c>
      <c r="R935" s="2" t="inlineStr"/>
    </row>
    <row r="936" ht="15" customHeight="1">
      <c r="A936" t="inlineStr">
        <is>
          <t>A 30380-2023</t>
        </is>
      </c>
      <c r="B936" s="1" t="n">
        <v>45111</v>
      </c>
      <c r="C936" s="1" t="n">
        <v>45731</v>
      </c>
      <c r="D936" t="inlineStr">
        <is>
          <t>KALMAR LÄN</t>
        </is>
      </c>
      <c r="E936" t="inlineStr">
        <is>
          <t>VIMMERBY</t>
        </is>
      </c>
      <c r="G936" t="n">
        <v>1.6</v>
      </c>
      <c r="H936" t="n">
        <v>0</v>
      </c>
      <c r="I936" t="n">
        <v>0</v>
      </c>
      <c r="J936" t="n">
        <v>0</v>
      </c>
      <c r="K936" t="n">
        <v>0</v>
      </c>
      <c r="L936" t="n">
        <v>0</v>
      </c>
      <c r="M936" t="n">
        <v>0</v>
      </c>
      <c r="N936" t="n">
        <v>0</v>
      </c>
      <c r="O936" t="n">
        <v>0</v>
      </c>
      <c r="P936" t="n">
        <v>0</v>
      </c>
      <c r="Q936" t="n">
        <v>0</v>
      </c>
      <c r="R936" s="2" t="inlineStr"/>
    </row>
    <row r="937" ht="15" customHeight="1">
      <c r="A937" t="inlineStr">
        <is>
          <t>A 30400-2023</t>
        </is>
      </c>
      <c r="B937" s="1" t="n">
        <v>45111</v>
      </c>
      <c r="C937" s="1" t="n">
        <v>45731</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30318-2023</t>
        </is>
      </c>
      <c r="B938" s="1" t="n">
        <v>45111</v>
      </c>
      <c r="C938" s="1" t="n">
        <v>45731</v>
      </c>
      <c r="D938" t="inlineStr">
        <is>
          <t>KALMAR LÄN</t>
        </is>
      </c>
      <c r="E938" t="inlineStr">
        <is>
          <t>VIMMERBY</t>
        </is>
      </c>
      <c r="G938" t="n">
        <v>2.6</v>
      </c>
      <c r="H938" t="n">
        <v>0</v>
      </c>
      <c r="I938" t="n">
        <v>0</v>
      </c>
      <c r="J938" t="n">
        <v>0</v>
      </c>
      <c r="K938" t="n">
        <v>0</v>
      </c>
      <c r="L938" t="n">
        <v>0</v>
      </c>
      <c r="M938" t="n">
        <v>0</v>
      </c>
      <c r="N938" t="n">
        <v>0</v>
      </c>
      <c r="O938" t="n">
        <v>0</v>
      </c>
      <c r="P938" t="n">
        <v>0</v>
      </c>
      <c r="Q938" t="n">
        <v>0</v>
      </c>
      <c r="R938" s="2" t="inlineStr"/>
    </row>
    <row r="939" ht="15" customHeight="1">
      <c r="A939" t="inlineStr">
        <is>
          <t>A 30402-2023</t>
        </is>
      </c>
      <c r="B939" s="1" t="n">
        <v>45111</v>
      </c>
      <c r="C939" s="1" t="n">
        <v>45731</v>
      </c>
      <c r="D939" t="inlineStr">
        <is>
          <t>KALMAR LÄN</t>
        </is>
      </c>
      <c r="E939" t="inlineStr">
        <is>
          <t>VIMMERBY</t>
        </is>
      </c>
      <c r="G939" t="n">
        <v>0.7</v>
      </c>
      <c r="H939" t="n">
        <v>0</v>
      </c>
      <c r="I939" t="n">
        <v>0</v>
      </c>
      <c r="J939" t="n">
        <v>0</v>
      </c>
      <c r="K939" t="n">
        <v>0</v>
      </c>
      <c r="L939" t="n">
        <v>0</v>
      </c>
      <c r="M939" t="n">
        <v>0</v>
      </c>
      <c r="N939" t="n">
        <v>0</v>
      </c>
      <c r="O939" t="n">
        <v>0</v>
      </c>
      <c r="P939" t="n">
        <v>0</v>
      </c>
      <c r="Q939" t="n">
        <v>0</v>
      </c>
      <c r="R939" s="2" t="inlineStr"/>
    </row>
    <row r="940" ht="15" customHeight="1">
      <c r="A940" t="inlineStr">
        <is>
          <t>A 30406-2023</t>
        </is>
      </c>
      <c r="B940" s="1" t="n">
        <v>45111</v>
      </c>
      <c r="C940" s="1" t="n">
        <v>45731</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30404-2023</t>
        </is>
      </c>
      <c r="B941" s="1" t="n">
        <v>45111</v>
      </c>
      <c r="C941" s="1" t="n">
        <v>45731</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30408-2023</t>
        </is>
      </c>
      <c r="B942" s="1" t="n">
        <v>45111</v>
      </c>
      <c r="C942" s="1" t="n">
        <v>45731</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30586-2023</t>
        </is>
      </c>
      <c r="B943" s="1" t="n">
        <v>45112</v>
      </c>
      <c r="C943" s="1" t="n">
        <v>45731</v>
      </c>
      <c r="D943" t="inlineStr">
        <is>
          <t>KALMAR LÄN</t>
        </is>
      </c>
      <c r="E943" t="inlineStr">
        <is>
          <t>VIMMERBY</t>
        </is>
      </c>
      <c r="G943" t="n">
        <v>3.6</v>
      </c>
      <c r="H943" t="n">
        <v>0</v>
      </c>
      <c r="I943" t="n">
        <v>0</v>
      </c>
      <c r="J943" t="n">
        <v>0</v>
      </c>
      <c r="K943" t="n">
        <v>0</v>
      </c>
      <c r="L943" t="n">
        <v>0</v>
      </c>
      <c r="M943" t="n">
        <v>0</v>
      </c>
      <c r="N943" t="n">
        <v>0</v>
      </c>
      <c r="O943" t="n">
        <v>0</v>
      </c>
      <c r="P943" t="n">
        <v>0</v>
      </c>
      <c r="Q943" t="n">
        <v>0</v>
      </c>
      <c r="R943" s="2" t="inlineStr"/>
    </row>
    <row r="944" ht="15" customHeight="1">
      <c r="A944" t="inlineStr">
        <is>
          <t>A 30588-2023</t>
        </is>
      </c>
      <c r="B944" s="1" t="n">
        <v>45112</v>
      </c>
      <c r="C944" s="1" t="n">
        <v>45731</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30896-2023</t>
        </is>
      </c>
      <c r="B945" s="1" t="n">
        <v>45113</v>
      </c>
      <c r="C945" s="1" t="n">
        <v>45731</v>
      </c>
      <c r="D945" t="inlineStr">
        <is>
          <t>KALMAR LÄN</t>
        </is>
      </c>
      <c r="E945" t="inlineStr">
        <is>
          <t>VIMMERBY</t>
        </is>
      </c>
      <c r="G945" t="n">
        <v>3.2</v>
      </c>
      <c r="H945" t="n">
        <v>0</v>
      </c>
      <c r="I945" t="n">
        <v>0</v>
      </c>
      <c r="J945" t="n">
        <v>0</v>
      </c>
      <c r="K945" t="n">
        <v>0</v>
      </c>
      <c r="L945" t="n">
        <v>0</v>
      </c>
      <c r="M945" t="n">
        <v>0</v>
      </c>
      <c r="N945" t="n">
        <v>0</v>
      </c>
      <c r="O945" t="n">
        <v>0</v>
      </c>
      <c r="P945" t="n">
        <v>0</v>
      </c>
      <c r="Q945" t="n">
        <v>0</v>
      </c>
      <c r="R945" s="2" t="inlineStr"/>
    </row>
    <row r="946" ht="15" customHeight="1">
      <c r="A946" t="inlineStr">
        <is>
          <t>A 30899-2023</t>
        </is>
      </c>
      <c r="B946" s="1" t="n">
        <v>45113</v>
      </c>
      <c r="C946" s="1" t="n">
        <v>45731</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30912-2023</t>
        </is>
      </c>
      <c r="B947" s="1" t="n">
        <v>45113</v>
      </c>
      <c r="C947" s="1" t="n">
        <v>45731</v>
      </c>
      <c r="D947" t="inlineStr">
        <is>
          <t>KALMAR LÄN</t>
        </is>
      </c>
      <c r="E947" t="inlineStr">
        <is>
          <t>VIMMERBY</t>
        </is>
      </c>
      <c r="G947" t="n">
        <v>5</v>
      </c>
      <c r="H947" t="n">
        <v>0</v>
      </c>
      <c r="I947" t="n">
        <v>0</v>
      </c>
      <c r="J947" t="n">
        <v>0</v>
      </c>
      <c r="K947" t="n">
        <v>0</v>
      </c>
      <c r="L947" t="n">
        <v>0</v>
      </c>
      <c r="M947" t="n">
        <v>0</v>
      </c>
      <c r="N947" t="n">
        <v>0</v>
      </c>
      <c r="O947" t="n">
        <v>0</v>
      </c>
      <c r="P947" t="n">
        <v>0</v>
      </c>
      <c r="Q947" t="n">
        <v>0</v>
      </c>
      <c r="R947" s="2" t="inlineStr"/>
    </row>
    <row r="948" ht="15" customHeight="1">
      <c r="A948" t="inlineStr">
        <is>
          <t>A 30920-2023</t>
        </is>
      </c>
      <c r="B948" s="1" t="n">
        <v>45113</v>
      </c>
      <c r="C948" s="1" t="n">
        <v>45731</v>
      </c>
      <c r="D948" t="inlineStr">
        <is>
          <t>KALMAR LÄN</t>
        </is>
      </c>
      <c r="E948" t="inlineStr">
        <is>
          <t>VIMMERBY</t>
        </is>
      </c>
      <c r="G948" t="n">
        <v>3.1</v>
      </c>
      <c r="H948" t="n">
        <v>0</v>
      </c>
      <c r="I948" t="n">
        <v>0</v>
      </c>
      <c r="J948" t="n">
        <v>0</v>
      </c>
      <c r="K948" t="n">
        <v>0</v>
      </c>
      <c r="L948" t="n">
        <v>0</v>
      </c>
      <c r="M948" t="n">
        <v>0</v>
      </c>
      <c r="N948" t="n">
        <v>0</v>
      </c>
      <c r="O948" t="n">
        <v>0</v>
      </c>
      <c r="P948" t="n">
        <v>0</v>
      </c>
      <c r="Q948" t="n">
        <v>0</v>
      </c>
      <c r="R948" s="2" t="inlineStr"/>
    </row>
    <row r="949" ht="15" customHeight="1">
      <c r="A949" t="inlineStr">
        <is>
          <t>A 30894-2023</t>
        </is>
      </c>
      <c r="B949" s="1" t="n">
        <v>45113</v>
      </c>
      <c r="C949" s="1" t="n">
        <v>45731</v>
      </c>
      <c r="D949" t="inlineStr">
        <is>
          <t>KALMAR LÄN</t>
        </is>
      </c>
      <c r="E949" t="inlineStr">
        <is>
          <t>VIMMERBY</t>
        </is>
      </c>
      <c r="G949" t="n">
        <v>4.9</v>
      </c>
      <c r="H949" t="n">
        <v>0</v>
      </c>
      <c r="I949" t="n">
        <v>0</v>
      </c>
      <c r="J949" t="n">
        <v>0</v>
      </c>
      <c r="K949" t="n">
        <v>0</v>
      </c>
      <c r="L949" t="n">
        <v>0</v>
      </c>
      <c r="M949" t="n">
        <v>0</v>
      </c>
      <c r="N949" t="n">
        <v>0</v>
      </c>
      <c r="O949" t="n">
        <v>0</v>
      </c>
      <c r="P949" t="n">
        <v>0</v>
      </c>
      <c r="Q949" t="n">
        <v>0</v>
      </c>
      <c r="R949" s="2" t="inlineStr"/>
    </row>
    <row r="950" ht="15" customHeight="1">
      <c r="A950" t="inlineStr">
        <is>
          <t>A 30898-2023</t>
        </is>
      </c>
      <c r="B950" s="1" t="n">
        <v>45113</v>
      </c>
      <c r="C950" s="1" t="n">
        <v>45731</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31013-2023</t>
        </is>
      </c>
      <c r="B951" s="1" t="n">
        <v>45113</v>
      </c>
      <c r="C951" s="1" t="n">
        <v>45731</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31017-2023</t>
        </is>
      </c>
      <c r="B952" s="1" t="n">
        <v>45113</v>
      </c>
      <c r="C952" s="1" t="n">
        <v>45731</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31340-2023</t>
        </is>
      </c>
      <c r="B953" s="1" t="n">
        <v>45114</v>
      </c>
      <c r="C953" s="1" t="n">
        <v>45731</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31369-2023</t>
        </is>
      </c>
      <c r="B954" s="1" t="n">
        <v>45114</v>
      </c>
      <c r="C954" s="1" t="n">
        <v>45731</v>
      </c>
      <c r="D954" t="inlineStr">
        <is>
          <t>KALMAR LÄN</t>
        </is>
      </c>
      <c r="E954" t="inlineStr">
        <is>
          <t>VIMMERBY</t>
        </is>
      </c>
      <c r="G954" t="n">
        <v>2.3</v>
      </c>
      <c r="H954" t="n">
        <v>0</v>
      </c>
      <c r="I954" t="n">
        <v>0</v>
      </c>
      <c r="J954" t="n">
        <v>0</v>
      </c>
      <c r="K954" t="n">
        <v>0</v>
      </c>
      <c r="L954" t="n">
        <v>0</v>
      </c>
      <c r="M954" t="n">
        <v>0</v>
      </c>
      <c r="N954" t="n">
        <v>0</v>
      </c>
      <c r="O954" t="n">
        <v>0</v>
      </c>
      <c r="P954" t="n">
        <v>0</v>
      </c>
      <c r="Q954" t="n">
        <v>0</v>
      </c>
      <c r="R954" s="2" t="inlineStr"/>
    </row>
    <row r="955" ht="15" customHeight="1">
      <c r="A955" t="inlineStr">
        <is>
          <t>A 31377-2023</t>
        </is>
      </c>
      <c r="B955" s="1" t="n">
        <v>45114</v>
      </c>
      <c r="C955" s="1" t="n">
        <v>45731</v>
      </c>
      <c r="D955" t="inlineStr">
        <is>
          <t>KALMAR LÄN</t>
        </is>
      </c>
      <c r="E955" t="inlineStr">
        <is>
          <t>VIMMERBY</t>
        </is>
      </c>
      <c r="G955" t="n">
        <v>2</v>
      </c>
      <c r="H955" t="n">
        <v>0</v>
      </c>
      <c r="I955" t="n">
        <v>0</v>
      </c>
      <c r="J955" t="n">
        <v>0</v>
      </c>
      <c r="K955" t="n">
        <v>0</v>
      </c>
      <c r="L955" t="n">
        <v>0</v>
      </c>
      <c r="M955" t="n">
        <v>0</v>
      </c>
      <c r="N955" t="n">
        <v>0</v>
      </c>
      <c r="O955" t="n">
        <v>0</v>
      </c>
      <c r="P955" t="n">
        <v>0</v>
      </c>
      <c r="Q955" t="n">
        <v>0</v>
      </c>
      <c r="R955" s="2" t="inlineStr"/>
    </row>
    <row r="956" ht="15" customHeight="1">
      <c r="A956" t="inlineStr">
        <is>
          <t>A 31382-2023</t>
        </is>
      </c>
      <c r="B956" s="1" t="n">
        <v>45114</v>
      </c>
      <c r="C956" s="1" t="n">
        <v>45731</v>
      </c>
      <c r="D956" t="inlineStr">
        <is>
          <t>KALMAR LÄN</t>
        </is>
      </c>
      <c r="E956" t="inlineStr">
        <is>
          <t>VIMMERBY</t>
        </is>
      </c>
      <c r="G956" t="n">
        <v>3.7</v>
      </c>
      <c r="H956" t="n">
        <v>0</v>
      </c>
      <c r="I956" t="n">
        <v>0</v>
      </c>
      <c r="J956" t="n">
        <v>0</v>
      </c>
      <c r="K956" t="n">
        <v>0</v>
      </c>
      <c r="L956" t="n">
        <v>0</v>
      </c>
      <c r="M956" t="n">
        <v>0</v>
      </c>
      <c r="N956" t="n">
        <v>0</v>
      </c>
      <c r="O956" t="n">
        <v>0</v>
      </c>
      <c r="P956" t="n">
        <v>0</v>
      </c>
      <c r="Q956" t="n">
        <v>0</v>
      </c>
      <c r="R956" s="2" t="inlineStr"/>
    </row>
    <row r="957" ht="15" customHeight="1">
      <c r="A957" t="inlineStr">
        <is>
          <t>A 31405-2023</t>
        </is>
      </c>
      <c r="B957" s="1" t="n">
        <v>45114</v>
      </c>
      <c r="C957" s="1" t="n">
        <v>45731</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31336-2023</t>
        </is>
      </c>
      <c r="B958" s="1" t="n">
        <v>45114</v>
      </c>
      <c r="C958" s="1" t="n">
        <v>45731</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31355-2023</t>
        </is>
      </c>
      <c r="B959" s="1" t="n">
        <v>45114</v>
      </c>
      <c r="C959" s="1" t="n">
        <v>45731</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31390-2023</t>
        </is>
      </c>
      <c r="B960" s="1" t="n">
        <v>45114</v>
      </c>
      <c r="C960" s="1" t="n">
        <v>45731</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31408-2023</t>
        </is>
      </c>
      <c r="B961" s="1" t="n">
        <v>45114</v>
      </c>
      <c r="C961" s="1" t="n">
        <v>45731</v>
      </c>
      <c r="D961" t="inlineStr">
        <is>
          <t>KALMAR LÄN</t>
        </is>
      </c>
      <c r="E961" t="inlineStr">
        <is>
          <t>VIMMERBY</t>
        </is>
      </c>
      <c r="G961" t="n">
        <v>4.4</v>
      </c>
      <c r="H961" t="n">
        <v>0</v>
      </c>
      <c r="I961" t="n">
        <v>0</v>
      </c>
      <c r="J961" t="n">
        <v>0</v>
      </c>
      <c r="K961" t="n">
        <v>0</v>
      </c>
      <c r="L961" t="n">
        <v>0</v>
      </c>
      <c r="M961" t="n">
        <v>0</v>
      </c>
      <c r="N961" t="n">
        <v>0</v>
      </c>
      <c r="O961" t="n">
        <v>0</v>
      </c>
      <c r="P961" t="n">
        <v>0</v>
      </c>
      <c r="Q961" t="n">
        <v>0</v>
      </c>
      <c r="R961" s="2" t="inlineStr"/>
    </row>
    <row r="962" ht="15" customHeight="1">
      <c r="A962" t="inlineStr">
        <is>
          <t>A 31682-2023</t>
        </is>
      </c>
      <c r="B962" s="1" t="n">
        <v>45117</v>
      </c>
      <c r="C962" s="1" t="n">
        <v>45731</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32633-2023</t>
        </is>
      </c>
      <c r="B963" s="1" t="n">
        <v>45121</v>
      </c>
      <c r="C963" s="1" t="n">
        <v>45731</v>
      </c>
      <c r="D963" t="inlineStr">
        <is>
          <t>KALMAR LÄN</t>
        </is>
      </c>
      <c r="E963" t="inlineStr">
        <is>
          <t>VIMMERBY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32651-2023</t>
        </is>
      </c>
      <c r="B964" s="1" t="n">
        <v>45121</v>
      </c>
      <c r="C964" s="1" t="n">
        <v>45731</v>
      </c>
      <c r="D964" t="inlineStr">
        <is>
          <t>KALMAR LÄN</t>
        </is>
      </c>
      <c r="E964" t="inlineStr">
        <is>
          <t>VIMMERBY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32655-2023</t>
        </is>
      </c>
      <c r="B965" s="1" t="n">
        <v>45121</v>
      </c>
      <c r="C965" s="1" t="n">
        <v>45731</v>
      </c>
      <c r="D965" t="inlineStr">
        <is>
          <t>KALMAR LÄN</t>
        </is>
      </c>
      <c r="E965" t="inlineStr">
        <is>
          <t>VIMMERBY</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32669-2023</t>
        </is>
      </c>
      <c r="B966" s="1" t="n">
        <v>45121</v>
      </c>
      <c r="C966" s="1" t="n">
        <v>45731</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32614-2023</t>
        </is>
      </c>
      <c r="B967" s="1" t="n">
        <v>45121</v>
      </c>
      <c r="C967" s="1" t="n">
        <v>45731</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32642-2023</t>
        </is>
      </c>
      <c r="B968" s="1" t="n">
        <v>45121</v>
      </c>
      <c r="C968" s="1" t="n">
        <v>45731</v>
      </c>
      <c r="D968" t="inlineStr">
        <is>
          <t>KALMAR LÄN</t>
        </is>
      </c>
      <c r="E968" t="inlineStr">
        <is>
          <t>VIMMERBY</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32639-2023</t>
        </is>
      </c>
      <c r="B969" s="1" t="n">
        <v>45121</v>
      </c>
      <c r="C969" s="1" t="n">
        <v>45731</v>
      </c>
      <c r="D969" t="inlineStr">
        <is>
          <t>KALMAR LÄN</t>
        </is>
      </c>
      <c r="E969" t="inlineStr">
        <is>
          <t>VIMMERBY</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32865-2023</t>
        </is>
      </c>
      <c r="B970" s="1" t="n">
        <v>45124</v>
      </c>
      <c r="C970" s="1" t="n">
        <v>45731</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32984-2023</t>
        </is>
      </c>
      <c r="B971" s="1" t="n">
        <v>45125</v>
      </c>
      <c r="C971" s="1" t="n">
        <v>45731</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33236-2023</t>
        </is>
      </c>
      <c r="B972" s="1" t="n">
        <v>45127</v>
      </c>
      <c r="C972" s="1" t="n">
        <v>45731</v>
      </c>
      <c r="D972" t="inlineStr">
        <is>
          <t>KALMAR LÄN</t>
        </is>
      </c>
      <c r="E972" t="inlineStr">
        <is>
          <t>VIMMERBY</t>
        </is>
      </c>
      <c r="G972" t="n">
        <v>2.5</v>
      </c>
      <c r="H972" t="n">
        <v>0</v>
      </c>
      <c r="I972" t="n">
        <v>0</v>
      </c>
      <c r="J972" t="n">
        <v>0</v>
      </c>
      <c r="K972" t="n">
        <v>0</v>
      </c>
      <c r="L972" t="n">
        <v>0</v>
      </c>
      <c r="M972" t="n">
        <v>0</v>
      </c>
      <c r="N972" t="n">
        <v>0</v>
      </c>
      <c r="O972" t="n">
        <v>0</v>
      </c>
      <c r="P972" t="n">
        <v>0</v>
      </c>
      <c r="Q972" t="n">
        <v>0</v>
      </c>
      <c r="R972" s="2" t="inlineStr"/>
    </row>
    <row r="973" ht="15" customHeight="1">
      <c r="A973" t="inlineStr">
        <is>
          <t>A 33340-2023</t>
        </is>
      </c>
      <c r="B973" s="1" t="n">
        <v>45128</v>
      </c>
      <c r="C973" s="1" t="n">
        <v>45731</v>
      </c>
      <c r="D973" t="inlineStr">
        <is>
          <t>KALMAR LÄN</t>
        </is>
      </c>
      <c r="E973" t="inlineStr">
        <is>
          <t>VIMMERBY</t>
        </is>
      </c>
      <c r="G973" t="n">
        <v>1.5</v>
      </c>
      <c r="H973" t="n">
        <v>0</v>
      </c>
      <c r="I973" t="n">
        <v>0</v>
      </c>
      <c r="J973" t="n">
        <v>0</v>
      </c>
      <c r="K973" t="n">
        <v>0</v>
      </c>
      <c r="L973" t="n">
        <v>0</v>
      </c>
      <c r="M973" t="n">
        <v>0</v>
      </c>
      <c r="N973" t="n">
        <v>0</v>
      </c>
      <c r="O973" t="n">
        <v>0</v>
      </c>
      <c r="P973" t="n">
        <v>0</v>
      </c>
      <c r="Q973" t="n">
        <v>0</v>
      </c>
      <c r="R973" s="2" t="inlineStr"/>
    </row>
    <row r="974" ht="15" customHeight="1">
      <c r="A974" t="inlineStr">
        <is>
          <t>A 33383-2023</t>
        </is>
      </c>
      <c r="B974" s="1" t="n">
        <v>45128</v>
      </c>
      <c r="C974" s="1" t="n">
        <v>45731</v>
      </c>
      <c r="D974" t="inlineStr">
        <is>
          <t>KALMAR LÄN</t>
        </is>
      </c>
      <c r="E974" t="inlineStr">
        <is>
          <t>VIMMERBY</t>
        </is>
      </c>
      <c r="G974" t="n">
        <v>2.3</v>
      </c>
      <c r="H974" t="n">
        <v>0</v>
      </c>
      <c r="I974" t="n">
        <v>0</v>
      </c>
      <c r="J974" t="n">
        <v>0</v>
      </c>
      <c r="K974" t="n">
        <v>0</v>
      </c>
      <c r="L974" t="n">
        <v>0</v>
      </c>
      <c r="M974" t="n">
        <v>0</v>
      </c>
      <c r="N974" t="n">
        <v>0</v>
      </c>
      <c r="O974" t="n">
        <v>0</v>
      </c>
      <c r="P974" t="n">
        <v>0</v>
      </c>
      <c r="Q974" t="n">
        <v>0</v>
      </c>
      <c r="R974" s="2" t="inlineStr"/>
    </row>
    <row r="975" ht="15" customHeight="1">
      <c r="A975" t="inlineStr">
        <is>
          <t>A 33380-2023</t>
        </is>
      </c>
      <c r="B975" s="1" t="n">
        <v>45128</v>
      </c>
      <c r="C975" s="1" t="n">
        <v>45731</v>
      </c>
      <c r="D975" t="inlineStr">
        <is>
          <t>KALMAR LÄN</t>
        </is>
      </c>
      <c r="E975" t="inlineStr">
        <is>
          <t>VIMMERBY</t>
        </is>
      </c>
      <c r="G975" t="n">
        <v>5.2</v>
      </c>
      <c r="H975" t="n">
        <v>0</v>
      </c>
      <c r="I975" t="n">
        <v>0</v>
      </c>
      <c r="J975" t="n">
        <v>0</v>
      </c>
      <c r="K975" t="n">
        <v>0</v>
      </c>
      <c r="L975" t="n">
        <v>0</v>
      </c>
      <c r="M975" t="n">
        <v>0</v>
      </c>
      <c r="N975" t="n">
        <v>0</v>
      </c>
      <c r="O975" t="n">
        <v>0</v>
      </c>
      <c r="P975" t="n">
        <v>0</v>
      </c>
      <c r="Q975" t="n">
        <v>0</v>
      </c>
      <c r="R975" s="2" t="inlineStr"/>
    </row>
    <row r="976" ht="15" customHeight="1">
      <c r="A976" t="inlineStr">
        <is>
          <t>A 33417-2023</t>
        </is>
      </c>
      <c r="B976" s="1" t="n">
        <v>45128</v>
      </c>
      <c r="C976" s="1" t="n">
        <v>45731</v>
      </c>
      <c r="D976" t="inlineStr">
        <is>
          <t>KALMAR LÄN</t>
        </is>
      </c>
      <c r="E976" t="inlineStr">
        <is>
          <t>VIMMERBY</t>
        </is>
      </c>
      <c r="G976" t="n">
        <v>4.8</v>
      </c>
      <c r="H976" t="n">
        <v>0</v>
      </c>
      <c r="I976" t="n">
        <v>0</v>
      </c>
      <c r="J976" t="n">
        <v>0</v>
      </c>
      <c r="K976" t="n">
        <v>0</v>
      </c>
      <c r="L976" t="n">
        <v>0</v>
      </c>
      <c r="M976" t="n">
        <v>0</v>
      </c>
      <c r="N976" t="n">
        <v>0</v>
      </c>
      <c r="O976" t="n">
        <v>0</v>
      </c>
      <c r="P976" t="n">
        <v>0</v>
      </c>
      <c r="Q976" t="n">
        <v>0</v>
      </c>
      <c r="R976" s="2" t="inlineStr"/>
    </row>
    <row r="977" ht="15" customHeight="1">
      <c r="A977" t="inlineStr">
        <is>
          <t>A 33425-2023</t>
        </is>
      </c>
      <c r="B977" s="1" t="n">
        <v>45129</v>
      </c>
      <c r="C977" s="1" t="n">
        <v>45731</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33424-2023</t>
        </is>
      </c>
      <c r="B978" s="1" t="n">
        <v>45129</v>
      </c>
      <c r="C978" s="1" t="n">
        <v>45731</v>
      </c>
      <c r="D978" t="inlineStr">
        <is>
          <t>KALMAR LÄN</t>
        </is>
      </c>
      <c r="E978" t="inlineStr">
        <is>
          <t>VIMMERBY</t>
        </is>
      </c>
      <c r="G978" t="n">
        <v>2.4</v>
      </c>
      <c r="H978" t="n">
        <v>0</v>
      </c>
      <c r="I978" t="n">
        <v>0</v>
      </c>
      <c r="J978" t="n">
        <v>0</v>
      </c>
      <c r="K978" t="n">
        <v>0</v>
      </c>
      <c r="L978" t="n">
        <v>0</v>
      </c>
      <c r="M978" t="n">
        <v>0</v>
      </c>
      <c r="N978" t="n">
        <v>0</v>
      </c>
      <c r="O978" t="n">
        <v>0</v>
      </c>
      <c r="P978" t="n">
        <v>0</v>
      </c>
      <c r="Q978" t="n">
        <v>0</v>
      </c>
      <c r="R978" s="2" t="inlineStr"/>
    </row>
    <row r="979" ht="15" customHeight="1">
      <c r="A979" t="inlineStr">
        <is>
          <t>A 33649-2023</t>
        </is>
      </c>
      <c r="B979" s="1" t="n">
        <v>45132</v>
      </c>
      <c r="C979" s="1" t="n">
        <v>45731</v>
      </c>
      <c r="D979" t="inlineStr">
        <is>
          <t>KALMAR LÄN</t>
        </is>
      </c>
      <c r="E979" t="inlineStr">
        <is>
          <t>VIMMERBY</t>
        </is>
      </c>
      <c r="G979" t="n">
        <v>4.9</v>
      </c>
      <c r="H979" t="n">
        <v>0</v>
      </c>
      <c r="I979" t="n">
        <v>0</v>
      </c>
      <c r="J979" t="n">
        <v>0</v>
      </c>
      <c r="K979" t="n">
        <v>0</v>
      </c>
      <c r="L979" t="n">
        <v>0</v>
      </c>
      <c r="M979" t="n">
        <v>0</v>
      </c>
      <c r="N979" t="n">
        <v>0</v>
      </c>
      <c r="O979" t="n">
        <v>0</v>
      </c>
      <c r="P979" t="n">
        <v>0</v>
      </c>
      <c r="Q979" t="n">
        <v>0</v>
      </c>
      <c r="R979" s="2" t="inlineStr"/>
    </row>
    <row r="980" ht="15" customHeight="1">
      <c r="A980" t="inlineStr">
        <is>
          <t>A 34205-2023</t>
        </is>
      </c>
      <c r="B980" s="1" t="n">
        <v>45138</v>
      </c>
      <c r="C980" s="1" t="n">
        <v>45731</v>
      </c>
      <c r="D980" t="inlineStr">
        <is>
          <t>KALMAR LÄN</t>
        </is>
      </c>
      <c r="E980" t="inlineStr">
        <is>
          <t>VIMMERBY</t>
        </is>
      </c>
      <c r="G980" t="n">
        <v>0.6</v>
      </c>
      <c r="H980" t="n">
        <v>0</v>
      </c>
      <c r="I980" t="n">
        <v>0</v>
      </c>
      <c r="J980" t="n">
        <v>0</v>
      </c>
      <c r="K980" t="n">
        <v>0</v>
      </c>
      <c r="L980" t="n">
        <v>0</v>
      </c>
      <c r="M980" t="n">
        <v>0</v>
      </c>
      <c r="N980" t="n">
        <v>0</v>
      </c>
      <c r="O980" t="n">
        <v>0</v>
      </c>
      <c r="P980" t="n">
        <v>0</v>
      </c>
      <c r="Q980" t="n">
        <v>0</v>
      </c>
      <c r="R980" s="2" t="inlineStr"/>
    </row>
    <row r="981" ht="15" customHeight="1">
      <c r="A981" t="inlineStr">
        <is>
          <t>A 34300-2023</t>
        </is>
      </c>
      <c r="B981" s="1" t="n">
        <v>45138</v>
      </c>
      <c r="C981" s="1" t="n">
        <v>45731</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34956-2023</t>
        </is>
      </c>
      <c r="B982" s="1" t="n">
        <v>45142</v>
      </c>
      <c r="C982" s="1" t="n">
        <v>45731</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35190-2023</t>
        </is>
      </c>
      <c r="B983" s="1" t="n">
        <v>45145</v>
      </c>
      <c r="C983" s="1" t="n">
        <v>45731</v>
      </c>
      <c r="D983" t="inlineStr">
        <is>
          <t>KALMAR LÄN</t>
        </is>
      </c>
      <c r="E983" t="inlineStr">
        <is>
          <t>VIMMERBY</t>
        </is>
      </c>
      <c r="G983" t="n">
        <v>3.5</v>
      </c>
      <c r="H983" t="n">
        <v>0</v>
      </c>
      <c r="I983" t="n">
        <v>0</v>
      </c>
      <c r="J983" t="n">
        <v>0</v>
      </c>
      <c r="K983" t="n">
        <v>0</v>
      </c>
      <c r="L983" t="n">
        <v>0</v>
      </c>
      <c r="M983" t="n">
        <v>0</v>
      </c>
      <c r="N983" t="n">
        <v>0</v>
      </c>
      <c r="O983" t="n">
        <v>0</v>
      </c>
      <c r="P983" t="n">
        <v>0</v>
      </c>
      <c r="Q983" t="n">
        <v>0</v>
      </c>
      <c r="R983" s="2" t="inlineStr"/>
    </row>
    <row r="984" ht="15" customHeight="1">
      <c r="A984" t="inlineStr">
        <is>
          <t>A 35198-2023</t>
        </is>
      </c>
      <c r="B984" s="1" t="n">
        <v>45145</v>
      </c>
      <c r="C984" s="1" t="n">
        <v>45731</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35372-2023</t>
        </is>
      </c>
      <c r="B985" s="1" t="n">
        <v>45146</v>
      </c>
      <c r="C985" s="1" t="n">
        <v>45731</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35670-2023</t>
        </is>
      </c>
      <c r="B986" s="1" t="n">
        <v>45147</v>
      </c>
      <c r="C986" s="1" t="n">
        <v>45731</v>
      </c>
      <c r="D986" t="inlineStr">
        <is>
          <t>KALMAR LÄN</t>
        </is>
      </c>
      <c r="E986" t="inlineStr">
        <is>
          <t>VIMMERBY</t>
        </is>
      </c>
      <c r="G986" t="n">
        <v>6.4</v>
      </c>
      <c r="H986" t="n">
        <v>0</v>
      </c>
      <c r="I986" t="n">
        <v>0</v>
      </c>
      <c r="J986" t="n">
        <v>0</v>
      </c>
      <c r="K986" t="n">
        <v>0</v>
      </c>
      <c r="L986" t="n">
        <v>0</v>
      </c>
      <c r="M986" t="n">
        <v>0</v>
      </c>
      <c r="N986" t="n">
        <v>0</v>
      </c>
      <c r="O986" t="n">
        <v>0</v>
      </c>
      <c r="P986" t="n">
        <v>0</v>
      </c>
      <c r="Q986" t="n">
        <v>0</v>
      </c>
      <c r="R986" s="2" t="inlineStr"/>
    </row>
    <row r="987" ht="15" customHeight="1">
      <c r="A987" t="inlineStr">
        <is>
          <t>A 35678-2023</t>
        </is>
      </c>
      <c r="B987" s="1" t="n">
        <v>45147</v>
      </c>
      <c r="C987" s="1" t="n">
        <v>45731</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35710-2023</t>
        </is>
      </c>
      <c r="B988" s="1" t="n">
        <v>45147</v>
      </c>
      <c r="C988" s="1" t="n">
        <v>45731</v>
      </c>
      <c r="D988" t="inlineStr">
        <is>
          <t>KALMAR LÄN</t>
        </is>
      </c>
      <c r="E988" t="inlineStr">
        <is>
          <t>VIMMERBY</t>
        </is>
      </c>
      <c r="G988" t="n">
        <v>3.1</v>
      </c>
      <c r="H988" t="n">
        <v>0</v>
      </c>
      <c r="I988" t="n">
        <v>0</v>
      </c>
      <c r="J988" t="n">
        <v>0</v>
      </c>
      <c r="K988" t="n">
        <v>0</v>
      </c>
      <c r="L988" t="n">
        <v>0</v>
      </c>
      <c r="M988" t="n">
        <v>0</v>
      </c>
      <c r="N988" t="n">
        <v>0</v>
      </c>
      <c r="O988" t="n">
        <v>0</v>
      </c>
      <c r="P988" t="n">
        <v>0</v>
      </c>
      <c r="Q988" t="n">
        <v>0</v>
      </c>
      <c r="R988" s="2" t="inlineStr"/>
    </row>
    <row r="989" ht="15" customHeight="1">
      <c r="A989" t="inlineStr">
        <is>
          <t>A 35671-2023</t>
        </is>
      </c>
      <c r="B989" s="1" t="n">
        <v>45147</v>
      </c>
      <c r="C989" s="1" t="n">
        <v>45731</v>
      </c>
      <c r="D989" t="inlineStr">
        <is>
          <t>KALMAR LÄN</t>
        </is>
      </c>
      <c r="E989" t="inlineStr">
        <is>
          <t>VIMMERBY</t>
        </is>
      </c>
      <c r="G989" t="n">
        <v>2.3</v>
      </c>
      <c r="H989" t="n">
        <v>0</v>
      </c>
      <c r="I989" t="n">
        <v>0</v>
      </c>
      <c r="J989" t="n">
        <v>0</v>
      </c>
      <c r="K989" t="n">
        <v>0</v>
      </c>
      <c r="L989" t="n">
        <v>0</v>
      </c>
      <c r="M989" t="n">
        <v>0</v>
      </c>
      <c r="N989" t="n">
        <v>0</v>
      </c>
      <c r="O989" t="n">
        <v>0</v>
      </c>
      <c r="P989" t="n">
        <v>0</v>
      </c>
      <c r="Q989" t="n">
        <v>0</v>
      </c>
      <c r="R989" s="2" t="inlineStr"/>
    </row>
    <row r="990" ht="15" customHeight="1">
      <c r="A990" t="inlineStr">
        <is>
          <t>A 35711-2023</t>
        </is>
      </c>
      <c r="B990" s="1" t="n">
        <v>45147</v>
      </c>
      <c r="C990" s="1" t="n">
        <v>45731</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35672-2023</t>
        </is>
      </c>
      <c r="B991" s="1" t="n">
        <v>45147</v>
      </c>
      <c r="C991" s="1" t="n">
        <v>45731</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35713-2023</t>
        </is>
      </c>
      <c r="B992" s="1" t="n">
        <v>45147</v>
      </c>
      <c r="C992" s="1" t="n">
        <v>45731</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35839-2023</t>
        </is>
      </c>
      <c r="B993" s="1" t="n">
        <v>45148</v>
      </c>
      <c r="C993" s="1" t="n">
        <v>45731</v>
      </c>
      <c r="D993" t="inlineStr">
        <is>
          <t>KALMAR LÄN</t>
        </is>
      </c>
      <c r="E993" t="inlineStr">
        <is>
          <t>VIMMERBY</t>
        </is>
      </c>
      <c r="G993" t="n">
        <v>1.5</v>
      </c>
      <c r="H993" t="n">
        <v>0</v>
      </c>
      <c r="I993" t="n">
        <v>0</v>
      </c>
      <c r="J993" t="n">
        <v>0</v>
      </c>
      <c r="K993" t="n">
        <v>0</v>
      </c>
      <c r="L993" t="n">
        <v>0</v>
      </c>
      <c r="M993" t="n">
        <v>0</v>
      </c>
      <c r="N993" t="n">
        <v>0</v>
      </c>
      <c r="O993" t="n">
        <v>0</v>
      </c>
      <c r="P993" t="n">
        <v>0</v>
      </c>
      <c r="Q993" t="n">
        <v>0</v>
      </c>
      <c r="R993" s="2" t="inlineStr"/>
    </row>
    <row r="994" ht="15" customHeight="1">
      <c r="A994" t="inlineStr">
        <is>
          <t>A 35846-2023</t>
        </is>
      </c>
      <c r="B994" s="1" t="n">
        <v>45148</v>
      </c>
      <c r="C994" s="1" t="n">
        <v>45731</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35913-2023</t>
        </is>
      </c>
      <c r="B995" s="1" t="n">
        <v>45148</v>
      </c>
      <c r="C995" s="1" t="n">
        <v>45731</v>
      </c>
      <c r="D995" t="inlineStr">
        <is>
          <t>KALMAR LÄN</t>
        </is>
      </c>
      <c r="E995" t="inlineStr">
        <is>
          <t>VIMMERBY</t>
        </is>
      </c>
      <c r="G995" t="n">
        <v>6.9</v>
      </c>
      <c r="H995" t="n">
        <v>0</v>
      </c>
      <c r="I995" t="n">
        <v>0</v>
      </c>
      <c r="J995" t="n">
        <v>0</v>
      </c>
      <c r="K995" t="n">
        <v>0</v>
      </c>
      <c r="L995" t="n">
        <v>0</v>
      </c>
      <c r="M995" t="n">
        <v>0</v>
      </c>
      <c r="N995" t="n">
        <v>0</v>
      </c>
      <c r="O995" t="n">
        <v>0</v>
      </c>
      <c r="P995" t="n">
        <v>0</v>
      </c>
      <c r="Q995" t="n">
        <v>0</v>
      </c>
      <c r="R995" s="2" t="inlineStr"/>
    </row>
    <row r="996" ht="15" customHeight="1">
      <c r="A996" t="inlineStr">
        <is>
          <t>A 36155-2023</t>
        </is>
      </c>
      <c r="B996" s="1" t="n">
        <v>45149</v>
      </c>
      <c r="C996" s="1" t="n">
        <v>45731</v>
      </c>
      <c r="D996" t="inlineStr">
        <is>
          <t>KALMAR LÄN</t>
        </is>
      </c>
      <c r="E996" t="inlineStr">
        <is>
          <t>VIMMERBY</t>
        </is>
      </c>
      <c r="G996" t="n">
        <v>5</v>
      </c>
      <c r="H996" t="n">
        <v>0</v>
      </c>
      <c r="I996" t="n">
        <v>0</v>
      </c>
      <c r="J996" t="n">
        <v>0</v>
      </c>
      <c r="K996" t="n">
        <v>0</v>
      </c>
      <c r="L996" t="n">
        <v>0</v>
      </c>
      <c r="M996" t="n">
        <v>0</v>
      </c>
      <c r="N996" t="n">
        <v>0</v>
      </c>
      <c r="O996" t="n">
        <v>0</v>
      </c>
      <c r="P996" t="n">
        <v>0</v>
      </c>
      <c r="Q996" t="n">
        <v>0</v>
      </c>
      <c r="R996" s="2" t="inlineStr"/>
    </row>
    <row r="997" ht="15" customHeight="1">
      <c r="A997" t="inlineStr">
        <is>
          <t>A 36385-2023</t>
        </is>
      </c>
      <c r="B997" s="1" t="n">
        <v>45152</v>
      </c>
      <c r="C997" s="1" t="n">
        <v>45731</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36526-2023</t>
        </is>
      </c>
      <c r="B998" s="1" t="n">
        <v>45153</v>
      </c>
      <c r="C998" s="1" t="n">
        <v>45731</v>
      </c>
      <c r="D998" t="inlineStr">
        <is>
          <t>KALMAR LÄN</t>
        </is>
      </c>
      <c r="E998" t="inlineStr">
        <is>
          <t>VIMMERBY</t>
        </is>
      </c>
      <c r="G998" t="n">
        <v>2.7</v>
      </c>
      <c r="H998" t="n">
        <v>0</v>
      </c>
      <c r="I998" t="n">
        <v>0</v>
      </c>
      <c r="J998" t="n">
        <v>0</v>
      </c>
      <c r="K998" t="n">
        <v>0</v>
      </c>
      <c r="L998" t="n">
        <v>0</v>
      </c>
      <c r="M998" t="n">
        <v>0</v>
      </c>
      <c r="N998" t="n">
        <v>0</v>
      </c>
      <c r="O998" t="n">
        <v>0</v>
      </c>
      <c r="P998" t="n">
        <v>0</v>
      </c>
      <c r="Q998" t="n">
        <v>0</v>
      </c>
      <c r="R998" s="2" t="inlineStr"/>
    </row>
    <row r="999" ht="15" customHeight="1">
      <c r="A999" t="inlineStr">
        <is>
          <t>A 36843-2023</t>
        </is>
      </c>
      <c r="B999" s="1" t="n">
        <v>45154</v>
      </c>
      <c r="C999" s="1" t="n">
        <v>45731</v>
      </c>
      <c r="D999" t="inlineStr">
        <is>
          <t>KALMAR LÄN</t>
        </is>
      </c>
      <c r="E999" t="inlineStr">
        <is>
          <t>VIMMERBY</t>
        </is>
      </c>
      <c r="G999" t="n">
        <v>2</v>
      </c>
      <c r="H999" t="n">
        <v>0</v>
      </c>
      <c r="I999" t="n">
        <v>0</v>
      </c>
      <c r="J999" t="n">
        <v>0</v>
      </c>
      <c r="K999" t="n">
        <v>0</v>
      </c>
      <c r="L999" t="n">
        <v>0</v>
      </c>
      <c r="M999" t="n">
        <v>0</v>
      </c>
      <c r="N999" t="n">
        <v>0</v>
      </c>
      <c r="O999" t="n">
        <v>0</v>
      </c>
      <c r="P999" t="n">
        <v>0</v>
      </c>
      <c r="Q999" t="n">
        <v>0</v>
      </c>
      <c r="R999" s="2" t="inlineStr"/>
    </row>
    <row r="1000" ht="15" customHeight="1">
      <c r="A1000" t="inlineStr">
        <is>
          <t>A 37373-2023</t>
        </is>
      </c>
      <c r="B1000" s="1" t="n">
        <v>45156</v>
      </c>
      <c r="C1000" s="1" t="n">
        <v>45731</v>
      </c>
      <c r="D1000" t="inlineStr">
        <is>
          <t>KALMAR LÄN</t>
        </is>
      </c>
      <c r="E1000" t="inlineStr">
        <is>
          <t>VIMMERBY</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38254-2023</t>
        </is>
      </c>
      <c r="B1001" s="1" t="n">
        <v>45160</v>
      </c>
      <c r="C1001" s="1" t="n">
        <v>45731</v>
      </c>
      <c r="D1001" t="inlineStr">
        <is>
          <t>KALMAR LÄN</t>
        </is>
      </c>
      <c r="E1001" t="inlineStr">
        <is>
          <t>VIMMERBY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38261-2023</t>
        </is>
      </c>
      <c r="B1002" s="1" t="n">
        <v>45160</v>
      </c>
      <c r="C1002" s="1" t="n">
        <v>45731</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38274-2023</t>
        </is>
      </c>
      <c r="B1003" s="1" t="n">
        <v>45161</v>
      </c>
      <c r="C1003" s="1" t="n">
        <v>45731</v>
      </c>
      <c r="D1003" t="inlineStr">
        <is>
          <t>KALMAR LÄN</t>
        </is>
      </c>
      <c r="E1003" t="inlineStr">
        <is>
          <t>VIMMERBY</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38969-2023</t>
        </is>
      </c>
      <c r="B1004" s="1" t="n">
        <v>45163</v>
      </c>
      <c r="C1004" s="1" t="n">
        <v>45731</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38993-2023</t>
        </is>
      </c>
      <c r="B1005" s="1" t="n">
        <v>45163</v>
      </c>
      <c r="C1005" s="1" t="n">
        <v>45731</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38851-2023</t>
        </is>
      </c>
      <c r="B1006" s="1" t="n">
        <v>45163</v>
      </c>
      <c r="C1006" s="1" t="n">
        <v>45731</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38995-2023</t>
        </is>
      </c>
      <c r="B1007" s="1" t="n">
        <v>45163</v>
      </c>
      <c r="C1007" s="1" t="n">
        <v>45731</v>
      </c>
      <c r="D1007" t="inlineStr">
        <is>
          <t>KALMAR LÄN</t>
        </is>
      </c>
      <c r="E1007" t="inlineStr">
        <is>
          <t>VIMMERBY</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38779-2023</t>
        </is>
      </c>
      <c r="B1008" s="1" t="n">
        <v>45163</v>
      </c>
      <c r="C1008" s="1" t="n">
        <v>45731</v>
      </c>
      <c r="D1008" t="inlineStr">
        <is>
          <t>KALMAR LÄN</t>
        </is>
      </c>
      <c r="E1008" t="inlineStr">
        <is>
          <t>VIMMERBY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38757-2023</t>
        </is>
      </c>
      <c r="B1009" s="1" t="n">
        <v>45163</v>
      </c>
      <c r="C1009" s="1" t="n">
        <v>45731</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38799-2023</t>
        </is>
      </c>
      <c r="B1010" s="1" t="n">
        <v>45163</v>
      </c>
      <c r="C1010" s="1" t="n">
        <v>45731</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38803-2023</t>
        </is>
      </c>
      <c r="B1011" s="1" t="n">
        <v>45163</v>
      </c>
      <c r="C1011" s="1" t="n">
        <v>45731</v>
      </c>
      <c r="D1011" t="inlineStr">
        <is>
          <t>KALMAR LÄN</t>
        </is>
      </c>
      <c r="E1011" t="inlineStr">
        <is>
          <t>VIMMERBY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39129-2023</t>
        </is>
      </c>
      <c r="B1012" s="1" t="n">
        <v>45165</v>
      </c>
      <c r="C1012" s="1" t="n">
        <v>45731</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39401-2023</t>
        </is>
      </c>
      <c r="B1013" s="1" t="n">
        <v>45166</v>
      </c>
      <c r="C1013" s="1" t="n">
        <v>45731</v>
      </c>
      <c r="D1013" t="inlineStr">
        <is>
          <t>KALMAR LÄN</t>
        </is>
      </c>
      <c r="E1013" t="inlineStr">
        <is>
          <t>VIMMERBY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40079-2023</t>
        </is>
      </c>
      <c r="B1014" s="1" t="n">
        <v>45168</v>
      </c>
      <c r="C1014" s="1" t="n">
        <v>45731</v>
      </c>
      <c r="D1014" t="inlineStr">
        <is>
          <t>KALMAR LÄN</t>
        </is>
      </c>
      <c r="E1014" t="inlineStr">
        <is>
          <t>VIMMERBY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39912-2023</t>
        </is>
      </c>
      <c r="B1015" s="1" t="n">
        <v>45168</v>
      </c>
      <c r="C1015" s="1" t="n">
        <v>45731</v>
      </c>
      <c r="D1015" t="inlineStr">
        <is>
          <t>KALMAR LÄN</t>
        </is>
      </c>
      <c r="E1015" t="inlineStr">
        <is>
          <t>VIMMERBY</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40147-2023</t>
        </is>
      </c>
      <c r="B1016" s="1" t="n">
        <v>45169</v>
      </c>
      <c r="C1016" s="1" t="n">
        <v>45731</v>
      </c>
      <c r="D1016" t="inlineStr">
        <is>
          <t>KALMAR LÄN</t>
        </is>
      </c>
      <c r="E1016" t="inlineStr">
        <is>
          <t>VIMMERBY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40151-2023</t>
        </is>
      </c>
      <c r="B1017" s="1" t="n">
        <v>45169</v>
      </c>
      <c r="C1017" s="1" t="n">
        <v>45731</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40380-2023</t>
        </is>
      </c>
      <c r="B1018" s="1" t="n">
        <v>45169</v>
      </c>
      <c r="C1018" s="1" t="n">
        <v>45731</v>
      </c>
      <c r="D1018" t="inlineStr">
        <is>
          <t>KALMAR LÄN</t>
        </is>
      </c>
      <c r="E1018" t="inlineStr">
        <is>
          <t>VIMMERBY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40472-2023</t>
        </is>
      </c>
      <c r="B1019" s="1" t="n">
        <v>45170</v>
      </c>
      <c r="C1019" s="1" t="n">
        <v>45731</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40477-2023</t>
        </is>
      </c>
      <c r="B1020" s="1" t="n">
        <v>45170</v>
      </c>
      <c r="C1020" s="1" t="n">
        <v>45731</v>
      </c>
      <c r="D1020" t="inlineStr">
        <is>
          <t>KALMAR LÄN</t>
        </is>
      </c>
      <c r="E1020" t="inlineStr">
        <is>
          <t>VIMMERBY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40665-2023</t>
        </is>
      </c>
      <c r="B1021" s="1" t="n">
        <v>45170</v>
      </c>
      <c r="C1021" s="1" t="n">
        <v>45731</v>
      </c>
      <c r="D1021" t="inlineStr">
        <is>
          <t>KALMAR LÄN</t>
        </is>
      </c>
      <c r="E1021" t="inlineStr">
        <is>
          <t>VIMMERBY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40828-2023</t>
        </is>
      </c>
      <c r="B1022" s="1" t="n">
        <v>45172</v>
      </c>
      <c r="C1022" s="1" t="n">
        <v>45731</v>
      </c>
      <c r="D1022" t="inlineStr">
        <is>
          <t>KALMAR LÄN</t>
        </is>
      </c>
      <c r="E1022" t="inlineStr">
        <is>
          <t>VIMMERBY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40823-2023</t>
        </is>
      </c>
      <c r="B1023" s="1" t="n">
        <v>45171</v>
      </c>
      <c r="C1023" s="1" t="n">
        <v>45731</v>
      </c>
      <c r="D1023" t="inlineStr">
        <is>
          <t>KALMAR LÄN</t>
        </is>
      </c>
      <c r="E1023" t="inlineStr">
        <is>
          <t>VIMMERBY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41084-2023</t>
        </is>
      </c>
      <c r="B1024" s="1" t="n">
        <v>45173</v>
      </c>
      <c r="C1024" s="1" t="n">
        <v>45731</v>
      </c>
      <c r="D1024" t="inlineStr">
        <is>
          <t>KALMAR LÄN</t>
        </is>
      </c>
      <c r="E1024" t="inlineStr">
        <is>
          <t>VIMMERBY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41088-2023</t>
        </is>
      </c>
      <c r="B1025" s="1" t="n">
        <v>45173</v>
      </c>
      <c r="C1025" s="1" t="n">
        <v>45731</v>
      </c>
      <c r="D1025" t="inlineStr">
        <is>
          <t>KALMAR LÄN</t>
        </is>
      </c>
      <c r="E1025" t="inlineStr">
        <is>
          <t>VIMMERBY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41199-2023</t>
        </is>
      </c>
      <c r="B1026" s="1" t="n">
        <v>45174</v>
      </c>
      <c r="C1026" s="1" t="n">
        <v>45731</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41311-2023</t>
        </is>
      </c>
      <c r="B1027" s="1" t="n">
        <v>45174</v>
      </c>
      <c r="C1027" s="1" t="n">
        <v>45731</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41158-2023</t>
        </is>
      </c>
      <c r="B1028" s="1" t="n">
        <v>45174</v>
      </c>
      <c r="C1028" s="1" t="n">
        <v>45731</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41202-2023</t>
        </is>
      </c>
      <c r="B1029" s="1" t="n">
        <v>45174</v>
      </c>
      <c r="C1029" s="1" t="n">
        <v>45731</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41894-2023</t>
        </is>
      </c>
      <c r="B1030" s="1" t="n">
        <v>45176</v>
      </c>
      <c r="C1030" s="1" t="n">
        <v>45731</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41896-2023</t>
        </is>
      </c>
      <c r="B1031" s="1" t="n">
        <v>45176</v>
      </c>
      <c r="C1031" s="1" t="n">
        <v>45731</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42241-2023</t>
        </is>
      </c>
      <c r="B1032" s="1" t="n">
        <v>45180</v>
      </c>
      <c r="C1032" s="1" t="n">
        <v>45731</v>
      </c>
      <c r="D1032" t="inlineStr">
        <is>
          <t>KALMAR LÄN</t>
        </is>
      </c>
      <c r="E1032" t="inlineStr">
        <is>
          <t>VIMMERBY</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42689-2023</t>
        </is>
      </c>
      <c r="B1033" s="1" t="n">
        <v>45181</v>
      </c>
      <c r="C1033" s="1" t="n">
        <v>45731</v>
      </c>
      <c r="D1033" t="inlineStr">
        <is>
          <t>KALMAR LÄN</t>
        </is>
      </c>
      <c r="E1033" t="inlineStr">
        <is>
          <t>VIMMERBY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42644-2023</t>
        </is>
      </c>
      <c r="B1034" s="1" t="n">
        <v>45181</v>
      </c>
      <c r="C1034" s="1" t="n">
        <v>45731</v>
      </c>
      <c r="D1034" t="inlineStr">
        <is>
          <t>KALMAR LÄN</t>
        </is>
      </c>
      <c r="E1034" t="inlineStr">
        <is>
          <t>VIMMERBY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43068-2023</t>
        </is>
      </c>
      <c r="B1035" s="1" t="n">
        <v>45182</v>
      </c>
      <c r="C1035" s="1" t="n">
        <v>45731</v>
      </c>
      <c r="D1035" t="inlineStr">
        <is>
          <t>KALMAR LÄN</t>
        </is>
      </c>
      <c r="E1035" t="inlineStr">
        <is>
          <t>VIMMERBY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43705-2023</t>
        </is>
      </c>
      <c r="B1036" s="1" t="n">
        <v>45187</v>
      </c>
      <c r="C1036" s="1" t="n">
        <v>45731</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43853-2023</t>
        </is>
      </c>
      <c r="B1037" s="1" t="n">
        <v>45187</v>
      </c>
      <c r="C1037" s="1" t="n">
        <v>45731</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43706-2023</t>
        </is>
      </c>
      <c r="B1038" s="1" t="n">
        <v>45187</v>
      </c>
      <c r="C1038" s="1" t="n">
        <v>45731</v>
      </c>
      <c r="D1038" t="inlineStr">
        <is>
          <t>KALMAR LÄN</t>
        </is>
      </c>
      <c r="E1038" t="inlineStr">
        <is>
          <t>VIMMERBY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43774-2023</t>
        </is>
      </c>
      <c r="B1039" s="1" t="n">
        <v>45187</v>
      </c>
      <c r="C1039" s="1" t="n">
        <v>45731</v>
      </c>
      <c r="D1039" t="inlineStr">
        <is>
          <t>KALMAR LÄN</t>
        </is>
      </c>
      <c r="E1039" t="inlineStr">
        <is>
          <t>VIMMERBY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44660-2023</t>
        </is>
      </c>
      <c r="B1040" s="1" t="n">
        <v>45189</v>
      </c>
      <c r="C1040" s="1" t="n">
        <v>45731</v>
      </c>
      <c r="D1040" t="inlineStr">
        <is>
          <t>KALMAR LÄN</t>
        </is>
      </c>
      <c r="E1040" t="inlineStr">
        <is>
          <t>VIMMERBY</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44423-2023</t>
        </is>
      </c>
      <c r="B1041" s="1" t="n">
        <v>45189</v>
      </c>
      <c r="C1041" s="1" t="n">
        <v>45731</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44833-2023</t>
        </is>
      </c>
      <c r="B1042" s="1" t="n">
        <v>45190</v>
      </c>
      <c r="C1042" s="1" t="n">
        <v>45731</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44962-2023</t>
        </is>
      </c>
      <c r="B1043" s="1" t="n">
        <v>45190</v>
      </c>
      <c r="C1043" s="1" t="n">
        <v>45731</v>
      </c>
      <c r="D1043" t="inlineStr">
        <is>
          <t>KALMAR LÄN</t>
        </is>
      </c>
      <c r="E1043" t="inlineStr">
        <is>
          <t>VIMMERBY</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44887-2023</t>
        </is>
      </c>
      <c r="B1044" s="1" t="n">
        <v>45190</v>
      </c>
      <c r="C1044" s="1" t="n">
        <v>45731</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44884-2023</t>
        </is>
      </c>
      <c r="B1045" s="1" t="n">
        <v>45190</v>
      </c>
      <c r="C1045" s="1" t="n">
        <v>45731</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45838-2023</t>
        </is>
      </c>
      <c r="B1046" s="1" t="n">
        <v>45195</v>
      </c>
      <c r="C1046" s="1" t="n">
        <v>45731</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45846-2023</t>
        </is>
      </c>
      <c r="B1047" s="1" t="n">
        <v>45195</v>
      </c>
      <c r="C1047" s="1" t="n">
        <v>45731</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45731-2023</t>
        </is>
      </c>
      <c r="B1048" s="1" t="n">
        <v>45195</v>
      </c>
      <c r="C1048" s="1" t="n">
        <v>45731</v>
      </c>
      <c r="D1048" t="inlineStr">
        <is>
          <t>KALMAR LÄN</t>
        </is>
      </c>
      <c r="E1048" t="inlineStr">
        <is>
          <t>VIMMERBY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45808-2023</t>
        </is>
      </c>
      <c r="B1049" s="1" t="n">
        <v>45195</v>
      </c>
      <c r="C1049" s="1" t="n">
        <v>45731</v>
      </c>
      <c r="D1049" t="inlineStr">
        <is>
          <t>KALMAR LÄN</t>
        </is>
      </c>
      <c r="E1049" t="inlineStr">
        <is>
          <t>VIMMERBY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45839-2023</t>
        </is>
      </c>
      <c r="B1050" s="1" t="n">
        <v>45195</v>
      </c>
      <c r="C1050" s="1" t="n">
        <v>45731</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46116-2023</t>
        </is>
      </c>
      <c r="B1051" s="1" t="n">
        <v>45196</v>
      </c>
      <c r="C1051" s="1" t="n">
        <v>45731</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46078-2023</t>
        </is>
      </c>
      <c r="B1052" s="1" t="n">
        <v>45196</v>
      </c>
      <c r="C1052" s="1" t="n">
        <v>45731</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46144-2023</t>
        </is>
      </c>
      <c r="B1053" s="1" t="n">
        <v>45196</v>
      </c>
      <c r="C1053" s="1" t="n">
        <v>45731</v>
      </c>
      <c r="D1053" t="inlineStr">
        <is>
          <t>KALMAR LÄN</t>
        </is>
      </c>
      <c r="E1053" t="inlineStr">
        <is>
          <t>VIMMERBY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46697-2023</t>
        </is>
      </c>
      <c r="B1054" s="1" t="n">
        <v>45198</v>
      </c>
      <c r="C1054" s="1" t="n">
        <v>45731</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46695-2023</t>
        </is>
      </c>
      <c r="B1055" s="1" t="n">
        <v>45198</v>
      </c>
      <c r="C1055" s="1" t="n">
        <v>45731</v>
      </c>
      <c r="D1055" t="inlineStr">
        <is>
          <t>KALMAR LÄN</t>
        </is>
      </c>
      <c r="E1055" t="inlineStr">
        <is>
          <t>VIMMERBY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46916-2023</t>
        </is>
      </c>
      <c r="B1056" s="1" t="n">
        <v>45201</v>
      </c>
      <c r="C1056" s="1" t="n">
        <v>45731</v>
      </c>
      <c r="D1056" t="inlineStr">
        <is>
          <t>KALMAR LÄN</t>
        </is>
      </c>
      <c r="E1056" t="inlineStr">
        <is>
          <t>VIMMERBY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46921-2023</t>
        </is>
      </c>
      <c r="B1057" s="1" t="n">
        <v>45201</v>
      </c>
      <c r="C1057" s="1" t="n">
        <v>45731</v>
      </c>
      <c r="D1057" t="inlineStr">
        <is>
          <t>KALMAR LÄN</t>
        </is>
      </c>
      <c r="E1057" t="inlineStr">
        <is>
          <t>VIMMERBY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46941-2023</t>
        </is>
      </c>
      <c r="B1058" s="1" t="n">
        <v>45201</v>
      </c>
      <c r="C1058" s="1" t="n">
        <v>45731</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46979-2023</t>
        </is>
      </c>
      <c r="B1059" s="1" t="n">
        <v>45201</v>
      </c>
      <c r="C1059" s="1" t="n">
        <v>45731</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47084-2023</t>
        </is>
      </c>
      <c r="B1060" s="1" t="n">
        <v>45201</v>
      </c>
      <c r="C1060" s="1" t="n">
        <v>45731</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47247-2023</t>
        </is>
      </c>
      <c r="B1061" s="1" t="n">
        <v>45202</v>
      </c>
      <c r="C1061" s="1" t="n">
        <v>45731</v>
      </c>
      <c r="D1061" t="inlineStr">
        <is>
          <t>KALMAR LÄN</t>
        </is>
      </c>
      <c r="E1061" t="inlineStr">
        <is>
          <t>VIMMERBY</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47256-2023</t>
        </is>
      </c>
      <c r="B1062" s="1" t="n">
        <v>45202</v>
      </c>
      <c r="C1062" s="1" t="n">
        <v>45731</v>
      </c>
      <c r="D1062" t="inlineStr">
        <is>
          <t>KALMAR LÄN</t>
        </is>
      </c>
      <c r="E1062" t="inlineStr">
        <is>
          <t>VIMMERBY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47263-2023</t>
        </is>
      </c>
      <c r="B1063" s="1" t="n">
        <v>45202</v>
      </c>
      <c r="C1063" s="1" t="n">
        <v>45731</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47524-2023</t>
        </is>
      </c>
      <c r="B1064" s="1" t="n">
        <v>45203</v>
      </c>
      <c r="C1064" s="1" t="n">
        <v>45731</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47515-2023</t>
        </is>
      </c>
      <c r="B1065" s="1" t="n">
        <v>45203</v>
      </c>
      <c r="C1065" s="1" t="n">
        <v>45731</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47517-2023</t>
        </is>
      </c>
      <c r="B1066" s="1" t="n">
        <v>45203</v>
      </c>
      <c r="C1066" s="1" t="n">
        <v>45731</v>
      </c>
      <c r="D1066" t="inlineStr">
        <is>
          <t>KALMAR LÄN</t>
        </is>
      </c>
      <c r="E1066" t="inlineStr">
        <is>
          <t>VIMMERBY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47521-2023</t>
        </is>
      </c>
      <c r="B1067" s="1" t="n">
        <v>45203</v>
      </c>
      <c r="C1067" s="1" t="n">
        <v>45731</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48346-2023</t>
        </is>
      </c>
      <c r="B1068" s="1" t="n">
        <v>45205</v>
      </c>
      <c r="C1068" s="1" t="n">
        <v>45731</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49382-2023</t>
        </is>
      </c>
      <c r="B1069" s="1" t="n">
        <v>45208</v>
      </c>
      <c r="C1069" s="1" t="n">
        <v>45731</v>
      </c>
      <c r="D1069" t="inlineStr">
        <is>
          <t>KALMAR LÄN</t>
        </is>
      </c>
      <c r="E1069" t="inlineStr">
        <is>
          <t>VIMMERBY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49261-2023</t>
        </is>
      </c>
      <c r="B1070" s="1" t="n">
        <v>45210</v>
      </c>
      <c r="C1070" s="1" t="n">
        <v>45731</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49254-2023</t>
        </is>
      </c>
      <c r="B1071" s="1" t="n">
        <v>45210</v>
      </c>
      <c r="C1071" s="1" t="n">
        <v>45731</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49246-2023</t>
        </is>
      </c>
      <c r="B1072" s="1" t="n">
        <v>45210</v>
      </c>
      <c r="C1072" s="1" t="n">
        <v>45731</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49408-2023</t>
        </is>
      </c>
      <c r="B1073" s="1" t="n">
        <v>45211</v>
      </c>
      <c r="C1073" s="1" t="n">
        <v>45731</v>
      </c>
      <c r="D1073" t="inlineStr">
        <is>
          <t>KALMAR LÄN</t>
        </is>
      </c>
      <c r="E1073" t="inlineStr">
        <is>
          <t>VIMMERBY</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49458-2023</t>
        </is>
      </c>
      <c r="B1074" s="1" t="n">
        <v>45211</v>
      </c>
      <c r="C1074" s="1" t="n">
        <v>45731</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49461-2023</t>
        </is>
      </c>
      <c r="B1075" s="1" t="n">
        <v>45211</v>
      </c>
      <c r="C1075" s="1" t="n">
        <v>45731</v>
      </c>
      <c r="D1075" t="inlineStr">
        <is>
          <t>KALMAR LÄN</t>
        </is>
      </c>
      <c r="E1075" t="inlineStr">
        <is>
          <t>VIMMERBY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49474-2023</t>
        </is>
      </c>
      <c r="B1076" s="1" t="n">
        <v>45211</v>
      </c>
      <c r="C1076" s="1" t="n">
        <v>45731</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49488-2023</t>
        </is>
      </c>
      <c r="B1077" s="1" t="n">
        <v>45211</v>
      </c>
      <c r="C1077" s="1" t="n">
        <v>45731</v>
      </c>
      <c r="D1077" t="inlineStr">
        <is>
          <t>KALMAR LÄN</t>
        </is>
      </c>
      <c r="E1077" t="inlineStr">
        <is>
          <t>VIMMERBY</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49756-2023</t>
        </is>
      </c>
      <c r="B1078" s="1" t="n">
        <v>45212</v>
      </c>
      <c r="C1078" s="1" t="n">
        <v>45731</v>
      </c>
      <c r="D1078" t="inlineStr">
        <is>
          <t>KALMAR LÄN</t>
        </is>
      </c>
      <c r="E1078" t="inlineStr">
        <is>
          <t>VIMMERBY</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50087-2023</t>
        </is>
      </c>
      <c r="B1079" s="1" t="n">
        <v>45215</v>
      </c>
      <c r="C1079" s="1" t="n">
        <v>45731</v>
      </c>
      <c r="D1079" t="inlineStr">
        <is>
          <t>KALMAR LÄN</t>
        </is>
      </c>
      <c r="E1079" t="inlineStr">
        <is>
          <t>VIMMERBY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50088-2023</t>
        </is>
      </c>
      <c r="B1080" s="1" t="n">
        <v>45215</v>
      </c>
      <c r="C1080" s="1" t="n">
        <v>45731</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50093-2023</t>
        </is>
      </c>
      <c r="B1081" s="1" t="n">
        <v>45215</v>
      </c>
      <c r="C1081" s="1" t="n">
        <v>45731</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50091-2023</t>
        </is>
      </c>
      <c r="B1082" s="1" t="n">
        <v>45215</v>
      </c>
      <c r="C1082" s="1" t="n">
        <v>45731</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50085-2023</t>
        </is>
      </c>
      <c r="B1083" s="1" t="n">
        <v>45215</v>
      </c>
      <c r="C1083" s="1" t="n">
        <v>45731</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50648-2023</t>
        </is>
      </c>
      <c r="B1084" s="1" t="n">
        <v>45217</v>
      </c>
      <c r="C1084" s="1" t="n">
        <v>45731</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52257-2023</t>
        </is>
      </c>
      <c r="B1085" s="1" t="n">
        <v>45217</v>
      </c>
      <c r="C1085" s="1" t="n">
        <v>45731</v>
      </c>
      <c r="D1085" t="inlineStr">
        <is>
          <t>KALMAR LÄN</t>
        </is>
      </c>
      <c r="E1085" t="inlineStr">
        <is>
          <t>VIMMERBY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50934-2023</t>
        </is>
      </c>
      <c r="B1086" s="1" t="n">
        <v>45218</v>
      </c>
      <c r="C1086" s="1" t="n">
        <v>45731</v>
      </c>
      <c r="D1086" t="inlineStr">
        <is>
          <t>KALMAR LÄN</t>
        </is>
      </c>
      <c r="E1086" t="inlineStr">
        <is>
          <t>VIMMERBY</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51408-2023</t>
        </is>
      </c>
      <c r="B1087" s="1" t="n">
        <v>45219</v>
      </c>
      <c r="C1087" s="1" t="n">
        <v>45731</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51187-2023</t>
        </is>
      </c>
      <c r="B1088" s="1" t="n">
        <v>45219</v>
      </c>
      <c r="C1088" s="1" t="n">
        <v>45731</v>
      </c>
      <c r="D1088" t="inlineStr">
        <is>
          <t>KALMAR LÄN</t>
        </is>
      </c>
      <c r="E1088" t="inlineStr">
        <is>
          <t>VIMMERBY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51775-2023</t>
        </is>
      </c>
      <c r="B1089" s="1" t="n">
        <v>45222</v>
      </c>
      <c r="C1089" s="1" t="n">
        <v>45731</v>
      </c>
      <c r="D1089" t="inlineStr">
        <is>
          <t>KALMAR LÄN</t>
        </is>
      </c>
      <c r="E1089" t="inlineStr">
        <is>
          <t>VIMMERBY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51552-2023</t>
        </is>
      </c>
      <c r="B1090" s="1" t="n">
        <v>45222</v>
      </c>
      <c r="C1090" s="1" t="n">
        <v>45731</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52279-2023</t>
        </is>
      </c>
      <c r="B1091" s="1" t="n">
        <v>45224</v>
      </c>
      <c r="C1091" s="1" t="n">
        <v>45731</v>
      </c>
      <c r="D1091" t="inlineStr">
        <is>
          <t>KALMAR LÄN</t>
        </is>
      </c>
      <c r="E1091" t="inlineStr">
        <is>
          <t>VIMMERBY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52294-2023</t>
        </is>
      </c>
      <c r="B1092" s="1" t="n">
        <v>45224</v>
      </c>
      <c r="C1092" s="1" t="n">
        <v>45731</v>
      </c>
      <c r="D1092" t="inlineStr">
        <is>
          <t>KALMAR LÄN</t>
        </is>
      </c>
      <c r="E1092" t="inlineStr">
        <is>
          <t>VIMMERBY</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52327-2023</t>
        </is>
      </c>
      <c r="B1093" s="1" t="n">
        <v>45224</v>
      </c>
      <c r="C1093" s="1" t="n">
        <v>45731</v>
      </c>
      <c r="D1093" t="inlineStr">
        <is>
          <t>KALMAR LÄN</t>
        </is>
      </c>
      <c r="E1093" t="inlineStr">
        <is>
          <t>VIMMERBY</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52208-2023</t>
        </is>
      </c>
      <c r="B1094" s="1" t="n">
        <v>45224</v>
      </c>
      <c r="C1094" s="1" t="n">
        <v>45731</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52324-2023</t>
        </is>
      </c>
      <c r="B1095" s="1" t="n">
        <v>45224</v>
      </c>
      <c r="C1095" s="1" t="n">
        <v>45731</v>
      </c>
      <c r="D1095" t="inlineStr">
        <is>
          <t>KALMAR LÄN</t>
        </is>
      </c>
      <c r="E1095" t="inlineStr">
        <is>
          <t>VIMMERBY</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52411-2023</t>
        </is>
      </c>
      <c r="B1096" s="1" t="n">
        <v>45225</v>
      </c>
      <c r="C1096" s="1" t="n">
        <v>45731</v>
      </c>
      <c r="D1096" t="inlineStr">
        <is>
          <t>KALMAR LÄN</t>
        </is>
      </c>
      <c r="E1096" t="inlineStr">
        <is>
          <t>VIMMERBY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52588-2023</t>
        </is>
      </c>
      <c r="B1097" s="1" t="n">
        <v>45225</v>
      </c>
      <c r="C1097" s="1" t="n">
        <v>45731</v>
      </c>
      <c r="D1097" t="inlineStr">
        <is>
          <t>KALMAR LÄN</t>
        </is>
      </c>
      <c r="E1097" t="inlineStr">
        <is>
          <t>VIMMERBY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52616-2023</t>
        </is>
      </c>
      <c r="B1098" s="1" t="n">
        <v>45225</v>
      </c>
      <c r="C1098" s="1" t="n">
        <v>45731</v>
      </c>
      <c r="D1098" t="inlineStr">
        <is>
          <t>KALMAR LÄN</t>
        </is>
      </c>
      <c r="E1098" t="inlineStr">
        <is>
          <t>VIMMERBY</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52623-2023</t>
        </is>
      </c>
      <c r="B1099" s="1" t="n">
        <v>45225</v>
      </c>
      <c r="C1099" s="1" t="n">
        <v>45731</v>
      </c>
      <c r="D1099" t="inlineStr">
        <is>
          <t>KALMAR LÄN</t>
        </is>
      </c>
      <c r="E1099" t="inlineStr">
        <is>
          <t>VIMMERBY</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52703-2023</t>
        </is>
      </c>
      <c r="B1100" s="1" t="n">
        <v>45225</v>
      </c>
      <c r="C1100" s="1" t="n">
        <v>45731</v>
      </c>
      <c r="D1100" t="inlineStr">
        <is>
          <t>KALMAR LÄN</t>
        </is>
      </c>
      <c r="E1100" t="inlineStr">
        <is>
          <t>VIMMERBY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53220-2023</t>
        </is>
      </c>
      <c r="B1101" s="1" t="n">
        <v>45229</v>
      </c>
      <c r="C1101" s="1" t="n">
        <v>45731</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54084-2023</t>
        </is>
      </c>
      <c r="B1102" s="1" t="n">
        <v>45232</v>
      </c>
      <c r="C1102" s="1" t="n">
        <v>45731</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54086-2023</t>
        </is>
      </c>
      <c r="B1103" s="1" t="n">
        <v>45232</v>
      </c>
      <c r="C1103" s="1" t="n">
        <v>45731</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55716-2023</t>
        </is>
      </c>
      <c r="B1104" s="1" t="n">
        <v>45232</v>
      </c>
      <c r="C1104" s="1" t="n">
        <v>45731</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54785-2023</t>
        </is>
      </c>
      <c r="B1105" s="1" t="n">
        <v>45236</v>
      </c>
      <c r="C1105" s="1" t="n">
        <v>45731</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54787-2023</t>
        </is>
      </c>
      <c r="B1106" s="1" t="n">
        <v>45236</v>
      </c>
      <c r="C1106" s="1" t="n">
        <v>45731</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55236-2023</t>
        </is>
      </c>
      <c r="B1107" s="1" t="n">
        <v>45237</v>
      </c>
      <c r="C1107" s="1" t="n">
        <v>45731</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55245-2023</t>
        </is>
      </c>
      <c r="B1108" s="1" t="n">
        <v>45237</v>
      </c>
      <c r="C1108" s="1" t="n">
        <v>45731</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55279-2023</t>
        </is>
      </c>
      <c r="B1109" s="1" t="n">
        <v>45237</v>
      </c>
      <c r="C1109" s="1" t="n">
        <v>45731</v>
      </c>
      <c r="D1109" t="inlineStr">
        <is>
          <t>KALMAR LÄN</t>
        </is>
      </c>
      <c r="E1109" t="inlineStr">
        <is>
          <t>VIMMERBY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55457-2023</t>
        </is>
      </c>
      <c r="B1110" s="1" t="n">
        <v>45238</v>
      </c>
      <c r="C1110" s="1" t="n">
        <v>45731</v>
      </c>
      <c r="D1110" t="inlineStr">
        <is>
          <t>KALMAR LÄN</t>
        </is>
      </c>
      <c r="E1110" t="inlineStr">
        <is>
          <t>VIMMERBY</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55470-2023</t>
        </is>
      </c>
      <c r="B1111" s="1" t="n">
        <v>45238</v>
      </c>
      <c r="C1111" s="1" t="n">
        <v>45731</v>
      </c>
      <c r="D1111" t="inlineStr">
        <is>
          <t>KALMAR LÄN</t>
        </is>
      </c>
      <c r="E1111" t="inlineStr">
        <is>
          <t>VIMMERBY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55436-2023</t>
        </is>
      </c>
      <c r="B1112" s="1" t="n">
        <v>45238</v>
      </c>
      <c r="C1112" s="1" t="n">
        <v>45731</v>
      </c>
      <c r="D1112" t="inlineStr">
        <is>
          <t>KALMAR LÄN</t>
        </is>
      </c>
      <c r="E1112" t="inlineStr">
        <is>
          <t>VIMMERBY</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55510-2023</t>
        </is>
      </c>
      <c r="B1113" s="1" t="n">
        <v>45238</v>
      </c>
      <c r="C1113" s="1" t="n">
        <v>45731</v>
      </c>
      <c r="D1113" t="inlineStr">
        <is>
          <t>KALMAR LÄN</t>
        </is>
      </c>
      <c r="E1113" t="inlineStr">
        <is>
          <t>VIMMERBY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55442-2023</t>
        </is>
      </c>
      <c r="B1114" s="1" t="n">
        <v>45238</v>
      </c>
      <c r="C1114" s="1" t="n">
        <v>45731</v>
      </c>
      <c r="D1114" t="inlineStr">
        <is>
          <t>KALMAR LÄN</t>
        </is>
      </c>
      <c r="E1114" t="inlineStr">
        <is>
          <t>VIMMERBY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56657-2023</t>
        </is>
      </c>
      <c r="B1115" s="1" t="n">
        <v>45243</v>
      </c>
      <c r="C1115" s="1" t="n">
        <v>45731</v>
      </c>
      <c r="D1115" t="inlineStr">
        <is>
          <t>KALMAR LÄN</t>
        </is>
      </c>
      <c r="E1115" t="inlineStr">
        <is>
          <t>VIMMERBY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56659-2023</t>
        </is>
      </c>
      <c r="B1116" s="1" t="n">
        <v>45243</v>
      </c>
      <c r="C1116" s="1" t="n">
        <v>45731</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57036-2023</t>
        </is>
      </c>
      <c r="B1117" s="1" t="n">
        <v>45244</v>
      </c>
      <c r="C1117" s="1" t="n">
        <v>45731</v>
      </c>
      <c r="D1117" t="inlineStr">
        <is>
          <t>KALMAR LÄN</t>
        </is>
      </c>
      <c r="E1117" t="inlineStr">
        <is>
          <t>VIMMERBY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57040-2023</t>
        </is>
      </c>
      <c r="B1118" s="1" t="n">
        <v>45244</v>
      </c>
      <c r="C1118" s="1" t="n">
        <v>45731</v>
      </c>
      <c r="D1118" t="inlineStr">
        <is>
          <t>KALMAR LÄN</t>
        </is>
      </c>
      <c r="E1118" t="inlineStr">
        <is>
          <t>VIMMERBY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57254-2023</t>
        </is>
      </c>
      <c r="B1119" s="1" t="n">
        <v>45245</v>
      </c>
      <c r="C1119" s="1" t="n">
        <v>45731</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57114-2023</t>
        </is>
      </c>
      <c r="B1120" s="1" t="n">
        <v>45245</v>
      </c>
      <c r="C1120" s="1" t="n">
        <v>45731</v>
      </c>
      <c r="D1120" t="inlineStr">
        <is>
          <t>KALMAR LÄN</t>
        </is>
      </c>
      <c r="E1120" t="inlineStr">
        <is>
          <t>VIMMERBY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57264-2023</t>
        </is>
      </c>
      <c r="B1121" s="1" t="n">
        <v>45245</v>
      </c>
      <c r="C1121" s="1" t="n">
        <v>45731</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57311-2023</t>
        </is>
      </c>
      <c r="B1122" s="1" t="n">
        <v>45245</v>
      </c>
      <c r="C1122" s="1" t="n">
        <v>45731</v>
      </c>
      <c r="D1122" t="inlineStr">
        <is>
          <t>KALMAR LÄN</t>
        </is>
      </c>
      <c r="E1122" t="inlineStr">
        <is>
          <t>VIMMERBY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57256-2023</t>
        </is>
      </c>
      <c r="B1123" s="1" t="n">
        <v>45245</v>
      </c>
      <c r="C1123" s="1" t="n">
        <v>45731</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57269-2023</t>
        </is>
      </c>
      <c r="B1124" s="1" t="n">
        <v>45245</v>
      </c>
      <c r="C1124" s="1" t="n">
        <v>45731</v>
      </c>
      <c r="D1124" t="inlineStr">
        <is>
          <t>KALMAR LÄN</t>
        </is>
      </c>
      <c r="E1124" t="inlineStr">
        <is>
          <t>VIMMERBY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57317-2023</t>
        </is>
      </c>
      <c r="B1125" s="1" t="n">
        <v>45245</v>
      </c>
      <c r="C1125" s="1" t="n">
        <v>45731</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57329-2023</t>
        </is>
      </c>
      <c r="B1126" s="1" t="n">
        <v>45245</v>
      </c>
      <c r="C1126" s="1" t="n">
        <v>45731</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58278-2023</t>
        </is>
      </c>
      <c r="B1127" s="1" t="n">
        <v>45250</v>
      </c>
      <c r="C1127" s="1" t="n">
        <v>45731</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59598-2023</t>
        </is>
      </c>
      <c r="B1128" s="1" t="n">
        <v>45254</v>
      </c>
      <c r="C1128" s="1" t="n">
        <v>45731</v>
      </c>
      <c r="D1128" t="inlineStr">
        <is>
          <t>KALMAR LÄN</t>
        </is>
      </c>
      <c r="E1128" t="inlineStr">
        <is>
          <t>VIMMERBY</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59943-2023</t>
        </is>
      </c>
      <c r="B1129" s="1" t="n">
        <v>45257</v>
      </c>
      <c r="C1129" s="1" t="n">
        <v>45731</v>
      </c>
      <c r="D1129" t="inlineStr">
        <is>
          <t>KALMAR LÄN</t>
        </is>
      </c>
      <c r="E1129" t="inlineStr">
        <is>
          <t>VIMMERBY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59955-2023</t>
        </is>
      </c>
      <c r="B1130" s="1" t="n">
        <v>45257</v>
      </c>
      <c r="C1130" s="1" t="n">
        <v>45731</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60438-2023</t>
        </is>
      </c>
      <c r="B1131" s="1" t="n">
        <v>45259</v>
      </c>
      <c r="C1131" s="1" t="n">
        <v>45731</v>
      </c>
      <c r="D1131" t="inlineStr">
        <is>
          <t>KALMAR LÄN</t>
        </is>
      </c>
      <c r="E1131" t="inlineStr">
        <is>
          <t>VIMMERBY</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60437-2023</t>
        </is>
      </c>
      <c r="B1132" s="1" t="n">
        <v>45259</v>
      </c>
      <c r="C1132" s="1" t="n">
        <v>45731</v>
      </c>
      <c r="D1132" t="inlineStr">
        <is>
          <t>KALMAR LÄN</t>
        </is>
      </c>
      <c r="E1132" t="inlineStr">
        <is>
          <t>VIMMERBY</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60675-2023</t>
        </is>
      </c>
      <c r="B1133" s="1" t="n">
        <v>45260</v>
      </c>
      <c r="C1133" s="1" t="n">
        <v>45731</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60951-2023</t>
        </is>
      </c>
      <c r="B1134" s="1" t="n">
        <v>45261</v>
      </c>
      <c r="C1134" s="1" t="n">
        <v>45731</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61189-2023</t>
        </is>
      </c>
      <c r="B1135" s="1" t="n">
        <v>45264</v>
      </c>
      <c r="C1135" s="1" t="n">
        <v>45731</v>
      </c>
      <c r="D1135" t="inlineStr">
        <is>
          <t>KALMAR LÄN</t>
        </is>
      </c>
      <c r="E1135" t="inlineStr">
        <is>
          <t>VIMMERBY</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61227-2023</t>
        </is>
      </c>
      <c r="B1136" s="1" t="n">
        <v>45264</v>
      </c>
      <c r="C1136" s="1" t="n">
        <v>45731</v>
      </c>
      <c r="D1136" t="inlineStr">
        <is>
          <t>KALMAR LÄN</t>
        </is>
      </c>
      <c r="E1136" t="inlineStr">
        <is>
          <t>VIMMERBY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61224-2023</t>
        </is>
      </c>
      <c r="B1137" s="1" t="n">
        <v>45264</v>
      </c>
      <c r="C1137" s="1" t="n">
        <v>45731</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61221-2023</t>
        </is>
      </c>
      <c r="B1138" s="1" t="n">
        <v>45264</v>
      </c>
      <c r="C1138" s="1" t="n">
        <v>45731</v>
      </c>
      <c r="D1138" t="inlineStr">
        <is>
          <t>KALMAR LÄN</t>
        </is>
      </c>
      <c r="E1138" t="inlineStr">
        <is>
          <t>VIMMERBY</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61817-2023</t>
        </is>
      </c>
      <c r="B1139" s="1" t="n">
        <v>45266</v>
      </c>
      <c r="C1139" s="1" t="n">
        <v>45731</v>
      </c>
      <c r="D1139" t="inlineStr">
        <is>
          <t>KALMAR LÄN</t>
        </is>
      </c>
      <c r="E1139" t="inlineStr">
        <is>
          <t>VIMMERBY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61825-2023</t>
        </is>
      </c>
      <c r="B1140" s="1" t="n">
        <v>45266</v>
      </c>
      <c r="C1140" s="1" t="n">
        <v>45731</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61820-2023</t>
        </is>
      </c>
      <c r="B1141" s="1" t="n">
        <v>45266</v>
      </c>
      <c r="C1141" s="1" t="n">
        <v>45731</v>
      </c>
      <c r="D1141" t="inlineStr">
        <is>
          <t>KALMAR LÄN</t>
        </is>
      </c>
      <c r="E1141" t="inlineStr">
        <is>
          <t>VIMMERBY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62615-2023</t>
        </is>
      </c>
      <c r="B1142" s="1" t="n">
        <v>45271</v>
      </c>
      <c r="C1142" s="1" t="n">
        <v>45731</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62779-2023</t>
        </is>
      </c>
      <c r="B1143" s="1" t="n">
        <v>45271</v>
      </c>
      <c r="C1143" s="1" t="n">
        <v>45731</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62852-2023</t>
        </is>
      </c>
      <c r="B1144" s="1" t="n">
        <v>45272</v>
      </c>
      <c r="C1144" s="1" t="n">
        <v>45731</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62997-2023</t>
        </is>
      </c>
      <c r="B1145" s="1" t="n">
        <v>45272</v>
      </c>
      <c r="C1145" s="1" t="n">
        <v>45731</v>
      </c>
      <c r="D1145" t="inlineStr">
        <is>
          <t>KALMAR LÄN</t>
        </is>
      </c>
      <c r="E1145" t="inlineStr">
        <is>
          <t>VIMMERBY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63284-2023</t>
        </is>
      </c>
      <c r="B1146" s="1" t="n">
        <v>45273</v>
      </c>
      <c r="C1146" s="1" t="n">
        <v>45731</v>
      </c>
      <c r="D1146" t="inlineStr">
        <is>
          <t>KALMAR LÄN</t>
        </is>
      </c>
      <c r="E1146" t="inlineStr">
        <is>
          <t>VIMMERBY</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63541-2023</t>
        </is>
      </c>
      <c r="B1147" s="1" t="n">
        <v>45275</v>
      </c>
      <c r="C1147" s="1" t="n">
        <v>45731</v>
      </c>
      <c r="D1147" t="inlineStr">
        <is>
          <t>KALMAR LÄN</t>
        </is>
      </c>
      <c r="E1147" t="inlineStr">
        <is>
          <t>VIMMERBY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63583-2023</t>
        </is>
      </c>
      <c r="B1148" s="1" t="n">
        <v>45275</v>
      </c>
      <c r="C1148" s="1" t="n">
        <v>45731</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63969-2023</t>
        </is>
      </c>
      <c r="B1149" s="1" t="n">
        <v>45278</v>
      </c>
      <c r="C1149" s="1" t="n">
        <v>45731</v>
      </c>
      <c r="D1149" t="inlineStr">
        <is>
          <t>KALMAR LÄN</t>
        </is>
      </c>
      <c r="E1149" t="inlineStr">
        <is>
          <t>VIMMERBY</t>
        </is>
      </c>
      <c r="F1149" t="inlineStr">
        <is>
          <t>Kyrkan</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63950-2023</t>
        </is>
      </c>
      <c r="B1150" s="1" t="n">
        <v>45278</v>
      </c>
      <c r="C1150" s="1" t="n">
        <v>45731</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64428-2023</t>
        </is>
      </c>
      <c r="B1151" s="1" t="n">
        <v>45280</v>
      </c>
      <c r="C1151" s="1" t="n">
        <v>45731</v>
      </c>
      <c r="D1151" t="inlineStr">
        <is>
          <t>KALMAR LÄN</t>
        </is>
      </c>
      <c r="E1151" t="inlineStr">
        <is>
          <t>VIMMERBY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65237-2023</t>
        </is>
      </c>
      <c r="B1152" s="1" t="n">
        <v>45289</v>
      </c>
      <c r="C1152" s="1" t="n">
        <v>45731</v>
      </c>
      <c r="D1152" t="inlineStr">
        <is>
          <t>KALMAR LÄN</t>
        </is>
      </c>
      <c r="E1152" t="inlineStr">
        <is>
          <t>VIMMERBY</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65238-2023</t>
        </is>
      </c>
      <c r="B1153" s="1" t="n">
        <v>45289</v>
      </c>
      <c r="C1153" s="1" t="n">
        <v>45731</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205-2024</t>
        </is>
      </c>
      <c r="B1154" s="1" t="n">
        <v>45294</v>
      </c>
      <c r="C1154" s="1" t="n">
        <v>45731</v>
      </c>
      <c r="D1154" t="inlineStr">
        <is>
          <t>KALMAR LÄN</t>
        </is>
      </c>
      <c r="E1154" t="inlineStr">
        <is>
          <t>VIMMERBY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526-2024</t>
        </is>
      </c>
      <c r="B1155" s="1" t="n">
        <v>45299</v>
      </c>
      <c r="C1155" s="1" t="n">
        <v>45731</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627-2024</t>
        </is>
      </c>
      <c r="B1156" s="1" t="n">
        <v>45299</v>
      </c>
      <c r="C1156" s="1" t="n">
        <v>45731</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529-2024</t>
        </is>
      </c>
      <c r="B1157" s="1" t="n">
        <v>45299</v>
      </c>
      <c r="C1157" s="1" t="n">
        <v>45731</v>
      </c>
      <c r="D1157" t="inlineStr">
        <is>
          <t>KALMAR LÄN</t>
        </is>
      </c>
      <c r="E1157" t="inlineStr">
        <is>
          <t>VIMMERBY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527-2024</t>
        </is>
      </c>
      <c r="B1158" s="1" t="n">
        <v>45299</v>
      </c>
      <c r="C1158" s="1" t="n">
        <v>45731</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585-2024</t>
        </is>
      </c>
      <c r="B1159" s="1" t="n">
        <v>45299</v>
      </c>
      <c r="C1159" s="1" t="n">
        <v>45731</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690-2024</t>
        </is>
      </c>
      <c r="B1160" s="1" t="n">
        <v>45300</v>
      </c>
      <c r="C1160" s="1" t="n">
        <v>45731</v>
      </c>
      <c r="D1160" t="inlineStr">
        <is>
          <t>KALMAR LÄN</t>
        </is>
      </c>
      <c r="E1160" t="inlineStr">
        <is>
          <t>VIMMERBY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694-2024</t>
        </is>
      </c>
      <c r="B1161" s="1" t="n">
        <v>45300</v>
      </c>
      <c r="C1161" s="1" t="n">
        <v>45731</v>
      </c>
      <c r="D1161" t="inlineStr">
        <is>
          <t>KALMAR LÄN</t>
        </is>
      </c>
      <c r="E1161" t="inlineStr">
        <is>
          <t>VIMMERBY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1017-2024</t>
        </is>
      </c>
      <c r="B1162" s="1" t="n">
        <v>45301</v>
      </c>
      <c r="C1162" s="1" t="n">
        <v>45731</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1021-2024</t>
        </is>
      </c>
      <c r="B1163" s="1" t="n">
        <v>45301</v>
      </c>
      <c r="C1163" s="1" t="n">
        <v>45731</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1015-2024</t>
        </is>
      </c>
      <c r="B1164" s="1" t="n">
        <v>45301</v>
      </c>
      <c r="C1164" s="1" t="n">
        <v>45731</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1018-2024</t>
        </is>
      </c>
      <c r="B1165" s="1" t="n">
        <v>45301</v>
      </c>
      <c r="C1165" s="1" t="n">
        <v>45731</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1023-2024</t>
        </is>
      </c>
      <c r="B1166" s="1" t="n">
        <v>45301</v>
      </c>
      <c r="C1166" s="1" t="n">
        <v>45731</v>
      </c>
      <c r="D1166" t="inlineStr">
        <is>
          <t>KALMAR LÄN</t>
        </is>
      </c>
      <c r="E1166" t="inlineStr">
        <is>
          <t>VIMMERBY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1016-2024</t>
        </is>
      </c>
      <c r="B1167" s="1" t="n">
        <v>45301</v>
      </c>
      <c r="C1167" s="1" t="n">
        <v>45731</v>
      </c>
      <c r="D1167" t="inlineStr">
        <is>
          <t>KALMAR LÄN</t>
        </is>
      </c>
      <c r="E1167" t="inlineStr">
        <is>
          <t>VIMMERBY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1024-2024</t>
        </is>
      </c>
      <c r="B1168" s="1" t="n">
        <v>45301</v>
      </c>
      <c r="C1168" s="1" t="n">
        <v>45731</v>
      </c>
      <c r="D1168" t="inlineStr">
        <is>
          <t>KALMAR LÄN</t>
        </is>
      </c>
      <c r="E1168" t="inlineStr">
        <is>
          <t>VIMMERBY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1225-2024</t>
        </is>
      </c>
      <c r="B1169" s="1" t="n">
        <v>45302</v>
      </c>
      <c r="C1169" s="1" t="n">
        <v>45731</v>
      </c>
      <c r="D1169" t="inlineStr">
        <is>
          <t>KALMAR LÄN</t>
        </is>
      </c>
      <c r="E1169" t="inlineStr">
        <is>
          <t>VIMMERBY</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1417-2024</t>
        </is>
      </c>
      <c r="B1170" s="1" t="n">
        <v>45303</v>
      </c>
      <c r="C1170" s="1" t="n">
        <v>45731</v>
      </c>
      <c r="D1170" t="inlineStr">
        <is>
          <t>KALMAR LÄN</t>
        </is>
      </c>
      <c r="E1170" t="inlineStr">
        <is>
          <t>VIMMERBY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1626-2024</t>
        </is>
      </c>
      <c r="B1171" s="1" t="n">
        <v>45306</v>
      </c>
      <c r="C1171" s="1" t="n">
        <v>45731</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1628-2024</t>
        </is>
      </c>
      <c r="B1172" s="1" t="n">
        <v>45306</v>
      </c>
      <c r="C1172" s="1" t="n">
        <v>45731</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1985-2024</t>
        </is>
      </c>
      <c r="B1173" s="1" t="n">
        <v>45308</v>
      </c>
      <c r="C1173" s="1" t="n">
        <v>45731</v>
      </c>
      <c r="D1173" t="inlineStr">
        <is>
          <t>KALMAR LÄN</t>
        </is>
      </c>
      <c r="E1173" t="inlineStr">
        <is>
          <t>VIMMERBY</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1978-2024</t>
        </is>
      </c>
      <c r="B1174" s="1" t="n">
        <v>45308</v>
      </c>
      <c r="C1174" s="1" t="n">
        <v>45731</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1986-2024</t>
        </is>
      </c>
      <c r="B1175" s="1" t="n">
        <v>45308</v>
      </c>
      <c r="C1175" s="1" t="n">
        <v>45731</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1987-2024</t>
        </is>
      </c>
      <c r="B1176" s="1" t="n">
        <v>45308</v>
      </c>
      <c r="C1176" s="1" t="n">
        <v>45731</v>
      </c>
      <c r="D1176" t="inlineStr">
        <is>
          <t>KALMAR LÄN</t>
        </is>
      </c>
      <c r="E1176" t="inlineStr">
        <is>
          <t>VIMMERBY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2157-2024</t>
        </is>
      </c>
      <c r="B1177" s="1" t="n">
        <v>45309</v>
      </c>
      <c r="C1177" s="1" t="n">
        <v>45731</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2213-2024</t>
        </is>
      </c>
      <c r="B1178" s="1" t="n">
        <v>45309</v>
      </c>
      <c r="C1178" s="1" t="n">
        <v>45731</v>
      </c>
      <c r="D1178" t="inlineStr">
        <is>
          <t>KALMAR LÄN</t>
        </is>
      </c>
      <c r="E1178" t="inlineStr">
        <is>
          <t>VIMMERBY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2331-2024</t>
        </is>
      </c>
      <c r="B1179" s="1" t="n">
        <v>45310</v>
      </c>
      <c r="C1179" s="1" t="n">
        <v>45731</v>
      </c>
      <c r="D1179" t="inlineStr">
        <is>
          <t>KALMAR LÄN</t>
        </is>
      </c>
      <c r="E1179" t="inlineStr">
        <is>
          <t>VIMMERBY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2330-2024</t>
        </is>
      </c>
      <c r="B1180" s="1" t="n">
        <v>45310</v>
      </c>
      <c r="C1180" s="1" t="n">
        <v>45731</v>
      </c>
      <c r="D1180" t="inlineStr">
        <is>
          <t>KALMAR LÄN</t>
        </is>
      </c>
      <c r="E1180" t="inlineStr">
        <is>
          <t>VIMMERBY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3031-2024</t>
        </is>
      </c>
      <c r="B1181" s="1" t="n">
        <v>45316</v>
      </c>
      <c r="C1181" s="1" t="n">
        <v>45731</v>
      </c>
      <c r="D1181" t="inlineStr">
        <is>
          <t>KALMAR LÄN</t>
        </is>
      </c>
      <c r="E1181" t="inlineStr">
        <is>
          <t>VIMMERBY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3029-2024</t>
        </is>
      </c>
      <c r="B1182" s="1" t="n">
        <v>45316</v>
      </c>
      <c r="C1182" s="1" t="n">
        <v>45731</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3028-2024</t>
        </is>
      </c>
      <c r="B1183" s="1" t="n">
        <v>45316</v>
      </c>
      <c r="C1183" s="1" t="n">
        <v>45731</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3156-2024</t>
        </is>
      </c>
      <c r="B1184" s="1" t="n">
        <v>45316</v>
      </c>
      <c r="C1184" s="1" t="n">
        <v>45731</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3269-2024</t>
        </is>
      </c>
      <c r="B1185" s="1" t="n">
        <v>45317</v>
      </c>
      <c r="C1185" s="1" t="n">
        <v>45731</v>
      </c>
      <c r="D1185" t="inlineStr">
        <is>
          <t>KALMAR LÄN</t>
        </is>
      </c>
      <c r="E1185" t="inlineStr">
        <is>
          <t>VIMMERBY</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3268-2024</t>
        </is>
      </c>
      <c r="B1186" s="1" t="n">
        <v>45317</v>
      </c>
      <c r="C1186" s="1" t="n">
        <v>45731</v>
      </c>
      <c r="D1186" t="inlineStr">
        <is>
          <t>KALMAR LÄN</t>
        </is>
      </c>
      <c r="E1186" t="inlineStr">
        <is>
          <t>VIMMERBY</t>
        </is>
      </c>
      <c r="F1186" t="inlineStr">
        <is>
          <t>Övriga Aktiebolag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3373-2024</t>
        </is>
      </c>
      <c r="B1187" s="1" t="n">
        <v>45317</v>
      </c>
      <c r="C1187" s="1" t="n">
        <v>45731</v>
      </c>
      <c r="D1187" t="inlineStr">
        <is>
          <t>KALMAR LÄN</t>
        </is>
      </c>
      <c r="E1187" t="inlineStr">
        <is>
          <t>VIMMERBY</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3609-2024</t>
        </is>
      </c>
      <c r="B1188" s="1" t="n">
        <v>45320</v>
      </c>
      <c r="C1188" s="1" t="n">
        <v>45731</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4058-2024</t>
        </is>
      </c>
      <c r="B1189" s="1" t="n">
        <v>45323</v>
      </c>
      <c r="C1189" s="1" t="n">
        <v>45731</v>
      </c>
      <c r="D1189" t="inlineStr">
        <is>
          <t>KALMAR LÄN</t>
        </is>
      </c>
      <c r="E1189" t="inlineStr">
        <is>
          <t>VIMMERBY</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4624-2024</t>
        </is>
      </c>
      <c r="B1190" s="1" t="n">
        <v>45328</v>
      </c>
      <c r="C1190" s="1" t="n">
        <v>45731</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4622-2024</t>
        </is>
      </c>
      <c r="B1191" s="1" t="n">
        <v>45328</v>
      </c>
      <c r="C1191" s="1" t="n">
        <v>45731</v>
      </c>
      <c r="D1191" t="inlineStr">
        <is>
          <t>KALMAR LÄN</t>
        </is>
      </c>
      <c r="E1191" t="inlineStr">
        <is>
          <t>VIMMERBY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4861-2024</t>
        </is>
      </c>
      <c r="B1192" s="1" t="n">
        <v>45329</v>
      </c>
      <c r="C1192" s="1" t="n">
        <v>45731</v>
      </c>
      <c r="D1192" t="inlineStr">
        <is>
          <t>KALMAR LÄN</t>
        </is>
      </c>
      <c r="E1192" t="inlineStr">
        <is>
          <t>VIMMERBY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4867-2024</t>
        </is>
      </c>
      <c r="B1193" s="1" t="n">
        <v>45329</v>
      </c>
      <c r="C1193" s="1" t="n">
        <v>45731</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4899-2024</t>
        </is>
      </c>
      <c r="B1194" s="1" t="n">
        <v>45329</v>
      </c>
      <c r="C1194" s="1" t="n">
        <v>45731</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5206-2024</t>
        </is>
      </c>
      <c r="B1195" s="1" t="n">
        <v>45330</v>
      </c>
      <c r="C1195" s="1" t="n">
        <v>45731</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5146-2024</t>
        </is>
      </c>
      <c r="B1196" s="1" t="n">
        <v>45330</v>
      </c>
      <c r="C1196" s="1" t="n">
        <v>45731</v>
      </c>
      <c r="D1196" t="inlineStr">
        <is>
          <t>KALMAR LÄN</t>
        </is>
      </c>
      <c r="E1196" t="inlineStr">
        <is>
          <t>VIMMERBY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5200-2024</t>
        </is>
      </c>
      <c r="B1197" s="1" t="n">
        <v>45330</v>
      </c>
      <c r="C1197" s="1" t="n">
        <v>45731</v>
      </c>
      <c r="D1197" t="inlineStr">
        <is>
          <t>KALMAR LÄN</t>
        </is>
      </c>
      <c r="E1197" t="inlineStr">
        <is>
          <t>VIMMERBY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5148-2024</t>
        </is>
      </c>
      <c r="B1198" s="1" t="n">
        <v>45330</v>
      </c>
      <c r="C1198" s="1" t="n">
        <v>45731</v>
      </c>
      <c r="D1198" t="inlineStr">
        <is>
          <t>KALMAR LÄN</t>
        </is>
      </c>
      <c r="E1198" t="inlineStr">
        <is>
          <t>VIMMERBY</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5703-2024</t>
        </is>
      </c>
      <c r="B1199" s="1" t="n">
        <v>45334</v>
      </c>
      <c r="C1199" s="1" t="n">
        <v>45731</v>
      </c>
      <c r="D1199" t="inlineStr">
        <is>
          <t>KALMAR LÄN</t>
        </is>
      </c>
      <c r="E1199" t="inlineStr">
        <is>
          <t>VIMMERBY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5701-2024</t>
        </is>
      </c>
      <c r="B1200" s="1" t="n">
        <v>45334</v>
      </c>
      <c r="C1200" s="1" t="n">
        <v>45731</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5704-2024</t>
        </is>
      </c>
      <c r="B1201" s="1" t="n">
        <v>45334</v>
      </c>
      <c r="C1201" s="1" t="n">
        <v>45731</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5708-2024</t>
        </is>
      </c>
      <c r="B1202" s="1" t="n">
        <v>45334</v>
      </c>
      <c r="C1202" s="1" t="n">
        <v>45731</v>
      </c>
      <c r="D1202" t="inlineStr">
        <is>
          <t>KALMAR LÄN</t>
        </is>
      </c>
      <c r="E1202" t="inlineStr">
        <is>
          <t>VIMMERBY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6212-2024</t>
        </is>
      </c>
      <c r="B1203" s="1" t="n">
        <v>45337</v>
      </c>
      <c r="C1203" s="1" t="n">
        <v>45731</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6373-2024</t>
        </is>
      </c>
      <c r="B1204" s="1" t="n">
        <v>45338</v>
      </c>
      <c r="C1204" s="1" t="n">
        <v>45731</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6491-2024</t>
        </is>
      </c>
      <c r="B1205" s="1" t="n">
        <v>45339</v>
      </c>
      <c r="C1205" s="1" t="n">
        <v>45731</v>
      </c>
      <c r="D1205" t="inlineStr">
        <is>
          <t>KALMAR LÄN</t>
        </is>
      </c>
      <c r="E1205" t="inlineStr">
        <is>
          <t>VIMMERBY</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6508-2024</t>
        </is>
      </c>
      <c r="B1206" s="1" t="n">
        <v>45340</v>
      </c>
      <c r="C1206" s="1" t="n">
        <v>45731</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7068-2024</t>
        </is>
      </c>
      <c r="B1207" s="1" t="n">
        <v>45343</v>
      </c>
      <c r="C1207" s="1" t="n">
        <v>45731</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7070-2024</t>
        </is>
      </c>
      <c r="B1208" s="1" t="n">
        <v>45343</v>
      </c>
      <c r="C1208" s="1" t="n">
        <v>45731</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7456-2024</t>
        </is>
      </c>
      <c r="B1209" s="1" t="n">
        <v>45345</v>
      </c>
      <c r="C1209" s="1" t="n">
        <v>45731</v>
      </c>
      <c r="D1209" t="inlineStr">
        <is>
          <t>KALMAR LÄN</t>
        </is>
      </c>
      <c r="E1209" t="inlineStr">
        <is>
          <t>VIMMERBY</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7485-2024</t>
        </is>
      </c>
      <c r="B1210" s="1" t="n">
        <v>45346</v>
      </c>
      <c r="C1210" s="1" t="n">
        <v>45731</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7758-2024</t>
        </is>
      </c>
      <c r="B1211" s="1" t="n">
        <v>45349</v>
      </c>
      <c r="C1211" s="1" t="n">
        <v>45731</v>
      </c>
      <c r="D1211" t="inlineStr">
        <is>
          <t>KALMAR LÄN</t>
        </is>
      </c>
      <c r="E1211" t="inlineStr">
        <is>
          <t>VIMMERBY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7759-2024</t>
        </is>
      </c>
      <c r="B1212" s="1" t="n">
        <v>45349</v>
      </c>
      <c r="C1212" s="1" t="n">
        <v>45731</v>
      </c>
      <c r="D1212" t="inlineStr">
        <is>
          <t>KALMAR LÄN</t>
        </is>
      </c>
      <c r="E1212" t="inlineStr">
        <is>
          <t>VIMMERBY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7829-2024</t>
        </is>
      </c>
      <c r="B1213" s="1" t="n">
        <v>45349</v>
      </c>
      <c r="C1213" s="1" t="n">
        <v>45731</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7830-2024</t>
        </is>
      </c>
      <c r="B1214" s="1" t="n">
        <v>45349</v>
      </c>
      <c r="C1214" s="1" t="n">
        <v>45731</v>
      </c>
      <c r="D1214" t="inlineStr">
        <is>
          <t>KALMAR LÄN</t>
        </is>
      </c>
      <c r="E1214" t="inlineStr">
        <is>
          <t>VIMMERBY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7944-2024</t>
        </is>
      </c>
      <c r="B1215" s="1" t="n">
        <v>45350</v>
      </c>
      <c r="C1215" s="1" t="n">
        <v>45731</v>
      </c>
      <c r="D1215" t="inlineStr">
        <is>
          <t>KALMAR LÄN</t>
        </is>
      </c>
      <c r="E1215" t="inlineStr">
        <is>
          <t>VIMMERBY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8043-2024</t>
        </is>
      </c>
      <c r="B1216" s="1" t="n">
        <v>45351</v>
      </c>
      <c r="C1216" s="1" t="n">
        <v>45731</v>
      </c>
      <c r="D1216" t="inlineStr">
        <is>
          <t>KALMAR LÄN</t>
        </is>
      </c>
      <c r="E1216" t="inlineStr">
        <is>
          <t>VIMMERBY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8214-2024</t>
        </is>
      </c>
      <c r="B1217" s="1" t="n">
        <v>45351</v>
      </c>
      <c r="C1217" s="1" t="n">
        <v>45731</v>
      </c>
      <c r="D1217" t="inlineStr">
        <is>
          <t>KALMAR LÄN</t>
        </is>
      </c>
      <c r="E1217" t="inlineStr">
        <is>
          <t>VIMMERBY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8167-2024</t>
        </is>
      </c>
      <c r="B1218" s="1" t="n">
        <v>45351</v>
      </c>
      <c r="C1218" s="1" t="n">
        <v>45731</v>
      </c>
      <c r="D1218" t="inlineStr">
        <is>
          <t>KALMAR LÄN</t>
        </is>
      </c>
      <c r="E1218" t="inlineStr">
        <is>
          <t>VIMMERBY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8213-2024</t>
        </is>
      </c>
      <c r="B1219" s="1" t="n">
        <v>45351</v>
      </c>
      <c r="C1219" s="1" t="n">
        <v>45731</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8540-2024</t>
        </is>
      </c>
      <c r="B1220" s="1" t="n">
        <v>45355</v>
      </c>
      <c r="C1220" s="1" t="n">
        <v>45731</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8770-2024</t>
        </is>
      </c>
      <c r="B1221" s="1" t="n">
        <v>45356</v>
      </c>
      <c r="C1221" s="1" t="n">
        <v>45731</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9418-2024</t>
        </is>
      </c>
      <c r="B1222" s="1" t="n">
        <v>45359</v>
      </c>
      <c r="C1222" s="1" t="n">
        <v>45731</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9416-2024</t>
        </is>
      </c>
      <c r="B1223" s="1" t="n">
        <v>45359</v>
      </c>
      <c r="C1223" s="1" t="n">
        <v>45731</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9624-2024</t>
        </is>
      </c>
      <c r="B1224" s="1" t="n">
        <v>45361</v>
      </c>
      <c r="C1224" s="1" t="n">
        <v>45731</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9623-2024</t>
        </is>
      </c>
      <c r="B1225" s="1" t="n">
        <v>45361</v>
      </c>
      <c r="C1225" s="1" t="n">
        <v>45731</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9657-2024</t>
        </is>
      </c>
      <c r="B1226" s="1" t="n">
        <v>45362</v>
      </c>
      <c r="C1226" s="1" t="n">
        <v>45731</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10807-2024</t>
        </is>
      </c>
      <c r="B1227" s="1" t="n">
        <v>45369</v>
      </c>
      <c r="C1227" s="1" t="n">
        <v>45731</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10884-2024</t>
        </is>
      </c>
      <c r="B1228" s="1" t="n">
        <v>45370</v>
      </c>
      <c r="C1228" s="1" t="n">
        <v>45731</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10935-2024</t>
        </is>
      </c>
      <c r="B1229" s="1" t="n">
        <v>45370</v>
      </c>
      <c r="C1229" s="1" t="n">
        <v>45731</v>
      </c>
      <c r="D1229" t="inlineStr">
        <is>
          <t>KALMAR LÄN</t>
        </is>
      </c>
      <c r="E1229" t="inlineStr">
        <is>
          <t>VIMMERBY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11141-2024</t>
        </is>
      </c>
      <c r="B1230" s="1" t="n">
        <v>45371</v>
      </c>
      <c r="C1230" s="1" t="n">
        <v>45731</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11111-2024</t>
        </is>
      </c>
      <c r="B1231" s="1" t="n">
        <v>45371</v>
      </c>
      <c r="C1231" s="1" t="n">
        <v>45731</v>
      </c>
      <c r="D1231" t="inlineStr">
        <is>
          <t>KALMAR LÄN</t>
        </is>
      </c>
      <c r="E1231" t="inlineStr">
        <is>
          <t>VIMMERBY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11400-2024</t>
        </is>
      </c>
      <c r="B1232" s="1" t="n">
        <v>45372</v>
      </c>
      <c r="C1232" s="1" t="n">
        <v>45731</v>
      </c>
      <c r="D1232" t="inlineStr">
        <is>
          <t>KALMAR LÄN</t>
        </is>
      </c>
      <c r="E1232" t="inlineStr">
        <is>
          <t>VIMMERBY</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11484-2024</t>
        </is>
      </c>
      <c r="B1233" s="1" t="n">
        <v>45372</v>
      </c>
      <c r="C1233" s="1" t="n">
        <v>45731</v>
      </c>
      <c r="D1233" t="inlineStr">
        <is>
          <t>KALMAR LÄN</t>
        </is>
      </c>
      <c r="E1233" t="inlineStr">
        <is>
          <t>VIMMERBY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12136-2024</t>
        </is>
      </c>
      <c r="B1234" s="1" t="n">
        <v>45377</v>
      </c>
      <c r="C1234" s="1" t="n">
        <v>45731</v>
      </c>
      <c r="D1234" t="inlineStr">
        <is>
          <t>KALMAR LÄN</t>
        </is>
      </c>
      <c r="E1234" t="inlineStr">
        <is>
          <t>VIMMERBY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12075-2024</t>
        </is>
      </c>
      <c r="B1235" s="1" t="n">
        <v>45377</v>
      </c>
      <c r="C1235" s="1" t="n">
        <v>45731</v>
      </c>
      <c r="D1235" t="inlineStr">
        <is>
          <t>KALMAR LÄN</t>
        </is>
      </c>
      <c r="E1235" t="inlineStr">
        <is>
          <t>VIMMERBY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12033-2024</t>
        </is>
      </c>
      <c r="B1236" s="1" t="n">
        <v>45377</v>
      </c>
      <c r="C1236" s="1" t="n">
        <v>45731</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12142-2024</t>
        </is>
      </c>
      <c r="B1237" s="1" t="n">
        <v>45377</v>
      </c>
      <c r="C1237" s="1" t="n">
        <v>45731</v>
      </c>
      <c r="D1237" t="inlineStr">
        <is>
          <t>KALMAR LÄN</t>
        </is>
      </c>
      <c r="E1237" t="inlineStr">
        <is>
          <t>VIMMERBY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12215-2024</t>
        </is>
      </c>
      <c r="B1238" s="1" t="n">
        <v>45378</v>
      </c>
      <c r="C1238" s="1" t="n">
        <v>45731</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12480-2024</t>
        </is>
      </c>
      <c r="B1239" s="1" t="n">
        <v>45379</v>
      </c>
      <c r="C1239" s="1" t="n">
        <v>45731</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12819-2024</t>
        </is>
      </c>
      <c r="B1240" s="1" t="n">
        <v>45384</v>
      </c>
      <c r="C1240" s="1" t="n">
        <v>45731</v>
      </c>
      <c r="D1240" t="inlineStr">
        <is>
          <t>KALMAR LÄN</t>
        </is>
      </c>
      <c r="E1240" t="inlineStr">
        <is>
          <t>VIMMERBY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13123-2024</t>
        </is>
      </c>
      <c r="B1241" s="1" t="n">
        <v>45385</v>
      </c>
      <c r="C1241" s="1" t="n">
        <v>45731</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13809-2024</t>
        </is>
      </c>
      <c r="B1242" s="1" t="n">
        <v>45391</v>
      </c>
      <c r="C1242" s="1" t="n">
        <v>45731</v>
      </c>
      <c r="D1242" t="inlineStr">
        <is>
          <t>KALMAR LÄN</t>
        </is>
      </c>
      <c r="E1242" t="inlineStr">
        <is>
          <t>VIMMERBY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13857-2024</t>
        </is>
      </c>
      <c r="B1243" s="1" t="n">
        <v>45391</v>
      </c>
      <c r="C1243" s="1" t="n">
        <v>45731</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13909-2024</t>
        </is>
      </c>
      <c r="B1244" s="1" t="n">
        <v>45391</v>
      </c>
      <c r="C1244" s="1" t="n">
        <v>45731</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13817-2024</t>
        </is>
      </c>
      <c r="B1245" s="1" t="n">
        <v>45391</v>
      </c>
      <c r="C1245" s="1" t="n">
        <v>45731</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13813-2024</t>
        </is>
      </c>
      <c r="B1246" s="1" t="n">
        <v>45391</v>
      </c>
      <c r="C1246" s="1" t="n">
        <v>45731</v>
      </c>
      <c r="D1246" t="inlineStr">
        <is>
          <t>KALMAR LÄN</t>
        </is>
      </c>
      <c r="E1246" t="inlineStr">
        <is>
          <t>VIMMERBY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13908-2024</t>
        </is>
      </c>
      <c r="B1247" s="1" t="n">
        <v>45391</v>
      </c>
      <c r="C1247" s="1" t="n">
        <v>45731</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14021-2024</t>
        </is>
      </c>
      <c r="B1248" s="1" t="n">
        <v>45392</v>
      </c>
      <c r="C1248" s="1" t="n">
        <v>45731</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14144-2024</t>
        </is>
      </c>
      <c r="B1249" s="1" t="n">
        <v>45392</v>
      </c>
      <c r="C1249" s="1" t="n">
        <v>45731</v>
      </c>
      <c r="D1249" t="inlineStr">
        <is>
          <t>KALMAR LÄN</t>
        </is>
      </c>
      <c r="E1249" t="inlineStr">
        <is>
          <t>VIMMERBY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14182-2024</t>
        </is>
      </c>
      <c r="B1250" s="1" t="n">
        <v>45393</v>
      </c>
      <c r="C1250" s="1" t="n">
        <v>45731</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14558-2024</t>
        </is>
      </c>
      <c r="B1251" s="1" t="n">
        <v>45394</v>
      </c>
      <c r="C1251" s="1" t="n">
        <v>45731</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14548-2024</t>
        </is>
      </c>
      <c r="B1252" s="1" t="n">
        <v>45394</v>
      </c>
      <c r="C1252" s="1" t="n">
        <v>45731</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14557-2024</t>
        </is>
      </c>
      <c r="B1253" s="1" t="n">
        <v>45394</v>
      </c>
      <c r="C1253" s="1" t="n">
        <v>45731</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14451-2024</t>
        </is>
      </c>
      <c r="B1254" s="1" t="n">
        <v>45394</v>
      </c>
      <c r="C1254" s="1" t="n">
        <v>45731</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15123-2024</t>
        </is>
      </c>
      <c r="B1255" s="1" t="n">
        <v>45399</v>
      </c>
      <c r="C1255" s="1" t="n">
        <v>45731</v>
      </c>
      <c r="D1255" t="inlineStr">
        <is>
          <t>KALMAR LÄN</t>
        </is>
      </c>
      <c r="E1255" t="inlineStr">
        <is>
          <t>VIMMERBY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15494-2024</t>
        </is>
      </c>
      <c r="B1256" s="1" t="n">
        <v>45401</v>
      </c>
      <c r="C1256" s="1" t="n">
        <v>45731</v>
      </c>
      <c r="D1256" t="inlineStr">
        <is>
          <t>KALMAR LÄN</t>
        </is>
      </c>
      <c r="E1256" t="inlineStr">
        <is>
          <t>VIMMERBY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15672-2024</t>
        </is>
      </c>
      <c r="B1257" s="1" t="n">
        <v>45404</v>
      </c>
      <c r="C1257" s="1" t="n">
        <v>45731</v>
      </c>
      <c r="D1257" t="inlineStr">
        <is>
          <t>KALMAR LÄN</t>
        </is>
      </c>
      <c r="E1257" t="inlineStr">
        <is>
          <t>VIMMERBY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16740-2024</t>
        </is>
      </c>
      <c r="B1258" s="1" t="n">
        <v>45411</v>
      </c>
      <c r="C1258" s="1" t="n">
        <v>45731</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16825-2024</t>
        </is>
      </c>
      <c r="B1259" s="1" t="n">
        <v>45411</v>
      </c>
      <c r="C1259" s="1" t="n">
        <v>45731</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17219-2024</t>
        </is>
      </c>
      <c r="B1260" s="1" t="n">
        <v>45414</v>
      </c>
      <c r="C1260" s="1" t="n">
        <v>45731</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17367-2024</t>
        </is>
      </c>
      <c r="B1261" s="1" t="n">
        <v>45414</v>
      </c>
      <c r="C1261" s="1" t="n">
        <v>45731</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17483-2024</t>
        </is>
      </c>
      <c r="B1262" s="1" t="n">
        <v>45415</v>
      </c>
      <c r="C1262" s="1" t="n">
        <v>45731</v>
      </c>
      <c r="D1262" t="inlineStr">
        <is>
          <t>KALMAR LÄN</t>
        </is>
      </c>
      <c r="E1262" t="inlineStr">
        <is>
          <t>VIMMERBY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17511-2024</t>
        </is>
      </c>
      <c r="B1263" s="1" t="n">
        <v>45415</v>
      </c>
      <c r="C1263" s="1" t="n">
        <v>45731</v>
      </c>
      <c r="D1263" t="inlineStr">
        <is>
          <t>KALMAR LÄN</t>
        </is>
      </c>
      <c r="E1263" t="inlineStr">
        <is>
          <t>VIMMERBY</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17482-2024</t>
        </is>
      </c>
      <c r="B1264" s="1" t="n">
        <v>45415</v>
      </c>
      <c r="C1264" s="1" t="n">
        <v>45731</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17486-2024</t>
        </is>
      </c>
      <c r="B1265" s="1" t="n">
        <v>45415</v>
      </c>
      <c r="C1265" s="1" t="n">
        <v>45731</v>
      </c>
      <c r="D1265" t="inlineStr">
        <is>
          <t>KALMAR LÄN</t>
        </is>
      </c>
      <c r="E1265" t="inlineStr">
        <is>
          <t>VIMMERBY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18501-2024</t>
        </is>
      </c>
      <c r="B1266" s="1" t="n">
        <v>45425</v>
      </c>
      <c r="C1266" s="1" t="n">
        <v>45731</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18445-2024</t>
        </is>
      </c>
      <c r="B1267" s="1" t="n">
        <v>45425</v>
      </c>
      <c r="C1267" s="1" t="n">
        <v>45731</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18662-2024</t>
        </is>
      </c>
      <c r="B1268" s="1" t="n">
        <v>45426</v>
      </c>
      <c r="C1268" s="1" t="n">
        <v>45731</v>
      </c>
      <c r="D1268" t="inlineStr">
        <is>
          <t>KALMAR LÄN</t>
        </is>
      </c>
      <c r="E1268" t="inlineStr">
        <is>
          <t>VIMMERBY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18720-2024</t>
        </is>
      </c>
      <c r="B1269" s="1" t="n">
        <v>45426</v>
      </c>
      <c r="C1269" s="1" t="n">
        <v>45731</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18754-2024</t>
        </is>
      </c>
      <c r="B1270" s="1" t="n">
        <v>45426</v>
      </c>
      <c r="C1270" s="1" t="n">
        <v>45731</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18757-2024</t>
        </is>
      </c>
      <c r="B1271" s="1" t="n">
        <v>45426</v>
      </c>
      <c r="C1271" s="1" t="n">
        <v>45731</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19599-2024</t>
        </is>
      </c>
      <c r="B1272" s="1" t="n">
        <v>45431</v>
      </c>
      <c r="C1272" s="1" t="n">
        <v>45731</v>
      </c>
      <c r="D1272" t="inlineStr">
        <is>
          <t>KALMAR LÄN</t>
        </is>
      </c>
      <c r="E1272" t="inlineStr">
        <is>
          <t>VIMMERBY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20136-2024</t>
        </is>
      </c>
      <c r="B1273" s="1" t="n">
        <v>45434</v>
      </c>
      <c r="C1273" s="1" t="n">
        <v>45731</v>
      </c>
      <c r="D1273" t="inlineStr">
        <is>
          <t>KALMAR LÄN</t>
        </is>
      </c>
      <c r="E1273" t="inlineStr">
        <is>
          <t>VIMMERBY</t>
        </is>
      </c>
      <c r="F1273" t="inlineStr">
        <is>
          <t>Sveaskog</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20126-2024</t>
        </is>
      </c>
      <c r="B1274" s="1" t="n">
        <v>45434</v>
      </c>
      <c r="C1274" s="1" t="n">
        <v>45731</v>
      </c>
      <c r="D1274" t="inlineStr">
        <is>
          <t>KALMAR LÄN</t>
        </is>
      </c>
      <c r="E1274" t="inlineStr">
        <is>
          <t>VIMMERBY</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20129-2024</t>
        </is>
      </c>
      <c r="B1275" s="1" t="n">
        <v>45434</v>
      </c>
      <c r="C1275" s="1" t="n">
        <v>45731</v>
      </c>
      <c r="D1275" t="inlineStr">
        <is>
          <t>KALMAR LÄN</t>
        </is>
      </c>
      <c r="E1275" t="inlineStr">
        <is>
          <t>VIMMERBY</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20137-2024</t>
        </is>
      </c>
      <c r="B1276" s="1" t="n">
        <v>45434</v>
      </c>
      <c r="C1276" s="1" t="n">
        <v>45731</v>
      </c>
      <c r="D1276" t="inlineStr">
        <is>
          <t>KALMAR LÄN</t>
        </is>
      </c>
      <c r="E1276" t="inlineStr">
        <is>
          <t>VIMMERBY</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20329-2024</t>
        </is>
      </c>
      <c r="B1277" s="1" t="n">
        <v>45435</v>
      </c>
      <c r="C1277" s="1" t="n">
        <v>45731</v>
      </c>
      <c r="D1277" t="inlineStr">
        <is>
          <t>KALMAR LÄN</t>
        </is>
      </c>
      <c r="E1277" t="inlineStr">
        <is>
          <t>VIMMERBY</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20695-2024</t>
        </is>
      </c>
      <c r="B1278" s="1" t="n">
        <v>45436</v>
      </c>
      <c r="C1278" s="1" t="n">
        <v>45731</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21110-2024</t>
        </is>
      </c>
      <c r="B1279" s="1" t="n">
        <v>45440</v>
      </c>
      <c r="C1279" s="1" t="n">
        <v>45731</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21109-2024</t>
        </is>
      </c>
      <c r="B1280" s="1" t="n">
        <v>45440</v>
      </c>
      <c r="C1280" s="1" t="n">
        <v>45731</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21896-2024</t>
        </is>
      </c>
      <c r="B1281" s="1" t="n">
        <v>45443</v>
      </c>
      <c r="C1281" s="1" t="n">
        <v>45731</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21919-2024</t>
        </is>
      </c>
      <c r="B1282" s="1" t="n">
        <v>45443</v>
      </c>
      <c r="C1282" s="1" t="n">
        <v>45731</v>
      </c>
      <c r="D1282" t="inlineStr">
        <is>
          <t>KALMAR LÄN</t>
        </is>
      </c>
      <c r="E1282" t="inlineStr">
        <is>
          <t>VIMMERBY</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22194-2024</t>
        </is>
      </c>
      <c r="B1283" s="1" t="n">
        <v>45446</v>
      </c>
      <c r="C1283" s="1" t="n">
        <v>45731</v>
      </c>
      <c r="D1283" t="inlineStr">
        <is>
          <t>KALMAR LÄN</t>
        </is>
      </c>
      <c r="E1283" t="inlineStr">
        <is>
          <t>VIMMERBY</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22198-2024</t>
        </is>
      </c>
      <c r="B1284" s="1" t="n">
        <v>45446</v>
      </c>
      <c r="C1284" s="1" t="n">
        <v>45731</v>
      </c>
      <c r="D1284" t="inlineStr">
        <is>
          <t>KALMAR LÄN</t>
        </is>
      </c>
      <c r="E1284" t="inlineStr">
        <is>
          <t>VIMMERBY</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22197-2024</t>
        </is>
      </c>
      <c r="B1285" s="1" t="n">
        <v>45446</v>
      </c>
      <c r="C1285" s="1" t="n">
        <v>45731</v>
      </c>
      <c r="D1285" t="inlineStr">
        <is>
          <t>KALMAR LÄN</t>
        </is>
      </c>
      <c r="E1285" t="inlineStr">
        <is>
          <t>VIMMERBY</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23088-2024</t>
        </is>
      </c>
      <c r="B1286" s="1" t="n">
        <v>45450</v>
      </c>
      <c r="C1286" s="1" t="n">
        <v>45731</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23095-2024</t>
        </is>
      </c>
      <c r="B1287" s="1" t="n">
        <v>45450</v>
      </c>
      <c r="C1287" s="1" t="n">
        <v>45731</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23263-2024</t>
        </is>
      </c>
      <c r="B1288" s="1" t="n">
        <v>45453</v>
      </c>
      <c r="C1288" s="1" t="n">
        <v>45731</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23422-2024</t>
        </is>
      </c>
      <c r="B1289" s="1" t="n">
        <v>45453</v>
      </c>
      <c r="C1289" s="1" t="n">
        <v>45731</v>
      </c>
      <c r="D1289" t="inlineStr">
        <is>
          <t>KALMAR LÄN</t>
        </is>
      </c>
      <c r="E1289" t="inlineStr">
        <is>
          <t>VIMMERBY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23254-2024</t>
        </is>
      </c>
      <c r="B1290" s="1" t="n">
        <v>45453</v>
      </c>
      <c r="C1290" s="1" t="n">
        <v>45731</v>
      </c>
      <c r="D1290" t="inlineStr">
        <is>
          <t>KALMAR LÄN</t>
        </is>
      </c>
      <c r="E1290" t="inlineStr">
        <is>
          <t>VIMMERBY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23252-2024</t>
        </is>
      </c>
      <c r="B1291" s="1" t="n">
        <v>45453</v>
      </c>
      <c r="C1291" s="1" t="n">
        <v>45731</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24096-2024</t>
        </is>
      </c>
      <c r="B1292" s="1" t="n">
        <v>45456</v>
      </c>
      <c r="C1292" s="1" t="n">
        <v>45731</v>
      </c>
      <c r="D1292" t="inlineStr">
        <is>
          <t>KALMAR LÄN</t>
        </is>
      </c>
      <c r="E1292" t="inlineStr">
        <is>
          <t>VIMMERBY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24699-2024</t>
        </is>
      </c>
      <c r="B1293" s="1" t="n">
        <v>45460</v>
      </c>
      <c r="C1293" s="1" t="n">
        <v>45731</v>
      </c>
      <c r="D1293" t="inlineStr">
        <is>
          <t>KALMAR LÄN</t>
        </is>
      </c>
      <c r="E1293" t="inlineStr">
        <is>
          <t>VIMMERBY</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24707-2024</t>
        </is>
      </c>
      <c r="B1294" s="1" t="n">
        <v>45460</v>
      </c>
      <c r="C1294" s="1" t="n">
        <v>45731</v>
      </c>
      <c r="D1294" t="inlineStr">
        <is>
          <t>KALMAR LÄN</t>
        </is>
      </c>
      <c r="E1294" t="inlineStr">
        <is>
          <t>VIMMERBY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24745-2024</t>
        </is>
      </c>
      <c r="B1295" s="1" t="n">
        <v>45460</v>
      </c>
      <c r="C1295" s="1" t="n">
        <v>45731</v>
      </c>
      <c r="D1295" t="inlineStr">
        <is>
          <t>KALMAR LÄN</t>
        </is>
      </c>
      <c r="E1295" t="inlineStr">
        <is>
          <t>VIMMERBY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24525-2024</t>
        </is>
      </c>
      <c r="B1296" s="1" t="n">
        <v>45460</v>
      </c>
      <c r="C1296" s="1" t="n">
        <v>45731</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25304-2024</t>
        </is>
      </c>
      <c r="B1297" s="1" t="n">
        <v>45462</v>
      </c>
      <c r="C1297" s="1" t="n">
        <v>45731</v>
      </c>
      <c r="D1297" t="inlineStr">
        <is>
          <t>KALMAR LÄN</t>
        </is>
      </c>
      <c r="E1297" t="inlineStr">
        <is>
          <t>VIMMERBY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25143-2024</t>
        </is>
      </c>
      <c r="B1298" s="1" t="n">
        <v>45462</v>
      </c>
      <c r="C1298" s="1" t="n">
        <v>45731</v>
      </c>
      <c r="D1298" t="inlineStr">
        <is>
          <t>KALMAR LÄN</t>
        </is>
      </c>
      <c r="E1298" t="inlineStr">
        <is>
          <t>VIMMERBY</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25582-2024</t>
        </is>
      </c>
      <c r="B1299" s="1" t="n">
        <v>45463</v>
      </c>
      <c r="C1299" s="1" t="n">
        <v>45731</v>
      </c>
      <c r="D1299" t="inlineStr">
        <is>
          <t>KALMAR LÄN</t>
        </is>
      </c>
      <c r="E1299" t="inlineStr">
        <is>
          <t>VIMMERBY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25415-2024</t>
        </is>
      </c>
      <c r="B1300" s="1" t="n">
        <v>45463</v>
      </c>
      <c r="C1300" s="1" t="n">
        <v>45731</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25987-2024</t>
        </is>
      </c>
      <c r="B1301" s="1" t="n">
        <v>45467</v>
      </c>
      <c r="C1301" s="1" t="n">
        <v>45731</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26445-2024</t>
        </is>
      </c>
      <c r="B1302" s="1" t="n">
        <v>45468</v>
      </c>
      <c r="C1302" s="1" t="n">
        <v>45731</v>
      </c>
      <c r="D1302" t="inlineStr">
        <is>
          <t>KALMAR LÄN</t>
        </is>
      </c>
      <c r="E1302" t="inlineStr">
        <is>
          <t>VIMMERBY</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27048-2024</t>
        </is>
      </c>
      <c r="B1303" s="1" t="n">
        <v>45471</v>
      </c>
      <c r="C1303" s="1" t="n">
        <v>45731</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27063-2024</t>
        </is>
      </c>
      <c r="B1304" s="1" t="n">
        <v>45471</v>
      </c>
      <c r="C1304" s="1" t="n">
        <v>45731</v>
      </c>
      <c r="D1304" t="inlineStr">
        <is>
          <t>KALMAR LÄN</t>
        </is>
      </c>
      <c r="E1304" t="inlineStr">
        <is>
          <t>VIMMERBY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27028-2024</t>
        </is>
      </c>
      <c r="B1305" s="1" t="n">
        <v>45471</v>
      </c>
      <c r="C1305" s="1" t="n">
        <v>45731</v>
      </c>
      <c r="D1305" t="inlineStr">
        <is>
          <t>KALMAR LÄN</t>
        </is>
      </c>
      <c r="E1305" t="inlineStr">
        <is>
          <t>VIMMERBY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27030-2024</t>
        </is>
      </c>
      <c r="B1306" s="1" t="n">
        <v>45471</v>
      </c>
      <c r="C1306" s="1" t="n">
        <v>45731</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27758-2024</t>
        </is>
      </c>
      <c r="B1307" s="1" t="n">
        <v>45475</v>
      </c>
      <c r="C1307" s="1" t="n">
        <v>45731</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27761-2024</t>
        </is>
      </c>
      <c r="B1308" s="1" t="n">
        <v>45475</v>
      </c>
      <c r="C1308" s="1" t="n">
        <v>45731</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27759-2024</t>
        </is>
      </c>
      <c r="B1309" s="1" t="n">
        <v>45475</v>
      </c>
      <c r="C1309" s="1" t="n">
        <v>45731</v>
      </c>
      <c r="D1309" t="inlineStr">
        <is>
          <t>KALMAR LÄN</t>
        </is>
      </c>
      <c r="E1309" t="inlineStr">
        <is>
          <t>VIMMERBY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28066-2024</t>
        </is>
      </c>
      <c r="B1310" s="1" t="n">
        <v>45476</v>
      </c>
      <c r="C1310" s="1" t="n">
        <v>45731</v>
      </c>
      <c r="D1310" t="inlineStr">
        <is>
          <t>KALMAR LÄN</t>
        </is>
      </c>
      <c r="E1310" t="inlineStr">
        <is>
          <t>VIMMERBY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27992-2024</t>
        </is>
      </c>
      <c r="B1311" s="1" t="n">
        <v>45476</v>
      </c>
      <c r="C1311" s="1" t="n">
        <v>45731</v>
      </c>
      <c r="D1311" t="inlineStr">
        <is>
          <t>KALMAR LÄN</t>
        </is>
      </c>
      <c r="E1311" t="inlineStr">
        <is>
          <t>VIMMERBY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28177-2024</t>
        </is>
      </c>
      <c r="B1312" s="1" t="n">
        <v>45477</v>
      </c>
      <c r="C1312" s="1" t="n">
        <v>45731</v>
      </c>
      <c r="D1312" t="inlineStr">
        <is>
          <t>KALMAR LÄN</t>
        </is>
      </c>
      <c r="E1312" t="inlineStr">
        <is>
          <t>VIMMERBY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29020-2024</t>
        </is>
      </c>
      <c r="B1313" s="1" t="n">
        <v>45481</v>
      </c>
      <c r="C1313" s="1" t="n">
        <v>45731</v>
      </c>
      <c r="D1313" t="inlineStr">
        <is>
          <t>KALMAR LÄN</t>
        </is>
      </c>
      <c r="E1313" t="inlineStr">
        <is>
          <t>VIMMERBY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29015-2024</t>
        </is>
      </c>
      <c r="B1314" s="1" t="n">
        <v>45481</v>
      </c>
      <c r="C1314" s="1" t="n">
        <v>45731</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29018-2024</t>
        </is>
      </c>
      <c r="B1315" s="1" t="n">
        <v>45481</v>
      </c>
      <c r="C1315" s="1" t="n">
        <v>45731</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29017-2024</t>
        </is>
      </c>
      <c r="B1316" s="1" t="n">
        <v>45481</v>
      </c>
      <c r="C1316" s="1" t="n">
        <v>45731</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29013-2024</t>
        </is>
      </c>
      <c r="B1317" s="1" t="n">
        <v>45481</v>
      </c>
      <c r="C1317" s="1" t="n">
        <v>45731</v>
      </c>
      <c r="D1317" t="inlineStr">
        <is>
          <t>KALMAR LÄN</t>
        </is>
      </c>
      <c r="E1317" t="inlineStr">
        <is>
          <t>VIMMERBY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29166-2024</t>
        </is>
      </c>
      <c r="B1318" s="1" t="n">
        <v>45482</v>
      </c>
      <c r="C1318" s="1" t="n">
        <v>45731</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29183-2024</t>
        </is>
      </c>
      <c r="B1319" s="1" t="n">
        <v>45482</v>
      </c>
      <c r="C1319" s="1" t="n">
        <v>45731</v>
      </c>
      <c r="D1319" t="inlineStr">
        <is>
          <t>KALMAR LÄN</t>
        </is>
      </c>
      <c r="E1319" t="inlineStr">
        <is>
          <t>VIMMERBY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29168-2024</t>
        </is>
      </c>
      <c r="B1320" s="1" t="n">
        <v>45482</v>
      </c>
      <c r="C1320" s="1" t="n">
        <v>45731</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29173-2024</t>
        </is>
      </c>
      <c r="B1321" s="1" t="n">
        <v>45482</v>
      </c>
      <c r="C1321" s="1" t="n">
        <v>45731</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29186-2024</t>
        </is>
      </c>
      <c r="B1322" s="1" t="n">
        <v>45482</v>
      </c>
      <c r="C1322" s="1" t="n">
        <v>45731</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29180-2024</t>
        </is>
      </c>
      <c r="B1323" s="1" t="n">
        <v>45482</v>
      </c>
      <c r="C1323" s="1" t="n">
        <v>45731</v>
      </c>
      <c r="D1323" t="inlineStr">
        <is>
          <t>KALMAR LÄN</t>
        </is>
      </c>
      <c r="E1323" t="inlineStr">
        <is>
          <t>VIMMERBY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29165-2024</t>
        </is>
      </c>
      <c r="B1324" s="1" t="n">
        <v>45482</v>
      </c>
      <c r="C1324" s="1" t="n">
        <v>45731</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29440-2024</t>
        </is>
      </c>
      <c r="B1325" s="1" t="n">
        <v>45483</v>
      </c>
      <c r="C1325" s="1" t="n">
        <v>45731</v>
      </c>
      <c r="D1325" t="inlineStr">
        <is>
          <t>KALMAR LÄN</t>
        </is>
      </c>
      <c r="E1325" t="inlineStr">
        <is>
          <t>VIMMERBY</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29441-2024</t>
        </is>
      </c>
      <c r="B1326" s="1" t="n">
        <v>45483</v>
      </c>
      <c r="C1326" s="1" t="n">
        <v>45731</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29787-2024</t>
        </is>
      </c>
      <c r="B1327" s="1" t="n">
        <v>45485</v>
      </c>
      <c r="C1327" s="1" t="n">
        <v>45731</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29783-2024</t>
        </is>
      </c>
      <c r="B1328" s="1" t="n">
        <v>45485</v>
      </c>
      <c r="C1328" s="1" t="n">
        <v>45731</v>
      </c>
      <c r="D1328" t="inlineStr">
        <is>
          <t>KALMAR LÄN</t>
        </is>
      </c>
      <c r="E1328" t="inlineStr">
        <is>
          <t>VIMMERBY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29779-2024</t>
        </is>
      </c>
      <c r="B1329" s="1" t="n">
        <v>45485</v>
      </c>
      <c r="C1329" s="1" t="n">
        <v>45731</v>
      </c>
      <c r="D1329" t="inlineStr">
        <is>
          <t>KALMAR LÄN</t>
        </is>
      </c>
      <c r="E1329" t="inlineStr">
        <is>
          <t>VIMMERBY</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29778-2024</t>
        </is>
      </c>
      <c r="B1330" s="1" t="n">
        <v>45485</v>
      </c>
      <c r="C1330" s="1" t="n">
        <v>45731</v>
      </c>
      <c r="D1330" t="inlineStr">
        <is>
          <t>KALMAR LÄN</t>
        </is>
      </c>
      <c r="E1330" t="inlineStr">
        <is>
          <t>VIMMERBY</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29790-2024</t>
        </is>
      </c>
      <c r="B1331" s="1" t="n">
        <v>45485</v>
      </c>
      <c r="C1331" s="1" t="n">
        <v>45731</v>
      </c>
      <c r="D1331" t="inlineStr">
        <is>
          <t>KALMAR LÄN</t>
        </is>
      </c>
      <c r="E1331" t="inlineStr">
        <is>
          <t>VIMMERBY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30120-2024</t>
        </is>
      </c>
      <c r="B1332" s="1" t="n">
        <v>45489</v>
      </c>
      <c r="C1332" s="1" t="n">
        <v>45731</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30634-2024</t>
        </is>
      </c>
      <c r="B1333" s="1" t="n">
        <v>45495</v>
      </c>
      <c r="C1333" s="1" t="n">
        <v>45731</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30632-2024</t>
        </is>
      </c>
      <c r="B1334" s="1" t="n">
        <v>45495</v>
      </c>
      <c r="C1334" s="1" t="n">
        <v>45731</v>
      </c>
      <c r="D1334" t="inlineStr">
        <is>
          <t>KALMAR LÄN</t>
        </is>
      </c>
      <c r="E1334" t="inlineStr">
        <is>
          <t>VIMMERBY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30633-2024</t>
        </is>
      </c>
      <c r="B1335" s="1" t="n">
        <v>45495</v>
      </c>
      <c r="C1335" s="1" t="n">
        <v>45731</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30861-2024</t>
        </is>
      </c>
      <c r="B1336" s="1" t="n">
        <v>45497</v>
      </c>
      <c r="C1336" s="1" t="n">
        <v>45731</v>
      </c>
      <c r="D1336" t="inlineStr">
        <is>
          <t>KALMAR LÄN</t>
        </is>
      </c>
      <c r="E1336" t="inlineStr">
        <is>
          <t>VIMMERBY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30921-2024</t>
        </is>
      </c>
      <c r="B1337" s="1" t="n">
        <v>45498</v>
      </c>
      <c r="C1337" s="1" t="n">
        <v>45731</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30920-2024</t>
        </is>
      </c>
      <c r="B1338" s="1" t="n">
        <v>45498</v>
      </c>
      <c r="C1338" s="1" t="n">
        <v>45731</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31139-2024</t>
        </is>
      </c>
      <c r="B1339" s="1" t="n">
        <v>45502</v>
      </c>
      <c r="C1339" s="1" t="n">
        <v>45731</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31136-2024</t>
        </is>
      </c>
      <c r="B1340" s="1" t="n">
        <v>45502</v>
      </c>
      <c r="C1340" s="1" t="n">
        <v>45731</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31209-2024</t>
        </is>
      </c>
      <c r="B1341" s="1" t="n">
        <v>45503</v>
      </c>
      <c r="C1341" s="1" t="n">
        <v>45731</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31210-2024</t>
        </is>
      </c>
      <c r="B1342" s="1" t="n">
        <v>45503</v>
      </c>
      <c r="C1342" s="1" t="n">
        <v>45731</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31250-2024</t>
        </is>
      </c>
      <c r="B1343" s="1" t="n">
        <v>45503</v>
      </c>
      <c r="C1343" s="1" t="n">
        <v>45731</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31244-2024</t>
        </is>
      </c>
      <c r="B1344" s="1" t="n">
        <v>45503</v>
      </c>
      <c r="C1344" s="1" t="n">
        <v>45731</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31248-2024</t>
        </is>
      </c>
      <c r="B1345" s="1" t="n">
        <v>45503</v>
      </c>
      <c r="C1345" s="1" t="n">
        <v>45731</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31238-2024</t>
        </is>
      </c>
      <c r="B1346" s="1" t="n">
        <v>45503</v>
      </c>
      <c r="C1346" s="1" t="n">
        <v>45731</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32575-2024</t>
        </is>
      </c>
      <c r="B1347" s="1" t="n">
        <v>45513</v>
      </c>
      <c r="C1347" s="1" t="n">
        <v>45731</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32628-2024</t>
        </is>
      </c>
      <c r="B1348" s="1" t="n">
        <v>45513</v>
      </c>
      <c r="C1348" s="1" t="n">
        <v>45731</v>
      </c>
      <c r="D1348" t="inlineStr">
        <is>
          <t>KALMAR LÄN</t>
        </is>
      </c>
      <c r="E1348" t="inlineStr">
        <is>
          <t>VIMMERBY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32627-2024</t>
        </is>
      </c>
      <c r="B1349" s="1" t="n">
        <v>45513</v>
      </c>
      <c r="C1349" s="1" t="n">
        <v>45731</v>
      </c>
      <c r="D1349" t="inlineStr">
        <is>
          <t>KALMAR LÄN</t>
        </is>
      </c>
      <c r="E1349" t="inlineStr">
        <is>
          <t>VIMMERBY</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32569-2024</t>
        </is>
      </c>
      <c r="B1350" s="1" t="n">
        <v>45513</v>
      </c>
      <c r="C1350" s="1" t="n">
        <v>45731</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32629-2024</t>
        </is>
      </c>
      <c r="B1351" s="1" t="n">
        <v>45513</v>
      </c>
      <c r="C1351" s="1" t="n">
        <v>45731</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33102-2024</t>
        </is>
      </c>
      <c r="B1352" s="1" t="n">
        <v>45517</v>
      </c>
      <c r="C1352" s="1" t="n">
        <v>45731</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33103-2024</t>
        </is>
      </c>
      <c r="B1353" s="1" t="n">
        <v>45517</v>
      </c>
      <c r="C1353" s="1" t="n">
        <v>45731</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32966-2024</t>
        </is>
      </c>
      <c r="B1354" s="1" t="n">
        <v>45517</v>
      </c>
      <c r="C1354" s="1" t="n">
        <v>45731</v>
      </c>
      <c r="D1354" t="inlineStr">
        <is>
          <t>KALMAR LÄN</t>
        </is>
      </c>
      <c r="E1354" t="inlineStr">
        <is>
          <t>VIMMERBY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33161-2024</t>
        </is>
      </c>
      <c r="B1355" s="1" t="n">
        <v>45518</v>
      </c>
      <c r="C1355" s="1" t="n">
        <v>45731</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33423-2024</t>
        </is>
      </c>
      <c r="B1356" s="1" t="n">
        <v>45519</v>
      </c>
      <c r="C1356" s="1" t="n">
        <v>45731</v>
      </c>
      <c r="D1356" t="inlineStr">
        <is>
          <t>KALMAR LÄN</t>
        </is>
      </c>
      <c r="E1356" t="inlineStr">
        <is>
          <t>VIMMERBY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33880-2024</t>
        </is>
      </c>
      <c r="B1357" s="1" t="n">
        <v>45522</v>
      </c>
      <c r="C1357" s="1" t="n">
        <v>45731</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34076-2024</t>
        </is>
      </c>
      <c r="B1358" s="1" t="n">
        <v>45523</v>
      </c>
      <c r="C1358" s="1" t="n">
        <v>45731</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34386-2024</t>
        </is>
      </c>
      <c r="B1359" s="1" t="n">
        <v>45525</v>
      </c>
      <c r="C1359" s="1" t="n">
        <v>45731</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34510-2024</t>
        </is>
      </c>
      <c r="B1360" s="1" t="n">
        <v>45525</v>
      </c>
      <c r="C1360" s="1" t="n">
        <v>45731</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34383-2024</t>
        </is>
      </c>
      <c r="B1361" s="1" t="n">
        <v>45525</v>
      </c>
      <c r="C1361" s="1" t="n">
        <v>45731</v>
      </c>
      <c r="D1361" t="inlineStr">
        <is>
          <t>KALMAR LÄN</t>
        </is>
      </c>
      <c r="E1361" t="inlineStr">
        <is>
          <t>VIMMERBY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34513-2024</t>
        </is>
      </c>
      <c r="B1362" s="1" t="n">
        <v>45525</v>
      </c>
      <c r="C1362" s="1" t="n">
        <v>45731</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34588-2024</t>
        </is>
      </c>
      <c r="B1363" s="1" t="n">
        <v>45526</v>
      </c>
      <c r="C1363" s="1" t="n">
        <v>45731</v>
      </c>
      <c r="D1363" t="inlineStr">
        <is>
          <t>KALMAR LÄN</t>
        </is>
      </c>
      <c r="E1363" t="inlineStr">
        <is>
          <t>VIMMERBY</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34918-2024</t>
        </is>
      </c>
      <c r="B1364" s="1" t="n">
        <v>45527</v>
      </c>
      <c r="C1364" s="1" t="n">
        <v>45731</v>
      </c>
      <c r="D1364" t="inlineStr">
        <is>
          <t>KALMAR LÄN</t>
        </is>
      </c>
      <c r="E1364" t="inlineStr">
        <is>
          <t>VIMMERBY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35082-2024</t>
        </is>
      </c>
      <c r="B1365" s="1" t="n">
        <v>45527</v>
      </c>
      <c r="C1365" s="1" t="n">
        <v>45731</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35127-2024</t>
        </is>
      </c>
      <c r="B1366" s="1" t="n">
        <v>45530</v>
      </c>
      <c r="C1366" s="1" t="n">
        <v>45731</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35852-2024</t>
        </is>
      </c>
      <c r="B1367" s="1" t="n">
        <v>45532</v>
      </c>
      <c r="C1367" s="1" t="n">
        <v>45731</v>
      </c>
      <c r="D1367" t="inlineStr">
        <is>
          <t>KALMAR LÄN</t>
        </is>
      </c>
      <c r="E1367" t="inlineStr">
        <is>
          <t>VIMMERBY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35895-2024</t>
        </is>
      </c>
      <c r="B1368" s="1" t="n">
        <v>45533</v>
      </c>
      <c r="C1368" s="1" t="n">
        <v>45731</v>
      </c>
      <c r="D1368" t="inlineStr">
        <is>
          <t>KALMAR LÄN</t>
        </is>
      </c>
      <c r="E1368" t="inlineStr">
        <is>
          <t>VIMMERBY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35990-2024</t>
        </is>
      </c>
      <c r="B1369" s="1" t="n">
        <v>45533</v>
      </c>
      <c r="C1369" s="1" t="n">
        <v>45731</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35998-2024</t>
        </is>
      </c>
      <c r="B1370" s="1" t="n">
        <v>45533</v>
      </c>
      <c r="C1370" s="1" t="n">
        <v>45731</v>
      </c>
      <c r="D1370" t="inlineStr">
        <is>
          <t>KALMAR LÄN</t>
        </is>
      </c>
      <c r="E1370" t="inlineStr">
        <is>
          <t>VIMMERBY</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36014-2024</t>
        </is>
      </c>
      <c r="B1371" s="1" t="n">
        <v>45533</v>
      </c>
      <c r="C1371" s="1" t="n">
        <v>45731</v>
      </c>
      <c r="D1371" t="inlineStr">
        <is>
          <t>KALMAR LÄN</t>
        </is>
      </c>
      <c r="E1371" t="inlineStr">
        <is>
          <t>VIMMERBY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36030-2024</t>
        </is>
      </c>
      <c r="B1372" s="1" t="n">
        <v>45533</v>
      </c>
      <c r="C1372" s="1" t="n">
        <v>45731</v>
      </c>
      <c r="D1372" t="inlineStr">
        <is>
          <t>KALMAR LÄN</t>
        </is>
      </c>
      <c r="E1372" t="inlineStr">
        <is>
          <t>VIMMERBY</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36043-2024</t>
        </is>
      </c>
      <c r="B1373" s="1" t="n">
        <v>45533</v>
      </c>
      <c r="C1373" s="1" t="n">
        <v>45731</v>
      </c>
      <c r="D1373" t="inlineStr">
        <is>
          <t>KALMAR LÄN</t>
        </is>
      </c>
      <c r="E1373" t="inlineStr">
        <is>
          <t>VIMMERBY</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36055-2024</t>
        </is>
      </c>
      <c r="B1374" s="1" t="n">
        <v>45533</v>
      </c>
      <c r="C1374" s="1" t="n">
        <v>45731</v>
      </c>
      <c r="D1374" t="inlineStr">
        <is>
          <t>KALMAR LÄN</t>
        </is>
      </c>
      <c r="E1374" t="inlineStr">
        <is>
          <t>VIMMERBY</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36049-2024</t>
        </is>
      </c>
      <c r="B1375" s="1" t="n">
        <v>45533</v>
      </c>
      <c r="C1375" s="1" t="n">
        <v>45731</v>
      </c>
      <c r="D1375" t="inlineStr">
        <is>
          <t>KALMAR LÄN</t>
        </is>
      </c>
      <c r="E1375" t="inlineStr">
        <is>
          <t>VIMMERBY</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36008-2024</t>
        </is>
      </c>
      <c r="B1376" s="1" t="n">
        <v>45533</v>
      </c>
      <c r="C1376" s="1" t="n">
        <v>45731</v>
      </c>
      <c r="D1376" t="inlineStr">
        <is>
          <t>KALMAR LÄN</t>
        </is>
      </c>
      <c r="E1376" t="inlineStr">
        <is>
          <t>VIMMERBY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36040-2024</t>
        </is>
      </c>
      <c r="B1377" s="1" t="n">
        <v>45533</v>
      </c>
      <c r="C1377" s="1" t="n">
        <v>45731</v>
      </c>
      <c r="D1377" t="inlineStr">
        <is>
          <t>KALMAR LÄN</t>
        </is>
      </c>
      <c r="E1377" t="inlineStr">
        <is>
          <t>VIMMERBY</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36060-2024</t>
        </is>
      </c>
      <c r="B1378" s="1" t="n">
        <v>45533</v>
      </c>
      <c r="C1378" s="1" t="n">
        <v>45731</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36125-2024</t>
        </is>
      </c>
      <c r="B1379" s="1" t="n">
        <v>45534</v>
      </c>
      <c r="C1379" s="1" t="n">
        <v>45731</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36128-2024</t>
        </is>
      </c>
      <c r="B1380" s="1" t="n">
        <v>45534</v>
      </c>
      <c r="C1380" s="1" t="n">
        <v>45731</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37028-2024</t>
        </is>
      </c>
      <c r="B1381" s="1" t="n">
        <v>45539</v>
      </c>
      <c r="C1381" s="1" t="n">
        <v>45731</v>
      </c>
      <c r="D1381" t="inlineStr">
        <is>
          <t>KALMAR LÄN</t>
        </is>
      </c>
      <c r="E1381" t="inlineStr">
        <is>
          <t>VIMMERBY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37187-2024</t>
        </is>
      </c>
      <c r="B1382" s="1" t="n">
        <v>45539</v>
      </c>
      <c r="C1382" s="1" t="n">
        <v>45731</v>
      </c>
      <c r="D1382" t="inlineStr">
        <is>
          <t>KALMAR LÄN</t>
        </is>
      </c>
      <c r="E1382" t="inlineStr">
        <is>
          <t>VIMMERBY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37192-2024</t>
        </is>
      </c>
      <c r="B1383" s="1" t="n">
        <v>45539</v>
      </c>
      <c r="C1383" s="1" t="n">
        <v>45731</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37323-2024</t>
        </is>
      </c>
      <c r="B1384" s="1" t="n">
        <v>45540</v>
      </c>
      <c r="C1384" s="1" t="n">
        <v>45731</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37329-2024</t>
        </is>
      </c>
      <c r="B1385" s="1" t="n">
        <v>45540</v>
      </c>
      <c r="C1385" s="1" t="n">
        <v>45731</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37654-2024</t>
        </is>
      </c>
      <c r="B1386" s="1" t="n">
        <v>45541</v>
      </c>
      <c r="C1386" s="1" t="n">
        <v>45731</v>
      </c>
      <c r="D1386" t="inlineStr">
        <is>
          <t>KALMAR LÄN</t>
        </is>
      </c>
      <c r="E1386" t="inlineStr">
        <is>
          <t>VIMMERBY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37616-2024</t>
        </is>
      </c>
      <c r="B1387" s="1" t="n">
        <v>45541</v>
      </c>
      <c r="C1387" s="1" t="n">
        <v>45731</v>
      </c>
      <c r="D1387" t="inlineStr">
        <is>
          <t>KALMAR LÄN</t>
        </is>
      </c>
      <c r="E1387" t="inlineStr">
        <is>
          <t>VIMMERBY</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38198-2024</t>
        </is>
      </c>
      <c r="B1388" s="1" t="n">
        <v>45545</v>
      </c>
      <c r="C1388" s="1" t="n">
        <v>45731</v>
      </c>
      <c r="D1388" t="inlineStr">
        <is>
          <t>KALMAR LÄN</t>
        </is>
      </c>
      <c r="E1388" t="inlineStr">
        <is>
          <t>VIMMERBY</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39043-2024</t>
        </is>
      </c>
      <c r="B1389" s="1" t="n">
        <v>45548</v>
      </c>
      <c r="C1389" s="1" t="n">
        <v>45731</v>
      </c>
      <c r="D1389" t="inlineStr">
        <is>
          <t>KALMAR LÄN</t>
        </is>
      </c>
      <c r="E1389" t="inlineStr">
        <is>
          <t>VIMMERBY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39053-2024</t>
        </is>
      </c>
      <c r="B1390" s="1" t="n">
        <v>45548</v>
      </c>
      <c r="C1390" s="1" t="n">
        <v>45731</v>
      </c>
      <c r="D1390" t="inlineStr">
        <is>
          <t>KALMAR LÄN</t>
        </is>
      </c>
      <c r="E1390" t="inlineStr">
        <is>
          <t>VIMMERBY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39247-2024</t>
        </is>
      </c>
      <c r="B1391" s="1" t="n">
        <v>45551</v>
      </c>
      <c r="C1391" s="1" t="n">
        <v>45731</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39584-2024</t>
        </is>
      </c>
      <c r="B1392" s="1" t="n">
        <v>45552</v>
      </c>
      <c r="C1392" s="1" t="n">
        <v>45731</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39578-2024</t>
        </is>
      </c>
      <c r="B1393" s="1" t="n">
        <v>45552</v>
      </c>
      <c r="C1393" s="1" t="n">
        <v>45731</v>
      </c>
      <c r="D1393" t="inlineStr">
        <is>
          <t>KALMAR LÄN</t>
        </is>
      </c>
      <c r="E1393" t="inlineStr">
        <is>
          <t>VIMMERBY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39743-2024</t>
        </is>
      </c>
      <c r="B1394" s="1" t="n">
        <v>45552</v>
      </c>
      <c r="C1394" s="1" t="n">
        <v>45731</v>
      </c>
      <c r="D1394" t="inlineStr">
        <is>
          <t>KALMAR LÄN</t>
        </is>
      </c>
      <c r="E1394" t="inlineStr">
        <is>
          <t>VIMMERBY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40255-2024</t>
        </is>
      </c>
      <c r="B1395" s="1" t="n">
        <v>45554</v>
      </c>
      <c r="C1395" s="1" t="n">
        <v>45731</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40260-2024</t>
        </is>
      </c>
      <c r="B1396" s="1" t="n">
        <v>45554</v>
      </c>
      <c r="C1396" s="1" t="n">
        <v>45731</v>
      </c>
      <c r="D1396" t="inlineStr">
        <is>
          <t>KALMAR LÄN</t>
        </is>
      </c>
      <c r="E1396" t="inlineStr">
        <is>
          <t>VIMMERBY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40256-2024</t>
        </is>
      </c>
      <c r="B1397" s="1" t="n">
        <v>45554</v>
      </c>
      <c r="C1397" s="1" t="n">
        <v>45731</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40444-2024</t>
        </is>
      </c>
      <c r="B1398" s="1" t="n">
        <v>45555</v>
      </c>
      <c r="C1398" s="1" t="n">
        <v>45731</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40730-2024</t>
        </is>
      </c>
      <c r="B1399" s="1" t="n">
        <v>45558</v>
      </c>
      <c r="C1399" s="1" t="n">
        <v>45731</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40750-2024</t>
        </is>
      </c>
      <c r="B1400" s="1" t="n">
        <v>45558</v>
      </c>
      <c r="C1400" s="1" t="n">
        <v>45731</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40782-2024</t>
        </is>
      </c>
      <c r="B1401" s="1" t="n">
        <v>45558</v>
      </c>
      <c r="C1401" s="1" t="n">
        <v>45731</v>
      </c>
      <c r="D1401" t="inlineStr">
        <is>
          <t>KALMAR LÄN</t>
        </is>
      </c>
      <c r="E1401" t="inlineStr">
        <is>
          <t>VIMMERBY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40756-2024</t>
        </is>
      </c>
      <c r="B1402" s="1" t="n">
        <v>45558</v>
      </c>
      <c r="C1402" s="1" t="n">
        <v>45731</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41066-2024</t>
        </is>
      </c>
      <c r="B1403" s="1" t="n">
        <v>45559</v>
      </c>
      <c r="C1403" s="1" t="n">
        <v>45731</v>
      </c>
      <c r="D1403" t="inlineStr">
        <is>
          <t>KALMAR LÄN</t>
        </is>
      </c>
      <c r="E1403" t="inlineStr">
        <is>
          <t>VIMMERBY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41071-2024</t>
        </is>
      </c>
      <c r="B1404" s="1" t="n">
        <v>45559</v>
      </c>
      <c r="C1404" s="1" t="n">
        <v>45731</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41084-2024</t>
        </is>
      </c>
      <c r="B1405" s="1" t="n">
        <v>45559</v>
      </c>
      <c r="C1405" s="1" t="n">
        <v>45731</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41119-2024</t>
        </is>
      </c>
      <c r="B1406" s="1" t="n">
        <v>45559</v>
      </c>
      <c r="C1406" s="1" t="n">
        <v>45731</v>
      </c>
      <c r="D1406" t="inlineStr">
        <is>
          <t>KALMAR LÄN</t>
        </is>
      </c>
      <c r="E1406" t="inlineStr">
        <is>
          <t>VIMMERBY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42165-2024</t>
        </is>
      </c>
      <c r="B1407" s="1" t="n">
        <v>45562</v>
      </c>
      <c r="C1407" s="1" t="n">
        <v>45731</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42429-2024</t>
        </is>
      </c>
      <c r="B1408" s="1" t="n">
        <v>45565</v>
      </c>
      <c r="C1408" s="1" t="n">
        <v>45731</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42464-2024</t>
        </is>
      </c>
      <c r="B1409" s="1" t="n">
        <v>45565</v>
      </c>
      <c r="C1409" s="1" t="n">
        <v>45731</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42737-2024</t>
        </is>
      </c>
      <c r="B1410" s="1" t="n">
        <v>45566</v>
      </c>
      <c r="C1410" s="1" t="n">
        <v>45731</v>
      </c>
      <c r="D1410" t="inlineStr">
        <is>
          <t>KALMAR LÄN</t>
        </is>
      </c>
      <c r="E1410" t="inlineStr">
        <is>
          <t>VIMMERBY</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42693-2024</t>
        </is>
      </c>
      <c r="B1411" s="1" t="n">
        <v>45566</v>
      </c>
      <c r="C1411" s="1" t="n">
        <v>45731</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45731</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43119-2024</t>
        </is>
      </c>
      <c r="B1413" s="1" t="n">
        <v>45567</v>
      </c>
      <c r="C1413" s="1" t="n">
        <v>45731</v>
      </c>
      <c r="D1413" t="inlineStr">
        <is>
          <t>KALMAR LÄN</t>
        </is>
      </c>
      <c r="E1413" t="inlineStr">
        <is>
          <t>VIMMERBY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45731</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43034-2024</t>
        </is>
      </c>
      <c r="B1415" s="1" t="n">
        <v>45567</v>
      </c>
      <c r="C1415" s="1" t="n">
        <v>45731</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43030-2024</t>
        </is>
      </c>
      <c r="B1416" s="1" t="n">
        <v>45567</v>
      </c>
      <c r="C1416" s="1" t="n">
        <v>45731</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43093-2024</t>
        </is>
      </c>
      <c r="B1417" s="1" t="n">
        <v>45567</v>
      </c>
      <c r="C1417" s="1" t="n">
        <v>45731</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43085-2024</t>
        </is>
      </c>
      <c r="B1418" s="1" t="n">
        <v>45567</v>
      </c>
      <c r="C1418" s="1" t="n">
        <v>45731</v>
      </c>
      <c r="D1418" t="inlineStr">
        <is>
          <t>KALMAR LÄN</t>
        </is>
      </c>
      <c r="E1418" t="inlineStr">
        <is>
          <t>VIMMERBY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43081-2024</t>
        </is>
      </c>
      <c r="B1419" s="1" t="n">
        <v>45567</v>
      </c>
      <c r="C1419" s="1" t="n">
        <v>45731</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43092-2024</t>
        </is>
      </c>
      <c r="B1420" s="1" t="n">
        <v>45567</v>
      </c>
      <c r="C1420" s="1" t="n">
        <v>45731</v>
      </c>
      <c r="D1420" t="inlineStr">
        <is>
          <t>KALMAR LÄN</t>
        </is>
      </c>
      <c r="E1420" t="inlineStr">
        <is>
          <t>VIMMERBY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43088-2024</t>
        </is>
      </c>
      <c r="B1421" s="1" t="n">
        <v>45567</v>
      </c>
      <c r="C1421" s="1" t="n">
        <v>45731</v>
      </c>
      <c r="D1421" t="inlineStr">
        <is>
          <t>KALMAR LÄN</t>
        </is>
      </c>
      <c r="E1421" t="inlineStr">
        <is>
          <t>VIMMERBY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43084-2024</t>
        </is>
      </c>
      <c r="B1422" s="1" t="n">
        <v>45567</v>
      </c>
      <c r="C1422" s="1" t="n">
        <v>45731</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43242-2024</t>
        </is>
      </c>
      <c r="B1423" s="1" t="n">
        <v>45568</v>
      </c>
      <c r="C1423" s="1" t="n">
        <v>45731</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43305-2024</t>
        </is>
      </c>
      <c r="B1424" s="1" t="n">
        <v>45568</v>
      </c>
      <c r="C1424" s="1" t="n">
        <v>45731</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43266-2024</t>
        </is>
      </c>
      <c r="B1425" s="1" t="n">
        <v>45568</v>
      </c>
      <c r="C1425" s="1" t="n">
        <v>45731</v>
      </c>
      <c r="D1425" t="inlineStr">
        <is>
          <t>KALMAR LÄN</t>
        </is>
      </c>
      <c r="E1425" t="inlineStr">
        <is>
          <t>VIMMERBY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43243-2024</t>
        </is>
      </c>
      <c r="B1426" s="1" t="n">
        <v>45568</v>
      </c>
      <c r="C1426" s="1" t="n">
        <v>45731</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43601-2024</t>
        </is>
      </c>
      <c r="B1427" s="1" t="n">
        <v>45569</v>
      </c>
      <c r="C1427" s="1" t="n">
        <v>45731</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43609-2024</t>
        </is>
      </c>
      <c r="B1428" s="1" t="n">
        <v>45569</v>
      </c>
      <c r="C1428" s="1" t="n">
        <v>45731</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43606-2024</t>
        </is>
      </c>
      <c r="B1429" s="1" t="n">
        <v>45569</v>
      </c>
      <c r="C1429" s="1" t="n">
        <v>45731</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43617-2024</t>
        </is>
      </c>
      <c r="B1430" s="1" t="n">
        <v>45569</v>
      </c>
      <c r="C1430" s="1" t="n">
        <v>45731</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43579-2024</t>
        </is>
      </c>
      <c r="B1431" s="1" t="n">
        <v>45569</v>
      </c>
      <c r="C1431" s="1" t="n">
        <v>45731</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43575-2024</t>
        </is>
      </c>
      <c r="B1432" s="1" t="n">
        <v>45569</v>
      </c>
      <c r="C1432" s="1" t="n">
        <v>45731</v>
      </c>
      <c r="D1432" t="inlineStr">
        <is>
          <t>KALMAR LÄN</t>
        </is>
      </c>
      <c r="E1432" t="inlineStr">
        <is>
          <t>VIMMERBY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43594-2024</t>
        </is>
      </c>
      <c r="B1433" s="1" t="n">
        <v>45569</v>
      </c>
      <c r="C1433" s="1" t="n">
        <v>45731</v>
      </c>
      <c r="D1433" t="inlineStr">
        <is>
          <t>KALMAR LÄN</t>
        </is>
      </c>
      <c r="E1433" t="inlineStr">
        <is>
          <t>VIMMERBY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43822-2024</t>
        </is>
      </c>
      <c r="B1434" s="1" t="n">
        <v>45571</v>
      </c>
      <c r="C1434" s="1" t="n">
        <v>45731</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43824-2024</t>
        </is>
      </c>
      <c r="B1435" s="1" t="n">
        <v>45571</v>
      </c>
      <c r="C1435" s="1" t="n">
        <v>45731</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43823-2024</t>
        </is>
      </c>
      <c r="B1436" s="1" t="n">
        <v>45571</v>
      </c>
      <c r="C1436" s="1" t="n">
        <v>45731</v>
      </c>
      <c r="D1436" t="inlineStr">
        <is>
          <t>KALMAR LÄN</t>
        </is>
      </c>
      <c r="E1436" t="inlineStr">
        <is>
          <t>VIMMERBY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43962-2024</t>
        </is>
      </c>
      <c r="B1437" s="1" t="n">
        <v>45572</v>
      </c>
      <c r="C1437" s="1" t="n">
        <v>45731</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44504-2024</t>
        </is>
      </c>
      <c r="B1438" s="1" t="n">
        <v>45574</v>
      </c>
      <c r="C1438" s="1" t="n">
        <v>45731</v>
      </c>
      <c r="D1438" t="inlineStr">
        <is>
          <t>KALMAR LÄN</t>
        </is>
      </c>
      <c r="E1438" t="inlineStr">
        <is>
          <t>VIMMERBY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44464-2024</t>
        </is>
      </c>
      <c r="B1439" s="1" t="n">
        <v>45574</v>
      </c>
      <c r="C1439" s="1" t="n">
        <v>45731</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44582-2024</t>
        </is>
      </c>
      <c r="B1440" s="1" t="n">
        <v>45574</v>
      </c>
      <c r="C1440" s="1" t="n">
        <v>45731</v>
      </c>
      <c r="D1440" t="inlineStr">
        <is>
          <t>KALMAR LÄN</t>
        </is>
      </c>
      <c r="E1440" t="inlineStr">
        <is>
          <t>VIMMERBY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44740-2024</t>
        </is>
      </c>
      <c r="B1441" s="1" t="n">
        <v>45574</v>
      </c>
      <c r="C1441" s="1" t="n">
        <v>45731</v>
      </c>
      <c r="D1441" t="inlineStr">
        <is>
          <t>KALMAR LÄN</t>
        </is>
      </c>
      <c r="E1441" t="inlineStr">
        <is>
          <t>VIMMERBY</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44886-2024</t>
        </is>
      </c>
      <c r="B1442" s="1" t="n">
        <v>45575</v>
      </c>
      <c r="C1442" s="1" t="n">
        <v>45731</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45253-2024</t>
        </is>
      </c>
      <c r="B1443" s="1" t="n">
        <v>45576</v>
      </c>
      <c r="C1443" s="1" t="n">
        <v>45731</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46224-2024</t>
        </is>
      </c>
      <c r="B1444" s="1" t="n">
        <v>45581</v>
      </c>
      <c r="C1444" s="1" t="n">
        <v>45731</v>
      </c>
      <c r="D1444" t="inlineStr">
        <is>
          <t>KALMAR LÄN</t>
        </is>
      </c>
      <c r="E1444" t="inlineStr">
        <is>
          <t>VIMMERBY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46225-2024</t>
        </is>
      </c>
      <c r="B1445" s="1" t="n">
        <v>45581</v>
      </c>
      <c r="C1445" s="1" t="n">
        <v>45731</v>
      </c>
      <c r="D1445" t="inlineStr">
        <is>
          <t>KALMAR LÄN</t>
        </is>
      </c>
      <c r="E1445" t="inlineStr">
        <is>
          <t>VIMMERBY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46234-2024</t>
        </is>
      </c>
      <c r="B1446" s="1" t="n">
        <v>45581</v>
      </c>
      <c r="C1446" s="1" t="n">
        <v>45731</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46238-2024</t>
        </is>
      </c>
      <c r="B1447" s="1" t="n">
        <v>45581</v>
      </c>
      <c r="C1447" s="1" t="n">
        <v>45731</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46242-2024</t>
        </is>
      </c>
      <c r="B1448" s="1" t="n">
        <v>45581</v>
      </c>
      <c r="C1448" s="1" t="n">
        <v>45731</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46455-2024</t>
        </is>
      </c>
      <c r="B1449" s="1" t="n">
        <v>45582</v>
      </c>
      <c r="C1449" s="1" t="n">
        <v>45731</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46603-2024</t>
        </is>
      </c>
      <c r="B1450" s="1" t="n">
        <v>45582</v>
      </c>
      <c r="C1450" s="1" t="n">
        <v>45731</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46399-2024</t>
        </is>
      </c>
      <c r="B1451" s="1" t="n">
        <v>45582</v>
      </c>
      <c r="C1451" s="1" t="n">
        <v>45731</v>
      </c>
      <c r="D1451" t="inlineStr">
        <is>
          <t>KALMAR LÄN</t>
        </is>
      </c>
      <c r="E1451" t="inlineStr">
        <is>
          <t>VIMMERBY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46600-2024</t>
        </is>
      </c>
      <c r="B1452" s="1" t="n">
        <v>45582</v>
      </c>
      <c r="C1452" s="1" t="n">
        <v>45731</v>
      </c>
      <c r="D1452" t="inlineStr">
        <is>
          <t>KALMAR LÄN</t>
        </is>
      </c>
      <c r="E1452" t="inlineStr">
        <is>
          <t>VIMMERBY</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46457-2024</t>
        </is>
      </c>
      <c r="B1453" s="1" t="n">
        <v>45582</v>
      </c>
      <c r="C1453" s="1" t="n">
        <v>45731</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46649-2024</t>
        </is>
      </c>
      <c r="B1454" s="1" t="n">
        <v>45583</v>
      </c>
      <c r="C1454" s="1" t="n">
        <v>45731</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47421-2024</t>
        </is>
      </c>
      <c r="B1455" s="1" t="n">
        <v>45587</v>
      </c>
      <c r="C1455" s="1" t="n">
        <v>45731</v>
      </c>
      <c r="D1455" t="inlineStr">
        <is>
          <t>KALMAR LÄN</t>
        </is>
      </c>
      <c r="E1455" t="inlineStr">
        <is>
          <t>VIMMERBY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47415-2024</t>
        </is>
      </c>
      <c r="B1456" s="1" t="n">
        <v>45587</v>
      </c>
      <c r="C1456" s="1" t="n">
        <v>45731</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47842-2024</t>
        </is>
      </c>
      <c r="B1457" s="1" t="n">
        <v>45588</v>
      </c>
      <c r="C1457" s="1" t="n">
        <v>45731</v>
      </c>
      <c r="D1457" t="inlineStr">
        <is>
          <t>KALMAR LÄN</t>
        </is>
      </c>
      <c r="E1457" t="inlineStr">
        <is>
          <t>VIMMERBY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47851-2024</t>
        </is>
      </c>
      <c r="B1458" s="1" t="n">
        <v>45588</v>
      </c>
      <c r="C1458" s="1" t="n">
        <v>45731</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47855-2024</t>
        </is>
      </c>
      <c r="B1459" s="1" t="n">
        <v>45588</v>
      </c>
      <c r="C1459" s="1" t="n">
        <v>45731</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47859-2024</t>
        </is>
      </c>
      <c r="B1460" s="1" t="n">
        <v>45588</v>
      </c>
      <c r="C1460" s="1" t="n">
        <v>45731</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47914-2024</t>
        </is>
      </c>
      <c r="B1461" s="1" t="n">
        <v>45589</v>
      </c>
      <c r="C1461" s="1" t="n">
        <v>45731</v>
      </c>
      <c r="D1461" t="inlineStr">
        <is>
          <t>KALMAR LÄN</t>
        </is>
      </c>
      <c r="E1461" t="inlineStr">
        <is>
          <t>VIMMERBY</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48277-2024</t>
        </is>
      </c>
      <c r="B1462" s="1" t="n">
        <v>45590</v>
      </c>
      <c r="C1462" s="1" t="n">
        <v>45731</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48459-2024</t>
        </is>
      </c>
      <c r="B1463" s="1" t="n">
        <v>45590</v>
      </c>
      <c r="C1463" s="1" t="n">
        <v>45731</v>
      </c>
      <c r="D1463" t="inlineStr">
        <is>
          <t>KALMAR LÄN</t>
        </is>
      </c>
      <c r="E1463" t="inlineStr">
        <is>
          <t>VIMMERBY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48460-2024</t>
        </is>
      </c>
      <c r="B1464" s="1" t="n">
        <v>45590</v>
      </c>
      <c r="C1464" s="1" t="n">
        <v>45731</v>
      </c>
      <c r="D1464" t="inlineStr">
        <is>
          <t>KALMAR LÄN</t>
        </is>
      </c>
      <c r="E1464" t="inlineStr">
        <is>
          <t>VIMMERBY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48825-2024</t>
        </is>
      </c>
      <c r="B1465" s="1" t="n">
        <v>45593</v>
      </c>
      <c r="C1465" s="1" t="n">
        <v>45731</v>
      </c>
      <c r="D1465" t="inlineStr">
        <is>
          <t>KALMAR LÄN</t>
        </is>
      </c>
      <c r="E1465" t="inlineStr">
        <is>
          <t>VIMMERBY</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49464-2024</t>
        </is>
      </c>
      <c r="B1466" s="1" t="n">
        <v>45596</v>
      </c>
      <c r="C1466" s="1" t="n">
        <v>45731</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49503-2024</t>
        </is>
      </c>
      <c r="B1467" s="1" t="n">
        <v>45596</v>
      </c>
      <c r="C1467" s="1" t="n">
        <v>45731</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50320-2024</t>
        </is>
      </c>
      <c r="B1468" s="1" t="n">
        <v>45600</v>
      </c>
      <c r="C1468" s="1" t="n">
        <v>45731</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50460-2024</t>
        </is>
      </c>
      <c r="B1469" s="1" t="n">
        <v>45601</v>
      </c>
      <c r="C1469" s="1" t="n">
        <v>45731</v>
      </c>
      <c r="D1469" t="inlineStr">
        <is>
          <t>KALMAR LÄN</t>
        </is>
      </c>
      <c r="E1469" t="inlineStr">
        <is>
          <t>VIMMERBY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51169-2024</t>
        </is>
      </c>
      <c r="B1470" s="1" t="n">
        <v>45603</v>
      </c>
      <c r="C1470" s="1" t="n">
        <v>45731</v>
      </c>
      <c r="D1470" t="inlineStr">
        <is>
          <t>KALMAR LÄN</t>
        </is>
      </c>
      <c r="E1470" t="inlineStr">
        <is>
          <t>VIMMERBY</t>
        </is>
      </c>
      <c r="F1470" t="inlineStr">
        <is>
          <t>Övriga Aktiebolag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51278-2024</t>
        </is>
      </c>
      <c r="B1471" s="1" t="n">
        <v>45603</v>
      </c>
      <c r="C1471" s="1" t="n">
        <v>45731</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51334-2024</t>
        </is>
      </c>
      <c r="B1472" s="1" t="n">
        <v>45604</v>
      </c>
      <c r="C1472" s="1" t="n">
        <v>45731</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51589-2024</t>
        </is>
      </c>
      <c r="B1473" s="1" t="n">
        <v>45604</v>
      </c>
      <c r="C1473" s="1" t="n">
        <v>45731</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51780-2024</t>
        </is>
      </c>
      <c r="B1474" s="1" t="n">
        <v>45607</v>
      </c>
      <c r="C1474" s="1" t="n">
        <v>45731</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52011-2024</t>
        </is>
      </c>
      <c r="B1475" s="1" t="n">
        <v>45607</v>
      </c>
      <c r="C1475" s="1" t="n">
        <v>45731</v>
      </c>
      <c r="D1475" t="inlineStr">
        <is>
          <t>KALMAR LÄN</t>
        </is>
      </c>
      <c r="E1475" t="inlineStr">
        <is>
          <t>VIMMERBY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51881-2024</t>
        </is>
      </c>
      <c r="B1476" s="1" t="n">
        <v>45607</v>
      </c>
      <c r="C1476" s="1" t="n">
        <v>45731</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52841-2024</t>
        </is>
      </c>
      <c r="B1477" s="1" t="n">
        <v>45610</v>
      </c>
      <c r="C1477" s="1" t="n">
        <v>45731</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52823-2024</t>
        </is>
      </c>
      <c r="B1478" s="1" t="n">
        <v>45610</v>
      </c>
      <c r="C1478" s="1" t="n">
        <v>45731</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53642-2024</t>
        </is>
      </c>
      <c r="B1479" s="1" t="n">
        <v>45614</v>
      </c>
      <c r="C1479" s="1" t="n">
        <v>45731</v>
      </c>
      <c r="D1479" t="inlineStr">
        <is>
          <t>KALMAR LÄN</t>
        </is>
      </c>
      <c r="E1479" t="inlineStr">
        <is>
          <t>VIMMERBY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53641-2024</t>
        </is>
      </c>
      <c r="B1480" s="1" t="n">
        <v>45614</v>
      </c>
      <c r="C1480" s="1" t="n">
        <v>45731</v>
      </c>
      <c r="D1480" t="inlineStr">
        <is>
          <t>KALMAR LÄN</t>
        </is>
      </c>
      <c r="E1480" t="inlineStr">
        <is>
          <t>VIMMERBY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53752-2024</t>
        </is>
      </c>
      <c r="B1481" s="1" t="n">
        <v>45615</v>
      </c>
      <c r="C1481" s="1" t="n">
        <v>45731</v>
      </c>
      <c r="D1481" t="inlineStr">
        <is>
          <t>KALMAR LÄN</t>
        </is>
      </c>
      <c r="E1481" t="inlineStr">
        <is>
          <t>VIMMERBY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53991-2024</t>
        </is>
      </c>
      <c r="B1482" s="1" t="n">
        <v>45616</v>
      </c>
      <c r="C1482" s="1" t="n">
        <v>45731</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54349-2024</t>
        </is>
      </c>
      <c r="B1483" s="1" t="n">
        <v>45617</v>
      </c>
      <c r="C1483" s="1" t="n">
        <v>45731</v>
      </c>
      <c r="D1483" t="inlineStr">
        <is>
          <t>KALMAR LÄN</t>
        </is>
      </c>
      <c r="E1483" t="inlineStr">
        <is>
          <t>VIMMERBY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54409-2024</t>
        </is>
      </c>
      <c r="B1484" s="1" t="n">
        <v>45617</v>
      </c>
      <c r="C1484" s="1" t="n">
        <v>45731</v>
      </c>
      <c r="D1484" t="inlineStr">
        <is>
          <t>KALMAR LÄN</t>
        </is>
      </c>
      <c r="E1484" t="inlineStr">
        <is>
          <t>VIMMERBY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54838-2024</t>
        </is>
      </c>
      <c r="B1485" s="1" t="n">
        <v>45618</v>
      </c>
      <c r="C1485" s="1" t="n">
        <v>45731</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55123-2024</t>
        </is>
      </c>
      <c r="B1486" s="1" t="n">
        <v>45621</v>
      </c>
      <c r="C1486" s="1" t="n">
        <v>45731</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54997-2024</t>
        </is>
      </c>
      <c r="B1487" s="1" t="n">
        <v>45621</v>
      </c>
      <c r="C1487" s="1" t="n">
        <v>45731</v>
      </c>
      <c r="D1487" t="inlineStr">
        <is>
          <t>KALMAR LÄN</t>
        </is>
      </c>
      <c r="E1487" t="inlineStr">
        <is>
          <t>VIMMERBY</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55605-2024</t>
        </is>
      </c>
      <c r="B1488" s="1" t="n">
        <v>45622</v>
      </c>
      <c r="C1488" s="1" t="n">
        <v>45731</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55890-2024</t>
        </is>
      </c>
      <c r="B1489" s="1" t="n">
        <v>45623</v>
      </c>
      <c r="C1489" s="1" t="n">
        <v>45731</v>
      </c>
      <c r="D1489" t="inlineStr">
        <is>
          <t>KALMAR LÄN</t>
        </is>
      </c>
      <c r="E1489" t="inlineStr">
        <is>
          <t>VIMMERBY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55939-2024</t>
        </is>
      </c>
      <c r="B1490" s="1" t="n">
        <v>45623</v>
      </c>
      <c r="C1490" s="1" t="n">
        <v>45731</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56022-2024</t>
        </is>
      </c>
      <c r="B1491" s="1" t="n">
        <v>45624</v>
      </c>
      <c r="C1491" s="1" t="n">
        <v>45731</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56019-2024</t>
        </is>
      </c>
      <c r="B1492" s="1" t="n">
        <v>45623</v>
      </c>
      <c r="C1492" s="1" t="n">
        <v>45731</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56020-2024</t>
        </is>
      </c>
      <c r="B1493" s="1" t="n">
        <v>45623</v>
      </c>
      <c r="C1493" s="1" t="n">
        <v>45731</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56021-2024</t>
        </is>
      </c>
      <c r="B1494" s="1" t="n">
        <v>45623</v>
      </c>
      <c r="C1494" s="1" t="n">
        <v>45731</v>
      </c>
      <c r="D1494" t="inlineStr">
        <is>
          <t>KALMAR LÄN</t>
        </is>
      </c>
      <c r="E1494" t="inlineStr">
        <is>
          <t>VIMMERBY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56213-2024</t>
        </is>
      </c>
      <c r="B1495" s="1" t="n">
        <v>45624</v>
      </c>
      <c r="C1495" s="1" t="n">
        <v>45731</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56722-2024</t>
        </is>
      </c>
      <c r="B1496" s="1" t="n">
        <v>45628</v>
      </c>
      <c r="C1496" s="1" t="n">
        <v>45731</v>
      </c>
      <c r="D1496" t="inlineStr">
        <is>
          <t>KALMAR LÄN</t>
        </is>
      </c>
      <c r="E1496" t="inlineStr">
        <is>
          <t>VIMMERBY</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57024-2024</t>
        </is>
      </c>
      <c r="B1497" s="1" t="n">
        <v>45628</v>
      </c>
      <c r="C1497" s="1" t="n">
        <v>45731</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57122-2024</t>
        </is>
      </c>
      <c r="B1498" s="1" t="n">
        <v>45629</v>
      </c>
      <c r="C1498" s="1" t="n">
        <v>45731</v>
      </c>
      <c r="D1498" t="inlineStr">
        <is>
          <t>KALMAR LÄN</t>
        </is>
      </c>
      <c r="E1498" t="inlineStr">
        <is>
          <t>VIMMERBY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57227-2024</t>
        </is>
      </c>
      <c r="B1499" s="1" t="n">
        <v>45629</v>
      </c>
      <c r="C1499" s="1" t="n">
        <v>45731</v>
      </c>
      <c r="D1499" t="inlineStr">
        <is>
          <t>KALMAR LÄN</t>
        </is>
      </c>
      <c r="E1499" t="inlineStr">
        <is>
          <t>VIMMERBY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57486-2024</t>
        </is>
      </c>
      <c r="B1500" s="1" t="n">
        <v>45630</v>
      </c>
      <c r="C1500" s="1" t="n">
        <v>45731</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57550-2024</t>
        </is>
      </c>
      <c r="B1501" s="1" t="n">
        <v>45630</v>
      </c>
      <c r="C1501" s="1" t="n">
        <v>45731</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57558-2024</t>
        </is>
      </c>
      <c r="B1502" s="1" t="n">
        <v>45630</v>
      </c>
      <c r="C1502" s="1" t="n">
        <v>45731</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57578-2024</t>
        </is>
      </c>
      <c r="B1503" s="1" t="n">
        <v>45630</v>
      </c>
      <c r="C1503" s="1" t="n">
        <v>45731</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57542-2024</t>
        </is>
      </c>
      <c r="B1504" s="1" t="n">
        <v>45630</v>
      </c>
      <c r="C1504" s="1" t="n">
        <v>45731</v>
      </c>
      <c r="D1504" t="inlineStr">
        <is>
          <t>KALMAR LÄN</t>
        </is>
      </c>
      <c r="E1504" t="inlineStr">
        <is>
          <t>VIMMERBY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57555-2024</t>
        </is>
      </c>
      <c r="B1505" s="1" t="n">
        <v>45630</v>
      </c>
      <c r="C1505" s="1" t="n">
        <v>45731</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57887-2024</t>
        </is>
      </c>
      <c r="B1506" s="1" t="n">
        <v>45631</v>
      </c>
      <c r="C1506" s="1" t="n">
        <v>45731</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58159-2024</t>
        </is>
      </c>
      <c r="B1507" s="1" t="n">
        <v>45632</v>
      </c>
      <c r="C1507" s="1" t="n">
        <v>45731</v>
      </c>
      <c r="D1507" t="inlineStr">
        <is>
          <t>KALMAR LÄN</t>
        </is>
      </c>
      <c r="E1507" t="inlineStr">
        <is>
          <t>VIMMERBY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58100-2024</t>
        </is>
      </c>
      <c r="B1508" s="1" t="n">
        <v>45632</v>
      </c>
      <c r="C1508" s="1" t="n">
        <v>45731</v>
      </c>
      <c r="D1508" t="inlineStr">
        <is>
          <t>KALMAR LÄN</t>
        </is>
      </c>
      <c r="E1508" t="inlineStr">
        <is>
          <t>VIMMERBY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58104-2024</t>
        </is>
      </c>
      <c r="B1509" s="1" t="n">
        <v>45632</v>
      </c>
      <c r="C1509" s="1" t="n">
        <v>45731</v>
      </c>
      <c r="D1509" t="inlineStr">
        <is>
          <t>KALMAR LÄN</t>
        </is>
      </c>
      <c r="E1509" t="inlineStr">
        <is>
          <t>VIMMERBY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58374-2024</t>
        </is>
      </c>
      <c r="B1510" s="1" t="n">
        <v>45632</v>
      </c>
      <c r="C1510" s="1" t="n">
        <v>45731</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58726-2024</t>
        </is>
      </c>
      <c r="B1511" s="1" t="n">
        <v>45635</v>
      </c>
      <c r="C1511" s="1" t="n">
        <v>45731</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58589-2024</t>
        </is>
      </c>
      <c r="B1512" s="1" t="n">
        <v>45635</v>
      </c>
      <c r="C1512" s="1" t="n">
        <v>45731</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58577-2024</t>
        </is>
      </c>
      <c r="B1513" s="1" t="n">
        <v>45635</v>
      </c>
      <c r="C1513" s="1" t="n">
        <v>45731</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58724-2024</t>
        </is>
      </c>
      <c r="B1514" s="1" t="n">
        <v>45635</v>
      </c>
      <c r="C1514" s="1" t="n">
        <v>45731</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58728-2024</t>
        </is>
      </c>
      <c r="B1515" s="1" t="n">
        <v>45635</v>
      </c>
      <c r="C1515" s="1" t="n">
        <v>45731</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59302-2024</t>
        </is>
      </c>
      <c r="B1516" s="1" t="n">
        <v>45637</v>
      </c>
      <c r="C1516" s="1" t="n">
        <v>45731</v>
      </c>
      <c r="D1516" t="inlineStr">
        <is>
          <t>KALMAR LÄN</t>
        </is>
      </c>
      <c r="E1516" t="inlineStr">
        <is>
          <t>VIMMERBY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59300-2024</t>
        </is>
      </c>
      <c r="B1517" s="1" t="n">
        <v>45637</v>
      </c>
      <c r="C1517" s="1" t="n">
        <v>45731</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59341-2024</t>
        </is>
      </c>
      <c r="B1518" s="1" t="n">
        <v>45637</v>
      </c>
      <c r="C1518" s="1" t="n">
        <v>45731</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59768-2024</t>
        </is>
      </c>
      <c r="B1519" s="1" t="n">
        <v>45639</v>
      </c>
      <c r="C1519" s="1" t="n">
        <v>45731</v>
      </c>
      <c r="D1519" t="inlineStr">
        <is>
          <t>KALMAR LÄN</t>
        </is>
      </c>
      <c r="E1519" t="inlineStr">
        <is>
          <t>VIMMERBY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59733-2024</t>
        </is>
      </c>
      <c r="B1520" s="1" t="n">
        <v>45639</v>
      </c>
      <c r="C1520" s="1" t="n">
        <v>45731</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60051-2024</t>
        </is>
      </c>
      <c r="B1521" s="1" t="n">
        <v>45642</v>
      </c>
      <c r="C1521" s="1" t="n">
        <v>45731</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60334-2024</t>
        </is>
      </c>
      <c r="B1522" s="1" t="n">
        <v>45643</v>
      </c>
      <c r="C1522" s="1" t="n">
        <v>45731</v>
      </c>
      <c r="D1522" t="inlineStr">
        <is>
          <t>KALMAR LÄN</t>
        </is>
      </c>
      <c r="E1522" t="inlineStr">
        <is>
          <t>VIMMERBY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60430-2024</t>
        </is>
      </c>
      <c r="B1523" s="1" t="n">
        <v>45643</v>
      </c>
      <c r="C1523" s="1" t="n">
        <v>45731</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61355-2024</t>
        </is>
      </c>
      <c r="B1524" s="1" t="n">
        <v>45646</v>
      </c>
      <c r="C1524" s="1" t="n">
        <v>45731</v>
      </c>
      <c r="D1524" t="inlineStr">
        <is>
          <t>KALMAR LÄN</t>
        </is>
      </c>
      <c r="E1524" t="inlineStr">
        <is>
          <t>VIMMERBY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61624-2024</t>
        </is>
      </c>
      <c r="B1525" s="1" t="n">
        <v>45646</v>
      </c>
      <c r="C1525" s="1" t="n">
        <v>45731</v>
      </c>
      <c r="D1525" t="inlineStr">
        <is>
          <t>KALMAR LÄN</t>
        </is>
      </c>
      <c r="E1525" t="inlineStr">
        <is>
          <t>VIMMERBY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61775-2024</t>
        </is>
      </c>
      <c r="B1526" s="1" t="n">
        <v>45649</v>
      </c>
      <c r="C1526" s="1" t="n">
        <v>45731</v>
      </c>
      <c r="D1526" t="inlineStr">
        <is>
          <t>KALMAR LÄN</t>
        </is>
      </c>
      <c r="E1526" t="inlineStr">
        <is>
          <t>VIMMERBY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61777-2024</t>
        </is>
      </c>
      <c r="B1527" s="1" t="n">
        <v>45649</v>
      </c>
      <c r="C1527" s="1" t="n">
        <v>45731</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61861-2024</t>
        </is>
      </c>
      <c r="B1528" s="1" t="n">
        <v>45650</v>
      </c>
      <c r="C1528" s="1" t="n">
        <v>45731</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23-2025</t>
        </is>
      </c>
      <c r="B1529" s="1" t="n">
        <v>45658</v>
      </c>
      <c r="C1529" s="1" t="n">
        <v>45731</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20-2025</t>
        </is>
      </c>
      <c r="B1530" s="1" t="n">
        <v>45658</v>
      </c>
      <c r="C1530" s="1" t="n">
        <v>45731</v>
      </c>
      <c r="D1530" t="inlineStr">
        <is>
          <t>KALMAR LÄN</t>
        </is>
      </c>
      <c r="E1530" t="inlineStr">
        <is>
          <t>VIMMERBY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16-2025</t>
        </is>
      </c>
      <c r="B1531" s="1" t="n">
        <v>45658</v>
      </c>
      <c r="C1531" s="1" t="n">
        <v>45731</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17-2025</t>
        </is>
      </c>
      <c r="B1532" s="1" t="n">
        <v>45658</v>
      </c>
      <c r="C1532" s="1" t="n">
        <v>45731</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598-2025</t>
        </is>
      </c>
      <c r="B1533" s="1" t="n">
        <v>45660</v>
      </c>
      <c r="C1533" s="1" t="n">
        <v>45731</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367-2025</t>
        </is>
      </c>
      <c r="B1534" s="1" t="n">
        <v>45661</v>
      </c>
      <c r="C1534" s="1" t="n">
        <v>45731</v>
      </c>
      <c r="D1534" t="inlineStr">
        <is>
          <t>KALMAR LÄN</t>
        </is>
      </c>
      <c r="E1534" t="inlineStr">
        <is>
          <t>VIMMERBY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365-2025</t>
        </is>
      </c>
      <c r="B1535" s="1" t="n">
        <v>45661</v>
      </c>
      <c r="C1535" s="1" t="n">
        <v>45731</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677-2025</t>
        </is>
      </c>
      <c r="B1536" s="1" t="n">
        <v>45664</v>
      </c>
      <c r="C1536" s="1" t="n">
        <v>45731</v>
      </c>
      <c r="D1536" t="inlineStr">
        <is>
          <t>KALMAR LÄN</t>
        </is>
      </c>
      <c r="E1536" t="inlineStr">
        <is>
          <t>VIMMERBY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665-2025</t>
        </is>
      </c>
      <c r="B1537" s="1" t="n">
        <v>45664</v>
      </c>
      <c r="C1537" s="1" t="n">
        <v>45731</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1146-2025</t>
        </is>
      </c>
      <c r="B1538" s="1" t="n">
        <v>45666</v>
      </c>
      <c r="C1538" s="1" t="n">
        <v>45731</v>
      </c>
      <c r="D1538" t="inlineStr">
        <is>
          <t>KALMAR LÄN</t>
        </is>
      </c>
      <c r="E1538" t="inlineStr">
        <is>
          <t>VIMMERBY</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971-2025</t>
        </is>
      </c>
      <c r="B1539" s="1" t="n">
        <v>45666</v>
      </c>
      <c r="C1539" s="1" t="n">
        <v>45731</v>
      </c>
      <c r="D1539" t="inlineStr">
        <is>
          <t>KALMAR LÄN</t>
        </is>
      </c>
      <c r="E1539" t="inlineStr">
        <is>
          <t>VIMMERBY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1206-2025</t>
        </is>
      </c>
      <c r="B1540" s="1" t="n">
        <v>45667</v>
      </c>
      <c r="C1540" s="1" t="n">
        <v>45731</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1428-2025</t>
        </is>
      </c>
      <c r="B1541" s="1" t="n">
        <v>45668</v>
      </c>
      <c r="C1541" s="1" t="n">
        <v>45731</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1799-2025</t>
        </is>
      </c>
      <c r="B1542" s="1" t="n">
        <v>45671</v>
      </c>
      <c r="C1542" s="1" t="n">
        <v>45731</v>
      </c>
      <c r="D1542" t="inlineStr">
        <is>
          <t>KALMAR LÄN</t>
        </is>
      </c>
      <c r="E1542" t="inlineStr">
        <is>
          <t>VIMMERBY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2604-2025</t>
        </is>
      </c>
      <c r="B1543" s="1" t="n">
        <v>45674</v>
      </c>
      <c r="C1543" s="1" t="n">
        <v>45731</v>
      </c>
      <c r="D1543" t="inlineStr">
        <is>
          <t>KALMAR LÄN</t>
        </is>
      </c>
      <c r="E1543" t="inlineStr">
        <is>
          <t>VIMMERBY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2596-2025</t>
        </is>
      </c>
      <c r="B1544" s="1" t="n">
        <v>45674</v>
      </c>
      <c r="C1544" s="1" t="n">
        <v>45731</v>
      </c>
      <c r="D1544" t="inlineStr">
        <is>
          <t>KALMAR LÄN</t>
        </is>
      </c>
      <c r="E1544" t="inlineStr">
        <is>
          <t>VIMMERBY</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2775-2025</t>
        </is>
      </c>
      <c r="B1545" s="1" t="n">
        <v>45677</v>
      </c>
      <c r="C1545" s="1" t="n">
        <v>45731</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3045-2025</t>
        </is>
      </c>
      <c r="B1546" s="1" t="n">
        <v>45678</v>
      </c>
      <c r="C1546" s="1" t="n">
        <v>45731</v>
      </c>
      <c r="D1546" t="inlineStr">
        <is>
          <t>KALMAR LÄN</t>
        </is>
      </c>
      <c r="E1546" t="inlineStr">
        <is>
          <t>VIMMERBY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4060-2025</t>
        </is>
      </c>
      <c r="B1547" s="1" t="n">
        <v>45684</v>
      </c>
      <c r="C1547" s="1" t="n">
        <v>45731</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45731</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5104-2025</t>
        </is>
      </c>
      <c r="B1549" s="1" t="n">
        <v>45691</v>
      </c>
      <c r="C1549" s="1" t="n">
        <v>45731</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5413-2025</t>
        </is>
      </c>
      <c r="B1550" s="1" t="n">
        <v>45692</v>
      </c>
      <c r="C1550" s="1" t="n">
        <v>45731</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6303-2025</t>
        </is>
      </c>
      <c r="B1551" s="1" t="n">
        <v>45698</v>
      </c>
      <c r="C1551" s="1" t="n">
        <v>45731</v>
      </c>
      <c r="D1551" t="inlineStr">
        <is>
          <t>KALMAR LÄN</t>
        </is>
      </c>
      <c r="E1551" t="inlineStr">
        <is>
          <t>VIMMERBY</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6307-2025</t>
        </is>
      </c>
      <c r="B1552" s="1" t="n">
        <v>45698</v>
      </c>
      <c r="C1552" s="1" t="n">
        <v>45731</v>
      </c>
      <c r="D1552" t="inlineStr">
        <is>
          <t>KALMAR LÄN</t>
        </is>
      </c>
      <c r="E1552" t="inlineStr">
        <is>
          <t>VIMMERBY</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6214-2025</t>
        </is>
      </c>
      <c r="B1553" s="1" t="n">
        <v>45698</v>
      </c>
      <c r="C1553" s="1" t="n">
        <v>45731</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6314-2025</t>
        </is>
      </c>
      <c r="B1554" s="1" t="n">
        <v>45698</v>
      </c>
      <c r="C1554" s="1" t="n">
        <v>45731</v>
      </c>
      <c r="D1554" t="inlineStr">
        <is>
          <t>KALMAR LÄN</t>
        </is>
      </c>
      <c r="E1554" t="inlineStr">
        <is>
          <t>VIMMERBY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6218-2025</t>
        </is>
      </c>
      <c r="B1555" s="1" t="n">
        <v>45698</v>
      </c>
      <c r="C1555" s="1" t="n">
        <v>45731</v>
      </c>
      <c r="D1555" t="inlineStr">
        <is>
          <t>KALMAR LÄN</t>
        </is>
      </c>
      <c r="E1555" t="inlineStr">
        <is>
          <t>VIMMERBY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6216-2025</t>
        </is>
      </c>
      <c r="B1556" s="1" t="n">
        <v>45698</v>
      </c>
      <c r="C1556" s="1" t="n">
        <v>45731</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6220-2025</t>
        </is>
      </c>
      <c r="B1557" s="1" t="n">
        <v>45698</v>
      </c>
      <c r="C1557" s="1" t="n">
        <v>45731</v>
      </c>
      <c r="D1557" t="inlineStr">
        <is>
          <t>KALMAR LÄN</t>
        </is>
      </c>
      <c r="E1557" t="inlineStr">
        <is>
          <t>VIMMERBY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6399-2025</t>
        </is>
      </c>
      <c r="B1558" s="1" t="n">
        <v>45699</v>
      </c>
      <c r="C1558" s="1" t="n">
        <v>45731</v>
      </c>
      <c r="D1558" t="inlineStr">
        <is>
          <t>KALMAR LÄN</t>
        </is>
      </c>
      <c r="E1558" t="inlineStr">
        <is>
          <t>VIMMERBY</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6483-2025</t>
        </is>
      </c>
      <c r="B1559" s="1" t="n">
        <v>45699</v>
      </c>
      <c r="C1559" s="1" t="n">
        <v>45731</v>
      </c>
      <c r="D1559" t="inlineStr">
        <is>
          <t>KALMAR LÄN</t>
        </is>
      </c>
      <c r="E1559" t="inlineStr">
        <is>
          <t>VIMMERBY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6405-2025</t>
        </is>
      </c>
      <c r="B1560" s="1" t="n">
        <v>45699</v>
      </c>
      <c r="C1560" s="1" t="n">
        <v>45731</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6408-2025</t>
        </is>
      </c>
      <c r="B1561" s="1" t="n">
        <v>45699</v>
      </c>
      <c r="C1561" s="1" t="n">
        <v>45731</v>
      </c>
      <c r="D1561" t="inlineStr">
        <is>
          <t>KALMAR LÄN</t>
        </is>
      </c>
      <c r="E1561" t="inlineStr">
        <is>
          <t>VIMMERBY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6474-2025</t>
        </is>
      </c>
      <c r="B1562" s="1" t="n">
        <v>45699</v>
      </c>
      <c r="C1562" s="1" t="n">
        <v>45731</v>
      </c>
      <c r="D1562" t="inlineStr">
        <is>
          <t>KALMAR LÄN</t>
        </is>
      </c>
      <c r="E1562" t="inlineStr">
        <is>
          <t>VIMMERBY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6802-2025</t>
        </is>
      </c>
      <c r="B1563" s="1" t="n">
        <v>45700</v>
      </c>
      <c r="C1563" s="1" t="n">
        <v>45731</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6807-2025</t>
        </is>
      </c>
      <c r="B1564" s="1" t="n">
        <v>45700</v>
      </c>
      <c r="C1564" s="1" t="n">
        <v>45731</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6750-2025</t>
        </is>
      </c>
      <c r="B1565" s="1" t="n">
        <v>45700</v>
      </c>
      <c r="C1565" s="1" t="n">
        <v>45731</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7630-2025</t>
        </is>
      </c>
      <c r="B1566" s="1" t="n">
        <v>45705</v>
      </c>
      <c r="C1566" s="1" t="n">
        <v>45731</v>
      </c>
      <c r="D1566" t="inlineStr">
        <is>
          <t>KALMAR LÄN</t>
        </is>
      </c>
      <c r="E1566" t="inlineStr">
        <is>
          <t>VIMMERBY</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7627-2025</t>
        </is>
      </c>
      <c r="B1567" s="1" t="n">
        <v>45705</v>
      </c>
      <c r="C1567" s="1" t="n">
        <v>45731</v>
      </c>
      <c r="D1567" t="inlineStr">
        <is>
          <t>KALMAR LÄN</t>
        </is>
      </c>
      <c r="E1567" t="inlineStr">
        <is>
          <t>VIMMERBY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7824-2025</t>
        </is>
      </c>
      <c r="B1568" s="1" t="n">
        <v>45706</v>
      </c>
      <c r="C1568" s="1" t="n">
        <v>45731</v>
      </c>
      <c r="D1568" t="inlineStr">
        <is>
          <t>KALMAR LÄN</t>
        </is>
      </c>
      <c r="E1568" t="inlineStr">
        <is>
          <t>VIMMERBY</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7932-2025</t>
        </is>
      </c>
      <c r="B1569" s="1" t="n">
        <v>45707</v>
      </c>
      <c r="C1569" s="1" t="n">
        <v>45731</v>
      </c>
      <c r="D1569" t="inlineStr">
        <is>
          <t>KALMAR LÄN</t>
        </is>
      </c>
      <c r="E1569" t="inlineStr">
        <is>
          <t>VIMMERBY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8059-2025</t>
        </is>
      </c>
      <c r="B1570" s="1" t="n">
        <v>45707</v>
      </c>
      <c r="C1570" s="1" t="n">
        <v>45731</v>
      </c>
      <c r="D1570" t="inlineStr">
        <is>
          <t>KALMAR LÄN</t>
        </is>
      </c>
      <c r="E1570" t="inlineStr">
        <is>
          <t>VIMMERBY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8376-2025</t>
        </is>
      </c>
      <c r="B1571" s="1" t="n">
        <v>45709</v>
      </c>
      <c r="C1571" s="1" t="n">
        <v>45731</v>
      </c>
      <c r="D1571" t="inlineStr">
        <is>
          <t>KALMAR LÄN</t>
        </is>
      </c>
      <c r="E1571" t="inlineStr">
        <is>
          <t>VIMMERBY</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8544-2025</t>
        </is>
      </c>
      <c r="B1572" s="1" t="n">
        <v>45709</v>
      </c>
      <c r="C1572" s="1" t="n">
        <v>45731</v>
      </c>
      <c r="D1572" t="inlineStr">
        <is>
          <t>KALMAR LÄN</t>
        </is>
      </c>
      <c r="E1572" t="inlineStr">
        <is>
          <t>VIMMERBY</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8574-2025</t>
        </is>
      </c>
      <c r="B1573" s="1" t="n">
        <v>45709</v>
      </c>
      <c r="C1573" s="1" t="n">
        <v>45731</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8509-2025</t>
        </is>
      </c>
      <c r="B1574" s="1" t="n">
        <v>45709</v>
      </c>
      <c r="C1574" s="1" t="n">
        <v>45731</v>
      </c>
      <c r="D1574" t="inlineStr">
        <is>
          <t>KALMAR LÄN</t>
        </is>
      </c>
      <c r="E1574" t="inlineStr">
        <is>
          <t>VIMMERBY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8559-2025</t>
        </is>
      </c>
      <c r="B1575" s="1" t="n">
        <v>45709</v>
      </c>
      <c r="C1575" s="1" t="n">
        <v>45731</v>
      </c>
      <c r="D1575" t="inlineStr">
        <is>
          <t>KALMAR LÄN</t>
        </is>
      </c>
      <c r="E1575" t="inlineStr">
        <is>
          <t>VIMMERBY</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45731</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9129-2025</t>
        </is>
      </c>
      <c r="B1577" s="1" t="n">
        <v>45713</v>
      </c>
      <c r="C1577" s="1" t="n">
        <v>45731</v>
      </c>
      <c r="D1577" t="inlineStr">
        <is>
          <t>KALMAR LÄN</t>
        </is>
      </c>
      <c r="E1577" t="inlineStr">
        <is>
          <t>VIMMERBY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9128-2025</t>
        </is>
      </c>
      <c r="B1578" s="1" t="n">
        <v>45713</v>
      </c>
      <c r="C1578" s="1" t="n">
        <v>45731</v>
      </c>
      <c r="D1578" t="inlineStr">
        <is>
          <t>KALMAR LÄN</t>
        </is>
      </c>
      <c r="E1578" t="inlineStr">
        <is>
          <t>VIMMERBY</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45731</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45731</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10211-2025</t>
        </is>
      </c>
      <c r="B1581" s="1" t="n">
        <v>45719</v>
      </c>
      <c r="C1581" s="1" t="n">
        <v>45731</v>
      </c>
      <c r="D1581" t="inlineStr">
        <is>
          <t>KALMAR LÄN</t>
        </is>
      </c>
      <c r="E1581" t="inlineStr">
        <is>
          <t>VIMMERBY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10208-2025</t>
        </is>
      </c>
      <c r="B1582" s="1" t="n">
        <v>45719</v>
      </c>
      <c r="C1582" s="1" t="n">
        <v>45731</v>
      </c>
      <c r="D1582" t="inlineStr">
        <is>
          <t>KALMAR LÄN</t>
        </is>
      </c>
      <c r="E1582" t="inlineStr">
        <is>
          <t>VIMMERBY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10209-2025</t>
        </is>
      </c>
      <c r="B1583" s="1" t="n">
        <v>45719</v>
      </c>
      <c r="C1583" s="1" t="n">
        <v>45731</v>
      </c>
      <c r="D1583" t="inlineStr">
        <is>
          <t>KALMAR LÄN</t>
        </is>
      </c>
      <c r="E1583" t="inlineStr">
        <is>
          <t>VIMMERBY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10303-2025</t>
        </is>
      </c>
      <c r="B1584" s="1" t="n">
        <v>45720</v>
      </c>
      <c r="C1584" s="1" t="n">
        <v>45731</v>
      </c>
      <c r="D1584" t="inlineStr">
        <is>
          <t>KALMAR LÄN</t>
        </is>
      </c>
      <c r="E1584" t="inlineStr">
        <is>
          <t>VIMMERBY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10391-2025</t>
        </is>
      </c>
      <c r="B1585" s="1" t="n">
        <v>45720</v>
      </c>
      <c r="C1585" s="1" t="n">
        <v>45731</v>
      </c>
      <c r="D1585" t="inlineStr">
        <is>
          <t>KALMAR LÄN</t>
        </is>
      </c>
      <c r="E1585" t="inlineStr">
        <is>
          <t>VIMMERBY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10392-2025</t>
        </is>
      </c>
      <c r="B1586" s="1" t="n">
        <v>45720</v>
      </c>
      <c r="C1586" s="1" t="n">
        <v>45731</v>
      </c>
      <c r="D1586" t="inlineStr">
        <is>
          <t>KALMAR LÄN</t>
        </is>
      </c>
      <c r="E1586" t="inlineStr">
        <is>
          <t>VIMMERBY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10522-2025</t>
        </is>
      </c>
      <c r="B1587" s="1" t="n">
        <v>45721</v>
      </c>
      <c r="C1587" s="1" t="n">
        <v>45731</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10685-2025</t>
        </is>
      </c>
      <c r="B1588" s="1" t="n">
        <v>45721</v>
      </c>
      <c r="C1588" s="1" t="n">
        <v>45731</v>
      </c>
      <c r="D1588" t="inlineStr">
        <is>
          <t>KALMAR LÄN</t>
        </is>
      </c>
      <c r="E1588" t="inlineStr">
        <is>
          <t>VIMMERBY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10549-2025</t>
        </is>
      </c>
      <c r="B1589" s="1" t="n">
        <v>45721</v>
      </c>
      <c r="C1589" s="1" t="n">
        <v>45731</v>
      </c>
      <c r="D1589" t="inlineStr">
        <is>
          <t>KALMAR LÄN</t>
        </is>
      </c>
      <c r="E1589" t="inlineStr">
        <is>
          <t>VIMMERBY</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10680-2025</t>
        </is>
      </c>
      <c r="B1590" s="1" t="n">
        <v>45721</v>
      </c>
      <c r="C1590" s="1" t="n">
        <v>45731</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10748-2025</t>
        </is>
      </c>
      <c r="B1591" s="1" t="n">
        <v>45722</v>
      </c>
      <c r="C1591" s="1" t="n">
        <v>45731</v>
      </c>
      <c r="D1591" t="inlineStr">
        <is>
          <t>KALMAR LÄN</t>
        </is>
      </c>
      <c r="E1591" t="inlineStr">
        <is>
          <t>VIMMERBY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10787-2025</t>
        </is>
      </c>
      <c r="B1592" s="1" t="n">
        <v>45722</v>
      </c>
      <c r="C1592" s="1" t="n">
        <v>45731</v>
      </c>
      <c r="D1592" t="inlineStr">
        <is>
          <t>KALMAR LÄN</t>
        </is>
      </c>
      <c r="E1592" t="inlineStr">
        <is>
          <t>VIMMERBY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10745-2025</t>
        </is>
      </c>
      <c r="B1593" s="1" t="n">
        <v>45722</v>
      </c>
      <c r="C1593" s="1" t="n">
        <v>45731</v>
      </c>
      <c r="D1593" t="inlineStr">
        <is>
          <t>KALMAR LÄN</t>
        </is>
      </c>
      <c r="E1593" t="inlineStr">
        <is>
          <t>VIMMERBY</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10749-2025</t>
        </is>
      </c>
      <c r="B1594" s="1" t="n">
        <v>45722</v>
      </c>
      <c r="C1594" s="1" t="n">
        <v>45731</v>
      </c>
      <c r="D1594" t="inlineStr">
        <is>
          <t>KALMAR LÄN</t>
        </is>
      </c>
      <c r="E1594" t="inlineStr">
        <is>
          <t>VIMMERBY</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10830-2025</t>
        </is>
      </c>
      <c r="B1595" s="1" t="n">
        <v>45722</v>
      </c>
      <c r="C1595" s="1" t="n">
        <v>45731</v>
      </c>
      <c r="D1595" t="inlineStr">
        <is>
          <t>KALMAR LÄN</t>
        </is>
      </c>
      <c r="E1595" t="inlineStr">
        <is>
          <t>VIMMERBY</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10835-2025</t>
        </is>
      </c>
      <c r="B1596" s="1" t="n">
        <v>45722</v>
      </c>
      <c r="C1596" s="1" t="n">
        <v>45731</v>
      </c>
      <c r="D1596" t="inlineStr">
        <is>
          <t>KALMAR LÄN</t>
        </is>
      </c>
      <c r="E1596" t="inlineStr">
        <is>
          <t>VIMMERBY</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10747-2025</t>
        </is>
      </c>
      <c r="B1597" s="1" t="n">
        <v>45722</v>
      </c>
      <c r="C1597" s="1" t="n">
        <v>45731</v>
      </c>
      <c r="D1597" t="inlineStr">
        <is>
          <t>KALMAR LÄN</t>
        </is>
      </c>
      <c r="E1597" t="inlineStr">
        <is>
          <t>VIMMERBY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10786-2025</t>
        </is>
      </c>
      <c r="B1598" s="1" t="n">
        <v>45722</v>
      </c>
      <c r="C1598" s="1" t="n">
        <v>45731</v>
      </c>
      <c r="D1598" t="inlineStr">
        <is>
          <t>KALMAR LÄN</t>
        </is>
      </c>
      <c r="E1598" t="inlineStr">
        <is>
          <t>VIMMERBY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10750-2025</t>
        </is>
      </c>
      <c r="B1599" s="1" t="n">
        <v>45722</v>
      </c>
      <c r="C1599" s="1" t="n">
        <v>45731</v>
      </c>
      <c r="D1599" t="inlineStr">
        <is>
          <t>KALMAR LÄN</t>
        </is>
      </c>
      <c r="E1599" t="inlineStr">
        <is>
          <t>VIMMERBY</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10772-2025</t>
        </is>
      </c>
      <c r="B1600" s="1" t="n">
        <v>45722</v>
      </c>
      <c r="C1600" s="1" t="n">
        <v>45731</v>
      </c>
      <c r="D1600" t="inlineStr">
        <is>
          <t>KALMAR LÄN</t>
        </is>
      </c>
      <c r="E1600" t="inlineStr">
        <is>
          <t>VIMMERBY</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10785-2025</t>
        </is>
      </c>
      <c r="B1601" s="1" t="n">
        <v>45722</v>
      </c>
      <c r="C1601" s="1" t="n">
        <v>45731</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10822-2025</t>
        </is>
      </c>
      <c r="B1602" s="1" t="n">
        <v>45722</v>
      </c>
      <c r="C1602" s="1" t="n">
        <v>45731</v>
      </c>
      <c r="D1602" t="inlineStr">
        <is>
          <t>KALMAR LÄN</t>
        </is>
      </c>
      <c r="E1602" t="inlineStr">
        <is>
          <t>VIMMERBY</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11303-2025</t>
        </is>
      </c>
      <c r="B1603" s="1" t="n">
        <v>45726</v>
      </c>
      <c r="C1603" s="1" t="n">
        <v>45731</v>
      </c>
      <c r="D1603" t="inlineStr">
        <is>
          <t>KALMAR LÄN</t>
        </is>
      </c>
      <c r="E1603" t="inlineStr">
        <is>
          <t>VIMMERBY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11442-2025</t>
        </is>
      </c>
      <c r="B1604" s="1" t="n">
        <v>45726</v>
      </c>
      <c r="C1604" s="1" t="n">
        <v>45731</v>
      </c>
      <c r="D1604" t="inlineStr">
        <is>
          <t>KALMAR LÄN</t>
        </is>
      </c>
      <c r="E1604" t="inlineStr">
        <is>
          <t>VIMMERBY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11911-2025</t>
        </is>
      </c>
      <c r="B1605" s="1" t="n">
        <v>45728</v>
      </c>
      <c r="C1605" s="1" t="n">
        <v>45731</v>
      </c>
      <c r="D1605" t="inlineStr">
        <is>
          <t>KALMAR LÄN</t>
        </is>
      </c>
      <c r="E1605" t="inlineStr">
        <is>
          <t>VIMMERBY</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11906-2025</t>
        </is>
      </c>
      <c r="B1606" s="1" t="n">
        <v>45728</v>
      </c>
      <c r="C1606" s="1" t="n">
        <v>45731</v>
      </c>
      <c r="D1606" t="inlineStr">
        <is>
          <t>KALMAR LÄN</t>
        </is>
      </c>
      <c r="E1606" t="inlineStr">
        <is>
          <t>VIMMERBY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11946-2025</t>
        </is>
      </c>
      <c r="B1607" s="1" t="n">
        <v>45728</v>
      </c>
      <c r="C1607" s="1" t="n">
        <v>45731</v>
      </c>
      <c r="D1607" t="inlineStr">
        <is>
          <t>KALMAR LÄN</t>
        </is>
      </c>
      <c r="E1607" t="inlineStr">
        <is>
          <t>VIMMERBY</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11856-2025</t>
        </is>
      </c>
      <c r="B1608" s="1" t="n">
        <v>45728</v>
      </c>
      <c r="C1608" s="1" t="n">
        <v>45731</v>
      </c>
      <c r="D1608" t="inlineStr">
        <is>
          <t>KALMAR LÄN</t>
        </is>
      </c>
      <c r="E1608" t="inlineStr">
        <is>
          <t>VIMMERBY</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11909-2025</t>
        </is>
      </c>
      <c r="B1609" s="1" t="n">
        <v>45728</v>
      </c>
      <c r="C1609" s="1" t="n">
        <v>45731</v>
      </c>
      <c r="D1609" t="inlineStr">
        <is>
          <t>KALMAR LÄN</t>
        </is>
      </c>
      <c r="E1609" t="inlineStr">
        <is>
          <t>VIMMERBY</t>
        </is>
      </c>
      <c r="G1609" t="n">
        <v>2.9</v>
      </c>
      <c r="H1609" t="n">
        <v>0</v>
      </c>
      <c r="I1609" t="n">
        <v>0</v>
      </c>
      <c r="J1609" t="n">
        <v>0</v>
      </c>
      <c r="K1609" t="n">
        <v>0</v>
      </c>
      <c r="L1609" t="n">
        <v>0</v>
      </c>
      <c r="M1609" t="n">
        <v>0</v>
      </c>
      <c r="N1609" t="n">
        <v>0</v>
      </c>
      <c r="O1609" t="n">
        <v>0</v>
      </c>
      <c r="P1609" t="n">
        <v>0</v>
      </c>
      <c r="Q1609" t="n">
        <v>0</v>
      </c>
      <c r="R1609" s="2" t="inlineStr"/>
    </row>
    <row r="1610">
      <c r="A1610" t="inlineStr">
        <is>
          <t>A 12121-2025</t>
        </is>
      </c>
      <c r="B1610" s="1" t="n">
        <v>45729</v>
      </c>
      <c r="C1610" s="1" t="n">
        <v>45731</v>
      </c>
      <c r="D1610" t="inlineStr">
        <is>
          <t>KALMAR LÄN</t>
        </is>
      </c>
      <c r="E1610" t="inlineStr">
        <is>
          <t>VIMMERBY</t>
        </is>
      </c>
      <c r="G1610" t="n">
        <v>4.3</v>
      </c>
      <c r="H1610" t="n">
        <v>0</v>
      </c>
      <c r="I1610" t="n">
        <v>0</v>
      </c>
      <c r="J1610" t="n">
        <v>0</v>
      </c>
      <c r="K1610" t="n">
        <v>0</v>
      </c>
      <c r="L1610" t="n">
        <v>0</v>
      </c>
      <c r="M1610" t="n">
        <v>0</v>
      </c>
      <c r="N1610" t="n">
        <v>0</v>
      </c>
      <c r="O1610" t="n">
        <v>0</v>
      </c>
      <c r="P1610" t="n">
        <v>0</v>
      </c>
      <c r="Q1610" t="n">
        <v>0</v>
      </c>
      <c r="R1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2025-03-15T17:35:25Z</dcterms:created>
  <dcterms:modified xmlns:dcterms="http://purl.org/dc/terms/" xmlns:xsi="http://www.w3.org/2001/XMLSchema-instance" xsi:type="dcterms:W3CDTF">2025-03-15T17:35:26Z</dcterms:modified>
</cp:coreProperties>
</file>