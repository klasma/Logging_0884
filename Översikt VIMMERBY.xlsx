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45939</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45939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45939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45939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45939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45939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45939</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45939</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37667-2025</t>
        </is>
      </c>
      <c r="B16" s="1" t="n">
        <v>45880.51413194444</v>
      </c>
      <c r="C16" s="1" t="n">
        <v>45939</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37667-2025 artfynd.xlsx", "A 37667-2025")</f>
        <v/>
      </c>
      <c r="T16">
        <f>HYPERLINK("https://klasma.github.io/Logging_0884/kartor/A 37667-2025 karta.png", "A 37667-2025")</f>
        <v/>
      </c>
      <c r="U16">
        <f>HYPERLINK("https://klasma.github.io/Logging_0884/knärot/A 37667-2025 karta knärot.png", "A 37667-2025")</f>
        <v/>
      </c>
      <c r="V16">
        <f>HYPERLINK("https://klasma.github.io/Logging_0884/klagomål/A 37667-2025 FSC-klagomål.docx", "A 37667-2025")</f>
        <v/>
      </c>
      <c r="W16">
        <f>HYPERLINK("https://klasma.github.io/Logging_0884/klagomålsmail/A 37667-2025 FSC-klagomål mail.docx", "A 37667-2025")</f>
        <v/>
      </c>
      <c r="X16">
        <f>HYPERLINK("https://klasma.github.io/Logging_0884/tillsyn/A 37667-2025 tillsynsbegäran.docx", "A 37667-2025")</f>
        <v/>
      </c>
      <c r="Y16">
        <f>HYPERLINK("https://klasma.github.io/Logging_0884/tillsynsmail/A 37667-2025 tillsynsbegäran mail.docx", "A 37667-2025")</f>
        <v/>
      </c>
    </row>
    <row r="17" ht="15" customHeight="1">
      <c r="A17" t="inlineStr">
        <is>
          <t>A 56985-2024</t>
        </is>
      </c>
      <c r="B17" s="1" t="n">
        <v>45628</v>
      </c>
      <c r="C17" s="1" t="n">
        <v>45939</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15427-2023</t>
        </is>
      </c>
      <c r="B18" s="1" t="n">
        <v>45020</v>
      </c>
      <c r="C18" s="1" t="n">
        <v>45939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14584-2025</t>
        </is>
      </c>
      <c r="B19" s="1" t="n">
        <v>45742</v>
      </c>
      <c r="C19" s="1" t="n">
        <v>45939</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45939</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45939</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45939</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42802-2025</t>
        </is>
      </c>
      <c r="B23" s="1" t="n">
        <v>45908</v>
      </c>
      <c r="C23" s="1" t="n">
        <v>45939</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22825-2023</t>
        </is>
      </c>
      <c r="B24" s="1" t="n">
        <v>45072</v>
      </c>
      <c r="C24" s="1" t="n">
        <v>45939</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19158-2023</t>
        </is>
      </c>
      <c r="B25" s="1" t="n">
        <v>45048</v>
      </c>
      <c r="C25" s="1" t="n">
        <v>45939</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2518-2023</t>
        </is>
      </c>
      <c r="B26" s="1" t="n">
        <v>44943</v>
      </c>
      <c r="C26" s="1" t="n">
        <v>45939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45939</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22396-2025</t>
        </is>
      </c>
      <c r="B28" s="1" t="n">
        <v>45786.52827546297</v>
      </c>
      <c r="C28" s="1" t="n">
        <v>45939</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14024-2023</t>
        </is>
      </c>
      <c r="B29" s="1" t="n">
        <v>45008.60878472222</v>
      </c>
      <c r="C29" s="1" t="n">
        <v>45939</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40684-2025</t>
        </is>
      </c>
      <c r="B30" s="1" t="n">
        <v>45896.86820601852</v>
      </c>
      <c r="C30" s="1" t="n">
        <v>45939</v>
      </c>
      <c r="D30" t="inlineStr">
        <is>
          <t>KALMAR LÄN</t>
        </is>
      </c>
      <c r="E30" t="inlineStr">
        <is>
          <t>VIMMERBY</t>
        </is>
      </c>
      <c r="G30" t="n">
        <v>4.4</v>
      </c>
      <c r="H30" t="n">
        <v>2</v>
      </c>
      <c r="I30" t="n">
        <v>0</v>
      </c>
      <c r="J30" t="n">
        <v>1</v>
      </c>
      <c r="K30" t="n">
        <v>0</v>
      </c>
      <c r="L30" t="n">
        <v>0</v>
      </c>
      <c r="M30" t="n">
        <v>0</v>
      </c>
      <c r="N30" t="n">
        <v>0</v>
      </c>
      <c r="O30" t="n">
        <v>1</v>
      </c>
      <c r="P30" t="n">
        <v>0</v>
      </c>
      <c r="Q30" t="n">
        <v>2</v>
      </c>
      <c r="R30" s="2" t="inlineStr">
        <is>
          <t>Talltita
Kungsfågel</t>
        </is>
      </c>
      <c r="S30">
        <f>HYPERLINK("https://klasma.github.io/Logging_0884/artfynd/A 40684-2025 artfynd.xlsx", "A 40684-2025")</f>
        <v/>
      </c>
      <c r="T30">
        <f>HYPERLINK("https://klasma.github.io/Logging_0884/kartor/A 40684-2025 karta.png", "A 40684-2025")</f>
        <v/>
      </c>
      <c r="V30">
        <f>HYPERLINK("https://klasma.github.io/Logging_0884/klagomål/A 40684-2025 FSC-klagomål.docx", "A 40684-2025")</f>
        <v/>
      </c>
      <c r="W30">
        <f>HYPERLINK("https://klasma.github.io/Logging_0884/klagomålsmail/A 40684-2025 FSC-klagomål mail.docx", "A 40684-2025")</f>
        <v/>
      </c>
      <c r="X30">
        <f>HYPERLINK("https://klasma.github.io/Logging_0884/tillsyn/A 40684-2025 tillsynsbegäran.docx", "A 40684-2025")</f>
        <v/>
      </c>
      <c r="Y30">
        <f>HYPERLINK("https://klasma.github.io/Logging_0884/tillsynsmail/A 40684-2025 tillsynsbegäran mail.docx", "A 40684-2025")</f>
        <v/>
      </c>
      <c r="Z30">
        <f>HYPERLINK("https://klasma.github.io/Logging_0884/fåglar/A 40684-2025 prioriterade fågelarter.docx", "A 40684-2025")</f>
        <v/>
      </c>
    </row>
    <row r="31" ht="15" customHeight="1">
      <c r="A31" t="inlineStr">
        <is>
          <t>A 32396-2021</t>
        </is>
      </c>
      <c r="B31" s="1" t="n">
        <v>44371</v>
      </c>
      <c r="C31" s="1" t="n">
        <v>45939</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40083-2023</t>
        </is>
      </c>
      <c r="B32" s="1" t="n">
        <v>45168</v>
      </c>
      <c r="C32" s="1" t="n">
        <v>45939</v>
      </c>
      <c r="D32" t="inlineStr">
        <is>
          <t>KALMAR LÄN</t>
        </is>
      </c>
      <c r="E32" t="inlineStr">
        <is>
          <t>VIMMERBY</t>
        </is>
      </c>
      <c r="G32" t="n">
        <v>2.2</v>
      </c>
      <c r="H32" t="n">
        <v>1</v>
      </c>
      <c r="I32" t="n">
        <v>0</v>
      </c>
      <c r="J32" t="n">
        <v>0</v>
      </c>
      <c r="K32" t="n">
        <v>0</v>
      </c>
      <c r="L32" t="n">
        <v>0</v>
      </c>
      <c r="M32" t="n">
        <v>0</v>
      </c>
      <c r="N32" t="n">
        <v>0</v>
      </c>
      <c r="O32" t="n">
        <v>0</v>
      </c>
      <c r="P32" t="n">
        <v>0</v>
      </c>
      <c r="Q32" t="n">
        <v>1</v>
      </c>
      <c r="R32" s="2" t="inlineStr">
        <is>
          <t>Revlummer</t>
        </is>
      </c>
      <c r="S32">
        <f>HYPERLINK("https://klasma.github.io/Logging_0884/artfynd/A 40083-2023 artfynd.xlsx", "A 40083-2023")</f>
        <v/>
      </c>
      <c r="T32">
        <f>HYPERLINK("https://klasma.github.io/Logging_0884/kartor/A 40083-2023 karta.png", "A 40083-2023")</f>
        <v/>
      </c>
      <c r="V32">
        <f>HYPERLINK("https://klasma.github.io/Logging_0884/klagomål/A 40083-2023 FSC-klagomål.docx", "A 40083-2023")</f>
        <v/>
      </c>
      <c r="W32">
        <f>HYPERLINK("https://klasma.github.io/Logging_0884/klagomålsmail/A 40083-2023 FSC-klagomål mail.docx", "A 40083-2023")</f>
        <v/>
      </c>
      <c r="X32">
        <f>HYPERLINK("https://klasma.github.io/Logging_0884/tillsyn/A 40083-2023 tillsynsbegäran.docx", "A 40083-2023")</f>
        <v/>
      </c>
      <c r="Y32">
        <f>HYPERLINK("https://klasma.github.io/Logging_0884/tillsynsmail/A 40083-2023 tillsynsbegäran mail.docx", "A 40083-2023")</f>
        <v/>
      </c>
    </row>
    <row r="33" ht="15" customHeight="1">
      <c r="A33" t="inlineStr">
        <is>
          <t>A 40084-2023</t>
        </is>
      </c>
      <c r="B33" s="1" t="n">
        <v>45168</v>
      </c>
      <c r="C33" s="1" t="n">
        <v>45939</v>
      </c>
      <c r="D33" t="inlineStr">
        <is>
          <t>KALMAR LÄN</t>
        </is>
      </c>
      <c r="E33" t="inlineStr">
        <is>
          <t>VIMMERBY</t>
        </is>
      </c>
      <c r="G33" t="n">
        <v>1.3</v>
      </c>
      <c r="H33" t="n">
        <v>1</v>
      </c>
      <c r="I33" t="n">
        <v>0</v>
      </c>
      <c r="J33" t="n">
        <v>1</v>
      </c>
      <c r="K33" t="n">
        <v>0</v>
      </c>
      <c r="L33" t="n">
        <v>0</v>
      </c>
      <c r="M33" t="n">
        <v>0</v>
      </c>
      <c r="N33" t="n">
        <v>0</v>
      </c>
      <c r="O33" t="n">
        <v>1</v>
      </c>
      <c r="P33" t="n">
        <v>0</v>
      </c>
      <c r="Q33" t="n">
        <v>1</v>
      </c>
      <c r="R33" s="2" t="inlineStr">
        <is>
          <t>Entita</t>
        </is>
      </c>
      <c r="S33">
        <f>HYPERLINK("https://klasma.github.io/Logging_0884/artfynd/A 40084-2023 artfynd.xlsx", "A 40084-2023")</f>
        <v/>
      </c>
      <c r="T33">
        <f>HYPERLINK("https://klasma.github.io/Logging_0884/kartor/A 40084-2023 karta.png", "A 40084-2023")</f>
        <v/>
      </c>
      <c r="V33">
        <f>HYPERLINK("https://klasma.github.io/Logging_0884/klagomål/A 40084-2023 FSC-klagomål.docx", "A 40084-2023")</f>
        <v/>
      </c>
      <c r="W33">
        <f>HYPERLINK("https://klasma.github.io/Logging_0884/klagomålsmail/A 40084-2023 FSC-klagomål mail.docx", "A 40084-2023")</f>
        <v/>
      </c>
      <c r="X33">
        <f>HYPERLINK("https://klasma.github.io/Logging_0884/tillsyn/A 40084-2023 tillsynsbegäran.docx", "A 40084-2023")</f>
        <v/>
      </c>
      <c r="Y33">
        <f>HYPERLINK("https://klasma.github.io/Logging_0884/tillsynsmail/A 40084-2023 tillsynsbegäran mail.docx", "A 40084-2023")</f>
        <v/>
      </c>
      <c r="Z33">
        <f>HYPERLINK("https://klasma.github.io/Logging_0884/fåglar/A 40084-2023 prioriterade fågelarter.docx", "A 40084-2023")</f>
        <v/>
      </c>
    </row>
    <row r="34" ht="15" customHeight="1">
      <c r="A34" t="inlineStr">
        <is>
          <t>A 37930-2021</t>
        </is>
      </c>
      <c r="B34" s="1" t="n">
        <v>44403</v>
      </c>
      <c r="C34" s="1" t="n">
        <v>45939</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38602-2025</t>
        </is>
      </c>
      <c r="B35" s="1" t="n">
        <v>45884.50331018519</v>
      </c>
      <c r="C35" s="1" t="n">
        <v>45939</v>
      </c>
      <c r="D35" t="inlineStr">
        <is>
          <t>KALMAR LÄN</t>
        </is>
      </c>
      <c r="E35" t="inlineStr">
        <is>
          <t>VIMMERBY</t>
        </is>
      </c>
      <c r="F35" t="inlineStr">
        <is>
          <t>Sveaskog</t>
        </is>
      </c>
      <c r="G35" t="n">
        <v>4.9</v>
      </c>
      <c r="H35" t="n">
        <v>1</v>
      </c>
      <c r="I35" t="n">
        <v>0</v>
      </c>
      <c r="J35" t="n">
        <v>0</v>
      </c>
      <c r="K35" t="n">
        <v>1</v>
      </c>
      <c r="L35" t="n">
        <v>0</v>
      </c>
      <c r="M35" t="n">
        <v>0</v>
      </c>
      <c r="N35" t="n">
        <v>0</v>
      </c>
      <c r="O35" t="n">
        <v>1</v>
      </c>
      <c r="P35" t="n">
        <v>1</v>
      </c>
      <c r="Q35" t="n">
        <v>1</v>
      </c>
      <c r="R35" s="2" t="inlineStr">
        <is>
          <t>Knärot</t>
        </is>
      </c>
      <c r="S35">
        <f>HYPERLINK("https://klasma.github.io/Logging_0884/artfynd/A 38602-2025 artfynd.xlsx", "A 38602-2025")</f>
        <v/>
      </c>
      <c r="T35">
        <f>HYPERLINK("https://klasma.github.io/Logging_0884/kartor/A 38602-2025 karta.png", "A 38602-2025")</f>
        <v/>
      </c>
      <c r="U35">
        <f>HYPERLINK("https://klasma.github.io/Logging_0884/knärot/A 38602-2025 karta knärot.png", "A 38602-2025")</f>
        <v/>
      </c>
      <c r="V35">
        <f>HYPERLINK("https://klasma.github.io/Logging_0884/klagomål/A 38602-2025 FSC-klagomål.docx", "A 38602-2025")</f>
        <v/>
      </c>
      <c r="W35">
        <f>HYPERLINK("https://klasma.github.io/Logging_0884/klagomålsmail/A 38602-2025 FSC-klagomål mail.docx", "A 38602-2025")</f>
        <v/>
      </c>
      <c r="X35">
        <f>HYPERLINK("https://klasma.github.io/Logging_0884/tillsyn/A 38602-2025 tillsynsbegäran.docx", "A 38602-2025")</f>
        <v/>
      </c>
      <c r="Y35">
        <f>HYPERLINK("https://klasma.github.io/Logging_0884/tillsynsmail/A 38602-2025 tillsynsbegäran mail.docx", "A 38602-2025")</f>
        <v/>
      </c>
    </row>
    <row r="36" ht="15" customHeight="1">
      <c r="A36" t="inlineStr">
        <is>
          <t>A 52301-2023</t>
        </is>
      </c>
      <c r="B36" s="1" t="n">
        <v>45224</v>
      </c>
      <c r="C36" s="1" t="n">
        <v>45939</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46824-2025</t>
        </is>
      </c>
      <c r="B37" s="1" t="n">
        <v>45926.90006944445</v>
      </c>
      <c r="C37" s="1" t="n">
        <v>45939</v>
      </c>
      <c r="D37" t="inlineStr">
        <is>
          <t>KALMAR LÄN</t>
        </is>
      </c>
      <c r="E37" t="inlineStr">
        <is>
          <t>VIMMERBY</t>
        </is>
      </c>
      <c r="G37" t="n">
        <v>2.8</v>
      </c>
      <c r="H37" t="n">
        <v>1</v>
      </c>
      <c r="I37" t="n">
        <v>0</v>
      </c>
      <c r="J37" t="n">
        <v>0</v>
      </c>
      <c r="K37" t="n">
        <v>1</v>
      </c>
      <c r="L37" t="n">
        <v>0</v>
      </c>
      <c r="M37" t="n">
        <v>0</v>
      </c>
      <c r="N37" t="n">
        <v>0</v>
      </c>
      <c r="O37" t="n">
        <v>1</v>
      </c>
      <c r="P37" t="n">
        <v>1</v>
      </c>
      <c r="Q37" t="n">
        <v>1</v>
      </c>
      <c r="R37" s="2" t="inlineStr">
        <is>
          <t>Knärot</t>
        </is>
      </c>
      <c r="S37">
        <f>HYPERLINK("https://klasma.github.io/Logging_0884/artfynd/A 46824-2025 artfynd.xlsx", "A 46824-2025")</f>
        <v/>
      </c>
      <c r="T37">
        <f>HYPERLINK("https://klasma.github.io/Logging_0884/kartor/A 46824-2025 karta.png", "A 46824-2025")</f>
        <v/>
      </c>
      <c r="U37">
        <f>HYPERLINK("https://klasma.github.io/Logging_0884/knärot/A 46824-2025 karta knärot.png", "A 46824-2025")</f>
        <v/>
      </c>
      <c r="V37">
        <f>HYPERLINK("https://klasma.github.io/Logging_0884/klagomål/A 46824-2025 FSC-klagomål.docx", "A 46824-2025")</f>
        <v/>
      </c>
      <c r="W37">
        <f>HYPERLINK("https://klasma.github.io/Logging_0884/klagomålsmail/A 46824-2025 FSC-klagomål mail.docx", "A 46824-2025")</f>
        <v/>
      </c>
      <c r="X37">
        <f>HYPERLINK("https://klasma.github.io/Logging_0884/tillsyn/A 46824-2025 tillsynsbegäran.docx", "A 46824-2025")</f>
        <v/>
      </c>
      <c r="Y37">
        <f>HYPERLINK("https://klasma.github.io/Logging_0884/tillsynsmail/A 46824-2025 tillsynsbegäran mail.docx", "A 46824-2025")</f>
        <v/>
      </c>
    </row>
    <row r="38" ht="15" customHeight="1">
      <c r="A38" t="inlineStr">
        <is>
          <t>A 23602-2023</t>
        </is>
      </c>
      <c r="B38" s="1" t="n">
        <v>45077</v>
      </c>
      <c r="C38" s="1" t="n">
        <v>45939</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33436-2021</t>
        </is>
      </c>
      <c r="B39" s="1" t="n">
        <v>44377.61104166666</v>
      </c>
      <c r="C39" s="1" t="n">
        <v>45939</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6841-2021</t>
        </is>
      </c>
      <c r="B40" s="1" t="n">
        <v>44236</v>
      </c>
      <c r="C40" s="1" t="n">
        <v>45939</v>
      </c>
      <c r="D40" t="inlineStr">
        <is>
          <t>KALMAR LÄN</t>
        </is>
      </c>
      <c r="E40" t="inlineStr">
        <is>
          <t>VIMMERBY</t>
        </is>
      </c>
      <c r="G40" t="n">
        <v>25</v>
      </c>
      <c r="H40" t="n">
        <v>0</v>
      </c>
      <c r="I40" t="n">
        <v>0</v>
      </c>
      <c r="J40" t="n">
        <v>1</v>
      </c>
      <c r="K40" t="n">
        <v>0</v>
      </c>
      <c r="L40" t="n">
        <v>0</v>
      </c>
      <c r="M40" t="n">
        <v>0</v>
      </c>
      <c r="N40" t="n">
        <v>0</v>
      </c>
      <c r="O40" t="n">
        <v>1</v>
      </c>
      <c r="P40" t="n">
        <v>0</v>
      </c>
      <c r="Q40" t="n">
        <v>1</v>
      </c>
      <c r="R40" s="2" t="inlineStr">
        <is>
          <t>Bredbrämad bastardsvärmare</t>
        </is>
      </c>
      <c r="S40">
        <f>HYPERLINK("https://klasma.github.io/Logging_0884/artfynd/A 6841-2021 artfynd.xlsx", "A 6841-2021")</f>
        <v/>
      </c>
      <c r="T40">
        <f>HYPERLINK("https://klasma.github.io/Logging_0884/kartor/A 6841-2021 karta.png", "A 6841-2021")</f>
        <v/>
      </c>
      <c r="V40">
        <f>HYPERLINK("https://klasma.github.io/Logging_0884/klagomål/A 6841-2021 FSC-klagomål.docx", "A 6841-2021")</f>
        <v/>
      </c>
      <c r="W40">
        <f>HYPERLINK("https://klasma.github.io/Logging_0884/klagomålsmail/A 6841-2021 FSC-klagomål mail.docx", "A 6841-2021")</f>
        <v/>
      </c>
      <c r="X40">
        <f>HYPERLINK("https://klasma.github.io/Logging_0884/tillsyn/A 6841-2021 tillsynsbegäran.docx", "A 6841-2021")</f>
        <v/>
      </c>
      <c r="Y40">
        <f>HYPERLINK("https://klasma.github.io/Logging_0884/tillsynsmail/A 6841-2021 tillsynsbegäran mail.docx", "A 6841-2021")</f>
        <v/>
      </c>
    </row>
    <row r="41" ht="15" customHeight="1">
      <c r="A41" t="inlineStr">
        <is>
          <t>A 61860-2024</t>
        </is>
      </c>
      <c r="B41" s="1" t="n">
        <v>45649</v>
      </c>
      <c r="C41" s="1" t="n">
        <v>45939</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15122-2024</t>
        </is>
      </c>
      <c r="B42" s="1" t="n">
        <v>45399.71412037037</v>
      </c>
      <c r="C42" s="1" t="n">
        <v>45939</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45939</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45939</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1201-2025</t>
        </is>
      </c>
      <c r="B45" s="1" t="n">
        <v>45667</v>
      </c>
      <c r="C45" s="1" t="n">
        <v>45939</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44515-2024</t>
        </is>
      </c>
      <c r="B46" s="1" t="n">
        <v>45574.42767361111</v>
      </c>
      <c r="C46" s="1" t="n">
        <v>45939</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29183-2025</t>
        </is>
      </c>
      <c r="B47" s="1" t="n">
        <v>45821</v>
      </c>
      <c r="C47" s="1" t="n">
        <v>45939</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9067-2025</t>
        </is>
      </c>
      <c r="B48" s="1" t="n">
        <v>45713</v>
      </c>
      <c r="C48" s="1" t="n">
        <v>45939</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55053-2020</t>
        </is>
      </c>
      <c r="B49" s="1" t="n">
        <v>44130</v>
      </c>
      <c r="C49" s="1" t="n">
        <v>45939</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45939</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45939</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45939</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45939</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45939</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45939</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45939</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45939</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45939</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45939</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45939</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45939</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45939</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45939</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45939</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45939</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45939</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45939</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45939</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45939</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45939</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45939</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45939</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45939</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45939</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45939</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45939</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45939</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45939</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45939</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45939</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45939</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45939</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45939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45939</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45939</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45939</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45939</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45939</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45939</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45939</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45939</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45939</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53711-2020</t>
        </is>
      </c>
      <c r="B101" s="1" t="n">
        <v>44124.59795138889</v>
      </c>
      <c r="C101" s="1" t="n">
        <v>45939</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45939</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45939</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45939</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45939</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45939</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45939</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45939</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45939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45939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45939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45939</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45939</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45939</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45939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45939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13492-2021</t>
        </is>
      </c>
      <c r="B117" s="1" t="n">
        <v>44273</v>
      </c>
      <c r="C117" s="1" t="n">
        <v>45939</v>
      </c>
      <c r="D117" t="inlineStr">
        <is>
          <t>KALMAR LÄN</t>
        </is>
      </c>
      <c r="E117" t="inlineStr">
        <is>
          <t>VIMMERBY</t>
        </is>
      </c>
      <c r="G117" t="n">
        <v>3.1</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45939</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45939</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45939</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45939</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45939</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45939</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45939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45939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45939</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45939</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45939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45939</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45939</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45939</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45939</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31053-2022</t>
        </is>
      </c>
      <c r="B133" s="1" t="n">
        <v>44769.45422453704</v>
      </c>
      <c r="C133" s="1" t="n">
        <v>45939</v>
      </c>
      <c r="D133" t="inlineStr">
        <is>
          <t>KALMAR LÄN</t>
        </is>
      </c>
      <c r="E133" t="inlineStr">
        <is>
          <t>VIMMERBY</t>
        </is>
      </c>
      <c r="G133" t="n">
        <v>1.9</v>
      </c>
      <c r="H133" t="n">
        <v>0</v>
      </c>
      <c r="I133" t="n">
        <v>0</v>
      </c>
      <c r="J133" t="n">
        <v>0</v>
      </c>
      <c r="K133" t="n">
        <v>0</v>
      </c>
      <c r="L133" t="n">
        <v>0</v>
      </c>
      <c r="M133" t="n">
        <v>0</v>
      </c>
      <c r="N133" t="n">
        <v>0</v>
      </c>
      <c r="O133" t="n">
        <v>0</v>
      </c>
      <c r="P133" t="n">
        <v>0</v>
      </c>
      <c r="Q133" t="n">
        <v>0</v>
      </c>
      <c r="R133" s="2" t="inlineStr"/>
    </row>
    <row r="134" ht="15" customHeight="1">
      <c r="A134" t="inlineStr">
        <is>
          <t>A 24738-2021</t>
        </is>
      </c>
      <c r="B134" s="1" t="n">
        <v>44340.58002314815</v>
      </c>
      <c r="C134" s="1" t="n">
        <v>45939</v>
      </c>
      <c r="D134" t="inlineStr">
        <is>
          <t>KALMAR LÄN</t>
        </is>
      </c>
      <c r="E134" t="inlineStr">
        <is>
          <t>VIMMERBY</t>
        </is>
      </c>
      <c r="G134" t="n">
        <v>3.5</v>
      </c>
      <c r="H134" t="n">
        <v>0</v>
      </c>
      <c r="I134" t="n">
        <v>0</v>
      </c>
      <c r="J134" t="n">
        <v>0</v>
      </c>
      <c r="K134" t="n">
        <v>0</v>
      </c>
      <c r="L134" t="n">
        <v>0</v>
      </c>
      <c r="M134" t="n">
        <v>0</v>
      </c>
      <c r="N134" t="n">
        <v>0</v>
      </c>
      <c r="O134" t="n">
        <v>0</v>
      </c>
      <c r="P134" t="n">
        <v>0</v>
      </c>
      <c r="Q134" t="n">
        <v>0</v>
      </c>
      <c r="R134" s="2" t="inlineStr"/>
    </row>
    <row r="135" ht="15" customHeight="1">
      <c r="A135" t="inlineStr">
        <is>
          <t>A 8454-2022</t>
        </is>
      </c>
      <c r="B135" s="1" t="n">
        <v>44612.86762731482</v>
      </c>
      <c r="C135" s="1" t="n">
        <v>45939</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65887-2021</t>
        </is>
      </c>
      <c r="B136" s="1" t="n">
        <v>44517</v>
      </c>
      <c r="C136" s="1" t="n">
        <v>45939</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39959-2022</t>
        </is>
      </c>
      <c r="B137" s="1" t="n">
        <v>44819</v>
      </c>
      <c r="C137" s="1" t="n">
        <v>45939</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48377-2021</t>
        </is>
      </c>
      <c r="B138" s="1" t="n">
        <v>44451.8375</v>
      </c>
      <c r="C138" s="1" t="n">
        <v>45939</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65564-2020</t>
        </is>
      </c>
      <c r="B139" s="1" t="n">
        <v>44172</v>
      </c>
      <c r="C139" s="1" t="n">
        <v>45939</v>
      </c>
      <c r="D139" t="inlineStr">
        <is>
          <t>KALMAR LÄN</t>
        </is>
      </c>
      <c r="E139" t="inlineStr">
        <is>
          <t>VIMMERBY</t>
        </is>
      </c>
      <c r="G139" t="n">
        <v>4.1</v>
      </c>
      <c r="H139" t="n">
        <v>0</v>
      </c>
      <c r="I139" t="n">
        <v>0</v>
      </c>
      <c r="J139" t="n">
        <v>0</v>
      </c>
      <c r="K139" t="n">
        <v>0</v>
      </c>
      <c r="L139" t="n">
        <v>0</v>
      </c>
      <c r="M139" t="n">
        <v>0</v>
      </c>
      <c r="N139" t="n">
        <v>0</v>
      </c>
      <c r="O139" t="n">
        <v>0</v>
      </c>
      <c r="P139" t="n">
        <v>0</v>
      </c>
      <c r="Q139" t="n">
        <v>0</v>
      </c>
      <c r="R139" s="2" t="inlineStr"/>
    </row>
    <row r="140" ht="15" customHeight="1">
      <c r="A140" t="inlineStr">
        <is>
          <t>A 40472-2022</t>
        </is>
      </c>
      <c r="B140" s="1" t="n">
        <v>44823</v>
      </c>
      <c r="C140" s="1" t="n">
        <v>45939</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12661-2021</t>
        </is>
      </c>
      <c r="B141" s="1" t="n">
        <v>44270</v>
      </c>
      <c r="C141" s="1" t="n">
        <v>45939</v>
      </c>
      <c r="D141" t="inlineStr">
        <is>
          <t>KALMAR LÄN</t>
        </is>
      </c>
      <c r="E141" t="inlineStr">
        <is>
          <t>VIMMERBY</t>
        </is>
      </c>
      <c r="G141" t="n">
        <v>1.8</v>
      </c>
      <c r="H141" t="n">
        <v>0</v>
      </c>
      <c r="I141" t="n">
        <v>0</v>
      </c>
      <c r="J141" t="n">
        <v>0</v>
      </c>
      <c r="K141" t="n">
        <v>0</v>
      </c>
      <c r="L141" t="n">
        <v>0</v>
      </c>
      <c r="M141" t="n">
        <v>0</v>
      </c>
      <c r="N141" t="n">
        <v>0</v>
      </c>
      <c r="O141" t="n">
        <v>0</v>
      </c>
      <c r="P141" t="n">
        <v>0</v>
      </c>
      <c r="Q141" t="n">
        <v>0</v>
      </c>
      <c r="R141" s="2" t="inlineStr"/>
    </row>
    <row r="142" ht="15" customHeight="1">
      <c r="A142" t="inlineStr">
        <is>
          <t>A 24999-2021</t>
        </is>
      </c>
      <c r="B142" s="1" t="n">
        <v>44341</v>
      </c>
      <c r="C142" s="1" t="n">
        <v>45939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35316-2021</t>
        </is>
      </c>
      <c r="B143" s="1" t="n">
        <v>44384</v>
      </c>
      <c r="C143" s="1" t="n">
        <v>45939</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53145-2022</t>
        </is>
      </c>
      <c r="B144" s="1" t="n">
        <v>44876.48346064815</v>
      </c>
      <c r="C144" s="1" t="n">
        <v>45939</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25738-2022</t>
        </is>
      </c>
      <c r="B145" s="1" t="n">
        <v>44733.43092592592</v>
      </c>
      <c r="C145" s="1" t="n">
        <v>45939</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33831-2022</t>
        </is>
      </c>
      <c r="B146" s="1" t="n">
        <v>44790.48503472222</v>
      </c>
      <c r="C146" s="1" t="n">
        <v>45939</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7917-2022</t>
        </is>
      </c>
      <c r="B147" s="1" t="n">
        <v>44608</v>
      </c>
      <c r="C147" s="1" t="n">
        <v>45939</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45939</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47208-2021</t>
        </is>
      </c>
      <c r="B149" s="1" t="n">
        <v>44447.34237268518</v>
      </c>
      <c r="C149" s="1" t="n">
        <v>45939</v>
      </c>
      <c r="D149" t="inlineStr">
        <is>
          <t>KALMAR LÄN</t>
        </is>
      </c>
      <c r="E149" t="inlineStr">
        <is>
          <t>VIMMERBY</t>
        </is>
      </c>
      <c r="G149" t="n">
        <v>1.4</v>
      </c>
      <c r="H149" t="n">
        <v>0</v>
      </c>
      <c r="I149" t="n">
        <v>0</v>
      </c>
      <c r="J149" t="n">
        <v>0</v>
      </c>
      <c r="K149" t="n">
        <v>0</v>
      </c>
      <c r="L149" t="n">
        <v>0</v>
      </c>
      <c r="M149" t="n">
        <v>0</v>
      </c>
      <c r="N149" t="n">
        <v>0</v>
      </c>
      <c r="O149" t="n">
        <v>0</v>
      </c>
      <c r="P149" t="n">
        <v>0</v>
      </c>
      <c r="Q149" t="n">
        <v>0</v>
      </c>
      <c r="R149" s="2" t="inlineStr"/>
    </row>
    <row r="150" ht="15" customHeight="1">
      <c r="A150" t="inlineStr">
        <is>
          <t>A 16705-2021</t>
        </is>
      </c>
      <c r="B150" s="1" t="n">
        <v>44294</v>
      </c>
      <c r="C150" s="1" t="n">
        <v>45939</v>
      </c>
      <c r="D150" t="inlineStr">
        <is>
          <t>KALMAR LÄN</t>
        </is>
      </c>
      <c r="E150" t="inlineStr">
        <is>
          <t>VIMMERBY</t>
        </is>
      </c>
      <c r="G150" t="n">
        <v>2.6</v>
      </c>
      <c r="H150" t="n">
        <v>0</v>
      </c>
      <c r="I150" t="n">
        <v>0</v>
      </c>
      <c r="J150" t="n">
        <v>0</v>
      </c>
      <c r="K150" t="n">
        <v>0</v>
      </c>
      <c r="L150" t="n">
        <v>0</v>
      </c>
      <c r="M150" t="n">
        <v>0</v>
      </c>
      <c r="N150" t="n">
        <v>0</v>
      </c>
      <c r="O150" t="n">
        <v>0</v>
      </c>
      <c r="P150" t="n">
        <v>0</v>
      </c>
      <c r="Q150" t="n">
        <v>0</v>
      </c>
      <c r="R150" s="2" t="inlineStr"/>
    </row>
    <row r="151" ht="15" customHeight="1">
      <c r="A151" t="inlineStr">
        <is>
          <t>A 51977-2020</t>
        </is>
      </c>
      <c r="B151" s="1" t="n">
        <v>44116</v>
      </c>
      <c r="C151" s="1" t="n">
        <v>45939</v>
      </c>
      <c r="D151" t="inlineStr">
        <is>
          <t>KALMAR LÄN</t>
        </is>
      </c>
      <c r="E151" t="inlineStr">
        <is>
          <t>VIMMERBY</t>
        </is>
      </c>
      <c r="G151" t="n">
        <v>1.5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45939</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8194-2022</t>
        </is>
      </c>
      <c r="B153" s="1" t="n">
        <v>44609</v>
      </c>
      <c r="C153" s="1" t="n">
        <v>45939</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15191-2021</t>
        </is>
      </c>
      <c r="B154" s="1" t="n">
        <v>44284.42348379629</v>
      </c>
      <c r="C154" s="1" t="n">
        <v>45939</v>
      </c>
      <c r="D154" t="inlineStr">
        <is>
          <t>KALMAR LÄN</t>
        </is>
      </c>
      <c r="E154" t="inlineStr">
        <is>
          <t>VIMMERBY</t>
        </is>
      </c>
      <c r="G154" t="n">
        <v>1.3</v>
      </c>
      <c r="H154" t="n">
        <v>0</v>
      </c>
      <c r="I154" t="n">
        <v>0</v>
      </c>
      <c r="J154" t="n">
        <v>0</v>
      </c>
      <c r="K154" t="n">
        <v>0</v>
      </c>
      <c r="L154" t="n">
        <v>0</v>
      </c>
      <c r="M154" t="n">
        <v>0</v>
      </c>
      <c r="N154" t="n">
        <v>0</v>
      </c>
      <c r="O154" t="n">
        <v>0</v>
      </c>
      <c r="P154" t="n">
        <v>0</v>
      </c>
      <c r="Q154" t="n">
        <v>0</v>
      </c>
      <c r="R154" s="2" t="inlineStr"/>
    </row>
    <row r="155" ht="15" customHeight="1">
      <c r="A155" t="inlineStr">
        <is>
          <t>A 40971-2021</t>
        </is>
      </c>
      <c r="B155" s="1" t="n">
        <v>44421</v>
      </c>
      <c r="C155" s="1" t="n">
        <v>45939</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68744-2020</t>
        </is>
      </c>
      <c r="B156" s="1" t="n">
        <v>44186</v>
      </c>
      <c r="C156" s="1" t="n">
        <v>45939</v>
      </c>
      <c r="D156" t="inlineStr">
        <is>
          <t>KALMAR LÄN</t>
        </is>
      </c>
      <c r="E156" t="inlineStr">
        <is>
          <t>VIMMERBY</t>
        </is>
      </c>
      <c r="G156" t="n">
        <v>2.5</v>
      </c>
      <c r="H156" t="n">
        <v>0</v>
      </c>
      <c r="I156" t="n">
        <v>0</v>
      </c>
      <c r="J156" t="n">
        <v>0</v>
      </c>
      <c r="K156" t="n">
        <v>0</v>
      </c>
      <c r="L156" t="n">
        <v>0</v>
      </c>
      <c r="M156" t="n">
        <v>0</v>
      </c>
      <c r="N156" t="n">
        <v>0</v>
      </c>
      <c r="O156" t="n">
        <v>0</v>
      </c>
      <c r="P156" t="n">
        <v>0</v>
      </c>
      <c r="Q156" t="n">
        <v>0</v>
      </c>
      <c r="R156" s="2" t="inlineStr"/>
    </row>
    <row r="157" ht="15" customHeight="1">
      <c r="A157" t="inlineStr">
        <is>
          <t>A 56389-2021</t>
        </is>
      </c>
      <c r="B157" s="1" t="n">
        <v>44480</v>
      </c>
      <c r="C157" s="1" t="n">
        <v>45939</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13457-2021</t>
        </is>
      </c>
      <c r="B158" s="1" t="n">
        <v>44273</v>
      </c>
      <c r="C158" s="1" t="n">
        <v>45939</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14278-2021</t>
        </is>
      </c>
      <c r="B159" s="1" t="n">
        <v>44278.63479166666</v>
      </c>
      <c r="C159" s="1" t="n">
        <v>45939</v>
      </c>
      <c r="D159" t="inlineStr">
        <is>
          <t>KALMAR LÄN</t>
        </is>
      </c>
      <c r="E159" t="inlineStr">
        <is>
          <t>VIMMERBY</t>
        </is>
      </c>
      <c r="F159" t="inlineStr">
        <is>
          <t>Övriga statliga verk och myndigheter</t>
        </is>
      </c>
      <c r="G159" t="n">
        <v>0.8</v>
      </c>
      <c r="H159" t="n">
        <v>0</v>
      </c>
      <c r="I159" t="n">
        <v>0</v>
      </c>
      <c r="J159" t="n">
        <v>0</v>
      </c>
      <c r="K159" t="n">
        <v>0</v>
      </c>
      <c r="L159" t="n">
        <v>0</v>
      </c>
      <c r="M159" t="n">
        <v>0</v>
      </c>
      <c r="N159" t="n">
        <v>0</v>
      </c>
      <c r="O159" t="n">
        <v>0</v>
      </c>
      <c r="P159" t="n">
        <v>0</v>
      </c>
      <c r="Q159" t="n">
        <v>0</v>
      </c>
      <c r="R159" s="2" t="inlineStr"/>
    </row>
    <row r="160" ht="15" customHeight="1">
      <c r="A160" t="inlineStr">
        <is>
          <t>A 618-2021</t>
        </is>
      </c>
      <c r="B160" s="1" t="n">
        <v>44203</v>
      </c>
      <c r="C160" s="1" t="n">
        <v>45939</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45939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67952-2021</t>
        </is>
      </c>
      <c r="B162" s="1" t="n">
        <v>44525.63913194444</v>
      </c>
      <c r="C162" s="1" t="n">
        <v>45939</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45939</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8453-2022</t>
        </is>
      </c>
      <c r="B164" s="1" t="n">
        <v>44612.86554398148</v>
      </c>
      <c r="C164" s="1" t="n">
        <v>45939</v>
      </c>
      <c r="D164" t="inlineStr">
        <is>
          <t>KALMAR LÄN</t>
        </is>
      </c>
      <c r="E164" t="inlineStr">
        <is>
          <t>VIMMERBY</t>
        </is>
      </c>
      <c r="G164" t="n">
        <v>1.7</v>
      </c>
      <c r="H164" t="n">
        <v>0</v>
      </c>
      <c r="I164" t="n">
        <v>0</v>
      </c>
      <c r="J164" t="n">
        <v>0</v>
      </c>
      <c r="K164" t="n">
        <v>0</v>
      </c>
      <c r="L164" t="n">
        <v>0</v>
      </c>
      <c r="M164" t="n">
        <v>0</v>
      </c>
      <c r="N164" t="n">
        <v>0</v>
      </c>
      <c r="O164" t="n">
        <v>0</v>
      </c>
      <c r="P164" t="n">
        <v>0</v>
      </c>
      <c r="Q164" t="n">
        <v>0</v>
      </c>
      <c r="R164" s="2" t="inlineStr"/>
    </row>
    <row r="165" ht="15" customHeight="1">
      <c r="A165" t="inlineStr">
        <is>
          <t>A 52433-2021</t>
        </is>
      </c>
      <c r="B165" s="1" t="n">
        <v>44466.34726851852</v>
      </c>
      <c r="C165" s="1" t="n">
        <v>45939</v>
      </c>
      <c r="D165" t="inlineStr">
        <is>
          <t>KALMAR LÄN</t>
        </is>
      </c>
      <c r="E165" t="inlineStr">
        <is>
          <t>VIMMERBY</t>
        </is>
      </c>
      <c r="G165" t="n">
        <v>3.5</v>
      </c>
      <c r="H165" t="n">
        <v>0</v>
      </c>
      <c r="I165" t="n">
        <v>0</v>
      </c>
      <c r="J165" t="n">
        <v>0</v>
      </c>
      <c r="K165" t="n">
        <v>0</v>
      </c>
      <c r="L165" t="n">
        <v>0</v>
      </c>
      <c r="M165" t="n">
        <v>0</v>
      </c>
      <c r="N165" t="n">
        <v>0</v>
      </c>
      <c r="O165" t="n">
        <v>0</v>
      </c>
      <c r="P165" t="n">
        <v>0</v>
      </c>
      <c r="Q165" t="n">
        <v>0</v>
      </c>
      <c r="R165" s="2" t="inlineStr"/>
    </row>
    <row r="166" ht="15" customHeight="1">
      <c r="A166" t="inlineStr">
        <is>
          <t>A 50621-2022</t>
        </is>
      </c>
      <c r="B166" s="1" t="n">
        <v>44866.81100694444</v>
      </c>
      <c r="C166" s="1" t="n">
        <v>45939</v>
      </c>
      <c r="D166" t="inlineStr">
        <is>
          <t>KALMAR LÄN</t>
        </is>
      </c>
      <c r="E166" t="inlineStr">
        <is>
          <t>VIMMERBY</t>
        </is>
      </c>
      <c r="F166" t="inlineStr">
        <is>
          <t>Övriga Aktiebolag</t>
        </is>
      </c>
      <c r="G166" t="n">
        <v>5.1</v>
      </c>
      <c r="H166" t="n">
        <v>0</v>
      </c>
      <c r="I166" t="n">
        <v>0</v>
      </c>
      <c r="J166" t="n">
        <v>0</v>
      </c>
      <c r="K166" t="n">
        <v>0</v>
      </c>
      <c r="L166" t="n">
        <v>0</v>
      </c>
      <c r="M166" t="n">
        <v>0</v>
      </c>
      <c r="N166" t="n">
        <v>0</v>
      </c>
      <c r="O166" t="n">
        <v>0</v>
      </c>
      <c r="P166" t="n">
        <v>0</v>
      </c>
      <c r="Q166" t="n">
        <v>0</v>
      </c>
      <c r="R166" s="2" t="inlineStr"/>
    </row>
    <row r="167" ht="15" customHeight="1">
      <c r="A167" t="inlineStr">
        <is>
          <t>A 14521-2021</t>
        </is>
      </c>
      <c r="B167" s="1" t="n">
        <v>44279.64934027778</v>
      </c>
      <c r="C167" s="1" t="n">
        <v>45939</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12662-2021</t>
        </is>
      </c>
      <c r="B168" s="1" t="n">
        <v>44270.49743055556</v>
      </c>
      <c r="C168" s="1" t="n">
        <v>45939</v>
      </c>
      <c r="D168" t="inlineStr">
        <is>
          <t>KALMAR LÄN</t>
        </is>
      </c>
      <c r="E168" t="inlineStr">
        <is>
          <t>VIMMERBY</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15533-2022</t>
        </is>
      </c>
      <c r="B169" s="1" t="n">
        <v>44662</v>
      </c>
      <c r="C169" s="1" t="n">
        <v>45939</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45939</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45939</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45939</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45939</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165-2022</t>
        </is>
      </c>
      <c r="B174" s="1" t="n">
        <v>44564</v>
      </c>
      <c r="C174" s="1" t="n">
        <v>45939</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45939</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23825-2022</t>
        </is>
      </c>
      <c r="B176" s="1" t="n">
        <v>44722.48768518519</v>
      </c>
      <c r="C176" s="1" t="n">
        <v>45939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45939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39042-2022</t>
        </is>
      </c>
      <c r="B178" s="1" t="n">
        <v>44817</v>
      </c>
      <c r="C178" s="1" t="n">
        <v>45939</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16288-2021</t>
        </is>
      </c>
      <c r="B179" s="1" t="n">
        <v>44292</v>
      </c>
      <c r="C179" s="1" t="n">
        <v>45939</v>
      </c>
      <c r="D179" t="inlineStr">
        <is>
          <t>KALMAR LÄN</t>
        </is>
      </c>
      <c r="E179" t="inlineStr">
        <is>
          <t>VIMMERBY</t>
        </is>
      </c>
      <c r="F179" t="inlineStr">
        <is>
          <t>Övriga Aktiebolag</t>
        </is>
      </c>
      <c r="G179" t="n">
        <v>27.6</v>
      </c>
      <c r="H179" t="n">
        <v>0</v>
      </c>
      <c r="I179" t="n">
        <v>0</v>
      </c>
      <c r="J179" t="n">
        <v>0</v>
      </c>
      <c r="K179" t="n">
        <v>0</v>
      </c>
      <c r="L179" t="n">
        <v>0</v>
      </c>
      <c r="M179" t="n">
        <v>0</v>
      </c>
      <c r="N179" t="n">
        <v>0</v>
      </c>
      <c r="O179" t="n">
        <v>0</v>
      </c>
      <c r="P179" t="n">
        <v>0</v>
      </c>
      <c r="Q179" t="n">
        <v>0</v>
      </c>
      <c r="R179" s="2" t="inlineStr"/>
    </row>
    <row r="180" ht="15" customHeight="1">
      <c r="A180" t="inlineStr">
        <is>
          <t>A 29441-2024</t>
        </is>
      </c>
      <c r="B180" s="1" t="n">
        <v>45483.82834490741</v>
      </c>
      <c r="C180" s="1" t="n">
        <v>45939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25728-2023</t>
        </is>
      </c>
      <c r="B181" s="1" t="n">
        <v>45090.38012731481</v>
      </c>
      <c r="C181" s="1" t="n">
        <v>45939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46964-2022</t>
        </is>
      </c>
      <c r="B182" s="1" t="n">
        <v>44851.95016203704</v>
      </c>
      <c r="C182" s="1" t="n">
        <v>45939</v>
      </c>
      <c r="D182" t="inlineStr">
        <is>
          <t>KALMAR LÄN</t>
        </is>
      </c>
      <c r="E182" t="inlineStr">
        <is>
          <t>VIMMERBY</t>
        </is>
      </c>
      <c r="G182" t="n">
        <v>0.2</v>
      </c>
      <c r="H182" t="n">
        <v>0</v>
      </c>
      <c r="I182" t="n">
        <v>0</v>
      </c>
      <c r="J182" t="n">
        <v>0</v>
      </c>
      <c r="K182" t="n">
        <v>0</v>
      </c>
      <c r="L182" t="n">
        <v>0</v>
      </c>
      <c r="M182" t="n">
        <v>0</v>
      </c>
      <c r="N182" t="n">
        <v>0</v>
      </c>
      <c r="O182" t="n">
        <v>0</v>
      </c>
      <c r="P182" t="n">
        <v>0</v>
      </c>
      <c r="Q182" t="n">
        <v>0</v>
      </c>
      <c r="R182" s="2" t="inlineStr"/>
    </row>
    <row r="183" ht="15" customHeight="1">
      <c r="A183" t="inlineStr">
        <is>
          <t>A 34040-2021</t>
        </is>
      </c>
      <c r="B183" s="1" t="n">
        <v>44379</v>
      </c>
      <c r="C183" s="1" t="n">
        <v>45939</v>
      </c>
      <c r="D183" t="inlineStr">
        <is>
          <t>KALMAR LÄN</t>
        </is>
      </c>
      <c r="E183" t="inlineStr">
        <is>
          <t>VIMMERBY</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15200-2021</t>
        </is>
      </c>
      <c r="B184" s="1" t="n">
        <v>44284.44574074074</v>
      </c>
      <c r="C184" s="1" t="n">
        <v>45939</v>
      </c>
      <c r="D184" t="inlineStr">
        <is>
          <t>KALMAR LÄN</t>
        </is>
      </c>
      <c r="E184" t="inlineStr">
        <is>
          <t>VIMMERBY</t>
        </is>
      </c>
      <c r="G184" t="n">
        <v>1.2</v>
      </c>
      <c r="H184" t="n">
        <v>0</v>
      </c>
      <c r="I184" t="n">
        <v>0</v>
      </c>
      <c r="J184" t="n">
        <v>0</v>
      </c>
      <c r="K184" t="n">
        <v>0</v>
      </c>
      <c r="L184" t="n">
        <v>0</v>
      </c>
      <c r="M184" t="n">
        <v>0</v>
      </c>
      <c r="N184" t="n">
        <v>0</v>
      </c>
      <c r="O184" t="n">
        <v>0</v>
      </c>
      <c r="P184" t="n">
        <v>0</v>
      </c>
      <c r="Q184" t="n">
        <v>0</v>
      </c>
      <c r="R184" s="2" t="inlineStr"/>
    </row>
    <row r="185" ht="15" customHeight="1">
      <c r="A185" t="inlineStr">
        <is>
          <t>A 13180-2022</t>
        </is>
      </c>
      <c r="B185" s="1" t="n">
        <v>44644</v>
      </c>
      <c r="C185" s="1" t="n">
        <v>45939</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12107-2022</t>
        </is>
      </c>
      <c r="B186" s="1" t="n">
        <v>44636</v>
      </c>
      <c r="C186" s="1" t="n">
        <v>45939</v>
      </c>
      <c r="D186" t="inlineStr">
        <is>
          <t>KALMAR LÄN</t>
        </is>
      </c>
      <c r="E186" t="inlineStr">
        <is>
          <t>VIMMERBY</t>
        </is>
      </c>
      <c r="G186" t="n">
        <v>1.8</v>
      </c>
      <c r="H186" t="n">
        <v>0</v>
      </c>
      <c r="I186" t="n">
        <v>0</v>
      </c>
      <c r="J186" t="n">
        <v>0</v>
      </c>
      <c r="K186" t="n">
        <v>0</v>
      </c>
      <c r="L186" t="n">
        <v>0</v>
      </c>
      <c r="M186" t="n">
        <v>0</v>
      </c>
      <c r="N186" t="n">
        <v>0</v>
      </c>
      <c r="O186" t="n">
        <v>0</v>
      </c>
      <c r="P186" t="n">
        <v>0</v>
      </c>
      <c r="Q186" t="n">
        <v>0</v>
      </c>
      <c r="R186" s="2" t="inlineStr"/>
    </row>
    <row r="187" ht="15" customHeight="1">
      <c r="A187" t="inlineStr">
        <is>
          <t>A 57948-2020</t>
        </is>
      </c>
      <c r="B187" s="1" t="n">
        <v>44142</v>
      </c>
      <c r="C187" s="1" t="n">
        <v>45939</v>
      </c>
      <c r="D187" t="inlineStr">
        <is>
          <t>KALMAR LÄN</t>
        </is>
      </c>
      <c r="E187" t="inlineStr">
        <is>
          <t>VIMMERBY</t>
        </is>
      </c>
      <c r="G187" t="n">
        <v>7.1</v>
      </c>
      <c r="H187" t="n">
        <v>0</v>
      </c>
      <c r="I187" t="n">
        <v>0</v>
      </c>
      <c r="J187" t="n">
        <v>0</v>
      </c>
      <c r="K187" t="n">
        <v>0</v>
      </c>
      <c r="L187" t="n">
        <v>0</v>
      </c>
      <c r="M187" t="n">
        <v>0</v>
      </c>
      <c r="N187" t="n">
        <v>0</v>
      </c>
      <c r="O187" t="n">
        <v>0</v>
      </c>
      <c r="P187" t="n">
        <v>0</v>
      </c>
      <c r="Q187" t="n">
        <v>0</v>
      </c>
      <c r="R187" s="2" t="inlineStr"/>
    </row>
    <row r="188" ht="15" customHeight="1">
      <c r="A188" t="inlineStr">
        <is>
          <t>A 39225-2022</t>
        </is>
      </c>
      <c r="B188" s="1" t="n">
        <v>44817.57988425926</v>
      </c>
      <c r="C188" s="1" t="n">
        <v>45939</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18276-2021</t>
        </is>
      </c>
      <c r="B189" s="1" t="n">
        <v>44305.40046296296</v>
      </c>
      <c r="C189" s="1" t="n">
        <v>45939</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47473-2021</t>
        </is>
      </c>
      <c r="B190" s="1" t="n">
        <v>44447</v>
      </c>
      <c r="C190" s="1" t="n">
        <v>45939</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16602-2021</t>
        </is>
      </c>
      <c r="B191" s="1" t="n">
        <v>44294</v>
      </c>
      <c r="C191" s="1" t="n">
        <v>45939</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16607-2021</t>
        </is>
      </c>
      <c r="B192" s="1" t="n">
        <v>44294</v>
      </c>
      <c r="C192" s="1" t="n">
        <v>45939</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17029-2022</t>
        </is>
      </c>
      <c r="B193" s="1" t="n">
        <v>44676.85248842592</v>
      </c>
      <c r="C193" s="1" t="n">
        <v>45939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7167-2022</t>
        </is>
      </c>
      <c r="B194" s="1" t="n">
        <v>44604</v>
      </c>
      <c r="C194" s="1" t="n">
        <v>45939</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42850-2022</t>
        </is>
      </c>
      <c r="B195" s="1" t="n">
        <v>44832.67608796297</v>
      </c>
      <c r="C195" s="1" t="n">
        <v>45939</v>
      </c>
      <c r="D195" t="inlineStr">
        <is>
          <t>KALMAR LÄN</t>
        </is>
      </c>
      <c r="E195" t="inlineStr">
        <is>
          <t>VIMMERBY</t>
        </is>
      </c>
      <c r="G195" t="n">
        <v>5.9</v>
      </c>
      <c r="H195" t="n">
        <v>0</v>
      </c>
      <c r="I195" t="n">
        <v>0</v>
      </c>
      <c r="J195" t="n">
        <v>0</v>
      </c>
      <c r="K195" t="n">
        <v>0</v>
      </c>
      <c r="L195" t="n">
        <v>0</v>
      </c>
      <c r="M195" t="n">
        <v>0</v>
      </c>
      <c r="N195" t="n">
        <v>0</v>
      </c>
      <c r="O195" t="n">
        <v>0</v>
      </c>
      <c r="P195" t="n">
        <v>0</v>
      </c>
      <c r="Q195" t="n">
        <v>0</v>
      </c>
      <c r="R195" s="2" t="inlineStr"/>
    </row>
    <row r="196" ht="15" customHeight="1">
      <c r="A196" t="inlineStr">
        <is>
          <t>A 52435-2021</t>
        </is>
      </c>
      <c r="B196" s="1" t="n">
        <v>44466.34962962963</v>
      </c>
      <c r="C196" s="1" t="n">
        <v>45939</v>
      </c>
      <c r="D196" t="inlineStr">
        <is>
          <t>KALMAR LÄN</t>
        </is>
      </c>
      <c r="E196" t="inlineStr">
        <is>
          <t>VIMMERBY</t>
        </is>
      </c>
      <c r="G196" t="n">
        <v>2.8</v>
      </c>
      <c r="H196" t="n">
        <v>0</v>
      </c>
      <c r="I196" t="n">
        <v>0</v>
      </c>
      <c r="J196" t="n">
        <v>0</v>
      </c>
      <c r="K196" t="n">
        <v>0</v>
      </c>
      <c r="L196" t="n">
        <v>0</v>
      </c>
      <c r="M196" t="n">
        <v>0</v>
      </c>
      <c r="N196" t="n">
        <v>0</v>
      </c>
      <c r="O196" t="n">
        <v>0</v>
      </c>
      <c r="P196" t="n">
        <v>0</v>
      </c>
      <c r="Q196" t="n">
        <v>0</v>
      </c>
      <c r="R196" s="2" t="inlineStr"/>
    </row>
    <row r="197" ht="15" customHeight="1">
      <c r="A197" t="inlineStr">
        <is>
          <t>A 29093-2023</t>
        </is>
      </c>
      <c r="B197" s="1" t="n">
        <v>45105</v>
      </c>
      <c r="C197" s="1" t="n">
        <v>45939</v>
      </c>
      <c r="D197" t="inlineStr">
        <is>
          <t>KALMAR LÄN</t>
        </is>
      </c>
      <c r="E197" t="inlineStr">
        <is>
          <t>VIMMERBY</t>
        </is>
      </c>
      <c r="G197" t="n">
        <v>2.9</v>
      </c>
      <c r="H197" t="n">
        <v>0</v>
      </c>
      <c r="I197" t="n">
        <v>0</v>
      </c>
      <c r="J197" t="n">
        <v>0</v>
      </c>
      <c r="K197" t="n">
        <v>0</v>
      </c>
      <c r="L197" t="n">
        <v>0</v>
      </c>
      <c r="M197" t="n">
        <v>0</v>
      </c>
      <c r="N197" t="n">
        <v>0</v>
      </c>
      <c r="O197" t="n">
        <v>0</v>
      </c>
      <c r="P197" t="n">
        <v>0</v>
      </c>
      <c r="Q197" t="n">
        <v>0</v>
      </c>
      <c r="R197" s="2" t="inlineStr"/>
    </row>
    <row r="198" ht="15" customHeight="1">
      <c r="A198" t="inlineStr">
        <is>
          <t>A 14220-2021</t>
        </is>
      </c>
      <c r="B198" s="1" t="n">
        <v>44278.54855324074</v>
      </c>
      <c r="C198" s="1" t="n">
        <v>45939</v>
      </c>
      <c r="D198" t="inlineStr">
        <is>
          <t>KALMAR LÄN</t>
        </is>
      </c>
      <c r="E198" t="inlineStr">
        <is>
          <t>VIMMERBY</t>
        </is>
      </c>
      <c r="G198" t="n">
        <v>0.3</v>
      </c>
      <c r="H198" t="n">
        <v>0</v>
      </c>
      <c r="I198" t="n">
        <v>0</v>
      </c>
      <c r="J198" t="n">
        <v>0</v>
      </c>
      <c r="K198" t="n">
        <v>0</v>
      </c>
      <c r="L198" t="n">
        <v>0</v>
      </c>
      <c r="M198" t="n">
        <v>0</v>
      </c>
      <c r="N198" t="n">
        <v>0</v>
      </c>
      <c r="O198" t="n">
        <v>0</v>
      </c>
      <c r="P198" t="n">
        <v>0</v>
      </c>
      <c r="Q198" t="n">
        <v>0</v>
      </c>
      <c r="R198" s="2" t="inlineStr"/>
    </row>
    <row r="199" ht="15" customHeight="1">
      <c r="A199" t="inlineStr">
        <is>
          <t>A 41056-2022</t>
        </is>
      </c>
      <c r="B199" s="1" t="n">
        <v>44824</v>
      </c>
      <c r="C199" s="1" t="n">
        <v>45939</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31660-2021</t>
        </is>
      </c>
      <c r="B200" s="1" t="n">
        <v>44369</v>
      </c>
      <c r="C200" s="1" t="n">
        <v>45939</v>
      </c>
      <c r="D200" t="inlineStr">
        <is>
          <t>KALMAR LÄN</t>
        </is>
      </c>
      <c r="E200" t="inlineStr">
        <is>
          <t>VIMMERBY</t>
        </is>
      </c>
      <c r="G200" t="n">
        <v>4.2</v>
      </c>
      <c r="H200" t="n">
        <v>0</v>
      </c>
      <c r="I200" t="n">
        <v>0</v>
      </c>
      <c r="J200" t="n">
        <v>0</v>
      </c>
      <c r="K200" t="n">
        <v>0</v>
      </c>
      <c r="L200" t="n">
        <v>0</v>
      </c>
      <c r="M200" t="n">
        <v>0</v>
      </c>
      <c r="N200" t="n">
        <v>0</v>
      </c>
      <c r="O200" t="n">
        <v>0</v>
      </c>
      <c r="P200" t="n">
        <v>0</v>
      </c>
      <c r="Q200" t="n">
        <v>0</v>
      </c>
      <c r="R200" s="2" t="inlineStr"/>
    </row>
    <row r="201" ht="15" customHeight="1">
      <c r="A201" t="inlineStr">
        <is>
          <t>A 27455-2022</t>
        </is>
      </c>
      <c r="B201" s="1" t="n">
        <v>44742</v>
      </c>
      <c r="C201" s="1" t="n">
        <v>45939</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18356-2021</t>
        </is>
      </c>
      <c r="B202" s="1" t="n">
        <v>44305</v>
      </c>
      <c r="C202" s="1" t="n">
        <v>45939</v>
      </c>
      <c r="D202" t="inlineStr">
        <is>
          <t>KALMAR LÄN</t>
        </is>
      </c>
      <c r="E202" t="inlineStr">
        <is>
          <t>VIMMERBY</t>
        </is>
      </c>
      <c r="G202" t="n">
        <v>3.4</v>
      </c>
      <c r="H202" t="n">
        <v>0</v>
      </c>
      <c r="I202" t="n">
        <v>0</v>
      </c>
      <c r="J202" t="n">
        <v>0</v>
      </c>
      <c r="K202" t="n">
        <v>0</v>
      </c>
      <c r="L202" t="n">
        <v>0</v>
      </c>
      <c r="M202" t="n">
        <v>0</v>
      </c>
      <c r="N202" t="n">
        <v>0</v>
      </c>
      <c r="O202" t="n">
        <v>0</v>
      </c>
      <c r="P202" t="n">
        <v>0</v>
      </c>
      <c r="Q202" t="n">
        <v>0</v>
      </c>
      <c r="R202" s="2" t="inlineStr"/>
    </row>
    <row r="203" ht="15" customHeight="1">
      <c r="A203" t="inlineStr">
        <is>
          <t>A 10086-2022</t>
        </is>
      </c>
      <c r="B203" s="1" t="n">
        <v>44621</v>
      </c>
      <c r="C203" s="1" t="n">
        <v>45939</v>
      </c>
      <c r="D203" t="inlineStr">
        <is>
          <t>KALMAR LÄN</t>
        </is>
      </c>
      <c r="E203" t="inlineStr">
        <is>
          <t>VIMMERBY</t>
        </is>
      </c>
      <c r="G203" t="n">
        <v>1.2</v>
      </c>
      <c r="H203" t="n">
        <v>0</v>
      </c>
      <c r="I203" t="n">
        <v>0</v>
      </c>
      <c r="J203" t="n">
        <v>0</v>
      </c>
      <c r="K203" t="n">
        <v>0</v>
      </c>
      <c r="L203" t="n">
        <v>0</v>
      </c>
      <c r="M203" t="n">
        <v>0</v>
      </c>
      <c r="N203" t="n">
        <v>0</v>
      </c>
      <c r="O203" t="n">
        <v>0</v>
      </c>
      <c r="P203" t="n">
        <v>0</v>
      </c>
      <c r="Q203" t="n">
        <v>0</v>
      </c>
      <c r="R203" s="2" t="inlineStr"/>
    </row>
    <row r="204" ht="15" customHeight="1">
      <c r="A204" t="inlineStr">
        <is>
          <t>A 33359-2021</t>
        </is>
      </c>
      <c r="B204" s="1" t="n">
        <v>44377.49684027778</v>
      </c>
      <c r="C204" s="1" t="n">
        <v>45939</v>
      </c>
      <c r="D204" t="inlineStr">
        <is>
          <t>KALMAR LÄN</t>
        </is>
      </c>
      <c r="E204" t="inlineStr">
        <is>
          <t>VIMMERBY</t>
        </is>
      </c>
      <c r="F204" t="inlineStr">
        <is>
          <t>Kommuner</t>
        </is>
      </c>
      <c r="G204" t="n">
        <v>8</v>
      </c>
      <c r="H204" t="n">
        <v>0</v>
      </c>
      <c r="I204" t="n">
        <v>0</v>
      </c>
      <c r="J204" t="n">
        <v>0</v>
      </c>
      <c r="K204" t="n">
        <v>0</v>
      </c>
      <c r="L204" t="n">
        <v>0</v>
      </c>
      <c r="M204" t="n">
        <v>0</v>
      </c>
      <c r="N204" t="n">
        <v>0</v>
      </c>
      <c r="O204" t="n">
        <v>0</v>
      </c>
      <c r="P204" t="n">
        <v>0</v>
      </c>
      <c r="Q204" t="n">
        <v>0</v>
      </c>
      <c r="R204" s="2" t="inlineStr"/>
    </row>
    <row r="205" ht="15" customHeight="1">
      <c r="A205" t="inlineStr">
        <is>
          <t>A 43606-2024</t>
        </is>
      </c>
      <c r="B205" s="1" t="n">
        <v>45569.45017361111</v>
      </c>
      <c r="C205" s="1" t="n">
        <v>45939</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12325-2023</t>
        </is>
      </c>
      <c r="B206" s="1" t="n">
        <v>44999.35858796296</v>
      </c>
      <c r="C206" s="1" t="n">
        <v>45939</v>
      </c>
      <c r="D206" t="inlineStr">
        <is>
          <t>KALMAR LÄN</t>
        </is>
      </c>
      <c r="E206" t="inlineStr">
        <is>
          <t>VIMMERBY</t>
        </is>
      </c>
      <c r="G206" t="n">
        <v>3.4</v>
      </c>
      <c r="H206" t="n">
        <v>0</v>
      </c>
      <c r="I206" t="n">
        <v>0</v>
      </c>
      <c r="J206" t="n">
        <v>0</v>
      </c>
      <c r="K206" t="n">
        <v>0</v>
      </c>
      <c r="L206" t="n">
        <v>0</v>
      </c>
      <c r="M206" t="n">
        <v>0</v>
      </c>
      <c r="N206" t="n">
        <v>0</v>
      </c>
      <c r="O206" t="n">
        <v>0</v>
      </c>
      <c r="P206" t="n">
        <v>0</v>
      </c>
      <c r="Q206" t="n">
        <v>0</v>
      </c>
      <c r="R206" s="2" t="inlineStr"/>
    </row>
    <row r="207" ht="15" customHeight="1">
      <c r="A207" t="inlineStr">
        <is>
          <t>A 43038-2022</t>
        </is>
      </c>
      <c r="B207" s="1" t="n">
        <v>44833.60123842592</v>
      </c>
      <c r="C207" s="1" t="n">
        <v>45939</v>
      </c>
      <c r="D207" t="inlineStr">
        <is>
          <t>KALMAR LÄN</t>
        </is>
      </c>
      <c r="E207" t="inlineStr">
        <is>
          <t>VIMMERBY</t>
        </is>
      </c>
      <c r="G207" t="n">
        <v>4.2</v>
      </c>
      <c r="H207" t="n">
        <v>0</v>
      </c>
      <c r="I207" t="n">
        <v>0</v>
      </c>
      <c r="J207" t="n">
        <v>0</v>
      </c>
      <c r="K207" t="n">
        <v>0</v>
      </c>
      <c r="L207" t="n">
        <v>0</v>
      </c>
      <c r="M207" t="n">
        <v>0</v>
      </c>
      <c r="N207" t="n">
        <v>0</v>
      </c>
      <c r="O207" t="n">
        <v>0</v>
      </c>
      <c r="P207" t="n">
        <v>0</v>
      </c>
      <c r="Q207" t="n">
        <v>0</v>
      </c>
      <c r="R207" s="2" t="inlineStr"/>
    </row>
    <row r="208" ht="15" customHeight="1">
      <c r="A208" t="inlineStr">
        <is>
          <t>A 50087-2023</t>
        </is>
      </c>
      <c r="B208" s="1" t="n">
        <v>45215.59743055556</v>
      </c>
      <c r="C208" s="1" t="n">
        <v>45939</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33681-2022</t>
        </is>
      </c>
      <c r="B209" s="1" t="n">
        <v>44789</v>
      </c>
      <c r="C209" s="1" t="n">
        <v>45939</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35001-2021</t>
        </is>
      </c>
      <c r="B210" s="1" t="n">
        <v>44383</v>
      </c>
      <c r="C210" s="1" t="n">
        <v>45939</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55674-2021</t>
        </is>
      </c>
      <c r="B211" s="1" t="n">
        <v>44476</v>
      </c>
      <c r="C211" s="1" t="n">
        <v>45939</v>
      </c>
      <c r="D211" t="inlineStr">
        <is>
          <t>KALMAR LÄN</t>
        </is>
      </c>
      <c r="E211" t="inlineStr">
        <is>
          <t>VIMMERBY</t>
        </is>
      </c>
      <c r="G211" t="n">
        <v>2.1</v>
      </c>
      <c r="H211" t="n">
        <v>0</v>
      </c>
      <c r="I211" t="n">
        <v>0</v>
      </c>
      <c r="J211" t="n">
        <v>0</v>
      </c>
      <c r="K211" t="n">
        <v>0</v>
      </c>
      <c r="L211" t="n">
        <v>0</v>
      </c>
      <c r="M211" t="n">
        <v>0</v>
      </c>
      <c r="N211" t="n">
        <v>0</v>
      </c>
      <c r="O211" t="n">
        <v>0</v>
      </c>
      <c r="P211" t="n">
        <v>0</v>
      </c>
      <c r="Q211" t="n">
        <v>0</v>
      </c>
      <c r="R211" s="2" t="inlineStr"/>
    </row>
    <row r="212" ht="15" customHeight="1">
      <c r="A212" t="inlineStr">
        <is>
          <t>A 8945-2025</t>
        </is>
      </c>
      <c r="B212" s="1" t="n">
        <v>45713.45311342592</v>
      </c>
      <c r="C212" s="1" t="n">
        <v>45939</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3330-2021</t>
        </is>
      </c>
      <c r="B213" s="1" t="n">
        <v>44217.79856481482</v>
      </c>
      <c r="C213" s="1" t="n">
        <v>45939</v>
      </c>
      <c r="D213" t="inlineStr">
        <is>
          <t>KALMAR LÄN</t>
        </is>
      </c>
      <c r="E213" t="inlineStr">
        <is>
          <t>VIMMERBY</t>
        </is>
      </c>
      <c r="G213" t="n">
        <v>11.1</v>
      </c>
      <c r="H213" t="n">
        <v>0</v>
      </c>
      <c r="I213" t="n">
        <v>0</v>
      </c>
      <c r="J213" t="n">
        <v>0</v>
      </c>
      <c r="K213" t="n">
        <v>0</v>
      </c>
      <c r="L213" t="n">
        <v>0</v>
      </c>
      <c r="M213" t="n">
        <v>0</v>
      </c>
      <c r="N213" t="n">
        <v>0</v>
      </c>
      <c r="O213" t="n">
        <v>0</v>
      </c>
      <c r="P213" t="n">
        <v>0</v>
      </c>
      <c r="Q213" t="n">
        <v>0</v>
      </c>
      <c r="R213" s="2" t="inlineStr"/>
    </row>
    <row r="214" ht="15" customHeight="1">
      <c r="A214" t="inlineStr">
        <is>
          <t>A 40077-2021</t>
        </is>
      </c>
      <c r="B214" s="1" t="n">
        <v>44418</v>
      </c>
      <c r="C214" s="1" t="n">
        <v>45939</v>
      </c>
      <c r="D214" t="inlineStr">
        <is>
          <t>KALMAR LÄN</t>
        </is>
      </c>
      <c r="E214" t="inlineStr">
        <is>
          <t>VIMMERBY</t>
        </is>
      </c>
      <c r="G214" t="n">
        <v>2.9</v>
      </c>
      <c r="H214" t="n">
        <v>0</v>
      </c>
      <c r="I214" t="n">
        <v>0</v>
      </c>
      <c r="J214" t="n">
        <v>0</v>
      </c>
      <c r="K214" t="n">
        <v>0</v>
      </c>
      <c r="L214" t="n">
        <v>0</v>
      </c>
      <c r="M214" t="n">
        <v>0</v>
      </c>
      <c r="N214" t="n">
        <v>0</v>
      </c>
      <c r="O214" t="n">
        <v>0</v>
      </c>
      <c r="P214" t="n">
        <v>0</v>
      </c>
      <c r="Q214" t="n">
        <v>0</v>
      </c>
      <c r="R214" s="2" t="inlineStr"/>
    </row>
    <row r="215" ht="15" customHeight="1">
      <c r="A215" t="inlineStr">
        <is>
          <t>A 49039-2021</t>
        </is>
      </c>
      <c r="B215" s="1" t="n">
        <v>44453.56578703703</v>
      </c>
      <c r="C215" s="1" t="n">
        <v>45939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47769-2022</t>
        </is>
      </c>
      <c r="B216" s="1" t="n">
        <v>44854</v>
      </c>
      <c r="C216" s="1" t="n">
        <v>45939</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45939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40665-2023</t>
        </is>
      </c>
      <c r="B218" s="1" t="n">
        <v>45170</v>
      </c>
      <c r="C218" s="1" t="n">
        <v>45939</v>
      </c>
      <c r="D218" t="inlineStr">
        <is>
          <t>KALMAR LÄN</t>
        </is>
      </c>
      <c r="E218" t="inlineStr">
        <is>
          <t>VIMMERBY</t>
        </is>
      </c>
      <c r="G218" t="n">
        <v>2.6</v>
      </c>
      <c r="H218" t="n">
        <v>0</v>
      </c>
      <c r="I218" t="n">
        <v>0</v>
      </c>
      <c r="J218" t="n">
        <v>0</v>
      </c>
      <c r="K218" t="n">
        <v>0</v>
      </c>
      <c r="L218" t="n">
        <v>0</v>
      </c>
      <c r="M218" t="n">
        <v>0</v>
      </c>
      <c r="N218" t="n">
        <v>0</v>
      </c>
      <c r="O218" t="n">
        <v>0</v>
      </c>
      <c r="P218" t="n">
        <v>0</v>
      </c>
      <c r="Q218" t="n">
        <v>0</v>
      </c>
      <c r="R218" s="2" t="inlineStr"/>
    </row>
    <row r="219" ht="15" customHeight="1">
      <c r="A219" t="inlineStr">
        <is>
          <t>A 13307-2025</t>
        </is>
      </c>
      <c r="B219" s="1" t="n">
        <v>45735.58024305556</v>
      </c>
      <c r="C219" s="1" t="n">
        <v>45939</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28034-2022</t>
        </is>
      </c>
      <c r="B220" s="1" t="n">
        <v>44746.38834490741</v>
      </c>
      <c r="C220" s="1" t="n">
        <v>45939</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42918-2021</t>
        </is>
      </c>
      <c r="B221" s="1" t="n">
        <v>44431</v>
      </c>
      <c r="C221" s="1" t="n">
        <v>45939</v>
      </c>
      <c r="D221" t="inlineStr">
        <is>
          <t>KALMAR LÄN</t>
        </is>
      </c>
      <c r="E221" t="inlineStr">
        <is>
          <t>VIMMERBY</t>
        </is>
      </c>
      <c r="G221" t="n">
        <v>1.6</v>
      </c>
      <c r="H221" t="n">
        <v>0</v>
      </c>
      <c r="I221" t="n">
        <v>0</v>
      </c>
      <c r="J221" t="n">
        <v>0</v>
      </c>
      <c r="K221" t="n">
        <v>0</v>
      </c>
      <c r="L221" t="n">
        <v>0</v>
      </c>
      <c r="M221" t="n">
        <v>0</v>
      </c>
      <c r="N221" t="n">
        <v>0</v>
      </c>
      <c r="O221" t="n">
        <v>0</v>
      </c>
      <c r="P221" t="n">
        <v>0</v>
      </c>
      <c r="Q221" t="n">
        <v>0</v>
      </c>
      <c r="R221" s="2" t="inlineStr"/>
    </row>
    <row r="222" ht="15" customHeight="1">
      <c r="A222" t="inlineStr">
        <is>
          <t>A 529-2022</t>
        </is>
      </c>
      <c r="B222" s="1" t="n">
        <v>44566</v>
      </c>
      <c r="C222" s="1" t="n">
        <v>45939</v>
      </c>
      <c r="D222" t="inlineStr">
        <is>
          <t>KALMAR LÄN</t>
        </is>
      </c>
      <c r="E222" t="inlineStr">
        <is>
          <t>VIMMERBY</t>
        </is>
      </c>
      <c r="G222" t="n">
        <v>1.5</v>
      </c>
      <c r="H222" t="n">
        <v>0</v>
      </c>
      <c r="I222" t="n">
        <v>0</v>
      </c>
      <c r="J222" t="n">
        <v>0</v>
      </c>
      <c r="K222" t="n">
        <v>0</v>
      </c>
      <c r="L222" t="n">
        <v>0</v>
      </c>
      <c r="M222" t="n">
        <v>0</v>
      </c>
      <c r="N222" t="n">
        <v>0</v>
      </c>
      <c r="O222" t="n">
        <v>0</v>
      </c>
      <c r="P222" t="n">
        <v>0</v>
      </c>
      <c r="Q222" t="n">
        <v>0</v>
      </c>
      <c r="R222" s="2" t="inlineStr"/>
    </row>
    <row r="223" ht="15" customHeight="1">
      <c r="A223" t="inlineStr">
        <is>
          <t>A 12033-2024</t>
        </is>
      </c>
      <c r="B223" s="1" t="n">
        <v>45377.40043981482</v>
      </c>
      <c r="C223" s="1" t="n">
        <v>45939</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6214-2025</t>
        </is>
      </c>
      <c r="B224" s="1" t="n">
        <v>45698.51711805556</v>
      </c>
      <c r="C224" s="1" t="n">
        <v>45939</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55605-2024</t>
        </is>
      </c>
      <c r="B225" s="1" t="n">
        <v>45622</v>
      </c>
      <c r="C225" s="1" t="n">
        <v>45939</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14855-2025</t>
        </is>
      </c>
      <c r="B226" s="1" t="n">
        <v>45743.41148148148</v>
      </c>
      <c r="C226" s="1" t="n">
        <v>45939</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49408-2023</t>
        </is>
      </c>
      <c r="B227" s="1" t="n">
        <v>45211.43555555555</v>
      </c>
      <c r="C227" s="1" t="n">
        <v>45939</v>
      </c>
      <c r="D227" t="inlineStr">
        <is>
          <t>KALMAR LÄN</t>
        </is>
      </c>
      <c r="E227" t="inlineStr">
        <is>
          <t>VIMMERBY</t>
        </is>
      </c>
      <c r="G227" t="n">
        <v>13.1</v>
      </c>
      <c r="H227" t="n">
        <v>0</v>
      </c>
      <c r="I227" t="n">
        <v>0</v>
      </c>
      <c r="J227" t="n">
        <v>0</v>
      </c>
      <c r="K227" t="n">
        <v>0</v>
      </c>
      <c r="L227" t="n">
        <v>0</v>
      </c>
      <c r="M227" t="n">
        <v>0</v>
      </c>
      <c r="N227" t="n">
        <v>0</v>
      </c>
      <c r="O227" t="n">
        <v>0</v>
      </c>
      <c r="P227" t="n">
        <v>0</v>
      </c>
      <c r="Q227" t="n">
        <v>0</v>
      </c>
      <c r="R227" s="2" t="inlineStr"/>
    </row>
    <row r="228" ht="15" customHeight="1">
      <c r="A228" t="inlineStr">
        <is>
          <t>A 60951-2023</t>
        </is>
      </c>
      <c r="B228" s="1" t="n">
        <v>45261.44914351852</v>
      </c>
      <c r="C228" s="1" t="n">
        <v>45939</v>
      </c>
      <c r="D228" t="inlineStr">
        <is>
          <t>KALMAR LÄN</t>
        </is>
      </c>
      <c r="E228" t="inlineStr">
        <is>
          <t>VIMMERBY</t>
        </is>
      </c>
      <c r="G228" t="n">
        <v>4.3</v>
      </c>
      <c r="H228" t="n">
        <v>0</v>
      </c>
      <c r="I228" t="n">
        <v>0</v>
      </c>
      <c r="J228" t="n">
        <v>0</v>
      </c>
      <c r="K228" t="n">
        <v>0</v>
      </c>
      <c r="L228" t="n">
        <v>0</v>
      </c>
      <c r="M228" t="n">
        <v>0</v>
      </c>
      <c r="N228" t="n">
        <v>0</v>
      </c>
      <c r="O228" t="n">
        <v>0</v>
      </c>
      <c r="P228" t="n">
        <v>0</v>
      </c>
      <c r="Q228" t="n">
        <v>0</v>
      </c>
      <c r="R228" s="2" t="inlineStr"/>
    </row>
    <row r="229" ht="15" customHeight="1">
      <c r="A229" t="inlineStr">
        <is>
          <t>A 42165-2024</t>
        </is>
      </c>
      <c r="B229" s="1" t="n">
        <v>45562.46342592593</v>
      </c>
      <c r="C229" s="1" t="n">
        <v>45939</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27443-2023</t>
        </is>
      </c>
      <c r="B230" s="1" t="n">
        <v>45097.40524305555</v>
      </c>
      <c r="C230" s="1" t="n">
        <v>45939</v>
      </c>
      <c r="D230" t="inlineStr">
        <is>
          <t>KALMAR LÄN</t>
        </is>
      </c>
      <c r="E230" t="inlineStr">
        <is>
          <t>VIMMERBY</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20129-2024</t>
        </is>
      </c>
      <c r="B231" s="1" t="n">
        <v>45434.55831018519</v>
      </c>
      <c r="C231" s="1" t="n">
        <v>45939</v>
      </c>
      <c r="D231" t="inlineStr">
        <is>
          <t>KALMAR LÄN</t>
        </is>
      </c>
      <c r="E231" t="inlineStr">
        <is>
          <t>VIMMERBY</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20137-2024</t>
        </is>
      </c>
      <c r="B232" s="1" t="n">
        <v>45434.56398148148</v>
      </c>
      <c r="C232" s="1" t="n">
        <v>45939</v>
      </c>
      <c r="D232" t="inlineStr">
        <is>
          <t>KALMAR LÄN</t>
        </is>
      </c>
      <c r="E232" t="inlineStr">
        <is>
          <t>VIMMERBY</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28395-2023</t>
        </is>
      </c>
      <c r="B233" s="1" t="n">
        <v>45100.4062962963</v>
      </c>
      <c r="C233" s="1" t="n">
        <v>45939</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19162-2023</t>
        </is>
      </c>
      <c r="B234" s="1" t="n">
        <v>45048.59699074074</v>
      </c>
      <c r="C234" s="1" t="n">
        <v>45939</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44329-2025</t>
        </is>
      </c>
      <c r="B235" s="1" t="n">
        <v>45916.41019675926</v>
      </c>
      <c r="C235" s="1" t="n">
        <v>45939</v>
      </c>
      <c r="D235" t="inlineStr">
        <is>
          <t>KALMAR LÄN</t>
        </is>
      </c>
      <c r="E235" t="inlineStr">
        <is>
          <t>VIMMERBY</t>
        </is>
      </c>
      <c r="G235" t="n">
        <v>4.3</v>
      </c>
      <c r="H235" t="n">
        <v>0</v>
      </c>
      <c r="I235" t="n">
        <v>0</v>
      </c>
      <c r="J235" t="n">
        <v>0</v>
      </c>
      <c r="K235" t="n">
        <v>0</v>
      </c>
      <c r="L235" t="n">
        <v>0</v>
      </c>
      <c r="M235" t="n">
        <v>0</v>
      </c>
      <c r="N235" t="n">
        <v>0</v>
      </c>
      <c r="O235" t="n">
        <v>0</v>
      </c>
      <c r="P235" t="n">
        <v>0</v>
      </c>
      <c r="Q235" t="n">
        <v>0</v>
      </c>
      <c r="R235" s="2" t="inlineStr"/>
    </row>
    <row r="236" ht="15" customHeight="1">
      <c r="A236" t="inlineStr">
        <is>
          <t>A 31209-2024</t>
        </is>
      </c>
      <c r="B236" s="1" t="n">
        <v>45503.5658912037</v>
      </c>
      <c r="C236" s="1" t="n">
        <v>45939</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23095-2023</t>
        </is>
      </c>
      <c r="B237" s="1" t="n">
        <v>45075.43059027778</v>
      </c>
      <c r="C237" s="1" t="n">
        <v>45939</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32919-2022</t>
        </is>
      </c>
      <c r="B238" s="1" t="n">
        <v>44784.62724537037</v>
      </c>
      <c r="C238" s="1" t="n">
        <v>45939</v>
      </c>
      <c r="D238" t="inlineStr">
        <is>
          <t>KALMAR LÄN</t>
        </is>
      </c>
      <c r="E238" t="inlineStr">
        <is>
          <t>VIMMERBY</t>
        </is>
      </c>
      <c r="G238" t="n">
        <v>1.7</v>
      </c>
      <c r="H238" t="n">
        <v>0</v>
      </c>
      <c r="I238" t="n">
        <v>0</v>
      </c>
      <c r="J238" t="n">
        <v>0</v>
      </c>
      <c r="K238" t="n">
        <v>0</v>
      </c>
      <c r="L238" t="n">
        <v>0</v>
      </c>
      <c r="M238" t="n">
        <v>0</v>
      </c>
      <c r="N238" t="n">
        <v>0</v>
      </c>
      <c r="O238" t="n">
        <v>0</v>
      </c>
      <c r="P238" t="n">
        <v>0</v>
      </c>
      <c r="Q238" t="n">
        <v>0</v>
      </c>
      <c r="R238" s="2" t="inlineStr"/>
    </row>
    <row r="239" ht="15" customHeight="1">
      <c r="A239" t="inlineStr">
        <is>
          <t>A 5864-2022</t>
        </is>
      </c>
      <c r="B239" s="1" t="n">
        <v>44596</v>
      </c>
      <c r="C239" s="1" t="n">
        <v>45939</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18501-2024</t>
        </is>
      </c>
      <c r="B240" s="1" t="n">
        <v>45425.57538194444</v>
      </c>
      <c r="C240" s="1" t="n">
        <v>45939</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7068-2024</t>
        </is>
      </c>
      <c r="B241" s="1" t="n">
        <v>45343.68038194445</v>
      </c>
      <c r="C241" s="1" t="n">
        <v>45939</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44517-2025</t>
        </is>
      </c>
      <c r="B242" s="1" t="n">
        <v>45916.7103587963</v>
      </c>
      <c r="C242" s="1" t="n">
        <v>45939</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3938-2023</t>
        </is>
      </c>
      <c r="B243" s="1" t="n">
        <v>44952.35775462963</v>
      </c>
      <c r="C243" s="1" t="n">
        <v>45939</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36934-2025</t>
        </is>
      </c>
      <c r="B244" s="1" t="n">
        <v>45874.57109953704</v>
      </c>
      <c r="C244" s="1" t="n">
        <v>45939</v>
      </c>
      <c r="D244" t="inlineStr">
        <is>
          <t>KALMAR LÄN</t>
        </is>
      </c>
      <c r="E244" t="inlineStr">
        <is>
          <t>VIMMERBY</t>
        </is>
      </c>
      <c r="G244" t="n">
        <v>4.2</v>
      </c>
      <c r="H244" t="n">
        <v>0</v>
      </c>
      <c r="I244" t="n">
        <v>0</v>
      </c>
      <c r="J244" t="n">
        <v>0</v>
      </c>
      <c r="K244" t="n">
        <v>0</v>
      </c>
      <c r="L244" t="n">
        <v>0</v>
      </c>
      <c r="M244" t="n">
        <v>0</v>
      </c>
      <c r="N244" t="n">
        <v>0</v>
      </c>
      <c r="O244" t="n">
        <v>0</v>
      </c>
      <c r="P244" t="n">
        <v>0</v>
      </c>
      <c r="Q244" t="n">
        <v>0</v>
      </c>
      <c r="R244" s="2" t="inlineStr"/>
    </row>
    <row r="245" ht="15" customHeight="1">
      <c r="A245" t="inlineStr">
        <is>
          <t>A 12596-2021</t>
        </is>
      </c>
      <c r="B245" s="1" t="n">
        <v>44270.39765046296</v>
      </c>
      <c r="C245" s="1" t="n">
        <v>45939</v>
      </c>
      <c r="D245" t="inlineStr">
        <is>
          <t>KALMAR LÄN</t>
        </is>
      </c>
      <c r="E245" t="inlineStr">
        <is>
          <t>VIMMERBY</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44091-2025</t>
        </is>
      </c>
      <c r="B246" s="1" t="n">
        <v>45915.55950231481</v>
      </c>
      <c r="C246" s="1" t="n">
        <v>45939</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44095-2025</t>
        </is>
      </c>
      <c r="B247" s="1" t="n">
        <v>45915.56430555556</v>
      </c>
      <c r="C247" s="1" t="n">
        <v>45939</v>
      </c>
      <c r="D247" t="inlineStr">
        <is>
          <t>KALMAR LÄN</t>
        </is>
      </c>
      <c r="E247" t="inlineStr">
        <is>
          <t>VIMMERBY</t>
        </is>
      </c>
      <c r="G247" t="n">
        <v>2.4</v>
      </c>
      <c r="H247" t="n">
        <v>0</v>
      </c>
      <c r="I247" t="n">
        <v>0</v>
      </c>
      <c r="J247" t="n">
        <v>0</v>
      </c>
      <c r="K247" t="n">
        <v>0</v>
      </c>
      <c r="L247" t="n">
        <v>0</v>
      </c>
      <c r="M247" t="n">
        <v>0</v>
      </c>
      <c r="N247" t="n">
        <v>0</v>
      </c>
      <c r="O247" t="n">
        <v>0</v>
      </c>
      <c r="P247" t="n">
        <v>0</v>
      </c>
      <c r="Q247" t="n">
        <v>0</v>
      </c>
      <c r="R247" s="2" t="inlineStr"/>
    </row>
    <row r="248" ht="15" customHeight="1">
      <c r="A248" t="inlineStr">
        <is>
          <t>A 25799-2023</t>
        </is>
      </c>
      <c r="B248" s="1" t="n">
        <v>45090</v>
      </c>
      <c r="C248" s="1" t="n">
        <v>45939</v>
      </c>
      <c r="D248" t="inlineStr">
        <is>
          <t>KALMAR LÄN</t>
        </is>
      </c>
      <c r="E248" t="inlineStr">
        <is>
          <t>VIMMERBY</t>
        </is>
      </c>
      <c r="G248" t="n">
        <v>7.7</v>
      </c>
      <c r="H248" t="n">
        <v>0</v>
      </c>
      <c r="I248" t="n">
        <v>0</v>
      </c>
      <c r="J248" t="n">
        <v>0</v>
      </c>
      <c r="K248" t="n">
        <v>0</v>
      </c>
      <c r="L248" t="n">
        <v>0</v>
      </c>
      <c r="M248" t="n">
        <v>0</v>
      </c>
      <c r="N248" t="n">
        <v>0</v>
      </c>
      <c r="O248" t="n">
        <v>0</v>
      </c>
      <c r="P248" t="n">
        <v>0</v>
      </c>
      <c r="Q248" t="n">
        <v>0</v>
      </c>
      <c r="R248" s="2" t="inlineStr"/>
    </row>
    <row r="249" ht="15" customHeight="1">
      <c r="A249" t="inlineStr">
        <is>
          <t>A 26937-2023</t>
        </is>
      </c>
      <c r="B249" s="1" t="n">
        <v>45093.62777777778</v>
      </c>
      <c r="C249" s="1" t="n">
        <v>45939</v>
      </c>
      <c r="D249" t="inlineStr">
        <is>
          <t>KALMAR LÄN</t>
        </is>
      </c>
      <c r="E249" t="inlineStr">
        <is>
          <t>VIMMERBY</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16015-2025</t>
        </is>
      </c>
      <c r="B250" s="1" t="n">
        <v>45749.60487268519</v>
      </c>
      <c r="C250" s="1" t="n">
        <v>45939</v>
      </c>
      <c r="D250" t="inlineStr">
        <is>
          <t>KALMAR LÄN</t>
        </is>
      </c>
      <c r="E250" t="inlineStr">
        <is>
          <t>VIMMERBY</t>
        </is>
      </c>
      <c r="F250" t="inlineStr">
        <is>
          <t>Kyrkan</t>
        </is>
      </c>
      <c r="G250" t="n">
        <v>2.7</v>
      </c>
      <c r="H250" t="n">
        <v>0</v>
      </c>
      <c r="I250" t="n">
        <v>0</v>
      </c>
      <c r="J250" t="n">
        <v>0</v>
      </c>
      <c r="K250" t="n">
        <v>0</v>
      </c>
      <c r="L250" t="n">
        <v>0</v>
      </c>
      <c r="M250" t="n">
        <v>0</v>
      </c>
      <c r="N250" t="n">
        <v>0</v>
      </c>
      <c r="O250" t="n">
        <v>0</v>
      </c>
      <c r="P250" t="n">
        <v>0</v>
      </c>
      <c r="Q250" t="n">
        <v>0</v>
      </c>
      <c r="R250" s="2" t="inlineStr"/>
    </row>
    <row r="251" ht="15" customHeight="1">
      <c r="A251" t="inlineStr">
        <is>
          <t>A 50085-2023</t>
        </is>
      </c>
      <c r="B251" s="1" t="n">
        <v>45215.5959375</v>
      </c>
      <c r="C251" s="1" t="n">
        <v>45939</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57256-2023</t>
        </is>
      </c>
      <c r="B252" s="1" t="n">
        <v>45245.5735300926</v>
      </c>
      <c r="C252" s="1" t="n">
        <v>45939</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32655-2023</t>
        </is>
      </c>
      <c r="B253" s="1" t="n">
        <v>45121.61318287037</v>
      </c>
      <c r="C253" s="1" t="n">
        <v>45939</v>
      </c>
      <c r="D253" t="inlineStr">
        <is>
          <t>KALMAR LÄN</t>
        </is>
      </c>
      <c r="E253" t="inlineStr">
        <is>
          <t>VIMMERBY</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23088-2024</t>
        </is>
      </c>
      <c r="B254" s="1" t="n">
        <v>45450.51092592593</v>
      </c>
      <c r="C254" s="1" t="n">
        <v>45939</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37088-2025</t>
        </is>
      </c>
      <c r="B255" s="1" t="n">
        <v>45875.45716435185</v>
      </c>
      <c r="C255" s="1" t="n">
        <v>45939</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37102-2025</t>
        </is>
      </c>
      <c r="B256" s="1" t="n">
        <v>45875.47454861111</v>
      </c>
      <c r="C256" s="1" t="n">
        <v>45939</v>
      </c>
      <c r="D256" t="inlineStr">
        <is>
          <t>KALMAR LÄN</t>
        </is>
      </c>
      <c r="E256" t="inlineStr">
        <is>
          <t>VIMMERBY</t>
        </is>
      </c>
      <c r="G256" t="n">
        <v>1.3</v>
      </c>
      <c r="H256" t="n">
        <v>0</v>
      </c>
      <c r="I256" t="n">
        <v>0</v>
      </c>
      <c r="J256" t="n">
        <v>0</v>
      </c>
      <c r="K256" t="n">
        <v>0</v>
      </c>
      <c r="L256" t="n">
        <v>0</v>
      </c>
      <c r="M256" t="n">
        <v>0</v>
      </c>
      <c r="N256" t="n">
        <v>0</v>
      </c>
      <c r="O256" t="n">
        <v>0</v>
      </c>
      <c r="P256" t="n">
        <v>0</v>
      </c>
      <c r="Q256" t="n">
        <v>0</v>
      </c>
      <c r="R256" s="2" t="inlineStr"/>
    </row>
    <row r="257" ht="15" customHeight="1">
      <c r="A257" t="inlineStr">
        <is>
          <t>A 11219-2023</t>
        </is>
      </c>
      <c r="B257" s="1" t="n">
        <v>44992.62498842592</v>
      </c>
      <c r="C257" s="1" t="n">
        <v>45939</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54409-2024</t>
        </is>
      </c>
      <c r="B258" s="1" t="n">
        <v>45617.47570601852</v>
      </c>
      <c r="C258" s="1" t="n">
        <v>45939</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57189-2022</t>
        </is>
      </c>
      <c r="B259" s="1" t="n">
        <v>44895.62296296296</v>
      </c>
      <c r="C259" s="1" t="n">
        <v>45939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37079-2025</t>
        </is>
      </c>
      <c r="B260" s="1" t="n">
        <v>45875.42716435185</v>
      </c>
      <c r="C260" s="1" t="n">
        <v>45939</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9475-2023</t>
        </is>
      </c>
      <c r="B261" s="1" t="n">
        <v>44981.58834490741</v>
      </c>
      <c r="C261" s="1" t="n">
        <v>45939</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1987-2024</t>
        </is>
      </c>
      <c r="B262" s="1" t="n">
        <v>45308.61152777778</v>
      </c>
      <c r="C262" s="1" t="n">
        <v>45939</v>
      </c>
      <c r="D262" t="inlineStr">
        <is>
          <t>KALMAR LÄN</t>
        </is>
      </c>
      <c r="E262" t="inlineStr">
        <is>
          <t>VIMMERBY</t>
        </is>
      </c>
      <c r="G262" t="n">
        <v>3</v>
      </c>
      <c r="H262" t="n">
        <v>0</v>
      </c>
      <c r="I262" t="n">
        <v>0</v>
      </c>
      <c r="J262" t="n">
        <v>0</v>
      </c>
      <c r="K262" t="n">
        <v>0</v>
      </c>
      <c r="L262" t="n">
        <v>0</v>
      </c>
      <c r="M262" t="n">
        <v>0</v>
      </c>
      <c r="N262" t="n">
        <v>0</v>
      </c>
      <c r="O262" t="n">
        <v>0</v>
      </c>
      <c r="P262" t="n">
        <v>0</v>
      </c>
      <c r="Q262" t="n">
        <v>0</v>
      </c>
      <c r="R262" s="2" t="inlineStr"/>
    </row>
    <row r="263" ht="15" customHeight="1">
      <c r="A263" t="inlineStr">
        <is>
          <t>A 527-2024</t>
        </is>
      </c>
      <c r="B263" s="1" t="n">
        <v>45299.47513888889</v>
      </c>
      <c r="C263" s="1" t="n">
        <v>45939</v>
      </c>
      <c r="D263" t="inlineStr">
        <is>
          <t>KALMAR LÄN</t>
        </is>
      </c>
      <c r="E263" t="inlineStr">
        <is>
          <t>VIMMERBY</t>
        </is>
      </c>
      <c r="G263" t="n">
        <v>2.2</v>
      </c>
      <c r="H263" t="n">
        <v>0</v>
      </c>
      <c r="I263" t="n">
        <v>0</v>
      </c>
      <c r="J263" t="n">
        <v>0</v>
      </c>
      <c r="K263" t="n">
        <v>0</v>
      </c>
      <c r="L263" t="n">
        <v>0</v>
      </c>
      <c r="M263" t="n">
        <v>0</v>
      </c>
      <c r="N263" t="n">
        <v>0</v>
      </c>
      <c r="O263" t="n">
        <v>0</v>
      </c>
      <c r="P263" t="n">
        <v>0</v>
      </c>
      <c r="Q263" t="n">
        <v>0</v>
      </c>
      <c r="R263" s="2" t="inlineStr"/>
    </row>
    <row r="264" ht="15" customHeight="1">
      <c r="A264" t="inlineStr">
        <is>
          <t>A 6850-2023</t>
        </is>
      </c>
      <c r="B264" s="1" t="n">
        <v>44967.44255787037</v>
      </c>
      <c r="C264" s="1" t="n">
        <v>45939</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44742-2025</t>
        </is>
      </c>
      <c r="B265" s="1" t="n">
        <v>45917.67054398148</v>
      </c>
      <c r="C265" s="1" t="n">
        <v>45939</v>
      </c>
      <c r="D265" t="inlineStr">
        <is>
          <t>KALMAR LÄN</t>
        </is>
      </c>
      <c r="E265" t="inlineStr">
        <is>
          <t>VIMMERBY</t>
        </is>
      </c>
      <c r="G265" t="n">
        <v>4.7</v>
      </c>
      <c r="H265" t="n">
        <v>0</v>
      </c>
      <c r="I265" t="n">
        <v>0</v>
      </c>
      <c r="J265" t="n">
        <v>0</v>
      </c>
      <c r="K265" t="n">
        <v>0</v>
      </c>
      <c r="L265" t="n">
        <v>0</v>
      </c>
      <c r="M265" t="n">
        <v>0</v>
      </c>
      <c r="N265" t="n">
        <v>0</v>
      </c>
      <c r="O265" t="n">
        <v>0</v>
      </c>
      <c r="P265" t="n">
        <v>0</v>
      </c>
      <c r="Q265" t="n">
        <v>0</v>
      </c>
      <c r="R265" s="2" t="inlineStr"/>
    </row>
    <row r="266" ht="15" customHeight="1">
      <c r="A266" t="inlineStr">
        <is>
          <t>A 6358-2022</t>
        </is>
      </c>
      <c r="B266" s="1" t="n">
        <v>44600</v>
      </c>
      <c r="C266" s="1" t="n">
        <v>45939</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45114-2025</t>
        </is>
      </c>
      <c r="B267" s="1" t="n">
        <v>45919.42387731482</v>
      </c>
      <c r="C267" s="1" t="n">
        <v>45939</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37192-2024</t>
        </is>
      </c>
      <c r="B268" s="1" t="n">
        <v>45539.66027777778</v>
      </c>
      <c r="C268" s="1" t="n">
        <v>45939</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43092-2024</t>
        </is>
      </c>
      <c r="B269" s="1" t="n">
        <v>45567</v>
      </c>
      <c r="C269" s="1" t="n">
        <v>45939</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45320-2025</t>
        </is>
      </c>
      <c r="B270" s="1" t="n">
        <v>45921.96395833333</v>
      </c>
      <c r="C270" s="1" t="n">
        <v>45939</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43853-2023</t>
        </is>
      </c>
      <c r="B271" s="1" t="n">
        <v>45187.60813657408</v>
      </c>
      <c r="C271" s="1" t="n">
        <v>45939</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7075-2021</t>
        </is>
      </c>
      <c r="B272" s="1" t="n">
        <v>44237</v>
      </c>
      <c r="C272" s="1" t="n">
        <v>45939</v>
      </c>
      <c r="D272" t="inlineStr">
        <is>
          <t>KALMAR LÄN</t>
        </is>
      </c>
      <c r="E272" t="inlineStr">
        <is>
          <t>VIMMERBY</t>
        </is>
      </c>
      <c r="G272" t="n">
        <v>3.6</v>
      </c>
      <c r="H272" t="n">
        <v>0</v>
      </c>
      <c r="I272" t="n">
        <v>0</v>
      </c>
      <c r="J272" t="n">
        <v>0</v>
      </c>
      <c r="K272" t="n">
        <v>0</v>
      </c>
      <c r="L272" t="n">
        <v>0</v>
      </c>
      <c r="M272" t="n">
        <v>0</v>
      </c>
      <c r="N272" t="n">
        <v>0</v>
      </c>
      <c r="O272" t="n">
        <v>0</v>
      </c>
      <c r="P272" t="n">
        <v>0</v>
      </c>
      <c r="Q272" t="n">
        <v>0</v>
      </c>
      <c r="R272" s="2" t="inlineStr"/>
    </row>
    <row r="273" ht="15" customHeight="1">
      <c r="A273" t="inlineStr">
        <is>
          <t>A 37668-2025</t>
        </is>
      </c>
      <c r="B273" s="1" t="n">
        <v>45880.51550925926</v>
      </c>
      <c r="C273" s="1" t="n">
        <v>45939</v>
      </c>
      <c r="D273" t="inlineStr">
        <is>
          <t>KALMAR LÄN</t>
        </is>
      </c>
      <c r="E273" t="inlineStr">
        <is>
          <t>VIMMERBY</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48673-2021</t>
        </is>
      </c>
      <c r="B274" s="1" t="n">
        <v>44452</v>
      </c>
      <c r="C274" s="1" t="n">
        <v>45939</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11619-2023</t>
        </is>
      </c>
      <c r="B275" s="1" t="n">
        <v>44994.42113425926</v>
      </c>
      <c r="C275" s="1" t="n">
        <v>45939</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5074-2023</t>
        </is>
      </c>
      <c r="B276" s="1" t="n">
        <v>44958.61047453704</v>
      </c>
      <c r="C276" s="1" t="n">
        <v>45939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6368-2023</t>
        </is>
      </c>
      <c r="B277" s="1" t="n">
        <v>44965</v>
      </c>
      <c r="C277" s="1" t="n">
        <v>45939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5701-2024</t>
        </is>
      </c>
      <c r="B278" s="1" t="n">
        <v>45334.78826388889</v>
      </c>
      <c r="C278" s="1" t="n">
        <v>45939</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14137-2023</t>
        </is>
      </c>
      <c r="B279" s="1" t="n">
        <v>45009.4671875</v>
      </c>
      <c r="C279" s="1" t="n">
        <v>45939</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7630-2025</t>
        </is>
      </c>
      <c r="B280" s="1" t="n">
        <v>45705.74418981482</v>
      </c>
      <c r="C280" s="1" t="n">
        <v>45939</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37578-2025</t>
        </is>
      </c>
      <c r="B281" s="1" t="n">
        <v>45880.38380787037</v>
      </c>
      <c r="C281" s="1" t="n">
        <v>45939</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47063-2022</t>
        </is>
      </c>
      <c r="B282" s="1" t="n">
        <v>44852</v>
      </c>
      <c r="C282" s="1" t="n">
        <v>45939</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12819-2024</t>
        </is>
      </c>
      <c r="B283" s="1" t="n">
        <v>45384.66917824074</v>
      </c>
      <c r="C283" s="1" t="n">
        <v>45939</v>
      </c>
      <c r="D283" t="inlineStr">
        <is>
          <t>KALMAR LÄN</t>
        </is>
      </c>
      <c r="E283" t="inlineStr">
        <is>
          <t>VIMMERBY</t>
        </is>
      </c>
      <c r="G283" t="n">
        <v>5.1</v>
      </c>
      <c r="H283" t="n">
        <v>0</v>
      </c>
      <c r="I283" t="n">
        <v>0</v>
      </c>
      <c r="J283" t="n">
        <v>0</v>
      </c>
      <c r="K283" t="n">
        <v>0</v>
      </c>
      <c r="L283" t="n">
        <v>0</v>
      </c>
      <c r="M283" t="n">
        <v>0</v>
      </c>
      <c r="N283" t="n">
        <v>0</v>
      </c>
      <c r="O283" t="n">
        <v>0</v>
      </c>
      <c r="P283" t="n">
        <v>0</v>
      </c>
      <c r="Q283" t="n">
        <v>0</v>
      </c>
      <c r="R283" s="2" t="inlineStr"/>
    </row>
    <row r="284" ht="15" customHeight="1">
      <c r="A284" t="inlineStr">
        <is>
          <t>A 38780-2021</t>
        </is>
      </c>
      <c r="B284" s="1" t="n">
        <v>44410</v>
      </c>
      <c r="C284" s="1" t="n">
        <v>45939</v>
      </c>
      <c r="D284" t="inlineStr">
        <is>
          <t>KALMAR LÄN</t>
        </is>
      </c>
      <c r="E284" t="inlineStr">
        <is>
          <t>VIMMERBY</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7797-2023</t>
        </is>
      </c>
      <c r="B285" s="1" t="n">
        <v>44973.43075231482</v>
      </c>
      <c r="C285" s="1" t="n">
        <v>45939</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30503-2023</t>
        </is>
      </c>
      <c r="B286" s="1" t="n">
        <v>45111</v>
      </c>
      <c r="C286" s="1" t="n">
        <v>45939</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24655-2021</t>
        </is>
      </c>
      <c r="B287" s="1" t="n">
        <v>44340</v>
      </c>
      <c r="C287" s="1" t="n">
        <v>45939</v>
      </c>
      <c r="D287" t="inlineStr">
        <is>
          <t>KALMAR LÄN</t>
        </is>
      </c>
      <c r="E287" t="inlineStr">
        <is>
          <t>VIMMERBY</t>
        </is>
      </c>
      <c r="G287" t="n">
        <v>14.9</v>
      </c>
      <c r="H287" t="n">
        <v>0</v>
      </c>
      <c r="I287" t="n">
        <v>0</v>
      </c>
      <c r="J287" t="n">
        <v>0</v>
      </c>
      <c r="K287" t="n">
        <v>0</v>
      </c>
      <c r="L287" t="n">
        <v>0</v>
      </c>
      <c r="M287" t="n">
        <v>0</v>
      </c>
      <c r="N287" t="n">
        <v>0</v>
      </c>
      <c r="O287" t="n">
        <v>0</v>
      </c>
      <c r="P287" t="n">
        <v>0</v>
      </c>
      <c r="Q287" t="n">
        <v>0</v>
      </c>
      <c r="R287" s="2" t="inlineStr"/>
    </row>
    <row r="288" ht="15" customHeight="1">
      <c r="A288" t="inlineStr">
        <is>
          <t>A 60110-2022</t>
        </is>
      </c>
      <c r="B288" s="1" t="n">
        <v>44909</v>
      </c>
      <c r="C288" s="1" t="n">
        <v>45939</v>
      </c>
      <c r="D288" t="inlineStr">
        <is>
          <t>KALMAR LÄN</t>
        </is>
      </c>
      <c r="E288" t="inlineStr">
        <is>
          <t>VIMMERBY</t>
        </is>
      </c>
      <c r="G288" t="n">
        <v>1.7</v>
      </c>
      <c r="H288" t="n">
        <v>0</v>
      </c>
      <c r="I288" t="n">
        <v>0</v>
      </c>
      <c r="J288" t="n">
        <v>0</v>
      </c>
      <c r="K288" t="n">
        <v>0</v>
      </c>
      <c r="L288" t="n">
        <v>0</v>
      </c>
      <c r="M288" t="n">
        <v>0</v>
      </c>
      <c r="N288" t="n">
        <v>0</v>
      </c>
      <c r="O288" t="n">
        <v>0</v>
      </c>
      <c r="P288" t="n">
        <v>0</v>
      </c>
      <c r="Q288" t="n">
        <v>0</v>
      </c>
      <c r="R288" s="2" t="inlineStr"/>
    </row>
    <row r="289" ht="15" customHeight="1">
      <c r="A289" t="inlineStr">
        <is>
          <t>A 59300-2024</t>
        </is>
      </c>
      <c r="B289" s="1" t="n">
        <v>45637.66542824074</v>
      </c>
      <c r="C289" s="1" t="n">
        <v>45939</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31382-2023</t>
        </is>
      </c>
      <c r="B290" s="1" t="n">
        <v>45114.55136574074</v>
      </c>
      <c r="C290" s="1" t="n">
        <v>45939</v>
      </c>
      <c r="D290" t="inlineStr">
        <is>
          <t>KALMAR LÄN</t>
        </is>
      </c>
      <c r="E290" t="inlineStr">
        <is>
          <t>VIMMERBY</t>
        </is>
      </c>
      <c r="G290" t="n">
        <v>3.7</v>
      </c>
      <c r="H290" t="n">
        <v>0</v>
      </c>
      <c r="I290" t="n">
        <v>0</v>
      </c>
      <c r="J290" t="n">
        <v>0</v>
      </c>
      <c r="K290" t="n">
        <v>0</v>
      </c>
      <c r="L290" t="n">
        <v>0</v>
      </c>
      <c r="M290" t="n">
        <v>0</v>
      </c>
      <c r="N290" t="n">
        <v>0</v>
      </c>
      <c r="O290" t="n">
        <v>0</v>
      </c>
      <c r="P290" t="n">
        <v>0</v>
      </c>
      <c r="Q290" t="n">
        <v>0</v>
      </c>
      <c r="R290" s="2" t="inlineStr"/>
    </row>
    <row r="291" ht="15" customHeight="1">
      <c r="A291" t="inlineStr">
        <is>
          <t>A 11073-2023</t>
        </is>
      </c>
      <c r="B291" s="1" t="n">
        <v>44992</v>
      </c>
      <c r="C291" s="1" t="n">
        <v>45939</v>
      </c>
      <c r="D291" t="inlineStr">
        <is>
          <t>KALMAR LÄN</t>
        </is>
      </c>
      <c r="E291" t="inlineStr">
        <is>
          <t>VIMMERBY</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45319-2025</t>
        </is>
      </c>
      <c r="B292" s="1" t="n">
        <v>45921.95611111111</v>
      </c>
      <c r="C292" s="1" t="n">
        <v>45939</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8410-2023</t>
        </is>
      </c>
      <c r="B293" s="1" t="n">
        <v>44977</v>
      </c>
      <c r="C293" s="1" t="n">
        <v>45939</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19445-2021</t>
        </is>
      </c>
      <c r="B294" s="1" t="n">
        <v>44310</v>
      </c>
      <c r="C294" s="1" t="n">
        <v>45939</v>
      </c>
      <c r="D294" t="inlineStr">
        <is>
          <t>KALMAR LÄN</t>
        </is>
      </c>
      <c r="E294" t="inlineStr">
        <is>
          <t>VIMMERBY</t>
        </is>
      </c>
      <c r="G294" t="n">
        <v>6.8</v>
      </c>
      <c r="H294" t="n">
        <v>0</v>
      </c>
      <c r="I294" t="n">
        <v>0</v>
      </c>
      <c r="J294" t="n">
        <v>0</v>
      </c>
      <c r="K294" t="n">
        <v>0</v>
      </c>
      <c r="L294" t="n">
        <v>0</v>
      </c>
      <c r="M294" t="n">
        <v>0</v>
      </c>
      <c r="N294" t="n">
        <v>0</v>
      </c>
      <c r="O294" t="n">
        <v>0</v>
      </c>
      <c r="P294" t="n">
        <v>0</v>
      </c>
      <c r="Q294" t="n">
        <v>0</v>
      </c>
      <c r="R294" s="2" t="inlineStr"/>
    </row>
    <row r="295" ht="15" customHeight="1">
      <c r="A295" t="inlineStr">
        <is>
          <t>A 59955-2023</t>
        </is>
      </c>
      <c r="B295" s="1" t="n">
        <v>45257.70313657408</v>
      </c>
      <c r="C295" s="1" t="n">
        <v>45939</v>
      </c>
      <c r="D295" t="inlineStr">
        <is>
          <t>KALMAR LÄN</t>
        </is>
      </c>
      <c r="E295" t="inlineStr">
        <is>
          <t>VIMMERBY</t>
        </is>
      </c>
      <c r="G295" t="n">
        <v>13.8</v>
      </c>
      <c r="H295" t="n">
        <v>0</v>
      </c>
      <c r="I295" t="n">
        <v>0</v>
      </c>
      <c r="J295" t="n">
        <v>0</v>
      </c>
      <c r="K295" t="n">
        <v>0</v>
      </c>
      <c r="L295" t="n">
        <v>0</v>
      </c>
      <c r="M295" t="n">
        <v>0</v>
      </c>
      <c r="N295" t="n">
        <v>0</v>
      </c>
      <c r="O295" t="n">
        <v>0</v>
      </c>
      <c r="P295" t="n">
        <v>0</v>
      </c>
      <c r="Q295" t="n">
        <v>0</v>
      </c>
      <c r="R295" s="2" t="inlineStr"/>
    </row>
    <row r="296" ht="15" customHeight="1">
      <c r="A296" t="inlineStr">
        <is>
          <t>A 6028-2023</t>
        </is>
      </c>
      <c r="B296" s="1" t="n">
        <v>44964.44356481481</v>
      </c>
      <c r="C296" s="1" t="n">
        <v>45939</v>
      </c>
      <c r="D296" t="inlineStr">
        <is>
          <t>KALMAR LÄN</t>
        </is>
      </c>
      <c r="E296" t="inlineStr">
        <is>
          <t>VIMMERBY</t>
        </is>
      </c>
      <c r="G296" t="n">
        <v>2.5</v>
      </c>
      <c r="H296" t="n">
        <v>0</v>
      </c>
      <c r="I296" t="n">
        <v>0</v>
      </c>
      <c r="J296" t="n">
        <v>0</v>
      </c>
      <c r="K296" t="n">
        <v>0</v>
      </c>
      <c r="L296" t="n">
        <v>0</v>
      </c>
      <c r="M296" t="n">
        <v>0</v>
      </c>
      <c r="N296" t="n">
        <v>0</v>
      </c>
      <c r="O296" t="n">
        <v>0</v>
      </c>
      <c r="P296" t="n">
        <v>0</v>
      </c>
      <c r="Q296" t="n">
        <v>0</v>
      </c>
      <c r="R296" s="2" t="inlineStr"/>
    </row>
    <row r="297" ht="15" customHeight="1">
      <c r="A297" t="inlineStr">
        <is>
          <t>A 52823-2024</t>
        </is>
      </c>
      <c r="B297" s="1" t="n">
        <v>45610.59094907407</v>
      </c>
      <c r="C297" s="1" t="n">
        <v>45939</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18329-2023</t>
        </is>
      </c>
      <c r="B298" s="1" t="n">
        <v>45041.63380787037</v>
      </c>
      <c r="C298" s="1" t="n">
        <v>45939</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36802-2021</t>
        </is>
      </c>
      <c r="B299" s="1" t="n">
        <v>44392</v>
      </c>
      <c r="C299" s="1" t="n">
        <v>45939</v>
      </c>
      <c r="D299" t="inlineStr">
        <is>
          <t>KALMAR LÄN</t>
        </is>
      </c>
      <c r="E299" t="inlineStr">
        <is>
          <t>VIMMERBY</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5720-2023</t>
        </is>
      </c>
      <c r="B300" s="1" t="n">
        <v>44961</v>
      </c>
      <c r="C300" s="1" t="n">
        <v>45939</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56853-2022</t>
        </is>
      </c>
      <c r="B301" s="1" t="n">
        <v>44894.49538194444</v>
      </c>
      <c r="C301" s="1" t="n">
        <v>45939</v>
      </c>
      <c r="D301" t="inlineStr">
        <is>
          <t>KALMAR LÄN</t>
        </is>
      </c>
      <c r="E301" t="inlineStr">
        <is>
          <t>VIMMERBY</t>
        </is>
      </c>
      <c r="G301" t="n">
        <v>4.3</v>
      </c>
      <c r="H301" t="n">
        <v>0</v>
      </c>
      <c r="I301" t="n">
        <v>0</v>
      </c>
      <c r="J301" t="n">
        <v>0</v>
      </c>
      <c r="K301" t="n">
        <v>0</v>
      </c>
      <c r="L301" t="n">
        <v>0</v>
      </c>
      <c r="M301" t="n">
        <v>0</v>
      </c>
      <c r="N301" t="n">
        <v>0</v>
      </c>
      <c r="O301" t="n">
        <v>0</v>
      </c>
      <c r="P301" t="n">
        <v>0</v>
      </c>
      <c r="Q301" t="n">
        <v>0</v>
      </c>
      <c r="R301" s="2" t="inlineStr"/>
    </row>
    <row r="302" ht="15" customHeight="1">
      <c r="A302" t="inlineStr">
        <is>
          <t>A 61538-2022</t>
        </is>
      </c>
      <c r="B302" s="1" t="n">
        <v>44916.55414351852</v>
      </c>
      <c r="C302" s="1" t="n">
        <v>45939</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11152-2023</t>
        </is>
      </c>
      <c r="B303" s="1" t="n">
        <v>44992</v>
      </c>
      <c r="C303" s="1" t="n">
        <v>45939</v>
      </c>
      <c r="D303" t="inlineStr">
        <is>
          <t>KALMAR LÄN</t>
        </is>
      </c>
      <c r="E303" t="inlineStr">
        <is>
          <t>VIMMERBY</t>
        </is>
      </c>
      <c r="G303" t="n">
        <v>10.6</v>
      </c>
      <c r="H303" t="n">
        <v>0</v>
      </c>
      <c r="I303" t="n">
        <v>0</v>
      </c>
      <c r="J303" t="n">
        <v>0</v>
      </c>
      <c r="K303" t="n">
        <v>0</v>
      </c>
      <c r="L303" t="n">
        <v>0</v>
      </c>
      <c r="M303" t="n">
        <v>0</v>
      </c>
      <c r="N303" t="n">
        <v>0</v>
      </c>
      <c r="O303" t="n">
        <v>0</v>
      </c>
      <c r="P303" t="n">
        <v>0</v>
      </c>
      <c r="Q303" t="n">
        <v>0</v>
      </c>
      <c r="R303" s="2" t="inlineStr"/>
    </row>
    <row r="304" ht="15" customHeight="1">
      <c r="A304" t="inlineStr">
        <is>
          <t>A 61820-2023</t>
        </is>
      </c>
      <c r="B304" s="1" t="n">
        <v>45266.32614583334</v>
      </c>
      <c r="C304" s="1" t="n">
        <v>45939</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15550-2023</t>
        </is>
      </c>
      <c r="B305" s="1" t="n">
        <v>45020</v>
      </c>
      <c r="C305" s="1" t="n">
        <v>45939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3269-2024</t>
        </is>
      </c>
      <c r="B306" s="1" t="n">
        <v>45317.40372685185</v>
      </c>
      <c r="C306" s="1" t="n">
        <v>45939</v>
      </c>
      <c r="D306" t="inlineStr">
        <is>
          <t>KALMAR LÄN</t>
        </is>
      </c>
      <c r="E306" t="inlineStr">
        <is>
          <t>VIMMERBY</t>
        </is>
      </c>
      <c r="F306" t="inlineStr">
        <is>
          <t>Övriga Aktiebolag</t>
        </is>
      </c>
      <c r="G306" t="n">
        <v>1.7</v>
      </c>
      <c r="H306" t="n">
        <v>0</v>
      </c>
      <c r="I306" t="n">
        <v>0</v>
      </c>
      <c r="J306" t="n">
        <v>0</v>
      </c>
      <c r="K306" t="n">
        <v>0</v>
      </c>
      <c r="L306" t="n">
        <v>0</v>
      </c>
      <c r="M306" t="n">
        <v>0</v>
      </c>
      <c r="N306" t="n">
        <v>0</v>
      </c>
      <c r="O306" t="n">
        <v>0</v>
      </c>
      <c r="P306" t="n">
        <v>0</v>
      </c>
      <c r="Q306" t="n">
        <v>0</v>
      </c>
      <c r="R306" s="2" t="inlineStr"/>
    </row>
    <row r="307" ht="15" customHeight="1">
      <c r="A307" t="inlineStr">
        <is>
          <t>A 694-2024</t>
        </is>
      </c>
      <c r="B307" s="1" t="n">
        <v>45300.3794212963</v>
      </c>
      <c r="C307" s="1" t="n">
        <v>45939</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57114-2023</t>
        </is>
      </c>
      <c r="B308" s="1" t="n">
        <v>45245.36174768519</v>
      </c>
      <c r="C308" s="1" t="n">
        <v>45939</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2157-2024</t>
        </is>
      </c>
      <c r="B309" s="1" t="n">
        <v>45309.59487268519</v>
      </c>
      <c r="C309" s="1" t="n">
        <v>45939</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9416-2024</t>
        </is>
      </c>
      <c r="B310" s="1" t="n">
        <v>45359.44837962963</v>
      </c>
      <c r="C310" s="1" t="n">
        <v>45939</v>
      </c>
      <c r="D310" t="inlineStr">
        <is>
          <t>KALMAR LÄN</t>
        </is>
      </c>
      <c r="E310" t="inlineStr">
        <is>
          <t>VIMMERBY</t>
        </is>
      </c>
      <c r="G310" t="n">
        <v>3.2</v>
      </c>
      <c r="H310" t="n">
        <v>0</v>
      </c>
      <c r="I310" t="n">
        <v>0</v>
      </c>
      <c r="J310" t="n">
        <v>0</v>
      </c>
      <c r="K310" t="n">
        <v>0</v>
      </c>
      <c r="L310" t="n">
        <v>0</v>
      </c>
      <c r="M310" t="n">
        <v>0</v>
      </c>
      <c r="N310" t="n">
        <v>0</v>
      </c>
      <c r="O310" t="n">
        <v>0</v>
      </c>
      <c r="P310" t="n">
        <v>0</v>
      </c>
      <c r="Q310" t="n">
        <v>0</v>
      </c>
      <c r="R310" s="2" t="inlineStr"/>
    </row>
    <row r="311" ht="15" customHeight="1">
      <c r="A311" t="inlineStr">
        <is>
          <t>A 58318-2021</t>
        </is>
      </c>
      <c r="B311" s="1" t="n">
        <v>44488.35878472222</v>
      </c>
      <c r="C311" s="1" t="n">
        <v>45939</v>
      </c>
      <c r="D311" t="inlineStr">
        <is>
          <t>KALMAR LÄN</t>
        </is>
      </c>
      <c r="E311" t="inlineStr">
        <is>
          <t>VIMMERBY</t>
        </is>
      </c>
      <c r="G311" t="n">
        <v>4</v>
      </c>
      <c r="H311" t="n">
        <v>0</v>
      </c>
      <c r="I311" t="n">
        <v>0</v>
      </c>
      <c r="J311" t="n">
        <v>0</v>
      </c>
      <c r="K311" t="n">
        <v>0</v>
      </c>
      <c r="L311" t="n">
        <v>0</v>
      </c>
      <c r="M311" t="n">
        <v>0</v>
      </c>
      <c r="N311" t="n">
        <v>0</v>
      </c>
      <c r="O311" t="n">
        <v>0</v>
      </c>
      <c r="P311" t="n">
        <v>0</v>
      </c>
      <c r="Q311" t="n">
        <v>0</v>
      </c>
      <c r="R311" s="2" t="inlineStr"/>
    </row>
    <row r="312" ht="15" customHeight="1">
      <c r="A312" t="inlineStr">
        <is>
          <t>A 53083-2021</t>
        </is>
      </c>
      <c r="B312" s="1" t="n">
        <v>44467.83386574074</v>
      </c>
      <c r="C312" s="1" t="n">
        <v>45939</v>
      </c>
      <c r="D312" t="inlineStr">
        <is>
          <t>KALMAR LÄN</t>
        </is>
      </c>
      <c r="E312" t="inlineStr">
        <is>
          <t>VIMMERBY</t>
        </is>
      </c>
      <c r="G312" t="n">
        <v>6.8</v>
      </c>
      <c r="H312" t="n">
        <v>0</v>
      </c>
      <c r="I312" t="n">
        <v>0</v>
      </c>
      <c r="J312" t="n">
        <v>0</v>
      </c>
      <c r="K312" t="n">
        <v>0</v>
      </c>
      <c r="L312" t="n">
        <v>0</v>
      </c>
      <c r="M312" t="n">
        <v>0</v>
      </c>
      <c r="N312" t="n">
        <v>0</v>
      </c>
      <c r="O312" t="n">
        <v>0</v>
      </c>
      <c r="P312" t="n">
        <v>0</v>
      </c>
      <c r="Q312" t="n">
        <v>0</v>
      </c>
      <c r="R312" s="2" t="inlineStr"/>
    </row>
    <row r="313" ht="15" customHeight="1">
      <c r="A313" t="inlineStr">
        <is>
          <t>A 29173-2024</t>
        </is>
      </c>
      <c r="B313" s="1" t="n">
        <v>45482.52887731481</v>
      </c>
      <c r="C313" s="1" t="n">
        <v>45939</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46118-2025</t>
        </is>
      </c>
      <c r="B314" s="1" t="n">
        <v>45924.57697916667</v>
      </c>
      <c r="C314" s="1" t="n">
        <v>45939</v>
      </c>
      <c r="D314" t="inlineStr">
        <is>
          <t>KALMAR LÄN</t>
        </is>
      </c>
      <c r="E314" t="inlineStr">
        <is>
          <t>VIMMERBY</t>
        </is>
      </c>
      <c r="G314" t="n">
        <v>2.9</v>
      </c>
      <c r="H314" t="n">
        <v>0</v>
      </c>
      <c r="I314" t="n">
        <v>0</v>
      </c>
      <c r="J314" t="n">
        <v>0</v>
      </c>
      <c r="K314" t="n">
        <v>0</v>
      </c>
      <c r="L314" t="n">
        <v>0</v>
      </c>
      <c r="M314" t="n">
        <v>0</v>
      </c>
      <c r="N314" t="n">
        <v>0</v>
      </c>
      <c r="O314" t="n">
        <v>0</v>
      </c>
      <c r="P314" t="n">
        <v>0</v>
      </c>
      <c r="Q314" t="n">
        <v>0</v>
      </c>
      <c r="R314" s="2" t="inlineStr"/>
    </row>
    <row r="315" ht="15" customHeight="1">
      <c r="A315" t="inlineStr">
        <is>
          <t>A 11111-2024</t>
        </is>
      </c>
      <c r="B315" s="1" t="n">
        <v>45371.36359953704</v>
      </c>
      <c r="C315" s="1" t="n">
        <v>45939</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11141-2024</t>
        </is>
      </c>
      <c r="B316" s="1" t="n">
        <v>45371.45865740741</v>
      </c>
      <c r="C316" s="1" t="n">
        <v>45939</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9418-2024</t>
        </is>
      </c>
      <c r="B317" s="1" t="n">
        <v>45359.45038194444</v>
      </c>
      <c r="C317" s="1" t="n">
        <v>45939</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31355-2023</t>
        </is>
      </c>
      <c r="B318" s="1" t="n">
        <v>45114.49505787037</v>
      </c>
      <c r="C318" s="1" t="n">
        <v>45939</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18330-2023</t>
        </is>
      </c>
      <c r="B319" s="1" t="n">
        <v>45041</v>
      </c>
      <c r="C319" s="1" t="n">
        <v>45939</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37866-2025</t>
        </is>
      </c>
      <c r="B320" s="1" t="n">
        <v>45881</v>
      </c>
      <c r="C320" s="1" t="n">
        <v>45939</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12327-2023</t>
        </is>
      </c>
      <c r="B321" s="1" t="n">
        <v>44999.36081018519</v>
      </c>
      <c r="C321" s="1" t="n">
        <v>45939</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49313-2022</t>
        </is>
      </c>
      <c r="B322" s="1" t="n">
        <v>44861.52505787037</v>
      </c>
      <c r="C322" s="1" t="n">
        <v>45939</v>
      </c>
      <c r="D322" t="inlineStr">
        <is>
          <t>KALMAR LÄN</t>
        </is>
      </c>
      <c r="E322" t="inlineStr">
        <is>
          <t>VIMMERBY</t>
        </is>
      </c>
      <c r="G322" t="n">
        <v>1.9</v>
      </c>
      <c r="H322" t="n">
        <v>0</v>
      </c>
      <c r="I322" t="n">
        <v>0</v>
      </c>
      <c r="J322" t="n">
        <v>0</v>
      </c>
      <c r="K322" t="n">
        <v>0</v>
      </c>
      <c r="L322" t="n">
        <v>0</v>
      </c>
      <c r="M322" t="n">
        <v>0</v>
      </c>
      <c r="N322" t="n">
        <v>0</v>
      </c>
      <c r="O322" t="n">
        <v>0</v>
      </c>
      <c r="P322" t="n">
        <v>0</v>
      </c>
      <c r="Q322" t="n">
        <v>0</v>
      </c>
      <c r="R322" s="2" t="inlineStr"/>
    </row>
    <row r="323" ht="15" customHeight="1">
      <c r="A323" t="inlineStr">
        <is>
          <t>A 35998-2024</t>
        </is>
      </c>
      <c r="B323" s="1" t="n">
        <v>45533.54429398148</v>
      </c>
      <c r="C323" s="1" t="n">
        <v>45939</v>
      </c>
      <c r="D323" t="inlineStr">
        <is>
          <t>KALMAR LÄN</t>
        </is>
      </c>
      <c r="E323" t="inlineStr">
        <is>
          <t>VIMMERBY</t>
        </is>
      </c>
      <c r="G323" t="n">
        <v>8.6</v>
      </c>
      <c r="H323" t="n">
        <v>0</v>
      </c>
      <c r="I323" t="n">
        <v>0</v>
      </c>
      <c r="J323" t="n">
        <v>0</v>
      </c>
      <c r="K323" t="n">
        <v>0</v>
      </c>
      <c r="L323" t="n">
        <v>0</v>
      </c>
      <c r="M323" t="n">
        <v>0</v>
      </c>
      <c r="N323" t="n">
        <v>0</v>
      </c>
      <c r="O323" t="n">
        <v>0</v>
      </c>
      <c r="P323" t="n">
        <v>0</v>
      </c>
      <c r="Q323" t="n">
        <v>0</v>
      </c>
      <c r="R323" s="2" t="inlineStr"/>
    </row>
    <row r="324" ht="15" customHeight="1">
      <c r="A324" t="inlineStr">
        <is>
          <t>A 36040-2024</t>
        </is>
      </c>
      <c r="B324" s="1" t="n">
        <v>45533.60232638889</v>
      </c>
      <c r="C324" s="1" t="n">
        <v>45939</v>
      </c>
      <c r="D324" t="inlineStr">
        <is>
          <t>KALMAR LÄN</t>
        </is>
      </c>
      <c r="E324" t="inlineStr">
        <is>
          <t>VIMMERBY</t>
        </is>
      </c>
      <c r="F324" t="inlineStr">
        <is>
          <t>Kommuner</t>
        </is>
      </c>
      <c r="G324" t="n">
        <v>3.6</v>
      </c>
      <c r="H324" t="n">
        <v>0</v>
      </c>
      <c r="I324" t="n">
        <v>0</v>
      </c>
      <c r="J324" t="n">
        <v>0</v>
      </c>
      <c r="K324" t="n">
        <v>0</v>
      </c>
      <c r="L324" t="n">
        <v>0</v>
      </c>
      <c r="M324" t="n">
        <v>0</v>
      </c>
      <c r="N324" t="n">
        <v>0</v>
      </c>
      <c r="O324" t="n">
        <v>0</v>
      </c>
      <c r="P324" t="n">
        <v>0</v>
      </c>
      <c r="Q324" t="n">
        <v>0</v>
      </c>
      <c r="R324" s="2" t="inlineStr"/>
    </row>
    <row r="325" ht="15" customHeight="1">
      <c r="A325" t="inlineStr">
        <is>
          <t>A 36043-2024</t>
        </is>
      </c>
      <c r="B325" s="1" t="n">
        <v>45533.60770833334</v>
      </c>
      <c r="C325" s="1" t="n">
        <v>45939</v>
      </c>
      <c r="D325" t="inlineStr">
        <is>
          <t>KALMAR LÄN</t>
        </is>
      </c>
      <c r="E325" t="inlineStr">
        <is>
          <t>VIMMERBY</t>
        </is>
      </c>
      <c r="F325" t="inlineStr">
        <is>
          <t>Kommuner</t>
        </is>
      </c>
      <c r="G325" t="n">
        <v>1.5</v>
      </c>
      <c r="H325" t="n">
        <v>0</v>
      </c>
      <c r="I325" t="n">
        <v>0</v>
      </c>
      <c r="J325" t="n">
        <v>0</v>
      </c>
      <c r="K325" t="n">
        <v>0</v>
      </c>
      <c r="L325" t="n">
        <v>0</v>
      </c>
      <c r="M325" t="n">
        <v>0</v>
      </c>
      <c r="N325" t="n">
        <v>0</v>
      </c>
      <c r="O325" t="n">
        <v>0</v>
      </c>
      <c r="P325" t="n">
        <v>0</v>
      </c>
      <c r="Q325" t="n">
        <v>0</v>
      </c>
      <c r="R325" s="2" t="inlineStr"/>
    </row>
    <row r="326" ht="15" customHeight="1">
      <c r="A326" t="inlineStr">
        <is>
          <t>A 37939-2025</t>
        </is>
      </c>
      <c r="B326" s="1" t="n">
        <v>45881.59877314815</v>
      </c>
      <c r="C326" s="1" t="n">
        <v>45939</v>
      </c>
      <c r="D326" t="inlineStr">
        <is>
          <t>KALMAR LÄN</t>
        </is>
      </c>
      <c r="E326" t="inlineStr">
        <is>
          <t>VIMMERBY</t>
        </is>
      </c>
      <c r="G326" t="n">
        <v>1.3</v>
      </c>
      <c r="H326" t="n">
        <v>0</v>
      </c>
      <c r="I326" t="n">
        <v>0</v>
      </c>
      <c r="J326" t="n">
        <v>0</v>
      </c>
      <c r="K326" t="n">
        <v>0</v>
      </c>
      <c r="L326" t="n">
        <v>0</v>
      </c>
      <c r="M326" t="n">
        <v>0</v>
      </c>
      <c r="N326" t="n">
        <v>0</v>
      </c>
      <c r="O326" t="n">
        <v>0</v>
      </c>
      <c r="P326" t="n">
        <v>0</v>
      </c>
      <c r="Q326" t="n">
        <v>0</v>
      </c>
      <c r="R326" s="2" t="inlineStr"/>
    </row>
    <row r="327" ht="15" customHeight="1">
      <c r="A327" t="inlineStr">
        <is>
          <t>A 58100-2024</t>
        </is>
      </c>
      <c r="B327" s="1" t="n">
        <v>45632.36706018518</v>
      </c>
      <c r="C327" s="1" t="n">
        <v>45939</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30633-2024</t>
        </is>
      </c>
      <c r="B328" s="1" t="n">
        <v>45495</v>
      </c>
      <c r="C328" s="1" t="n">
        <v>45939</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33424-2023</t>
        </is>
      </c>
      <c r="B329" s="1" t="n">
        <v>45128.9325</v>
      </c>
      <c r="C329" s="1" t="n">
        <v>45939</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33425-2023</t>
        </is>
      </c>
      <c r="B330" s="1" t="n">
        <v>45128.93540509259</v>
      </c>
      <c r="C330" s="1" t="n">
        <v>45939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27993-2022</t>
        </is>
      </c>
      <c r="B331" s="1" t="n">
        <v>44745.84396990741</v>
      </c>
      <c r="C331" s="1" t="n">
        <v>45939</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22197-2024</t>
        </is>
      </c>
      <c r="B332" s="1" t="n">
        <v>45446.36774305555</v>
      </c>
      <c r="C332" s="1" t="n">
        <v>45939</v>
      </c>
      <c r="D332" t="inlineStr">
        <is>
          <t>KALMAR LÄN</t>
        </is>
      </c>
      <c r="E332" t="inlineStr">
        <is>
          <t>VIMMERBY</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3609-2024</t>
        </is>
      </c>
      <c r="B333" s="1" t="n">
        <v>45320.89128472222</v>
      </c>
      <c r="C333" s="1" t="n">
        <v>45939</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38969-2023</t>
        </is>
      </c>
      <c r="B334" s="1" t="n">
        <v>45163.63621527778</v>
      </c>
      <c r="C334" s="1" t="n">
        <v>45939</v>
      </c>
      <c r="D334" t="inlineStr">
        <is>
          <t>KALMAR LÄN</t>
        </is>
      </c>
      <c r="E334" t="inlineStr">
        <is>
          <t>VIMMERBY</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35710-2023</t>
        </is>
      </c>
      <c r="B335" s="1" t="n">
        <v>45147.67096064815</v>
      </c>
      <c r="C335" s="1" t="n">
        <v>45939</v>
      </c>
      <c r="D335" t="inlineStr">
        <is>
          <t>KALMAR LÄN</t>
        </is>
      </c>
      <c r="E335" t="inlineStr">
        <is>
          <t>VIMMERBY</t>
        </is>
      </c>
      <c r="G335" t="n">
        <v>3.1</v>
      </c>
      <c r="H335" t="n">
        <v>0</v>
      </c>
      <c r="I335" t="n">
        <v>0</v>
      </c>
      <c r="J335" t="n">
        <v>0</v>
      </c>
      <c r="K335" t="n">
        <v>0</v>
      </c>
      <c r="L335" t="n">
        <v>0</v>
      </c>
      <c r="M335" t="n">
        <v>0</v>
      </c>
      <c r="N335" t="n">
        <v>0</v>
      </c>
      <c r="O335" t="n">
        <v>0</v>
      </c>
      <c r="P335" t="n">
        <v>0</v>
      </c>
      <c r="Q335" t="n">
        <v>0</v>
      </c>
      <c r="R335" s="2" t="inlineStr"/>
    </row>
    <row r="336" ht="15" customHeight="1">
      <c r="A336" t="inlineStr">
        <is>
          <t>A 35711-2023</t>
        </is>
      </c>
      <c r="B336" s="1" t="n">
        <v>45147.67172453704</v>
      </c>
      <c r="C336" s="1" t="n">
        <v>45939</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53752-2024</t>
        </is>
      </c>
      <c r="B337" s="1" t="n">
        <v>45615.48927083334</v>
      </c>
      <c r="C337" s="1" t="n">
        <v>45939</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34588-2024</t>
        </is>
      </c>
      <c r="B338" s="1" t="n">
        <v>45526.3865625</v>
      </c>
      <c r="C338" s="1" t="n">
        <v>45939</v>
      </c>
      <c r="D338" t="inlineStr">
        <is>
          <t>KALMAR LÄN</t>
        </is>
      </c>
      <c r="E338" t="inlineStr">
        <is>
          <t>VIMMERBY</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56659-2023</t>
        </is>
      </c>
      <c r="B339" s="1" t="n">
        <v>45243.84869212963</v>
      </c>
      <c r="C339" s="1" t="n">
        <v>45939</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8650-2022</t>
        </is>
      </c>
      <c r="B340" s="1" t="n">
        <v>44613</v>
      </c>
      <c r="C340" s="1" t="n">
        <v>45939</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58728-2024</t>
        </is>
      </c>
      <c r="B341" s="1" t="n">
        <v>45635.66695601852</v>
      </c>
      <c r="C341" s="1" t="n">
        <v>45939</v>
      </c>
      <c r="D341" t="inlineStr">
        <is>
          <t>KALMAR LÄN</t>
        </is>
      </c>
      <c r="E341" t="inlineStr">
        <is>
          <t>VIMMERBY</t>
        </is>
      </c>
      <c r="G341" t="n">
        <v>0.4</v>
      </c>
      <c r="H341" t="n">
        <v>0</v>
      </c>
      <c r="I341" t="n">
        <v>0</v>
      </c>
      <c r="J341" t="n">
        <v>0</v>
      </c>
      <c r="K341" t="n">
        <v>0</v>
      </c>
      <c r="L341" t="n">
        <v>0</v>
      </c>
      <c r="M341" t="n">
        <v>0</v>
      </c>
      <c r="N341" t="n">
        <v>0</v>
      </c>
      <c r="O341" t="n">
        <v>0</v>
      </c>
      <c r="P341" t="n">
        <v>0</v>
      </c>
      <c r="Q341" t="n">
        <v>0</v>
      </c>
      <c r="R341" s="2" t="inlineStr"/>
    </row>
    <row r="342" ht="15" customHeight="1">
      <c r="A342" t="inlineStr">
        <is>
          <t>A 43242-2024</t>
        </is>
      </c>
      <c r="B342" s="1" t="n">
        <v>45568.30189814815</v>
      </c>
      <c r="C342" s="1" t="n">
        <v>45939</v>
      </c>
      <c r="D342" t="inlineStr">
        <is>
          <t>KALMAR LÄN</t>
        </is>
      </c>
      <c r="E342" t="inlineStr">
        <is>
          <t>VIMMERBY</t>
        </is>
      </c>
      <c r="G342" t="n">
        <v>2.6</v>
      </c>
      <c r="H342" t="n">
        <v>0</v>
      </c>
      <c r="I342" t="n">
        <v>0</v>
      </c>
      <c r="J342" t="n">
        <v>0</v>
      </c>
      <c r="K342" t="n">
        <v>0</v>
      </c>
      <c r="L342" t="n">
        <v>0</v>
      </c>
      <c r="M342" t="n">
        <v>0</v>
      </c>
      <c r="N342" t="n">
        <v>0</v>
      </c>
      <c r="O342" t="n">
        <v>0</v>
      </c>
      <c r="P342" t="n">
        <v>0</v>
      </c>
      <c r="Q342" t="n">
        <v>0</v>
      </c>
      <c r="R342" s="2" t="inlineStr"/>
    </row>
    <row r="343" ht="15" customHeight="1">
      <c r="A343" t="inlineStr">
        <is>
          <t>A 16983-2023</t>
        </is>
      </c>
      <c r="B343" s="1" t="n">
        <v>45033.76043981482</v>
      </c>
      <c r="C343" s="1" t="n">
        <v>45939</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6405-2025</t>
        </is>
      </c>
      <c r="B344" s="1" t="n">
        <v>45699.45392361111</v>
      </c>
      <c r="C344" s="1" t="n">
        <v>45939</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36843-2023</t>
        </is>
      </c>
      <c r="B345" s="1" t="n">
        <v>45154.49831018518</v>
      </c>
      <c r="C345" s="1" t="n">
        <v>45939</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11147-2023</t>
        </is>
      </c>
      <c r="B346" s="1" t="n">
        <v>44992</v>
      </c>
      <c r="C346" s="1" t="n">
        <v>45939</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57486-2024</t>
        </is>
      </c>
      <c r="B347" s="1" t="n">
        <v>45630.35827546296</v>
      </c>
      <c r="C347" s="1" t="n">
        <v>45939</v>
      </c>
      <c r="D347" t="inlineStr">
        <is>
          <t>KALMAR LÄN</t>
        </is>
      </c>
      <c r="E347" t="inlineStr">
        <is>
          <t>VIMMERBY</t>
        </is>
      </c>
      <c r="G347" t="n">
        <v>0.4</v>
      </c>
      <c r="H347" t="n">
        <v>0</v>
      </c>
      <c r="I347" t="n">
        <v>0</v>
      </c>
      <c r="J347" t="n">
        <v>0</v>
      </c>
      <c r="K347" t="n">
        <v>0</v>
      </c>
      <c r="L347" t="n">
        <v>0</v>
      </c>
      <c r="M347" t="n">
        <v>0</v>
      </c>
      <c r="N347" t="n">
        <v>0</v>
      </c>
      <c r="O347" t="n">
        <v>0</v>
      </c>
      <c r="P347" t="n">
        <v>0</v>
      </c>
      <c r="Q347" t="n">
        <v>0</v>
      </c>
      <c r="R347" s="2" t="inlineStr"/>
    </row>
    <row r="348" ht="15" customHeight="1">
      <c r="A348" t="inlineStr">
        <is>
          <t>A 3331-2023</t>
        </is>
      </c>
      <c r="B348" s="1" t="n">
        <v>44949</v>
      </c>
      <c r="C348" s="1" t="n">
        <v>45939</v>
      </c>
      <c r="D348" t="inlineStr">
        <is>
          <t>KALMAR LÄN</t>
        </is>
      </c>
      <c r="E348" t="inlineStr">
        <is>
          <t>VIMMERBY</t>
        </is>
      </c>
      <c r="G348" t="n">
        <v>6.2</v>
      </c>
      <c r="H348" t="n">
        <v>0</v>
      </c>
      <c r="I348" t="n">
        <v>0</v>
      </c>
      <c r="J348" t="n">
        <v>0</v>
      </c>
      <c r="K348" t="n">
        <v>0</v>
      </c>
      <c r="L348" t="n">
        <v>0</v>
      </c>
      <c r="M348" t="n">
        <v>0</v>
      </c>
      <c r="N348" t="n">
        <v>0</v>
      </c>
      <c r="O348" t="n">
        <v>0</v>
      </c>
      <c r="P348" t="n">
        <v>0</v>
      </c>
      <c r="Q348" t="n">
        <v>0</v>
      </c>
      <c r="R348" s="2" t="inlineStr"/>
    </row>
    <row r="349" ht="15" customHeight="1">
      <c r="A349" t="inlineStr">
        <is>
          <t>A 66295-2020</t>
        </is>
      </c>
      <c r="B349" s="1" t="n">
        <v>44176</v>
      </c>
      <c r="C349" s="1" t="n">
        <v>45939</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16676-2023</t>
        </is>
      </c>
      <c r="B350" s="1" t="n">
        <v>45028</v>
      </c>
      <c r="C350" s="1" t="n">
        <v>45939</v>
      </c>
      <c r="D350" t="inlineStr">
        <is>
          <t>KALMAR LÄN</t>
        </is>
      </c>
      <c r="E350" t="inlineStr">
        <is>
          <t>VIMMERBY</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44423-2023</t>
        </is>
      </c>
      <c r="B351" s="1" t="n">
        <v>45189</v>
      </c>
      <c r="C351" s="1" t="n">
        <v>45939</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23263-2024</t>
        </is>
      </c>
      <c r="B352" s="1" t="n">
        <v>45453.36854166666</v>
      </c>
      <c r="C352" s="1" t="n">
        <v>45939</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20-2025</t>
        </is>
      </c>
      <c r="B353" s="1" t="n">
        <v>45658.80232638889</v>
      </c>
      <c r="C353" s="1" t="n">
        <v>45939</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23-2025</t>
        </is>
      </c>
      <c r="B354" s="1" t="n">
        <v>45658.80827546296</v>
      </c>
      <c r="C354" s="1" t="n">
        <v>45939</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40828-2023</t>
        </is>
      </c>
      <c r="B355" s="1" t="n">
        <v>45171.96248842592</v>
      </c>
      <c r="C355" s="1" t="n">
        <v>45939</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49488-2023</t>
        </is>
      </c>
      <c r="B356" s="1" t="n">
        <v>45211.55472222222</v>
      </c>
      <c r="C356" s="1" t="n">
        <v>45939</v>
      </c>
      <c r="D356" t="inlineStr">
        <is>
          <t>KALMAR LÄN</t>
        </is>
      </c>
      <c r="E356" t="inlineStr">
        <is>
          <t>VIMMERBY</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21496-2023</t>
        </is>
      </c>
      <c r="B357" s="1" t="n">
        <v>45063.49936342592</v>
      </c>
      <c r="C357" s="1" t="n">
        <v>45939</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16734-2023</t>
        </is>
      </c>
      <c r="B358" s="1" t="n">
        <v>45030.71012731481</v>
      </c>
      <c r="C358" s="1" t="n">
        <v>45939</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31056-2022</t>
        </is>
      </c>
      <c r="B359" s="1" t="n">
        <v>44769.45805555556</v>
      </c>
      <c r="C359" s="1" t="n">
        <v>45939</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59768-2024</t>
        </is>
      </c>
      <c r="B360" s="1" t="n">
        <v>45639.56185185185</v>
      </c>
      <c r="C360" s="1" t="n">
        <v>45939</v>
      </c>
      <c r="D360" t="inlineStr">
        <is>
          <t>KALMAR LÄN</t>
        </is>
      </c>
      <c r="E360" t="inlineStr">
        <is>
          <t>VIMMERBY</t>
        </is>
      </c>
      <c r="G360" t="n">
        <v>5.9</v>
      </c>
      <c r="H360" t="n">
        <v>0</v>
      </c>
      <c r="I360" t="n">
        <v>0</v>
      </c>
      <c r="J360" t="n">
        <v>0</v>
      </c>
      <c r="K360" t="n">
        <v>0</v>
      </c>
      <c r="L360" t="n">
        <v>0</v>
      </c>
      <c r="M360" t="n">
        <v>0</v>
      </c>
      <c r="N360" t="n">
        <v>0</v>
      </c>
      <c r="O360" t="n">
        <v>0</v>
      </c>
      <c r="P360" t="n">
        <v>0</v>
      </c>
      <c r="Q360" t="n">
        <v>0</v>
      </c>
      <c r="R360" s="2" t="inlineStr"/>
    </row>
    <row r="361" ht="15" customHeight="1">
      <c r="A361" t="inlineStr">
        <is>
          <t>A 64143-2021</t>
        </is>
      </c>
      <c r="B361" s="1" t="n">
        <v>44510.52157407408</v>
      </c>
      <c r="C361" s="1" t="n">
        <v>45939</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9720-2023</t>
        </is>
      </c>
      <c r="B362" s="1" t="n">
        <v>44984</v>
      </c>
      <c r="C362" s="1" t="n">
        <v>45939</v>
      </c>
      <c r="D362" t="inlineStr">
        <is>
          <t>KALMAR LÄN</t>
        </is>
      </c>
      <c r="E362" t="inlineStr">
        <is>
          <t>VIMMERBY</t>
        </is>
      </c>
      <c r="G362" t="n">
        <v>4.4</v>
      </c>
      <c r="H362" t="n">
        <v>0</v>
      </c>
      <c r="I362" t="n">
        <v>0</v>
      </c>
      <c r="J362" t="n">
        <v>0</v>
      </c>
      <c r="K362" t="n">
        <v>0</v>
      </c>
      <c r="L362" t="n">
        <v>0</v>
      </c>
      <c r="M362" t="n">
        <v>0</v>
      </c>
      <c r="N362" t="n">
        <v>0</v>
      </c>
      <c r="O362" t="n">
        <v>0</v>
      </c>
      <c r="P362" t="n">
        <v>0</v>
      </c>
      <c r="Q362" t="n">
        <v>0</v>
      </c>
      <c r="R362" s="2" t="inlineStr"/>
    </row>
    <row r="363" ht="15" customHeight="1">
      <c r="A363" t="inlineStr">
        <is>
          <t>A 5938-2022</t>
        </is>
      </c>
      <c r="B363" s="1" t="n">
        <v>44598</v>
      </c>
      <c r="C363" s="1" t="n">
        <v>45939</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1687-2023</t>
        </is>
      </c>
      <c r="B364" s="1" t="n">
        <v>44938</v>
      </c>
      <c r="C364" s="1" t="n">
        <v>45939</v>
      </c>
      <c r="D364" t="inlineStr">
        <is>
          <t>KALMAR LÄN</t>
        </is>
      </c>
      <c r="E364" t="inlineStr">
        <is>
          <t>VIMMERBY</t>
        </is>
      </c>
      <c r="F364" t="inlineStr">
        <is>
          <t>Kommuner</t>
        </is>
      </c>
      <c r="G364" t="n">
        <v>2.5</v>
      </c>
      <c r="H364" t="n">
        <v>0</v>
      </c>
      <c r="I364" t="n">
        <v>0</v>
      </c>
      <c r="J364" t="n">
        <v>0</v>
      </c>
      <c r="K364" t="n">
        <v>0</v>
      </c>
      <c r="L364" t="n">
        <v>0</v>
      </c>
      <c r="M364" t="n">
        <v>0</v>
      </c>
      <c r="N364" t="n">
        <v>0</v>
      </c>
      <c r="O364" t="n">
        <v>0</v>
      </c>
      <c r="P364" t="n">
        <v>0</v>
      </c>
      <c r="Q364" t="n">
        <v>0</v>
      </c>
      <c r="R364" s="2" t="inlineStr"/>
    </row>
    <row r="365" ht="15" customHeight="1">
      <c r="A365" t="inlineStr">
        <is>
          <t>A 29440-2024</t>
        </is>
      </c>
      <c r="B365" s="1" t="n">
        <v>45483.82479166667</v>
      </c>
      <c r="C365" s="1" t="n">
        <v>45939</v>
      </c>
      <c r="D365" t="inlineStr">
        <is>
          <t>KALMAR LÄN</t>
        </is>
      </c>
      <c r="E365" t="inlineStr">
        <is>
          <t>VIMMERBY</t>
        </is>
      </c>
      <c r="G365" t="n">
        <v>4.5</v>
      </c>
      <c r="H365" t="n">
        <v>0</v>
      </c>
      <c r="I365" t="n">
        <v>0</v>
      </c>
      <c r="J365" t="n">
        <v>0</v>
      </c>
      <c r="K365" t="n">
        <v>0</v>
      </c>
      <c r="L365" t="n">
        <v>0</v>
      </c>
      <c r="M365" t="n">
        <v>0</v>
      </c>
      <c r="N365" t="n">
        <v>0</v>
      </c>
      <c r="O365" t="n">
        <v>0</v>
      </c>
      <c r="P365" t="n">
        <v>0</v>
      </c>
      <c r="Q365" t="n">
        <v>0</v>
      </c>
      <c r="R365" s="2" t="inlineStr"/>
    </row>
    <row r="366" ht="15" customHeight="1">
      <c r="A366" t="inlineStr">
        <is>
          <t>A 30921-2024</t>
        </is>
      </c>
      <c r="B366" s="1" t="n">
        <v>45498</v>
      </c>
      <c r="C366" s="1" t="n">
        <v>45939</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53482-2022</t>
        </is>
      </c>
      <c r="B367" s="1" t="n">
        <v>44879</v>
      </c>
      <c r="C367" s="1" t="n">
        <v>45939</v>
      </c>
      <c r="D367" t="inlineStr">
        <is>
          <t>KALMAR LÄN</t>
        </is>
      </c>
      <c r="E367" t="inlineStr">
        <is>
          <t>VIMMERBY</t>
        </is>
      </c>
      <c r="G367" t="n">
        <v>10.1</v>
      </c>
      <c r="H367" t="n">
        <v>0</v>
      </c>
      <c r="I367" t="n">
        <v>0</v>
      </c>
      <c r="J367" t="n">
        <v>0</v>
      </c>
      <c r="K367" t="n">
        <v>0</v>
      </c>
      <c r="L367" t="n">
        <v>0</v>
      </c>
      <c r="M367" t="n">
        <v>0</v>
      </c>
      <c r="N367" t="n">
        <v>0</v>
      </c>
      <c r="O367" t="n">
        <v>0</v>
      </c>
      <c r="P367" t="n">
        <v>0</v>
      </c>
      <c r="Q367" t="n">
        <v>0</v>
      </c>
      <c r="R367" s="2" t="inlineStr"/>
    </row>
    <row r="368" ht="15" customHeight="1">
      <c r="A368" t="inlineStr">
        <is>
          <t>A 72701-2021</t>
        </is>
      </c>
      <c r="B368" s="1" t="n">
        <v>44546</v>
      </c>
      <c r="C368" s="1" t="n">
        <v>45939</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72067-2021</t>
        </is>
      </c>
      <c r="B369" s="1" t="n">
        <v>44540</v>
      </c>
      <c r="C369" s="1" t="n">
        <v>45939</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41158-2023</t>
        </is>
      </c>
      <c r="B370" s="1" t="n">
        <v>45174.31395833333</v>
      </c>
      <c r="C370" s="1" t="n">
        <v>45939</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52294-2023</t>
        </is>
      </c>
      <c r="B371" s="1" t="n">
        <v>45224.60075231481</v>
      </c>
      <c r="C371" s="1" t="n">
        <v>45939</v>
      </c>
      <c r="D371" t="inlineStr">
        <is>
          <t>KALMAR LÄN</t>
        </is>
      </c>
      <c r="E371" t="inlineStr">
        <is>
          <t>VIMMERBY</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61355-2024</t>
        </is>
      </c>
      <c r="B372" s="1" t="n">
        <v>45646.38200231481</v>
      </c>
      <c r="C372" s="1" t="n">
        <v>45939</v>
      </c>
      <c r="D372" t="inlineStr">
        <is>
          <t>KALMAR LÄN</t>
        </is>
      </c>
      <c r="E372" t="inlineStr">
        <is>
          <t>VIMMERBY</t>
        </is>
      </c>
      <c r="G372" t="n">
        <v>2.7</v>
      </c>
      <c r="H372" t="n">
        <v>0</v>
      </c>
      <c r="I372" t="n">
        <v>0</v>
      </c>
      <c r="J372" t="n">
        <v>0</v>
      </c>
      <c r="K372" t="n">
        <v>0</v>
      </c>
      <c r="L372" t="n">
        <v>0</v>
      </c>
      <c r="M372" t="n">
        <v>0</v>
      </c>
      <c r="N372" t="n">
        <v>0</v>
      </c>
      <c r="O372" t="n">
        <v>0</v>
      </c>
      <c r="P372" t="n">
        <v>0</v>
      </c>
      <c r="Q372" t="n">
        <v>0</v>
      </c>
      <c r="R372" s="2" t="inlineStr"/>
    </row>
    <row r="373" ht="15" customHeight="1">
      <c r="A373" t="inlineStr">
        <is>
          <t>A 22198-2024</t>
        </is>
      </c>
      <c r="B373" s="1" t="n">
        <v>45446.36865740741</v>
      </c>
      <c r="C373" s="1" t="n">
        <v>45939</v>
      </c>
      <c r="D373" t="inlineStr">
        <is>
          <t>KALMAR LÄN</t>
        </is>
      </c>
      <c r="E373" t="inlineStr">
        <is>
          <t>VIMMERBY</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9511-2023</t>
        </is>
      </c>
      <c r="B374" s="1" t="n">
        <v>44981.64725694444</v>
      </c>
      <c r="C374" s="1" t="n">
        <v>45939</v>
      </c>
      <c r="D374" t="inlineStr">
        <is>
          <t>KALMAR LÄN</t>
        </is>
      </c>
      <c r="E374" t="inlineStr">
        <is>
          <t>VIMMERBY</t>
        </is>
      </c>
      <c r="G374" t="n">
        <v>3.5</v>
      </c>
      <c r="H374" t="n">
        <v>0</v>
      </c>
      <c r="I374" t="n">
        <v>0</v>
      </c>
      <c r="J374" t="n">
        <v>0</v>
      </c>
      <c r="K374" t="n">
        <v>0</v>
      </c>
      <c r="L374" t="n">
        <v>0</v>
      </c>
      <c r="M374" t="n">
        <v>0</v>
      </c>
      <c r="N374" t="n">
        <v>0</v>
      </c>
      <c r="O374" t="n">
        <v>0</v>
      </c>
      <c r="P374" t="n">
        <v>0</v>
      </c>
      <c r="Q374" t="n">
        <v>0</v>
      </c>
      <c r="R374" s="2" t="inlineStr"/>
    </row>
    <row r="375" ht="15" customHeight="1">
      <c r="A375" t="inlineStr">
        <is>
          <t>A 29180-2024</t>
        </is>
      </c>
      <c r="B375" s="1" t="n">
        <v>45482.54108796296</v>
      </c>
      <c r="C375" s="1" t="n">
        <v>45939</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33374-2021</t>
        </is>
      </c>
      <c r="B376" s="1" t="n">
        <v>44377</v>
      </c>
      <c r="C376" s="1" t="n">
        <v>45939</v>
      </c>
      <c r="D376" t="inlineStr">
        <is>
          <t>KALMAR LÄN</t>
        </is>
      </c>
      <c r="E376" t="inlineStr">
        <is>
          <t>VIMMERBY</t>
        </is>
      </c>
      <c r="G376" t="n">
        <v>3.3</v>
      </c>
      <c r="H376" t="n">
        <v>0</v>
      </c>
      <c r="I376" t="n">
        <v>0</v>
      </c>
      <c r="J376" t="n">
        <v>0</v>
      </c>
      <c r="K376" t="n">
        <v>0</v>
      </c>
      <c r="L376" t="n">
        <v>0</v>
      </c>
      <c r="M376" t="n">
        <v>0</v>
      </c>
      <c r="N376" t="n">
        <v>0</v>
      </c>
      <c r="O376" t="n">
        <v>0</v>
      </c>
      <c r="P376" t="n">
        <v>0</v>
      </c>
      <c r="Q376" t="n">
        <v>0</v>
      </c>
      <c r="R376" s="2" t="inlineStr"/>
    </row>
    <row r="377" ht="15" customHeight="1">
      <c r="A377" t="inlineStr">
        <is>
          <t>A 10759-2023</t>
        </is>
      </c>
      <c r="B377" s="1" t="n">
        <v>44988</v>
      </c>
      <c r="C377" s="1" t="n">
        <v>45939</v>
      </c>
      <c r="D377" t="inlineStr">
        <is>
          <t>KALMAR LÄN</t>
        </is>
      </c>
      <c r="E377" t="inlineStr">
        <is>
          <t>VIMMERBY</t>
        </is>
      </c>
      <c r="G377" t="n">
        <v>0.4</v>
      </c>
      <c r="H377" t="n">
        <v>0</v>
      </c>
      <c r="I377" t="n">
        <v>0</v>
      </c>
      <c r="J377" t="n">
        <v>0</v>
      </c>
      <c r="K377" t="n">
        <v>0</v>
      </c>
      <c r="L377" t="n">
        <v>0</v>
      </c>
      <c r="M377" t="n">
        <v>0</v>
      </c>
      <c r="N377" t="n">
        <v>0</v>
      </c>
      <c r="O377" t="n">
        <v>0</v>
      </c>
      <c r="P377" t="n">
        <v>0</v>
      </c>
      <c r="Q377" t="n">
        <v>0</v>
      </c>
      <c r="R377" s="2" t="inlineStr"/>
    </row>
    <row r="378" ht="15" customHeight="1">
      <c r="A378" t="inlineStr">
        <is>
          <t>A 46365-2025</t>
        </is>
      </c>
      <c r="B378" s="1" t="n">
        <v>45925.50075231482</v>
      </c>
      <c r="C378" s="1" t="n">
        <v>45939</v>
      </c>
      <c r="D378" t="inlineStr">
        <is>
          <t>KALMAR LÄN</t>
        </is>
      </c>
      <c r="E378" t="inlineStr">
        <is>
          <t>VIMMERBY</t>
        </is>
      </c>
      <c r="G378" t="n">
        <v>5.6</v>
      </c>
      <c r="H378" t="n">
        <v>0</v>
      </c>
      <c r="I378" t="n">
        <v>0</v>
      </c>
      <c r="J378" t="n">
        <v>0</v>
      </c>
      <c r="K378" t="n">
        <v>0</v>
      </c>
      <c r="L378" t="n">
        <v>0</v>
      </c>
      <c r="M378" t="n">
        <v>0</v>
      </c>
      <c r="N378" t="n">
        <v>0</v>
      </c>
      <c r="O378" t="n">
        <v>0</v>
      </c>
      <c r="P378" t="n">
        <v>0</v>
      </c>
      <c r="Q378" t="n">
        <v>0</v>
      </c>
      <c r="R378" s="2" t="inlineStr"/>
    </row>
    <row r="379" ht="15" customHeight="1">
      <c r="A379" t="inlineStr">
        <is>
          <t>A 18899-2025</t>
        </is>
      </c>
      <c r="B379" s="1" t="n">
        <v>45764.44931712963</v>
      </c>
      <c r="C379" s="1" t="n">
        <v>45939</v>
      </c>
      <c r="D379" t="inlineStr">
        <is>
          <t>KALMAR LÄN</t>
        </is>
      </c>
      <c r="E379" t="inlineStr">
        <is>
          <t>VIMMERBY</t>
        </is>
      </c>
      <c r="F379" t="inlineStr">
        <is>
          <t>Kommuner</t>
        </is>
      </c>
      <c r="G379" t="n">
        <v>4</v>
      </c>
      <c r="H379" t="n">
        <v>0</v>
      </c>
      <c r="I379" t="n">
        <v>0</v>
      </c>
      <c r="J379" t="n">
        <v>0</v>
      </c>
      <c r="K379" t="n">
        <v>0</v>
      </c>
      <c r="L379" t="n">
        <v>0</v>
      </c>
      <c r="M379" t="n">
        <v>0</v>
      </c>
      <c r="N379" t="n">
        <v>0</v>
      </c>
      <c r="O379" t="n">
        <v>0</v>
      </c>
      <c r="P379" t="n">
        <v>0</v>
      </c>
      <c r="Q379" t="n">
        <v>0</v>
      </c>
      <c r="R379" s="2" t="inlineStr"/>
    </row>
    <row r="380" ht="15" customHeight="1">
      <c r="A380" t="inlineStr">
        <is>
          <t>A 29783-2024</t>
        </is>
      </c>
      <c r="B380" s="1" t="n">
        <v>45485.45778935185</v>
      </c>
      <c r="C380" s="1" t="n">
        <v>45939</v>
      </c>
      <c r="D380" t="inlineStr">
        <is>
          <t>KALMAR LÄN</t>
        </is>
      </c>
      <c r="E380" t="inlineStr">
        <is>
          <t>VIMMERBY</t>
        </is>
      </c>
      <c r="G380" t="n">
        <v>3.1</v>
      </c>
      <c r="H380" t="n">
        <v>0</v>
      </c>
      <c r="I380" t="n">
        <v>0</v>
      </c>
      <c r="J380" t="n">
        <v>0</v>
      </c>
      <c r="K380" t="n">
        <v>0</v>
      </c>
      <c r="L380" t="n">
        <v>0</v>
      </c>
      <c r="M380" t="n">
        <v>0</v>
      </c>
      <c r="N380" t="n">
        <v>0</v>
      </c>
      <c r="O380" t="n">
        <v>0</v>
      </c>
      <c r="P380" t="n">
        <v>0</v>
      </c>
      <c r="Q380" t="n">
        <v>0</v>
      </c>
      <c r="R380" s="2" t="inlineStr"/>
    </row>
    <row r="381" ht="15" customHeight="1">
      <c r="A381" t="inlineStr">
        <is>
          <t>A 34205-2023</t>
        </is>
      </c>
      <c r="B381" s="1" t="n">
        <v>45138</v>
      </c>
      <c r="C381" s="1" t="n">
        <v>45939</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54838-2024</t>
        </is>
      </c>
      <c r="B382" s="1" t="n">
        <v>45618.56787037037</v>
      </c>
      <c r="C382" s="1" t="n">
        <v>45939</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12586-2021</t>
        </is>
      </c>
      <c r="B383" s="1" t="n">
        <v>44270.38002314815</v>
      </c>
      <c r="C383" s="1" t="n">
        <v>45939</v>
      </c>
      <c r="D383" t="inlineStr">
        <is>
          <t>KALMAR LÄN</t>
        </is>
      </c>
      <c r="E383" t="inlineStr">
        <is>
          <t>VIMMERBY</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25987-2024</t>
        </is>
      </c>
      <c r="B384" s="1" t="n">
        <v>45467.74417824074</v>
      </c>
      <c r="C384" s="1" t="n">
        <v>45939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25109-2023</t>
        </is>
      </c>
      <c r="B385" s="1" t="n">
        <v>45086</v>
      </c>
      <c r="C385" s="1" t="n">
        <v>45939</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57091-2022</t>
        </is>
      </c>
      <c r="B386" s="1" t="n">
        <v>44895.46524305556</v>
      </c>
      <c r="C386" s="1" t="n">
        <v>45939</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61878-2020</t>
        </is>
      </c>
      <c r="B387" s="1" t="n">
        <v>44159</v>
      </c>
      <c r="C387" s="1" t="n">
        <v>45939</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32614-2023</t>
        </is>
      </c>
      <c r="B388" s="1" t="n">
        <v>45121</v>
      </c>
      <c r="C388" s="1" t="n">
        <v>45939</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2604-2025</t>
        </is>
      </c>
      <c r="B389" s="1" t="n">
        <v>45674.74094907408</v>
      </c>
      <c r="C389" s="1" t="n">
        <v>45939</v>
      </c>
      <c r="D389" t="inlineStr">
        <is>
          <t>KALMAR LÄN</t>
        </is>
      </c>
      <c r="E389" t="inlineStr">
        <is>
          <t>VIMMERBY</t>
        </is>
      </c>
      <c r="G389" t="n">
        <v>7.6</v>
      </c>
      <c r="H389" t="n">
        <v>0</v>
      </c>
      <c r="I389" t="n">
        <v>0</v>
      </c>
      <c r="J389" t="n">
        <v>0</v>
      </c>
      <c r="K389" t="n">
        <v>0</v>
      </c>
      <c r="L389" t="n">
        <v>0</v>
      </c>
      <c r="M389" t="n">
        <v>0</v>
      </c>
      <c r="N389" t="n">
        <v>0</v>
      </c>
      <c r="O389" t="n">
        <v>0</v>
      </c>
      <c r="P389" t="n">
        <v>0</v>
      </c>
      <c r="Q389" t="n">
        <v>0</v>
      </c>
      <c r="R389" s="2" t="inlineStr"/>
    </row>
    <row r="390" ht="15" customHeight="1">
      <c r="A390" t="inlineStr">
        <is>
          <t>A 6807-2025</t>
        </is>
      </c>
      <c r="B390" s="1" t="n">
        <v>45700.68672453704</v>
      </c>
      <c r="C390" s="1" t="n">
        <v>45939</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61939-2021</t>
        </is>
      </c>
      <c r="B391" s="1" t="n">
        <v>44502</v>
      </c>
      <c r="C391" s="1" t="n">
        <v>45939</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62023-2022</t>
        </is>
      </c>
      <c r="B392" s="1" t="n">
        <v>44918.50106481482</v>
      </c>
      <c r="C392" s="1" t="n">
        <v>45939</v>
      </c>
      <c r="D392" t="inlineStr">
        <is>
          <t>KALMAR LÄN</t>
        </is>
      </c>
      <c r="E392" t="inlineStr">
        <is>
          <t>VIMMERBY</t>
        </is>
      </c>
      <c r="G392" t="n">
        <v>0.3</v>
      </c>
      <c r="H392" t="n">
        <v>0</v>
      </c>
      <c r="I392" t="n">
        <v>0</v>
      </c>
      <c r="J392" t="n">
        <v>0</v>
      </c>
      <c r="K392" t="n">
        <v>0</v>
      </c>
      <c r="L392" t="n">
        <v>0</v>
      </c>
      <c r="M392" t="n">
        <v>0</v>
      </c>
      <c r="N392" t="n">
        <v>0</v>
      </c>
      <c r="O392" t="n">
        <v>0</v>
      </c>
      <c r="P392" t="n">
        <v>0</v>
      </c>
      <c r="Q392" t="n">
        <v>0</v>
      </c>
      <c r="R392" s="2" t="inlineStr"/>
    </row>
    <row r="393" ht="15" customHeight="1">
      <c r="A393" t="inlineStr">
        <is>
          <t>A 38851-2023</t>
        </is>
      </c>
      <c r="B393" s="1" t="n">
        <v>45163</v>
      </c>
      <c r="C393" s="1" t="n">
        <v>45939</v>
      </c>
      <c r="D393" t="inlineStr">
        <is>
          <t>KALMAR LÄN</t>
        </is>
      </c>
      <c r="E393" t="inlineStr">
        <is>
          <t>VIMMERBY</t>
        </is>
      </c>
      <c r="G393" t="n">
        <v>4.3</v>
      </c>
      <c r="H393" t="n">
        <v>0</v>
      </c>
      <c r="I393" t="n">
        <v>0</v>
      </c>
      <c r="J393" t="n">
        <v>0</v>
      </c>
      <c r="K393" t="n">
        <v>0</v>
      </c>
      <c r="L393" t="n">
        <v>0</v>
      </c>
      <c r="M393" t="n">
        <v>0</v>
      </c>
      <c r="N393" t="n">
        <v>0</v>
      </c>
      <c r="O393" t="n">
        <v>0</v>
      </c>
      <c r="P393" t="n">
        <v>0</v>
      </c>
      <c r="Q393" t="n">
        <v>0</v>
      </c>
      <c r="R393" s="2" t="inlineStr"/>
    </row>
    <row r="394" ht="15" customHeight="1">
      <c r="A394" t="inlineStr">
        <is>
          <t>A 58104-2024</t>
        </is>
      </c>
      <c r="B394" s="1" t="n">
        <v>45632.37459490741</v>
      </c>
      <c r="C394" s="1" t="n">
        <v>45939</v>
      </c>
      <c r="D394" t="inlineStr">
        <is>
          <t>KALMAR LÄN</t>
        </is>
      </c>
      <c r="E394" t="inlineStr">
        <is>
          <t>VIMMERBY</t>
        </is>
      </c>
      <c r="G394" t="n">
        <v>5</v>
      </c>
      <c r="H394" t="n">
        <v>0</v>
      </c>
      <c r="I394" t="n">
        <v>0</v>
      </c>
      <c r="J394" t="n">
        <v>0</v>
      </c>
      <c r="K394" t="n">
        <v>0</v>
      </c>
      <c r="L394" t="n">
        <v>0</v>
      </c>
      <c r="M394" t="n">
        <v>0</v>
      </c>
      <c r="N394" t="n">
        <v>0</v>
      </c>
      <c r="O394" t="n">
        <v>0</v>
      </c>
      <c r="P394" t="n">
        <v>0</v>
      </c>
      <c r="Q394" t="n">
        <v>0</v>
      </c>
      <c r="R394" s="2" t="inlineStr"/>
    </row>
    <row r="395" ht="15" customHeight="1">
      <c r="A395" t="inlineStr">
        <is>
          <t>A 12215-2024</t>
        </is>
      </c>
      <c r="B395" s="1" t="n">
        <v>45378.32185185186</v>
      </c>
      <c r="C395" s="1" t="n">
        <v>45939</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30920-2024</t>
        </is>
      </c>
      <c r="B396" s="1" t="n">
        <v>45498.673125</v>
      </c>
      <c r="C396" s="1" t="n">
        <v>45939</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23252-2024</t>
        </is>
      </c>
      <c r="B397" s="1" t="n">
        <v>45453.36067129629</v>
      </c>
      <c r="C397" s="1" t="n">
        <v>45939</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56536-2022</t>
        </is>
      </c>
      <c r="B398" s="1" t="n">
        <v>44893</v>
      </c>
      <c r="C398" s="1" t="n">
        <v>45939</v>
      </c>
      <c r="D398" t="inlineStr">
        <is>
          <t>KALMAR LÄN</t>
        </is>
      </c>
      <c r="E398" t="inlineStr">
        <is>
          <t>VIMMERBY</t>
        </is>
      </c>
      <c r="G398" t="n">
        <v>3.2</v>
      </c>
      <c r="H398" t="n">
        <v>0</v>
      </c>
      <c r="I398" t="n">
        <v>0</v>
      </c>
      <c r="J398" t="n">
        <v>0</v>
      </c>
      <c r="K398" t="n">
        <v>0</v>
      </c>
      <c r="L398" t="n">
        <v>0</v>
      </c>
      <c r="M398" t="n">
        <v>0</v>
      </c>
      <c r="N398" t="n">
        <v>0</v>
      </c>
      <c r="O398" t="n">
        <v>0</v>
      </c>
      <c r="P398" t="n">
        <v>0</v>
      </c>
      <c r="Q398" t="n">
        <v>0</v>
      </c>
      <c r="R398" s="2" t="inlineStr"/>
    </row>
    <row r="399" ht="15" customHeight="1">
      <c r="A399" t="inlineStr">
        <is>
          <t>A 63541-2023</t>
        </is>
      </c>
      <c r="B399" s="1" t="n">
        <v>45275.32266203704</v>
      </c>
      <c r="C399" s="1" t="n">
        <v>45939</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37323-2024</t>
        </is>
      </c>
      <c r="B400" s="1" t="n">
        <v>45540.50098379629</v>
      </c>
      <c r="C400" s="1" t="n">
        <v>45939</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5792-2023</t>
        </is>
      </c>
      <c r="B401" s="1" t="n">
        <v>44963.44769675926</v>
      </c>
      <c r="C401" s="1" t="n">
        <v>45939</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2797-2023</t>
        </is>
      </c>
      <c r="B402" s="1" t="n">
        <v>44944.71386574074</v>
      </c>
      <c r="C402" s="1" t="n">
        <v>45939</v>
      </c>
      <c r="D402" t="inlineStr">
        <is>
          <t>KALMAR LÄN</t>
        </is>
      </c>
      <c r="E402" t="inlineStr">
        <is>
          <t>VIMMERBY</t>
        </is>
      </c>
      <c r="G402" t="n">
        <v>3.4</v>
      </c>
      <c r="H402" t="n">
        <v>0</v>
      </c>
      <c r="I402" t="n">
        <v>0</v>
      </c>
      <c r="J402" t="n">
        <v>0</v>
      </c>
      <c r="K402" t="n">
        <v>0</v>
      </c>
      <c r="L402" t="n">
        <v>0</v>
      </c>
      <c r="M402" t="n">
        <v>0</v>
      </c>
      <c r="N402" t="n">
        <v>0</v>
      </c>
      <c r="O402" t="n">
        <v>0</v>
      </c>
      <c r="P402" t="n">
        <v>0</v>
      </c>
      <c r="Q402" t="n">
        <v>0</v>
      </c>
      <c r="R402" s="2" t="inlineStr"/>
    </row>
    <row r="403" ht="15" customHeight="1">
      <c r="A403" t="inlineStr">
        <is>
          <t>A 2799-2023</t>
        </is>
      </c>
      <c r="B403" s="1" t="n">
        <v>44944.72100694444</v>
      </c>
      <c r="C403" s="1" t="n">
        <v>45939</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6220-2025</t>
        </is>
      </c>
      <c r="B404" s="1" t="n">
        <v>45698.53725694444</v>
      </c>
      <c r="C404" s="1" t="n">
        <v>45939</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58278-2023</t>
        </is>
      </c>
      <c r="B405" s="1" t="n">
        <v>45250.5278587963</v>
      </c>
      <c r="C405" s="1" t="n">
        <v>45939</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36259-2022</t>
        </is>
      </c>
      <c r="B406" s="1" t="n">
        <v>44803.59118055556</v>
      </c>
      <c r="C406" s="1" t="n">
        <v>45939</v>
      </c>
      <c r="D406" t="inlineStr">
        <is>
          <t>KALMAR LÄN</t>
        </is>
      </c>
      <c r="E406" t="inlineStr">
        <is>
          <t>VIMMERBY</t>
        </is>
      </c>
      <c r="G406" t="n">
        <v>3.9</v>
      </c>
      <c r="H406" t="n">
        <v>0</v>
      </c>
      <c r="I406" t="n">
        <v>0</v>
      </c>
      <c r="J406" t="n">
        <v>0</v>
      </c>
      <c r="K406" t="n">
        <v>0</v>
      </c>
      <c r="L406" t="n">
        <v>0</v>
      </c>
      <c r="M406" t="n">
        <v>0</v>
      </c>
      <c r="N406" t="n">
        <v>0</v>
      </c>
      <c r="O406" t="n">
        <v>0</v>
      </c>
      <c r="P406" t="n">
        <v>0</v>
      </c>
      <c r="Q406" t="n">
        <v>0</v>
      </c>
      <c r="R406" s="2" t="inlineStr"/>
    </row>
    <row r="407" ht="15" customHeight="1">
      <c r="A407" t="inlineStr">
        <is>
          <t>A 6218-2025</t>
        </is>
      </c>
      <c r="B407" s="1" t="n">
        <v>45698.53336805556</v>
      </c>
      <c r="C407" s="1" t="n">
        <v>45939</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40076-2021</t>
        </is>
      </c>
      <c r="B408" s="1" t="n">
        <v>44418</v>
      </c>
      <c r="C408" s="1" t="n">
        <v>45939</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36526-2023</t>
        </is>
      </c>
      <c r="B409" s="1" t="n">
        <v>45153.32778935185</v>
      </c>
      <c r="C409" s="1" t="n">
        <v>45939</v>
      </c>
      <c r="D409" t="inlineStr">
        <is>
          <t>KALMAR LÄN</t>
        </is>
      </c>
      <c r="E409" t="inlineStr">
        <is>
          <t>VIMMERBY</t>
        </is>
      </c>
      <c r="G409" t="n">
        <v>2.7</v>
      </c>
      <c r="H409" t="n">
        <v>0</v>
      </c>
      <c r="I409" t="n">
        <v>0</v>
      </c>
      <c r="J409" t="n">
        <v>0</v>
      </c>
      <c r="K409" t="n">
        <v>0</v>
      </c>
      <c r="L409" t="n">
        <v>0</v>
      </c>
      <c r="M409" t="n">
        <v>0</v>
      </c>
      <c r="N409" t="n">
        <v>0</v>
      </c>
      <c r="O409" t="n">
        <v>0</v>
      </c>
      <c r="P409" t="n">
        <v>0</v>
      </c>
      <c r="Q409" t="n">
        <v>0</v>
      </c>
      <c r="R409" s="2" t="inlineStr"/>
    </row>
    <row r="410" ht="15" customHeight="1">
      <c r="A410" t="inlineStr">
        <is>
          <t>A 17988-2025</t>
        </is>
      </c>
      <c r="B410" s="1" t="n">
        <v>45761.39600694444</v>
      </c>
      <c r="C410" s="1" t="n">
        <v>45939</v>
      </c>
      <c r="D410" t="inlineStr">
        <is>
          <t>KALMAR LÄN</t>
        </is>
      </c>
      <c r="E410" t="inlineStr">
        <is>
          <t>VIMMERBY</t>
        </is>
      </c>
      <c r="G410" t="n">
        <v>2.8</v>
      </c>
      <c r="H410" t="n">
        <v>0</v>
      </c>
      <c r="I410" t="n">
        <v>0</v>
      </c>
      <c r="J410" t="n">
        <v>0</v>
      </c>
      <c r="K410" t="n">
        <v>0</v>
      </c>
      <c r="L410" t="n">
        <v>0</v>
      </c>
      <c r="M410" t="n">
        <v>0</v>
      </c>
      <c r="N410" t="n">
        <v>0</v>
      </c>
      <c r="O410" t="n">
        <v>0</v>
      </c>
      <c r="P410" t="n">
        <v>0</v>
      </c>
      <c r="Q410" t="n">
        <v>0</v>
      </c>
      <c r="R410" s="2" t="inlineStr"/>
    </row>
    <row r="411" ht="15" customHeight="1">
      <c r="A411" t="inlineStr">
        <is>
          <t>A 54917-2020</t>
        </is>
      </c>
      <c r="B411" s="1" t="n">
        <v>44127</v>
      </c>
      <c r="C411" s="1" t="n">
        <v>45939</v>
      </c>
      <c r="D411" t="inlineStr">
        <is>
          <t>KALMAR LÄN</t>
        </is>
      </c>
      <c r="E411" t="inlineStr">
        <is>
          <t>VIMMERBY</t>
        </is>
      </c>
      <c r="G411" t="n">
        <v>9.5</v>
      </c>
      <c r="H411" t="n">
        <v>0</v>
      </c>
      <c r="I411" t="n">
        <v>0</v>
      </c>
      <c r="J411" t="n">
        <v>0</v>
      </c>
      <c r="K411" t="n">
        <v>0</v>
      </c>
      <c r="L411" t="n">
        <v>0</v>
      </c>
      <c r="M411" t="n">
        <v>0</v>
      </c>
      <c r="N411" t="n">
        <v>0</v>
      </c>
      <c r="O411" t="n">
        <v>0</v>
      </c>
      <c r="P411" t="n">
        <v>0</v>
      </c>
      <c r="Q411" t="n">
        <v>0</v>
      </c>
      <c r="R411" s="2" t="inlineStr"/>
    </row>
    <row r="412" ht="15" customHeight="1">
      <c r="A412" t="inlineStr">
        <is>
          <t>A 45856-2025</t>
        </is>
      </c>
      <c r="B412" s="1" t="n">
        <v>45923</v>
      </c>
      <c r="C412" s="1" t="n">
        <v>45939</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29350-2023</t>
        </is>
      </c>
      <c r="B413" s="1" t="n">
        <v>45106</v>
      </c>
      <c r="C413" s="1" t="n">
        <v>45939</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29351-2023</t>
        </is>
      </c>
      <c r="B414" s="1" t="n">
        <v>45106.2610300926</v>
      </c>
      <c r="C414" s="1" t="n">
        <v>45939</v>
      </c>
      <c r="D414" t="inlineStr">
        <is>
          <t>KALMAR LÄN</t>
        </is>
      </c>
      <c r="E414" t="inlineStr">
        <is>
          <t>VIMMERBY</t>
        </is>
      </c>
      <c r="G414" t="n">
        <v>0.4</v>
      </c>
      <c r="H414" t="n">
        <v>0</v>
      </c>
      <c r="I414" t="n">
        <v>0</v>
      </c>
      <c r="J414" t="n">
        <v>0</v>
      </c>
      <c r="K414" t="n">
        <v>0</v>
      </c>
      <c r="L414" t="n">
        <v>0</v>
      </c>
      <c r="M414" t="n">
        <v>0</v>
      </c>
      <c r="N414" t="n">
        <v>0</v>
      </c>
      <c r="O414" t="n">
        <v>0</v>
      </c>
      <c r="P414" t="n">
        <v>0</v>
      </c>
      <c r="Q414" t="n">
        <v>0</v>
      </c>
      <c r="R414" s="2" t="inlineStr"/>
    </row>
    <row r="415" ht="15" customHeight="1">
      <c r="A415" t="inlineStr">
        <is>
          <t>A 11429-2022</t>
        </is>
      </c>
      <c r="B415" s="1" t="n">
        <v>44630</v>
      </c>
      <c r="C415" s="1" t="n">
        <v>45939</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56582-2022</t>
        </is>
      </c>
      <c r="B416" s="1" t="n">
        <v>44893</v>
      </c>
      <c r="C416" s="1" t="n">
        <v>45939</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6474-2025</t>
        </is>
      </c>
      <c r="B417" s="1" t="n">
        <v>45699.60055555555</v>
      </c>
      <c r="C417" s="1" t="n">
        <v>45939</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6408-2025</t>
        </is>
      </c>
      <c r="B418" s="1" t="n">
        <v>45699.45671296296</v>
      </c>
      <c r="C418" s="1" t="n">
        <v>45939</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17-2025</t>
        </is>
      </c>
      <c r="B419" s="1" t="n">
        <v>45658.78774305555</v>
      </c>
      <c r="C419" s="1" t="n">
        <v>45939</v>
      </c>
      <c r="D419" t="inlineStr">
        <is>
          <t>KALMAR LÄN</t>
        </is>
      </c>
      <c r="E419" t="inlineStr">
        <is>
          <t>VIMMERBY</t>
        </is>
      </c>
      <c r="G419" t="n">
        <v>4.4</v>
      </c>
      <c r="H419" t="n">
        <v>0</v>
      </c>
      <c r="I419" t="n">
        <v>0</v>
      </c>
      <c r="J419" t="n">
        <v>0</v>
      </c>
      <c r="K419" t="n">
        <v>0</v>
      </c>
      <c r="L419" t="n">
        <v>0</v>
      </c>
      <c r="M419" t="n">
        <v>0</v>
      </c>
      <c r="N419" t="n">
        <v>0</v>
      </c>
      <c r="O419" t="n">
        <v>0</v>
      </c>
      <c r="P419" t="n">
        <v>0</v>
      </c>
      <c r="Q419" t="n">
        <v>0</v>
      </c>
      <c r="R419" s="2" t="inlineStr"/>
    </row>
    <row r="420" ht="15" customHeight="1">
      <c r="A420" t="inlineStr">
        <is>
          <t>A 11609-2023</t>
        </is>
      </c>
      <c r="B420" s="1" t="n">
        <v>44994.40635416667</v>
      </c>
      <c r="C420" s="1" t="n">
        <v>45939</v>
      </c>
      <c r="D420" t="inlineStr">
        <is>
          <t>KALMAR LÄN</t>
        </is>
      </c>
      <c r="E420" t="inlineStr">
        <is>
          <t>VIMMERBY</t>
        </is>
      </c>
      <c r="G420" t="n">
        <v>4.9</v>
      </c>
      <c r="H420" t="n">
        <v>0</v>
      </c>
      <c r="I420" t="n">
        <v>0</v>
      </c>
      <c r="J420" t="n">
        <v>0</v>
      </c>
      <c r="K420" t="n">
        <v>0</v>
      </c>
      <c r="L420" t="n">
        <v>0</v>
      </c>
      <c r="M420" t="n">
        <v>0</v>
      </c>
      <c r="N420" t="n">
        <v>0</v>
      </c>
      <c r="O420" t="n">
        <v>0</v>
      </c>
      <c r="P420" t="n">
        <v>0</v>
      </c>
      <c r="Q420" t="n">
        <v>0</v>
      </c>
      <c r="R420" s="2" t="inlineStr"/>
    </row>
    <row r="421" ht="15" customHeight="1">
      <c r="A421" t="inlineStr">
        <is>
          <t>A 57555-2024</t>
        </is>
      </c>
      <c r="B421" s="1" t="n">
        <v>45630.45069444444</v>
      </c>
      <c r="C421" s="1" t="n">
        <v>45939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44464-2024</t>
        </is>
      </c>
      <c r="B422" s="1" t="n">
        <v>45574.35809027778</v>
      </c>
      <c r="C422" s="1" t="n">
        <v>45939</v>
      </c>
      <c r="D422" t="inlineStr">
        <is>
          <t>KALMAR LÄN</t>
        </is>
      </c>
      <c r="E422" t="inlineStr">
        <is>
          <t>VIMMERBY</t>
        </is>
      </c>
      <c r="G422" t="n">
        <v>0.7</v>
      </c>
      <c r="H422" t="n">
        <v>0</v>
      </c>
      <c r="I422" t="n">
        <v>0</v>
      </c>
      <c r="J422" t="n">
        <v>0</v>
      </c>
      <c r="K422" t="n">
        <v>0</v>
      </c>
      <c r="L422" t="n">
        <v>0</v>
      </c>
      <c r="M422" t="n">
        <v>0</v>
      </c>
      <c r="N422" t="n">
        <v>0</v>
      </c>
      <c r="O422" t="n">
        <v>0</v>
      </c>
      <c r="P422" t="n">
        <v>0</v>
      </c>
      <c r="Q422" t="n">
        <v>0</v>
      </c>
      <c r="R422" s="2" t="inlineStr"/>
    </row>
    <row r="423" ht="15" customHeight="1">
      <c r="A423" t="inlineStr">
        <is>
          <t>A 41066-2024</t>
        </is>
      </c>
      <c r="B423" s="1" t="n">
        <v>45559.38876157408</v>
      </c>
      <c r="C423" s="1" t="n">
        <v>45939</v>
      </c>
      <c r="D423" t="inlineStr">
        <is>
          <t>KALMAR LÄN</t>
        </is>
      </c>
      <c r="E423" t="inlineStr">
        <is>
          <t>VIMMERBY</t>
        </is>
      </c>
      <c r="G423" t="n">
        <v>2.4</v>
      </c>
      <c r="H423" t="n">
        <v>0</v>
      </c>
      <c r="I423" t="n">
        <v>0</v>
      </c>
      <c r="J423" t="n">
        <v>0</v>
      </c>
      <c r="K423" t="n">
        <v>0</v>
      </c>
      <c r="L423" t="n">
        <v>0</v>
      </c>
      <c r="M423" t="n">
        <v>0</v>
      </c>
      <c r="N423" t="n">
        <v>0</v>
      </c>
      <c r="O423" t="n">
        <v>0</v>
      </c>
      <c r="P423" t="n">
        <v>0</v>
      </c>
      <c r="Q423" t="n">
        <v>0</v>
      </c>
      <c r="R423" s="2" t="inlineStr"/>
    </row>
    <row r="424" ht="15" customHeight="1">
      <c r="A424" t="inlineStr">
        <is>
          <t>A 18411-2021</t>
        </is>
      </c>
      <c r="B424" s="1" t="n">
        <v>44302</v>
      </c>
      <c r="C424" s="1" t="n">
        <v>45939</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52279-2023</t>
        </is>
      </c>
      <c r="B425" s="1" t="n">
        <v>45224</v>
      </c>
      <c r="C425" s="1" t="n">
        <v>45939</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52324-2023</t>
        </is>
      </c>
      <c r="B426" s="1" t="n">
        <v>45224.64659722222</v>
      </c>
      <c r="C426" s="1" t="n">
        <v>45939</v>
      </c>
      <c r="D426" t="inlineStr">
        <is>
          <t>KALMAR LÄN</t>
        </is>
      </c>
      <c r="E426" t="inlineStr">
        <is>
          <t>VIMMERBY</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3816-2022</t>
        </is>
      </c>
      <c r="B427" s="1" t="n">
        <v>44587</v>
      </c>
      <c r="C427" s="1" t="n">
        <v>45939</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12588-2025</t>
        </is>
      </c>
      <c r="B428" s="1" t="n">
        <v>45732.76936342593</v>
      </c>
      <c r="C428" s="1" t="n">
        <v>45939</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25979-2023</t>
        </is>
      </c>
      <c r="B429" s="1" t="n">
        <v>45090.89653935185</v>
      </c>
      <c r="C429" s="1" t="n">
        <v>45939</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25980-2023</t>
        </is>
      </c>
      <c r="B430" s="1" t="n">
        <v>45090.89880787037</v>
      </c>
      <c r="C430" s="1" t="n">
        <v>45939</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1081-2023</t>
        </is>
      </c>
      <c r="B431" s="1" t="n">
        <v>44935</v>
      </c>
      <c r="C431" s="1" t="n">
        <v>45939</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46921-2023</t>
        </is>
      </c>
      <c r="B432" s="1" t="n">
        <v>45201.39996527778</v>
      </c>
      <c r="C432" s="1" t="n">
        <v>45939</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7047-2022</t>
        </is>
      </c>
      <c r="B433" s="1" t="n">
        <v>44603</v>
      </c>
      <c r="C433" s="1" t="n">
        <v>45939</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12499-2023</t>
        </is>
      </c>
      <c r="B434" s="1" t="n">
        <v>44999.86172453704</v>
      </c>
      <c r="C434" s="1" t="n">
        <v>45939</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12500-2023</t>
        </is>
      </c>
      <c r="B435" s="1" t="n">
        <v>44999.8625</v>
      </c>
      <c r="C435" s="1" t="n">
        <v>45939</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10837-2023</t>
        </is>
      </c>
      <c r="B436" s="1" t="n">
        <v>44991.30547453704</v>
      </c>
      <c r="C436" s="1" t="n">
        <v>45939</v>
      </c>
      <c r="D436" t="inlineStr">
        <is>
          <t>KALMAR LÄN</t>
        </is>
      </c>
      <c r="E436" t="inlineStr">
        <is>
          <t>VIMMERBY</t>
        </is>
      </c>
      <c r="G436" t="n">
        <v>7.3</v>
      </c>
      <c r="H436" t="n">
        <v>0</v>
      </c>
      <c r="I436" t="n">
        <v>0</v>
      </c>
      <c r="J436" t="n">
        <v>0</v>
      </c>
      <c r="K436" t="n">
        <v>0</v>
      </c>
      <c r="L436" t="n">
        <v>0</v>
      </c>
      <c r="M436" t="n">
        <v>0</v>
      </c>
      <c r="N436" t="n">
        <v>0</v>
      </c>
      <c r="O436" t="n">
        <v>0</v>
      </c>
      <c r="P436" t="n">
        <v>0</v>
      </c>
      <c r="Q436" t="n">
        <v>0</v>
      </c>
      <c r="R436" s="2" t="inlineStr"/>
    </row>
    <row r="437" ht="15" customHeight="1">
      <c r="A437" t="inlineStr">
        <is>
          <t>A 10838-2023</t>
        </is>
      </c>
      <c r="B437" s="1" t="n">
        <v>44991</v>
      </c>
      <c r="C437" s="1" t="n">
        <v>45939</v>
      </c>
      <c r="D437" t="inlineStr">
        <is>
          <t>KALMAR LÄN</t>
        </is>
      </c>
      <c r="E437" t="inlineStr">
        <is>
          <t>VIMMERBY</t>
        </is>
      </c>
      <c r="G437" t="n">
        <v>5.1</v>
      </c>
      <c r="H437" t="n">
        <v>0</v>
      </c>
      <c r="I437" t="n">
        <v>0</v>
      </c>
      <c r="J437" t="n">
        <v>0</v>
      </c>
      <c r="K437" t="n">
        <v>0</v>
      </c>
      <c r="L437" t="n">
        <v>0</v>
      </c>
      <c r="M437" t="n">
        <v>0</v>
      </c>
      <c r="N437" t="n">
        <v>0</v>
      </c>
      <c r="O437" t="n">
        <v>0</v>
      </c>
      <c r="P437" t="n">
        <v>0</v>
      </c>
      <c r="Q437" t="n">
        <v>0</v>
      </c>
      <c r="R437" s="2" t="inlineStr"/>
    </row>
    <row r="438" ht="15" customHeight="1">
      <c r="A438" t="inlineStr">
        <is>
          <t>A 46361-2025</t>
        </is>
      </c>
      <c r="B438" s="1" t="n">
        <v>45925.49670138889</v>
      </c>
      <c r="C438" s="1" t="n">
        <v>45939</v>
      </c>
      <c r="D438" t="inlineStr">
        <is>
          <t>KALMAR LÄN</t>
        </is>
      </c>
      <c r="E438" t="inlineStr">
        <is>
          <t>VIMMERBY</t>
        </is>
      </c>
      <c r="G438" t="n">
        <v>4.2</v>
      </c>
      <c r="H438" t="n">
        <v>0</v>
      </c>
      <c r="I438" t="n">
        <v>0</v>
      </c>
      <c r="J438" t="n">
        <v>0</v>
      </c>
      <c r="K438" t="n">
        <v>0</v>
      </c>
      <c r="L438" t="n">
        <v>0</v>
      </c>
      <c r="M438" t="n">
        <v>0</v>
      </c>
      <c r="N438" t="n">
        <v>0</v>
      </c>
      <c r="O438" t="n">
        <v>0</v>
      </c>
      <c r="P438" t="n">
        <v>0</v>
      </c>
      <c r="Q438" t="n">
        <v>0</v>
      </c>
      <c r="R438" s="2" t="inlineStr"/>
    </row>
    <row r="439" ht="15" customHeight="1">
      <c r="A439" t="inlineStr">
        <is>
          <t>A 6066-2023</t>
        </is>
      </c>
      <c r="B439" s="1" t="n">
        <v>44964.50894675926</v>
      </c>
      <c r="C439" s="1" t="n">
        <v>45939</v>
      </c>
      <c r="D439" t="inlineStr">
        <is>
          <t>KALMAR LÄN</t>
        </is>
      </c>
      <c r="E439" t="inlineStr">
        <is>
          <t>VIMMERBY</t>
        </is>
      </c>
      <c r="G439" t="n">
        <v>2.8</v>
      </c>
      <c r="H439" t="n">
        <v>0</v>
      </c>
      <c r="I439" t="n">
        <v>0</v>
      </c>
      <c r="J439" t="n">
        <v>0</v>
      </c>
      <c r="K439" t="n">
        <v>0</v>
      </c>
      <c r="L439" t="n">
        <v>0</v>
      </c>
      <c r="M439" t="n">
        <v>0</v>
      </c>
      <c r="N439" t="n">
        <v>0</v>
      </c>
      <c r="O439" t="n">
        <v>0</v>
      </c>
      <c r="P439" t="n">
        <v>0</v>
      </c>
      <c r="Q439" t="n">
        <v>0</v>
      </c>
      <c r="R439" s="2" t="inlineStr"/>
    </row>
    <row r="440" ht="15" customHeight="1">
      <c r="A440" t="inlineStr">
        <is>
          <t>A 30912-2023</t>
        </is>
      </c>
      <c r="B440" s="1" t="n">
        <v>45113.41633101852</v>
      </c>
      <c r="C440" s="1" t="n">
        <v>45939</v>
      </c>
      <c r="D440" t="inlineStr">
        <is>
          <t>KALMAR LÄN</t>
        </is>
      </c>
      <c r="E440" t="inlineStr">
        <is>
          <t>VIMMERBY</t>
        </is>
      </c>
      <c r="G440" t="n">
        <v>5</v>
      </c>
      <c r="H440" t="n">
        <v>0</v>
      </c>
      <c r="I440" t="n">
        <v>0</v>
      </c>
      <c r="J440" t="n">
        <v>0</v>
      </c>
      <c r="K440" t="n">
        <v>0</v>
      </c>
      <c r="L440" t="n">
        <v>0</v>
      </c>
      <c r="M440" t="n">
        <v>0</v>
      </c>
      <c r="N440" t="n">
        <v>0</v>
      </c>
      <c r="O440" t="n">
        <v>0</v>
      </c>
      <c r="P440" t="n">
        <v>0</v>
      </c>
      <c r="Q440" t="n">
        <v>0</v>
      </c>
      <c r="R440" s="2" t="inlineStr"/>
    </row>
    <row r="441" ht="15" customHeight="1">
      <c r="A441" t="inlineStr">
        <is>
          <t>A 33103-2024</t>
        </is>
      </c>
      <c r="B441" s="1" t="n">
        <v>45517.8162037037</v>
      </c>
      <c r="C441" s="1" t="n">
        <v>45939</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33161-2024</t>
        </is>
      </c>
      <c r="B442" s="1" t="n">
        <v>45518.40657407408</v>
      </c>
      <c r="C442" s="1" t="n">
        <v>45939</v>
      </c>
      <c r="D442" t="inlineStr">
        <is>
          <t>KALMAR LÄN</t>
        </is>
      </c>
      <c r="E442" t="inlineStr">
        <is>
          <t>VIMMERBY</t>
        </is>
      </c>
      <c r="G442" t="n">
        <v>4.7</v>
      </c>
      <c r="H442" t="n">
        <v>0</v>
      </c>
      <c r="I442" t="n">
        <v>0</v>
      </c>
      <c r="J442" t="n">
        <v>0</v>
      </c>
      <c r="K442" t="n">
        <v>0</v>
      </c>
      <c r="L442" t="n">
        <v>0</v>
      </c>
      <c r="M442" t="n">
        <v>0</v>
      </c>
      <c r="N442" t="n">
        <v>0</v>
      </c>
      <c r="O442" t="n">
        <v>0</v>
      </c>
      <c r="P442" t="n">
        <v>0</v>
      </c>
      <c r="Q442" t="n">
        <v>0</v>
      </c>
      <c r="R442" s="2" t="inlineStr"/>
    </row>
    <row r="443" ht="15" customHeight="1">
      <c r="A443" t="inlineStr">
        <is>
          <t>A 12510-2022</t>
        </is>
      </c>
      <c r="B443" s="1" t="n">
        <v>44638.55256944444</v>
      </c>
      <c r="C443" s="1" t="n">
        <v>45939</v>
      </c>
      <c r="D443" t="inlineStr">
        <is>
          <t>KALMAR LÄN</t>
        </is>
      </c>
      <c r="E443" t="inlineStr">
        <is>
          <t>VIMMERBY</t>
        </is>
      </c>
      <c r="G443" t="n">
        <v>2.4</v>
      </c>
      <c r="H443" t="n">
        <v>0</v>
      </c>
      <c r="I443" t="n">
        <v>0</v>
      </c>
      <c r="J443" t="n">
        <v>0</v>
      </c>
      <c r="K443" t="n">
        <v>0</v>
      </c>
      <c r="L443" t="n">
        <v>0</v>
      </c>
      <c r="M443" t="n">
        <v>0</v>
      </c>
      <c r="N443" t="n">
        <v>0</v>
      </c>
      <c r="O443" t="n">
        <v>0</v>
      </c>
      <c r="P443" t="n">
        <v>0</v>
      </c>
      <c r="Q443" t="n">
        <v>0</v>
      </c>
      <c r="R443" s="2" t="inlineStr"/>
    </row>
    <row r="444" ht="15" customHeight="1">
      <c r="A444" t="inlineStr">
        <is>
          <t>A 55436-2023</t>
        </is>
      </c>
      <c r="B444" s="1" t="n">
        <v>45238.4328587963</v>
      </c>
      <c r="C444" s="1" t="n">
        <v>45939</v>
      </c>
      <c r="D444" t="inlineStr">
        <is>
          <t>KALMAR LÄN</t>
        </is>
      </c>
      <c r="E444" t="inlineStr">
        <is>
          <t>VIMMERBY</t>
        </is>
      </c>
      <c r="G444" t="n">
        <v>5.6</v>
      </c>
      <c r="H444" t="n">
        <v>0</v>
      </c>
      <c r="I444" t="n">
        <v>0</v>
      </c>
      <c r="J444" t="n">
        <v>0</v>
      </c>
      <c r="K444" t="n">
        <v>0</v>
      </c>
      <c r="L444" t="n">
        <v>0</v>
      </c>
      <c r="M444" t="n">
        <v>0</v>
      </c>
      <c r="N444" t="n">
        <v>0</v>
      </c>
      <c r="O444" t="n">
        <v>0</v>
      </c>
      <c r="P444" t="n">
        <v>0</v>
      </c>
      <c r="Q444" t="n">
        <v>0</v>
      </c>
      <c r="R444" s="2" t="inlineStr"/>
    </row>
    <row r="445" ht="15" customHeight="1">
      <c r="A445" t="inlineStr">
        <is>
          <t>A 21507-2023</t>
        </is>
      </c>
      <c r="B445" s="1" t="n">
        <v>45063.508125</v>
      </c>
      <c r="C445" s="1" t="n">
        <v>45939</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51187-2023</t>
        </is>
      </c>
      <c r="B446" s="1" t="n">
        <v>45219.40528935185</v>
      </c>
      <c r="C446" s="1" t="n">
        <v>45939</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13290-2025</t>
        </is>
      </c>
      <c r="B447" s="1" t="n">
        <v>45735.56751157407</v>
      </c>
      <c r="C447" s="1" t="n">
        <v>45939</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45560-2021</t>
        </is>
      </c>
      <c r="B448" s="1" t="n">
        <v>44440</v>
      </c>
      <c r="C448" s="1" t="n">
        <v>45939</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32639-2023</t>
        </is>
      </c>
      <c r="B449" s="1" t="n">
        <v>45121.5965162037</v>
      </c>
      <c r="C449" s="1" t="n">
        <v>45939</v>
      </c>
      <c r="D449" t="inlineStr">
        <is>
          <t>KALMAR LÄN</t>
        </is>
      </c>
      <c r="E449" t="inlineStr">
        <is>
          <t>VIMMERBY</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32642-2023</t>
        </is>
      </c>
      <c r="B450" s="1" t="n">
        <v>45121.59954861111</v>
      </c>
      <c r="C450" s="1" t="n">
        <v>45939</v>
      </c>
      <c r="D450" t="inlineStr">
        <is>
          <t>KALMAR LÄN</t>
        </is>
      </c>
      <c r="E450" t="inlineStr">
        <is>
          <t>VIMMERBY</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32651-2023</t>
        </is>
      </c>
      <c r="B451" s="1" t="n">
        <v>45121.6096875</v>
      </c>
      <c r="C451" s="1" t="n">
        <v>45939</v>
      </c>
      <c r="D451" t="inlineStr">
        <is>
          <t>KALMAR LÄN</t>
        </is>
      </c>
      <c r="E451" t="inlineStr">
        <is>
          <t>VIMMERBY</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40730-2024</t>
        </is>
      </c>
      <c r="B452" s="1" t="n">
        <v>45558.44914351852</v>
      </c>
      <c r="C452" s="1" t="n">
        <v>45939</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9643-2023</t>
        </is>
      </c>
      <c r="B453" s="1" t="n">
        <v>44984</v>
      </c>
      <c r="C453" s="1" t="n">
        <v>45939</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56213-2024</t>
        </is>
      </c>
      <c r="B454" s="1" t="n">
        <v>45624.60141203704</v>
      </c>
      <c r="C454" s="1" t="n">
        <v>45939</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1146-2025</t>
        </is>
      </c>
      <c r="B455" s="1" t="n">
        <v>45666</v>
      </c>
      <c r="C455" s="1" t="n">
        <v>45939</v>
      </c>
      <c r="D455" t="inlineStr">
        <is>
          <t>KALMAR LÄN</t>
        </is>
      </c>
      <c r="E455" t="inlineStr">
        <is>
          <t>VIMMERBY</t>
        </is>
      </c>
      <c r="G455" t="n">
        <v>4</v>
      </c>
      <c r="H455" t="n">
        <v>0</v>
      </c>
      <c r="I455" t="n">
        <v>0</v>
      </c>
      <c r="J455" t="n">
        <v>0</v>
      </c>
      <c r="K455" t="n">
        <v>0</v>
      </c>
      <c r="L455" t="n">
        <v>0</v>
      </c>
      <c r="M455" t="n">
        <v>0</v>
      </c>
      <c r="N455" t="n">
        <v>0</v>
      </c>
      <c r="O455" t="n">
        <v>0</v>
      </c>
      <c r="P455" t="n">
        <v>0</v>
      </c>
      <c r="Q455" t="n">
        <v>0</v>
      </c>
      <c r="R455" s="2" t="inlineStr"/>
    </row>
    <row r="456" ht="15" customHeight="1">
      <c r="A456" t="inlineStr">
        <is>
          <t>A 16622-2025</t>
        </is>
      </c>
      <c r="B456" s="1" t="n">
        <v>45754.33641203704</v>
      </c>
      <c r="C456" s="1" t="n">
        <v>45939</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20126-2024</t>
        </is>
      </c>
      <c r="B457" s="1" t="n">
        <v>45434.55471064815</v>
      </c>
      <c r="C457" s="1" t="n">
        <v>45939</v>
      </c>
      <c r="D457" t="inlineStr">
        <is>
          <t>KALMAR LÄN</t>
        </is>
      </c>
      <c r="E457" t="inlineStr">
        <is>
          <t>VIMMERBY</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12890-2023</t>
        </is>
      </c>
      <c r="B458" s="1" t="n">
        <v>45001.59209490741</v>
      </c>
      <c r="C458" s="1" t="n">
        <v>45939</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3902-2022</t>
        </is>
      </c>
      <c r="B459" s="1" t="n">
        <v>44587.48847222222</v>
      </c>
      <c r="C459" s="1" t="n">
        <v>45939</v>
      </c>
      <c r="D459" t="inlineStr">
        <is>
          <t>KALMAR LÄN</t>
        </is>
      </c>
      <c r="E459" t="inlineStr">
        <is>
          <t>VIMMERBY</t>
        </is>
      </c>
      <c r="G459" t="n">
        <v>2.6</v>
      </c>
      <c r="H459" t="n">
        <v>0</v>
      </c>
      <c r="I459" t="n">
        <v>0</v>
      </c>
      <c r="J459" t="n">
        <v>0</v>
      </c>
      <c r="K459" t="n">
        <v>0</v>
      </c>
      <c r="L459" t="n">
        <v>0</v>
      </c>
      <c r="M459" t="n">
        <v>0</v>
      </c>
      <c r="N459" t="n">
        <v>0</v>
      </c>
      <c r="O459" t="n">
        <v>0</v>
      </c>
      <c r="P459" t="n">
        <v>0</v>
      </c>
      <c r="Q459" t="n">
        <v>0</v>
      </c>
      <c r="R459" s="2" t="inlineStr"/>
    </row>
    <row r="460" ht="15" customHeight="1">
      <c r="A460" t="inlineStr">
        <is>
          <t>A 38604-2025</t>
        </is>
      </c>
      <c r="B460" s="1" t="n">
        <v>45884.50613425926</v>
      </c>
      <c r="C460" s="1" t="n">
        <v>45939</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89-2023</t>
        </is>
      </c>
      <c r="B461" s="1" t="n">
        <v>44918</v>
      </c>
      <c r="C461" s="1" t="n">
        <v>45939</v>
      </c>
      <c r="D461" t="inlineStr">
        <is>
          <t>KALMAR LÄN</t>
        </is>
      </c>
      <c r="E461" t="inlineStr">
        <is>
          <t>VIMMERBY</t>
        </is>
      </c>
      <c r="G461" t="n">
        <v>16.1</v>
      </c>
      <c r="H461" t="n">
        <v>0</v>
      </c>
      <c r="I461" t="n">
        <v>0</v>
      </c>
      <c r="J461" t="n">
        <v>0</v>
      </c>
      <c r="K461" t="n">
        <v>0</v>
      </c>
      <c r="L461" t="n">
        <v>0</v>
      </c>
      <c r="M461" t="n">
        <v>0</v>
      </c>
      <c r="N461" t="n">
        <v>0</v>
      </c>
      <c r="O461" t="n">
        <v>0</v>
      </c>
      <c r="P461" t="n">
        <v>0</v>
      </c>
      <c r="Q461" t="n">
        <v>0</v>
      </c>
      <c r="R461" s="2" t="inlineStr"/>
    </row>
    <row r="462" ht="15" customHeight="1">
      <c r="A462" t="inlineStr">
        <is>
          <t>A 5382-2023</t>
        </is>
      </c>
      <c r="B462" s="1" t="n">
        <v>44959.66407407408</v>
      </c>
      <c r="C462" s="1" t="n">
        <v>45939</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6668-2023</t>
        </is>
      </c>
      <c r="B463" s="1" t="n">
        <v>44966</v>
      </c>
      <c r="C463" s="1" t="n">
        <v>45939</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172-2022</t>
        </is>
      </c>
      <c r="B464" s="1" t="n">
        <v>44564.62598379629</v>
      </c>
      <c r="C464" s="1" t="n">
        <v>45939</v>
      </c>
      <c r="D464" t="inlineStr">
        <is>
          <t>KALMAR LÄN</t>
        </is>
      </c>
      <c r="E464" t="inlineStr">
        <is>
          <t>VIMMERBY</t>
        </is>
      </c>
      <c r="G464" t="n">
        <v>2.1</v>
      </c>
      <c r="H464" t="n">
        <v>0</v>
      </c>
      <c r="I464" t="n">
        <v>0</v>
      </c>
      <c r="J464" t="n">
        <v>0</v>
      </c>
      <c r="K464" t="n">
        <v>0</v>
      </c>
      <c r="L464" t="n">
        <v>0</v>
      </c>
      <c r="M464" t="n">
        <v>0</v>
      </c>
      <c r="N464" t="n">
        <v>0</v>
      </c>
      <c r="O464" t="n">
        <v>0</v>
      </c>
      <c r="P464" t="n">
        <v>0</v>
      </c>
      <c r="Q464" t="n">
        <v>0</v>
      </c>
      <c r="R464" s="2" t="inlineStr"/>
    </row>
    <row r="465" ht="15" customHeight="1">
      <c r="A465" t="inlineStr">
        <is>
          <t>A 19865-2021</t>
        </is>
      </c>
      <c r="B465" s="1" t="n">
        <v>44312</v>
      </c>
      <c r="C465" s="1" t="n">
        <v>45939</v>
      </c>
      <c r="D465" t="inlineStr">
        <is>
          <t>KALMAR LÄN</t>
        </is>
      </c>
      <c r="E465" t="inlineStr">
        <is>
          <t>VIMMERBY</t>
        </is>
      </c>
      <c r="G465" t="n">
        <v>8.6</v>
      </c>
      <c r="H465" t="n">
        <v>0</v>
      </c>
      <c r="I465" t="n">
        <v>0</v>
      </c>
      <c r="J465" t="n">
        <v>0</v>
      </c>
      <c r="K465" t="n">
        <v>0</v>
      </c>
      <c r="L465" t="n">
        <v>0</v>
      </c>
      <c r="M465" t="n">
        <v>0</v>
      </c>
      <c r="N465" t="n">
        <v>0</v>
      </c>
      <c r="O465" t="n">
        <v>0</v>
      </c>
      <c r="P465" t="n">
        <v>0</v>
      </c>
      <c r="Q465" t="n">
        <v>0</v>
      </c>
      <c r="R465" s="2" t="inlineStr"/>
    </row>
    <row r="466" ht="15" customHeight="1">
      <c r="A466" t="inlineStr">
        <is>
          <t>A 30634-2024</t>
        </is>
      </c>
      <c r="B466" s="1" t="n">
        <v>45495</v>
      </c>
      <c r="C466" s="1" t="n">
        <v>45939</v>
      </c>
      <c r="D466" t="inlineStr">
        <is>
          <t>KALMAR LÄN</t>
        </is>
      </c>
      <c r="E466" t="inlineStr">
        <is>
          <t>VIMMERBY</t>
        </is>
      </c>
      <c r="G466" t="n">
        <v>1.2</v>
      </c>
      <c r="H466" t="n">
        <v>0</v>
      </c>
      <c r="I466" t="n">
        <v>0</v>
      </c>
      <c r="J466" t="n">
        <v>0</v>
      </c>
      <c r="K466" t="n">
        <v>0</v>
      </c>
      <c r="L466" t="n">
        <v>0</v>
      </c>
      <c r="M466" t="n">
        <v>0</v>
      </c>
      <c r="N466" t="n">
        <v>0</v>
      </c>
      <c r="O466" t="n">
        <v>0</v>
      </c>
      <c r="P466" t="n">
        <v>0</v>
      </c>
      <c r="Q466" t="n">
        <v>0</v>
      </c>
      <c r="R466" s="2" t="inlineStr"/>
    </row>
    <row r="467" ht="15" customHeight="1">
      <c r="A467" t="inlineStr">
        <is>
          <t>A 6355-2022</t>
        </is>
      </c>
      <c r="B467" s="1" t="n">
        <v>44600</v>
      </c>
      <c r="C467" s="1" t="n">
        <v>45939</v>
      </c>
      <c r="D467" t="inlineStr">
        <is>
          <t>KALMAR LÄN</t>
        </is>
      </c>
      <c r="E467" t="inlineStr">
        <is>
          <t>VIMMERBY</t>
        </is>
      </c>
      <c r="G467" t="n">
        <v>4.9</v>
      </c>
      <c r="H467" t="n">
        <v>0</v>
      </c>
      <c r="I467" t="n">
        <v>0</v>
      </c>
      <c r="J467" t="n">
        <v>0</v>
      </c>
      <c r="K467" t="n">
        <v>0</v>
      </c>
      <c r="L467" t="n">
        <v>0</v>
      </c>
      <c r="M467" t="n">
        <v>0</v>
      </c>
      <c r="N467" t="n">
        <v>0</v>
      </c>
      <c r="O467" t="n">
        <v>0</v>
      </c>
      <c r="P467" t="n">
        <v>0</v>
      </c>
      <c r="Q467" t="n">
        <v>0</v>
      </c>
      <c r="R467" s="2" t="inlineStr"/>
    </row>
    <row r="468" ht="15" customHeight="1">
      <c r="A468" t="inlineStr">
        <is>
          <t>A 9694-2023</t>
        </is>
      </c>
      <c r="B468" s="1" t="n">
        <v>44984.45895833334</v>
      </c>
      <c r="C468" s="1" t="n">
        <v>45939</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9710-2023</t>
        </is>
      </c>
      <c r="B469" s="1" t="n">
        <v>44984</v>
      </c>
      <c r="C469" s="1" t="n">
        <v>45939</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16020-2023</t>
        </is>
      </c>
      <c r="B470" s="1" t="n">
        <v>45026.82216435186</v>
      </c>
      <c r="C470" s="1" t="n">
        <v>45939</v>
      </c>
      <c r="D470" t="inlineStr">
        <is>
          <t>KALMAR LÄN</t>
        </is>
      </c>
      <c r="E470" t="inlineStr">
        <is>
          <t>VIMMERBY</t>
        </is>
      </c>
      <c r="G470" t="n">
        <v>1.1</v>
      </c>
      <c r="H470" t="n">
        <v>0</v>
      </c>
      <c r="I470" t="n">
        <v>0</v>
      </c>
      <c r="J470" t="n">
        <v>0</v>
      </c>
      <c r="K470" t="n">
        <v>0</v>
      </c>
      <c r="L470" t="n">
        <v>0</v>
      </c>
      <c r="M470" t="n">
        <v>0</v>
      </c>
      <c r="N470" t="n">
        <v>0</v>
      </c>
      <c r="O470" t="n">
        <v>0</v>
      </c>
      <c r="P470" t="n">
        <v>0</v>
      </c>
      <c r="Q470" t="n">
        <v>0</v>
      </c>
      <c r="R470" s="2" t="inlineStr"/>
    </row>
    <row r="471" ht="15" customHeight="1">
      <c r="A471" t="inlineStr">
        <is>
          <t>A 6216-2025</t>
        </is>
      </c>
      <c r="B471" s="1" t="n">
        <v>45698.52806712963</v>
      </c>
      <c r="C471" s="1" t="n">
        <v>45939</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60292-2022</t>
        </is>
      </c>
      <c r="B472" s="1" t="n">
        <v>44910.54231481482</v>
      </c>
      <c r="C472" s="1" t="n">
        <v>45939</v>
      </c>
      <c r="D472" t="inlineStr">
        <is>
          <t>KALMAR LÄN</t>
        </is>
      </c>
      <c r="E472" t="inlineStr">
        <is>
          <t>VIMMERBY</t>
        </is>
      </c>
      <c r="G472" t="n">
        <v>4.4</v>
      </c>
      <c r="H472" t="n">
        <v>0</v>
      </c>
      <c r="I472" t="n">
        <v>0</v>
      </c>
      <c r="J472" t="n">
        <v>0</v>
      </c>
      <c r="K472" t="n">
        <v>0</v>
      </c>
      <c r="L472" t="n">
        <v>0</v>
      </c>
      <c r="M472" t="n">
        <v>0</v>
      </c>
      <c r="N472" t="n">
        <v>0</v>
      </c>
      <c r="O472" t="n">
        <v>0</v>
      </c>
      <c r="P472" t="n">
        <v>0</v>
      </c>
      <c r="Q472" t="n">
        <v>0</v>
      </c>
      <c r="R472" s="2" t="inlineStr"/>
    </row>
    <row r="473" ht="15" customHeight="1">
      <c r="A473" t="inlineStr">
        <is>
          <t>A 43034-2024</t>
        </is>
      </c>
      <c r="B473" s="1" t="n">
        <v>45567.42011574074</v>
      </c>
      <c r="C473" s="1" t="n">
        <v>45939</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40256-2024</t>
        </is>
      </c>
      <c r="B474" s="1" t="n">
        <v>45554.62944444444</v>
      </c>
      <c r="C474" s="1" t="n">
        <v>45939</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31340-2023</t>
        </is>
      </c>
      <c r="B475" s="1" t="n">
        <v>45114.47895833333</v>
      </c>
      <c r="C475" s="1" t="n">
        <v>45939</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29168-2024</t>
        </is>
      </c>
      <c r="B476" s="1" t="n">
        <v>45482.49870370371</v>
      </c>
      <c r="C476" s="1" t="n">
        <v>45939</v>
      </c>
      <c r="D476" t="inlineStr">
        <is>
          <t>KALMAR LÄN</t>
        </is>
      </c>
      <c r="E476" t="inlineStr">
        <is>
          <t>VIMMERBY</t>
        </is>
      </c>
      <c r="G476" t="n">
        <v>1.4</v>
      </c>
      <c r="H476" t="n">
        <v>0</v>
      </c>
      <c r="I476" t="n">
        <v>0</v>
      </c>
      <c r="J476" t="n">
        <v>0</v>
      </c>
      <c r="K476" t="n">
        <v>0</v>
      </c>
      <c r="L476" t="n">
        <v>0</v>
      </c>
      <c r="M476" t="n">
        <v>0</v>
      </c>
      <c r="N476" t="n">
        <v>0</v>
      </c>
      <c r="O476" t="n">
        <v>0</v>
      </c>
      <c r="P476" t="n">
        <v>0</v>
      </c>
      <c r="Q476" t="n">
        <v>0</v>
      </c>
      <c r="R476" s="2" t="inlineStr"/>
    </row>
    <row r="477" ht="15" customHeight="1">
      <c r="A477" t="inlineStr">
        <is>
          <t>A 29186-2024</t>
        </is>
      </c>
      <c r="B477" s="1" t="n">
        <v>45482.54844907407</v>
      </c>
      <c r="C477" s="1" t="n">
        <v>45939</v>
      </c>
      <c r="D477" t="inlineStr">
        <is>
          <t>KALMAR LÄN</t>
        </is>
      </c>
      <c r="E477" t="inlineStr">
        <is>
          <t>VIMMERBY</t>
        </is>
      </c>
      <c r="G477" t="n">
        <v>2.6</v>
      </c>
      <c r="H477" t="n">
        <v>0</v>
      </c>
      <c r="I477" t="n">
        <v>0</v>
      </c>
      <c r="J477" t="n">
        <v>0</v>
      </c>
      <c r="K477" t="n">
        <v>0</v>
      </c>
      <c r="L477" t="n">
        <v>0</v>
      </c>
      <c r="M477" t="n">
        <v>0</v>
      </c>
      <c r="N477" t="n">
        <v>0</v>
      </c>
      <c r="O477" t="n">
        <v>0</v>
      </c>
      <c r="P477" t="n">
        <v>0</v>
      </c>
      <c r="Q477" t="n">
        <v>0</v>
      </c>
      <c r="R477" s="2" t="inlineStr"/>
    </row>
    <row r="478" ht="15" customHeight="1">
      <c r="A478" t="inlineStr">
        <is>
          <t>A 35895-2024</t>
        </is>
      </c>
      <c r="B478" s="1" t="n">
        <v>45533.38870370371</v>
      </c>
      <c r="C478" s="1" t="n">
        <v>45939</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12590-2025</t>
        </is>
      </c>
      <c r="B479" s="1" t="n">
        <v>45732.79925925926</v>
      </c>
      <c r="C479" s="1" t="n">
        <v>45939</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30318-2023</t>
        </is>
      </c>
      <c r="B480" s="1" t="n">
        <v>45111.30824074074</v>
      </c>
      <c r="C480" s="1" t="n">
        <v>45939</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43186-2021</t>
        </is>
      </c>
      <c r="B481" s="1" t="n">
        <v>44431.84840277778</v>
      </c>
      <c r="C481" s="1" t="n">
        <v>45939</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60215-2022</t>
        </is>
      </c>
      <c r="B482" s="1" t="n">
        <v>44910.41346064815</v>
      </c>
      <c r="C482" s="1" t="n">
        <v>45939</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60230-2022</t>
        </is>
      </c>
      <c r="B483" s="1" t="n">
        <v>44910</v>
      </c>
      <c r="C483" s="1" t="n">
        <v>45939</v>
      </c>
      <c r="D483" t="inlineStr">
        <is>
          <t>KALMAR LÄN</t>
        </is>
      </c>
      <c r="E483" t="inlineStr">
        <is>
          <t>VIMMERBY</t>
        </is>
      </c>
      <c r="G483" t="n">
        <v>11.3</v>
      </c>
      <c r="H483" t="n">
        <v>0</v>
      </c>
      <c r="I483" t="n">
        <v>0</v>
      </c>
      <c r="J483" t="n">
        <v>0</v>
      </c>
      <c r="K483" t="n">
        <v>0</v>
      </c>
      <c r="L483" t="n">
        <v>0</v>
      </c>
      <c r="M483" t="n">
        <v>0</v>
      </c>
      <c r="N483" t="n">
        <v>0</v>
      </c>
      <c r="O483" t="n">
        <v>0</v>
      </c>
      <c r="P483" t="n">
        <v>0</v>
      </c>
      <c r="Q483" t="n">
        <v>0</v>
      </c>
      <c r="R483" s="2" t="inlineStr"/>
    </row>
    <row r="484" ht="15" customHeight="1">
      <c r="A484" t="inlineStr">
        <is>
          <t>A 7944-2024</t>
        </is>
      </c>
      <c r="B484" s="1" t="n">
        <v>45350.53306712963</v>
      </c>
      <c r="C484" s="1" t="n">
        <v>45939</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5925-2022</t>
        </is>
      </c>
      <c r="B485" s="1" t="n">
        <v>44598.7384837963</v>
      </c>
      <c r="C485" s="1" t="n">
        <v>45939</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598-2025</t>
        </is>
      </c>
      <c r="B486" s="1" t="n">
        <v>45660</v>
      </c>
      <c r="C486" s="1" t="n">
        <v>45939</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845-2023</t>
        </is>
      </c>
      <c r="B487" s="1" t="n">
        <v>44931</v>
      </c>
      <c r="C487" s="1" t="n">
        <v>45939</v>
      </c>
      <c r="D487" t="inlineStr">
        <is>
          <t>KALMAR LÄN</t>
        </is>
      </c>
      <c r="E487" t="inlineStr">
        <is>
          <t>VIMMERBY</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16119-2023</t>
        </is>
      </c>
      <c r="B488" s="1" t="n">
        <v>45027.59450231482</v>
      </c>
      <c r="C488" s="1" t="n">
        <v>45939</v>
      </c>
      <c r="D488" t="inlineStr">
        <is>
          <t>KALMAR LÄN</t>
        </is>
      </c>
      <c r="E488" t="inlineStr">
        <is>
          <t>VIMMERBY</t>
        </is>
      </c>
      <c r="F488" t="inlineStr">
        <is>
          <t>Kommuner</t>
        </is>
      </c>
      <c r="G488" t="n">
        <v>4.4</v>
      </c>
      <c r="H488" t="n">
        <v>0</v>
      </c>
      <c r="I488" t="n">
        <v>0</v>
      </c>
      <c r="J488" t="n">
        <v>0</v>
      </c>
      <c r="K488" t="n">
        <v>0</v>
      </c>
      <c r="L488" t="n">
        <v>0</v>
      </c>
      <c r="M488" t="n">
        <v>0</v>
      </c>
      <c r="N488" t="n">
        <v>0</v>
      </c>
      <c r="O488" t="n">
        <v>0</v>
      </c>
      <c r="P488" t="n">
        <v>0</v>
      </c>
      <c r="Q488" t="n">
        <v>0</v>
      </c>
      <c r="R488" s="2" t="inlineStr"/>
    </row>
    <row r="489" ht="15" customHeight="1">
      <c r="A489" t="inlineStr">
        <is>
          <t>A 10674-2021</t>
        </is>
      </c>
      <c r="B489" s="1" t="n">
        <v>44258</v>
      </c>
      <c r="C489" s="1" t="n">
        <v>45939</v>
      </c>
      <c r="D489" t="inlineStr">
        <is>
          <t>KALMAR LÄN</t>
        </is>
      </c>
      <c r="E489" t="inlineStr">
        <is>
          <t>VIMMERBY</t>
        </is>
      </c>
      <c r="G489" t="n">
        <v>8.4</v>
      </c>
      <c r="H489" t="n">
        <v>0</v>
      </c>
      <c r="I489" t="n">
        <v>0</v>
      </c>
      <c r="J489" t="n">
        <v>0</v>
      </c>
      <c r="K489" t="n">
        <v>0</v>
      </c>
      <c r="L489" t="n">
        <v>0</v>
      </c>
      <c r="M489" t="n">
        <v>0</v>
      </c>
      <c r="N489" t="n">
        <v>0</v>
      </c>
      <c r="O489" t="n">
        <v>0</v>
      </c>
      <c r="P489" t="n">
        <v>0</v>
      </c>
      <c r="Q489" t="n">
        <v>0</v>
      </c>
      <c r="R489" s="2" t="inlineStr"/>
    </row>
    <row r="490" ht="15" customHeight="1">
      <c r="A490" t="inlineStr">
        <is>
          <t>A 30588-2023</t>
        </is>
      </c>
      <c r="B490" s="1" t="n">
        <v>45112.33599537037</v>
      </c>
      <c r="C490" s="1" t="n">
        <v>45939</v>
      </c>
      <c r="D490" t="inlineStr">
        <is>
          <t>KALMAR LÄN</t>
        </is>
      </c>
      <c r="E490" t="inlineStr">
        <is>
          <t>VIMMERBY</t>
        </is>
      </c>
      <c r="G490" t="n">
        <v>2.7</v>
      </c>
      <c r="H490" t="n">
        <v>0</v>
      </c>
      <c r="I490" t="n">
        <v>0</v>
      </c>
      <c r="J490" t="n">
        <v>0</v>
      </c>
      <c r="K490" t="n">
        <v>0</v>
      </c>
      <c r="L490" t="n">
        <v>0</v>
      </c>
      <c r="M490" t="n">
        <v>0</v>
      </c>
      <c r="N490" t="n">
        <v>0</v>
      </c>
      <c r="O490" t="n">
        <v>0</v>
      </c>
      <c r="P490" t="n">
        <v>0</v>
      </c>
      <c r="Q490" t="n">
        <v>0</v>
      </c>
      <c r="R490" s="2" t="inlineStr"/>
    </row>
    <row r="491" ht="15" customHeight="1">
      <c r="A491" t="inlineStr">
        <is>
          <t>A 43093-2024</t>
        </is>
      </c>
      <c r="B491" s="1" t="n">
        <v>45567</v>
      </c>
      <c r="C491" s="1" t="n">
        <v>45939</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10807-2024</t>
        </is>
      </c>
      <c r="B492" s="1" t="n">
        <v>45369.62780092593</v>
      </c>
      <c r="C492" s="1" t="n">
        <v>45939</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45528-2021</t>
        </is>
      </c>
      <c r="B493" s="1" t="n">
        <v>44440.60415509259</v>
      </c>
      <c r="C493" s="1" t="n">
        <v>45939</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40260-2024</t>
        </is>
      </c>
      <c r="B494" s="1" t="n">
        <v>45554.63225694445</v>
      </c>
      <c r="C494" s="1" t="n">
        <v>45939</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10787-2025</t>
        </is>
      </c>
      <c r="B495" s="1" t="n">
        <v>45722.48915509259</v>
      </c>
      <c r="C495" s="1" t="n">
        <v>45939</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35198-2023</t>
        </is>
      </c>
      <c r="B496" s="1" t="n">
        <v>45145</v>
      </c>
      <c r="C496" s="1" t="n">
        <v>45939</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58577-2024</t>
        </is>
      </c>
      <c r="B497" s="1" t="n">
        <v>45635.4874537037</v>
      </c>
      <c r="C497" s="1" t="n">
        <v>45939</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38198-2024</t>
        </is>
      </c>
      <c r="B498" s="1" t="n">
        <v>45545.49508101852</v>
      </c>
      <c r="C498" s="1" t="n">
        <v>45939</v>
      </c>
      <c r="D498" t="inlineStr">
        <is>
          <t>KALMAR LÄN</t>
        </is>
      </c>
      <c r="E498" t="inlineStr">
        <is>
          <t>VIMMERBY</t>
        </is>
      </c>
      <c r="G498" t="n">
        <v>7.9</v>
      </c>
      <c r="H498" t="n">
        <v>0</v>
      </c>
      <c r="I498" t="n">
        <v>0</v>
      </c>
      <c r="J498" t="n">
        <v>0</v>
      </c>
      <c r="K498" t="n">
        <v>0</v>
      </c>
      <c r="L498" t="n">
        <v>0</v>
      </c>
      <c r="M498" t="n">
        <v>0</v>
      </c>
      <c r="N498" t="n">
        <v>0</v>
      </c>
      <c r="O498" t="n">
        <v>0</v>
      </c>
      <c r="P498" t="n">
        <v>0</v>
      </c>
      <c r="Q498" t="n">
        <v>0</v>
      </c>
      <c r="R498" s="2" t="inlineStr"/>
    </row>
    <row r="499" ht="15" customHeight="1">
      <c r="A499" t="inlineStr">
        <is>
          <t>A 43617-2024</t>
        </is>
      </c>
      <c r="B499" s="1" t="n">
        <v>45569.47494212963</v>
      </c>
      <c r="C499" s="1" t="n">
        <v>45939</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16516-2023</t>
        </is>
      </c>
      <c r="B500" s="1" t="n">
        <v>45029</v>
      </c>
      <c r="C500" s="1" t="n">
        <v>45939</v>
      </c>
      <c r="D500" t="inlineStr">
        <is>
          <t>KALMAR LÄN</t>
        </is>
      </c>
      <c r="E500" t="inlineStr">
        <is>
          <t>VIMMERBY</t>
        </is>
      </c>
      <c r="G500" t="n">
        <v>4.3</v>
      </c>
      <c r="H500" t="n">
        <v>0</v>
      </c>
      <c r="I500" t="n">
        <v>0</v>
      </c>
      <c r="J500" t="n">
        <v>0</v>
      </c>
      <c r="K500" t="n">
        <v>0</v>
      </c>
      <c r="L500" t="n">
        <v>0</v>
      </c>
      <c r="M500" t="n">
        <v>0</v>
      </c>
      <c r="N500" t="n">
        <v>0</v>
      </c>
      <c r="O500" t="n">
        <v>0</v>
      </c>
      <c r="P500" t="n">
        <v>0</v>
      </c>
      <c r="Q500" t="n">
        <v>0</v>
      </c>
      <c r="R500" s="2" t="inlineStr"/>
    </row>
    <row r="501" ht="15" customHeight="1">
      <c r="A501" t="inlineStr">
        <is>
          <t>A 2510-2023</t>
        </is>
      </c>
      <c r="B501" s="1" t="n">
        <v>44943.57309027778</v>
      </c>
      <c r="C501" s="1" t="n">
        <v>45939</v>
      </c>
      <c r="D501" t="inlineStr">
        <is>
          <t>KALMAR LÄN</t>
        </is>
      </c>
      <c r="E501" t="inlineStr">
        <is>
          <t>VIMMERBY</t>
        </is>
      </c>
      <c r="G501" t="n">
        <v>8.6</v>
      </c>
      <c r="H501" t="n">
        <v>0</v>
      </c>
      <c r="I501" t="n">
        <v>0</v>
      </c>
      <c r="J501" t="n">
        <v>0</v>
      </c>
      <c r="K501" t="n">
        <v>0</v>
      </c>
      <c r="L501" t="n">
        <v>0</v>
      </c>
      <c r="M501" t="n">
        <v>0</v>
      </c>
      <c r="N501" t="n">
        <v>0</v>
      </c>
      <c r="O501" t="n">
        <v>0</v>
      </c>
      <c r="P501" t="n">
        <v>0</v>
      </c>
      <c r="Q501" t="n">
        <v>0</v>
      </c>
      <c r="R501" s="2" t="inlineStr"/>
    </row>
    <row r="502" ht="15" customHeight="1">
      <c r="A502" t="inlineStr">
        <is>
          <t>A 22264-2023</t>
        </is>
      </c>
      <c r="B502" s="1" t="n">
        <v>45070.3665625</v>
      </c>
      <c r="C502" s="1" t="n">
        <v>45939</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22266-2023</t>
        </is>
      </c>
      <c r="B503" s="1" t="n">
        <v>45070</v>
      </c>
      <c r="C503" s="1" t="n">
        <v>45939</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58374-2024</t>
        </is>
      </c>
      <c r="B504" s="1" t="n">
        <v>45632.72635416667</v>
      </c>
      <c r="C504" s="1" t="n">
        <v>45939</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50091-2023</t>
        </is>
      </c>
      <c r="B505" s="1" t="n">
        <v>45215.60199074074</v>
      </c>
      <c r="C505" s="1" t="n">
        <v>45939</v>
      </c>
      <c r="D505" t="inlineStr">
        <is>
          <t>KALMAR LÄN</t>
        </is>
      </c>
      <c r="E505" t="inlineStr">
        <is>
          <t>VIMMERBY</t>
        </is>
      </c>
      <c r="G505" t="n">
        <v>1.7</v>
      </c>
      <c r="H505" t="n">
        <v>0</v>
      </c>
      <c r="I505" t="n">
        <v>0</v>
      </c>
      <c r="J505" t="n">
        <v>0</v>
      </c>
      <c r="K505" t="n">
        <v>0</v>
      </c>
      <c r="L505" t="n">
        <v>0</v>
      </c>
      <c r="M505" t="n">
        <v>0</v>
      </c>
      <c r="N505" t="n">
        <v>0</v>
      </c>
      <c r="O505" t="n">
        <v>0</v>
      </c>
      <c r="P505" t="n">
        <v>0</v>
      </c>
      <c r="Q505" t="n">
        <v>0</v>
      </c>
      <c r="R505" s="2" t="inlineStr"/>
    </row>
    <row r="506" ht="15" customHeight="1">
      <c r="A506" t="inlineStr">
        <is>
          <t>A 10303-2025</t>
        </is>
      </c>
      <c r="B506" s="1" t="n">
        <v>45720.44217592593</v>
      </c>
      <c r="C506" s="1" t="n">
        <v>45939</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11027-2023</t>
        </is>
      </c>
      <c r="B507" s="1" t="n">
        <v>44991.89657407408</v>
      </c>
      <c r="C507" s="1" t="n">
        <v>45939</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48373-2021</t>
        </is>
      </c>
      <c r="B508" s="1" t="n">
        <v>44451</v>
      </c>
      <c r="C508" s="1" t="n">
        <v>45939</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7485-2024</t>
        </is>
      </c>
      <c r="B509" s="1" t="n">
        <v>45346.67184027778</v>
      </c>
      <c r="C509" s="1" t="n">
        <v>45939</v>
      </c>
      <c r="D509" t="inlineStr">
        <is>
          <t>KALMAR LÄN</t>
        </is>
      </c>
      <c r="E509" t="inlineStr">
        <is>
          <t>VIMMERBY</t>
        </is>
      </c>
      <c r="G509" t="n">
        <v>1.9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45939</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11661-2023</t>
        </is>
      </c>
      <c r="B511" s="1" t="n">
        <v>44994.46908564815</v>
      </c>
      <c r="C511" s="1" t="n">
        <v>45939</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36155-2023</t>
        </is>
      </c>
      <c r="B512" s="1" t="n">
        <v>45149.60917824074</v>
      </c>
      <c r="C512" s="1" t="n">
        <v>45939</v>
      </c>
      <c r="D512" t="inlineStr">
        <is>
          <t>KALMAR LÄN</t>
        </is>
      </c>
      <c r="E512" t="inlineStr">
        <is>
          <t>VIMMERBY</t>
        </is>
      </c>
      <c r="G512" t="n">
        <v>5</v>
      </c>
      <c r="H512" t="n">
        <v>0</v>
      </c>
      <c r="I512" t="n">
        <v>0</v>
      </c>
      <c r="J512" t="n">
        <v>0</v>
      </c>
      <c r="K512" t="n">
        <v>0</v>
      </c>
      <c r="L512" t="n">
        <v>0</v>
      </c>
      <c r="M512" t="n">
        <v>0</v>
      </c>
      <c r="N512" t="n">
        <v>0</v>
      </c>
      <c r="O512" t="n">
        <v>0</v>
      </c>
      <c r="P512" t="n">
        <v>0</v>
      </c>
      <c r="Q512" t="n">
        <v>0</v>
      </c>
      <c r="R512" s="2" t="inlineStr"/>
    </row>
    <row r="513" ht="15" customHeight="1">
      <c r="A513" t="inlineStr">
        <is>
          <t>A 45854-2025</t>
        </is>
      </c>
      <c r="B513" s="1" t="n">
        <v>45923</v>
      </c>
      <c r="C513" s="1" t="n">
        <v>45939</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45855-2025</t>
        </is>
      </c>
      <c r="B514" s="1" t="n">
        <v>45923</v>
      </c>
      <c r="C514" s="1" t="n">
        <v>45939</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40147-2023</t>
        </is>
      </c>
      <c r="B515" s="1" t="n">
        <v>45169</v>
      </c>
      <c r="C515" s="1" t="n">
        <v>45939</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47263-2023</t>
        </is>
      </c>
      <c r="B516" s="1" t="n">
        <v>45202.4209837963</v>
      </c>
      <c r="C516" s="1" t="n">
        <v>45939</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6574-2023</t>
        </is>
      </c>
      <c r="B517" s="1" t="n">
        <v>44966</v>
      </c>
      <c r="C517" s="1" t="n">
        <v>45939</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20054-2023</t>
        </is>
      </c>
      <c r="B518" s="1" t="n">
        <v>45054.6750462963</v>
      </c>
      <c r="C518" s="1" t="n">
        <v>45939</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63950-2023</t>
        </is>
      </c>
      <c r="B519" s="1" t="n">
        <v>45278</v>
      </c>
      <c r="C519" s="1" t="n">
        <v>45939</v>
      </c>
      <c r="D519" t="inlineStr">
        <is>
          <t>KALMAR LÄN</t>
        </is>
      </c>
      <c r="E519" t="inlineStr">
        <is>
          <t>VIMMERBY</t>
        </is>
      </c>
      <c r="F519" t="inlineStr">
        <is>
          <t>Kyrkan</t>
        </is>
      </c>
      <c r="G519" t="n">
        <v>2.7</v>
      </c>
      <c r="H519" t="n">
        <v>0</v>
      </c>
      <c r="I519" t="n">
        <v>0</v>
      </c>
      <c r="J519" t="n">
        <v>0</v>
      </c>
      <c r="K519" t="n">
        <v>0</v>
      </c>
      <c r="L519" t="n">
        <v>0</v>
      </c>
      <c r="M519" t="n">
        <v>0</v>
      </c>
      <c r="N519" t="n">
        <v>0</v>
      </c>
      <c r="O519" t="n">
        <v>0</v>
      </c>
      <c r="P519" t="n">
        <v>0</v>
      </c>
      <c r="Q519" t="n">
        <v>0</v>
      </c>
      <c r="R519" s="2" t="inlineStr"/>
    </row>
    <row r="520" ht="15" customHeight="1">
      <c r="A520" t="inlineStr">
        <is>
          <t>A 24096-2024</t>
        </is>
      </c>
      <c r="B520" s="1" t="n">
        <v>45456.59289351852</v>
      </c>
      <c r="C520" s="1" t="n">
        <v>45939</v>
      </c>
      <c r="D520" t="inlineStr">
        <is>
          <t>KALMAR LÄN</t>
        </is>
      </c>
      <c r="E520" t="inlineStr">
        <is>
          <t>VIMMERBY</t>
        </is>
      </c>
      <c r="G520" t="n">
        <v>2.3</v>
      </c>
      <c r="H520" t="n">
        <v>0</v>
      </c>
      <c r="I520" t="n">
        <v>0</v>
      </c>
      <c r="J520" t="n">
        <v>0</v>
      </c>
      <c r="K520" t="n">
        <v>0</v>
      </c>
      <c r="L520" t="n">
        <v>0</v>
      </c>
      <c r="M520" t="n">
        <v>0</v>
      </c>
      <c r="N520" t="n">
        <v>0</v>
      </c>
      <c r="O520" t="n">
        <v>0</v>
      </c>
      <c r="P520" t="n">
        <v>0</v>
      </c>
      <c r="Q520" t="n">
        <v>0</v>
      </c>
      <c r="R520" s="2" t="inlineStr"/>
    </row>
    <row r="521" ht="15" customHeight="1">
      <c r="A521" t="inlineStr">
        <is>
          <t>A 58750-2022</t>
        </is>
      </c>
      <c r="B521" s="1" t="n">
        <v>44903.33363425926</v>
      </c>
      <c r="C521" s="1" t="n">
        <v>45939</v>
      </c>
      <c r="D521" t="inlineStr">
        <is>
          <t>KALMAR LÄN</t>
        </is>
      </c>
      <c r="E521" t="inlineStr">
        <is>
          <t>VIMMERBY</t>
        </is>
      </c>
      <c r="G521" t="n">
        <v>3.3</v>
      </c>
      <c r="H521" t="n">
        <v>0</v>
      </c>
      <c r="I521" t="n">
        <v>0</v>
      </c>
      <c r="J521" t="n">
        <v>0</v>
      </c>
      <c r="K521" t="n">
        <v>0</v>
      </c>
      <c r="L521" t="n">
        <v>0</v>
      </c>
      <c r="M521" t="n">
        <v>0</v>
      </c>
      <c r="N521" t="n">
        <v>0</v>
      </c>
      <c r="O521" t="n">
        <v>0</v>
      </c>
      <c r="P521" t="n">
        <v>0</v>
      </c>
      <c r="Q521" t="n">
        <v>0</v>
      </c>
      <c r="R521" s="2" t="inlineStr"/>
    </row>
    <row r="522" ht="15" customHeight="1">
      <c r="A522" t="inlineStr">
        <is>
          <t>A 13015-2023</t>
        </is>
      </c>
      <c r="B522" s="1" t="n">
        <v>45002</v>
      </c>
      <c r="C522" s="1" t="n">
        <v>45939</v>
      </c>
      <c r="D522" t="inlineStr">
        <is>
          <t>KALMAR LÄN</t>
        </is>
      </c>
      <c r="E522" t="inlineStr">
        <is>
          <t>VIMMERBY</t>
        </is>
      </c>
      <c r="G522" t="n">
        <v>3.2</v>
      </c>
      <c r="H522" t="n">
        <v>0</v>
      </c>
      <c r="I522" t="n">
        <v>0</v>
      </c>
      <c r="J522" t="n">
        <v>0</v>
      </c>
      <c r="K522" t="n">
        <v>0</v>
      </c>
      <c r="L522" t="n">
        <v>0</v>
      </c>
      <c r="M522" t="n">
        <v>0</v>
      </c>
      <c r="N522" t="n">
        <v>0</v>
      </c>
      <c r="O522" t="n">
        <v>0</v>
      </c>
      <c r="P522" t="n">
        <v>0</v>
      </c>
      <c r="Q522" t="n">
        <v>0</v>
      </c>
      <c r="R522" s="2" t="inlineStr"/>
    </row>
    <row r="523" ht="15" customHeight="1">
      <c r="A523" t="inlineStr">
        <is>
          <t>A 2536-2023</t>
        </is>
      </c>
      <c r="B523" s="1" t="n">
        <v>44943.62954861111</v>
      </c>
      <c r="C523" s="1" t="n">
        <v>45939</v>
      </c>
      <c r="D523" t="inlineStr">
        <is>
          <t>KALMAR LÄN</t>
        </is>
      </c>
      <c r="E523" t="inlineStr">
        <is>
          <t>VIMMERBY</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2801-2023</t>
        </is>
      </c>
      <c r="B524" s="1" t="n">
        <v>44944.73487268519</v>
      </c>
      <c r="C524" s="1" t="n">
        <v>45939</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41199-2023</t>
        </is>
      </c>
      <c r="B525" s="1" t="n">
        <v>45174.40454861111</v>
      </c>
      <c r="C525" s="1" t="n">
        <v>45939</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36014-2024</t>
        </is>
      </c>
      <c r="B526" s="1" t="n">
        <v>45533.56108796296</v>
      </c>
      <c r="C526" s="1" t="n">
        <v>45939</v>
      </c>
      <c r="D526" t="inlineStr">
        <is>
          <t>KALMAR LÄN</t>
        </is>
      </c>
      <c r="E526" t="inlineStr">
        <is>
          <t>VIMMERBY</t>
        </is>
      </c>
      <c r="G526" t="n">
        <v>2.3</v>
      </c>
      <c r="H526" t="n">
        <v>0</v>
      </c>
      <c r="I526" t="n">
        <v>0</v>
      </c>
      <c r="J526" t="n">
        <v>0</v>
      </c>
      <c r="K526" t="n">
        <v>0</v>
      </c>
      <c r="L526" t="n">
        <v>0</v>
      </c>
      <c r="M526" t="n">
        <v>0</v>
      </c>
      <c r="N526" t="n">
        <v>0</v>
      </c>
      <c r="O526" t="n">
        <v>0</v>
      </c>
      <c r="P526" t="n">
        <v>0</v>
      </c>
      <c r="Q526" t="n">
        <v>0</v>
      </c>
      <c r="R526" s="2" t="inlineStr"/>
    </row>
    <row r="527" ht="15" customHeight="1">
      <c r="A527" t="inlineStr">
        <is>
          <t>A 36030-2024</t>
        </is>
      </c>
      <c r="B527" s="1" t="n">
        <v>45533.58302083334</v>
      </c>
      <c r="C527" s="1" t="n">
        <v>45939</v>
      </c>
      <c r="D527" t="inlineStr">
        <is>
          <t>KALMAR LÄN</t>
        </is>
      </c>
      <c r="E527" t="inlineStr">
        <is>
          <t>VIMMERBY</t>
        </is>
      </c>
      <c r="F527" t="inlineStr">
        <is>
          <t>Kommuner</t>
        </is>
      </c>
      <c r="G527" t="n">
        <v>4</v>
      </c>
      <c r="H527" t="n">
        <v>0</v>
      </c>
      <c r="I527" t="n">
        <v>0</v>
      </c>
      <c r="J527" t="n">
        <v>0</v>
      </c>
      <c r="K527" t="n">
        <v>0</v>
      </c>
      <c r="L527" t="n">
        <v>0</v>
      </c>
      <c r="M527" t="n">
        <v>0</v>
      </c>
      <c r="N527" t="n">
        <v>0</v>
      </c>
      <c r="O527" t="n">
        <v>0</v>
      </c>
      <c r="P527" t="n">
        <v>0</v>
      </c>
      <c r="Q527" t="n">
        <v>0</v>
      </c>
      <c r="R527" s="2" t="inlineStr"/>
    </row>
    <row r="528" ht="15" customHeight="1">
      <c r="A528" t="inlineStr">
        <is>
          <t>A 17968-2025</t>
        </is>
      </c>
      <c r="B528" s="1" t="n">
        <v>45761.35990740741</v>
      </c>
      <c r="C528" s="1" t="n">
        <v>45939</v>
      </c>
      <c r="D528" t="inlineStr">
        <is>
          <t>KALMAR LÄN</t>
        </is>
      </c>
      <c r="E528" t="inlineStr">
        <is>
          <t>VIMMERBY</t>
        </is>
      </c>
      <c r="G528" t="n">
        <v>3.3</v>
      </c>
      <c r="H528" t="n">
        <v>0</v>
      </c>
      <c r="I528" t="n">
        <v>0</v>
      </c>
      <c r="J528" t="n">
        <v>0</v>
      </c>
      <c r="K528" t="n">
        <v>0</v>
      </c>
      <c r="L528" t="n">
        <v>0</v>
      </c>
      <c r="M528" t="n">
        <v>0</v>
      </c>
      <c r="N528" t="n">
        <v>0</v>
      </c>
      <c r="O528" t="n">
        <v>0</v>
      </c>
      <c r="P528" t="n">
        <v>0</v>
      </c>
      <c r="Q528" t="n">
        <v>0</v>
      </c>
      <c r="R528" s="2" t="inlineStr"/>
    </row>
    <row r="529" ht="15" customHeight="1">
      <c r="A529" t="inlineStr">
        <is>
          <t>A 7627-2025</t>
        </is>
      </c>
      <c r="B529" s="1" t="n">
        <v>45705.73300925926</v>
      </c>
      <c r="C529" s="1" t="n">
        <v>45939</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2260-2022</t>
        </is>
      </c>
      <c r="B530" s="1" t="n">
        <v>44578.62943287037</v>
      </c>
      <c r="C530" s="1" t="n">
        <v>45939</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47227-2025</t>
        </is>
      </c>
      <c r="B531" s="1" t="n">
        <v>45930.39769675926</v>
      </c>
      <c r="C531" s="1" t="n">
        <v>45939</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6321-2023</t>
        </is>
      </c>
      <c r="B532" s="1" t="n">
        <v>44965.4815162037</v>
      </c>
      <c r="C532" s="1" t="n">
        <v>45939</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50860-2022</t>
        </is>
      </c>
      <c r="B533" s="1" t="n">
        <v>44867</v>
      </c>
      <c r="C533" s="1" t="n">
        <v>45939</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53483-2022</t>
        </is>
      </c>
      <c r="B534" s="1" t="n">
        <v>44879.55940972222</v>
      </c>
      <c r="C534" s="1" t="n">
        <v>45939</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14451-2024</t>
        </is>
      </c>
      <c r="B535" s="1" t="n">
        <v>45394.50028935185</v>
      </c>
      <c r="C535" s="1" t="n">
        <v>45939</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58962-2022</t>
        </is>
      </c>
      <c r="B536" s="1" t="n">
        <v>44903</v>
      </c>
      <c r="C536" s="1" t="n">
        <v>45939</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52755-2022</t>
        </is>
      </c>
      <c r="B537" s="1" t="n">
        <v>44875.27736111111</v>
      </c>
      <c r="C537" s="1" t="n">
        <v>45939</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58967-2022</t>
        </is>
      </c>
      <c r="B538" s="1" t="n">
        <v>44896</v>
      </c>
      <c r="C538" s="1" t="n">
        <v>45939</v>
      </c>
      <c r="D538" t="inlineStr">
        <is>
          <t>KALMAR LÄN</t>
        </is>
      </c>
      <c r="E538" t="inlineStr">
        <is>
          <t>VIMMERBY</t>
        </is>
      </c>
      <c r="G538" t="n">
        <v>5</v>
      </c>
      <c r="H538" t="n">
        <v>0</v>
      </c>
      <c r="I538" t="n">
        <v>0</v>
      </c>
      <c r="J538" t="n">
        <v>0</v>
      </c>
      <c r="K538" t="n">
        <v>0</v>
      </c>
      <c r="L538" t="n">
        <v>0</v>
      </c>
      <c r="M538" t="n">
        <v>0</v>
      </c>
      <c r="N538" t="n">
        <v>0</v>
      </c>
      <c r="O538" t="n">
        <v>0</v>
      </c>
      <c r="P538" t="n">
        <v>0</v>
      </c>
      <c r="Q538" t="n">
        <v>0</v>
      </c>
      <c r="R538" s="2" t="inlineStr"/>
    </row>
    <row r="539" ht="15" customHeight="1">
      <c r="A539" t="inlineStr">
        <is>
          <t>A 57682-2022</t>
        </is>
      </c>
      <c r="B539" s="1" t="n">
        <v>44890</v>
      </c>
      <c r="C539" s="1" t="n">
        <v>45939</v>
      </c>
      <c r="D539" t="inlineStr">
        <is>
          <t>KALMAR LÄN</t>
        </is>
      </c>
      <c r="E539" t="inlineStr">
        <is>
          <t>VIMMERBY</t>
        </is>
      </c>
      <c r="G539" t="n">
        <v>1.5</v>
      </c>
      <c r="H539" t="n">
        <v>0</v>
      </c>
      <c r="I539" t="n">
        <v>0</v>
      </c>
      <c r="J539" t="n">
        <v>0</v>
      </c>
      <c r="K539" t="n">
        <v>0</v>
      </c>
      <c r="L539" t="n">
        <v>0</v>
      </c>
      <c r="M539" t="n">
        <v>0</v>
      </c>
      <c r="N539" t="n">
        <v>0</v>
      </c>
      <c r="O539" t="n">
        <v>0</v>
      </c>
      <c r="P539" t="n">
        <v>0</v>
      </c>
      <c r="Q539" t="n">
        <v>0</v>
      </c>
      <c r="R539" s="2" t="inlineStr"/>
    </row>
    <row r="540" ht="15" customHeight="1">
      <c r="A540" t="inlineStr">
        <is>
          <t>A 46238-2024</t>
        </is>
      </c>
      <c r="B540" s="1" t="n">
        <v>45581.58418981481</v>
      </c>
      <c r="C540" s="1" t="n">
        <v>45939</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40823-2023</t>
        </is>
      </c>
      <c r="B541" s="1" t="n">
        <v>45171.77335648148</v>
      </c>
      <c r="C541" s="1" t="n">
        <v>45939</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50993-2022</t>
        </is>
      </c>
      <c r="B542" s="1" t="n">
        <v>44867</v>
      </c>
      <c r="C542" s="1" t="n">
        <v>45939</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46225-2024</t>
        </is>
      </c>
      <c r="B543" s="1" t="n">
        <v>45581.57333333333</v>
      </c>
      <c r="C543" s="1" t="n">
        <v>45939</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42820-2025</t>
        </is>
      </c>
      <c r="B544" s="1" t="n">
        <v>45908</v>
      </c>
      <c r="C544" s="1" t="n">
        <v>45939</v>
      </c>
      <c r="D544" t="inlineStr">
        <is>
          <t>KALMAR LÄN</t>
        </is>
      </c>
      <c r="E544" t="inlineStr">
        <is>
          <t>VIMMERBY</t>
        </is>
      </c>
      <c r="G544" t="n">
        <v>1.2</v>
      </c>
      <c r="H544" t="n">
        <v>0</v>
      </c>
      <c r="I544" t="n">
        <v>0</v>
      </c>
      <c r="J544" t="n">
        <v>0</v>
      </c>
      <c r="K544" t="n">
        <v>0</v>
      </c>
      <c r="L544" t="n">
        <v>0</v>
      </c>
      <c r="M544" t="n">
        <v>0</v>
      </c>
      <c r="N544" t="n">
        <v>0</v>
      </c>
      <c r="O544" t="n">
        <v>0</v>
      </c>
      <c r="P544" t="n">
        <v>0</v>
      </c>
      <c r="Q544" t="n">
        <v>0</v>
      </c>
      <c r="R544" s="2" t="inlineStr"/>
    </row>
    <row r="545" ht="15" customHeight="1">
      <c r="A545" t="inlineStr">
        <is>
          <t>A 36055-2024</t>
        </is>
      </c>
      <c r="B545" s="1" t="n">
        <v>45533.63056712963</v>
      </c>
      <c r="C545" s="1" t="n">
        <v>45939</v>
      </c>
      <c r="D545" t="inlineStr">
        <is>
          <t>KALMAR LÄN</t>
        </is>
      </c>
      <c r="E545" t="inlineStr">
        <is>
          <t>VIMMERBY</t>
        </is>
      </c>
      <c r="F545" t="inlineStr">
        <is>
          <t>Kommuner</t>
        </is>
      </c>
      <c r="G545" t="n">
        <v>1.9</v>
      </c>
      <c r="H545" t="n">
        <v>0</v>
      </c>
      <c r="I545" t="n">
        <v>0</v>
      </c>
      <c r="J545" t="n">
        <v>0</v>
      </c>
      <c r="K545" t="n">
        <v>0</v>
      </c>
      <c r="L545" t="n">
        <v>0</v>
      </c>
      <c r="M545" t="n">
        <v>0</v>
      </c>
      <c r="N545" t="n">
        <v>0</v>
      </c>
      <c r="O545" t="n">
        <v>0</v>
      </c>
      <c r="P545" t="n">
        <v>0</v>
      </c>
      <c r="Q545" t="n">
        <v>0</v>
      </c>
      <c r="R545" s="2" t="inlineStr"/>
    </row>
    <row r="546" ht="15" customHeight="1">
      <c r="A546" t="inlineStr">
        <is>
          <t>A 4076-2022</t>
        </is>
      </c>
      <c r="B546" s="1" t="n">
        <v>44588.37998842593</v>
      </c>
      <c r="C546" s="1" t="n">
        <v>45939</v>
      </c>
      <c r="D546" t="inlineStr">
        <is>
          <t>KALMAR LÄN</t>
        </is>
      </c>
      <c r="E546" t="inlineStr">
        <is>
          <t>VIMMERBY</t>
        </is>
      </c>
      <c r="G546" t="n">
        <v>3</v>
      </c>
      <c r="H546" t="n">
        <v>0</v>
      </c>
      <c r="I546" t="n">
        <v>0</v>
      </c>
      <c r="J546" t="n">
        <v>0</v>
      </c>
      <c r="K546" t="n">
        <v>0</v>
      </c>
      <c r="L546" t="n">
        <v>0</v>
      </c>
      <c r="M546" t="n">
        <v>0</v>
      </c>
      <c r="N546" t="n">
        <v>0</v>
      </c>
      <c r="O546" t="n">
        <v>0</v>
      </c>
      <c r="P546" t="n">
        <v>0</v>
      </c>
      <c r="Q546" t="n">
        <v>0</v>
      </c>
      <c r="R546" s="2" t="inlineStr"/>
    </row>
    <row r="547" ht="15" customHeight="1">
      <c r="A547" t="inlineStr">
        <is>
          <t>A 29726-2025</t>
        </is>
      </c>
      <c r="B547" s="1" t="n">
        <v>45825.57805555555</v>
      </c>
      <c r="C547" s="1" t="n">
        <v>45939</v>
      </c>
      <c r="D547" t="inlineStr">
        <is>
          <t>KALMAR LÄN</t>
        </is>
      </c>
      <c r="E547" t="inlineStr">
        <is>
          <t>VIMMERBY</t>
        </is>
      </c>
      <c r="G547" t="n">
        <v>2</v>
      </c>
      <c r="H547" t="n">
        <v>0</v>
      </c>
      <c r="I547" t="n">
        <v>0</v>
      </c>
      <c r="J547" t="n">
        <v>0</v>
      </c>
      <c r="K547" t="n">
        <v>0</v>
      </c>
      <c r="L547" t="n">
        <v>0</v>
      </c>
      <c r="M547" t="n">
        <v>0</v>
      </c>
      <c r="N547" t="n">
        <v>0</v>
      </c>
      <c r="O547" t="n">
        <v>0</v>
      </c>
      <c r="P547" t="n">
        <v>0</v>
      </c>
      <c r="Q547" t="n">
        <v>0</v>
      </c>
      <c r="R547" s="2" t="inlineStr"/>
    </row>
    <row r="548" ht="15" customHeight="1">
      <c r="A548" t="inlineStr">
        <is>
          <t>A 27761-2024</t>
        </is>
      </c>
      <c r="B548" s="1" t="n">
        <v>45475.49018518518</v>
      </c>
      <c r="C548" s="1" t="n">
        <v>45939</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4122-2022</t>
        </is>
      </c>
      <c r="B549" s="1" t="n">
        <v>44588</v>
      </c>
      <c r="C549" s="1" t="n">
        <v>45939</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21028-2023</t>
        </is>
      </c>
      <c r="B550" s="1" t="n">
        <v>45061</v>
      </c>
      <c r="C550" s="1" t="n">
        <v>45939</v>
      </c>
      <c r="D550" t="inlineStr">
        <is>
          <t>KALMAR LÄN</t>
        </is>
      </c>
      <c r="E550" t="inlineStr">
        <is>
          <t>VIMMERBY</t>
        </is>
      </c>
      <c r="F550" t="inlineStr">
        <is>
          <t>Övriga Aktiebolag</t>
        </is>
      </c>
      <c r="G550" t="n">
        <v>0.7</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44510.60921296296</v>
      </c>
      <c r="C551" s="1" t="n">
        <v>45939</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47859-2024</t>
        </is>
      </c>
      <c r="B552" s="1" t="n">
        <v>45588.67070601852</v>
      </c>
      <c r="C552" s="1" t="n">
        <v>45939</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65961-2020</t>
        </is>
      </c>
      <c r="B553" s="1" t="n">
        <v>44175.39748842592</v>
      </c>
      <c r="C553" s="1" t="n">
        <v>45939</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1016-2024</t>
        </is>
      </c>
      <c r="B554" s="1" t="n">
        <v>45301</v>
      </c>
      <c r="C554" s="1" t="n">
        <v>45939</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1024-2024</t>
        </is>
      </c>
      <c r="B555" s="1" t="n">
        <v>45301.68237268519</v>
      </c>
      <c r="C555" s="1" t="n">
        <v>45939</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27758-2024</t>
        </is>
      </c>
      <c r="B556" s="1" t="n">
        <v>45475.48303240741</v>
      </c>
      <c r="C556" s="1" t="n">
        <v>45939</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32835-2022</t>
        </is>
      </c>
      <c r="B557" s="1" t="n">
        <v>44784.42528935185</v>
      </c>
      <c r="C557" s="1" t="n">
        <v>45939</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46887-2025</t>
        </is>
      </c>
      <c r="B558" s="1" t="n">
        <v>45929.3672337963</v>
      </c>
      <c r="C558" s="1" t="n">
        <v>45939</v>
      </c>
      <c r="D558" t="inlineStr">
        <is>
          <t>KALMAR LÄN</t>
        </is>
      </c>
      <c r="E558" t="inlineStr">
        <is>
          <t>VIMMERBY</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32865-2023</t>
        </is>
      </c>
      <c r="B559" s="1" t="n">
        <v>45124</v>
      </c>
      <c r="C559" s="1" t="n">
        <v>45939</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9624-2024</t>
        </is>
      </c>
      <c r="B560" s="1" t="n">
        <v>45361.90282407407</v>
      </c>
      <c r="C560" s="1" t="n">
        <v>45939</v>
      </c>
      <c r="D560" t="inlineStr">
        <is>
          <t>KALMAR LÄN</t>
        </is>
      </c>
      <c r="E560" t="inlineStr">
        <is>
          <t>VIMMERBY</t>
        </is>
      </c>
      <c r="G560" t="n">
        <v>3.8</v>
      </c>
      <c r="H560" t="n">
        <v>0</v>
      </c>
      <c r="I560" t="n">
        <v>0</v>
      </c>
      <c r="J560" t="n">
        <v>0</v>
      </c>
      <c r="K560" t="n">
        <v>0</v>
      </c>
      <c r="L560" t="n">
        <v>0</v>
      </c>
      <c r="M560" t="n">
        <v>0</v>
      </c>
      <c r="N560" t="n">
        <v>0</v>
      </c>
      <c r="O560" t="n">
        <v>0</v>
      </c>
      <c r="P560" t="n">
        <v>0</v>
      </c>
      <c r="Q560" t="n">
        <v>0</v>
      </c>
      <c r="R560" s="2" t="inlineStr"/>
    </row>
    <row r="561" ht="15" customHeight="1">
      <c r="A561" t="inlineStr">
        <is>
          <t>A 22194-2024</t>
        </is>
      </c>
      <c r="B561" s="1" t="n">
        <v>45446.36482638889</v>
      </c>
      <c r="C561" s="1" t="n">
        <v>45939</v>
      </c>
      <c r="D561" t="inlineStr">
        <is>
          <t>KALMAR LÄN</t>
        </is>
      </c>
      <c r="E561" t="inlineStr">
        <is>
          <t>VIMMERBY</t>
        </is>
      </c>
      <c r="F561" t="inlineStr">
        <is>
          <t>Sveaskog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52327-2023</t>
        </is>
      </c>
      <c r="B562" s="1" t="n">
        <v>45224.6515162037</v>
      </c>
      <c r="C562" s="1" t="n">
        <v>45939</v>
      </c>
      <c r="D562" t="inlineStr">
        <is>
          <t>KALMAR LÄN</t>
        </is>
      </c>
      <c r="E562" t="inlineStr">
        <is>
          <t>VIMMERBY</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17926-2025</t>
        </is>
      </c>
      <c r="B563" s="1" t="n">
        <v>45759.38987268518</v>
      </c>
      <c r="C563" s="1" t="n">
        <v>45939</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38964-2025</t>
        </is>
      </c>
      <c r="B564" s="1" t="n">
        <v>45887.68759259259</v>
      </c>
      <c r="C564" s="1" t="n">
        <v>45939</v>
      </c>
      <c r="D564" t="inlineStr">
        <is>
          <t>KALMAR LÄN</t>
        </is>
      </c>
      <c r="E564" t="inlineStr">
        <is>
          <t>VIMMERBY</t>
        </is>
      </c>
      <c r="G564" t="n">
        <v>7.5</v>
      </c>
      <c r="H564" t="n">
        <v>0</v>
      </c>
      <c r="I564" t="n">
        <v>0</v>
      </c>
      <c r="J564" t="n">
        <v>0</v>
      </c>
      <c r="K564" t="n">
        <v>0</v>
      </c>
      <c r="L564" t="n">
        <v>0</v>
      </c>
      <c r="M564" t="n">
        <v>0</v>
      </c>
      <c r="N564" t="n">
        <v>0</v>
      </c>
      <c r="O564" t="n">
        <v>0</v>
      </c>
      <c r="P564" t="n">
        <v>0</v>
      </c>
      <c r="Q564" t="n">
        <v>0</v>
      </c>
      <c r="R564" s="2" t="inlineStr"/>
    </row>
    <row r="565" ht="15" customHeight="1">
      <c r="A565" t="inlineStr">
        <is>
          <t>A 35127-2024</t>
        </is>
      </c>
      <c r="B565" s="1" t="n">
        <v>45530.33202546297</v>
      </c>
      <c r="C565" s="1" t="n">
        <v>45939</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41896-2023</t>
        </is>
      </c>
      <c r="B566" s="1" t="n">
        <v>45176.72427083334</v>
      </c>
      <c r="C566" s="1" t="n">
        <v>45939</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33383-2023</t>
        </is>
      </c>
      <c r="B567" s="1" t="n">
        <v>45128.58414351852</v>
      </c>
      <c r="C567" s="1" t="n">
        <v>45939</v>
      </c>
      <c r="D567" t="inlineStr">
        <is>
          <t>KALMAR LÄN</t>
        </is>
      </c>
      <c r="E567" t="inlineStr">
        <is>
          <t>VIMMERBY</t>
        </is>
      </c>
      <c r="G567" t="n">
        <v>2.3</v>
      </c>
      <c r="H567" t="n">
        <v>0</v>
      </c>
      <c r="I567" t="n">
        <v>0</v>
      </c>
      <c r="J567" t="n">
        <v>0</v>
      </c>
      <c r="K567" t="n">
        <v>0</v>
      </c>
      <c r="L567" t="n">
        <v>0</v>
      </c>
      <c r="M567" t="n">
        <v>0</v>
      </c>
      <c r="N567" t="n">
        <v>0</v>
      </c>
      <c r="O567" t="n">
        <v>0</v>
      </c>
      <c r="P567" t="n">
        <v>0</v>
      </c>
      <c r="Q567" t="n">
        <v>0</v>
      </c>
      <c r="R567" s="2" t="inlineStr"/>
    </row>
    <row r="568" ht="15" customHeight="1">
      <c r="A568" t="inlineStr">
        <is>
          <t>A 29616-2022</t>
        </is>
      </c>
      <c r="B568" s="1" t="n">
        <v>44754</v>
      </c>
      <c r="C568" s="1" t="n">
        <v>45939</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29348-2023</t>
        </is>
      </c>
      <c r="B569" s="1" t="n">
        <v>45106.25025462963</v>
      </c>
      <c r="C569" s="1" t="n">
        <v>45939</v>
      </c>
      <c r="D569" t="inlineStr">
        <is>
          <t>KALMAR LÄN</t>
        </is>
      </c>
      <c r="E569" t="inlineStr">
        <is>
          <t>VIMMERBY</t>
        </is>
      </c>
      <c r="G569" t="n">
        <v>2.4</v>
      </c>
      <c r="H569" t="n">
        <v>0</v>
      </c>
      <c r="I569" t="n">
        <v>0</v>
      </c>
      <c r="J569" t="n">
        <v>0</v>
      </c>
      <c r="K569" t="n">
        <v>0</v>
      </c>
      <c r="L569" t="n">
        <v>0</v>
      </c>
      <c r="M569" t="n">
        <v>0</v>
      </c>
      <c r="N569" t="n">
        <v>0</v>
      </c>
      <c r="O569" t="n">
        <v>0</v>
      </c>
      <c r="P569" t="n">
        <v>0</v>
      </c>
      <c r="Q569" t="n">
        <v>0</v>
      </c>
      <c r="R569" s="2" t="inlineStr"/>
    </row>
    <row r="570" ht="15" customHeight="1">
      <c r="A570" t="inlineStr">
        <is>
          <t>A 28403-2023</t>
        </is>
      </c>
      <c r="B570" s="1" t="n">
        <v>45100.85270833333</v>
      </c>
      <c r="C570" s="1" t="n">
        <v>45939</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47955-2025</t>
        </is>
      </c>
      <c r="B571" s="1" t="n">
        <v>45932.58896990741</v>
      </c>
      <c r="C571" s="1" t="n">
        <v>45939</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4297-2022</t>
        </is>
      </c>
      <c r="B572" s="1" t="n">
        <v>44588</v>
      </c>
      <c r="C572" s="1" t="n">
        <v>45939</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39736-2025</t>
        </is>
      </c>
      <c r="B573" s="1" t="n">
        <v>45891</v>
      </c>
      <c r="C573" s="1" t="n">
        <v>45939</v>
      </c>
      <c r="D573" t="inlineStr">
        <is>
          <t>KALMAR LÄN</t>
        </is>
      </c>
      <c r="E573" t="inlineStr">
        <is>
          <t>VIMMERBY</t>
        </is>
      </c>
      <c r="G573" t="n">
        <v>12.8</v>
      </c>
      <c r="H573" t="n">
        <v>0</v>
      </c>
      <c r="I573" t="n">
        <v>0</v>
      </c>
      <c r="J573" t="n">
        <v>0</v>
      </c>
      <c r="K573" t="n">
        <v>0</v>
      </c>
      <c r="L573" t="n">
        <v>0</v>
      </c>
      <c r="M573" t="n">
        <v>0</v>
      </c>
      <c r="N573" t="n">
        <v>0</v>
      </c>
      <c r="O573" t="n">
        <v>0</v>
      </c>
      <c r="P573" t="n">
        <v>0</v>
      </c>
      <c r="Q573" t="n">
        <v>0</v>
      </c>
      <c r="R573" s="2" t="inlineStr"/>
    </row>
    <row r="574" ht="15" customHeight="1">
      <c r="A574" t="inlineStr">
        <is>
          <t>A 17511-2024</t>
        </is>
      </c>
      <c r="B574" s="1" t="n">
        <v>45415.57682870371</v>
      </c>
      <c r="C574" s="1" t="n">
        <v>45939</v>
      </c>
      <c r="D574" t="inlineStr">
        <is>
          <t>KALMAR LÄN</t>
        </is>
      </c>
      <c r="E574" t="inlineStr">
        <is>
          <t>VIMMERBY</t>
        </is>
      </c>
      <c r="G574" t="n">
        <v>5.3</v>
      </c>
      <c r="H574" t="n">
        <v>0</v>
      </c>
      <c r="I574" t="n">
        <v>0</v>
      </c>
      <c r="J574" t="n">
        <v>0</v>
      </c>
      <c r="K574" t="n">
        <v>0</v>
      </c>
      <c r="L574" t="n">
        <v>0</v>
      </c>
      <c r="M574" t="n">
        <v>0</v>
      </c>
      <c r="N574" t="n">
        <v>0</v>
      </c>
      <c r="O574" t="n">
        <v>0</v>
      </c>
      <c r="P574" t="n">
        <v>0</v>
      </c>
      <c r="Q574" t="n">
        <v>0</v>
      </c>
      <c r="R574" s="2" t="inlineStr"/>
    </row>
    <row r="575" ht="15" customHeight="1">
      <c r="A575" t="inlineStr">
        <is>
          <t>A 48723-2025</t>
        </is>
      </c>
      <c r="B575" s="1" t="n">
        <v>45936.65121527778</v>
      </c>
      <c r="C575" s="1" t="n">
        <v>45939</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48712-2025</t>
        </is>
      </c>
      <c r="B576" s="1" t="n">
        <v>45936.63373842592</v>
      </c>
      <c r="C576" s="1" t="n">
        <v>45939</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47965-2025</t>
        </is>
      </c>
      <c r="B577" s="1" t="n">
        <v>45932.59597222223</v>
      </c>
      <c r="C577" s="1" t="n">
        <v>45939</v>
      </c>
      <c r="D577" t="inlineStr">
        <is>
          <t>KALMAR LÄN</t>
        </is>
      </c>
      <c r="E577" t="inlineStr">
        <is>
          <t>VIMMERBY</t>
        </is>
      </c>
      <c r="G577" t="n">
        <v>2.2</v>
      </c>
      <c r="H577" t="n">
        <v>0</v>
      </c>
      <c r="I577" t="n">
        <v>0</v>
      </c>
      <c r="J577" t="n">
        <v>0</v>
      </c>
      <c r="K577" t="n">
        <v>0</v>
      </c>
      <c r="L577" t="n">
        <v>0</v>
      </c>
      <c r="M577" t="n">
        <v>0</v>
      </c>
      <c r="N577" t="n">
        <v>0</v>
      </c>
      <c r="O577" t="n">
        <v>0</v>
      </c>
      <c r="P577" t="n">
        <v>0</v>
      </c>
      <c r="Q577" t="n">
        <v>0</v>
      </c>
      <c r="R577" s="2" t="inlineStr"/>
    </row>
    <row r="578" ht="15" customHeight="1">
      <c r="A578" t="inlineStr">
        <is>
          <t>A 66022-2021</t>
        </is>
      </c>
      <c r="B578" s="1" t="n">
        <v>44517</v>
      </c>
      <c r="C578" s="1" t="n">
        <v>45939</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29973-2023</t>
        </is>
      </c>
      <c r="B579" s="1" t="n">
        <v>45108.703125</v>
      </c>
      <c r="C579" s="1" t="n">
        <v>45939</v>
      </c>
      <c r="D579" t="inlineStr">
        <is>
          <t>KALMAR LÄN</t>
        </is>
      </c>
      <c r="E579" t="inlineStr">
        <is>
          <t>VIMMERBY</t>
        </is>
      </c>
      <c r="G579" t="n">
        <v>4</v>
      </c>
      <c r="H579" t="n">
        <v>0</v>
      </c>
      <c r="I579" t="n">
        <v>0</v>
      </c>
      <c r="J579" t="n">
        <v>0</v>
      </c>
      <c r="K579" t="n">
        <v>0</v>
      </c>
      <c r="L579" t="n">
        <v>0</v>
      </c>
      <c r="M579" t="n">
        <v>0</v>
      </c>
      <c r="N579" t="n">
        <v>0</v>
      </c>
      <c r="O579" t="n">
        <v>0</v>
      </c>
      <c r="P579" t="n">
        <v>0</v>
      </c>
      <c r="Q579" t="n">
        <v>0</v>
      </c>
      <c r="R579" s="2" t="inlineStr"/>
    </row>
    <row r="580" ht="15" customHeight="1">
      <c r="A580" t="inlineStr">
        <is>
          <t>A 39803-2025</t>
        </is>
      </c>
      <c r="B580" s="1" t="n">
        <v>45891.50525462963</v>
      </c>
      <c r="C580" s="1" t="n">
        <v>45939</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55716-2023</t>
        </is>
      </c>
      <c r="B581" s="1" t="n">
        <v>45232</v>
      </c>
      <c r="C581" s="1" t="n">
        <v>45939</v>
      </c>
      <c r="D581" t="inlineStr">
        <is>
          <t>KALMAR LÄN</t>
        </is>
      </c>
      <c r="E581" t="inlineStr">
        <is>
          <t>VIMMERBY</t>
        </is>
      </c>
      <c r="G581" t="n">
        <v>2.3</v>
      </c>
      <c r="H581" t="n">
        <v>0</v>
      </c>
      <c r="I581" t="n">
        <v>0</v>
      </c>
      <c r="J581" t="n">
        <v>0</v>
      </c>
      <c r="K581" t="n">
        <v>0</v>
      </c>
      <c r="L581" t="n">
        <v>0</v>
      </c>
      <c r="M581" t="n">
        <v>0</v>
      </c>
      <c r="N581" t="n">
        <v>0</v>
      </c>
      <c r="O581" t="n">
        <v>0</v>
      </c>
      <c r="P581" t="n">
        <v>0</v>
      </c>
      <c r="Q581" t="n">
        <v>0</v>
      </c>
      <c r="R581" s="2" t="inlineStr"/>
    </row>
    <row r="582" ht="15" customHeight="1">
      <c r="A582" t="inlineStr">
        <is>
          <t>A 30070-2023</t>
        </is>
      </c>
      <c r="B582" s="1" t="n">
        <v>45110.4275</v>
      </c>
      <c r="C582" s="1" t="n">
        <v>45939</v>
      </c>
      <c r="D582" t="inlineStr">
        <is>
          <t>KALMAR LÄN</t>
        </is>
      </c>
      <c r="E582" t="inlineStr">
        <is>
          <t>VIMMERBY</t>
        </is>
      </c>
      <c r="G582" t="n">
        <v>1.6</v>
      </c>
      <c r="H582" t="n">
        <v>0</v>
      </c>
      <c r="I582" t="n">
        <v>0</v>
      </c>
      <c r="J582" t="n">
        <v>0</v>
      </c>
      <c r="K582" t="n">
        <v>0</v>
      </c>
      <c r="L582" t="n">
        <v>0</v>
      </c>
      <c r="M582" t="n">
        <v>0</v>
      </c>
      <c r="N582" t="n">
        <v>0</v>
      </c>
      <c r="O582" t="n">
        <v>0</v>
      </c>
      <c r="P582" t="n">
        <v>0</v>
      </c>
      <c r="Q582" t="n">
        <v>0</v>
      </c>
      <c r="R582" s="2" t="inlineStr"/>
    </row>
    <row r="583" ht="15" customHeight="1">
      <c r="A583" t="inlineStr">
        <is>
          <t>A 34386-2024</t>
        </is>
      </c>
      <c r="B583" s="1" t="n">
        <v>45525.41762731481</v>
      </c>
      <c r="C583" s="1" t="n">
        <v>45939</v>
      </c>
      <c r="D583" t="inlineStr">
        <is>
          <t>KALMAR LÄN</t>
        </is>
      </c>
      <c r="E583" t="inlineStr">
        <is>
          <t>VIMMERBY</t>
        </is>
      </c>
      <c r="G583" t="n">
        <v>0.3</v>
      </c>
      <c r="H583" t="n">
        <v>0</v>
      </c>
      <c r="I583" t="n">
        <v>0</v>
      </c>
      <c r="J583" t="n">
        <v>0</v>
      </c>
      <c r="K583" t="n">
        <v>0</v>
      </c>
      <c r="L583" t="n">
        <v>0</v>
      </c>
      <c r="M583" t="n">
        <v>0</v>
      </c>
      <c r="N583" t="n">
        <v>0</v>
      </c>
      <c r="O583" t="n">
        <v>0</v>
      </c>
      <c r="P583" t="n">
        <v>0</v>
      </c>
      <c r="Q583" t="n">
        <v>0</v>
      </c>
      <c r="R583" s="2" t="inlineStr"/>
    </row>
    <row r="584" ht="15" customHeight="1">
      <c r="A584" t="inlineStr">
        <is>
          <t>A 39889-2025</t>
        </is>
      </c>
      <c r="B584" s="1" t="n">
        <v>45891</v>
      </c>
      <c r="C584" s="1" t="n">
        <v>45939</v>
      </c>
      <c r="D584" t="inlineStr">
        <is>
          <t>KALMAR LÄN</t>
        </is>
      </c>
      <c r="E584" t="inlineStr">
        <is>
          <t>VIMMERBY</t>
        </is>
      </c>
      <c r="G584" t="n">
        <v>4.5</v>
      </c>
      <c r="H584" t="n">
        <v>0</v>
      </c>
      <c r="I584" t="n">
        <v>0</v>
      </c>
      <c r="J584" t="n">
        <v>0</v>
      </c>
      <c r="K584" t="n">
        <v>0</v>
      </c>
      <c r="L584" t="n">
        <v>0</v>
      </c>
      <c r="M584" t="n">
        <v>0</v>
      </c>
      <c r="N584" t="n">
        <v>0</v>
      </c>
      <c r="O584" t="n">
        <v>0</v>
      </c>
      <c r="P584" t="n">
        <v>0</v>
      </c>
      <c r="Q584" t="n">
        <v>0</v>
      </c>
      <c r="R584" s="2" t="inlineStr"/>
    </row>
    <row r="585" ht="15" customHeight="1">
      <c r="A585" t="inlineStr">
        <is>
          <t>A 42429-2024</t>
        </is>
      </c>
      <c r="B585" s="1" t="n">
        <v>45565.40657407408</v>
      </c>
      <c r="C585" s="1" t="n">
        <v>45939</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46078-2023</t>
        </is>
      </c>
      <c r="B586" s="1" t="n">
        <v>45196</v>
      </c>
      <c r="C586" s="1" t="n">
        <v>45939</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11946-2025</t>
        </is>
      </c>
      <c r="B587" s="1" t="n">
        <v>45728.54832175926</v>
      </c>
      <c r="C587" s="1" t="n">
        <v>45939</v>
      </c>
      <c r="D587" t="inlineStr">
        <is>
          <t>KALMAR LÄN</t>
        </is>
      </c>
      <c r="E587" t="inlineStr">
        <is>
          <t>VIMMERBY</t>
        </is>
      </c>
      <c r="G587" t="n">
        <v>0.4</v>
      </c>
      <c r="H587" t="n">
        <v>0</v>
      </c>
      <c r="I587" t="n">
        <v>0</v>
      </c>
      <c r="J587" t="n">
        <v>0</v>
      </c>
      <c r="K587" t="n">
        <v>0</v>
      </c>
      <c r="L587" t="n">
        <v>0</v>
      </c>
      <c r="M587" t="n">
        <v>0</v>
      </c>
      <c r="N587" t="n">
        <v>0</v>
      </c>
      <c r="O587" t="n">
        <v>0</v>
      </c>
      <c r="P587" t="n">
        <v>0</v>
      </c>
      <c r="Q587" t="n">
        <v>0</v>
      </c>
      <c r="R587" s="2" t="inlineStr"/>
    </row>
    <row r="588" ht="15" customHeight="1">
      <c r="A588" t="inlineStr">
        <is>
          <t>A 48299-2025</t>
        </is>
      </c>
      <c r="B588" s="1" t="n">
        <v>45933.60982638889</v>
      </c>
      <c r="C588" s="1" t="n">
        <v>45939</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7643-2022</t>
        </is>
      </c>
      <c r="B589" s="1" t="n">
        <v>44607</v>
      </c>
      <c r="C589" s="1" t="n">
        <v>45939</v>
      </c>
      <c r="D589" t="inlineStr">
        <is>
          <t>KALMAR LÄN</t>
        </is>
      </c>
      <c r="E589" t="inlineStr">
        <is>
          <t>VIMMERBY</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3494-2023</t>
        </is>
      </c>
      <c r="B590" s="1" t="n">
        <v>44949</v>
      </c>
      <c r="C590" s="1" t="n">
        <v>45939</v>
      </c>
      <c r="D590" t="inlineStr">
        <is>
          <t>KALMAR LÄN</t>
        </is>
      </c>
      <c r="E590" t="inlineStr">
        <is>
          <t>VIMMERBY</t>
        </is>
      </c>
      <c r="F590" t="inlineStr">
        <is>
          <t>Kyrkan</t>
        </is>
      </c>
      <c r="G590" t="n">
        <v>0.8</v>
      </c>
      <c r="H590" t="n">
        <v>0</v>
      </c>
      <c r="I590" t="n">
        <v>0</v>
      </c>
      <c r="J590" t="n">
        <v>0</v>
      </c>
      <c r="K590" t="n">
        <v>0</v>
      </c>
      <c r="L590" t="n">
        <v>0</v>
      </c>
      <c r="M590" t="n">
        <v>0</v>
      </c>
      <c r="N590" t="n">
        <v>0</v>
      </c>
      <c r="O590" t="n">
        <v>0</v>
      </c>
      <c r="P590" t="n">
        <v>0</v>
      </c>
      <c r="Q590" t="n">
        <v>0</v>
      </c>
      <c r="R590" s="2" t="inlineStr"/>
    </row>
    <row r="591" ht="15" customHeight="1">
      <c r="A591" t="inlineStr">
        <is>
          <t>A 59943-2023</t>
        </is>
      </c>
      <c r="B591" s="1" t="n">
        <v>45257.67958333333</v>
      </c>
      <c r="C591" s="1" t="n">
        <v>45939</v>
      </c>
      <c r="D591" t="inlineStr">
        <is>
          <t>KALMAR LÄN</t>
        </is>
      </c>
      <c r="E591" t="inlineStr">
        <is>
          <t>VIMMERBY</t>
        </is>
      </c>
      <c r="G591" t="n">
        <v>6.4</v>
      </c>
      <c r="H591" t="n">
        <v>0</v>
      </c>
      <c r="I591" t="n">
        <v>0</v>
      </c>
      <c r="J591" t="n">
        <v>0</v>
      </c>
      <c r="K591" t="n">
        <v>0</v>
      </c>
      <c r="L591" t="n">
        <v>0</v>
      </c>
      <c r="M591" t="n">
        <v>0</v>
      </c>
      <c r="N591" t="n">
        <v>0</v>
      </c>
      <c r="O591" t="n">
        <v>0</v>
      </c>
      <c r="P591" t="n">
        <v>0</v>
      </c>
      <c r="Q591" t="n">
        <v>0</v>
      </c>
      <c r="R591" s="2" t="inlineStr"/>
    </row>
    <row r="592" ht="15" customHeight="1">
      <c r="A592" t="inlineStr">
        <is>
          <t>A 15493-2023</t>
        </is>
      </c>
      <c r="B592" s="1" t="n">
        <v>45018</v>
      </c>
      <c r="C592" s="1" t="n">
        <v>45939</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51881-2024</t>
        </is>
      </c>
      <c r="B593" s="1" t="n">
        <v>45607.56773148148</v>
      </c>
      <c r="C593" s="1" t="n">
        <v>45939</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32633-2023</t>
        </is>
      </c>
      <c r="B594" s="1" t="n">
        <v>45121.58699074074</v>
      </c>
      <c r="C594" s="1" t="n">
        <v>45939</v>
      </c>
      <c r="D594" t="inlineStr">
        <is>
          <t>KALMAR LÄN</t>
        </is>
      </c>
      <c r="E594" t="inlineStr">
        <is>
          <t>VIMMERBY</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1021-2024</t>
        </is>
      </c>
      <c r="B595" s="1" t="n">
        <v>45301.67736111111</v>
      </c>
      <c r="C595" s="1" t="n">
        <v>45939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43601-2024</t>
        </is>
      </c>
      <c r="B596" s="1" t="n">
        <v>45569.44684027778</v>
      </c>
      <c r="C596" s="1" t="n">
        <v>45939</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32569-2024</t>
        </is>
      </c>
      <c r="B597" s="1" t="n">
        <v>45513.55840277778</v>
      </c>
      <c r="C597" s="1" t="n">
        <v>45939</v>
      </c>
      <c r="D597" t="inlineStr">
        <is>
          <t>KALMAR LÄN</t>
        </is>
      </c>
      <c r="E597" t="inlineStr">
        <is>
          <t>VIMMERBY</t>
        </is>
      </c>
      <c r="G597" t="n">
        <v>3.7</v>
      </c>
      <c r="H597" t="n">
        <v>0</v>
      </c>
      <c r="I597" t="n">
        <v>0</v>
      </c>
      <c r="J597" t="n">
        <v>0</v>
      </c>
      <c r="K597" t="n">
        <v>0</v>
      </c>
      <c r="L597" t="n">
        <v>0</v>
      </c>
      <c r="M597" t="n">
        <v>0</v>
      </c>
      <c r="N597" t="n">
        <v>0</v>
      </c>
      <c r="O597" t="n">
        <v>0</v>
      </c>
      <c r="P597" t="n">
        <v>0</v>
      </c>
      <c r="Q597" t="n">
        <v>0</v>
      </c>
      <c r="R597" s="2" t="inlineStr"/>
    </row>
    <row r="598" ht="15" customHeight="1">
      <c r="A598" t="inlineStr">
        <is>
          <t>A 32575-2024</t>
        </is>
      </c>
      <c r="B598" s="1" t="n">
        <v>45513.56527777778</v>
      </c>
      <c r="C598" s="1" t="n">
        <v>45939</v>
      </c>
      <c r="D598" t="inlineStr">
        <is>
          <t>KALMAR LÄN</t>
        </is>
      </c>
      <c r="E598" t="inlineStr">
        <is>
          <t>VIMMERBY</t>
        </is>
      </c>
      <c r="G598" t="n">
        <v>1.5</v>
      </c>
      <c r="H598" t="n">
        <v>0</v>
      </c>
      <c r="I598" t="n">
        <v>0</v>
      </c>
      <c r="J598" t="n">
        <v>0</v>
      </c>
      <c r="K598" t="n">
        <v>0</v>
      </c>
      <c r="L598" t="n">
        <v>0</v>
      </c>
      <c r="M598" t="n">
        <v>0</v>
      </c>
      <c r="N598" t="n">
        <v>0</v>
      </c>
      <c r="O598" t="n">
        <v>0</v>
      </c>
      <c r="P598" t="n">
        <v>0</v>
      </c>
      <c r="Q598" t="n">
        <v>0</v>
      </c>
      <c r="R598" s="2" t="inlineStr"/>
    </row>
    <row r="599" ht="15" customHeight="1">
      <c r="A599" t="inlineStr">
        <is>
          <t>A 30063-2023</t>
        </is>
      </c>
      <c r="B599" s="1" t="n">
        <v>45110.4184375</v>
      </c>
      <c r="C599" s="1" t="n">
        <v>45939</v>
      </c>
      <c r="D599" t="inlineStr">
        <is>
          <t>KALMAR LÄN</t>
        </is>
      </c>
      <c r="E599" t="inlineStr">
        <is>
          <t>VIMMERBY</t>
        </is>
      </c>
      <c r="G599" t="n">
        <v>1.2</v>
      </c>
      <c r="H599" t="n">
        <v>0</v>
      </c>
      <c r="I599" t="n">
        <v>0</v>
      </c>
      <c r="J599" t="n">
        <v>0</v>
      </c>
      <c r="K599" t="n">
        <v>0</v>
      </c>
      <c r="L599" t="n">
        <v>0</v>
      </c>
      <c r="M599" t="n">
        <v>0</v>
      </c>
      <c r="N599" t="n">
        <v>0</v>
      </c>
      <c r="O599" t="n">
        <v>0</v>
      </c>
      <c r="P599" t="n">
        <v>0</v>
      </c>
      <c r="Q599" t="n">
        <v>0</v>
      </c>
      <c r="R599" s="2" t="inlineStr"/>
    </row>
    <row r="600" ht="15" customHeight="1">
      <c r="A600" t="inlineStr">
        <is>
          <t>A 17482-2024</t>
        </is>
      </c>
      <c r="B600" s="1" t="n">
        <v>45415.47848379629</v>
      </c>
      <c r="C600" s="1" t="n">
        <v>45939</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13813-2024</t>
        </is>
      </c>
      <c r="B601" s="1" t="n">
        <v>45391.41310185185</v>
      </c>
      <c r="C601" s="1" t="n">
        <v>45939</v>
      </c>
      <c r="D601" t="inlineStr">
        <is>
          <t>KALMAR LÄN</t>
        </is>
      </c>
      <c r="E601" t="inlineStr">
        <is>
          <t>VIMMERBY</t>
        </is>
      </c>
      <c r="G601" t="n">
        <v>0.4</v>
      </c>
      <c r="H601" t="n">
        <v>0</v>
      </c>
      <c r="I601" t="n">
        <v>0</v>
      </c>
      <c r="J601" t="n">
        <v>0</v>
      </c>
      <c r="K601" t="n">
        <v>0</v>
      </c>
      <c r="L601" t="n">
        <v>0</v>
      </c>
      <c r="M601" t="n">
        <v>0</v>
      </c>
      <c r="N601" t="n">
        <v>0</v>
      </c>
      <c r="O601" t="n">
        <v>0</v>
      </c>
      <c r="P601" t="n">
        <v>0</v>
      </c>
      <c r="Q601" t="n">
        <v>0</v>
      </c>
      <c r="R601" s="2" t="inlineStr"/>
    </row>
    <row r="602" ht="15" customHeight="1">
      <c r="A602" t="inlineStr">
        <is>
          <t>A 48600-2025</t>
        </is>
      </c>
      <c r="B602" s="1" t="n">
        <v>45935</v>
      </c>
      <c r="C602" s="1" t="n">
        <v>45939</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25234-2023</t>
        </is>
      </c>
      <c r="B603" s="1" t="n">
        <v>45086.63194444445</v>
      </c>
      <c r="C603" s="1" t="n">
        <v>45939</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25236-2023</t>
        </is>
      </c>
      <c r="B604" s="1" t="n">
        <v>45086.63334490741</v>
      </c>
      <c r="C604" s="1" t="n">
        <v>45939</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39801-2025</t>
        </is>
      </c>
      <c r="B605" s="1" t="n">
        <v>45891.50216435185</v>
      </c>
      <c r="C605" s="1" t="n">
        <v>45939</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25244-2023</t>
        </is>
      </c>
      <c r="B606" s="1" t="n">
        <v>45086</v>
      </c>
      <c r="C606" s="1" t="n">
        <v>45939</v>
      </c>
      <c r="D606" t="inlineStr">
        <is>
          <t>KALMAR LÄN</t>
        </is>
      </c>
      <c r="E606" t="inlineStr">
        <is>
          <t>VIMMERBY</t>
        </is>
      </c>
      <c r="G606" t="n">
        <v>4.7</v>
      </c>
      <c r="H606" t="n">
        <v>0</v>
      </c>
      <c r="I606" t="n">
        <v>0</v>
      </c>
      <c r="J606" t="n">
        <v>0</v>
      </c>
      <c r="K606" t="n">
        <v>0</v>
      </c>
      <c r="L606" t="n">
        <v>0</v>
      </c>
      <c r="M606" t="n">
        <v>0</v>
      </c>
      <c r="N606" t="n">
        <v>0</v>
      </c>
      <c r="O606" t="n">
        <v>0</v>
      </c>
      <c r="P606" t="n">
        <v>0</v>
      </c>
      <c r="Q606" t="n">
        <v>0</v>
      </c>
      <c r="R606" s="2" t="inlineStr"/>
    </row>
    <row r="607" ht="15" customHeight="1">
      <c r="A607" t="inlineStr">
        <is>
          <t>A 39807-2025</t>
        </is>
      </c>
      <c r="B607" s="1" t="n">
        <v>45891.50986111111</v>
      </c>
      <c r="C607" s="1" t="n">
        <v>45939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13817-2024</t>
        </is>
      </c>
      <c r="B608" s="1" t="n">
        <v>45391.41976851852</v>
      </c>
      <c r="C608" s="1" t="n">
        <v>45939</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30406-2023</t>
        </is>
      </c>
      <c r="B609" s="1" t="n">
        <v>45111.48787037037</v>
      </c>
      <c r="C609" s="1" t="n">
        <v>45939</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23341-2022</t>
        </is>
      </c>
      <c r="B610" s="1" t="n">
        <v>44720.53898148148</v>
      </c>
      <c r="C610" s="1" t="n">
        <v>45939</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8086-2021</t>
        </is>
      </c>
      <c r="B611" s="1" t="n">
        <v>44243</v>
      </c>
      <c r="C611" s="1" t="n">
        <v>45939</v>
      </c>
      <c r="D611" t="inlineStr">
        <is>
          <t>KALMAR LÄN</t>
        </is>
      </c>
      <c r="E611" t="inlineStr">
        <is>
          <t>VIMMERBY</t>
        </is>
      </c>
      <c r="G611" t="n">
        <v>4.1</v>
      </c>
      <c r="H611" t="n">
        <v>0</v>
      </c>
      <c r="I611" t="n">
        <v>0</v>
      </c>
      <c r="J611" t="n">
        <v>0</v>
      </c>
      <c r="K611" t="n">
        <v>0</v>
      </c>
      <c r="L611" t="n">
        <v>0</v>
      </c>
      <c r="M611" t="n">
        <v>0</v>
      </c>
      <c r="N611" t="n">
        <v>0</v>
      </c>
      <c r="O611" t="n">
        <v>0</v>
      </c>
      <c r="P611" t="n">
        <v>0</v>
      </c>
      <c r="Q611" t="n">
        <v>0</v>
      </c>
      <c r="R611" s="2" t="inlineStr"/>
    </row>
    <row r="612" ht="15" customHeight="1">
      <c r="A612" t="inlineStr">
        <is>
          <t>A 29020-2024</t>
        </is>
      </c>
      <c r="B612" s="1" t="n">
        <v>45481.58048611111</v>
      </c>
      <c r="C612" s="1" t="n">
        <v>45939</v>
      </c>
      <c r="D612" t="inlineStr">
        <is>
          <t>KALMAR LÄN</t>
        </is>
      </c>
      <c r="E612" t="inlineStr">
        <is>
          <t>VIMMERBY</t>
        </is>
      </c>
      <c r="G612" t="n">
        <v>2.3</v>
      </c>
      <c r="H612" t="n">
        <v>0</v>
      </c>
      <c r="I612" t="n">
        <v>0</v>
      </c>
      <c r="J612" t="n">
        <v>0</v>
      </c>
      <c r="K612" t="n">
        <v>0</v>
      </c>
      <c r="L612" t="n">
        <v>0</v>
      </c>
      <c r="M612" t="n">
        <v>0</v>
      </c>
      <c r="N612" t="n">
        <v>0</v>
      </c>
      <c r="O612" t="n">
        <v>0</v>
      </c>
      <c r="P612" t="n">
        <v>0</v>
      </c>
      <c r="Q612" t="n">
        <v>0</v>
      </c>
      <c r="R612" s="2" t="inlineStr"/>
    </row>
    <row r="613" ht="15" customHeight="1">
      <c r="A613" t="inlineStr">
        <is>
          <t>A 48408-2025</t>
        </is>
      </c>
      <c r="B613" s="1" t="n">
        <v>45934.40527777778</v>
      </c>
      <c r="C613" s="1" t="n">
        <v>45939</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71793-2021</t>
        </is>
      </c>
      <c r="B614" s="1" t="n">
        <v>44539</v>
      </c>
      <c r="C614" s="1" t="n">
        <v>45939</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48409-2025</t>
        </is>
      </c>
      <c r="B615" s="1" t="n">
        <v>45934.41387731482</v>
      </c>
      <c r="C615" s="1" t="n">
        <v>45939</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73938-2021</t>
        </is>
      </c>
      <c r="B616" s="1" t="n">
        <v>44553</v>
      </c>
      <c r="C616" s="1" t="n">
        <v>45939</v>
      </c>
      <c r="D616" t="inlineStr">
        <is>
          <t>KALMAR LÄN</t>
        </is>
      </c>
      <c r="E616" t="inlineStr">
        <is>
          <t>VIMMERBY</t>
        </is>
      </c>
      <c r="G616" t="n">
        <v>3.2</v>
      </c>
      <c r="H616" t="n">
        <v>0</v>
      </c>
      <c r="I616" t="n">
        <v>0</v>
      </c>
      <c r="J616" t="n">
        <v>0</v>
      </c>
      <c r="K616" t="n">
        <v>0</v>
      </c>
      <c r="L616" t="n">
        <v>0</v>
      </c>
      <c r="M616" t="n">
        <v>0</v>
      </c>
      <c r="N616" t="n">
        <v>0</v>
      </c>
      <c r="O616" t="n">
        <v>0</v>
      </c>
      <c r="P616" t="n">
        <v>0</v>
      </c>
      <c r="Q616" t="n">
        <v>0</v>
      </c>
      <c r="R616" s="2" t="inlineStr"/>
    </row>
    <row r="617" ht="15" customHeight="1">
      <c r="A617" t="inlineStr">
        <is>
          <t>A 6069-2023</t>
        </is>
      </c>
      <c r="B617" s="1" t="n">
        <v>44964.5115162037</v>
      </c>
      <c r="C617" s="1" t="n">
        <v>45939</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50995-2022</t>
        </is>
      </c>
      <c r="B618" s="1" t="n">
        <v>44867</v>
      </c>
      <c r="C618" s="1" t="n">
        <v>45939</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27122-2023</t>
        </is>
      </c>
      <c r="B619" s="1" t="n">
        <v>45096.45247685185</v>
      </c>
      <c r="C619" s="1" t="n">
        <v>45939</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30402-2023</t>
        </is>
      </c>
      <c r="B620" s="1" t="n">
        <v>45111.48395833333</v>
      </c>
      <c r="C620" s="1" t="n">
        <v>45939</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47842-2024</t>
        </is>
      </c>
      <c r="B621" s="1" t="n">
        <v>45588.65545138889</v>
      </c>
      <c r="C621" s="1" t="n">
        <v>45939</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25582-2024</t>
        </is>
      </c>
      <c r="B622" s="1" t="n">
        <v>45463</v>
      </c>
      <c r="C622" s="1" t="n">
        <v>45939</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57578-2024</t>
        </is>
      </c>
      <c r="B623" s="1" t="n">
        <v>45630.47564814815</v>
      </c>
      <c r="C623" s="1" t="n">
        <v>45939</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6857-2023</t>
        </is>
      </c>
      <c r="B624" s="1" t="n">
        <v>44967.45122685185</v>
      </c>
      <c r="C624" s="1" t="n">
        <v>45939</v>
      </c>
      <c r="D624" t="inlineStr">
        <is>
          <t>KALMAR LÄN</t>
        </is>
      </c>
      <c r="E624" t="inlineStr">
        <is>
          <t>VIMMERBY</t>
        </is>
      </c>
      <c r="G624" t="n">
        <v>2.1</v>
      </c>
      <c r="H624" t="n">
        <v>0</v>
      </c>
      <c r="I624" t="n">
        <v>0</v>
      </c>
      <c r="J624" t="n">
        <v>0</v>
      </c>
      <c r="K624" t="n">
        <v>0</v>
      </c>
      <c r="L624" t="n">
        <v>0</v>
      </c>
      <c r="M624" t="n">
        <v>0</v>
      </c>
      <c r="N624" t="n">
        <v>0</v>
      </c>
      <c r="O624" t="n">
        <v>0</v>
      </c>
      <c r="P624" t="n">
        <v>0</v>
      </c>
      <c r="Q624" t="n">
        <v>0</v>
      </c>
      <c r="R624" s="2" t="inlineStr"/>
    </row>
    <row r="625" ht="15" customHeight="1">
      <c r="A625" t="inlineStr">
        <is>
          <t>A 46224-2024</t>
        </is>
      </c>
      <c r="B625" s="1" t="n">
        <v>45581.57016203704</v>
      </c>
      <c r="C625" s="1" t="n">
        <v>45939</v>
      </c>
      <c r="D625" t="inlineStr">
        <is>
          <t>KALMAR LÄN</t>
        </is>
      </c>
      <c r="E625" t="inlineStr">
        <is>
          <t>VIMMERBY</t>
        </is>
      </c>
      <c r="G625" t="n">
        <v>3.1</v>
      </c>
      <c r="H625" t="n">
        <v>0</v>
      </c>
      <c r="I625" t="n">
        <v>0</v>
      </c>
      <c r="J625" t="n">
        <v>0</v>
      </c>
      <c r="K625" t="n">
        <v>0</v>
      </c>
      <c r="L625" t="n">
        <v>0</v>
      </c>
      <c r="M625" t="n">
        <v>0</v>
      </c>
      <c r="N625" t="n">
        <v>0</v>
      </c>
      <c r="O625" t="n">
        <v>0</v>
      </c>
      <c r="P625" t="n">
        <v>0</v>
      </c>
      <c r="Q625" t="n">
        <v>0</v>
      </c>
      <c r="R625" s="2" t="inlineStr"/>
    </row>
    <row r="626" ht="15" customHeight="1">
      <c r="A626" t="inlineStr">
        <is>
          <t>A 29013-2024</t>
        </is>
      </c>
      <c r="B626" s="1" t="n">
        <v>45481.55984953704</v>
      </c>
      <c r="C626" s="1" t="n">
        <v>45939</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37028-2024</t>
        </is>
      </c>
      <c r="B627" s="1" t="n">
        <v>45539.38744212963</v>
      </c>
      <c r="C627" s="1" t="n">
        <v>45939</v>
      </c>
      <c r="D627" t="inlineStr">
        <is>
          <t>KALMAR LÄN</t>
        </is>
      </c>
      <c r="E627" t="inlineStr">
        <is>
          <t>VIMMERBY</t>
        </is>
      </c>
      <c r="G627" t="n">
        <v>5.2</v>
      </c>
      <c r="H627" t="n">
        <v>0</v>
      </c>
      <c r="I627" t="n">
        <v>0</v>
      </c>
      <c r="J627" t="n">
        <v>0</v>
      </c>
      <c r="K627" t="n">
        <v>0</v>
      </c>
      <c r="L627" t="n">
        <v>0</v>
      </c>
      <c r="M627" t="n">
        <v>0</v>
      </c>
      <c r="N627" t="n">
        <v>0</v>
      </c>
      <c r="O627" t="n">
        <v>0</v>
      </c>
      <c r="P627" t="n">
        <v>0</v>
      </c>
      <c r="Q627" t="n">
        <v>0</v>
      </c>
      <c r="R627" s="2" t="inlineStr"/>
    </row>
    <row r="628" ht="15" customHeight="1">
      <c r="A628" t="inlineStr">
        <is>
          <t>A 22399-2025</t>
        </is>
      </c>
      <c r="B628" s="1" t="n">
        <v>45786.52996527778</v>
      </c>
      <c r="C628" s="1" t="n">
        <v>45939</v>
      </c>
      <c r="D628" t="inlineStr">
        <is>
          <t>KALMAR LÄN</t>
        </is>
      </c>
      <c r="E628" t="inlineStr">
        <is>
          <t>VIMMERBY</t>
        </is>
      </c>
      <c r="G628" t="n">
        <v>2.1</v>
      </c>
      <c r="H628" t="n">
        <v>0</v>
      </c>
      <c r="I628" t="n">
        <v>0</v>
      </c>
      <c r="J628" t="n">
        <v>0</v>
      </c>
      <c r="K628" t="n">
        <v>0</v>
      </c>
      <c r="L628" t="n">
        <v>0</v>
      </c>
      <c r="M628" t="n">
        <v>0</v>
      </c>
      <c r="N628" t="n">
        <v>0</v>
      </c>
      <c r="O628" t="n">
        <v>0</v>
      </c>
      <c r="P628" t="n">
        <v>0</v>
      </c>
      <c r="Q628" t="n">
        <v>0</v>
      </c>
      <c r="R628" s="2" t="inlineStr"/>
    </row>
    <row r="629" ht="15" customHeight="1">
      <c r="A629" t="inlineStr">
        <is>
          <t>A 37187-2024</t>
        </is>
      </c>
      <c r="B629" s="1" t="n">
        <v>45539.65212962963</v>
      </c>
      <c r="C629" s="1" t="n">
        <v>45939</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12630-2023</t>
        </is>
      </c>
      <c r="B630" s="1" t="n">
        <v>45000.47998842593</v>
      </c>
      <c r="C630" s="1" t="n">
        <v>45939</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22397-2025</t>
        </is>
      </c>
      <c r="B631" s="1" t="n">
        <v>45786.52878472222</v>
      </c>
      <c r="C631" s="1" t="n">
        <v>45939</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39584-2024</t>
        </is>
      </c>
      <c r="B632" s="1" t="n">
        <v>45552.36759259259</v>
      </c>
      <c r="C632" s="1" t="n">
        <v>45939</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27705-2023</t>
        </is>
      </c>
      <c r="B633" s="1" t="n">
        <v>45098.30535879629</v>
      </c>
      <c r="C633" s="1" t="n">
        <v>45939</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31013-2023</t>
        </is>
      </c>
      <c r="B634" s="1" t="n">
        <v>45113.56574074074</v>
      </c>
      <c r="C634" s="1" t="n">
        <v>45939</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15388-2025</t>
        </is>
      </c>
      <c r="B635" s="1" t="n">
        <v>45747.42633101852</v>
      </c>
      <c r="C635" s="1" t="n">
        <v>45939</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15391-2025</t>
        </is>
      </c>
      <c r="B636" s="1" t="n">
        <v>45747.42958333333</v>
      </c>
      <c r="C636" s="1" t="n">
        <v>45939</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11303-2025</t>
        </is>
      </c>
      <c r="B637" s="1" t="n">
        <v>45726.44471064815</v>
      </c>
      <c r="C637" s="1" t="n">
        <v>45939</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33352-2022</t>
        </is>
      </c>
      <c r="B638" s="1" t="n">
        <v>44788</v>
      </c>
      <c r="C638" s="1" t="n">
        <v>45939</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11442-2025</t>
        </is>
      </c>
      <c r="B639" s="1" t="n">
        <v>45726.62721064815</v>
      </c>
      <c r="C639" s="1" t="n">
        <v>45939</v>
      </c>
      <c r="D639" t="inlineStr">
        <is>
          <t>KALMAR LÄN</t>
        </is>
      </c>
      <c r="E639" t="inlineStr">
        <is>
          <t>VIMMERBY</t>
        </is>
      </c>
      <c r="G639" t="n">
        <v>2.6</v>
      </c>
      <c r="H639" t="n">
        <v>0</v>
      </c>
      <c r="I639" t="n">
        <v>0</v>
      </c>
      <c r="J639" t="n">
        <v>0</v>
      </c>
      <c r="K639" t="n">
        <v>0</v>
      </c>
      <c r="L639" t="n">
        <v>0</v>
      </c>
      <c r="M639" t="n">
        <v>0</v>
      </c>
      <c r="N639" t="n">
        <v>0</v>
      </c>
      <c r="O639" t="n">
        <v>0</v>
      </c>
      <c r="P639" t="n">
        <v>0</v>
      </c>
      <c r="Q639" t="n">
        <v>0</v>
      </c>
      <c r="R639" s="2" t="inlineStr"/>
    </row>
    <row r="640" ht="15" customHeight="1">
      <c r="A640" t="inlineStr">
        <is>
          <t>A 46234-2024</t>
        </is>
      </c>
      <c r="B640" s="1" t="n">
        <v>45581.57958333333</v>
      </c>
      <c r="C640" s="1" t="n">
        <v>45939</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6307-2025</t>
        </is>
      </c>
      <c r="B641" s="1" t="n">
        <v>45698.69016203703</v>
      </c>
      <c r="C641" s="1" t="n">
        <v>45939</v>
      </c>
      <c r="D641" t="inlineStr">
        <is>
          <t>KALMAR LÄN</t>
        </is>
      </c>
      <c r="E641" t="inlineStr">
        <is>
          <t>VIMMERBY</t>
        </is>
      </c>
      <c r="G641" t="n">
        <v>3</v>
      </c>
      <c r="H641" t="n">
        <v>0</v>
      </c>
      <c r="I641" t="n">
        <v>0</v>
      </c>
      <c r="J641" t="n">
        <v>0</v>
      </c>
      <c r="K641" t="n">
        <v>0</v>
      </c>
      <c r="L641" t="n">
        <v>0</v>
      </c>
      <c r="M641" t="n">
        <v>0</v>
      </c>
      <c r="N641" t="n">
        <v>0</v>
      </c>
      <c r="O641" t="n">
        <v>0</v>
      </c>
      <c r="P641" t="n">
        <v>0</v>
      </c>
      <c r="Q641" t="n">
        <v>0</v>
      </c>
      <c r="R641" s="2" t="inlineStr"/>
    </row>
    <row r="642" ht="15" customHeight="1">
      <c r="A642" t="inlineStr">
        <is>
          <t>A 39053-2024</t>
        </is>
      </c>
      <c r="B642" s="1" t="n">
        <v>45548</v>
      </c>
      <c r="C642" s="1" t="n">
        <v>45939</v>
      </c>
      <c r="D642" t="inlineStr">
        <is>
          <t>KALMAR LÄN</t>
        </is>
      </c>
      <c r="E642" t="inlineStr">
        <is>
          <t>VIMMERBY</t>
        </is>
      </c>
      <c r="G642" t="n">
        <v>5</v>
      </c>
      <c r="H642" t="n">
        <v>0</v>
      </c>
      <c r="I642" t="n">
        <v>0</v>
      </c>
      <c r="J642" t="n">
        <v>0</v>
      </c>
      <c r="K642" t="n">
        <v>0</v>
      </c>
      <c r="L642" t="n">
        <v>0</v>
      </c>
      <c r="M642" t="n">
        <v>0</v>
      </c>
      <c r="N642" t="n">
        <v>0</v>
      </c>
      <c r="O642" t="n">
        <v>0</v>
      </c>
      <c r="P642" t="n">
        <v>0</v>
      </c>
      <c r="Q642" t="n">
        <v>0</v>
      </c>
      <c r="R642" s="2" t="inlineStr"/>
    </row>
    <row r="643" ht="15" customHeight="1">
      <c r="A643" t="inlineStr">
        <is>
          <t>A 15449-2023</t>
        </is>
      </c>
      <c r="B643" s="1" t="n">
        <v>45020</v>
      </c>
      <c r="C643" s="1" t="n">
        <v>45939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43594-2024</t>
        </is>
      </c>
      <c r="B644" s="1" t="n">
        <v>45569.44295138889</v>
      </c>
      <c r="C644" s="1" t="n">
        <v>45939</v>
      </c>
      <c r="D644" t="inlineStr">
        <is>
          <t>KALMAR LÄN</t>
        </is>
      </c>
      <c r="E644" t="inlineStr">
        <is>
          <t>VIMMERBY</t>
        </is>
      </c>
      <c r="G644" t="n">
        <v>3.9</v>
      </c>
      <c r="H644" t="n">
        <v>0</v>
      </c>
      <c r="I644" t="n">
        <v>0</v>
      </c>
      <c r="J644" t="n">
        <v>0</v>
      </c>
      <c r="K644" t="n">
        <v>0</v>
      </c>
      <c r="L644" t="n">
        <v>0</v>
      </c>
      <c r="M644" t="n">
        <v>0</v>
      </c>
      <c r="N644" t="n">
        <v>0</v>
      </c>
      <c r="O644" t="n">
        <v>0</v>
      </c>
      <c r="P644" t="n">
        <v>0</v>
      </c>
      <c r="Q644" t="n">
        <v>0</v>
      </c>
      <c r="R644" s="2" t="inlineStr"/>
    </row>
    <row r="645" ht="15" customHeight="1">
      <c r="A645" t="inlineStr">
        <is>
          <t>A 17486-2024</t>
        </is>
      </c>
      <c r="B645" s="1" t="n">
        <v>45415.48979166667</v>
      </c>
      <c r="C645" s="1" t="n">
        <v>45939</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14248-2023</t>
        </is>
      </c>
      <c r="B646" s="1" t="n">
        <v>45009</v>
      </c>
      <c r="C646" s="1" t="n">
        <v>45939</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23394-2025</t>
        </is>
      </c>
      <c r="B647" s="1" t="n">
        <v>45791.89865740741</v>
      </c>
      <c r="C647" s="1" t="n">
        <v>45939</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30400-2023</t>
        </is>
      </c>
      <c r="B648" s="1" t="n">
        <v>45111.48225694444</v>
      </c>
      <c r="C648" s="1" t="n">
        <v>45939</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30404-2023</t>
        </is>
      </c>
      <c r="B649" s="1" t="n">
        <v>45111.48636574074</v>
      </c>
      <c r="C649" s="1" t="n">
        <v>45939</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55123-2024</t>
        </is>
      </c>
      <c r="B650" s="1" t="n">
        <v>45621.46103009259</v>
      </c>
      <c r="C650" s="1" t="n">
        <v>45939</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31405-2023</t>
        </is>
      </c>
      <c r="B651" s="1" t="n">
        <v>45114.58148148148</v>
      </c>
      <c r="C651" s="1" t="n">
        <v>45939</v>
      </c>
      <c r="D651" t="inlineStr">
        <is>
          <t>KALMAR LÄN</t>
        </is>
      </c>
      <c r="E651" t="inlineStr">
        <is>
          <t>VIMMERBY</t>
        </is>
      </c>
      <c r="G651" t="n">
        <v>2.6</v>
      </c>
      <c r="H651" t="n">
        <v>0</v>
      </c>
      <c r="I651" t="n">
        <v>0</v>
      </c>
      <c r="J651" t="n">
        <v>0</v>
      </c>
      <c r="K651" t="n">
        <v>0</v>
      </c>
      <c r="L651" t="n">
        <v>0</v>
      </c>
      <c r="M651" t="n">
        <v>0</v>
      </c>
      <c r="N651" t="n">
        <v>0</v>
      </c>
      <c r="O651" t="n">
        <v>0</v>
      </c>
      <c r="P651" t="n">
        <v>0</v>
      </c>
      <c r="Q651" t="n">
        <v>0</v>
      </c>
      <c r="R651" s="2" t="inlineStr"/>
    </row>
    <row r="652" ht="15" customHeight="1">
      <c r="A652" t="inlineStr">
        <is>
          <t>A 24707-2024</t>
        </is>
      </c>
      <c r="B652" s="1" t="n">
        <v>45460.62172453704</v>
      </c>
      <c r="C652" s="1" t="n">
        <v>45939</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36049-2024</t>
        </is>
      </c>
      <c r="B653" s="1" t="n">
        <v>45533.61996527778</v>
      </c>
      <c r="C653" s="1" t="n">
        <v>45939</v>
      </c>
      <c r="D653" t="inlineStr">
        <is>
          <t>KALMAR LÄN</t>
        </is>
      </c>
      <c r="E653" t="inlineStr">
        <is>
          <t>VIMMERBY</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23984-2025</t>
        </is>
      </c>
      <c r="B654" s="1" t="n">
        <v>45796</v>
      </c>
      <c r="C654" s="1" t="n">
        <v>45939</v>
      </c>
      <c r="D654" t="inlineStr">
        <is>
          <t>KALMAR LÄN</t>
        </is>
      </c>
      <c r="E654" t="inlineStr">
        <is>
          <t>VIMMERBY</t>
        </is>
      </c>
      <c r="G654" t="n">
        <v>1.4</v>
      </c>
      <c r="H654" t="n">
        <v>0</v>
      </c>
      <c r="I654" t="n">
        <v>0</v>
      </c>
      <c r="J654" t="n">
        <v>0</v>
      </c>
      <c r="K654" t="n">
        <v>0</v>
      </c>
      <c r="L654" t="n">
        <v>0</v>
      </c>
      <c r="M654" t="n">
        <v>0</v>
      </c>
      <c r="N654" t="n">
        <v>0</v>
      </c>
      <c r="O654" t="n">
        <v>0</v>
      </c>
      <c r="P654" t="n">
        <v>0</v>
      </c>
      <c r="Q654" t="n">
        <v>0</v>
      </c>
      <c r="R654" s="2" t="inlineStr"/>
    </row>
    <row r="655" ht="15" customHeight="1">
      <c r="A655" t="inlineStr">
        <is>
          <t>A 58159-2024</t>
        </is>
      </c>
      <c r="B655" s="1" t="n">
        <v>45632.44886574074</v>
      </c>
      <c r="C655" s="1" t="n">
        <v>45939</v>
      </c>
      <c r="D655" t="inlineStr">
        <is>
          <t>KALMAR LÄN</t>
        </is>
      </c>
      <c r="E655" t="inlineStr">
        <is>
          <t>VIMMERBY</t>
        </is>
      </c>
      <c r="G655" t="n">
        <v>7.5</v>
      </c>
      <c r="H655" t="n">
        <v>0</v>
      </c>
      <c r="I655" t="n">
        <v>0</v>
      </c>
      <c r="J655" t="n">
        <v>0</v>
      </c>
      <c r="K655" t="n">
        <v>0</v>
      </c>
      <c r="L655" t="n">
        <v>0</v>
      </c>
      <c r="M655" t="n">
        <v>0</v>
      </c>
      <c r="N655" t="n">
        <v>0</v>
      </c>
      <c r="O655" t="n">
        <v>0</v>
      </c>
      <c r="P655" t="n">
        <v>0</v>
      </c>
      <c r="Q655" t="n">
        <v>0</v>
      </c>
      <c r="R655" s="2" t="inlineStr"/>
    </row>
    <row r="656" ht="15" customHeight="1">
      <c r="A656" t="inlineStr">
        <is>
          <t>A 14359-2025</t>
        </is>
      </c>
      <c r="B656" s="1" t="n">
        <v>45741.37270833334</v>
      </c>
      <c r="C656" s="1" t="n">
        <v>45939</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39578-2024</t>
        </is>
      </c>
      <c r="B657" s="1" t="n">
        <v>45552.36484953704</v>
      </c>
      <c r="C657" s="1" t="n">
        <v>45939</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62779-2023</t>
        </is>
      </c>
      <c r="B658" s="1" t="n">
        <v>45271.66576388889</v>
      </c>
      <c r="C658" s="1" t="n">
        <v>45939</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46399-2024</t>
        </is>
      </c>
      <c r="B659" s="1" t="n">
        <v>45582.41200231481</v>
      </c>
      <c r="C659" s="1" t="n">
        <v>45939</v>
      </c>
      <c r="D659" t="inlineStr">
        <is>
          <t>KALMAR LÄN</t>
        </is>
      </c>
      <c r="E659" t="inlineStr">
        <is>
          <t>VIMMERBY</t>
        </is>
      </c>
      <c r="G659" t="n">
        <v>4.6</v>
      </c>
      <c r="H659" t="n">
        <v>0</v>
      </c>
      <c r="I659" t="n">
        <v>0</v>
      </c>
      <c r="J659" t="n">
        <v>0</v>
      </c>
      <c r="K659" t="n">
        <v>0</v>
      </c>
      <c r="L659" t="n">
        <v>0</v>
      </c>
      <c r="M659" t="n">
        <v>0</v>
      </c>
      <c r="N659" t="n">
        <v>0</v>
      </c>
      <c r="O659" t="n">
        <v>0</v>
      </c>
      <c r="P659" t="n">
        <v>0</v>
      </c>
      <c r="Q659" t="n">
        <v>0</v>
      </c>
      <c r="R659" s="2" t="inlineStr"/>
    </row>
    <row r="660" ht="15" customHeight="1">
      <c r="A660" t="inlineStr">
        <is>
          <t>A 3425-2022</t>
        </is>
      </c>
      <c r="B660" s="1" t="n">
        <v>44585.51060185185</v>
      </c>
      <c r="C660" s="1" t="n">
        <v>45939</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43962-2024</t>
        </is>
      </c>
      <c r="B661" s="1" t="n">
        <v>45572.48293981481</v>
      </c>
      <c r="C661" s="1" t="n">
        <v>45939</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12810-2023</t>
        </is>
      </c>
      <c r="B662" s="1" t="n">
        <v>45001.43854166667</v>
      </c>
      <c r="C662" s="1" t="n">
        <v>45939</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51278-2024</t>
        </is>
      </c>
      <c r="B663" s="1" t="n">
        <v>45603.74959490741</v>
      </c>
      <c r="C663" s="1" t="n">
        <v>45939</v>
      </c>
      <c r="D663" t="inlineStr">
        <is>
          <t>KALMAR LÄN</t>
        </is>
      </c>
      <c r="E663" t="inlineStr">
        <is>
          <t>VIMMERBY</t>
        </is>
      </c>
      <c r="G663" t="n">
        <v>3.4</v>
      </c>
      <c r="H663" t="n">
        <v>0</v>
      </c>
      <c r="I663" t="n">
        <v>0</v>
      </c>
      <c r="J663" t="n">
        <v>0</v>
      </c>
      <c r="K663" t="n">
        <v>0</v>
      </c>
      <c r="L663" t="n">
        <v>0</v>
      </c>
      <c r="M663" t="n">
        <v>0</v>
      </c>
      <c r="N663" t="n">
        <v>0</v>
      </c>
      <c r="O663" t="n">
        <v>0</v>
      </c>
      <c r="P663" t="n">
        <v>0</v>
      </c>
      <c r="Q663" t="n">
        <v>0</v>
      </c>
      <c r="R663" s="2" t="inlineStr"/>
    </row>
    <row r="664" ht="15" customHeight="1">
      <c r="A664" t="inlineStr">
        <is>
          <t>A 43068-2023</t>
        </is>
      </c>
      <c r="B664" s="1" t="n">
        <v>45182.78834490741</v>
      </c>
      <c r="C664" s="1" t="n">
        <v>45939</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35082-2024</t>
        </is>
      </c>
      <c r="B665" s="1" t="n">
        <v>45527.68784722222</v>
      </c>
      <c r="C665" s="1" t="n">
        <v>45939</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12075-2024</t>
        </is>
      </c>
      <c r="B666" s="1" t="n">
        <v>45377</v>
      </c>
      <c r="C666" s="1" t="n">
        <v>45939</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1799-2025</t>
        </is>
      </c>
      <c r="B667" s="1" t="n">
        <v>45671.46746527778</v>
      </c>
      <c r="C667" s="1" t="n">
        <v>45939</v>
      </c>
      <c r="D667" t="inlineStr">
        <is>
          <t>KALMAR LÄN</t>
        </is>
      </c>
      <c r="E667" t="inlineStr">
        <is>
          <t>VIMMERBY</t>
        </is>
      </c>
      <c r="G667" t="n">
        <v>3.3</v>
      </c>
      <c r="H667" t="n">
        <v>0</v>
      </c>
      <c r="I667" t="n">
        <v>0</v>
      </c>
      <c r="J667" t="n">
        <v>0</v>
      </c>
      <c r="K667" t="n">
        <v>0</v>
      </c>
      <c r="L667" t="n">
        <v>0</v>
      </c>
      <c r="M667" t="n">
        <v>0</v>
      </c>
      <c r="N667" t="n">
        <v>0</v>
      </c>
      <c r="O667" t="n">
        <v>0</v>
      </c>
      <c r="P667" t="n">
        <v>0</v>
      </c>
      <c r="Q667" t="n">
        <v>0</v>
      </c>
      <c r="R667" s="2" t="inlineStr"/>
    </row>
    <row r="668" ht="15" customHeight="1">
      <c r="A668" t="inlineStr">
        <is>
          <t>A 2462-2022</t>
        </is>
      </c>
      <c r="B668" s="1" t="n">
        <v>44579.62225694444</v>
      </c>
      <c r="C668" s="1" t="n">
        <v>45939</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44582-2024</t>
        </is>
      </c>
      <c r="B669" s="1" t="n">
        <v>45574.49298611111</v>
      </c>
      <c r="C669" s="1" t="n">
        <v>45939</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9456-2025</t>
        </is>
      </c>
      <c r="B670" s="1" t="n">
        <v>45715.44159722222</v>
      </c>
      <c r="C670" s="1" t="n">
        <v>45939</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11111-2023</t>
        </is>
      </c>
      <c r="B671" s="1" t="n">
        <v>44992.4255787037</v>
      </c>
      <c r="C671" s="1" t="n">
        <v>45939</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13015-2022</t>
        </is>
      </c>
      <c r="B672" s="1" t="n">
        <v>44643</v>
      </c>
      <c r="C672" s="1" t="n">
        <v>45939</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4624-2024</t>
        </is>
      </c>
      <c r="B673" s="1" t="n">
        <v>45328.38755787037</v>
      </c>
      <c r="C673" s="1" t="n">
        <v>45939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9129-2025</t>
        </is>
      </c>
      <c r="B674" s="1" t="n">
        <v>45713.92412037037</v>
      </c>
      <c r="C674" s="1" t="n">
        <v>45939</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58724-2024</t>
        </is>
      </c>
      <c r="B675" s="1" t="n">
        <v>45635.66409722222</v>
      </c>
      <c r="C675" s="1" t="n">
        <v>45939</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15494-2024</t>
        </is>
      </c>
      <c r="B676" s="1" t="n">
        <v>45401.53033564815</v>
      </c>
      <c r="C676" s="1" t="n">
        <v>45939</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26039-2025</t>
        </is>
      </c>
      <c r="B677" s="1" t="n">
        <v>45804.6953587963</v>
      </c>
      <c r="C677" s="1" t="n">
        <v>45939</v>
      </c>
      <c r="D677" t="inlineStr">
        <is>
          <t>KALMAR LÄN</t>
        </is>
      </c>
      <c r="E677" t="inlineStr">
        <is>
          <t>VIMMERBY</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26046-2025</t>
        </is>
      </c>
      <c r="B678" s="1" t="n">
        <v>45804.708125</v>
      </c>
      <c r="C678" s="1" t="n">
        <v>45939</v>
      </c>
      <c r="D678" t="inlineStr">
        <is>
          <t>KALMAR LÄN</t>
        </is>
      </c>
      <c r="E678" t="inlineStr">
        <is>
          <t>VIMMERBY</t>
        </is>
      </c>
      <c r="F678" t="inlineStr">
        <is>
          <t>Sveaskog</t>
        </is>
      </c>
      <c r="G678" t="n">
        <v>5.1</v>
      </c>
      <c r="H678" t="n">
        <v>0</v>
      </c>
      <c r="I678" t="n">
        <v>0</v>
      </c>
      <c r="J678" t="n">
        <v>0</v>
      </c>
      <c r="K678" t="n">
        <v>0</v>
      </c>
      <c r="L678" t="n">
        <v>0</v>
      </c>
      <c r="M678" t="n">
        <v>0</v>
      </c>
      <c r="N678" t="n">
        <v>0</v>
      </c>
      <c r="O678" t="n">
        <v>0</v>
      </c>
      <c r="P678" t="n">
        <v>0</v>
      </c>
      <c r="Q678" t="n">
        <v>0</v>
      </c>
      <c r="R678" s="2" t="inlineStr"/>
    </row>
    <row r="679" ht="15" customHeight="1">
      <c r="A679" t="inlineStr">
        <is>
          <t>A 25792-2025</t>
        </is>
      </c>
      <c r="B679" s="1" t="n">
        <v>45804.39141203704</v>
      </c>
      <c r="C679" s="1" t="n">
        <v>45939</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22643-2023</t>
        </is>
      </c>
      <c r="B680" s="1" t="n">
        <v>45071</v>
      </c>
      <c r="C680" s="1" t="n">
        <v>45939</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25830-2025</t>
        </is>
      </c>
      <c r="B681" s="1" t="n">
        <v>45804.44519675926</v>
      </c>
      <c r="C681" s="1" t="n">
        <v>45939</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26124-2025</t>
        </is>
      </c>
      <c r="B682" s="1" t="n">
        <v>45805.39247685186</v>
      </c>
      <c r="C682" s="1" t="n">
        <v>45939</v>
      </c>
      <c r="D682" t="inlineStr">
        <is>
          <t>KALMAR LÄN</t>
        </is>
      </c>
      <c r="E682" t="inlineStr">
        <is>
          <t>VIMMERBY</t>
        </is>
      </c>
      <c r="G682" t="n">
        <v>6.6</v>
      </c>
      <c r="H682" t="n">
        <v>0</v>
      </c>
      <c r="I682" t="n">
        <v>0</v>
      </c>
      <c r="J682" t="n">
        <v>0</v>
      </c>
      <c r="K682" t="n">
        <v>0</v>
      </c>
      <c r="L682" t="n">
        <v>0</v>
      </c>
      <c r="M682" t="n">
        <v>0</v>
      </c>
      <c r="N682" t="n">
        <v>0</v>
      </c>
      <c r="O682" t="n">
        <v>0</v>
      </c>
      <c r="P682" t="n">
        <v>0</v>
      </c>
      <c r="Q682" t="n">
        <v>0</v>
      </c>
      <c r="R682" s="2" t="inlineStr"/>
    </row>
    <row r="683" ht="15" customHeight="1">
      <c r="A683" t="inlineStr">
        <is>
          <t>A 26254-2025</t>
        </is>
      </c>
      <c r="B683" s="1" t="n">
        <v>45805</v>
      </c>
      <c r="C683" s="1" t="n">
        <v>45939</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34597-2022</t>
        </is>
      </c>
      <c r="B684" s="1" t="n">
        <v>44795</v>
      </c>
      <c r="C684" s="1" t="n">
        <v>45939</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40079-2023</t>
        </is>
      </c>
      <c r="B685" s="1" t="n">
        <v>45168.89298611111</v>
      </c>
      <c r="C685" s="1" t="n">
        <v>45939</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26207-2025</t>
        </is>
      </c>
      <c r="B686" s="1" t="n">
        <v>45805.52983796296</v>
      </c>
      <c r="C686" s="1" t="n">
        <v>45939</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19833-2023</t>
        </is>
      </c>
      <c r="B687" s="1" t="n">
        <v>45052</v>
      </c>
      <c r="C687" s="1" t="n">
        <v>45939</v>
      </c>
      <c r="D687" t="inlineStr">
        <is>
          <t>KALMAR LÄN</t>
        </is>
      </c>
      <c r="E687" t="inlineStr">
        <is>
          <t>VIMMERBY</t>
        </is>
      </c>
      <c r="G687" t="n">
        <v>6.7</v>
      </c>
      <c r="H687" t="n">
        <v>0</v>
      </c>
      <c r="I687" t="n">
        <v>0</v>
      </c>
      <c r="J687" t="n">
        <v>0</v>
      </c>
      <c r="K687" t="n">
        <v>0</v>
      </c>
      <c r="L687" t="n">
        <v>0</v>
      </c>
      <c r="M687" t="n">
        <v>0</v>
      </c>
      <c r="N687" t="n">
        <v>0</v>
      </c>
      <c r="O687" t="n">
        <v>0</v>
      </c>
      <c r="P687" t="n">
        <v>0</v>
      </c>
      <c r="Q687" t="n">
        <v>0</v>
      </c>
      <c r="R687" s="2" t="inlineStr"/>
    </row>
    <row r="688" ht="15" customHeight="1">
      <c r="A688" t="inlineStr">
        <is>
          <t>A 17084-2025</t>
        </is>
      </c>
      <c r="B688" s="1" t="n">
        <v>45755.64450231481</v>
      </c>
      <c r="C688" s="1" t="n">
        <v>45939</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56022-2024</t>
        </is>
      </c>
      <c r="B689" s="1" t="n">
        <v>45623.95947916667</v>
      </c>
      <c r="C689" s="1" t="n">
        <v>45939</v>
      </c>
      <c r="D689" t="inlineStr">
        <is>
          <t>KALMAR LÄN</t>
        </is>
      </c>
      <c r="E689" t="inlineStr">
        <is>
          <t>VIMMERBY</t>
        </is>
      </c>
      <c r="G689" t="n">
        <v>0.3</v>
      </c>
      <c r="H689" t="n">
        <v>0</v>
      </c>
      <c r="I689" t="n">
        <v>0</v>
      </c>
      <c r="J689" t="n">
        <v>0</v>
      </c>
      <c r="K689" t="n">
        <v>0</v>
      </c>
      <c r="L689" t="n">
        <v>0</v>
      </c>
      <c r="M689" t="n">
        <v>0</v>
      </c>
      <c r="N689" t="n">
        <v>0</v>
      </c>
      <c r="O689" t="n">
        <v>0</v>
      </c>
      <c r="P689" t="n">
        <v>0</v>
      </c>
      <c r="Q689" t="n">
        <v>0</v>
      </c>
      <c r="R689" s="2" t="inlineStr"/>
    </row>
    <row r="690" ht="15" customHeight="1">
      <c r="A690" t="inlineStr">
        <is>
          <t>A 11928-2022</t>
        </is>
      </c>
      <c r="B690" s="1" t="n">
        <v>44635</v>
      </c>
      <c r="C690" s="1" t="n">
        <v>45939</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5527-2022</t>
        </is>
      </c>
      <c r="B691" s="1" t="n">
        <v>44595.583125</v>
      </c>
      <c r="C691" s="1" t="n">
        <v>45939</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49461-2023</t>
        </is>
      </c>
      <c r="B692" s="1" t="n">
        <v>45211.52642361111</v>
      </c>
      <c r="C692" s="1" t="n">
        <v>45939</v>
      </c>
      <c r="D692" t="inlineStr">
        <is>
          <t>KALMAR LÄN</t>
        </is>
      </c>
      <c r="E692" t="inlineStr">
        <is>
          <t>VIMMERBY</t>
        </is>
      </c>
      <c r="G692" t="n">
        <v>1.5</v>
      </c>
      <c r="H692" t="n">
        <v>0</v>
      </c>
      <c r="I692" t="n">
        <v>0</v>
      </c>
      <c r="J692" t="n">
        <v>0</v>
      </c>
      <c r="K692" t="n">
        <v>0</v>
      </c>
      <c r="L692" t="n">
        <v>0</v>
      </c>
      <c r="M692" t="n">
        <v>0</v>
      </c>
      <c r="N692" t="n">
        <v>0</v>
      </c>
      <c r="O692" t="n">
        <v>0</v>
      </c>
      <c r="P692" t="n">
        <v>0</v>
      </c>
      <c r="Q692" t="n">
        <v>0</v>
      </c>
      <c r="R692" s="2" t="inlineStr"/>
    </row>
    <row r="693" ht="15" customHeight="1">
      <c r="A693" t="inlineStr">
        <is>
          <t>A 49474-2023</t>
        </is>
      </c>
      <c r="B693" s="1" t="n">
        <v>45211.541875</v>
      </c>
      <c r="C693" s="1" t="n">
        <v>45939</v>
      </c>
      <c r="D693" t="inlineStr">
        <is>
          <t>KALMAR LÄN</t>
        </is>
      </c>
      <c r="E693" t="inlineStr">
        <is>
          <t>VIMMERBY</t>
        </is>
      </c>
      <c r="G693" t="n">
        <v>3.6</v>
      </c>
      <c r="H693" t="n">
        <v>0</v>
      </c>
      <c r="I693" t="n">
        <v>0</v>
      </c>
      <c r="J693" t="n">
        <v>0</v>
      </c>
      <c r="K693" t="n">
        <v>0</v>
      </c>
      <c r="L693" t="n">
        <v>0</v>
      </c>
      <c r="M693" t="n">
        <v>0</v>
      </c>
      <c r="N693" t="n">
        <v>0</v>
      </c>
      <c r="O693" t="n">
        <v>0</v>
      </c>
      <c r="P693" t="n">
        <v>0</v>
      </c>
      <c r="Q693" t="n">
        <v>0</v>
      </c>
      <c r="R693" s="2" t="inlineStr"/>
    </row>
    <row r="694" ht="15" customHeight="1">
      <c r="A694" t="inlineStr">
        <is>
          <t>A 61861-2024</t>
        </is>
      </c>
      <c r="B694" s="1" t="n">
        <v>45650.37370370371</v>
      </c>
      <c r="C694" s="1" t="n">
        <v>45939</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45846-2023</t>
        </is>
      </c>
      <c r="B695" s="1" t="n">
        <v>45195.58452546296</v>
      </c>
      <c r="C695" s="1" t="n">
        <v>45939</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8167-2024</t>
        </is>
      </c>
      <c r="B696" s="1" t="n">
        <v>45351.6062962963</v>
      </c>
      <c r="C696" s="1" t="n">
        <v>45939</v>
      </c>
      <c r="D696" t="inlineStr">
        <is>
          <t>KALMAR LÄN</t>
        </is>
      </c>
      <c r="E696" t="inlineStr">
        <is>
          <t>VIMMERBY</t>
        </is>
      </c>
      <c r="G696" t="n">
        <v>3.8</v>
      </c>
      <c r="H696" t="n">
        <v>0</v>
      </c>
      <c r="I696" t="n">
        <v>0</v>
      </c>
      <c r="J696" t="n">
        <v>0</v>
      </c>
      <c r="K696" t="n">
        <v>0</v>
      </c>
      <c r="L696" t="n">
        <v>0</v>
      </c>
      <c r="M696" t="n">
        <v>0</v>
      </c>
      <c r="N696" t="n">
        <v>0</v>
      </c>
      <c r="O696" t="n">
        <v>0</v>
      </c>
      <c r="P696" t="n">
        <v>0</v>
      </c>
      <c r="Q696" t="n">
        <v>0</v>
      </c>
      <c r="R696" s="2" t="inlineStr"/>
    </row>
    <row r="697" ht="15" customHeight="1">
      <c r="A697" t="inlineStr">
        <is>
          <t>A 49382-2023</t>
        </is>
      </c>
      <c r="B697" s="1" t="n">
        <v>45208</v>
      </c>
      <c r="C697" s="1" t="n">
        <v>45939</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12121-2025</t>
        </is>
      </c>
      <c r="B698" s="1" t="n">
        <v>45729.36868055556</v>
      </c>
      <c r="C698" s="1" t="n">
        <v>45939</v>
      </c>
      <c r="D698" t="inlineStr">
        <is>
          <t>KALMAR LÄN</t>
        </is>
      </c>
      <c r="E698" t="inlineStr">
        <is>
          <t>VIMMERBY</t>
        </is>
      </c>
      <c r="G698" t="n">
        <v>4.3</v>
      </c>
      <c r="H698" t="n">
        <v>0</v>
      </c>
      <c r="I698" t="n">
        <v>0</v>
      </c>
      <c r="J698" t="n">
        <v>0</v>
      </c>
      <c r="K698" t="n">
        <v>0</v>
      </c>
      <c r="L698" t="n">
        <v>0</v>
      </c>
      <c r="M698" t="n">
        <v>0</v>
      </c>
      <c r="N698" t="n">
        <v>0</v>
      </c>
      <c r="O698" t="n">
        <v>0</v>
      </c>
      <c r="P698" t="n">
        <v>0</v>
      </c>
      <c r="Q698" t="n">
        <v>0</v>
      </c>
      <c r="R698" s="2" t="inlineStr"/>
    </row>
    <row r="699" ht="15" customHeight="1">
      <c r="A699" t="inlineStr">
        <is>
          <t>A 35846-2023</t>
        </is>
      </c>
      <c r="B699" s="1" t="n">
        <v>45148</v>
      </c>
      <c r="C699" s="1" t="n">
        <v>45939</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35913-2023</t>
        </is>
      </c>
      <c r="B700" s="1" t="n">
        <v>45148</v>
      </c>
      <c r="C700" s="1" t="n">
        <v>45939</v>
      </c>
      <c r="D700" t="inlineStr">
        <is>
          <t>KALMAR LÄN</t>
        </is>
      </c>
      <c r="E700" t="inlineStr">
        <is>
          <t>VIMMERBY</t>
        </is>
      </c>
      <c r="G700" t="n">
        <v>6.9</v>
      </c>
      <c r="H700" t="n">
        <v>0</v>
      </c>
      <c r="I700" t="n">
        <v>0</v>
      </c>
      <c r="J700" t="n">
        <v>0</v>
      </c>
      <c r="K700" t="n">
        <v>0</v>
      </c>
      <c r="L700" t="n">
        <v>0</v>
      </c>
      <c r="M700" t="n">
        <v>0</v>
      </c>
      <c r="N700" t="n">
        <v>0</v>
      </c>
      <c r="O700" t="n">
        <v>0</v>
      </c>
      <c r="P700" t="n">
        <v>0</v>
      </c>
      <c r="Q700" t="n">
        <v>0</v>
      </c>
      <c r="R700" s="2" t="inlineStr"/>
    </row>
    <row r="701" ht="15" customHeight="1">
      <c r="A701" t="inlineStr">
        <is>
          <t>A 27719-2025</t>
        </is>
      </c>
      <c r="B701" s="1" t="n">
        <v>45814.3865625</v>
      </c>
      <c r="C701" s="1" t="n">
        <v>45939</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27718-2025</t>
        </is>
      </c>
      <c r="B702" s="1" t="n">
        <v>45814.38221064815</v>
      </c>
      <c r="C702" s="1" t="n">
        <v>45939</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38757-2023</t>
        </is>
      </c>
      <c r="B703" s="1" t="n">
        <v>45163.41376157408</v>
      </c>
      <c r="C703" s="1" t="n">
        <v>45939</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20136-2024</t>
        </is>
      </c>
      <c r="B704" s="1" t="n">
        <v>45434.56291666667</v>
      </c>
      <c r="C704" s="1" t="n">
        <v>45939</v>
      </c>
      <c r="D704" t="inlineStr">
        <is>
          <t>KALMAR LÄN</t>
        </is>
      </c>
      <c r="E704" t="inlineStr">
        <is>
          <t>VIMMERBY</t>
        </is>
      </c>
      <c r="F704" t="inlineStr">
        <is>
          <t>Sveaskog</t>
        </is>
      </c>
      <c r="G704" t="n">
        <v>8.4</v>
      </c>
      <c r="H704" t="n">
        <v>0</v>
      </c>
      <c r="I704" t="n">
        <v>0</v>
      </c>
      <c r="J704" t="n">
        <v>0</v>
      </c>
      <c r="K704" t="n">
        <v>0</v>
      </c>
      <c r="L704" t="n">
        <v>0</v>
      </c>
      <c r="M704" t="n">
        <v>0</v>
      </c>
      <c r="N704" t="n">
        <v>0</v>
      </c>
      <c r="O704" t="n">
        <v>0</v>
      </c>
      <c r="P704" t="n">
        <v>0</v>
      </c>
      <c r="Q704" t="n">
        <v>0</v>
      </c>
      <c r="R704" s="2" t="inlineStr"/>
    </row>
    <row r="705" ht="15" customHeight="1">
      <c r="A705" t="inlineStr">
        <is>
          <t>A 24283-2023</t>
        </is>
      </c>
      <c r="B705" s="1" t="n">
        <v>45079.87827546296</v>
      </c>
      <c r="C705" s="1" t="n">
        <v>45939</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28290-2025</t>
        </is>
      </c>
      <c r="B706" s="1" t="n">
        <v>45818.59261574074</v>
      </c>
      <c r="C706" s="1" t="n">
        <v>45939</v>
      </c>
      <c r="D706" t="inlineStr">
        <is>
          <t>KALMAR LÄN</t>
        </is>
      </c>
      <c r="E706" t="inlineStr">
        <is>
          <t>VIMMERBY</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28280-2025</t>
        </is>
      </c>
      <c r="B707" s="1" t="n">
        <v>45818.5862037037</v>
      </c>
      <c r="C707" s="1" t="n">
        <v>45939</v>
      </c>
      <c r="D707" t="inlineStr">
        <is>
          <t>KALMAR LÄN</t>
        </is>
      </c>
      <c r="E707" t="inlineStr">
        <is>
          <t>VIMMERBY</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28286-2025</t>
        </is>
      </c>
      <c r="B708" s="1" t="n">
        <v>45818.58993055556</v>
      </c>
      <c r="C708" s="1" t="n">
        <v>45939</v>
      </c>
      <c r="D708" t="inlineStr">
        <is>
          <t>KALMAR LÄN</t>
        </is>
      </c>
      <c r="E708" t="inlineStr">
        <is>
          <t>VIMMERBY</t>
        </is>
      </c>
      <c r="F708" t="inlineStr">
        <is>
          <t>Sveaskog</t>
        </is>
      </c>
      <c r="G708" t="n">
        <v>8</v>
      </c>
      <c r="H708" t="n">
        <v>0</v>
      </c>
      <c r="I708" t="n">
        <v>0</v>
      </c>
      <c r="J708" t="n">
        <v>0</v>
      </c>
      <c r="K708" t="n">
        <v>0</v>
      </c>
      <c r="L708" t="n">
        <v>0</v>
      </c>
      <c r="M708" t="n">
        <v>0</v>
      </c>
      <c r="N708" t="n">
        <v>0</v>
      </c>
      <c r="O708" t="n">
        <v>0</v>
      </c>
      <c r="P708" t="n">
        <v>0</v>
      </c>
      <c r="Q708" t="n">
        <v>0</v>
      </c>
      <c r="R708" s="2" t="inlineStr"/>
    </row>
    <row r="709" ht="15" customHeight="1">
      <c r="A709" t="inlineStr">
        <is>
          <t>A 59598-2023</t>
        </is>
      </c>
      <c r="B709" s="1" t="n">
        <v>45254.62489583333</v>
      </c>
      <c r="C709" s="1" t="n">
        <v>45939</v>
      </c>
      <c r="D709" t="inlineStr">
        <is>
          <t>KALMAR LÄN</t>
        </is>
      </c>
      <c r="E709" t="inlineStr">
        <is>
          <t>VIMMERBY</t>
        </is>
      </c>
      <c r="F709" t="inlineStr">
        <is>
          <t>Övriga Aktiebolag</t>
        </is>
      </c>
      <c r="G709" t="n">
        <v>4</v>
      </c>
      <c r="H709" t="n">
        <v>0</v>
      </c>
      <c r="I709" t="n">
        <v>0</v>
      </c>
      <c r="J709" t="n">
        <v>0</v>
      </c>
      <c r="K709" t="n">
        <v>0</v>
      </c>
      <c r="L709" t="n">
        <v>0</v>
      </c>
      <c r="M709" t="n">
        <v>0</v>
      </c>
      <c r="N709" t="n">
        <v>0</v>
      </c>
      <c r="O709" t="n">
        <v>0</v>
      </c>
      <c r="P709" t="n">
        <v>0</v>
      </c>
      <c r="Q709" t="n">
        <v>0</v>
      </c>
      <c r="R709" s="2" t="inlineStr"/>
    </row>
    <row r="710" ht="15" customHeight="1">
      <c r="A710" t="inlineStr">
        <is>
          <t>A 30920-2023</t>
        </is>
      </c>
      <c r="B710" s="1" t="n">
        <v>45113.43921296296</v>
      </c>
      <c r="C710" s="1" t="n">
        <v>45939</v>
      </c>
      <c r="D710" t="inlineStr">
        <is>
          <t>KALMAR LÄN</t>
        </is>
      </c>
      <c r="E710" t="inlineStr">
        <is>
          <t>VIMMERBY</t>
        </is>
      </c>
      <c r="G710" t="n">
        <v>3.1</v>
      </c>
      <c r="H710" t="n">
        <v>0</v>
      </c>
      <c r="I710" t="n">
        <v>0</v>
      </c>
      <c r="J710" t="n">
        <v>0</v>
      </c>
      <c r="K710" t="n">
        <v>0</v>
      </c>
      <c r="L710" t="n">
        <v>0</v>
      </c>
      <c r="M710" t="n">
        <v>0</v>
      </c>
      <c r="N710" t="n">
        <v>0</v>
      </c>
      <c r="O710" t="n">
        <v>0</v>
      </c>
      <c r="P710" t="n">
        <v>0</v>
      </c>
      <c r="Q710" t="n">
        <v>0</v>
      </c>
      <c r="R710" s="2" t="inlineStr"/>
    </row>
    <row r="711" ht="15" customHeight="1">
      <c r="A711" t="inlineStr">
        <is>
          <t>A 28282-2025</t>
        </is>
      </c>
      <c r="B711" s="1" t="n">
        <v>45818.58769675926</v>
      </c>
      <c r="C711" s="1" t="n">
        <v>45939</v>
      </c>
      <c r="D711" t="inlineStr">
        <is>
          <t>KALMAR LÄN</t>
        </is>
      </c>
      <c r="E711" t="inlineStr">
        <is>
          <t>VIMMERBY</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28294-2025</t>
        </is>
      </c>
      <c r="B712" s="1" t="n">
        <v>45818.595625</v>
      </c>
      <c r="C712" s="1" t="n">
        <v>45939</v>
      </c>
      <c r="D712" t="inlineStr">
        <is>
          <t>KALMAR LÄN</t>
        </is>
      </c>
      <c r="E712" t="inlineStr">
        <is>
          <t>VIMMERBY</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28713-2025</t>
        </is>
      </c>
      <c r="B713" s="1" t="n">
        <v>45820.33930555556</v>
      </c>
      <c r="C713" s="1" t="n">
        <v>45939</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28712-2025</t>
        </is>
      </c>
      <c r="B714" s="1" t="n">
        <v>45820.33708333333</v>
      </c>
      <c r="C714" s="1" t="n">
        <v>45939</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28714-2025</t>
        </is>
      </c>
      <c r="B715" s="1" t="n">
        <v>45820.34128472222</v>
      </c>
      <c r="C715" s="1" t="n">
        <v>45939</v>
      </c>
      <c r="D715" t="inlineStr">
        <is>
          <t>KALMAR LÄN</t>
        </is>
      </c>
      <c r="E715" t="inlineStr">
        <is>
          <t>VIMMERBY</t>
        </is>
      </c>
      <c r="G715" t="n">
        <v>1.8</v>
      </c>
      <c r="H715" t="n">
        <v>0</v>
      </c>
      <c r="I715" t="n">
        <v>0</v>
      </c>
      <c r="J715" t="n">
        <v>0</v>
      </c>
      <c r="K715" t="n">
        <v>0</v>
      </c>
      <c r="L715" t="n">
        <v>0</v>
      </c>
      <c r="M715" t="n">
        <v>0</v>
      </c>
      <c r="N715" t="n">
        <v>0</v>
      </c>
      <c r="O715" t="n">
        <v>0</v>
      </c>
      <c r="P715" t="n">
        <v>0</v>
      </c>
      <c r="Q715" t="n">
        <v>0</v>
      </c>
      <c r="R715" s="2" t="inlineStr"/>
    </row>
    <row r="716" ht="15" customHeight="1">
      <c r="A716" t="inlineStr">
        <is>
          <t>A 28620-2025</t>
        </is>
      </c>
      <c r="B716" s="1" t="n">
        <v>45819.61060185185</v>
      </c>
      <c r="C716" s="1" t="n">
        <v>45939</v>
      </c>
      <c r="D716" t="inlineStr">
        <is>
          <t>KALMAR LÄN</t>
        </is>
      </c>
      <c r="E716" t="inlineStr">
        <is>
          <t>VIMMERBY</t>
        </is>
      </c>
      <c r="G716" t="n">
        <v>5.6</v>
      </c>
      <c r="H716" t="n">
        <v>0</v>
      </c>
      <c r="I716" t="n">
        <v>0</v>
      </c>
      <c r="J716" t="n">
        <v>0</v>
      </c>
      <c r="K716" t="n">
        <v>0</v>
      </c>
      <c r="L716" t="n">
        <v>0</v>
      </c>
      <c r="M716" t="n">
        <v>0</v>
      </c>
      <c r="N716" t="n">
        <v>0</v>
      </c>
      <c r="O716" t="n">
        <v>0</v>
      </c>
      <c r="P716" t="n">
        <v>0</v>
      </c>
      <c r="Q716" t="n">
        <v>0</v>
      </c>
      <c r="R716" s="2" t="inlineStr"/>
    </row>
    <row r="717" ht="15" customHeight="1">
      <c r="A717" t="inlineStr">
        <is>
          <t>A 40929-2022</t>
        </is>
      </c>
      <c r="B717" s="1" t="n">
        <v>44825.4336574074</v>
      </c>
      <c r="C717" s="1" t="n">
        <v>45939</v>
      </c>
      <c r="D717" t="inlineStr">
        <is>
          <t>KALMAR LÄN</t>
        </is>
      </c>
      <c r="E717" t="inlineStr">
        <is>
          <t>VIMMERBY</t>
        </is>
      </c>
      <c r="G717" t="n">
        <v>2.5</v>
      </c>
      <c r="H717" t="n">
        <v>0</v>
      </c>
      <c r="I717" t="n">
        <v>0</v>
      </c>
      <c r="J717" t="n">
        <v>0</v>
      </c>
      <c r="K717" t="n">
        <v>0</v>
      </c>
      <c r="L717" t="n">
        <v>0</v>
      </c>
      <c r="M717" t="n">
        <v>0</v>
      </c>
      <c r="N717" t="n">
        <v>0</v>
      </c>
      <c r="O717" t="n">
        <v>0</v>
      </c>
      <c r="P717" t="n">
        <v>0</v>
      </c>
      <c r="Q717" t="n">
        <v>0</v>
      </c>
      <c r="R717" s="2" t="inlineStr"/>
    </row>
    <row r="718" ht="15" customHeight="1">
      <c r="A718" t="inlineStr">
        <is>
          <t>A 33380-2023</t>
        </is>
      </c>
      <c r="B718" s="1" t="n">
        <v>45128</v>
      </c>
      <c r="C718" s="1" t="n">
        <v>45939</v>
      </c>
      <c r="D718" t="inlineStr">
        <is>
          <t>KALMAR LÄN</t>
        </is>
      </c>
      <c r="E718" t="inlineStr">
        <is>
          <t>VIMMERBY</t>
        </is>
      </c>
      <c r="G718" t="n">
        <v>5.2</v>
      </c>
      <c r="H718" t="n">
        <v>0</v>
      </c>
      <c r="I718" t="n">
        <v>0</v>
      </c>
      <c r="J718" t="n">
        <v>0</v>
      </c>
      <c r="K718" t="n">
        <v>0</v>
      </c>
      <c r="L718" t="n">
        <v>0</v>
      </c>
      <c r="M718" t="n">
        <v>0</v>
      </c>
      <c r="N718" t="n">
        <v>0</v>
      </c>
      <c r="O718" t="n">
        <v>0</v>
      </c>
      <c r="P718" t="n">
        <v>0</v>
      </c>
      <c r="Q718" t="n">
        <v>0</v>
      </c>
      <c r="R718" s="2" t="inlineStr"/>
    </row>
    <row r="719" ht="15" customHeight="1">
      <c r="A719" t="inlineStr">
        <is>
          <t>A 46144-2023</t>
        </is>
      </c>
      <c r="B719" s="1" t="n">
        <v>45196.57247685185</v>
      </c>
      <c r="C719" s="1" t="n">
        <v>45939</v>
      </c>
      <c r="D719" t="inlineStr">
        <is>
          <t>KALMAR LÄN</t>
        </is>
      </c>
      <c r="E719" t="inlineStr">
        <is>
          <t>VIMMERBY</t>
        </is>
      </c>
      <c r="G719" t="n">
        <v>6.5</v>
      </c>
      <c r="H719" t="n">
        <v>0</v>
      </c>
      <c r="I719" t="n">
        <v>0</v>
      </c>
      <c r="J719" t="n">
        <v>0</v>
      </c>
      <c r="K719" t="n">
        <v>0</v>
      </c>
      <c r="L719" t="n">
        <v>0</v>
      </c>
      <c r="M719" t="n">
        <v>0</v>
      </c>
      <c r="N719" t="n">
        <v>0</v>
      </c>
      <c r="O719" t="n">
        <v>0</v>
      </c>
      <c r="P719" t="n">
        <v>0</v>
      </c>
      <c r="Q719" t="n">
        <v>0</v>
      </c>
      <c r="R719" s="2" t="inlineStr"/>
    </row>
    <row r="720" ht="15" customHeight="1">
      <c r="A720" t="inlineStr">
        <is>
          <t>A 29727-2025</t>
        </is>
      </c>
      <c r="B720" s="1" t="n">
        <v>45825.5796875</v>
      </c>
      <c r="C720" s="1" t="n">
        <v>45939</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29737-2025</t>
        </is>
      </c>
      <c r="B721" s="1" t="n">
        <v>45825.58672453704</v>
      </c>
      <c r="C721" s="1" t="n">
        <v>45939</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54787-2023</t>
        </is>
      </c>
      <c r="B722" s="1" t="n">
        <v>45236</v>
      </c>
      <c r="C722" s="1" t="n">
        <v>45939</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15715-2022</t>
        </is>
      </c>
      <c r="B723" s="1" t="n">
        <v>44663</v>
      </c>
      <c r="C723" s="1" t="n">
        <v>45939</v>
      </c>
      <c r="D723" t="inlineStr">
        <is>
          <t>KALMAR LÄN</t>
        </is>
      </c>
      <c r="E723" t="inlineStr">
        <is>
          <t>VIMMERBY</t>
        </is>
      </c>
      <c r="G723" t="n">
        <v>2.3</v>
      </c>
      <c r="H723" t="n">
        <v>0</v>
      </c>
      <c r="I723" t="n">
        <v>0</v>
      </c>
      <c r="J723" t="n">
        <v>0</v>
      </c>
      <c r="K723" t="n">
        <v>0</v>
      </c>
      <c r="L723" t="n">
        <v>0</v>
      </c>
      <c r="M723" t="n">
        <v>0</v>
      </c>
      <c r="N723" t="n">
        <v>0</v>
      </c>
      <c r="O723" t="n">
        <v>0</v>
      </c>
      <c r="P723" t="n">
        <v>0</v>
      </c>
      <c r="Q723" t="n">
        <v>0</v>
      </c>
      <c r="R723" s="2" t="inlineStr"/>
    </row>
    <row r="724" ht="15" customHeight="1">
      <c r="A724" t="inlineStr">
        <is>
          <t>A 43774-2023</t>
        </is>
      </c>
      <c r="B724" s="1" t="n">
        <v>45187</v>
      </c>
      <c r="C724" s="1" t="n">
        <v>45939</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43705-2023</t>
        </is>
      </c>
      <c r="B725" s="1" t="n">
        <v>45187.42854166667</v>
      </c>
      <c r="C725" s="1" t="n">
        <v>45939</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7932-2025</t>
        </is>
      </c>
      <c r="B726" s="1" t="n">
        <v>45707.3793287037</v>
      </c>
      <c r="C726" s="1" t="n">
        <v>45939</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13532-2025</t>
        </is>
      </c>
      <c r="B727" s="1" t="n">
        <v>45736.50743055555</v>
      </c>
      <c r="C727" s="1" t="n">
        <v>45939</v>
      </c>
      <c r="D727" t="inlineStr">
        <is>
          <t>KALMAR LÄN</t>
        </is>
      </c>
      <c r="E727" t="inlineStr">
        <is>
          <t>VIMMERBY</t>
        </is>
      </c>
      <c r="G727" t="n">
        <v>3.6</v>
      </c>
      <c r="H727" t="n">
        <v>0</v>
      </c>
      <c r="I727" t="n">
        <v>0</v>
      </c>
      <c r="J727" t="n">
        <v>0</v>
      </c>
      <c r="K727" t="n">
        <v>0</v>
      </c>
      <c r="L727" t="n">
        <v>0</v>
      </c>
      <c r="M727" t="n">
        <v>0</v>
      </c>
      <c r="N727" t="n">
        <v>0</v>
      </c>
      <c r="O727" t="n">
        <v>0</v>
      </c>
      <c r="P727" t="n">
        <v>0</v>
      </c>
      <c r="Q727" t="n">
        <v>0</v>
      </c>
      <c r="R727" s="2" t="inlineStr"/>
    </row>
    <row r="728" ht="15" customHeight="1">
      <c r="A728" t="inlineStr">
        <is>
          <t>A 65049-2020</t>
        </is>
      </c>
      <c r="B728" s="1" t="n">
        <v>44172</v>
      </c>
      <c r="C728" s="1" t="n">
        <v>45939</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29724-2025</t>
        </is>
      </c>
      <c r="B729" s="1" t="n">
        <v>45825.57680555555</v>
      </c>
      <c r="C729" s="1" t="n">
        <v>45939</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30293-2025</t>
        </is>
      </c>
      <c r="B730" s="1" t="n">
        <v>45827</v>
      </c>
      <c r="C730" s="1" t="n">
        <v>45939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30290-2025</t>
        </is>
      </c>
      <c r="B731" s="1" t="n">
        <v>45827</v>
      </c>
      <c r="C731" s="1" t="n">
        <v>45939</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1978-2024</t>
        </is>
      </c>
      <c r="B732" s="1" t="n">
        <v>45308.59001157407</v>
      </c>
      <c r="C732" s="1" t="n">
        <v>45939</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6399-2025</t>
        </is>
      </c>
      <c r="B733" s="1" t="n">
        <v>45699.44291666667</v>
      </c>
      <c r="C733" s="1" t="n">
        <v>45939</v>
      </c>
      <c r="D733" t="inlineStr">
        <is>
          <t>KALMAR LÄN</t>
        </is>
      </c>
      <c r="E733" t="inlineStr">
        <is>
          <t>VIMMERBY</t>
        </is>
      </c>
      <c r="G733" t="n">
        <v>3.1</v>
      </c>
      <c r="H733" t="n">
        <v>0</v>
      </c>
      <c r="I733" t="n">
        <v>0</v>
      </c>
      <c r="J733" t="n">
        <v>0</v>
      </c>
      <c r="K733" t="n">
        <v>0</v>
      </c>
      <c r="L733" t="n">
        <v>0</v>
      </c>
      <c r="M733" t="n">
        <v>0</v>
      </c>
      <c r="N733" t="n">
        <v>0</v>
      </c>
      <c r="O733" t="n">
        <v>0</v>
      </c>
      <c r="P733" t="n">
        <v>0</v>
      </c>
      <c r="Q733" t="n">
        <v>0</v>
      </c>
      <c r="R733" s="2" t="inlineStr"/>
    </row>
    <row r="734" ht="15" customHeight="1">
      <c r="A734" t="inlineStr">
        <is>
          <t>A 41311-2023</t>
        </is>
      </c>
      <c r="B734" s="1" t="n">
        <v>45174</v>
      </c>
      <c r="C734" s="1" t="n">
        <v>45939</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30850-2025</t>
        </is>
      </c>
      <c r="B735" s="1" t="n">
        <v>45831</v>
      </c>
      <c r="C735" s="1" t="n">
        <v>45939</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30882-2025</t>
        </is>
      </c>
      <c r="B736" s="1" t="n">
        <v>45832.34540509259</v>
      </c>
      <c r="C736" s="1" t="n">
        <v>45939</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30971-2025</t>
        </is>
      </c>
      <c r="B737" s="1" t="n">
        <v>45832.46146990741</v>
      </c>
      <c r="C737" s="1" t="n">
        <v>45939</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10785-2025</t>
        </is>
      </c>
      <c r="B738" s="1" t="n">
        <v>45722.48634259259</v>
      </c>
      <c r="C738" s="1" t="n">
        <v>45939</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31552-2025</t>
        </is>
      </c>
      <c r="B739" s="1" t="n">
        <v>45833.64563657407</v>
      </c>
      <c r="C739" s="1" t="n">
        <v>45939</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31555-2025</t>
        </is>
      </c>
      <c r="B740" s="1" t="n">
        <v>45833.64814814815</v>
      </c>
      <c r="C740" s="1" t="n">
        <v>45939</v>
      </c>
      <c r="D740" t="inlineStr">
        <is>
          <t>KALMAR LÄN</t>
        </is>
      </c>
      <c r="E740" t="inlineStr">
        <is>
          <t>VIMMERBY</t>
        </is>
      </c>
      <c r="G740" t="n">
        <v>1.8</v>
      </c>
      <c r="H740" t="n">
        <v>0</v>
      </c>
      <c r="I740" t="n">
        <v>0</v>
      </c>
      <c r="J740" t="n">
        <v>0</v>
      </c>
      <c r="K740" t="n">
        <v>0</v>
      </c>
      <c r="L740" t="n">
        <v>0</v>
      </c>
      <c r="M740" t="n">
        <v>0</v>
      </c>
      <c r="N740" t="n">
        <v>0</v>
      </c>
      <c r="O740" t="n">
        <v>0</v>
      </c>
      <c r="P740" t="n">
        <v>0</v>
      </c>
      <c r="Q740" t="n">
        <v>0</v>
      </c>
      <c r="R740" s="2" t="inlineStr"/>
    </row>
    <row r="741" ht="15" customHeight="1">
      <c r="A741" t="inlineStr">
        <is>
          <t>A 31870-2025</t>
        </is>
      </c>
      <c r="B741" s="1" t="n">
        <v>45834.64667824074</v>
      </c>
      <c r="C741" s="1" t="n">
        <v>45939</v>
      </c>
      <c r="D741" t="inlineStr">
        <is>
          <t>KALMAR LÄN</t>
        </is>
      </c>
      <c r="E741" t="inlineStr">
        <is>
          <t>VIMMERBY</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8559-2025</t>
        </is>
      </c>
      <c r="B742" s="1" t="n">
        <v>45709.62280092593</v>
      </c>
      <c r="C742" s="1" t="n">
        <v>45939</v>
      </c>
      <c r="D742" t="inlineStr">
        <is>
          <t>KALMAR LÄN</t>
        </is>
      </c>
      <c r="E742" t="inlineStr">
        <is>
          <t>VIMMERBY</t>
        </is>
      </c>
      <c r="G742" t="n">
        <v>8.9</v>
      </c>
      <c r="H742" t="n">
        <v>0</v>
      </c>
      <c r="I742" t="n">
        <v>0</v>
      </c>
      <c r="J742" t="n">
        <v>0</v>
      </c>
      <c r="K742" t="n">
        <v>0</v>
      </c>
      <c r="L742" t="n">
        <v>0</v>
      </c>
      <c r="M742" t="n">
        <v>0</v>
      </c>
      <c r="N742" t="n">
        <v>0</v>
      </c>
      <c r="O742" t="n">
        <v>0</v>
      </c>
      <c r="P742" t="n">
        <v>0</v>
      </c>
      <c r="Q742" t="n">
        <v>0</v>
      </c>
      <c r="R742" s="2" t="inlineStr"/>
    </row>
    <row r="743" ht="15" customHeight="1">
      <c r="A743" t="inlineStr">
        <is>
          <t>A 31872-2025</t>
        </is>
      </c>
      <c r="B743" s="1" t="n">
        <v>45834.65040509259</v>
      </c>
      <c r="C743" s="1" t="n">
        <v>45939</v>
      </c>
      <c r="D743" t="inlineStr">
        <is>
          <t>KALMAR LÄN</t>
        </is>
      </c>
      <c r="E743" t="inlineStr">
        <is>
          <t>VIMMERBY</t>
        </is>
      </c>
      <c r="F743" t="inlineStr">
        <is>
          <t>Sveaskog</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31876-2025</t>
        </is>
      </c>
      <c r="B744" s="1" t="n">
        <v>45834.65197916667</v>
      </c>
      <c r="C744" s="1" t="n">
        <v>45939</v>
      </c>
      <c r="D744" t="inlineStr">
        <is>
          <t>KALMAR LÄN</t>
        </is>
      </c>
      <c r="E744" t="inlineStr">
        <is>
          <t>VIMMERBY</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18020-2025</t>
        </is>
      </c>
      <c r="B745" s="1" t="n">
        <v>45761.4437962963</v>
      </c>
      <c r="C745" s="1" t="n">
        <v>45939</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31551-2025</t>
        </is>
      </c>
      <c r="B746" s="1" t="n">
        <v>45833.64237268519</v>
      </c>
      <c r="C746" s="1" t="n">
        <v>45939</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31987-2025</t>
        </is>
      </c>
      <c r="B747" s="1" t="n">
        <v>45835.36229166666</v>
      </c>
      <c r="C747" s="1" t="n">
        <v>45939</v>
      </c>
      <c r="D747" t="inlineStr">
        <is>
          <t>KALMAR LÄN</t>
        </is>
      </c>
      <c r="E747" t="inlineStr">
        <is>
          <t>VIMMERBY</t>
        </is>
      </c>
      <c r="F747" t="inlineStr">
        <is>
          <t>Kyrkan</t>
        </is>
      </c>
      <c r="G747" t="n">
        <v>1.2</v>
      </c>
      <c r="H747" t="n">
        <v>0</v>
      </c>
      <c r="I747" t="n">
        <v>0</v>
      </c>
      <c r="J747" t="n">
        <v>0</v>
      </c>
      <c r="K747" t="n">
        <v>0</v>
      </c>
      <c r="L747" t="n">
        <v>0</v>
      </c>
      <c r="M747" t="n">
        <v>0</v>
      </c>
      <c r="N747" t="n">
        <v>0</v>
      </c>
      <c r="O747" t="n">
        <v>0</v>
      </c>
      <c r="P747" t="n">
        <v>0</v>
      </c>
      <c r="Q747" t="n">
        <v>0</v>
      </c>
      <c r="R747" s="2" t="inlineStr"/>
    </row>
    <row r="748" ht="15" customHeight="1">
      <c r="A748" t="inlineStr">
        <is>
          <t>A 585-2024</t>
        </is>
      </c>
      <c r="B748" s="1" t="n">
        <v>45299.62576388889</v>
      </c>
      <c r="C748" s="1" t="n">
        <v>45939</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45939</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6802-2025</t>
        </is>
      </c>
      <c r="B750" s="1" t="n">
        <v>45700.68289351852</v>
      </c>
      <c r="C750" s="1" t="n">
        <v>45939</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32116-2025</t>
        </is>
      </c>
      <c r="B751" s="1" t="n">
        <v>45835.48862268519</v>
      </c>
      <c r="C751" s="1" t="n">
        <v>45939</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56020-2024</t>
        </is>
      </c>
      <c r="B752" s="1" t="n">
        <v>45623.9525462963</v>
      </c>
      <c r="C752" s="1" t="n">
        <v>45939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32380-2025</t>
        </is>
      </c>
      <c r="B753" s="1" t="n">
        <v>45837.77701388889</v>
      </c>
      <c r="C753" s="1" t="n">
        <v>45939</v>
      </c>
      <c r="D753" t="inlineStr">
        <is>
          <t>KALMAR LÄN</t>
        </is>
      </c>
      <c r="E753" t="inlineStr">
        <is>
          <t>VIMMERBY</t>
        </is>
      </c>
      <c r="G753" t="n">
        <v>3.1</v>
      </c>
      <c r="H753" t="n">
        <v>0</v>
      </c>
      <c r="I753" t="n">
        <v>0</v>
      </c>
      <c r="J753" t="n">
        <v>0</v>
      </c>
      <c r="K753" t="n">
        <v>0</v>
      </c>
      <c r="L753" t="n">
        <v>0</v>
      </c>
      <c r="M753" t="n">
        <v>0</v>
      </c>
      <c r="N753" t="n">
        <v>0</v>
      </c>
      <c r="O753" t="n">
        <v>0</v>
      </c>
      <c r="P753" t="n">
        <v>0</v>
      </c>
      <c r="Q753" t="n">
        <v>0</v>
      </c>
      <c r="R753" s="2" t="inlineStr"/>
    </row>
    <row r="754" ht="15" customHeight="1">
      <c r="A754" t="inlineStr">
        <is>
          <t>A 32109-2025</t>
        </is>
      </c>
      <c r="B754" s="1" t="n">
        <v>45835.48267361111</v>
      </c>
      <c r="C754" s="1" t="n">
        <v>45939</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32113-2025</t>
        </is>
      </c>
      <c r="B755" s="1" t="n">
        <v>45835.48445601852</v>
      </c>
      <c r="C755" s="1" t="n">
        <v>45939</v>
      </c>
      <c r="D755" t="inlineStr">
        <is>
          <t>KALMAR LÄN</t>
        </is>
      </c>
      <c r="E755" t="inlineStr">
        <is>
          <t>VIMMERBY</t>
        </is>
      </c>
      <c r="G755" t="n">
        <v>3.5</v>
      </c>
      <c r="H755" t="n">
        <v>0</v>
      </c>
      <c r="I755" t="n">
        <v>0</v>
      </c>
      <c r="J755" t="n">
        <v>0</v>
      </c>
      <c r="K755" t="n">
        <v>0</v>
      </c>
      <c r="L755" t="n">
        <v>0</v>
      </c>
      <c r="M755" t="n">
        <v>0</v>
      </c>
      <c r="N755" t="n">
        <v>0</v>
      </c>
      <c r="O755" t="n">
        <v>0</v>
      </c>
      <c r="P755" t="n">
        <v>0</v>
      </c>
      <c r="Q755" t="n">
        <v>0</v>
      </c>
      <c r="R755" s="2" t="inlineStr"/>
    </row>
    <row r="756" ht="15" customHeight="1">
      <c r="A756" t="inlineStr">
        <is>
          <t>A 33842-2022</t>
        </is>
      </c>
      <c r="B756" s="1" t="n">
        <v>44790.49523148148</v>
      </c>
      <c r="C756" s="1" t="n">
        <v>45939</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60675-2023</t>
        </is>
      </c>
      <c r="B757" s="1" t="n">
        <v>45260.4716550926</v>
      </c>
      <c r="C757" s="1" t="n">
        <v>45939</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32077-2025</t>
        </is>
      </c>
      <c r="B758" s="1" t="n">
        <v>45835.45099537037</v>
      </c>
      <c r="C758" s="1" t="n">
        <v>45939</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40095-2022</t>
        </is>
      </c>
      <c r="B759" s="1" t="n">
        <v>44820</v>
      </c>
      <c r="C759" s="1" t="n">
        <v>45939</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32064-2025</t>
        </is>
      </c>
      <c r="B760" s="1" t="n">
        <v>45835.44709490741</v>
      </c>
      <c r="C760" s="1" t="n">
        <v>45939</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32065-2025</t>
        </is>
      </c>
      <c r="B761" s="1" t="n">
        <v>45835.44732638889</v>
      </c>
      <c r="C761" s="1" t="n">
        <v>45939</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19537-2022</t>
        </is>
      </c>
      <c r="B762" s="1" t="n">
        <v>44693.62822916666</v>
      </c>
      <c r="C762" s="1" t="n">
        <v>45939</v>
      </c>
      <c r="D762" t="inlineStr">
        <is>
          <t>KALMAR LÄN</t>
        </is>
      </c>
      <c r="E762" t="inlineStr">
        <is>
          <t>VIMMERBY</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33186-2025</t>
        </is>
      </c>
      <c r="B763" s="1" t="n">
        <v>45840.59474537037</v>
      </c>
      <c r="C763" s="1" t="n">
        <v>45939</v>
      </c>
      <c r="D763" t="inlineStr">
        <is>
          <t>KALMAR LÄN</t>
        </is>
      </c>
      <c r="E763" t="inlineStr">
        <is>
          <t>VIMMERBY</t>
        </is>
      </c>
      <c r="G763" t="n">
        <v>2.6</v>
      </c>
      <c r="H763" t="n">
        <v>0</v>
      </c>
      <c r="I763" t="n">
        <v>0</v>
      </c>
      <c r="J763" t="n">
        <v>0</v>
      </c>
      <c r="K763" t="n">
        <v>0</v>
      </c>
      <c r="L763" t="n">
        <v>0</v>
      </c>
      <c r="M763" t="n">
        <v>0</v>
      </c>
      <c r="N763" t="n">
        <v>0</v>
      </c>
      <c r="O763" t="n">
        <v>0</v>
      </c>
      <c r="P763" t="n">
        <v>0</v>
      </c>
      <c r="Q763" t="n">
        <v>0</v>
      </c>
      <c r="R763" s="2" t="inlineStr"/>
    </row>
    <row r="764" ht="15" customHeight="1">
      <c r="A764" t="inlineStr">
        <is>
          <t>A 57311-2023</t>
        </is>
      </c>
      <c r="B764" s="1" t="n">
        <v>45245.63574074074</v>
      </c>
      <c r="C764" s="1" t="n">
        <v>45939</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64428-2023</t>
        </is>
      </c>
      <c r="B765" s="1" t="n">
        <v>45280.66769675926</v>
      </c>
      <c r="C765" s="1" t="n">
        <v>45939</v>
      </c>
      <c r="D765" t="inlineStr">
        <is>
          <t>KALMAR LÄN</t>
        </is>
      </c>
      <c r="E765" t="inlineStr">
        <is>
          <t>VIMMERBY</t>
        </is>
      </c>
      <c r="G765" t="n">
        <v>1.2</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45939</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30977-2025</t>
        </is>
      </c>
      <c r="B767" s="1" t="n">
        <v>45832.46649305556</v>
      </c>
      <c r="C767" s="1" t="n">
        <v>45939</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3268-2024</t>
        </is>
      </c>
      <c r="B768" s="1" t="n">
        <v>45317</v>
      </c>
      <c r="C768" s="1" t="n">
        <v>45939</v>
      </c>
      <c r="D768" t="inlineStr">
        <is>
          <t>KALMAR LÄN</t>
        </is>
      </c>
      <c r="E768" t="inlineStr">
        <is>
          <t>VIMMERBY</t>
        </is>
      </c>
      <c r="F768" t="inlineStr">
        <is>
          <t>Övriga Aktiebolag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33695-2025</t>
        </is>
      </c>
      <c r="B769" s="1" t="n">
        <v>45841.70569444444</v>
      </c>
      <c r="C769" s="1" t="n">
        <v>45939</v>
      </c>
      <c r="D769" t="inlineStr">
        <is>
          <t>KALMAR LÄN</t>
        </is>
      </c>
      <c r="E769" t="inlineStr">
        <is>
          <t>VIMMERBY</t>
        </is>
      </c>
      <c r="G769" t="n">
        <v>2.7</v>
      </c>
      <c r="H769" t="n">
        <v>0</v>
      </c>
      <c r="I769" t="n">
        <v>0</v>
      </c>
      <c r="J769" t="n">
        <v>0</v>
      </c>
      <c r="K769" t="n">
        <v>0</v>
      </c>
      <c r="L769" t="n">
        <v>0</v>
      </c>
      <c r="M769" t="n">
        <v>0</v>
      </c>
      <c r="N769" t="n">
        <v>0</v>
      </c>
      <c r="O769" t="n">
        <v>0</v>
      </c>
      <c r="P769" t="n">
        <v>0</v>
      </c>
      <c r="Q769" t="n">
        <v>0</v>
      </c>
      <c r="R769" s="2" t="inlineStr"/>
    </row>
    <row r="770" ht="15" customHeight="1">
      <c r="A770" t="inlineStr">
        <is>
          <t>A 33698-2025</t>
        </is>
      </c>
      <c r="B770" s="1" t="n">
        <v>45841.70868055556</v>
      </c>
      <c r="C770" s="1" t="n">
        <v>45939</v>
      </c>
      <c r="D770" t="inlineStr">
        <is>
          <t>KALMAR LÄN</t>
        </is>
      </c>
      <c r="E770" t="inlineStr">
        <is>
          <t>VIMMERBY</t>
        </is>
      </c>
      <c r="G770" t="n">
        <v>3.7</v>
      </c>
      <c r="H770" t="n">
        <v>0</v>
      </c>
      <c r="I770" t="n">
        <v>0</v>
      </c>
      <c r="J770" t="n">
        <v>0</v>
      </c>
      <c r="K770" t="n">
        <v>0</v>
      </c>
      <c r="L770" t="n">
        <v>0</v>
      </c>
      <c r="M770" t="n">
        <v>0</v>
      </c>
      <c r="N770" t="n">
        <v>0</v>
      </c>
      <c r="O770" t="n">
        <v>0</v>
      </c>
      <c r="P770" t="n">
        <v>0</v>
      </c>
      <c r="Q770" t="n">
        <v>0</v>
      </c>
      <c r="R770" s="2" t="inlineStr"/>
    </row>
    <row r="771" ht="15" customHeight="1">
      <c r="A771" t="inlineStr">
        <is>
          <t>A 51408-2023</t>
        </is>
      </c>
      <c r="B771" s="1" t="n">
        <v>45219.69356481481</v>
      </c>
      <c r="C771" s="1" t="n">
        <v>45939</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12480-2024</t>
        </is>
      </c>
      <c r="B772" s="1" t="n">
        <v>45379</v>
      </c>
      <c r="C772" s="1" t="n">
        <v>45939</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33696-2025</t>
        </is>
      </c>
      <c r="B773" s="1" t="n">
        <v>45841.7072337963</v>
      </c>
      <c r="C773" s="1" t="n">
        <v>45939</v>
      </c>
      <c r="D773" t="inlineStr">
        <is>
          <t>KALMAR LÄN</t>
        </is>
      </c>
      <c r="E773" t="inlineStr">
        <is>
          <t>VIMMERBY</t>
        </is>
      </c>
      <c r="G773" t="n">
        <v>1.1</v>
      </c>
      <c r="H773" t="n">
        <v>0</v>
      </c>
      <c r="I773" t="n">
        <v>0</v>
      </c>
      <c r="J773" t="n">
        <v>0</v>
      </c>
      <c r="K773" t="n">
        <v>0</v>
      </c>
      <c r="L773" t="n">
        <v>0</v>
      </c>
      <c r="M773" t="n">
        <v>0</v>
      </c>
      <c r="N773" t="n">
        <v>0</v>
      </c>
      <c r="O773" t="n">
        <v>0</v>
      </c>
      <c r="P773" t="n">
        <v>0</v>
      </c>
      <c r="Q773" t="n">
        <v>0</v>
      </c>
      <c r="R773" s="2" t="inlineStr"/>
    </row>
    <row r="774" ht="15" customHeight="1">
      <c r="A774" t="inlineStr">
        <is>
          <t>A 52588-2023</t>
        </is>
      </c>
      <c r="B774" s="1" t="n">
        <v>45225.60192129629</v>
      </c>
      <c r="C774" s="1" t="n">
        <v>45939</v>
      </c>
      <c r="D774" t="inlineStr">
        <is>
          <t>KALMAR LÄN</t>
        </is>
      </c>
      <c r="E774" t="inlineStr">
        <is>
          <t>VIMMERBY</t>
        </is>
      </c>
      <c r="G774" t="n">
        <v>2.9</v>
      </c>
      <c r="H774" t="n">
        <v>0</v>
      </c>
      <c r="I774" t="n">
        <v>0</v>
      </c>
      <c r="J774" t="n">
        <v>0</v>
      </c>
      <c r="K774" t="n">
        <v>0</v>
      </c>
      <c r="L774" t="n">
        <v>0</v>
      </c>
      <c r="M774" t="n">
        <v>0</v>
      </c>
      <c r="N774" t="n">
        <v>0</v>
      </c>
      <c r="O774" t="n">
        <v>0</v>
      </c>
      <c r="P774" t="n">
        <v>0</v>
      </c>
      <c r="Q774" t="n">
        <v>0</v>
      </c>
      <c r="R774" s="2" t="inlineStr"/>
    </row>
    <row r="775" ht="15" customHeight="1">
      <c r="A775" t="inlineStr">
        <is>
          <t>A 28702-2025</t>
        </is>
      </c>
      <c r="B775" s="1" t="n">
        <v>45820.03976851852</v>
      </c>
      <c r="C775" s="1" t="n">
        <v>45939</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55236-2023</t>
        </is>
      </c>
      <c r="B776" s="1" t="n">
        <v>45237.63225694445</v>
      </c>
      <c r="C776" s="1" t="n">
        <v>45939</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55245-2023</t>
        </is>
      </c>
      <c r="B777" s="1" t="n">
        <v>45237.64408564815</v>
      </c>
      <c r="C777" s="1" t="n">
        <v>45939</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19111-2025</t>
        </is>
      </c>
      <c r="B778" s="1" t="n">
        <v>45768.65611111111</v>
      </c>
      <c r="C778" s="1" t="n">
        <v>45939</v>
      </c>
      <c r="D778" t="inlineStr">
        <is>
          <t>KALMAR LÄN</t>
        </is>
      </c>
      <c r="E778" t="inlineStr">
        <is>
          <t>VIMMERBY</t>
        </is>
      </c>
      <c r="G778" t="n">
        <v>6.2</v>
      </c>
      <c r="H778" t="n">
        <v>0</v>
      </c>
      <c r="I778" t="n">
        <v>0</v>
      </c>
      <c r="J778" t="n">
        <v>0</v>
      </c>
      <c r="K778" t="n">
        <v>0</v>
      </c>
      <c r="L778" t="n">
        <v>0</v>
      </c>
      <c r="M778" t="n">
        <v>0</v>
      </c>
      <c r="N778" t="n">
        <v>0</v>
      </c>
      <c r="O778" t="n">
        <v>0</v>
      </c>
      <c r="P778" t="n">
        <v>0</v>
      </c>
      <c r="Q778" t="n">
        <v>0</v>
      </c>
      <c r="R778" s="2" t="inlineStr"/>
    </row>
    <row r="779" ht="15" customHeight="1">
      <c r="A779" t="inlineStr">
        <is>
          <t>A 25370-2022</t>
        </is>
      </c>
      <c r="B779" s="1" t="n">
        <v>44732.3659837963</v>
      </c>
      <c r="C779" s="1" t="n">
        <v>45939</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34060-2025</t>
        </is>
      </c>
      <c r="B780" s="1" t="n">
        <v>45845.42015046296</v>
      </c>
      <c r="C780" s="1" t="n">
        <v>45939</v>
      </c>
      <c r="D780" t="inlineStr">
        <is>
          <t>KALMAR LÄN</t>
        </is>
      </c>
      <c r="E780" t="inlineStr">
        <is>
          <t>VIMMERBY</t>
        </is>
      </c>
      <c r="G780" t="n">
        <v>5.7</v>
      </c>
      <c r="H780" t="n">
        <v>0</v>
      </c>
      <c r="I780" t="n">
        <v>0</v>
      </c>
      <c r="J780" t="n">
        <v>0</v>
      </c>
      <c r="K780" t="n">
        <v>0</v>
      </c>
      <c r="L780" t="n">
        <v>0</v>
      </c>
      <c r="M780" t="n">
        <v>0</v>
      </c>
      <c r="N780" t="n">
        <v>0</v>
      </c>
      <c r="O780" t="n">
        <v>0</v>
      </c>
      <c r="P780" t="n">
        <v>0</v>
      </c>
      <c r="Q780" t="n">
        <v>0</v>
      </c>
      <c r="R780" s="2" t="inlineStr"/>
    </row>
    <row r="781" ht="15" customHeight="1">
      <c r="A781" t="inlineStr">
        <is>
          <t>A 34071-2025</t>
        </is>
      </c>
      <c r="B781" s="1" t="n">
        <v>45845.43803240741</v>
      </c>
      <c r="C781" s="1" t="n">
        <v>45939</v>
      </c>
      <c r="D781" t="inlineStr">
        <is>
          <t>KALMAR LÄN</t>
        </is>
      </c>
      <c r="E781" t="inlineStr">
        <is>
          <t>VIMMERBY</t>
        </is>
      </c>
      <c r="G781" t="n">
        <v>6.8</v>
      </c>
      <c r="H781" t="n">
        <v>0</v>
      </c>
      <c r="I781" t="n">
        <v>0</v>
      </c>
      <c r="J781" t="n">
        <v>0</v>
      </c>
      <c r="K781" t="n">
        <v>0</v>
      </c>
      <c r="L781" t="n">
        <v>0</v>
      </c>
      <c r="M781" t="n">
        <v>0</v>
      </c>
      <c r="N781" t="n">
        <v>0</v>
      </c>
      <c r="O781" t="n">
        <v>0</v>
      </c>
      <c r="P781" t="n">
        <v>0</v>
      </c>
      <c r="Q781" t="n">
        <v>0</v>
      </c>
      <c r="R781" s="2" t="inlineStr"/>
    </row>
    <row r="782" ht="15" customHeight="1">
      <c r="A782" t="inlineStr">
        <is>
          <t>A 34106-2025</t>
        </is>
      </c>
      <c r="B782" s="1" t="n">
        <v>45845.49414351852</v>
      </c>
      <c r="C782" s="1" t="n">
        <v>45939</v>
      </c>
      <c r="D782" t="inlineStr">
        <is>
          <t>KALMAR LÄN</t>
        </is>
      </c>
      <c r="E782" t="inlineStr">
        <is>
          <t>VIMMERBY</t>
        </is>
      </c>
      <c r="G782" t="n">
        <v>6</v>
      </c>
      <c r="H782" t="n">
        <v>0</v>
      </c>
      <c r="I782" t="n">
        <v>0</v>
      </c>
      <c r="J782" t="n">
        <v>0</v>
      </c>
      <c r="K782" t="n">
        <v>0</v>
      </c>
      <c r="L782" t="n">
        <v>0</v>
      </c>
      <c r="M782" t="n">
        <v>0</v>
      </c>
      <c r="N782" t="n">
        <v>0</v>
      </c>
      <c r="O782" t="n">
        <v>0</v>
      </c>
      <c r="P782" t="n">
        <v>0</v>
      </c>
      <c r="Q782" t="n">
        <v>0</v>
      </c>
      <c r="R782" s="2" t="inlineStr"/>
    </row>
    <row r="783" ht="15" customHeight="1">
      <c r="A783" t="inlineStr">
        <is>
          <t>A 26956-2025</t>
        </is>
      </c>
      <c r="B783" s="1" t="n">
        <v>45811.45460648148</v>
      </c>
      <c r="C783" s="1" t="n">
        <v>45939</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33838-2022</t>
        </is>
      </c>
      <c r="B784" s="1" t="n">
        <v>44790.49040509259</v>
      </c>
      <c r="C784" s="1" t="n">
        <v>45939</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4058-2024</t>
        </is>
      </c>
      <c r="B785" s="1" t="n">
        <v>45323.53744212963</v>
      </c>
      <c r="C785" s="1" t="n">
        <v>45939</v>
      </c>
      <c r="D785" t="inlineStr">
        <is>
          <t>KALMAR LÄN</t>
        </is>
      </c>
      <c r="E785" t="inlineStr">
        <is>
          <t>VIMMERBY</t>
        </is>
      </c>
      <c r="G785" t="n">
        <v>6.5</v>
      </c>
      <c r="H785" t="n">
        <v>0</v>
      </c>
      <c r="I785" t="n">
        <v>0</v>
      </c>
      <c r="J785" t="n">
        <v>0</v>
      </c>
      <c r="K785" t="n">
        <v>0</v>
      </c>
      <c r="L785" t="n">
        <v>0</v>
      </c>
      <c r="M785" t="n">
        <v>0</v>
      </c>
      <c r="N785" t="n">
        <v>0</v>
      </c>
      <c r="O785" t="n">
        <v>0</v>
      </c>
      <c r="P785" t="n">
        <v>0</v>
      </c>
      <c r="Q785" t="n">
        <v>0</v>
      </c>
      <c r="R785" s="2" t="inlineStr"/>
    </row>
    <row r="786" ht="15" customHeight="1">
      <c r="A786" t="inlineStr">
        <is>
          <t>A 36008-2024</t>
        </is>
      </c>
      <c r="B786" s="1" t="n">
        <v>45533.55362268518</v>
      </c>
      <c r="C786" s="1" t="n">
        <v>45939</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18669-2025</t>
        </is>
      </c>
      <c r="B787" s="1" t="n">
        <v>45763.59436342592</v>
      </c>
      <c r="C787" s="1" t="n">
        <v>45939</v>
      </c>
      <c r="D787" t="inlineStr">
        <is>
          <t>KALMAR LÄN</t>
        </is>
      </c>
      <c r="E787" t="inlineStr">
        <is>
          <t>VIMMERBY</t>
        </is>
      </c>
      <c r="G787" t="n">
        <v>2.7</v>
      </c>
      <c r="H787" t="n">
        <v>0</v>
      </c>
      <c r="I787" t="n">
        <v>0</v>
      </c>
      <c r="J787" t="n">
        <v>0</v>
      </c>
      <c r="K787" t="n">
        <v>0</v>
      </c>
      <c r="L787" t="n">
        <v>0</v>
      </c>
      <c r="M787" t="n">
        <v>0</v>
      </c>
      <c r="N787" t="n">
        <v>0</v>
      </c>
      <c r="O787" t="n">
        <v>0</v>
      </c>
      <c r="P787" t="n">
        <v>0</v>
      </c>
      <c r="Q787" t="n">
        <v>0</v>
      </c>
      <c r="R787" s="2" t="inlineStr"/>
    </row>
    <row r="788" ht="15" customHeight="1">
      <c r="A788" t="inlineStr">
        <is>
          <t>A 8540-2024</t>
        </is>
      </c>
      <c r="B788" s="1" t="n">
        <v>45355.54138888889</v>
      </c>
      <c r="C788" s="1" t="n">
        <v>45939</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9623-2024</t>
        </is>
      </c>
      <c r="B789" s="1" t="n">
        <v>45361.87975694444</v>
      </c>
      <c r="C789" s="1" t="n">
        <v>45939</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5146-2024</t>
        </is>
      </c>
      <c r="B790" s="1" t="n">
        <v>45330</v>
      </c>
      <c r="C790" s="1" t="n">
        <v>45939</v>
      </c>
      <c r="D790" t="inlineStr">
        <is>
          <t>KALMAR LÄN</t>
        </is>
      </c>
      <c r="E790" t="inlineStr">
        <is>
          <t>VIMMERBY</t>
        </is>
      </c>
      <c r="G790" t="n">
        <v>5.3</v>
      </c>
      <c r="H790" t="n">
        <v>0</v>
      </c>
      <c r="I790" t="n">
        <v>0</v>
      </c>
      <c r="J790" t="n">
        <v>0</v>
      </c>
      <c r="K790" t="n">
        <v>0</v>
      </c>
      <c r="L790" t="n">
        <v>0</v>
      </c>
      <c r="M790" t="n">
        <v>0</v>
      </c>
      <c r="N790" t="n">
        <v>0</v>
      </c>
      <c r="O790" t="n">
        <v>0</v>
      </c>
      <c r="P790" t="n">
        <v>0</v>
      </c>
      <c r="Q790" t="n">
        <v>0</v>
      </c>
      <c r="R790" s="2" t="inlineStr"/>
    </row>
    <row r="791" ht="15" customHeight="1">
      <c r="A791" t="inlineStr">
        <is>
          <t>A 5148-2024</t>
        </is>
      </c>
      <c r="B791" s="1" t="n">
        <v>45330</v>
      </c>
      <c r="C791" s="1" t="n">
        <v>45939</v>
      </c>
      <c r="D791" t="inlineStr">
        <is>
          <t>KALMAR LÄN</t>
        </is>
      </c>
      <c r="E791" t="inlineStr">
        <is>
          <t>VIMMERBY</t>
        </is>
      </c>
      <c r="G791" t="n">
        <v>5.6</v>
      </c>
      <c r="H791" t="n">
        <v>0</v>
      </c>
      <c r="I791" t="n">
        <v>0</v>
      </c>
      <c r="J791" t="n">
        <v>0</v>
      </c>
      <c r="K791" t="n">
        <v>0</v>
      </c>
      <c r="L791" t="n">
        <v>0</v>
      </c>
      <c r="M791" t="n">
        <v>0</v>
      </c>
      <c r="N791" t="n">
        <v>0</v>
      </c>
      <c r="O791" t="n">
        <v>0</v>
      </c>
      <c r="P791" t="n">
        <v>0</v>
      </c>
      <c r="Q791" t="n">
        <v>0</v>
      </c>
      <c r="R791" s="2" t="inlineStr"/>
    </row>
    <row r="792" ht="15" customHeight="1">
      <c r="A792" t="inlineStr">
        <is>
          <t>A 34628-2025</t>
        </is>
      </c>
      <c r="B792" s="1" t="n">
        <v>45847.91280092593</v>
      </c>
      <c r="C792" s="1" t="n">
        <v>45939</v>
      </c>
      <c r="D792" t="inlineStr">
        <is>
          <t>KALMAR LÄN</t>
        </is>
      </c>
      <c r="E792" t="inlineStr">
        <is>
          <t>VIMMERBY</t>
        </is>
      </c>
      <c r="G792" t="n">
        <v>4.2</v>
      </c>
      <c r="H792" t="n">
        <v>0</v>
      </c>
      <c r="I792" t="n">
        <v>0</v>
      </c>
      <c r="J792" t="n">
        <v>0</v>
      </c>
      <c r="K792" t="n">
        <v>0</v>
      </c>
      <c r="L792" t="n">
        <v>0</v>
      </c>
      <c r="M792" t="n">
        <v>0</v>
      </c>
      <c r="N792" t="n">
        <v>0</v>
      </c>
      <c r="O792" t="n">
        <v>0</v>
      </c>
      <c r="P792" t="n">
        <v>0</v>
      </c>
      <c r="Q792" t="n">
        <v>0</v>
      </c>
      <c r="R792" s="2" t="inlineStr"/>
    </row>
    <row r="793" ht="15" customHeight="1">
      <c r="A793" t="inlineStr">
        <is>
          <t>A 44179-2022</t>
        </is>
      </c>
      <c r="B793" s="1" t="n">
        <v>44839.4528125</v>
      </c>
      <c r="C793" s="1" t="n">
        <v>45939</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50648-2023</t>
        </is>
      </c>
      <c r="B794" s="1" t="n">
        <v>45217.47834490741</v>
      </c>
      <c r="C794" s="1" t="n">
        <v>45939</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2121-2022</t>
        </is>
      </c>
      <c r="B795" s="1" t="n">
        <v>44578.32717592592</v>
      </c>
      <c r="C795" s="1" t="n">
        <v>45939</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57799-2022</t>
        </is>
      </c>
      <c r="B796" s="1" t="n">
        <v>44897</v>
      </c>
      <c r="C796" s="1" t="n">
        <v>45939</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15394-2025</t>
        </is>
      </c>
      <c r="B797" s="1" t="n">
        <v>45747.43196759259</v>
      </c>
      <c r="C797" s="1" t="n">
        <v>45939</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26318-2023</t>
        </is>
      </c>
      <c r="B798" s="1" t="n">
        <v>45091.67936342592</v>
      </c>
      <c r="C798" s="1" t="n">
        <v>45939</v>
      </c>
      <c r="D798" t="inlineStr">
        <is>
          <t>KALMAR LÄN</t>
        </is>
      </c>
      <c r="E798" t="inlineStr">
        <is>
          <t>VIMMERBY</t>
        </is>
      </c>
      <c r="G798" t="n">
        <v>3.8</v>
      </c>
      <c r="H798" t="n">
        <v>0</v>
      </c>
      <c r="I798" t="n">
        <v>0</v>
      </c>
      <c r="J798" t="n">
        <v>0</v>
      </c>
      <c r="K798" t="n">
        <v>0</v>
      </c>
      <c r="L798" t="n">
        <v>0</v>
      </c>
      <c r="M798" t="n">
        <v>0</v>
      </c>
      <c r="N798" t="n">
        <v>0</v>
      </c>
      <c r="O798" t="n">
        <v>0</v>
      </c>
      <c r="P798" t="n">
        <v>0</v>
      </c>
      <c r="Q798" t="n">
        <v>0</v>
      </c>
      <c r="R798" s="2" t="inlineStr"/>
    </row>
    <row r="799" ht="15" customHeight="1">
      <c r="A799" t="inlineStr">
        <is>
          <t>A 60437-2023</t>
        </is>
      </c>
      <c r="B799" s="1" t="n">
        <v>45259.51916666667</v>
      </c>
      <c r="C799" s="1" t="n">
        <v>45939</v>
      </c>
      <c r="D799" t="inlineStr">
        <is>
          <t>KALMAR LÄN</t>
        </is>
      </c>
      <c r="E799" t="inlineStr">
        <is>
          <t>VIMMERBY</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60438-2023</t>
        </is>
      </c>
      <c r="B800" s="1" t="n">
        <v>45259.52020833334</v>
      </c>
      <c r="C800" s="1" t="n">
        <v>45939</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35270-2025</t>
        </is>
      </c>
      <c r="B801" s="1" t="n">
        <v>45853.87112268519</v>
      </c>
      <c r="C801" s="1" t="n">
        <v>45939</v>
      </c>
      <c r="D801" t="inlineStr">
        <is>
          <t>KALMAR LÄN</t>
        </is>
      </c>
      <c r="E801" t="inlineStr">
        <is>
          <t>VIMMERBY</t>
        </is>
      </c>
      <c r="G801" t="n">
        <v>2.4</v>
      </c>
      <c r="H801" t="n">
        <v>0</v>
      </c>
      <c r="I801" t="n">
        <v>0</v>
      </c>
      <c r="J801" t="n">
        <v>0</v>
      </c>
      <c r="K801" t="n">
        <v>0</v>
      </c>
      <c r="L801" t="n">
        <v>0</v>
      </c>
      <c r="M801" t="n">
        <v>0</v>
      </c>
      <c r="N801" t="n">
        <v>0</v>
      </c>
      <c r="O801" t="n">
        <v>0</v>
      </c>
      <c r="P801" t="n">
        <v>0</v>
      </c>
      <c r="Q801" t="n">
        <v>0</v>
      </c>
      <c r="R801" s="2" t="inlineStr"/>
    </row>
    <row r="802" ht="15" customHeight="1">
      <c r="A802" t="inlineStr">
        <is>
          <t>A 35271-2025</t>
        </is>
      </c>
      <c r="B802" s="1" t="n">
        <v>45853.87599537037</v>
      </c>
      <c r="C802" s="1" t="n">
        <v>45939</v>
      </c>
      <c r="D802" t="inlineStr">
        <is>
          <t>KALMAR LÄN</t>
        </is>
      </c>
      <c r="E802" t="inlineStr">
        <is>
          <t>VIMMERBY</t>
        </is>
      </c>
      <c r="G802" t="n">
        <v>0.4</v>
      </c>
      <c r="H802" t="n">
        <v>0</v>
      </c>
      <c r="I802" t="n">
        <v>0</v>
      </c>
      <c r="J802" t="n">
        <v>0</v>
      </c>
      <c r="K802" t="n">
        <v>0</v>
      </c>
      <c r="L802" t="n">
        <v>0</v>
      </c>
      <c r="M802" t="n">
        <v>0</v>
      </c>
      <c r="N802" t="n">
        <v>0</v>
      </c>
      <c r="O802" t="n">
        <v>0</v>
      </c>
      <c r="P802" t="n">
        <v>0</v>
      </c>
      <c r="Q802" t="n">
        <v>0</v>
      </c>
      <c r="R802" s="2" t="inlineStr"/>
    </row>
    <row r="803" ht="15" customHeight="1">
      <c r="A803" t="inlineStr">
        <is>
          <t>A 35272-2025</t>
        </is>
      </c>
      <c r="B803" s="1" t="n">
        <v>45853.88070601852</v>
      </c>
      <c r="C803" s="1" t="n">
        <v>45939</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45939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7758-2024</t>
        </is>
      </c>
      <c r="B805" s="1" t="n">
        <v>45349.54434027777</v>
      </c>
      <c r="C805" s="1" t="n">
        <v>45939</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7456-2024</t>
        </is>
      </c>
      <c r="B806" s="1" t="n">
        <v>45345.83557870371</v>
      </c>
      <c r="C806" s="1" t="n">
        <v>45939</v>
      </c>
      <c r="D806" t="inlineStr">
        <is>
          <t>KALMAR LÄN</t>
        </is>
      </c>
      <c r="E806" t="inlineStr">
        <is>
          <t>VIMMERBY</t>
        </is>
      </c>
      <c r="G806" t="n">
        <v>4.1</v>
      </c>
      <c r="H806" t="n">
        <v>0</v>
      </c>
      <c r="I806" t="n">
        <v>0</v>
      </c>
      <c r="J806" t="n">
        <v>0</v>
      </c>
      <c r="K806" t="n">
        <v>0</v>
      </c>
      <c r="L806" t="n">
        <v>0</v>
      </c>
      <c r="M806" t="n">
        <v>0</v>
      </c>
      <c r="N806" t="n">
        <v>0</v>
      </c>
      <c r="O806" t="n">
        <v>0</v>
      </c>
      <c r="P806" t="n">
        <v>0</v>
      </c>
      <c r="Q806" t="n">
        <v>0</v>
      </c>
      <c r="R806" s="2" t="inlineStr"/>
    </row>
    <row r="807" ht="15" customHeight="1">
      <c r="A807" t="inlineStr">
        <is>
          <t>A 40921-2025</t>
        </is>
      </c>
      <c r="B807" s="1" t="n">
        <v>45897.63520833333</v>
      </c>
      <c r="C807" s="1" t="n">
        <v>45939</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6082-2022</t>
        </is>
      </c>
      <c r="B808" s="1" t="n">
        <v>44599</v>
      </c>
      <c r="C808" s="1" t="n">
        <v>45939</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46979-2023</t>
        </is>
      </c>
      <c r="B809" s="1" t="n">
        <v>45201</v>
      </c>
      <c r="C809" s="1" t="n">
        <v>45939</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2596-2025</t>
        </is>
      </c>
      <c r="B810" s="1" t="n">
        <v>45674.71810185185</v>
      </c>
      <c r="C810" s="1" t="n">
        <v>45939</v>
      </c>
      <c r="D810" t="inlineStr">
        <is>
          <t>KALMAR LÄN</t>
        </is>
      </c>
      <c r="E810" t="inlineStr">
        <is>
          <t>VIMMERBY</t>
        </is>
      </c>
      <c r="G810" t="n">
        <v>9</v>
      </c>
      <c r="H810" t="n">
        <v>0</v>
      </c>
      <c r="I810" t="n">
        <v>0</v>
      </c>
      <c r="J810" t="n">
        <v>0</v>
      </c>
      <c r="K810" t="n">
        <v>0</v>
      </c>
      <c r="L810" t="n">
        <v>0</v>
      </c>
      <c r="M810" t="n">
        <v>0</v>
      </c>
      <c r="N810" t="n">
        <v>0</v>
      </c>
      <c r="O810" t="n">
        <v>0</v>
      </c>
      <c r="P810" t="n">
        <v>0</v>
      </c>
      <c r="Q810" t="n">
        <v>0</v>
      </c>
      <c r="R810" s="2" t="inlineStr"/>
    </row>
    <row r="811" ht="15" customHeight="1">
      <c r="A811" t="inlineStr">
        <is>
          <t>A 40971-2025</t>
        </is>
      </c>
      <c r="B811" s="1" t="n">
        <v>45897.88836805556</v>
      </c>
      <c r="C811" s="1" t="n">
        <v>45939</v>
      </c>
      <c r="D811" t="inlineStr">
        <is>
          <t>KALMAR LÄN</t>
        </is>
      </c>
      <c r="E811" t="inlineStr">
        <is>
          <t>VIMMERBY</t>
        </is>
      </c>
      <c r="G811" t="n">
        <v>1.5</v>
      </c>
      <c r="H811" t="n">
        <v>0</v>
      </c>
      <c r="I811" t="n">
        <v>0</v>
      </c>
      <c r="J811" t="n">
        <v>0</v>
      </c>
      <c r="K811" t="n">
        <v>0</v>
      </c>
      <c r="L811" t="n">
        <v>0</v>
      </c>
      <c r="M811" t="n">
        <v>0</v>
      </c>
      <c r="N811" t="n">
        <v>0</v>
      </c>
      <c r="O811" t="n">
        <v>0</v>
      </c>
      <c r="P811" t="n">
        <v>0</v>
      </c>
      <c r="Q811" t="n">
        <v>0</v>
      </c>
      <c r="R811" s="2" t="inlineStr"/>
    </row>
    <row r="812" ht="15" customHeight="1">
      <c r="A812" t="inlineStr">
        <is>
          <t>A 47855-2024</t>
        </is>
      </c>
      <c r="B812" s="1" t="n">
        <v>45588.66457175926</v>
      </c>
      <c r="C812" s="1" t="n">
        <v>45939</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63583-2023</t>
        </is>
      </c>
      <c r="B813" s="1" t="n">
        <v>45275.41833333333</v>
      </c>
      <c r="C813" s="1" t="n">
        <v>45939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40925-2025</t>
        </is>
      </c>
      <c r="B814" s="1" t="n">
        <v>45897.64208333333</v>
      </c>
      <c r="C814" s="1" t="n">
        <v>45939</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60228-2021</t>
        </is>
      </c>
      <c r="B815" s="1" t="n">
        <v>44495</v>
      </c>
      <c r="C815" s="1" t="n">
        <v>45939</v>
      </c>
      <c r="D815" t="inlineStr">
        <is>
          <t>KALMAR LÄN</t>
        </is>
      </c>
      <c r="E815" t="inlineStr">
        <is>
          <t>VIMMERBY</t>
        </is>
      </c>
      <c r="G815" t="n">
        <v>4.1</v>
      </c>
      <c r="H815" t="n">
        <v>0</v>
      </c>
      <c r="I815" t="n">
        <v>0</v>
      </c>
      <c r="J815" t="n">
        <v>0</v>
      </c>
      <c r="K815" t="n">
        <v>0</v>
      </c>
      <c r="L815" t="n">
        <v>0</v>
      </c>
      <c r="M815" t="n">
        <v>0</v>
      </c>
      <c r="N815" t="n">
        <v>0</v>
      </c>
      <c r="O815" t="n">
        <v>0</v>
      </c>
      <c r="P815" t="n">
        <v>0</v>
      </c>
      <c r="Q815" t="n">
        <v>0</v>
      </c>
      <c r="R815" s="2" t="inlineStr"/>
    </row>
    <row r="816" ht="15" customHeight="1">
      <c r="A816" t="inlineStr">
        <is>
          <t>A 41224-2025</t>
        </is>
      </c>
      <c r="B816" s="1" t="n">
        <v>45898.58861111111</v>
      </c>
      <c r="C816" s="1" t="n">
        <v>45939</v>
      </c>
      <c r="D816" t="inlineStr">
        <is>
          <t>KALMAR LÄN</t>
        </is>
      </c>
      <c r="E816" t="inlineStr">
        <is>
          <t>VIMMERBY</t>
        </is>
      </c>
      <c r="G816" t="n">
        <v>4.4</v>
      </c>
      <c r="H816" t="n">
        <v>0</v>
      </c>
      <c r="I816" t="n">
        <v>0</v>
      </c>
      <c r="J816" t="n">
        <v>0</v>
      </c>
      <c r="K816" t="n">
        <v>0</v>
      </c>
      <c r="L816" t="n">
        <v>0</v>
      </c>
      <c r="M816" t="n">
        <v>0</v>
      </c>
      <c r="N816" t="n">
        <v>0</v>
      </c>
      <c r="O816" t="n">
        <v>0</v>
      </c>
      <c r="P816" t="n">
        <v>0</v>
      </c>
      <c r="Q816" t="n">
        <v>0</v>
      </c>
      <c r="R816" s="2" t="inlineStr"/>
    </row>
    <row r="817" ht="15" customHeight="1">
      <c r="A817" t="inlineStr">
        <is>
          <t>A 40973-2025</t>
        </is>
      </c>
      <c r="B817" s="1" t="n">
        <v>45897.89737268518</v>
      </c>
      <c r="C817" s="1" t="n">
        <v>45939</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40970-2025</t>
        </is>
      </c>
      <c r="B818" s="1" t="n">
        <v>45897.88706018519</v>
      </c>
      <c r="C818" s="1" t="n">
        <v>45939</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46522-2022</t>
        </is>
      </c>
      <c r="B819" s="1" t="n">
        <v>44848.59133101852</v>
      </c>
      <c r="C819" s="1" t="n">
        <v>45939</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21109-2024</t>
        </is>
      </c>
      <c r="B820" s="1" t="n">
        <v>45440.28329861111</v>
      </c>
      <c r="C820" s="1" t="n">
        <v>45939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41589-2025</t>
        </is>
      </c>
      <c r="B821" s="1" t="n">
        <v>45901.63219907408</v>
      </c>
      <c r="C821" s="1" t="n">
        <v>45939</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41591-2025</t>
        </is>
      </c>
      <c r="B822" s="1" t="n">
        <v>45901.6327662037</v>
      </c>
      <c r="C822" s="1" t="n">
        <v>45939</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33815-2022</t>
        </is>
      </c>
      <c r="B823" s="1" t="n">
        <v>44790.45876157407</v>
      </c>
      <c r="C823" s="1" t="n">
        <v>45939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35597-2025</t>
        </is>
      </c>
      <c r="B824" s="1" t="n">
        <v>45858.66019675926</v>
      </c>
      <c r="C824" s="1" t="n">
        <v>45939</v>
      </c>
      <c r="D824" t="inlineStr">
        <is>
          <t>KALMAR LÄN</t>
        </is>
      </c>
      <c r="E824" t="inlineStr">
        <is>
          <t>VIMMERBY</t>
        </is>
      </c>
      <c r="G824" t="n">
        <v>6.4</v>
      </c>
      <c r="H824" t="n">
        <v>0</v>
      </c>
      <c r="I824" t="n">
        <v>0</v>
      </c>
      <c r="J824" t="n">
        <v>0</v>
      </c>
      <c r="K824" t="n">
        <v>0</v>
      </c>
      <c r="L824" t="n">
        <v>0</v>
      </c>
      <c r="M824" t="n">
        <v>0</v>
      </c>
      <c r="N824" t="n">
        <v>0</v>
      </c>
      <c r="O824" t="n">
        <v>0</v>
      </c>
      <c r="P824" t="n">
        <v>0</v>
      </c>
      <c r="Q824" t="n">
        <v>0</v>
      </c>
      <c r="R824" s="2" t="inlineStr"/>
    </row>
    <row r="825" ht="15" customHeight="1">
      <c r="A825" t="inlineStr">
        <is>
          <t>A 49461-2022</t>
        </is>
      </c>
      <c r="B825" s="1" t="n">
        <v>44861</v>
      </c>
      <c r="C825" s="1" t="n">
        <v>45939</v>
      </c>
      <c r="D825" t="inlineStr">
        <is>
          <t>KALMAR LÄN</t>
        </is>
      </c>
      <c r="E825" t="inlineStr">
        <is>
          <t>VIMMERBY</t>
        </is>
      </c>
      <c r="G825" t="n">
        <v>3.2</v>
      </c>
      <c r="H825" t="n">
        <v>0</v>
      </c>
      <c r="I825" t="n">
        <v>0</v>
      </c>
      <c r="J825" t="n">
        <v>0</v>
      </c>
      <c r="K825" t="n">
        <v>0</v>
      </c>
      <c r="L825" t="n">
        <v>0</v>
      </c>
      <c r="M825" t="n">
        <v>0</v>
      </c>
      <c r="N825" t="n">
        <v>0</v>
      </c>
      <c r="O825" t="n">
        <v>0</v>
      </c>
      <c r="P825" t="n">
        <v>0</v>
      </c>
      <c r="Q825" t="n">
        <v>0</v>
      </c>
      <c r="R825" s="2" t="inlineStr"/>
    </row>
    <row r="826" ht="15" customHeight="1">
      <c r="A826" t="inlineStr">
        <is>
          <t>A 53542-2022</t>
        </is>
      </c>
      <c r="B826" s="1" t="n">
        <v>44879.62173611111</v>
      </c>
      <c r="C826" s="1" t="n">
        <v>45939</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35713-2023</t>
        </is>
      </c>
      <c r="B827" s="1" t="n">
        <v>45147</v>
      </c>
      <c r="C827" s="1" t="n">
        <v>45939</v>
      </c>
      <c r="D827" t="inlineStr">
        <is>
          <t>KALMAR LÄN</t>
        </is>
      </c>
      <c r="E827" t="inlineStr">
        <is>
          <t>VIMMERBY</t>
        </is>
      </c>
      <c r="G827" t="n">
        <v>1.6</v>
      </c>
      <c r="H827" t="n">
        <v>0</v>
      </c>
      <c r="I827" t="n">
        <v>0</v>
      </c>
      <c r="J827" t="n">
        <v>0</v>
      </c>
      <c r="K827" t="n">
        <v>0</v>
      </c>
      <c r="L827" t="n">
        <v>0</v>
      </c>
      <c r="M827" t="n">
        <v>0</v>
      </c>
      <c r="N827" t="n">
        <v>0</v>
      </c>
      <c r="O827" t="n">
        <v>0</v>
      </c>
      <c r="P827" t="n">
        <v>0</v>
      </c>
      <c r="Q827" t="n">
        <v>0</v>
      </c>
      <c r="R827" s="2" t="inlineStr"/>
    </row>
    <row r="828" ht="15" customHeight="1">
      <c r="A828" t="inlineStr">
        <is>
          <t>A 35596-2025</t>
        </is>
      </c>
      <c r="B828" s="1" t="n">
        <v>45858.60641203704</v>
      </c>
      <c r="C828" s="1" t="n">
        <v>45939</v>
      </c>
      <c r="D828" t="inlineStr">
        <is>
          <t>KALMAR LÄN</t>
        </is>
      </c>
      <c r="E828" t="inlineStr">
        <is>
          <t>VIMMERBY</t>
        </is>
      </c>
      <c r="G828" t="n">
        <v>2.8</v>
      </c>
      <c r="H828" t="n">
        <v>0</v>
      </c>
      <c r="I828" t="n">
        <v>0</v>
      </c>
      <c r="J828" t="n">
        <v>0</v>
      </c>
      <c r="K828" t="n">
        <v>0</v>
      </c>
      <c r="L828" t="n">
        <v>0</v>
      </c>
      <c r="M828" t="n">
        <v>0</v>
      </c>
      <c r="N828" t="n">
        <v>0</v>
      </c>
      <c r="O828" t="n">
        <v>0</v>
      </c>
      <c r="P828" t="n">
        <v>0</v>
      </c>
      <c r="Q828" t="n">
        <v>0</v>
      </c>
      <c r="R828" s="2" t="inlineStr"/>
    </row>
    <row r="829" ht="15" customHeight="1">
      <c r="A829" t="inlineStr">
        <is>
          <t>A 41735-2025</t>
        </is>
      </c>
      <c r="B829" s="1" t="n">
        <v>45902.47164351852</v>
      </c>
      <c r="C829" s="1" t="n">
        <v>45939</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10424-2023</t>
        </is>
      </c>
      <c r="B830" s="1" t="n">
        <v>44987.54104166666</v>
      </c>
      <c r="C830" s="1" t="n">
        <v>45939</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41896-2025</t>
        </is>
      </c>
      <c r="B831" s="1" t="n">
        <v>45903.38800925926</v>
      </c>
      <c r="C831" s="1" t="n">
        <v>45939</v>
      </c>
      <c r="D831" t="inlineStr">
        <is>
          <t>KALMAR LÄN</t>
        </is>
      </c>
      <c r="E831" t="inlineStr">
        <is>
          <t>VIMMERBY</t>
        </is>
      </c>
      <c r="G831" t="n">
        <v>2.9</v>
      </c>
      <c r="H831" t="n">
        <v>0</v>
      </c>
      <c r="I831" t="n">
        <v>0</v>
      </c>
      <c r="J831" t="n">
        <v>0</v>
      </c>
      <c r="K831" t="n">
        <v>0</v>
      </c>
      <c r="L831" t="n">
        <v>0</v>
      </c>
      <c r="M831" t="n">
        <v>0</v>
      </c>
      <c r="N831" t="n">
        <v>0</v>
      </c>
      <c r="O831" t="n">
        <v>0</v>
      </c>
      <c r="P831" t="n">
        <v>0</v>
      </c>
      <c r="Q831" t="n">
        <v>0</v>
      </c>
      <c r="R831" s="2" t="inlineStr"/>
    </row>
    <row r="832" ht="15" customHeight="1">
      <c r="A832" t="inlineStr">
        <is>
          <t>A 33340-2023</t>
        </is>
      </c>
      <c r="B832" s="1" t="n">
        <v>45128.37305555555</v>
      </c>
      <c r="C832" s="1" t="n">
        <v>45939</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29017-2024</t>
        </is>
      </c>
      <c r="B833" s="1" t="n">
        <v>45481.56722222222</v>
      </c>
      <c r="C833" s="1" t="n">
        <v>45939</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58046-2022</t>
        </is>
      </c>
      <c r="B834" s="1" t="n">
        <v>44900.57393518519</v>
      </c>
      <c r="C834" s="1" t="n">
        <v>45939</v>
      </c>
      <c r="D834" t="inlineStr">
        <is>
          <t>KALMAR LÄN</t>
        </is>
      </c>
      <c r="E834" t="inlineStr">
        <is>
          <t>VIMMERBY</t>
        </is>
      </c>
      <c r="G834" t="n">
        <v>2.5</v>
      </c>
      <c r="H834" t="n">
        <v>0</v>
      </c>
      <c r="I834" t="n">
        <v>0</v>
      </c>
      <c r="J834" t="n">
        <v>0</v>
      </c>
      <c r="K834" t="n">
        <v>0</v>
      </c>
      <c r="L834" t="n">
        <v>0</v>
      </c>
      <c r="M834" t="n">
        <v>0</v>
      </c>
      <c r="N834" t="n">
        <v>0</v>
      </c>
      <c r="O834" t="n">
        <v>0</v>
      </c>
      <c r="P834" t="n">
        <v>0</v>
      </c>
      <c r="Q834" t="n">
        <v>0</v>
      </c>
      <c r="R834" s="2" t="inlineStr"/>
    </row>
    <row r="835" ht="15" customHeight="1">
      <c r="A835" t="inlineStr">
        <is>
          <t>A 14548-2024</t>
        </is>
      </c>
      <c r="B835" s="1" t="n">
        <v>45394.66887731481</v>
      </c>
      <c r="C835" s="1" t="n">
        <v>45939</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42828-2025</t>
        </is>
      </c>
      <c r="B836" s="1" t="n">
        <v>45908.57716435185</v>
      </c>
      <c r="C836" s="1" t="n">
        <v>45939</v>
      </c>
      <c r="D836" t="inlineStr">
        <is>
          <t>KALMAR LÄN</t>
        </is>
      </c>
      <c r="E836" t="inlineStr">
        <is>
          <t>VIMMERBY</t>
        </is>
      </c>
      <c r="G836" t="n">
        <v>5.2</v>
      </c>
      <c r="H836" t="n">
        <v>0</v>
      </c>
      <c r="I836" t="n">
        <v>0</v>
      </c>
      <c r="J836" t="n">
        <v>0</v>
      </c>
      <c r="K836" t="n">
        <v>0</v>
      </c>
      <c r="L836" t="n">
        <v>0</v>
      </c>
      <c r="M836" t="n">
        <v>0</v>
      </c>
      <c r="N836" t="n">
        <v>0</v>
      </c>
      <c r="O836" t="n">
        <v>0</v>
      </c>
      <c r="P836" t="n">
        <v>0</v>
      </c>
      <c r="Q836" t="n">
        <v>0</v>
      </c>
      <c r="R836" s="2" t="inlineStr"/>
    </row>
    <row r="837" ht="15" customHeight="1">
      <c r="A837" t="inlineStr">
        <is>
          <t>A 19502-2025</t>
        </is>
      </c>
      <c r="B837" s="1" t="n">
        <v>45769</v>
      </c>
      <c r="C837" s="1" t="n">
        <v>45939</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48120-2022</t>
        </is>
      </c>
      <c r="B838" s="1" t="n">
        <v>44857.65989583333</v>
      </c>
      <c r="C838" s="1" t="n">
        <v>45939</v>
      </c>
      <c r="D838" t="inlineStr">
        <is>
          <t>KALMAR LÄN</t>
        </is>
      </c>
      <c r="E838" t="inlineStr">
        <is>
          <t>VIMMERBY</t>
        </is>
      </c>
      <c r="G838" t="n">
        <v>1.7</v>
      </c>
      <c r="H838" t="n">
        <v>0</v>
      </c>
      <c r="I838" t="n">
        <v>0</v>
      </c>
      <c r="J838" t="n">
        <v>0</v>
      </c>
      <c r="K838" t="n">
        <v>0</v>
      </c>
      <c r="L838" t="n">
        <v>0</v>
      </c>
      <c r="M838" t="n">
        <v>0</v>
      </c>
      <c r="N838" t="n">
        <v>0</v>
      </c>
      <c r="O838" t="n">
        <v>0</v>
      </c>
      <c r="P838" t="n">
        <v>0</v>
      </c>
      <c r="Q838" t="n">
        <v>0</v>
      </c>
      <c r="R838" s="2" t="inlineStr"/>
    </row>
    <row r="839" ht="15" customHeight="1">
      <c r="A839" t="inlineStr">
        <is>
          <t>A 3423-2022</t>
        </is>
      </c>
      <c r="B839" s="1" t="n">
        <v>44585.50431712963</v>
      </c>
      <c r="C839" s="1" t="n">
        <v>45939</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36273-2025</t>
        </is>
      </c>
      <c r="B840" s="1" t="n">
        <v>45867.63094907408</v>
      </c>
      <c r="C840" s="1" t="n">
        <v>45939</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11074-2023</t>
        </is>
      </c>
      <c r="B841" s="1" t="n">
        <v>44992.34151620371</v>
      </c>
      <c r="C841" s="1" t="n">
        <v>45939</v>
      </c>
      <c r="D841" t="inlineStr">
        <is>
          <t>KALMAR LÄN</t>
        </is>
      </c>
      <c r="E841" t="inlineStr">
        <is>
          <t>VIMMERBY</t>
        </is>
      </c>
      <c r="F841" t="inlineStr">
        <is>
          <t>Sveaskog</t>
        </is>
      </c>
      <c r="G841" t="n">
        <v>3.1</v>
      </c>
      <c r="H841" t="n">
        <v>0</v>
      </c>
      <c r="I841" t="n">
        <v>0</v>
      </c>
      <c r="J841" t="n">
        <v>0</v>
      </c>
      <c r="K841" t="n">
        <v>0</v>
      </c>
      <c r="L841" t="n">
        <v>0</v>
      </c>
      <c r="M841" t="n">
        <v>0</v>
      </c>
      <c r="N841" t="n">
        <v>0</v>
      </c>
      <c r="O841" t="n">
        <v>0</v>
      </c>
      <c r="P841" t="n">
        <v>0</v>
      </c>
      <c r="Q841" t="n">
        <v>0</v>
      </c>
      <c r="R841" s="2" t="inlineStr"/>
    </row>
    <row r="842" ht="15" customHeight="1">
      <c r="A842" t="inlineStr">
        <is>
          <t>A 71631-2021</t>
        </is>
      </c>
      <c r="B842" s="1" t="n">
        <v>44542.90072916666</v>
      </c>
      <c r="C842" s="1" t="n">
        <v>45939</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36299-2025</t>
        </is>
      </c>
      <c r="B843" s="1" t="n">
        <v>45867.69346064814</v>
      </c>
      <c r="C843" s="1" t="n">
        <v>45939</v>
      </c>
      <c r="D843" t="inlineStr">
        <is>
          <t>KALMAR LÄN</t>
        </is>
      </c>
      <c r="E843" t="inlineStr">
        <is>
          <t>VIMMERBY</t>
        </is>
      </c>
      <c r="G843" t="n">
        <v>7.6</v>
      </c>
      <c r="H843" t="n">
        <v>0</v>
      </c>
      <c r="I843" t="n">
        <v>0</v>
      </c>
      <c r="J843" t="n">
        <v>0</v>
      </c>
      <c r="K843" t="n">
        <v>0</v>
      </c>
      <c r="L843" t="n">
        <v>0</v>
      </c>
      <c r="M843" t="n">
        <v>0</v>
      </c>
      <c r="N843" t="n">
        <v>0</v>
      </c>
      <c r="O843" t="n">
        <v>0</v>
      </c>
      <c r="P843" t="n">
        <v>0</v>
      </c>
      <c r="Q843" t="n">
        <v>0</v>
      </c>
      <c r="R843" s="2" t="inlineStr"/>
    </row>
    <row r="844" ht="15" customHeight="1">
      <c r="A844" t="inlineStr">
        <is>
          <t>A 36221-2025</t>
        </is>
      </c>
      <c r="B844" s="1" t="n">
        <v>45867.50792824074</v>
      </c>
      <c r="C844" s="1" t="n">
        <v>45939</v>
      </c>
      <c r="D844" t="inlineStr">
        <is>
          <t>KALMAR LÄN</t>
        </is>
      </c>
      <c r="E844" t="inlineStr">
        <is>
          <t>VIMMERBY</t>
        </is>
      </c>
      <c r="G844" t="n">
        <v>2.5</v>
      </c>
      <c r="H844" t="n">
        <v>0</v>
      </c>
      <c r="I844" t="n">
        <v>0</v>
      </c>
      <c r="J844" t="n">
        <v>0</v>
      </c>
      <c r="K844" t="n">
        <v>0</v>
      </c>
      <c r="L844" t="n">
        <v>0</v>
      </c>
      <c r="M844" t="n">
        <v>0</v>
      </c>
      <c r="N844" t="n">
        <v>0</v>
      </c>
      <c r="O844" t="n">
        <v>0</v>
      </c>
      <c r="P844" t="n">
        <v>0</v>
      </c>
      <c r="Q844" t="n">
        <v>0</v>
      </c>
      <c r="R844" s="2" t="inlineStr"/>
    </row>
    <row r="845" ht="15" customHeight="1">
      <c r="A845" t="inlineStr">
        <is>
          <t>A 36226-2025</t>
        </is>
      </c>
      <c r="B845" s="1" t="n">
        <v>45867.51630787037</v>
      </c>
      <c r="C845" s="1" t="n">
        <v>45939</v>
      </c>
      <c r="D845" t="inlineStr">
        <is>
          <t>KALMAR LÄN</t>
        </is>
      </c>
      <c r="E845" t="inlineStr">
        <is>
          <t>VIMMERBY</t>
        </is>
      </c>
      <c r="G845" t="n">
        <v>3.1</v>
      </c>
      <c r="H845" t="n">
        <v>0</v>
      </c>
      <c r="I845" t="n">
        <v>0</v>
      </c>
      <c r="J845" t="n">
        <v>0</v>
      </c>
      <c r="K845" t="n">
        <v>0</v>
      </c>
      <c r="L845" t="n">
        <v>0</v>
      </c>
      <c r="M845" t="n">
        <v>0</v>
      </c>
      <c r="N845" t="n">
        <v>0</v>
      </c>
      <c r="O845" t="n">
        <v>0</v>
      </c>
      <c r="P845" t="n">
        <v>0</v>
      </c>
      <c r="Q845" t="n">
        <v>0</v>
      </c>
      <c r="R845" s="2" t="inlineStr"/>
    </row>
    <row r="846" ht="15" customHeight="1">
      <c r="A846" t="inlineStr">
        <is>
          <t>A 36297-2025</t>
        </is>
      </c>
      <c r="B846" s="1" t="n">
        <v>45867.68625</v>
      </c>
      <c r="C846" s="1" t="n">
        <v>45939</v>
      </c>
      <c r="D846" t="inlineStr">
        <is>
          <t>KALMAR LÄN</t>
        </is>
      </c>
      <c r="E846" t="inlineStr">
        <is>
          <t>VIMMERBY</t>
        </is>
      </c>
      <c r="G846" t="n">
        <v>4.9</v>
      </c>
      <c r="H846" t="n">
        <v>0</v>
      </c>
      <c r="I846" t="n">
        <v>0</v>
      </c>
      <c r="J846" t="n">
        <v>0</v>
      </c>
      <c r="K846" t="n">
        <v>0</v>
      </c>
      <c r="L846" t="n">
        <v>0</v>
      </c>
      <c r="M846" t="n">
        <v>0</v>
      </c>
      <c r="N846" t="n">
        <v>0</v>
      </c>
      <c r="O846" t="n">
        <v>0</v>
      </c>
      <c r="P846" t="n">
        <v>0</v>
      </c>
      <c r="Q846" t="n">
        <v>0</v>
      </c>
      <c r="R846" s="2" t="inlineStr"/>
    </row>
    <row r="847" ht="15" customHeight="1">
      <c r="A847" t="inlineStr">
        <is>
          <t>A 36246-2025</t>
        </is>
      </c>
      <c r="B847" s="1" t="n">
        <v>45867.56320601852</v>
      </c>
      <c r="C847" s="1" t="n">
        <v>45939</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36282-2025</t>
        </is>
      </c>
      <c r="B848" s="1" t="n">
        <v>45867.64663194444</v>
      </c>
      <c r="C848" s="1" t="n">
        <v>45939</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42794-2025</t>
        </is>
      </c>
      <c r="B849" s="1" t="n">
        <v>45908</v>
      </c>
      <c r="C849" s="1" t="n">
        <v>45939</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36538-2025</t>
        </is>
      </c>
      <c r="B850" s="1" t="n">
        <v>45869.62276620371</v>
      </c>
      <c r="C850" s="1" t="n">
        <v>45939</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43465-2025</t>
        </is>
      </c>
      <c r="B851" s="1" t="n">
        <v>45911.47138888889</v>
      </c>
      <c r="C851" s="1" t="n">
        <v>45939</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36598-2025</t>
        </is>
      </c>
      <c r="B852" s="1" t="n">
        <v>45870.51708333333</v>
      </c>
      <c r="C852" s="1" t="n">
        <v>45939</v>
      </c>
      <c r="D852" t="inlineStr">
        <is>
          <t>KALMAR LÄN</t>
        </is>
      </c>
      <c r="E852" t="inlineStr">
        <is>
          <t>VIMMERBY</t>
        </is>
      </c>
      <c r="G852" t="n">
        <v>3.7</v>
      </c>
      <c r="H852" t="n">
        <v>0</v>
      </c>
      <c r="I852" t="n">
        <v>0</v>
      </c>
      <c r="J852" t="n">
        <v>0</v>
      </c>
      <c r="K852" t="n">
        <v>0</v>
      </c>
      <c r="L852" t="n">
        <v>0</v>
      </c>
      <c r="M852" t="n">
        <v>0</v>
      </c>
      <c r="N852" t="n">
        <v>0</v>
      </c>
      <c r="O852" t="n">
        <v>0</v>
      </c>
      <c r="P852" t="n">
        <v>0</v>
      </c>
      <c r="Q852" t="n">
        <v>0</v>
      </c>
      <c r="R852" s="2" t="inlineStr"/>
    </row>
    <row r="853" ht="15" customHeight="1">
      <c r="A853" t="inlineStr">
        <is>
          <t>A 36602-2025</t>
        </is>
      </c>
      <c r="B853" s="1" t="n">
        <v>45870.52111111111</v>
      </c>
      <c r="C853" s="1" t="n">
        <v>45939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43617-2025</t>
        </is>
      </c>
      <c r="B854" s="1" t="n">
        <v>45911.67798611111</v>
      </c>
      <c r="C854" s="1" t="n">
        <v>45939</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34090-2025</t>
        </is>
      </c>
      <c r="B855" s="1" t="n">
        <v>45845</v>
      </c>
      <c r="C855" s="1" t="n">
        <v>45939</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36600-2025</t>
        </is>
      </c>
      <c r="B856" s="1" t="n">
        <v>45870.51958333333</v>
      </c>
      <c r="C856" s="1" t="n">
        <v>45939</v>
      </c>
      <c r="D856" t="inlineStr">
        <is>
          <t>KALMAR LÄN</t>
        </is>
      </c>
      <c r="E856" t="inlineStr">
        <is>
          <t>VIMMERBY</t>
        </is>
      </c>
      <c r="G856" t="n">
        <v>2</v>
      </c>
      <c r="H856" t="n">
        <v>0</v>
      </c>
      <c r="I856" t="n">
        <v>0</v>
      </c>
      <c r="J856" t="n">
        <v>0</v>
      </c>
      <c r="K856" t="n">
        <v>0</v>
      </c>
      <c r="L856" t="n">
        <v>0</v>
      </c>
      <c r="M856" t="n">
        <v>0</v>
      </c>
      <c r="N856" t="n">
        <v>0</v>
      </c>
      <c r="O856" t="n">
        <v>0</v>
      </c>
      <c r="P856" t="n">
        <v>0</v>
      </c>
      <c r="Q856" t="n">
        <v>0</v>
      </c>
      <c r="R856" s="2" t="inlineStr"/>
    </row>
    <row r="857" ht="15" customHeight="1">
      <c r="A857" t="inlineStr">
        <is>
          <t>A 36601-2025</t>
        </is>
      </c>
      <c r="B857" s="1" t="n">
        <v>45870.52005787037</v>
      </c>
      <c r="C857" s="1" t="n">
        <v>45939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c r="A858" t="inlineStr">
        <is>
          <t>A 36603-2025</t>
        </is>
      </c>
      <c r="B858" s="1" t="n">
        <v>45870.52142361111</v>
      </c>
      <c r="C858" s="1" t="n">
        <v>45939</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2025-10-09T12:35:24Z</dcterms:created>
  <dcterms:modified xmlns:dcterms="http://purl.org/dc/terms/" xmlns:xsi="http://www.w3.org/2001/XMLSchema-instance" xsi:type="dcterms:W3CDTF">2025-10-09T12:35:25Z</dcterms:modified>
</cp:coreProperties>
</file>