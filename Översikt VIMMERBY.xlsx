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45364</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45364</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45364</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45364</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45364</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45364</v>
      </c>
      <c r="D9" t="inlineStr">
        <is>
          <t>KALMAR LÄN</t>
        </is>
      </c>
      <c r="E9" t="inlineStr">
        <is>
          <t>VIMMERBY</t>
        </is>
      </c>
      <c r="G9" t="n">
        <v>14.6</v>
      </c>
      <c r="H9" t="n">
        <v>5</v>
      </c>
      <c r="I9" t="n">
        <v>3</v>
      </c>
      <c r="J9" t="n">
        <v>3</v>
      </c>
      <c r="K9" t="n">
        <v>1</v>
      </c>
      <c r="L9" t="n">
        <v>0</v>
      </c>
      <c r="M9" t="n">
        <v>0</v>
      </c>
      <c r="N9" t="n">
        <v>0</v>
      </c>
      <c r="O9" t="n">
        <v>4</v>
      </c>
      <c r="P9" t="n">
        <v>1</v>
      </c>
      <c r="Q9" t="n">
        <v>9</v>
      </c>
      <c r="R9" s="2" t="inlineStr">
        <is>
          <t>Knärot
Spillkråka
Tallticka
Talltita
Blåmossa
Dropptaggsvamp
Grovticka
Kungsfågel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45364</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45364</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45364</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45364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45364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45364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45364</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45364</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45364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45364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45364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45364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45364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45364</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45364</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45364</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45364</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45364</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45364</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45364</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45364</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45364</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45364</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45364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45364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45364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45364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45364</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45364</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45364</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45364</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45364</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45364</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45364</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45364</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45364</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45364</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45364</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45364</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45364</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45364</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45364</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45364</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45364</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45364</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45364</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45364</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45364</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45364</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45364</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45364</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45364</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45364</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45364</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45364</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45364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45364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45364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10016-2024</t>
        </is>
      </c>
      <c r="B68" s="1" t="n">
        <v>45363</v>
      </c>
      <c r="C68" s="1" t="n">
        <v>45364</v>
      </c>
      <c r="D68" t="inlineStr">
        <is>
          <t>KALMAR LÄN</t>
        </is>
      </c>
      <c r="E68" t="inlineStr">
        <is>
          <t>VIMMERBY</t>
        </is>
      </c>
      <c r="G68" t="n">
        <v>1.5</v>
      </c>
      <c r="H68" t="n">
        <v>1</v>
      </c>
      <c r="I68" t="n">
        <v>0</v>
      </c>
      <c r="J68" t="n">
        <v>1</v>
      </c>
      <c r="K68" t="n">
        <v>0</v>
      </c>
      <c r="L68" t="n">
        <v>0</v>
      </c>
      <c r="M68" t="n">
        <v>0</v>
      </c>
      <c r="N68" t="n">
        <v>0</v>
      </c>
      <c r="O68" t="n">
        <v>1</v>
      </c>
      <c r="P68" t="n">
        <v>0</v>
      </c>
      <c r="Q68" t="n">
        <v>1</v>
      </c>
      <c r="R68" s="2" t="inlineStr">
        <is>
          <t>Röd skogslilja</t>
        </is>
      </c>
      <c r="S68">
        <f>HYPERLINK("https://klasma.github.io/Logging_0884/artfynd/A 10016-2024 artfynd.xlsx", "A 10016-2024")</f>
        <v/>
      </c>
      <c r="T68">
        <f>HYPERLINK("https://klasma.github.io/Logging_0884/kartor/A 10016-2024 karta.png", "A 10016-2024")</f>
        <v/>
      </c>
      <c r="V68">
        <f>HYPERLINK("https://klasma.github.io/Logging_0884/klagomål/A 10016-2024 FSC-klagomål.docx", "A 10016-2024")</f>
        <v/>
      </c>
      <c r="W68">
        <f>HYPERLINK("https://klasma.github.io/Logging_0884/klagomålsmail/A 10016-2024 FSC-klagomål mail.docx", "A 10016-2024")</f>
        <v/>
      </c>
      <c r="X68">
        <f>HYPERLINK("https://klasma.github.io/Logging_0884/tillsyn/A 10016-2024 tillsynsbegäran.docx", "A 10016-2024")</f>
        <v/>
      </c>
      <c r="Y68">
        <f>HYPERLINK("https://klasma.github.io/Logging_0884/tillsynsmail/A 10016-2024 tillsynsbegäran mail.docx", "A 10016-2024")</f>
        <v/>
      </c>
    </row>
    <row r="69" ht="15" customHeight="1">
      <c r="A69" t="inlineStr">
        <is>
          <t>A 36040-2018</t>
        </is>
      </c>
      <c r="B69" s="1" t="n">
        <v>43327</v>
      </c>
      <c r="C69" s="1" t="n">
        <v>45364</v>
      </c>
      <c r="D69" t="inlineStr">
        <is>
          <t>KALMAR LÄN</t>
        </is>
      </c>
      <c r="E69" t="inlineStr">
        <is>
          <t>VIMMERBY</t>
        </is>
      </c>
      <c r="F69" t="inlineStr">
        <is>
          <t>Kyrkan</t>
        </is>
      </c>
      <c r="G69" t="n">
        <v>2.1</v>
      </c>
      <c r="H69" t="n">
        <v>0</v>
      </c>
      <c r="I69" t="n">
        <v>0</v>
      </c>
      <c r="J69" t="n">
        <v>0</v>
      </c>
      <c r="K69" t="n">
        <v>0</v>
      </c>
      <c r="L69" t="n">
        <v>0</v>
      </c>
      <c r="M69" t="n">
        <v>0</v>
      </c>
      <c r="N69" t="n">
        <v>0</v>
      </c>
      <c r="O69" t="n">
        <v>0</v>
      </c>
      <c r="P69" t="n">
        <v>0</v>
      </c>
      <c r="Q69" t="n">
        <v>0</v>
      </c>
      <c r="R69" s="2" t="inlineStr"/>
    </row>
    <row r="70" ht="15" customHeight="1">
      <c r="A70" t="inlineStr">
        <is>
          <t>A 36047-2018</t>
        </is>
      </c>
      <c r="B70" s="1" t="n">
        <v>43327</v>
      </c>
      <c r="C70" s="1" t="n">
        <v>45364</v>
      </c>
      <c r="D70" t="inlineStr">
        <is>
          <t>KALMAR LÄN</t>
        </is>
      </c>
      <c r="E70" t="inlineStr">
        <is>
          <t>VIMMERBY</t>
        </is>
      </c>
      <c r="F70" t="inlineStr">
        <is>
          <t>Kyrkan</t>
        </is>
      </c>
      <c r="G70" t="n">
        <v>1.3</v>
      </c>
      <c r="H70" t="n">
        <v>0</v>
      </c>
      <c r="I70" t="n">
        <v>0</v>
      </c>
      <c r="J70" t="n">
        <v>0</v>
      </c>
      <c r="K70" t="n">
        <v>0</v>
      </c>
      <c r="L70" t="n">
        <v>0</v>
      </c>
      <c r="M70" t="n">
        <v>0</v>
      </c>
      <c r="N70" t="n">
        <v>0</v>
      </c>
      <c r="O70" t="n">
        <v>0</v>
      </c>
      <c r="P70" t="n">
        <v>0</v>
      </c>
      <c r="Q70" t="n">
        <v>0</v>
      </c>
      <c r="R70" s="2" t="inlineStr"/>
    </row>
    <row r="71" ht="15" customHeight="1">
      <c r="A71" t="inlineStr">
        <is>
          <t>A 36058-2018</t>
        </is>
      </c>
      <c r="B71" s="1" t="n">
        <v>43327</v>
      </c>
      <c r="C71" s="1" t="n">
        <v>45364</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36030-2018</t>
        </is>
      </c>
      <c r="B72" s="1" t="n">
        <v>43327</v>
      </c>
      <c r="C72" s="1" t="n">
        <v>45364</v>
      </c>
      <c r="D72" t="inlineStr">
        <is>
          <t>KALMAR LÄN</t>
        </is>
      </c>
      <c r="E72" t="inlineStr">
        <is>
          <t>VIMMERBY</t>
        </is>
      </c>
      <c r="F72" t="inlineStr">
        <is>
          <t>Kyrkan</t>
        </is>
      </c>
      <c r="G72" t="n">
        <v>0.7</v>
      </c>
      <c r="H72" t="n">
        <v>0</v>
      </c>
      <c r="I72" t="n">
        <v>0</v>
      </c>
      <c r="J72" t="n">
        <v>0</v>
      </c>
      <c r="K72" t="n">
        <v>0</v>
      </c>
      <c r="L72" t="n">
        <v>0</v>
      </c>
      <c r="M72" t="n">
        <v>0</v>
      </c>
      <c r="N72" t="n">
        <v>0</v>
      </c>
      <c r="O72" t="n">
        <v>0</v>
      </c>
      <c r="P72" t="n">
        <v>0</v>
      </c>
      <c r="Q72" t="n">
        <v>0</v>
      </c>
      <c r="R72" s="2" t="inlineStr"/>
    </row>
    <row r="73" ht="15" customHeight="1">
      <c r="A73" t="inlineStr">
        <is>
          <t>A 36060-2018</t>
        </is>
      </c>
      <c r="B73" s="1" t="n">
        <v>43327</v>
      </c>
      <c r="C73" s="1" t="n">
        <v>45364</v>
      </c>
      <c r="D73" t="inlineStr">
        <is>
          <t>KALMAR LÄN</t>
        </is>
      </c>
      <c r="E73" t="inlineStr">
        <is>
          <t>VIMMERBY</t>
        </is>
      </c>
      <c r="G73" t="n">
        <v>2.1</v>
      </c>
      <c r="H73" t="n">
        <v>0</v>
      </c>
      <c r="I73" t="n">
        <v>0</v>
      </c>
      <c r="J73" t="n">
        <v>0</v>
      </c>
      <c r="K73" t="n">
        <v>0</v>
      </c>
      <c r="L73" t="n">
        <v>0</v>
      </c>
      <c r="M73" t="n">
        <v>0</v>
      </c>
      <c r="N73" t="n">
        <v>0</v>
      </c>
      <c r="O73" t="n">
        <v>0</v>
      </c>
      <c r="P73" t="n">
        <v>0</v>
      </c>
      <c r="Q73" t="n">
        <v>0</v>
      </c>
      <c r="R73" s="2" t="inlineStr"/>
    </row>
    <row r="74" ht="15" customHeight="1">
      <c r="A74" t="inlineStr">
        <is>
          <t>A 36933-2018</t>
        </is>
      </c>
      <c r="B74" s="1" t="n">
        <v>43332</v>
      </c>
      <c r="C74" s="1" t="n">
        <v>45364</v>
      </c>
      <c r="D74" t="inlineStr">
        <is>
          <t>KALMAR LÄN</t>
        </is>
      </c>
      <c r="E74" t="inlineStr">
        <is>
          <t>VIMMERBY</t>
        </is>
      </c>
      <c r="G74" t="n">
        <v>0.9</v>
      </c>
      <c r="H74" t="n">
        <v>0</v>
      </c>
      <c r="I74" t="n">
        <v>0</v>
      </c>
      <c r="J74" t="n">
        <v>0</v>
      </c>
      <c r="K74" t="n">
        <v>0</v>
      </c>
      <c r="L74" t="n">
        <v>0</v>
      </c>
      <c r="M74" t="n">
        <v>0</v>
      </c>
      <c r="N74" t="n">
        <v>0</v>
      </c>
      <c r="O74" t="n">
        <v>0</v>
      </c>
      <c r="P74" t="n">
        <v>0</v>
      </c>
      <c r="Q74" t="n">
        <v>0</v>
      </c>
      <c r="R74" s="2" t="inlineStr"/>
    </row>
    <row r="75" ht="15" customHeight="1">
      <c r="A75" t="inlineStr">
        <is>
          <t>A 44825-2018</t>
        </is>
      </c>
      <c r="B75" s="1" t="n">
        <v>43357</v>
      </c>
      <c r="C75" s="1" t="n">
        <v>45364</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46830-2018</t>
        </is>
      </c>
      <c r="B76" s="1" t="n">
        <v>43367</v>
      </c>
      <c r="C76" s="1" t="n">
        <v>45364</v>
      </c>
      <c r="D76" t="inlineStr">
        <is>
          <t>KALMAR LÄN</t>
        </is>
      </c>
      <c r="E76" t="inlineStr">
        <is>
          <t>VIMMERBY</t>
        </is>
      </c>
      <c r="G76" t="n">
        <v>1.2</v>
      </c>
      <c r="H76" t="n">
        <v>0</v>
      </c>
      <c r="I76" t="n">
        <v>0</v>
      </c>
      <c r="J76" t="n">
        <v>0</v>
      </c>
      <c r="K76" t="n">
        <v>0</v>
      </c>
      <c r="L76" t="n">
        <v>0</v>
      </c>
      <c r="M76" t="n">
        <v>0</v>
      </c>
      <c r="N76" t="n">
        <v>0</v>
      </c>
      <c r="O76" t="n">
        <v>0</v>
      </c>
      <c r="P76" t="n">
        <v>0</v>
      </c>
      <c r="Q76" t="n">
        <v>0</v>
      </c>
      <c r="R76" s="2" t="inlineStr"/>
    </row>
    <row r="77" ht="15" customHeight="1">
      <c r="A77" t="inlineStr">
        <is>
          <t>A 46665-2018</t>
        </is>
      </c>
      <c r="B77" s="1" t="n">
        <v>43368</v>
      </c>
      <c r="C77" s="1" t="n">
        <v>45364</v>
      </c>
      <c r="D77" t="inlineStr">
        <is>
          <t>KALMAR LÄN</t>
        </is>
      </c>
      <c r="E77" t="inlineStr">
        <is>
          <t>VIMMERBY</t>
        </is>
      </c>
      <c r="G77" t="n">
        <v>0.7</v>
      </c>
      <c r="H77" t="n">
        <v>0</v>
      </c>
      <c r="I77" t="n">
        <v>0</v>
      </c>
      <c r="J77" t="n">
        <v>0</v>
      </c>
      <c r="K77" t="n">
        <v>0</v>
      </c>
      <c r="L77" t="n">
        <v>0</v>
      </c>
      <c r="M77" t="n">
        <v>0</v>
      </c>
      <c r="N77" t="n">
        <v>0</v>
      </c>
      <c r="O77" t="n">
        <v>0</v>
      </c>
      <c r="P77" t="n">
        <v>0</v>
      </c>
      <c r="Q77" t="n">
        <v>0</v>
      </c>
      <c r="R77" s="2" t="inlineStr"/>
    </row>
    <row r="78" ht="15" customHeight="1">
      <c r="A78" t="inlineStr">
        <is>
          <t>A 46663-2018</t>
        </is>
      </c>
      <c r="B78" s="1" t="n">
        <v>43368</v>
      </c>
      <c r="C78" s="1" t="n">
        <v>45364</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50198-2018</t>
        </is>
      </c>
      <c r="B79" s="1" t="n">
        <v>43377</v>
      </c>
      <c r="C79" s="1" t="n">
        <v>45364</v>
      </c>
      <c r="D79" t="inlineStr">
        <is>
          <t>KALMAR LÄN</t>
        </is>
      </c>
      <c r="E79" t="inlineStr">
        <is>
          <t>VIMMERBY</t>
        </is>
      </c>
      <c r="F79" t="inlineStr">
        <is>
          <t>Övriga statliga verk och myndigheter</t>
        </is>
      </c>
      <c r="G79" t="n">
        <v>2.2</v>
      </c>
      <c r="H79" t="n">
        <v>0</v>
      </c>
      <c r="I79" t="n">
        <v>0</v>
      </c>
      <c r="J79" t="n">
        <v>0</v>
      </c>
      <c r="K79" t="n">
        <v>0</v>
      </c>
      <c r="L79" t="n">
        <v>0</v>
      </c>
      <c r="M79" t="n">
        <v>0</v>
      </c>
      <c r="N79" t="n">
        <v>0</v>
      </c>
      <c r="O79" t="n">
        <v>0</v>
      </c>
      <c r="P79" t="n">
        <v>0</v>
      </c>
      <c r="Q79" t="n">
        <v>0</v>
      </c>
      <c r="R79" s="2" t="inlineStr"/>
    </row>
    <row r="80" ht="15" customHeight="1">
      <c r="A80" t="inlineStr">
        <is>
          <t>A 51149-2018</t>
        </is>
      </c>
      <c r="B80" s="1" t="n">
        <v>43377</v>
      </c>
      <c r="C80" s="1" t="n">
        <v>45364</v>
      </c>
      <c r="D80" t="inlineStr">
        <is>
          <t>KALMAR LÄN</t>
        </is>
      </c>
      <c r="E80" t="inlineStr">
        <is>
          <t>VIMMERBY</t>
        </is>
      </c>
      <c r="G80" t="n">
        <v>2.4</v>
      </c>
      <c r="H80" t="n">
        <v>0</v>
      </c>
      <c r="I80" t="n">
        <v>0</v>
      </c>
      <c r="J80" t="n">
        <v>0</v>
      </c>
      <c r="K80" t="n">
        <v>0</v>
      </c>
      <c r="L80" t="n">
        <v>0</v>
      </c>
      <c r="M80" t="n">
        <v>0</v>
      </c>
      <c r="N80" t="n">
        <v>0</v>
      </c>
      <c r="O80" t="n">
        <v>0</v>
      </c>
      <c r="P80" t="n">
        <v>0</v>
      </c>
      <c r="Q80" t="n">
        <v>0</v>
      </c>
      <c r="R80" s="2" t="inlineStr"/>
    </row>
    <row r="81" ht="15" customHeight="1">
      <c r="A81" t="inlineStr">
        <is>
          <t>A 51093-2018</t>
        </is>
      </c>
      <c r="B81" s="1" t="n">
        <v>43377</v>
      </c>
      <c r="C81" s="1" t="n">
        <v>45364</v>
      </c>
      <c r="D81" t="inlineStr">
        <is>
          <t>KALMAR LÄN</t>
        </is>
      </c>
      <c r="E81" t="inlineStr">
        <is>
          <t>VIMMERBY</t>
        </is>
      </c>
      <c r="G81" t="n">
        <v>0.6</v>
      </c>
      <c r="H81" t="n">
        <v>0</v>
      </c>
      <c r="I81" t="n">
        <v>0</v>
      </c>
      <c r="J81" t="n">
        <v>0</v>
      </c>
      <c r="K81" t="n">
        <v>0</v>
      </c>
      <c r="L81" t="n">
        <v>0</v>
      </c>
      <c r="M81" t="n">
        <v>0</v>
      </c>
      <c r="N81" t="n">
        <v>0</v>
      </c>
      <c r="O81" t="n">
        <v>0</v>
      </c>
      <c r="P81" t="n">
        <v>0</v>
      </c>
      <c r="Q81" t="n">
        <v>0</v>
      </c>
      <c r="R81" s="2" t="inlineStr"/>
    </row>
    <row r="82" ht="15" customHeight="1">
      <c r="A82" t="inlineStr">
        <is>
          <t>A 51172-2018</t>
        </is>
      </c>
      <c r="B82" s="1" t="n">
        <v>43382</v>
      </c>
      <c r="C82" s="1" t="n">
        <v>45364</v>
      </c>
      <c r="D82" t="inlineStr">
        <is>
          <t>KALMAR LÄN</t>
        </is>
      </c>
      <c r="E82" t="inlineStr">
        <is>
          <t>VIMMERBY</t>
        </is>
      </c>
      <c r="G82" t="n">
        <v>1.2</v>
      </c>
      <c r="H82" t="n">
        <v>0</v>
      </c>
      <c r="I82" t="n">
        <v>0</v>
      </c>
      <c r="J82" t="n">
        <v>0</v>
      </c>
      <c r="K82" t="n">
        <v>0</v>
      </c>
      <c r="L82" t="n">
        <v>0</v>
      </c>
      <c r="M82" t="n">
        <v>0</v>
      </c>
      <c r="N82" t="n">
        <v>0</v>
      </c>
      <c r="O82" t="n">
        <v>0</v>
      </c>
      <c r="P82" t="n">
        <v>0</v>
      </c>
      <c r="Q82" t="n">
        <v>0</v>
      </c>
      <c r="R82" s="2" t="inlineStr"/>
    </row>
    <row r="83" ht="15" customHeight="1">
      <c r="A83" t="inlineStr">
        <is>
          <t>A 51791-2018</t>
        </is>
      </c>
      <c r="B83" s="1" t="n">
        <v>43384</v>
      </c>
      <c r="C83" s="1" t="n">
        <v>45364</v>
      </c>
      <c r="D83" t="inlineStr">
        <is>
          <t>KALMAR LÄN</t>
        </is>
      </c>
      <c r="E83" t="inlineStr">
        <is>
          <t>VIMMERBY</t>
        </is>
      </c>
      <c r="G83" t="n">
        <v>35.5</v>
      </c>
      <c r="H83" t="n">
        <v>0</v>
      </c>
      <c r="I83" t="n">
        <v>0</v>
      </c>
      <c r="J83" t="n">
        <v>0</v>
      </c>
      <c r="K83" t="n">
        <v>0</v>
      </c>
      <c r="L83" t="n">
        <v>0</v>
      </c>
      <c r="M83" t="n">
        <v>0</v>
      </c>
      <c r="N83" t="n">
        <v>0</v>
      </c>
      <c r="O83" t="n">
        <v>0</v>
      </c>
      <c r="P83" t="n">
        <v>0</v>
      </c>
      <c r="Q83" t="n">
        <v>0</v>
      </c>
      <c r="R83" s="2" t="inlineStr"/>
    </row>
    <row r="84" ht="15" customHeight="1">
      <c r="A84" t="inlineStr">
        <is>
          <t>A 52087-2018</t>
        </is>
      </c>
      <c r="B84" s="1" t="n">
        <v>43385</v>
      </c>
      <c r="C84" s="1" t="n">
        <v>45364</v>
      </c>
      <c r="D84" t="inlineStr">
        <is>
          <t>KALMAR LÄN</t>
        </is>
      </c>
      <c r="E84" t="inlineStr">
        <is>
          <t>VIMMERBY</t>
        </is>
      </c>
      <c r="G84" t="n">
        <v>0.7</v>
      </c>
      <c r="H84" t="n">
        <v>0</v>
      </c>
      <c r="I84" t="n">
        <v>0</v>
      </c>
      <c r="J84" t="n">
        <v>0</v>
      </c>
      <c r="K84" t="n">
        <v>0</v>
      </c>
      <c r="L84" t="n">
        <v>0</v>
      </c>
      <c r="M84" t="n">
        <v>0</v>
      </c>
      <c r="N84" t="n">
        <v>0</v>
      </c>
      <c r="O84" t="n">
        <v>0</v>
      </c>
      <c r="P84" t="n">
        <v>0</v>
      </c>
      <c r="Q84" t="n">
        <v>0</v>
      </c>
      <c r="R84" s="2" t="inlineStr"/>
    </row>
    <row r="85" ht="15" customHeight="1">
      <c r="A85" t="inlineStr">
        <is>
          <t>A 55817-2018</t>
        </is>
      </c>
      <c r="B85" s="1" t="n">
        <v>43398</v>
      </c>
      <c r="C85" s="1" t="n">
        <v>45364</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55842-2018</t>
        </is>
      </c>
      <c r="B86" s="1" t="n">
        <v>43398</v>
      </c>
      <c r="C86" s="1" t="n">
        <v>45364</v>
      </c>
      <c r="D86" t="inlineStr">
        <is>
          <t>KALMAR LÄN</t>
        </is>
      </c>
      <c r="E86" t="inlineStr">
        <is>
          <t>VIMMERBY</t>
        </is>
      </c>
      <c r="G86" t="n">
        <v>5.9</v>
      </c>
      <c r="H86" t="n">
        <v>0</v>
      </c>
      <c r="I86" t="n">
        <v>0</v>
      </c>
      <c r="J86" t="n">
        <v>0</v>
      </c>
      <c r="K86" t="n">
        <v>0</v>
      </c>
      <c r="L86" t="n">
        <v>0</v>
      </c>
      <c r="M86" t="n">
        <v>0</v>
      </c>
      <c r="N86" t="n">
        <v>0</v>
      </c>
      <c r="O86" t="n">
        <v>0</v>
      </c>
      <c r="P86" t="n">
        <v>0</v>
      </c>
      <c r="Q86" t="n">
        <v>0</v>
      </c>
      <c r="R86" s="2" t="inlineStr"/>
    </row>
    <row r="87" ht="15" customHeight="1">
      <c r="A87" t="inlineStr">
        <is>
          <t>A 57145-2018</t>
        </is>
      </c>
      <c r="B87" s="1" t="n">
        <v>43403</v>
      </c>
      <c r="C87" s="1" t="n">
        <v>45364</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57029-2018</t>
        </is>
      </c>
      <c r="B88" s="1" t="n">
        <v>43403</v>
      </c>
      <c r="C88" s="1" t="n">
        <v>45364</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57503-2018</t>
        </is>
      </c>
      <c r="B89" s="1" t="n">
        <v>43404</v>
      </c>
      <c r="C89" s="1" t="n">
        <v>45364</v>
      </c>
      <c r="D89" t="inlineStr">
        <is>
          <t>KALMAR LÄN</t>
        </is>
      </c>
      <c r="E89" t="inlineStr">
        <is>
          <t>VIMMERBY</t>
        </is>
      </c>
      <c r="G89" t="n">
        <v>5.4</v>
      </c>
      <c r="H89" t="n">
        <v>0</v>
      </c>
      <c r="I89" t="n">
        <v>0</v>
      </c>
      <c r="J89" t="n">
        <v>0</v>
      </c>
      <c r="K89" t="n">
        <v>0</v>
      </c>
      <c r="L89" t="n">
        <v>0</v>
      </c>
      <c r="M89" t="n">
        <v>0</v>
      </c>
      <c r="N89" t="n">
        <v>0</v>
      </c>
      <c r="O89" t="n">
        <v>0</v>
      </c>
      <c r="P89" t="n">
        <v>0</v>
      </c>
      <c r="Q89" t="n">
        <v>0</v>
      </c>
      <c r="R89" s="2" t="inlineStr"/>
    </row>
    <row r="90" ht="15" customHeight="1">
      <c r="A90" t="inlineStr">
        <is>
          <t>A 57719-2018</t>
        </is>
      </c>
      <c r="B90" s="1" t="n">
        <v>43405</v>
      </c>
      <c r="C90" s="1" t="n">
        <v>45364</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58519-2018</t>
        </is>
      </c>
      <c r="B91" s="1" t="n">
        <v>43409</v>
      </c>
      <c r="C91" s="1" t="n">
        <v>45364</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58787-2018</t>
        </is>
      </c>
      <c r="B92" s="1" t="n">
        <v>43410</v>
      </c>
      <c r="C92" s="1" t="n">
        <v>45364</v>
      </c>
      <c r="D92" t="inlineStr">
        <is>
          <t>KALMAR LÄN</t>
        </is>
      </c>
      <c r="E92" t="inlineStr">
        <is>
          <t>VIMMERBY</t>
        </is>
      </c>
      <c r="G92" t="n">
        <v>5</v>
      </c>
      <c r="H92" t="n">
        <v>0</v>
      </c>
      <c r="I92" t="n">
        <v>0</v>
      </c>
      <c r="J92" t="n">
        <v>0</v>
      </c>
      <c r="K92" t="n">
        <v>0</v>
      </c>
      <c r="L92" t="n">
        <v>0</v>
      </c>
      <c r="M92" t="n">
        <v>0</v>
      </c>
      <c r="N92" t="n">
        <v>0</v>
      </c>
      <c r="O92" t="n">
        <v>0</v>
      </c>
      <c r="P92" t="n">
        <v>0</v>
      </c>
      <c r="Q92" t="n">
        <v>0</v>
      </c>
      <c r="R92" s="2" t="inlineStr"/>
    </row>
    <row r="93" ht="15" customHeight="1">
      <c r="A93" t="inlineStr">
        <is>
          <t>A 58834-2018</t>
        </is>
      </c>
      <c r="B93" s="1" t="n">
        <v>43410</v>
      </c>
      <c r="C93" s="1" t="n">
        <v>45364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61688-2018</t>
        </is>
      </c>
      <c r="B94" s="1" t="n">
        <v>43413</v>
      </c>
      <c r="C94" s="1" t="n">
        <v>45364</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60278-2018</t>
        </is>
      </c>
      <c r="B95" s="1" t="n">
        <v>43413</v>
      </c>
      <c r="C95" s="1" t="n">
        <v>45364</v>
      </c>
      <c r="D95" t="inlineStr">
        <is>
          <t>KALMAR LÄN</t>
        </is>
      </c>
      <c r="E95" t="inlineStr">
        <is>
          <t>VIMMERBY</t>
        </is>
      </c>
      <c r="G95" t="n">
        <v>1.8</v>
      </c>
      <c r="H95" t="n">
        <v>0</v>
      </c>
      <c r="I95" t="n">
        <v>0</v>
      </c>
      <c r="J95" t="n">
        <v>0</v>
      </c>
      <c r="K95" t="n">
        <v>0</v>
      </c>
      <c r="L95" t="n">
        <v>0</v>
      </c>
      <c r="M95" t="n">
        <v>0</v>
      </c>
      <c r="N95" t="n">
        <v>0</v>
      </c>
      <c r="O95" t="n">
        <v>0</v>
      </c>
      <c r="P95" t="n">
        <v>0</v>
      </c>
      <c r="Q95" t="n">
        <v>0</v>
      </c>
      <c r="R95" s="2" t="inlineStr"/>
    </row>
    <row r="96" ht="15" customHeight="1">
      <c r="A96" t="inlineStr">
        <is>
          <t>A 62481-2018</t>
        </is>
      </c>
      <c r="B96" s="1" t="n">
        <v>43415</v>
      </c>
      <c r="C96" s="1" t="n">
        <v>45364</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63151-2018</t>
        </is>
      </c>
      <c r="B97" s="1" t="n">
        <v>43418</v>
      </c>
      <c r="C97" s="1" t="n">
        <v>45364</v>
      </c>
      <c r="D97" t="inlineStr">
        <is>
          <t>KALMAR LÄN</t>
        </is>
      </c>
      <c r="E97" t="inlineStr">
        <is>
          <t>VIMMERBY</t>
        </is>
      </c>
      <c r="G97" t="n">
        <v>0.6</v>
      </c>
      <c r="H97" t="n">
        <v>0</v>
      </c>
      <c r="I97" t="n">
        <v>0</v>
      </c>
      <c r="J97" t="n">
        <v>0</v>
      </c>
      <c r="K97" t="n">
        <v>0</v>
      </c>
      <c r="L97" t="n">
        <v>0</v>
      </c>
      <c r="M97" t="n">
        <v>0</v>
      </c>
      <c r="N97" t="n">
        <v>0</v>
      </c>
      <c r="O97" t="n">
        <v>0</v>
      </c>
      <c r="P97" t="n">
        <v>0</v>
      </c>
      <c r="Q97" t="n">
        <v>0</v>
      </c>
      <c r="R97" s="2" t="inlineStr"/>
    </row>
    <row r="98" ht="15" customHeight="1">
      <c r="A98" t="inlineStr">
        <is>
          <t>A 64185-2018</t>
        </is>
      </c>
      <c r="B98" s="1" t="n">
        <v>43419</v>
      </c>
      <c r="C98" s="1" t="n">
        <v>45364</v>
      </c>
      <c r="D98" t="inlineStr">
        <is>
          <t>KALMAR LÄN</t>
        </is>
      </c>
      <c r="E98" t="inlineStr">
        <is>
          <t>VIMMERBY</t>
        </is>
      </c>
      <c r="G98" t="n">
        <v>1.5</v>
      </c>
      <c r="H98" t="n">
        <v>0</v>
      </c>
      <c r="I98" t="n">
        <v>0</v>
      </c>
      <c r="J98" t="n">
        <v>0</v>
      </c>
      <c r="K98" t="n">
        <v>0</v>
      </c>
      <c r="L98" t="n">
        <v>0</v>
      </c>
      <c r="M98" t="n">
        <v>0</v>
      </c>
      <c r="N98" t="n">
        <v>0</v>
      </c>
      <c r="O98" t="n">
        <v>0</v>
      </c>
      <c r="P98" t="n">
        <v>0</v>
      </c>
      <c r="Q98" t="n">
        <v>0</v>
      </c>
      <c r="R98" s="2" t="inlineStr"/>
    </row>
    <row r="99" ht="15" customHeight="1">
      <c r="A99" t="inlineStr">
        <is>
          <t>A 59888-2018</t>
        </is>
      </c>
      <c r="B99" s="1" t="n">
        <v>43419</v>
      </c>
      <c r="C99" s="1" t="n">
        <v>45364</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64170-2018</t>
        </is>
      </c>
      <c r="B100" s="1" t="n">
        <v>43419</v>
      </c>
      <c r="C100" s="1" t="n">
        <v>45364</v>
      </c>
      <c r="D100" t="inlineStr">
        <is>
          <t>KALMAR LÄN</t>
        </is>
      </c>
      <c r="E100" t="inlineStr">
        <is>
          <t>VIMMERBY</t>
        </is>
      </c>
      <c r="G100" t="n">
        <v>2.6</v>
      </c>
      <c r="H100" t="n">
        <v>0</v>
      </c>
      <c r="I100" t="n">
        <v>0</v>
      </c>
      <c r="J100" t="n">
        <v>0</v>
      </c>
      <c r="K100" t="n">
        <v>0</v>
      </c>
      <c r="L100" t="n">
        <v>0</v>
      </c>
      <c r="M100" t="n">
        <v>0</v>
      </c>
      <c r="N100" t="n">
        <v>0</v>
      </c>
      <c r="O100" t="n">
        <v>0</v>
      </c>
      <c r="P100" t="n">
        <v>0</v>
      </c>
      <c r="Q100" t="n">
        <v>0</v>
      </c>
      <c r="R100" s="2" t="inlineStr"/>
    </row>
    <row r="101" ht="15" customHeight="1">
      <c r="A101" t="inlineStr">
        <is>
          <t>A 64175-2018</t>
        </is>
      </c>
      <c r="B101" s="1" t="n">
        <v>43419</v>
      </c>
      <c r="C101" s="1" t="n">
        <v>45364</v>
      </c>
      <c r="D101" t="inlineStr">
        <is>
          <t>KALMAR LÄN</t>
        </is>
      </c>
      <c r="E101" t="inlineStr">
        <is>
          <t>VIMMERBY</t>
        </is>
      </c>
      <c r="G101" t="n">
        <v>6.9</v>
      </c>
      <c r="H101" t="n">
        <v>0</v>
      </c>
      <c r="I101" t="n">
        <v>0</v>
      </c>
      <c r="J101" t="n">
        <v>0</v>
      </c>
      <c r="K101" t="n">
        <v>0</v>
      </c>
      <c r="L101" t="n">
        <v>0</v>
      </c>
      <c r="M101" t="n">
        <v>0</v>
      </c>
      <c r="N101" t="n">
        <v>0</v>
      </c>
      <c r="O101" t="n">
        <v>0</v>
      </c>
      <c r="P101" t="n">
        <v>0</v>
      </c>
      <c r="Q101" t="n">
        <v>0</v>
      </c>
      <c r="R101" s="2" t="inlineStr"/>
    </row>
    <row r="102" ht="15" customHeight="1">
      <c r="A102" t="inlineStr">
        <is>
          <t>A 61629-2018</t>
        </is>
      </c>
      <c r="B102" s="1" t="n">
        <v>43424</v>
      </c>
      <c r="C102" s="1" t="n">
        <v>45364</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61626-2018</t>
        </is>
      </c>
      <c r="B103" s="1" t="n">
        <v>43424</v>
      </c>
      <c r="C103" s="1" t="n">
        <v>45364</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62288-2018</t>
        </is>
      </c>
      <c r="B104" s="1" t="n">
        <v>43426</v>
      </c>
      <c r="C104" s="1" t="n">
        <v>45364</v>
      </c>
      <c r="D104" t="inlineStr">
        <is>
          <t>KALMAR LÄN</t>
        </is>
      </c>
      <c r="E104" t="inlineStr">
        <is>
          <t>VIMMERBY</t>
        </is>
      </c>
      <c r="F104" t="inlineStr">
        <is>
          <t>Kyrkan</t>
        </is>
      </c>
      <c r="G104" t="n">
        <v>3.8</v>
      </c>
      <c r="H104" t="n">
        <v>0</v>
      </c>
      <c r="I104" t="n">
        <v>0</v>
      </c>
      <c r="J104" t="n">
        <v>0</v>
      </c>
      <c r="K104" t="n">
        <v>0</v>
      </c>
      <c r="L104" t="n">
        <v>0</v>
      </c>
      <c r="M104" t="n">
        <v>0</v>
      </c>
      <c r="N104" t="n">
        <v>0</v>
      </c>
      <c r="O104" t="n">
        <v>0</v>
      </c>
      <c r="P104" t="n">
        <v>0</v>
      </c>
      <c r="Q104" t="n">
        <v>0</v>
      </c>
      <c r="R104" s="2" t="inlineStr"/>
    </row>
    <row r="105" ht="15" customHeight="1">
      <c r="A105" t="inlineStr">
        <is>
          <t>A 62601-2018</t>
        </is>
      </c>
      <c r="B105" s="1" t="n">
        <v>43426</v>
      </c>
      <c r="C105" s="1" t="n">
        <v>45364</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62593-2018</t>
        </is>
      </c>
      <c r="B106" s="1" t="n">
        <v>43426</v>
      </c>
      <c r="C106" s="1" t="n">
        <v>45364</v>
      </c>
      <c r="D106" t="inlineStr">
        <is>
          <t>KALMAR LÄN</t>
        </is>
      </c>
      <c r="E106" t="inlineStr">
        <is>
          <t>VIMMERBY</t>
        </is>
      </c>
      <c r="G106" t="n">
        <v>2.3</v>
      </c>
      <c r="H106" t="n">
        <v>0</v>
      </c>
      <c r="I106" t="n">
        <v>0</v>
      </c>
      <c r="J106" t="n">
        <v>0</v>
      </c>
      <c r="K106" t="n">
        <v>0</v>
      </c>
      <c r="L106" t="n">
        <v>0</v>
      </c>
      <c r="M106" t="n">
        <v>0</v>
      </c>
      <c r="N106" t="n">
        <v>0</v>
      </c>
      <c r="O106" t="n">
        <v>0</v>
      </c>
      <c r="P106" t="n">
        <v>0</v>
      </c>
      <c r="Q106" t="n">
        <v>0</v>
      </c>
      <c r="R106" s="2" t="inlineStr"/>
    </row>
    <row r="107" ht="15" customHeight="1">
      <c r="A107" t="inlineStr">
        <is>
          <t>A 62598-2018</t>
        </is>
      </c>
      <c r="B107" s="1" t="n">
        <v>43426</v>
      </c>
      <c r="C107" s="1" t="n">
        <v>45364</v>
      </c>
      <c r="D107" t="inlineStr">
        <is>
          <t>KALMAR LÄN</t>
        </is>
      </c>
      <c r="E107" t="inlineStr">
        <is>
          <t>VIMMERBY</t>
        </is>
      </c>
      <c r="G107" t="n">
        <v>2.7</v>
      </c>
      <c r="H107" t="n">
        <v>0</v>
      </c>
      <c r="I107" t="n">
        <v>0</v>
      </c>
      <c r="J107" t="n">
        <v>0</v>
      </c>
      <c r="K107" t="n">
        <v>0</v>
      </c>
      <c r="L107" t="n">
        <v>0</v>
      </c>
      <c r="M107" t="n">
        <v>0</v>
      </c>
      <c r="N107" t="n">
        <v>0</v>
      </c>
      <c r="O107" t="n">
        <v>0</v>
      </c>
      <c r="P107" t="n">
        <v>0</v>
      </c>
      <c r="Q107" t="n">
        <v>0</v>
      </c>
      <c r="R107" s="2" t="inlineStr"/>
    </row>
    <row r="108" ht="15" customHeight="1">
      <c r="A108" t="inlineStr">
        <is>
          <t>A 62607-2018</t>
        </is>
      </c>
      <c r="B108" s="1" t="n">
        <v>43426</v>
      </c>
      <c r="C108" s="1" t="n">
        <v>45364</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66710-2018</t>
        </is>
      </c>
      <c r="B109" s="1" t="n">
        <v>43430</v>
      </c>
      <c r="C109" s="1" t="n">
        <v>45364</v>
      </c>
      <c r="D109" t="inlineStr">
        <is>
          <t>KALMAR LÄN</t>
        </is>
      </c>
      <c r="E109" t="inlineStr">
        <is>
          <t>VIMMERBY</t>
        </is>
      </c>
      <c r="G109" t="n">
        <v>1.8</v>
      </c>
      <c r="H109" t="n">
        <v>0</v>
      </c>
      <c r="I109" t="n">
        <v>0</v>
      </c>
      <c r="J109" t="n">
        <v>0</v>
      </c>
      <c r="K109" t="n">
        <v>0</v>
      </c>
      <c r="L109" t="n">
        <v>0</v>
      </c>
      <c r="M109" t="n">
        <v>0</v>
      </c>
      <c r="N109" t="n">
        <v>0</v>
      </c>
      <c r="O109" t="n">
        <v>0</v>
      </c>
      <c r="P109" t="n">
        <v>0</v>
      </c>
      <c r="Q109" t="n">
        <v>0</v>
      </c>
      <c r="R109" s="2" t="inlineStr"/>
    </row>
    <row r="110" ht="15" customHeight="1">
      <c r="A110" t="inlineStr">
        <is>
          <t>A 66718-2018</t>
        </is>
      </c>
      <c r="B110" s="1" t="n">
        <v>43430</v>
      </c>
      <c r="C110" s="1" t="n">
        <v>45364</v>
      </c>
      <c r="D110" t="inlineStr">
        <is>
          <t>KALMAR LÄN</t>
        </is>
      </c>
      <c r="E110" t="inlineStr">
        <is>
          <t>VIMMERBY</t>
        </is>
      </c>
      <c r="G110" t="n">
        <v>2.5</v>
      </c>
      <c r="H110" t="n">
        <v>0</v>
      </c>
      <c r="I110" t="n">
        <v>0</v>
      </c>
      <c r="J110" t="n">
        <v>0</v>
      </c>
      <c r="K110" t="n">
        <v>0</v>
      </c>
      <c r="L110" t="n">
        <v>0</v>
      </c>
      <c r="M110" t="n">
        <v>0</v>
      </c>
      <c r="N110" t="n">
        <v>0</v>
      </c>
      <c r="O110" t="n">
        <v>0</v>
      </c>
      <c r="P110" t="n">
        <v>0</v>
      </c>
      <c r="Q110" t="n">
        <v>0</v>
      </c>
      <c r="R110" s="2" t="inlineStr"/>
    </row>
    <row r="111" ht="15" customHeight="1">
      <c r="A111" t="inlineStr">
        <is>
          <t>A 63934-2018</t>
        </is>
      </c>
      <c r="B111" s="1" t="n">
        <v>43430</v>
      </c>
      <c r="C111" s="1" t="n">
        <v>45364</v>
      </c>
      <c r="D111" t="inlineStr">
        <is>
          <t>KALMAR LÄN</t>
        </is>
      </c>
      <c r="E111" t="inlineStr">
        <is>
          <t>VIMMERBY</t>
        </is>
      </c>
      <c r="G111" t="n">
        <v>2.9</v>
      </c>
      <c r="H111" t="n">
        <v>0</v>
      </c>
      <c r="I111" t="n">
        <v>0</v>
      </c>
      <c r="J111" t="n">
        <v>0</v>
      </c>
      <c r="K111" t="n">
        <v>0</v>
      </c>
      <c r="L111" t="n">
        <v>0</v>
      </c>
      <c r="M111" t="n">
        <v>0</v>
      </c>
      <c r="N111" t="n">
        <v>0</v>
      </c>
      <c r="O111" t="n">
        <v>0</v>
      </c>
      <c r="P111" t="n">
        <v>0</v>
      </c>
      <c r="Q111" t="n">
        <v>0</v>
      </c>
      <c r="R111" s="2" t="inlineStr"/>
    </row>
    <row r="112" ht="15" customHeight="1">
      <c r="A112" t="inlineStr">
        <is>
          <t>A 64568-2018</t>
        </is>
      </c>
      <c r="B112" s="1" t="n">
        <v>43431</v>
      </c>
      <c r="C112" s="1" t="n">
        <v>45364</v>
      </c>
      <c r="D112" t="inlineStr">
        <is>
          <t>KALMAR LÄN</t>
        </is>
      </c>
      <c r="E112" t="inlineStr">
        <is>
          <t>VIMMERBY</t>
        </is>
      </c>
      <c r="G112" t="n">
        <v>0.9</v>
      </c>
      <c r="H112" t="n">
        <v>0</v>
      </c>
      <c r="I112" t="n">
        <v>0</v>
      </c>
      <c r="J112" t="n">
        <v>0</v>
      </c>
      <c r="K112" t="n">
        <v>0</v>
      </c>
      <c r="L112" t="n">
        <v>0</v>
      </c>
      <c r="M112" t="n">
        <v>0</v>
      </c>
      <c r="N112" t="n">
        <v>0</v>
      </c>
      <c r="O112" t="n">
        <v>0</v>
      </c>
      <c r="P112" t="n">
        <v>0</v>
      </c>
      <c r="Q112" t="n">
        <v>0</v>
      </c>
      <c r="R112" s="2" t="inlineStr"/>
    </row>
    <row r="113" ht="15" customHeight="1">
      <c r="A113" t="inlineStr">
        <is>
          <t>A 64829-2018</t>
        </is>
      </c>
      <c r="B113" s="1" t="n">
        <v>43431</v>
      </c>
      <c r="C113" s="1" t="n">
        <v>45364</v>
      </c>
      <c r="D113" t="inlineStr">
        <is>
          <t>KALMAR LÄN</t>
        </is>
      </c>
      <c r="E113" t="inlineStr">
        <is>
          <t>VIMMERBY</t>
        </is>
      </c>
      <c r="G113" t="n">
        <v>1.5</v>
      </c>
      <c r="H113" t="n">
        <v>0</v>
      </c>
      <c r="I113" t="n">
        <v>0</v>
      </c>
      <c r="J113" t="n">
        <v>0</v>
      </c>
      <c r="K113" t="n">
        <v>0</v>
      </c>
      <c r="L113" t="n">
        <v>0</v>
      </c>
      <c r="M113" t="n">
        <v>0</v>
      </c>
      <c r="N113" t="n">
        <v>0</v>
      </c>
      <c r="O113" t="n">
        <v>0</v>
      </c>
      <c r="P113" t="n">
        <v>0</v>
      </c>
      <c r="Q113" t="n">
        <v>0</v>
      </c>
      <c r="R113" s="2" t="inlineStr"/>
    </row>
    <row r="114" ht="15" customHeight="1">
      <c r="A114" t="inlineStr">
        <is>
          <t>A 65752-2018</t>
        </is>
      </c>
      <c r="B114" s="1" t="n">
        <v>43433</v>
      </c>
      <c r="C114" s="1" t="n">
        <v>45364</v>
      </c>
      <c r="D114" t="inlineStr">
        <is>
          <t>KALMAR LÄN</t>
        </is>
      </c>
      <c r="E114" t="inlineStr">
        <is>
          <t>VIMMERBY</t>
        </is>
      </c>
      <c r="G114" t="n">
        <v>6.2</v>
      </c>
      <c r="H114" t="n">
        <v>0</v>
      </c>
      <c r="I114" t="n">
        <v>0</v>
      </c>
      <c r="J114" t="n">
        <v>0</v>
      </c>
      <c r="K114" t="n">
        <v>0</v>
      </c>
      <c r="L114" t="n">
        <v>0</v>
      </c>
      <c r="M114" t="n">
        <v>0</v>
      </c>
      <c r="N114" t="n">
        <v>0</v>
      </c>
      <c r="O114" t="n">
        <v>0</v>
      </c>
      <c r="P114" t="n">
        <v>0</v>
      </c>
      <c r="Q114" t="n">
        <v>0</v>
      </c>
      <c r="R114" s="2" t="inlineStr"/>
    </row>
    <row r="115" ht="15" customHeight="1">
      <c r="A115" t="inlineStr">
        <is>
          <t>A 66086-2018</t>
        </is>
      </c>
      <c r="B115" s="1" t="n">
        <v>43434</v>
      </c>
      <c r="C115" s="1" t="n">
        <v>45364</v>
      </c>
      <c r="D115" t="inlineStr">
        <is>
          <t>KALMAR LÄN</t>
        </is>
      </c>
      <c r="E115" t="inlineStr">
        <is>
          <t>VIMMERBY</t>
        </is>
      </c>
      <c r="G115" t="n">
        <v>14.4</v>
      </c>
      <c r="H115" t="n">
        <v>0</v>
      </c>
      <c r="I115" t="n">
        <v>0</v>
      </c>
      <c r="J115" t="n">
        <v>0</v>
      </c>
      <c r="K115" t="n">
        <v>0</v>
      </c>
      <c r="L115" t="n">
        <v>0</v>
      </c>
      <c r="M115" t="n">
        <v>0</v>
      </c>
      <c r="N115" t="n">
        <v>0</v>
      </c>
      <c r="O115" t="n">
        <v>0</v>
      </c>
      <c r="P115" t="n">
        <v>0</v>
      </c>
      <c r="Q115" t="n">
        <v>0</v>
      </c>
      <c r="R115" s="2" t="inlineStr"/>
    </row>
    <row r="116" ht="15" customHeight="1">
      <c r="A116" t="inlineStr">
        <is>
          <t>A 66114-2018</t>
        </is>
      </c>
      <c r="B116" s="1" t="n">
        <v>43434</v>
      </c>
      <c r="C116" s="1" t="n">
        <v>45364</v>
      </c>
      <c r="D116" t="inlineStr">
        <is>
          <t>KALMAR LÄN</t>
        </is>
      </c>
      <c r="E116" t="inlineStr">
        <is>
          <t>VIMMERBY</t>
        </is>
      </c>
      <c r="G116" t="n">
        <v>7.4</v>
      </c>
      <c r="H116" t="n">
        <v>0</v>
      </c>
      <c r="I116" t="n">
        <v>0</v>
      </c>
      <c r="J116" t="n">
        <v>0</v>
      </c>
      <c r="K116" t="n">
        <v>0</v>
      </c>
      <c r="L116" t="n">
        <v>0</v>
      </c>
      <c r="M116" t="n">
        <v>0</v>
      </c>
      <c r="N116" t="n">
        <v>0</v>
      </c>
      <c r="O116" t="n">
        <v>0</v>
      </c>
      <c r="P116" t="n">
        <v>0</v>
      </c>
      <c r="Q116" t="n">
        <v>0</v>
      </c>
      <c r="R116" s="2" t="inlineStr"/>
    </row>
    <row r="117" ht="15" customHeight="1">
      <c r="A117" t="inlineStr">
        <is>
          <t>A 66378-2018</t>
        </is>
      </c>
      <c r="B117" s="1" t="n">
        <v>43436</v>
      </c>
      <c r="C117" s="1" t="n">
        <v>45364</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66957-2018</t>
        </is>
      </c>
      <c r="B118" s="1" t="n">
        <v>43438</v>
      </c>
      <c r="C118" s="1" t="n">
        <v>45364</v>
      </c>
      <c r="D118" t="inlineStr">
        <is>
          <t>KALMAR LÄN</t>
        </is>
      </c>
      <c r="E118" t="inlineStr">
        <is>
          <t>VIMMERBY</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66954-2018</t>
        </is>
      </c>
      <c r="B119" s="1" t="n">
        <v>43438</v>
      </c>
      <c r="C119" s="1" t="n">
        <v>45364</v>
      </c>
      <c r="D119" t="inlineStr">
        <is>
          <t>KALMAR LÄN</t>
        </is>
      </c>
      <c r="E119" t="inlineStr">
        <is>
          <t>VIMMERBY</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68818-2018</t>
        </is>
      </c>
      <c r="B120" s="1" t="n">
        <v>43439</v>
      </c>
      <c r="C120" s="1" t="n">
        <v>45364</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68822-2018</t>
        </is>
      </c>
      <c r="B121" s="1" t="n">
        <v>43439</v>
      </c>
      <c r="C121" s="1" t="n">
        <v>45364</v>
      </c>
      <c r="D121" t="inlineStr">
        <is>
          <t>KALMAR LÄN</t>
        </is>
      </c>
      <c r="E121" t="inlineStr">
        <is>
          <t>VIMMERBY</t>
        </is>
      </c>
      <c r="G121" t="n">
        <v>0.8</v>
      </c>
      <c r="H121" t="n">
        <v>0</v>
      </c>
      <c r="I121" t="n">
        <v>0</v>
      </c>
      <c r="J121" t="n">
        <v>0</v>
      </c>
      <c r="K121" t="n">
        <v>0</v>
      </c>
      <c r="L121" t="n">
        <v>0</v>
      </c>
      <c r="M121" t="n">
        <v>0</v>
      </c>
      <c r="N121" t="n">
        <v>0</v>
      </c>
      <c r="O121" t="n">
        <v>0</v>
      </c>
      <c r="P121" t="n">
        <v>0</v>
      </c>
      <c r="Q121" t="n">
        <v>0</v>
      </c>
      <c r="R121" s="2" t="inlineStr"/>
    </row>
    <row r="122" ht="15" customHeight="1">
      <c r="A122" t="inlineStr">
        <is>
          <t>A 70413-2018</t>
        </is>
      </c>
      <c r="B122" s="1" t="n">
        <v>43447</v>
      </c>
      <c r="C122" s="1" t="n">
        <v>45364</v>
      </c>
      <c r="D122" t="inlineStr">
        <is>
          <t>KALMAR LÄN</t>
        </is>
      </c>
      <c r="E122" t="inlineStr">
        <is>
          <t>VIMMERBY</t>
        </is>
      </c>
      <c r="G122" t="n">
        <v>1.3</v>
      </c>
      <c r="H122" t="n">
        <v>0</v>
      </c>
      <c r="I122" t="n">
        <v>0</v>
      </c>
      <c r="J122" t="n">
        <v>0</v>
      </c>
      <c r="K122" t="n">
        <v>0</v>
      </c>
      <c r="L122" t="n">
        <v>0</v>
      </c>
      <c r="M122" t="n">
        <v>0</v>
      </c>
      <c r="N122" t="n">
        <v>0</v>
      </c>
      <c r="O122" t="n">
        <v>0</v>
      </c>
      <c r="P122" t="n">
        <v>0</v>
      </c>
      <c r="Q122" t="n">
        <v>0</v>
      </c>
      <c r="R122" s="2" t="inlineStr"/>
    </row>
    <row r="123" ht="15" customHeight="1">
      <c r="A123" t="inlineStr">
        <is>
          <t>A 70414-2018</t>
        </is>
      </c>
      <c r="B123" s="1" t="n">
        <v>43447</v>
      </c>
      <c r="C123" s="1" t="n">
        <v>45364</v>
      </c>
      <c r="D123" t="inlineStr">
        <is>
          <t>KALMAR LÄN</t>
        </is>
      </c>
      <c r="E123" t="inlineStr">
        <is>
          <t>VIMMERBY</t>
        </is>
      </c>
      <c r="G123" t="n">
        <v>1.2</v>
      </c>
      <c r="H123" t="n">
        <v>0</v>
      </c>
      <c r="I123" t="n">
        <v>0</v>
      </c>
      <c r="J123" t="n">
        <v>0</v>
      </c>
      <c r="K123" t="n">
        <v>0</v>
      </c>
      <c r="L123" t="n">
        <v>0</v>
      </c>
      <c r="M123" t="n">
        <v>0</v>
      </c>
      <c r="N123" t="n">
        <v>0</v>
      </c>
      <c r="O123" t="n">
        <v>0</v>
      </c>
      <c r="P123" t="n">
        <v>0</v>
      </c>
      <c r="Q123" t="n">
        <v>0</v>
      </c>
      <c r="R123" s="2" t="inlineStr"/>
    </row>
    <row r="124" ht="15" customHeight="1">
      <c r="A124" t="inlineStr">
        <is>
          <t>A 69857-2018</t>
        </is>
      </c>
      <c r="B124" s="1" t="n">
        <v>43447</v>
      </c>
      <c r="C124" s="1" t="n">
        <v>45364</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70563-2018</t>
        </is>
      </c>
      <c r="B125" s="1" t="n">
        <v>43451</v>
      </c>
      <c r="C125" s="1" t="n">
        <v>45364</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71003-2018</t>
        </is>
      </c>
      <c r="B126" s="1" t="n">
        <v>43452</v>
      </c>
      <c r="C126" s="1" t="n">
        <v>45364</v>
      </c>
      <c r="D126" t="inlineStr">
        <is>
          <t>KALMAR LÄN</t>
        </is>
      </c>
      <c r="E126" t="inlineStr">
        <is>
          <t>VIMMERBY</t>
        </is>
      </c>
      <c r="G126" t="n">
        <v>3.8</v>
      </c>
      <c r="H126" t="n">
        <v>0</v>
      </c>
      <c r="I126" t="n">
        <v>0</v>
      </c>
      <c r="J126" t="n">
        <v>0</v>
      </c>
      <c r="K126" t="n">
        <v>0</v>
      </c>
      <c r="L126" t="n">
        <v>0</v>
      </c>
      <c r="M126" t="n">
        <v>0</v>
      </c>
      <c r="N126" t="n">
        <v>0</v>
      </c>
      <c r="O126" t="n">
        <v>0</v>
      </c>
      <c r="P126" t="n">
        <v>0</v>
      </c>
      <c r="Q126" t="n">
        <v>0</v>
      </c>
      <c r="R126" s="2" t="inlineStr"/>
    </row>
    <row r="127" ht="15" customHeight="1">
      <c r="A127" t="inlineStr">
        <is>
          <t>A 72073-2018</t>
        </is>
      </c>
      <c r="B127" s="1" t="n">
        <v>43455</v>
      </c>
      <c r="C127" s="1" t="n">
        <v>45364</v>
      </c>
      <c r="D127" t="inlineStr">
        <is>
          <t>KALMAR LÄN</t>
        </is>
      </c>
      <c r="E127" t="inlineStr">
        <is>
          <t>VIMMERBY</t>
        </is>
      </c>
      <c r="G127" t="n">
        <v>9.1</v>
      </c>
      <c r="H127" t="n">
        <v>0</v>
      </c>
      <c r="I127" t="n">
        <v>0</v>
      </c>
      <c r="J127" t="n">
        <v>0</v>
      </c>
      <c r="K127" t="n">
        <v>0</v>
      </c>
      <c r="L127" t="n">
        <v>0</v>
      </c>
      <c r="M127" t="n">
        <v>0</v>
      </c>
      <c r="N127" t="n">
        <v>0</v>
      </c>
      <c r="O127" t="n">
        <v>0</v>
      </c>
      <c r="P127" t="n">
        <v>0</v>
      </c>
      <c r="Q127" t="n">
        <v>0</v>
      </c>
      <c r="R127" s="2" t="inlineStr"/>
    </row>
    <row r="128" ht="15" customHeight="1">
      <c r="A128" t="inlineStr">
        <is>
          <t>A 1410-2019</t>
        </is>
      </c>
      <c r="B128" s="1" t="n">
        <v>43461</v>
      </c>
      <c r="C128" s="1" t="n">
        <v>45364</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72534-2018</t>
        </is>
      </c>
      <c r="B129" s="1" t="n">
        <v>43462</v>
      </c>
      <c r="C129" s="1" t="n">
        <v>45364</v>
      </c>
      <c r="D129" t="inlineStr">
        <is>
          <t>KALMAR LÄN</t>
        </is>
      </c>
      <c r="E129" t="inlineStr">
        <is>
          <t>VIMMERBY</t>
        </is>
      </c>
      <c r="G129" t="n">
        <v>8.6</v>
      </c>
      <c r="H129" t="n">
        <v>0</v>
      </c>
      <c r="I129" t="n">
        <v>0</v>
      </c>
      <c r="J129" t="n">
        <v>0</v>
      </c>
      <c r="K129" t="n">
        <v>0</v>
      </c>
      <c r="L129" t="n">
        <v>0</v>
      </c>
      <c r="M129" t="n">
        <v>0</v>
      </c>
      <c r="N129" t="n">
        <v>0</v>
      </c>
      <c r="O129" t="n">
        <v>0</v>
      </c>
      <c r="P129" t="n">
        <v>0</v>
      </c>
      <c r="Q129" t="n">
        <v>0</v>
      </c>
      <c r="R129" s="2" t="inlineStr"/>
    </row>
    <row r="130" ht="15" customHeight="1">
      <c r="A130" t="inlineStr">
        <is>
          <t>A 72568-2018</t>
        </is>
      </c>
      <c r="B130" s="1" t="n">
        <v>43462</v>
      </c>
      <c r="C130" s="1" t="n">
        <v>45364</v>
      </c>
      <c r="D130" t="inlineStr">
        <is>
          <t>KALMAR LÄN</t>
        </is>
      </c>
      <c r="E130" t="inlineStr">
        <is>
          <t>VIMMERBY</t>
        </is>
      </c>
      <c r="G130" t="n">
        <v>7.8</v>
      </c>
      <c r="H130" t="n">
        <v>0</v>
      </c>
      <c r="I130" t="n">
        <v>0</v>
      </c>
      <c r="J130" t="n">
        <v>0</v>
      </c>
      <c r="K130" t="n">
        <v>0</v>
      </c>
      <c r="L130" t="n">
        <v>0</v>
      </c>
      <c r="M130" t="n">
        <v>0</v>
      </c>
      <c r="N130" t="n">
        <v>0</v>
      </c>
      <c r="O130" t="n">
        <v>0</v>
      </c>
      <c r="P130" t="n">
        <v>0</v>
      </c>
      <c r="Q130" t="n">
        <v>0</v>
      </c>
      <c r="R130" s="2" t="inlineStr"/>
    </row>
    <row r="131" ht="15" customHeight="1">
      <c r="A131" t="inlineStr">
        <is>
          <t>A 72570-2018</t>
        </is>
      </c>
      <c r="B131" s="1" t="n">
        <v>43462</v>
      </c>
      <c r="C131" s="1" t="n">
        <v>45364</v>
      </c>
      <c r="D131" t="inlineStr">
        <is>
          <t>KALMAR LÄN</t>
        </is>
      </c>
      <c r="E131" t="inlineStr">
        <is>
          <t>VIMMERBY</t>
        </is>
      </c>
      <c r="G131" t="n">
        <v>3</v>
      </c>
      <c r="H131" t="n">
        <v>0</v>
      </c>
      <c r="I131" t="n">
        <v>0</v>
      </c>
      <c r="J131" t="n">
        <v>0</v>
      </c>
      <c r="K131" t="n">
        <v>0</v>
      </c>
      <c r="L131" t="n">
        <v>0</v>
      </c>
      <c r="M131" t="n">
        <v>0</v>
      </c>
      <c r="N131" t="n">
        <v>0</v>
      </c>
      <c r="O131" t="n">
        <v>0</v>
      </c>
      <c r="P131" t="n">
        <v>0</v>
      </c>
      <c r="Q131" t="n">
        <v>0</v>
      </c>
      <c r="R131" s="2" t="inlineStr"/>
    </row>
    <row r="132" ht="15" customHeight="1">
      <c r="A132" t="inlineStr">
        <is>
          <t>A 583-2019</t>
        </is>
      </c>
      <c r="B132" s="1" t="n">
        <v>43469</v>
      </c>
      <c r="C132" s="1" t="n">
        <v>45364</v>
      </c>
      <c r="D132" t="inlineStr">
        <is>
          <t>KALMAR LÄN</t>
        </is>
      </c>
      <c r="E132" t="inlineStr">
        <is>
          <t>VIMMERBY</t>
        </is>
      </c>
      <c r="G132" t="n">
        <v>2.9</v>
      </c>
      <c r="H132" t="n">
        <v>0</v>
      </c>
      <c r="I132" t="n">
        <v>0</v>
      </c>
      <c r="J132" t="n">
        <v>0</v>
      </c>
      <c r="K132" t="n">
        <v>0</v>
      </c>
      <c r="L132" t="n">
        <v>0</v>
      </c>
      <c r="M132" t="n">
        <v>0</v>
      </c>
      <c r="N132" t="n">
        <v>0</v>
      </c>
      <c r="O132" t="n">
        <v>0</v>
      </c>
      <c r="P132" t="n">
        <v>0</v>
      </c>
      <c r="Q132" t="n">
        <v>0</v>
      </c>
      <c r="R132" s="2" t="inlineStr"/>
    </row>
    <row r="133" ht="15" customHeight="1">
      <c r="A133" t="inlineStr">
        <is>
          <t>A 3131-2019</t>
        </is>
      </c>
      <c r="B133" s="1" t="n">
        <v>43473</v>
      </c>
      <c r="C133" s="1" t="n">
        <v>45364</v>
      </c>
      <c r="D133" t="inlineStr">
        <is>
          <t>KALMAR LÄN</t>
        </is>
      </c>
      <c r="E133" t="inlineStr">
        <is>
          <t>VIMMERBY</t>
        </is>
      </c>
      <c r="G133" t="n">
        <v>2.6</v>
      </c>
      <c r="H133" t="n">
        <v>0</v>
      </c>
      <c r="I133" t="n">
        <v>0</v>
      </c>
      <c r="J133" t="n">
        <v>0</v>
      </c>
      <c r="K133" t="n">
        <v>0</v>
      </c>
      <c r="L133" t="n">
        <v>0</v>
      </c>
      <c r="M133" t="n">
        <v>0</v>
      </c>
      <c r="N133" t="n">
        <v>0</v>
      </c>
      <c r="O133" t="n">
        <v>0</v>
      </c>
      <c r="P133" t="n">
        <v>0</v>
      </c>
      <c r="Q133" t="n">
        <v>0</v>
      </c>
      <c r="R133" s="2" t="inlineStr"/>
    </row>
    <row r="134" ht="15" customHeight="1">
      <c r="A134" t="inlineStr">
        <is>
          <t>A 1579-2019</t>
        </is>
      </c>
      <c r="B134" s="1" t="n">
        <v>43474</v>
      </c>
      <c r="C134" s="1" t="n">
        <v>45364</v>
      </c>
      <c r="D134" t="inlineStr">
        <is>
          <t>KALMAR LÄN</t>
        </is>
      </c>
      <c r="E134" t="inlineStr">
        <is>
          <t>VIMMERBY</t>
        </is>
      </c>
      <c r="G134" t="n">
        <v>2.5</v>
      </c>
      <c r="H134" t="n">
        <v>0</v>
      </c>
      <c r="I134" t="n">
        <v>0</v>
      </c>
      <c r="J134" t="n">
        <v>0</v>
      </c>
      <c r="K134" t="n">
        <v>0</v>
      </c>
      <c r="L134" t="n">
        <v>0</v>
      </c>
      <c r="M134" t="n">
        <v>0</v>
      </c>
      <c r="N134" t="n">
        <v>0</v>
      </c>
      <c r="O134" t="n">
        <v>0</v>
      </c>
      <c r="P134" t="n">
        <v>0</v>
      </c>
      <c r="Q134" t="n">
        <v>0</v>
      </c>
      <c r="R134" s="2" t="inlineStr"/>
    </row>
    <row r="135" ht="15" customHeight="1">
      <c r="A135" t="inlineStr">
        <is>
          <t>A 2170-2019</t>
        </is>
      </c>
      <c r="B135" s="1" t="n">
        <v>43475</v>
      </c>
      <c r="C135" s="1" t="n">
        <v>45364</v>
      </c>
      <c r="D135" t="inlineStr">
        <is>
          <t>KALMAR LÄN</t>
        </is>
      </c>
      <c r="E135" t="inlineStr">
        <is>
          <t>VIMMERBY</t>
        </is>
      </c>
      <c r="G135" t="n">
        <v>2.3</v>
      </c>
      <c r="H135" t="n">
        <v>0</v>
      </c>
      <c r="I135" t="n">
        <v>0</v>
      </c>
      <c r="J135" t="n">
        <v>0</v>
      </c>
      <c r="K135" t="n">
        <v>0</v>
      </c>
      <c r="L135" t="n">
        <v>0</v>
      </c>
      <c r="M135" t="n">
        <v>0</v>
      </c>
      <c r="N135" t="n">
        <v>0</v>
      </c>
      <c r="O135" t="n">
        <v>0</v>
      </c>
      <c r="P135" t="n">
        <v>0</v>
      </c>
      <c r="Q135" t="n">
        <v>0</v>
      </c>
      <c r="R135" s="2" t="inlineStr"/>
    </row>
    <row r="136" ht="15" customHeight="1">
      <c r="A136" t="inlineStr">
        <is>
          <t>A 2165-2019</t>
        </is>
      </c>
      <c r="B136" s="1" t="n">
        <v>43475</v>
      </c>
      <c r="C136" s="1" t="n">
        <v>45364</v>
      </c>
      <c r="D136" t="inlineStr">
        <is>
          <t>KALMAR LÄN</t>
        </is>
      </c>
      <c r="E136" t="inlineStr">
        <is>
          <t>VIMMERBY</t>
        </is>
      </c>
      <c r="G136" t="n">
        <v>0.7</v>
      </c>
      <c r="H136" t="n">
        <v>0</v>
      </c>
      <c r="I136" t="n">
        <v>0</v>
      </c>
      <c r="J136" t="n">
        <v>0</v>
      </c>
      <c r="K136" t="n">
        <v>0</v>
      </c>
      <c r="L136" t="n">
        <v>0</v>
      </c>
      <c r="M136" t="n">
        <v>0</v>
      </c>
      <c r="N136" t="n">
        <v>0</v>
      </c>
      <c r="O136" t="n">
        <v>0</v>
      </c>
      <c r="P136" t="n">
        <v>0</v>
      </c>
      <c r="Q136" t="n">
        <v>0</v>
      </c>
      <c r="R136" s="2" t="inlineStr"/>
    </row>
    <row r="137" ht="15" customHeight="1">
      <c r="A137" t="inlineStr">
        <is>
          <t>A 2112-2019</t>
        </is>
      </c>
      <c r="B137" s="1" t="n">
        <v>43475</v>
      </c>
      <c r="C137" s="1" t="n">
        <v>45364</v>
      </c>
      <c r="D137" t="inlineStr">
        <is>
          <t>KALMAR LÄN</t>
        </is>
      </c>
      <c r="E137" t="inlineStr">
        <is>
          <t>VIMMERBY</t>
        </is>
      </c>
      <c r="G137" t="n">
        <v>2.3</v>
      </c>
      <c r="H137" t="n">
        <v>0</v>
      </c>
      <c r="I137" t="n">
        <v>0</v>
      </c>
      <c r="J137" t="n">
        <v>0</v>
      </c>
      <c r="K137" t="n">
        <v>0</v>
      </c>
      <c r="L137" t="n">
        <v>0</v>
      </c>
      <c r="M137" t="n">
        <v>0</v>
      </c>
      <c r="N137" t="n">
        <v>0</v>
      </c>
      <c r="O137" t="n">
        <v>0</v>
      </c>
      <c r="P137" t="n">
        <v>0</v>
      </c>
      <c r="Q137" t="n">
        <v>0</v>
      </c>
      <c r="R137" s="2" t="inlineStr"/>
    </row>
    <row r="138" ht="15" customHeight="1">
      <c r="A138" t="inlineStr">
        <is>
          <t>A 2545-2019</t>
        </is>
      </c>
      <c r="B138" s="1" t="n">
        <v>43476</v>
      </c>
      <c r="C138" s="1" t="n">
        <v>45364</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2856-2019</t>
        </is>
      </c>
      <c r="B139" s="1" t="n">
        <v>43479</v>
      </c>
      <c r="C139" s="1" t="n">
        <v>45364</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2864-2019</t>
        </is>
      </c>
      <c r="B140" s="1" t="n">
        <v>43479</v>
      </c>
      <c r="C140" s="1" t="n">
        <v>45364</v>
      </c>
      <c r="D140" t="inlineStr">
        <is>
          <t>KALMAR LÄN</t>
        </is>
      </c>
      <c r="E140" t="inlineStr">
        <is>
          <t>VIMMERBY</t>
        </is>
      </c>
      <c r="G140" t="n">
        <v>2.1</v>
      </c>
      <c r="H140" t="n">
        <v>0</v>
      </c>
      <c r="I140" t="n">
        <v>0</v>
      </c>
      <c r="J140" t="n">
        <v>0</v>
      </c>
      <c r="K140" t="n">
        <v>0</v>
      </c>
      <c r="L140" t="n">
        <v>0</v>
      </c>
      <c r="M140" t="n">
        <v>0</v>
      </c>
      <c r="N140" t="n">
        <v>0</v>
      </c>
      <c r="O140" t="n">
        <v>0</v>
      </c>
      <c r="P140" t="n">
        <v>0</v>
      </c>
      <c r="Q140" t="n">
        <v>0</v>
      </c>
      <c r="R140" s="2" t="inlineStr"/>
    </row>
    <row r="141" ht="15" customHeight="1">
      <c r="A141" t="inlineStr">
        <is>
          <t>A 3095-2019</t>
        </is>
      </c>
      <c r="B141" s="1" t="n">
        <v>43479</v>
      </c>
      <c r="C141" s="1" t="n">
        <v>45364</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5249-2019</t>
        </is>
      </c>
      <c r="B142" s="1" t="n">
        <v>43480</v>
      </c>
      <c r="C142" s="1" t="n">
        <v>45364</v>
      </c>
      <c r="D142" t="inlineStr">
        <is>
          <t>KALMAR LÄN</t>
        </is>
      </c>
      <c r="E142" t="inlineStr">
        <is>
          <t>VIMMERBY</t>
        </is>
      </c>
      <c r="G142" t="n">
        <v>1.1</v>
      </c>
      <c r="H142" t="n">
        <v>0</v>
      </c>
      <c r="I142" t="n">
        <v>0</v>
      </c>
      <c r="J142" t="n">
        <v>0</v>
      </c>
      <c r="K142" t="n">
        <v>0</v>
      </c>
      <c r="L142" t="n">
        <v>0</v>
      </c>
      <c r="M142" t="n">
        <v>0</v>
      </c>
      <c r="N142" t="n">
        <v>0</v>
      </c>
      <c r="O142" t="n">
        <v>0</v>
      </c>
      <c r="P142" t="n">
        <v>0</v>
      </c>
      <c r="Q142" t="n">
        <v>0</v>
      </c>
      <c r="R142" s="2" t="inlineStr"/>
    </row>
    <row r="143" ht="15" customHeight="1">
      <c r="A143" t="inlineStr">
        <is>
          <t>A 3615-2019</t>
        </is>
      </c>
      <c r="B143" s="1" t="n">
        <v>43481</v>
      </c>
      <c r="C143" s="1" t="n">
        <v>45364</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4288-2019</t>
        </is>
      </c>
      <c r="B144" s="1" t="n">
        <v>43483</v>
      </c>
      <c r="C144" s="1" t="n">
        <v>45364</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4460-2019</t>
        </is>
      </c>
      <c r="B145" s="1" t="n">
        <v>43485</v>
      </c>
      <c r="C145" s="1" t="n">
        <v>45364</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4669-2019</t>
        </is>
      </c>
      <c r="B146" s="1" t="n">
        <v>43486</v>
      </c>
      <c r="C146" s="1" t="n">
        <v>45364</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4675-2019</t>
        </is>
      </c>
      <c r="B147" s="1" t="n">
        <v>43486</v>
      </c>
      <c r="C147" s="1" t="n">
        <v>45364</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4677-2019</t>
        </is>
      </c>
      <c r="B148" s="1" t="n">
        <v>43486</v>
      </c>
      <c r="C148" s="1" t="n">
        <v>45364</v>
      </c>
      <c r="D148" t="inlineStr">
        <is>
          <t>KALMAR LÄN</t>
        </is>
      </c>
      <c r="E148" t="inlineStr">
        <is>
          <t>VIMMERBY</t>
        </is>
      </c>
      <c r="G148" t="n">
        <v>1.4</v>
      </c>
      <c r="H148" t="n">
        <v>0</v>
      </c>
      <c r="I148" t="n">
        <v>0</v>
      </c>
      <c r="J148" t="n">
        <v>0</v>
      </c>
      <c r="K148" t="n">
        <v>0</v>
      </c>
      <c r="L148" t="n">
        <v>0</v>
      </c>
      <c r="M148" t="n">
        <v>0</v>
      </c>
      <c r="N148" t="n">
        <v>0</v>
      </c>
      <c r="O148" t="n">
        <v>0</v>
      </c>
      <c r="P148" t="n">
        <v>0</v>
      </c>
      <c r="Q148" t="n">
        <v>0</v>
      </c>
      <c r="R148" s="2" t="inlineStr"/>
    </row>
    <row r="149" ht="15" customHeight="1">
      <c r="A149" t="inlineStr">
        <is>
          <t>A 6415-2019</t>
        </is>
      </c>
      <c r="B149" s="1" t="n">
        <v>43487</v>
      </c>
      <c r="C149" s="1" t="n">
        <v>45364</v>
      </c>
      <c r="D149" t="inlineStr">
        <is>
          <t>KALMAR LÄN</t>
        </is>
      </c>
      <c r="E149" t="inlineStr">
        <is>
          <t>VIMMERBY</t>
        </is>
      </c>
      <c r="G149" t="n">
        <v>2.3</v>
      </c>
      <c r="H149" t="n">
        <v>0</v>
      </c>
      <c r="I149" t="n">
        <v>0</v>
      </c>
      <c r="J149" t="n">
        <v>0</v>
      </c>
      <c r="K149" t="n">
        <v>0</v>
      </c>
      <c r="L149" t="n">
        <v>0</v>
      </c>
      <c r="M149" t="n">
        <v>0</v>
      </c>
      <c r="N149" t="n">
        <v>0</v>
      </c>
      <c r="O149" t="n">
        <v>0</v>
      </c>
      <c r="P149" t="n">
        <v>0</v>
      </c>
      <c r="Q149" t="n">
        <v>0</v>
      </c>
      <c r="R149" s="2" t="inlineStr"/>
    </row>
    <row r="150" ht="15" customHeight="1">
      <c r="A150" t="inlineStr">
        <is>
          <t>A 5201-2019</t>
        </is>
      </c>
      <c r="B150" s="1" t="n">
        <v>43488</v>
      </c>
      <c r="C150" s="1" t="n">
        <v>45364</v>
      </c>
      <c r="D150" t="inlineStr">
        <is>
          <t>KALMAR LÄN</t>
        </is>
      </c>
      <c r="E150" t="inlineStr">
        <is>
          <t>VIMMERBY</t>
        </is>
      </c>
      <c r="G150" t="n">
        <v>3.2</v>
      </c>
      <c r="H150" t="n">
        <v>0</v>
      </c>
      <c r="I150" t="n">
        <v>0</v>
      </c>
      <c r="J150" t="n">
        <v>0</v>
      </c>
      <c r="K150" t="n">
        <v>0</v>
      </c>
      <c r="L150" t="n">
        <v>0</v>
      </c>
      <c r="M150" t="n">
        <v>0</v>
      </c>
      <c r="N150" t="n">
        <v>0</v>
      </c>
      <c r="O150" t="n">
        <v>0</v>
      </c>
      <c r="P150" t="n">
        <v>0</v>
      </c>
      <c r="Q150" t="n">
        <v>0</v>
      </c>
      <c r="R150" s="2" t="inlineStr"/>
    </row>
    <row r="151" ht="15" customHeight="1">
      <c r="A151" t="inlineStr">
        <is>
          <t>A 5329-2019</t>
        </is>
      </c>
      <c r="B151" s="1" t="n">
        <v>43488</v>
      </c>
      <c r="C151" s="1" t="n">
        <v>45364</v>
      </c>
      <c r="D151" t="inlineStr">
        <is>
          <t>KALMAR LÄN</t>
        </is>
      </c>
      <c r="E151" t="inlineStr">
        <is>
          <t>VIMMERBY</t>
        </is>
      </c>
      <c r="G151" t="n">
        <v>3.1</v>
      </c>
      <c r="H151" t="n">
        <v>0</v>
      </c>
      <c r="I151" t="n">
        <v>0</v>
      </c>
      <c r="J151" t="n">
        <v>0</v>
      </c>
      <c r="K151" t="n">
        <v>0</v>
      </c>
      <c r="L151" t="n">
        <v>0</v>
      </c>
      <c r="M151" t="n">
        <v>0</v>
      </c>
      <c r="N151" t="n">
        <v>0</v>
      </c>
      <c r="O151" t="n">
        <v>0</v>
      </c>
      <c r="P151" t="n">
        <v>0</v>
      </c>
      <c r="Q151" t="n">
        <v>0</v>
      </c>
      <c r="R151" s="2" t="inlineStr"/>
    </row>
    <row r="152" ht="15" customHeight="1">
      <c r="A152" t="inlineStr">
        <is>
          <t>A 5439-2019</t>
        </is>
      </c>
      <c r="B152" s="1" t="n">
        <v>43489</v>
      </c>
      <c r="C152" s="1" t="n">
        <v>45364</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5589-2019</t>
        </is>
      </c>
      <c r="B153" s="1" t="n">
        <v>43489</v>
      </c>
      <c r="C153" s="1" t="n">
        <v>45364</v>
      </c>
      <c r="D153" t="inlineStr">
        <is>
          <t>KALMAR LÄN</t>
        </is>
      </c>
      <c r="E153" t="inlineStr">
        <is>
          <t>VIMMERBY</t>
        </is>
      </c>
      <c r="G153" t="n">
        <v>4.1</v>
      </c>
      <c r="H153" t="n">
        <v>0</v>
      </c>
      <c r="I153" t="n">
        <v>0</v>
      </c>
      <c r="J153" t="n">
        <v>0</v>
      </c>
      <c r="K153" t="n">
        <v>0</v>
      </c>
      <c r="L153" t="n">
        <v>0</v>
      </c>
      <c r="M153" t="n">
        <v>0</v>
      </c>
      <c r="N153" t="n">
        <v>0</v>
      </c>
      <c r="O153" t="n">
        <v>0</v>
      </c>
      <c r="P153" t="n">
        <v>0</v>
      </c>
      <c r="Q153" t="n">
        <v>0</v>
      </c>
      <c r="R153" s="2" t="inlineStr"/>
    </row>
    <row r="154" ht="15" customHeight="1">
      <c r="A154" t="inlineStr">
        <is>
          <t>A 5637-2019</t>
        </is>
      </c>
      <c r="B154" s="1" t="n">
        <v>43489</v>
      </c>
      <c r="C154" s="1" t="n">
        <v>45364</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5453-2019</t>
        </is>
      </c>
      <c r="B155" s="1" t="n">
        <v>43489</v>
      </c>
      <c r="C155" s="1" t="n">
        <v>45364</v>
      </c>
      <c r="D155" t="inlineStr">
        <is>
          <t>KALMAR LÄN</t>
        </is>
      </c>
      <c r="E155" t="inlineStr">
        <is>
          <t>VIMMERBY</t>
        </is>
      </c>
      <c r="G155" t="n">
        <v>1.5</v>
      </c>
      <c r="H155" t="n">
        <v>0</v>
      </c>
      <c r="I155" t="n">
        <v>0</v>
      </c>
      <c r="J155" t="n">
        <v>0</v>
      </c>
      <c r="K155" t="n">
        <v>0</v>
      </c>
      <c r="L155" t="n">
        <v>0</v>
      </c>
      <c r="M155" t="n">
        <v>0</v>
      </c>
      <c r="N155" t="n">
        <v>0</v>
      </c>
      <c r="O155" t="n">
        <v>0</v>
      </c>
      <c r="P155" t="n">
        <v>0</v>
      </c>
      <c r="Q155" t="n">
        <v>0</v>
      </c>
      <c r="R155" s="2" t="inlineStr"/>
    </row>
    <row r="156" ht="15" customHeight="1">
      <c r="A156" t="inlineStr">
        <is>
          <t>A 6419-2019</t>
        </is>
      </c>
      <c r="B156" s="1" t="n">
        <v>43494</v>
      </c>
      <c r="C156" s="1" t="n">
        <v>45364</v>
      </c>
      <c r="D156" t="inlineStr">
        <is>
          <t>KALMAR LÄN</t>
        </is>
      </c>
      <c r="E156" t="inlineStr">
        <is>
          <t>VIMMERBY</t>
        </is>
      </c>
      <c r="G156" t="n">
        <v>2.2</v>
      </c>
      <c r="H156" t="n">
        <v>0</v>
      </c>
      <c r="I156" t="n">
        <v>0</v>
      </c>
      <c r="J156" t="n">
        <v>0</v>
      </c>
      <c r="K156" t="n">
        <v>0</v>
      </c>
      <c r="L156" t="n">
        <v>0</v>
      </c>
      <c r="M156" t="n">
        <v>0</v>
      </c>
      <c r="N156" t="n">
        <v>0</v>
      </c>
      <c r="O156" t="n">
        <v>0</v>
      </c>
      <c r="P156" t="n">
        <v>0</v>
      </c>
      <c r="Q156" t="n">
        <v>0</v>
      </c>
      <c r="R156" s="2" t="inlineStr"/>
    </row>
    <row r="157" ht="15" customHeight="1">
      <c r="A157" t="inlineStr">
        <is>
          <t>A 6519-2019</t>
        </is>
      </c>
      <c r="B157" s="1" t="n">
        <v>43494</v>
      </c>
      <c r="C157" s="1" t="n">
        <v>45364</v>
      </c>
      <c r="D157" t="inlineStr">
        <is>
          <t>KALMAR LÄN</t>
        </is>
      </c>
      <c r="E157" t="inlineStr">
        <is>
          <t>VIMMERBY</t>
        </is>
      </c>
      <c r="G157" t="n">
        <v>1.6</v>
      </c>
      <c r="H157" t="n">
        <v>0</v>
      </c>
      <c r="I157" t="n">
        <v>0</v>
      </c>
      <c r="J157" t="n">
        <v>0</v>
      </c>
      <c r="K157" t="n">
        <v>0</v>
      </c>
      <c r="L157" t="n">
        <v>0</v>
      </c>
      <c r="M157" t="n">
        <v>0</v>
      </c>
      <c r="N157" t="n">
        <v>0</v>
      </c>
      <c r="O157" t="n">
        <v>0</v>
      </c>
      <c r="P157" t="n">
        <v>0</v>
      </c>
      <c r="Q157" t="n">
        <v>0</v>
      </c>
      <c r="R157" s="2" t="inlineStr"/>
    </row>
    <row r="158" ht="15" customHeight="1">
      <c r="A158" t="inlineStr">
        <is>
          <t>A 6568-2019</t>
        </is>
      </c>
      <c r="B158" s="1" t="n">
        <v>43494</v>
      </c>
      <c r="C158" s="1" t="n">
        <v>45364</v>
      </c>
      <c r="D158" t="inlineStr">
        <is>
          <t>KALMAR LÄN</t>
        </is>
      </c>
      <c r="E158" t="inlineStr">
        <is>
          <t>VIMMERBY</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6518-2019</t>
        </is>
      </c>
      <c r="B159" s="1" t="n">
        <v>43494</v>
      </c>
      <c r="C159" s="1" t="n">
        <v>45364</v>
      </c>
      <c r="D159" t="inlineStr">
        <is>
          <t>KALMAR LÄN</t>
        </is>
      </c>
      <c r="E159" t="inlineStr">
        <is>
          <t>VIMMERBY</t>
        </is>
      </c>
      <c r="G159" t="n">
        <v>1.8</v>
      </c>
      <c r="H159" t="n">
        <v>0</v>
      </c>
      <c r="I159" t="n">
        <v>0</v>
      </c>
      <c r="J159" t="n">
        <v>0</v>
      </c>
      <c r="K159" t="n">
        <v>0</v>
      </c>
      <c r="L159" t="n">
        <v>0</v>
      </c>
      <c r="M159" t="n">
        <v>0</v>
      </c>
      <c r="N159" t="n">
        <v>0</v>
      </c>
      <c r="O159" t="n">
        <v>0</v>
      </c>
      <c r="P159" t="n">
        <v>0</v>
      </c>
      <c r="Q159" t="n">
        <v>0</v>
      </c>
      <c r="R159" s="2" t="inlineStr"/>
    </row>
    <row r="160" ht="15" customHeight="1">
      <c r="A160" t="inlineStr">
        <is>
          <t>A 8644-2019</t>
        </is>
      </c>
      <c r="B160" s="1" t="n">
        <v>43501</v>
      </c>
      <c r="C160" s="1" t="n">
        <v>45364</v>
      </c>
      <c r="D160" t="inlineStr">
        <is>
          <t>KALMAR LÄN</t>
        </is>
      </c>
      <c r="E160" t="inlineStr">
        <is>
          <t>VIMMERBY</t>
        </is>
      </c>
      <c r="G160" t="n">
        <v>2.4</v>
      </c>
      <c r="H160" t="n">
        <v>0</v>
      </c>
      <c r="I160" t="n">
        <v>0</v>
      </c>
      <c r="J160" t="n">
        <v>0</v>
      </c>
      <c r="K160" t="n">
        <v>0</v>
      </c>
      <c r="L160" t="n">
        <v>0</v>
      </c>
      <c r="M160" t="n">
        <v>0</v>
      </c>
      <c r="N160" t="n">
        <v>0</v>
      </c>
      <c r="O160" t="n">
        <v>0</v>
      </c>
      <c r="P160" t="n">
        <v>0</v>
      </c>
      <c r="Q160" t="n">
        <v>0</v>
      </c>
      <c r="R160" s="2" t="inlineStr"/>
    </row>
    <row r="161" ht="15" customHeight="1">
      <c r="A161" t="inlineStr">
        <is>
          <t>A 9223-2019</t>
        </is>
      </c>
      <c r="B161" s="1" t="n">
        <v>43506</v>
      </c>
      <c r="C161" s="1" t="n">
        <v>45364</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9863-2019</t>
        </is>
      </c>
      <c r="B162" s="1" t="n">
        <v>43509</v>
      </c>
      <c r="C162" s="1" t="n">
        <v>45364</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9841-2019</t>
        </is>
      </c>
      <c r="B163" s="1" t="n">
        <v>43509</v>
      </c>
      <c r="C163" s="1" t="n">
        <v>45364</v>
      </c>
      <c r="D163" t="inlineStr">
        <is>
          <t>KALMAR LÄN</t>
        </is>
      </c>
      <c r="E163" t="inlineStr">
        <is>
          <t>VIMMERBY</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10352-2019</t>
        </is>
      </c>
      <c r="B164" s="1" t="n">
        <v>43511</v>
      </c>
      <c r="C164" s="1" t="n">
        <v>45364</v>
      </c>
      <c r="D164" t="inlineStr">
        <is>
          <t>KALMAR LÄN</t>
        </is>
      </c>
      <c r="E164" t="inlineStr">
        <is>
          <t>VIMMERBY</t>
        </is>
      </c>
      <c r="G164" t="n">
        <v>9.9</v>
      </c>
      <c r="H164" t="n">
        <v>0</v>
      </c>
      <c r="I164" t="n">
        <v>0</v>
      </c>
      <c r="J164" t="n">
        <v>0</v>
      </c>
      <c r="K164" t="n">
        <v>0</v>
      </c>
      <c r="L164" t="n">
        <v>0</v>
      </c>
      <c r="M164" t="n">
        <v>0</v>
      </c>
      <c r="N164" t="n">
        <v>0</v>
      </c>
      <c r="O164" t="n">
        <v>0</v>
      </c>
      <c r="P164" t="n">
        <v>0</v>
      </c>
      <c r="Q164" t="n">
        <v>0</v>
      </c>
      <c r="R164" s="2" t="inlineStr"/>
    </row>
    <row r="165" ht="15" customHeight="1">
      <c r="A165" t="inlineStr">
        <is>
          <t>A 10429-2019</t>
        </is>
      </c>
      <c r="B165" s="1" t="n">
        <v>43511</v>
      </c>
      <c r="C165" s="1" t="n">
        <v>45364</v>
      </c>
      <c r="D165" t="inlineStr">
        <is>
          <t>KALMAR LÄN</t>
        </is>
      </c>
      <c r="E165" t="inlineStr">
        <is>
          <t>VIMMERBY</t>
        </is>
      </c>
      <c r="G165" t="n">
        <v>4.2</v>
      </c>
      <c r="H165" t="n">
        <v>0</v>
      </c>
      <c r="I165" t="n">
        <v>0</v>
      </c>
      <c r="J165" t="n">
        <v>0</v>
      </c>
      <c r="K165" t="n">
        <v>0</v>
      </c>
      <c r="L165" t="n">
        <v>0</v>
      </c>
      <c r="M165" t="n">
        <v>0</v>
      </c>
      <c r="N165" t="n">
        <v>0</v>
      </c>
      <c r="O165" t="n">
        <v>0</v>
      </c>
      <c r="P165" t="n">
        <v>0</v>
      </c>
      <c r="Q165" t="n">
        <v>0</v>
      </c>
      <c r="R165" s="2" t="inlineStr"/>
    </row>
    <row r="166" ht="15" customHeight="1">
      <c r="A166" t="inlineStr">
        <is>
          <t>A 10354-2019</t>
        </is>
      </c>
      <c r="B166" s="1" t="n">
        <v>43511</v>
      </c>
      <c r="C166" s="1" t="n">
        <v>45364</v>
      </c>
      <c r="D166" t="inlineStr">
        <is>
          <t>KALMAR LÄN</t>
        </is>
      </c>
      <c r="E166" t="inlineStr">
        <is>
          <t>VIMMERBY</t>
        </is>
      </c>
      <c r="G166" t="n">
        <v>1.3</v>
      </c>
      <c r="H166" t="n">
        <v>0</v>
      </c>
      <c r="I166" t="n">
        <v>0</v>
      </c>
      <c r="J166" t="n">
        <v>0</v>
      </c>
      <c r="K166" t="n">
        <v>0</v>
      </c>
      <c r="L166" t="n">
        <v>0</v>
      </c>
      <c r="M166" t="n">
        <v>0</v>
      </c>
      <c r="N166" t="n">
        <v>0</v>
      </c>
      <c r="O166" t="n">
        <v>0</v>
      </c>
      <c r="P166" t="n">
        <v>0</v>
      </c>
      <c r="Q166" t="n">
        <v>0</v>
      </c>
      <c r="R166" s="2" t="inlineStr"/>
    </row>
    <row r="167" ht="15" customHeight="1">
      <c r="A167" t="inlineStr">
        <is>
          <t>A 10349-2019</t>
        </is>
      </c>
      <c r="B167" s="1" t="n">
        <v>43511</v>
      </c>
      <c r="C167" s="1" t="n">
        <v>45364</v>
      </c>
      <c r="D167" t="inlineStr">
        <is>
          <t>KALMAR LÄN</t>
        </is>
      </c>
      <c r="E167" t="inlineStr">
        <is>
          <t>VIMMERBY</t>
        </is>
      </c>
      <c r="G167" t="n">
        <v>9.1</v>
      </c>
      <c r="H167" t="n">
        <v>0</v>
      </c>
      <c r="I167" t="n">
        <v>0</v>
      </c>
      <c r="J167" t="n">
        <v>0</v>
      </c>
      <c r="K167" t="n">
        <v>0</v>
      </c>
      <c r="L167" t="n">
        <v>0</v>
      </c>
      <c r="M167" t="n">
        <v>0</v>
      </c>
      <c r="N167" t="n">
        <v>0</v>
      </c>
      <c r="O167" t="n">
        <v>0</v>
      </c>
      <c r="P167" t="n">
        <v>0</v>
      </c>
      <c r="Q167" t="n">
        <v>0</v>
      </c>
      <c r="R167" s="2" t="inlineStr"/>
    </row>
    <row r="168" ht="15" customHeight="1">
      <c r="A168" t="inlineStr">
        <is>
          <t>A 11374-2019</t>
        </is>
      </c>
      <c r="B168" s="1" t="n">
        <v>43517</v>
      </c>
      <c r="C168" s="1" t="n">
        <v>45364</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12192-2019</t>
        </is>
      </c>
      <c r="B169" s="1" t="n">
        <v>43522</v>
      </c>
      <c r="C169" s="1" t="n">
        <v>45364</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12112-2019</t>
        </is>
      </c>
      <c r="B170" s="1" t="n">
        <v>43522</v>
      </c>
      <c r="C170" s="1" t="n">
        <v>45364</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12365-2019</t>
        </is>
      </c>
      <c r="B171" s="1" t="n">
        <v>43523</v>
      </c>
      <c r="C171" s="1" t="n">
        <v>45364</v>
      </c>
      <c r="D171" t="inlineStr">
        <is>
          <t>KALMAR LÄN</t>
        </is>
      </c>
      <c r="E171" t="inlineStr">
        <is>
          <t>VIMMERBY</t>
        </is>
      </c>
      <c r="G171" t="n">
        <v>6.1</v>
      </c>
      <c r="H171" t="n">
        <v>0</v>
      </c>
      <c r="I171" t="n">
        <v>0</v>
      </c>
      <c r="J171" t="n">
        <v>0</v>
      </c>
      <c r="K171" t="n">
        <v>0</v>
      </c>
      <c r="L171" t="n">
        <v>0</v>
      </c>
      <c r="M171" t="n">
        <v>0</v>
      </c>
      <c r="N171" t="n">
        <v>0</v>
      </c>
      <c r="O171" t="n">
        <v>0</v>
      </c>
      <c r="P171" t="n">
        <v>0</v>
      </c>
      <c r="Q171" t="n">
        <v>0</v>
      </c>
      <c r="R171" s="2" t="inlineStr"/>
    </row>
    <row r="172" ht="15" customHeight="1">
      <c r="A172" t="inlineStr">
        <is>
          <t>A 12339-2019</t>
        </is>
      </c>
      <c r="B172" s="1" t="n">
        <v>43523</v>
      </c>
      <c r="C172" s="1" t="n">
        <v>45364</v>
      </c>
      <c r="D172" t="inlineStr">
        <is>
          <t>KALMAR LÄN</t>
        </is>
      </c>
      <c r="E172" t="inlineStr">
        <is>
          <t>VIMMERBY</t>
        </is>
      </c>
      <c r="G172" t="n">
        <v>2.7</v>
      </c>
      <c r="H172" t="n">
        <v>0</v>
      </c>
      <c r="I172" t="n">
        <v>0</v>
      </c>
      <c r="J172" t="n">
        <v>0</v>
      </c>
      <c r="K172" t="n">
        <v>0</v>
      </c>
      <c r="L172" t="n">
        <v>0</v>
      </c>
      <c r="M172" t="n">
        <v>0</v>
      </c>
      <c r="N172" t="n">
        <v>0</v>
      </c>
      <c r="O172" t="n">
        <v>0</v>
      </c>
      <c r="P172" t="n">
        <v>0</v>
      </c>
      <c r="Q172" t="n">
        <v>0</v>
      </c>
      <c r="R172" s="2" t="inlineStr"/>
    </row>
    <row r="173" ht="15" customHeight="1">
      <c r="A173" t="inlineStr">
        <is>
          <t>A 12969-2019</t>
        </is>
      </c>
      <c r="B173" s="1" t="n">
        <v>43527</v>
      </c>
      <c r="C173" s="1" t="n">
        <v>45364</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13135-2019</t>
        </is>
      </c>
      <c r="B174" s="1" t="n">
        <v>43528</v>
      </c>
      <c r="C174" s="1" t="n">
        <v>45364</v>
      </c>
      <c r="D174" t="inlineStr">
        <is>
          <t>KALMAR LÄN</t>
        </is>
      </c>
      <c r="E174" t="inlineStr">
        <is>
          <t>VIMMERBY</t>
        </is>
      </c>
      <c r="G174" t="n">
        <v>3.5</v>
      </c>
      <c r="H174" t="n">
        <v>0</v>
      </c>
      <c r="I174" t="n">
        <v>0</v>
      </c>
      <c r="J174" t="n">
        <v>0</v>
      </c>
      <c r="K174" t="n">
        <v>0</v>
      </c>
      <c r="L174" t="n">
        <v>0</v>
      </c>
      <c r="M174" t="n">
        <v>0</v>
      </c>
      <c r="N174" t="n">
        <v>0</v>
      </c>
      <c r="O174" t="n">
        <v>0</v>
      </c>
      <c r="P174" t="n">
        <v>0</v>
      </c>
      <c r="Q174" t="n">
        <v>0</v>
      </c>
      <c r="R174" s="2" t="inlineStr"/>
    </row>
    <row r="175" ht="15" customHeight="1">
      <c r="A175" t="inlineStr">
        <is>
          <t>A 13178-2019</t>
        </is>
      </c>
      <c r="B175" s="1" t="n">
        <v>43528</v>
      </c>
      <c r="C175" s="1" t="n">
        <v>45364</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13797-2019</t>
        </is>
      </c>
      <c r="B176" s="1" t="n">
        <v>43530</v>
      </c>
      <c r="C176" s="1" t="n">
        <v>45364</v>
      </c>
      <c r="D176" t="inlineStr">
        <is>
          <t>KALMAR LÄN</t>
        </is>
      </c>
      <c r="E176" t="inlineStr">
        <is>
          <t>VIMMERBY</t>
        </is>
      </c>
      <c r="G176" t="n">
        <v>6.5</v>
      </c>
      <c r="H176" t="n">
        <v>0</v>
      </c>
      <c r="I176" t="n">
        <v>0</v>
      </c>
      <c r="J176" t="n">
        <v>0</v>
      </c>
      <c r="K176" t="n">
        <v>0</v>
      </c>
      <c r="L176" t="n">
        <v>0</v>
      </c>
      <c r="M176" t="n">
        <v>0</v>
      </c>
      <c r="N176" t="n">
        <v>0</v>
      </c>
      <c r="O176" t="n">
        <v>0</v>
      </c>
      <c r="P176" t="n">
        <v>0</v>
      </c>
      <c r="Q176" t="n">
        <v>0</v>
      </c>
      <c r="R176" s="2" t="inlineStr"/>
    </row>
    <row r="177" ht="15" customHeight="1">
      <c r="A177" t="inlineStr">
        <is>
          <t>A 13522-2019</t>
        </is>
      </c>
      <c r="B177" s="1" t="n">
        <v>43530</v>
      </c>
      <c r="C177" s="1" t="n">
        <v>45364</v>
      </c>
      <c r="D177" t="inlineStr">
        <is>
          <t>KALMAR LÄN</t>
        </is>
      </c>
      <c r="E177" t="inlineStr">
        <is>
          <t>VIMMERBY</t>
        </is>
      </c>
      <c r="G177" t="n">
        <v>1.2</v>
      </c>
      <c r="H177" t="n">
        <v>0</v>
      </c>
      <c r="I177" t="n">
        <v>0</v>
      </c>
      <c r="J177" t="n">
        <v>0</v>
      </c>
      <c r="K177" t="n">
        <v>0</v>
      </c>
      <c r="L177" t="n">
        <v>0</v>
      </c>
      <c r="M177" t="n">
        <v>0</v>
      </c>
      <c r="N177" t="n">
        <v>0</v>
      </c>
      <c r="O177" t="n">
        <v>0</v>
      </c>
      <c r="P177" t="n">
        <v>0</v>
      </c>
      <c r="Q177" t="n">
        <v>0</v>
      </c>
      <c r="R177" s="2" t="inlineStr"/>
    </row>
    <row r="178" ht="15" customHeight="1">
      <c r="A178" t="inlineStr">
        <is>
          <t>A 13841-2019</t>
        </is>
      </c>
      <c r="B178" s="1" t="n">
        <v>43531</v>
      </c>
      <c r="C178" s="1" t="n">
        <v>45364</v>
      </c>
      <c r="D178" t="inlineStr">
        <is>
          <t>KALMAR LÄN</t>
        </is>
      </c>
      <c r="E178" t="inlineStr">
        <is>
          <t>VIMMERBY</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13892-2019</t>
        </is>
      </c>
      <c r="B179" s="1" t="n">
        <v>43531</v>
      </c>
      <c r="C179" s="1" t="n">
        <v>45364</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14108-2019</t>
        </is>
      </c>
      <c r="B180" s="1" t="n">
        <v>43532</v>
      </c>
      <c r="C180" s="1" t="n">
        <v>45364</v>
      </c>
      <c r="D180" t="inlineStr">
        <is>
          <t>KALMAR LÄN</t>
        </is>
      </c>
      <c r="E180" t="inlineStr">
        <is>
          <t>VIMMERBY</t>
        </is>
      </c>
      <c r="G180" t="n">
        <v>3.6</v>
      </c>
      <c r="H180" t="n">
        <v>0</v>
      </c>
      <c r="I180" t="n">
        <v>0</v>
      </c>
      <c r="J180" t="n">
        <v>0</v>
      </c>
      <c r="K180" t="n">
        <v>0</v>
      </c>
      <c r="L180" t="n">
        <v>0</v>
      </c>
      <c r="M180" t="n">
        <v>0</v>
      </c>
      <c r="N180" t="n">
        <v>0</v>
      </c>
      <c r="O180" t="n">
        <v>0</v>
      </c>
      <c r="P180" t="n">
        <v>0</v>
      </c>
      <c r="Q180" t="n">
        <v>0</v>
      </c>
      <c r="R180" s="2" t="inlineStr"/>
    </row>
    <row r="181" ht="15" customHeight="1">
      <c r="A181" t="inlineStr">
        <is>
          <t>A 14106-2019</t>
        </is>
      </c>
      <c r="B181" s="1" t="n">
        <v>43532</v>
      </c>
      <c r="C181" s="1" t="n">
        <v>45364</v>
      </c>
      <c r="D181" t="inlineStr">
        <is>
          <t>KALMAR LÄN</t>
        </is>
      </c>
      <c r="E181" t="inlineStr">
        <is>
          <t>VIMMERBY</t>
        </is>
      </c>
      <c r="G181" t="n">
        <v>2.8</v>
      </c>
      <c r="H181" t="n">
        <v>0</v>
      </c>
      <c r="I181" t="n">
        <v>0</v>
      </c>
      <c r="J181" t="n">
        <v>0</v>
      </c>
      <c r="K181" t="n">
        <v>0</v>
      </c>
      <c r="L181" t="n">
        <v>0</v>
      </c>
      <c r="M181" t="n">
        <v>0</v>
      </c>
      <c r="N181" t="n">
        <v>0</v>
      </c>
      <c r="O181" t="n">
        <v>0</v>
      </c>
      <c r="P181" t="n">
        <v>0</v>
      </c>
      <c r="Q181" t="n">
        <v>0</v>
      </c>
      <c r="R181" s="2" t="inlineStr"/>
    </row>
    <row r="182" ht="15" customHeight="1">
      <c r="A182" t="inlineStr">
        <is>
          <t>A 14102-2019</t>
        </is>
      </c>
      <c r="B182" s="1" t="n">
        <v>43532</v>
      </c>
      <c r="C182" s="1" t="n">
        <v>45364</v>
      </c>
      <c r="D182" t="inlineStr">
        <is>
          <t>KALMAR LÄN</t>
        </is>
      </c>
      <c r="E182" t="inlineStr">
        <is>
          <t>VIMMERBY</t>
        </is>
      </c>
      <c r="G182" t="n">
        <v>7.4</v>
      </c>
      <c r="H182" t="n">
        <v>0</v>
      </c>
      <c r="I182" t="n">
        <v>0</v>
      </c>
      <c r="J182" t="n">
        <v>0</v>
      </c>
      <c r="K182" t="n">
        <v>0</v>
      </c>
      <c r="L182" t="n">
        <v>0</v>
      </c>
      <c r="M182" t="n">
        <v>0</v>
      </c>
      <c r="N182" t="n">
        <v>0</v>
      </c>
      <c r="O182" t="n">
        <v>0</v>
      </c>
      <c r="P182" t="n">
        <v>0</v>
      </c>
      <c r="Q182" t="n">
        <v>0</v>
      </c>
      <c r="R182" s="2" t="inlineStr"/>
    </row>
    <row r="183" ht="15" customHeight="1">
      <c r="A183" t="inlineStr">
        <is>
          <t>A 14097-2019</t>
        </is>
      </c>
      <c r="B183" s="1" t="n">
        <v>43532</v>
      </c>
      <c r="C183" s="1" t="n">
        <v>45364</v>
      </c>
      <c r="D183" t="inlineStr">
        <is>
          <t>KALMAR LÄN</t>
        </is>
      </c>
      <c r="E183" t="inlineStr">
        <is>
          <t>VIMMERBY</t>
        </is>
      </c>
      <c r="G183" t="n">
        <v>7.5</v>
      </c>
      <c r="H183" t="n">
        <v>0</v>
      </c>
      <c r="I183" t="n">
        <v>0</v>
      </c>
      <c r="J183" t="n">
        <v>0</v>
      </c>
      <c r="K183" t="n">
        <v>0</v>
      </c>
      <c r="L183" t="n">
        <v>0</v>
      </c>
      <c r="M183" t="n">
        <v>0</v>
      </c>
      <c r="N183" t="n">
        <v>0</v>
      </c>
      <c r="O183" t="n">
        <v>0</v>
      </c>
      <c r="P183" t="n">
        <v>0</v>
      </c>
      <c r="Q183" t="n">
        <v>0</v>
      </c>
      <c r="R183" s="2" t="inlineStr"/>
    </row>
    <row r="184" ht="15" customHeight="1">
      <c r="A184" t="inlineStr">
        <is>
          <t>A 14173-2019</t>
        </is>
      </c>
      <c r="B184" s="1" t="n">
        <v>43534</v>
      </c>
      <c r="C184" s="1" t="n">
        <v>45364</v>
      </c>
      <c r="D184" t="inlineStr">
        <is>
          <t>KALMAR LÄN</t>
        </is>
      </c>
      <c r="E184" t="inlineStr">
        <is>
          <t>VIMMERBY</t>
        </is>
      </c>
      <c r="G184" t="n">
        <v>5.6</v>
      </c>
      <c r="H184" t="n">
        <v>0</v>
      </c>
      <c r="I184" t="n">
        <v>0</v>
      </c>
      <c r="J184" t="n">
        <v>0</v>
      </c>
      <c r="K184" t="n">
        <v>0</v>
      </c>
      <c r="L184" t="n">
        <v>0</v>
      </c>
      <c r="M184" t="n">
        <v>0</v>
      </c>
      <c r="N184" t="n">
        <v>0</v>
      </c>
      <c r="O184" t="n">
        <v>0</v>
      </c>
      <c r="P184" t="n">
        <v>0</v>
      </c>
      <c r="Q184" t="n">
        <v>0</v>
      </c>
      <c r="R184" s="2" t="inlineStr"/>
    </row>
    <row r="185" ht="15" customHeight="1">
      <c r="A185" t="inlineStr">
        <is>
          <t>A 14767-2019</t>
        </is>
      </c>
      <c r="B185" s="1" t="n">
        <v>43536</v>
      </c>
      <c r="C185" s="1" t="n">
        <v>45364</v>
      </c>
      <c r="D185" t="inlineStr">
        <is>
          <t>KALMAR LÄN</t>
        </is>
      </c>
      <c r="E185" t="inlineStr">
        <is>
          <t>VIMMERBY</t>
        </is>
      </c>
      <c r="G185" t="n">
        <v>4.3</v>
      </c>
      <c r="H185" t="n">
        <v>0</v>
      </c>
      <c r="I185" t="n">
        <v>0</v>
      </c>
      <c r="J185" t="n">
        <v>0</v>
      </c>
      <c r="K185" t="n">
        <v>0</v>
      </c>
      <c r="L185" t="n">
        <v>0</v>
      </c>
      <c r="M185" t="n">
        <v>0</v>
      </c>
      <c r="N185" t="n">
        <v>0</v>
      </c>
      <c r="O185" t="n">
        <v>0</v>
      </c>
      <c r="P185" t="n">
        <v>0</v>
      </c>
      <c r="Q185" t="n">
        <v>0</v>
      </c>
      <c r="R185" s="2" t="inlineStr"/>
    </row>
    <row r="186" ht="15" customHeight="1">
      <c r="A186" t="inlineStr">
        <is>
          <t>A 14500-2019</t>
        </is>
      </c>
      <c r="B186" s="1" t="n">
        <v>43537</v>
      </c>
      <c r="C186" s="1" t="n">
        <v>45364</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15264-2019</t>
        </is>
      </c>
      <c r="B187" s="1" t="n">
        <v>43539</v>
      </c>
      <c r="C187" s="1" t="n">
        <v>45364</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15261-2019</t>
        </is>
      </c>
      <c r="B188" s="1" t="n">
        <v>43539</v>
      </c>
      <c r="C188" s="1" t="n">
        <v>45364</v>
      </c>
      <c r="D188" t="inlineStr">
        <is>
          <t>KALMAR LÄN</t>
        </is>
      </c>
      <c r="E188" t="inlineStr">
        <is>
          <t>VIMMERBY</t>
        </is>
      </c>
      <c r="G188" t="n">
        <v>1.6</v>
      </c>
      <c r="H188" t="n">
        <v>0</v>
      </c>
      <c r="I188" t="n">
        <v>0</v>
      </c>
      <c r="J188" t="n">
        <v>0</v>
      </c>
      <c r="K188" t="n">
        <v>0</v>
      </c>
      <c r="L188" t="n">
        <v>0</v>
      </c>
      <c r="M188" t="n">
        <v>0</v>
      </c>
      <c r="N188" t="n">
        <v>0</v>
      </c>
      <c r="O188" t="n">
        <v>0</v>
      </c>
      <c r="P188" t="n">
        <v>0</v>
      </c>
      <c r="Q188" t="n">
        <v>0</v>
      </c>
      <c r="R188" s="2" t="inlineStr"/>
    </row>
    <row r="189" ht="15" customHeight="1">
      <c r="A189" t="inlineStr">
        <is>
          <t>A 15259-2019</t>
        </is>
      </c>
      <c r="B189" s="1" t="n">
        <v>43539</v>
      </c>
      <c r="C189" s="1" t="n">
        <v>45364</v>
      </c>
      <c r="D189" t="inlineStr">
        <is>
          <t>KALMAR LÄN</t>
        </is>
      </c>
      <c r="E189" t="inlineStr">
        <is>
          <t>VIMMERBY</t>
        </is>
      </c>
      <c r="G189" t="n">
        <v>2.9</v>
      </c>
      <c r="H189" t="n">
        <v>0</v>
      </c>
      <c r="I189" t="n">
        <v>0</v>
      </c>
      <c r="J189" t="n">
        <v>0</v>
      </c>
      <c r="K189" t="n">
        <v>0</v>
      </c>
      <c r="L189" t="n">
        <v>0</v>
      </c>
      <c r="M189" t="n">
        <v>0</v>
      </c>
      <c r="N189" t="n">
        <v>0</v>
      </c>
      <c r="O189" t="n">
        <v>0</v>
      </c>
      <c r="P189" t="n">
        <v>0</v>
      </c>
      <c r="Q189" t="n">
        <v>0</v>
      </c>
      <c r="R189" s="2" t="inlineStr"/>
    </row>
    <row r="190" ht="15" customHeight="1">
      <c r="A190" t="inlineStr">
        <is>
          <t>A 15454-2019</t>
        </is>
      </c>
      <c r="B190" s="1" t="n">
        <v>43542</v>
      </c>
      <c r="C190" s="1" t="n">
        <v>45364</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17242-2019</t>
        </is>
      </c>
      <c r="B191" s="1" t="n">
        <v>43552</v>
      </c>
      <c r="C191" s="1" t="n">
        <v>45364</v>
      </c>
      <c r="D191" t="inlineStr">
        <is>
          <t>KALMAR LÄN</t>
        </is>
      </c>
      <c r="E191" t="inlineStr">
        <is>
          <t>VIMMERBY</t>
        </is>
      </c>
      <c r="G191" t="n">
        <v>0.4</v>
      </c>
      <c r="H191" t="n">
        <v>0</v>
      </c>
      <c r="I191" t="n">
        <v>0</v>
      </c>
      <c r="J191" t="n">
        <v>0</v>
      </c>
      <c r="K191" t="n">
        <v>0</v>
      </c>
      <c r="L191" t="n">
        <v>0</v>
      </c>
      <c r="M191" t="n">
        <v>0</v>
      </c>
      <c r="N191" t="n">
        <v>0</v>
      </c>
      <c r="O191" t="n">
        <v>0</v>
      </c>
      <c r="P191" t="n">
        <v>0</v>
      </c>
      <c r="Q191" t="n">
        <v>0</v>
      </c>
      <c r="R191" s="2" t="inlineStr"/>
    </row>
    <row r="192" ht="15" customHeight="1">
      <c r="A192" t="inlineStr">
        <is>
          <t>A 17395-2019</t>
        </is>
      </c>
      <c r="B192" s="1" t="n">
        <v>43552</v>
      </c>
      <c r="C192" s="1" t="n">
        <v>45364</v>
      </c>
      <c r="D192" t="inlineStr">
        <is>
          <t>KALMAR LÄN</t>
        </is>
      </c>
      <c r="E192" t="inlineStr">
        <is>
          <t>VIMMERBY</t>
        </is>
      </c>
      <c r="G192" t="n">
        <v>2.2</v>
      </c>
      <c r="H192" t="n">
        <v>0</v>
      </c>
      <c r="I192" t="n">
        <v>0</v>
      </c>
      <c r="J192" t="n">
        <v>0</v>
      </c>
      <c r="K192" t="n">
        <v>0</v>
      </c>
      <c r="L192" t="n">
        <v>0</v>
      </c>
      <c r="M192" t="n">
        <v>0</v>
      </c>
      <c r="N192" t="n">
        <v>0</v>
      </c>
      <c r="O192" t="n">
        <v>0</v>
      </c>
      <c r="P192" t="n">
        <v>0</v>
      </c>
      <c r="Q192" t="n">
        <v>0</v>
      </c>
      <c r="R192" s="2" t="inlineStr"/>
    </row>
    <row r="193" ht="15" customHeight="1">
      <c r="A193" t="inlineStr">
        <is>
          <t>A 17398-2019</t>
        </is>
      </c>
      <c r="B193" s="1" t="n">
        <v>43552</v>
      </c>
      <c r="C193" s="1" t="n">
        <v>45364</v>
      </c>
      <c r="D193" t="inlineStr">
        <is>
          <t>KALMAR LÄN</t>
        </is>
      </c>
      <c r="E193" t="inlineStr">
        <is>
          <t>VIMMERBY</t>
        </is>
      </c>
      <c r="G193" t="n">
        <v>3.2</v>
      </c>
      <c r="H193" t="n">
        <v>0</v>
      </c>
      <c r="I193" t="n">
        <v>0</v>
      </c>
      <c r="J193" t="n">
        <v>0</v>
      </c>
      <c r="K193" t="n">
        <v>0</v>
      </c>
      <c r="L193" t="n">
        <v>0</v>
      </c>
      <c r="M193" t="n">
        <v>0</v>
      </c>
      <c r="N193" t="n">
        <v>0</v>
      </c>
      <c r="O193" t="n">
        <v>0</v>
      </c>
      <c r="P193" t="n">
        <v>0</v>
      </c>
      <c r="Q193" t="n">
        <v>0</v>
      </c>
      <c r="R193" s="2" t="inlineStr"/>
    </row>
    <row r="194" ht="15" customHeight="1">
      <c r="A194" t="inlineStr">
        <is>
          <t>A 17394-2019</t>
        </is>
      </c>
      <c r="B194" s="1" t="n">
        <v>43552</v>
      </c>
      <c r="C194" s="1" t="n">
        <v>45364</v>
      </c>
      <c r="D194" t="inlineStr">
        <is>
          <t>KALMAR LÄN</t>
        </is>
      </c>
      <c r="E194" t="inlineStr">
        <is>
          <t>VIMMERBY</t>
        </is>
      </c>
      <c r="G194" t="n">
        <v>4.9</v>
      </c>
      <c r="H194" t="n">
        <v>0</v>
      </c>
      <c r="I194" t="n">
        <v>0</v>
      </c>
      <c r="J194" t="n">
        <v>0</v>
      </c>
      <c r="K194" t="n">
        <v>0</v>
      </c>
      <c r="L194" t="n">
        <v>0</v>
      </c>
      <c r="M194" t="n">
        <v>0</v>
      </c>
      <c r="N194" t="n">
        <v>0</v>
      </c>
      <c r="O194" t="n">
        <v>0</v>
      </c>
      <c r="P194" t="n">
        <v>0</v>
      </c>
      <c r="Q194" t="n">
        <v>0</v>
      </c>
      <c r="R194" s="2" t="inlineStr"/>
    </row>
    <row r="195" ht="15" customHeight="1">
      <c r="A195" t="inlineStr">
        <is>
          <t>A 17397-2019</t>
        </is>
      </c>
      <c r="B195" s="1" t="n">
        <v>43552</v>
      </c>
      <c r="C195" s="1" t="n">
        <v>45364</v>
      </c>
      <c r="D195" t="inlineStr">
        <is>
          <t>KALMAR LÄN</t>
        </is>
      </c>
      <c r="E195" t="inlineStr">
        <is>
          <t>VIMMERBY</t>
        </is>
      </c>
      <c r="G195" t="n">
        <v>2.1</v>
      </c>
      <c r="H195" t="n">
        <v>0</v>
      </c>
      <c r="I195" t="n">
        <v>0</v>
      </c>
      <c r="J195" t="n">
        <v>0</v>
      </c>
      <c r="K195" t="n">
        <v>0</v>
      </c>
      <c r="L195" t="n">
        <v>0</v>
      </c>
      <c r="M195" t="n">
        <v>0</v>
      </c>
      <c r="N195" t="n">
        <v>0</v>
      </c>
      <c r="O195" t="n">
        <v>0</v>
      </c>
      <c r="P195" t="n">
        <v>0</v>
      </c>
      <c r="Q195" t="n">
        <v>0</v>
      </c>
      <c r="R195" s="2" t="inlineStr"/>
    </row>
    <row r="196" ht="15" customHeight="1">
      <c r="A196" t="inlineStr">
        <is>
          <t>A 17396-2019</t>
        </is>
      </c>
      <c r="B196" s="1" t="n">
        <v>43552</v>
      </c>
      <c r="C196" s="1" t="n">
        <v>45364</v>
      </c>
      <c r="D196" t="inlineStr">
        <is>
          <t>KALMAR LÄN</t>
        </is>
      </c>
      <c r="E196" t="inlineStr">
        <is>
          <t>VIMMERBY</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17447-2019</t>
        </is>
      </c>
      <c r="B197" s="1" t="n">
        <v>43553</v>
      </c>
      <c r="C197" s="1" t="n">
        <v>45364</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18658-2019</t>
        </is>
      </c>
      <c r="B198" s="1" t="n">
        <v>43559</v>
      </c>
      <c r="C198" s="1" t="n">
        <v>45364</v>
      </c>
      <c r="D198" t="inlineStr">
        <is>
          <t>KALMAR LÄN</t>
        </is>
      </c>
      <c r="E198" t="inlineStr">
        <is>
          <t>VIMMERBY</t>
        </is>
      </c>
      <c r="G198" t="n">
        <v>2.5</v>
      </c>
      <c r="H198" t="n">
        <v>0</v>
      </c>
      <c r="I198" t="n">
        <v>0</v>
      </c>
      <c r="J198" t="n">
        <v>0</v>
      </c>
      <c r="K198" t="n">
        <v>0</v>
      </c>
      <c r="L198" t="n">
        <v>0</v>
      </c>
      <c r="M198" t="n">
        <v>0</v>
      </c>
      <c r="N198" t="n">
        <v>0</v>
      </c>
      <c r="O198" t="n">
        <v>0</v>
      </c>
      <c r="P198" t="n">
        <v>0</v>
      </c>
      <c r="Q198" t="n">
        <v>0</v>
      </c>
      <c r="R198" s="2" t="inlineStr"/>
    </row>
    <row r="199" ht="15" customHeight="1">
      <c r="A199" t="inlineStr">
        <is>
          <t>A 18656-2019</t>
        </is>
      </c>
      <c r="B199" s="1" t="n">
        <v>43559</v>
      </c>
      <c r="C199" s="1" t="n">
        <v>45364</v>
      </c>
      <c r="D199" t="inlineStr">
        <is>
          <t>KALMAR LÄN</t>
        </is>
      </c>
      <c r="E199" t="inlineStr">
        <is>
          <t>VIMMERBY</t>
        </is>
      </c>
      <c r="G199" t="n">
        <v>2.1</v>
      </c>
      <c r="H199" t="n">
        <v>0</v>
      </c>
      <c r="I199" t="n">
        <v>0</v>
      </c>
      <c r="J199" t="n">
        <v>0</v>
      </c>
      <c r="K199" t="n">
        <v>0</v>
      </c>
      <c r="L199" t="n">
        <v>0</v>
      </c>
      <c r="M199" t="n">
        <v>0</v>
      </c>
      <c r="N199" t="n">
        <v>0</v>
      </c>
      <c r="O199" t="n">
        <v>0</v>
      </c>
      <c r="P199" t="n">
        <v>0</v>
      </c>
      <c r="Q199" t="n">
        <v>0</v>
      </c>
      <c r="R199" s="2" t="inlineStr"/>
    </row>
    <row r="200" ht="15" customHeight="1">
      <c r="A200" t="inlineStr">
        <is>
          <t>A 18755-2019</t>
        </is>
      </c>
      <c r="B200" s="1" t="n">
        <v>43560</v>
      </c>
      <c r="C200" s="1" t="n">
        <v>45364</v>
      </c>
      <c r="D200" t="inlineStr">
        <is>
          <t>KALMAR LÄN</t>
        </is>
      </c>
      <c r="E200" t="inlineStr">
        <is>
          <t>VIMMERBY</t>
        </is>
      </c>
      <c r="G200" t="n">
        <v>1.6</v>
      </c>
      <c r="H200" t="n">
        <v>0</v>
      </c>
      <c r="I200" t="n">
        <v>0</v>
      </c>
      <c r="J200" t="n">
        <v>0</v>
      </c>
      <c r="K200" t="n">
        <v>0</v>
      </c>
      <c r="L200" t="n">
        <v>0</v>
      </c>
      <c r="M200" t="n">
        <v>0</v>
      </c>
      <c r="N200" t="n">
        <v>0</v>
      </c>
      <c r="O200" t="n">
        <v>0</v>
      </c>
      <c r="P200" t="n">
        <v>0</v>
      </c>
      <c r="Q200" t="n">
        <v>0</v>
      </c>
      <c r="R200" s="2" t="inlineStr"/>
    </row>
    <row r="201" ht="15" customHeight="1">
      <c r="A201" t="inlineStr">
        <is>
          <t>A 19057-2019</t>
        </is>
      </c>
      <c r="B201" s="1" t="n">
        <v>43563</v>
      </c>
      <c r="C201" s="1" t="n">
        <v>45364</v>
      </c>
      <c r="D201" t="inlineStr">
        <is>
          <t>KALMAR LÄN</t>
        </is>
      </c>
      <c r="E201" t="inlineStr">
        <is>
          <t>VIMMERBY</t>
        </is>
      </c>
      <c r="G201" t="n">
        <v>10.1</v>
      </c>
      <c r="H201" t="n">
        <v>0</v>
      </c>
      <c r="I201" t="n">
        <v>0</v>
      </c>
      <c r="J201" t="n">
        <v>0</v>
      </c>
      <c r="K201" t="n">
        <v>0</v>
      </c>
      <c r="L201" t="n">
        <v>0</v>
      </c>
      <c r="M201" t="n">
        <v>0</v>
      </c>
      <c r="N201" t="n">
        <v>0</v>
      </c>
      <c r="O201" t="n">
        <v>0</v>
      </c>
      <c r="P201" t="n">
        <v>0</v>
      </c>
      <c r="Q201" t="n">
        <v>0</v>
      </c>
      <c r="R201" s="2" t="inlineStr"/>
    </row>
    <row r="202" ht="15" customHeight="1">
      <c r="A202" t="inlineStr">
        <is>
          <t>A 19056-2019</t>
        </is>
      </c>
      <c r="B202" s="1" t="n">
        <v>43563</v>
      </c>
      <c r="C202" s="1" t="n">
        <v>45364</v>
      </c>
      <c r="D202" t="inlineStr">
        <is>
          <t>KALMAR LÄN</t>
        </is>
      </c>
      <c r="E202" t="inlineStr">
        <is>
          <t>VIMMERBY</t>
        </is>
      </c>
      <c r="G202" t="n">
        <v>3.2</v>
      </c>
      <c r="H202" t="n">
        <v>0</v>
      </c>
      <c r="I202" t="n">
        <v>0</v>
      </c>
      <c r="J202" t="n">
        <v>0</v>
      </c>
      <c r="K202" t="n">
        <v>0</v>
      </c>
      <c r="L202" t="n">
        <v>0</v>
      </c>
      <c r="M202" t="n">
        <v>0</v>
      </c>
      <c r="N202" t="n">
        <v>0</v>
      </c>
      <c r="O202" t="n">
        <v>0</v>
      </c>
      <c r="P202" t="n">
        <v>0</v>
      </c>
      <c r="Q202" t="n">
        <v>0</v>
      </c>
      <c r="R202" s="2" t="inlineStr"/>
    </row>
    <row r="203" ht="15" customHeight="1">
      <c r="A203" t="inlineStr">
        <is>
          <t>A 19054-2019</t>
        </is>
      </c>
      <c r="B203" s="1" t="n">
        <v>43563</v>
      </c>
      <c r="C203" s="1" t="n">
        <v>45364</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19616-2019</t>
        </is>
      </c>
      <c r="B204" s="1" t="n">
        <v>43566</v>
      </c>
      <c r="C204" s="1" t="n">
        <v>45364</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19632-2019</t>
        </is>
      </c>
      <c r="B205" s="1" t="n">
        <v>43566</v>
      </c>
      <c r="C205" s="1" t="n">
        <v>45364</v>
      </c>
      <c r="D205" t="inlineStr">
        <is>
          <t>KALMAR LÄN</t>
        </is>
      </c>
      <c r="E205" t="inlineStr">
        <is>
          <t>VIMMERBY</t>
        </is>
      </c>
      <c r="G205" t="n">
        <v>4.1</v>
      </c>
      <c r="H205" t="n">
        <v>0</v>
      </c>
      <c r="I205" t="n">
        <v>0</v>
      </c>
      <c r="J205" t="n">
        <v>0</v>
      </c>
      <c r="K205" t="n">
        <v>0</v>
      </c>
      <c r="L205" t="n">
        <v>0</v>
      </c>
      <c r="M205" t="n">
        <v>0</v>
      </c>
      <c r="N205" t="n">
        <v>0</v>
      </c>
      <c r="O205" t="n">
        <v>0</v>
      </c>
      <c r="P205" t="n">
        <v>0</v>
      </c>
      <c r="Q205" t="n">
        <v>0</v>
      </c>
      <c r="R205" s="2" t="inlineStr"/>
    </row>
    <row r="206" ht="15" customHeight="1">
      <c r="A206" t="inlineStr">
        <is>
          <t>A 19899-2019</t>
        </is>
      </c>
      <c r="B206" s="1" t="n">
        <v>43567</v>
      </c>
      <c r="C206" s="1" t="n">
        <v>45364</v>
      </c>
      <c r="D206" t="inlineStr">
        <is>
          <t>KALMAR LÄN</t>
        </is>
      </c>
      <c r="E206" t="inlineStr">
        <is>
          <t>VIMMERBY</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20035-2019</t>
        </is>
      </c>
      <c r="B207" s="1" t="n">
        <v>43570</v>
      </c>
      <c r="C207" s="1" t="n">
        <v>45364</v>
      </c>
      <c r="D207" t="inlineStr">
        <is>
          <t>KALMAR LÄN</t>
        </is>
      </c>
      <c r="E207" t="inlineStr">
        <is>
          <t>VIMMERBY</t>
        </is>
      </c>
      <c r="G207" t="n">
        <v>1.5</v>
      </c>
      <c r="H207" t="n">
        <v>0</v>
      </c>
      <c r="I207" t="n">
        <v>0</v>
      </c>
      <c r="J207" t="n">
        <v>0</v>
      </c>
      <c r="K207" t="n">
        <v>0</v>
      </c>
      <c r="L207" t="n">
        <v>0</v>
      </c>
      <c r="M207" t="n">
        <v>0</v>
      </c>
      <c r="N207" t="n">
        <v>0</v>
      </c>
      <c r="O207" t="n">
        <v>0</v>
      </c>
      <c r="P207" t="n">
        <v>0</v>
      </c>
      <c r="Q207" t="n">
        <v>0</v>
      </c>
      <c r="R207" s="2" t="inlineStr"/>
    </row>
    <row r="208" ht="15" customHeight="1">
      <c r="A208" t="inlineStr">
        <is>
          <t>A 19983-2019</t>
        </is>
      </c>
      <c r="B208" s="1" t="n">
        <v>43570</v>
      </c>
      <c r="C208" s="1" t="n">
        <v>45364</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20080-2019</t>
        </is>
      </c>
      <c r="B209" s="1" t="n">
        <v>43570</v>
      </c>
      <c r="C209" s="1" t="n">
        <v>45364</v>
      </c>
      <c r="D209" t="inlineStr">
        <is>
          <t>KALMAR LÄN</t>
        </is>
      </c>
      <c r="E209" t="inlineStr">
        <is>
          <t>VIMMERBY</t>
        </is>
      </c>
      <c r="G209" t="n">
        <v>1.5</v>
      </c>
      <c r="H209" t="n">
        <v>0</v>
      </c>
      <c r="I209" t="n">
        <v>0</v>
      </c>
      <c r="J209" t="n">
        <v>0</v>
      </c>
      <c r="K209" t="n">
        <v>0</v>
      </c>
      <c r="L209" t="n">
        <v>0</v>
      </c>
      <c r="M209" t="n">
        <v>0</v>
      </c>
      <c r="N209" t="n">
        <v>0</v>
      </c>
      <c r="O209" t="n">
        <v>0</v>
      </c>
      <c r="P209" t="n">
        <v>0</v>
      </c>
      <c r="Q209" t="n">
        <v>0</v>
      </c>
      <c r="R209" s="2" t="inlineStr"/>
    </row>
    <row r="210" ht="15" customHeight="1">
      <c r="A210" t="inlineStr">
        <is>
          <t>A 20069-2019</t>
        </is>
      </c>
      <c r="B210" s="1" t="n">
        <v>43570</v>
      </c>
      <c r="C210" s="1" t="n">
        <v>45364</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20314-2019</t>
        </is>
      </c>
      <c r="B211" s="1" t="n">
        <v>43571</v>
      </c>
      <c r="C211" s="1" t="n">
        <v>45364</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20312-2019</t>
        </is>
      </c>
      <c r="B212" s="1" t="n">
        <v>43571</v>
      </c>
      <c r="C212" s="1" t="n">
        <v>45364</v>
      </c>
      <c r="D212" t="inlineStr">
        <is>
          <t>KALMAR LÄN</t>
        </is>
      </c>
      <c r="E212" t="inlineStr">
        <is>
          <t>VIMMERBY</t>
        </is>
      </c>
      <c r="G212" t="n">
        <v>4.2</v>
      </c>
      <c r="H212" t="n">
        <v>0</v>
      </c>
      <c r="I212" t="n">
        <v>0</v>
      </c>
      <c r="J212" t="n">
        <v>0</v>
      </c>
      <c r="K212" t="n">
        <v>0</v>
      </c>
      <c r="L212" t="n">
        <v>0</v>
      </c>
      <c r="M212" t="n">
        <v>0</v>
      </c>
      <c r="N212" t="n">
        <v>0</v>
      </c>
      <c r="O212" t="n">
        <v>0</v>
      </c>
      <c r="P212" t="n">
        <v>0</v>
      </c>
      <c r="Q212" t="n">
        <v>0</v>
      </c>
      <c r="R212" s="2" t="inlineStr"/>
    </row>
    <row r="213" ht="15" customHeight="1">
      <c r="A213" t="inlineStr">
        <is>
          <t>A 20565-2019</t>
        </is>
      </c>
      <c r="B213" s="1" t="n">
        <v>43572</v>
      </c>
      <c r="C213" s="1" t="n">
        <v>45364</v>
      </c>
      <c r="D213" t="inlineStr">
        <is>
          <t>KALMAR LÄN</t>
        </is>
      </c>
      <c r="E213" t="inlineStr">
        <is>
          <t>VIMMERBY</t>
        </is>
      </c>
      <c r="G213" t="n">
        <v>5.5</v>
      </c>
      <c r="H213" t="n">
        <v>0</v>
      </c>
      <c r="I213" t="n">
        <v>0</v>
      </c>
      <c r="J213" t="n">
        <v>0</v>
      </c>
      <c r="K213" t="n">
        <v>0</v>
      </c>
      <c r="L213" t="n">
        <v>0</v>
      </c>
      <c r="M213" t="n">
        <v>0</v>
      </c>
      <c r="N213" t="n">
        <v>0</v>
      </c>
      <c r="O213" t="n">
        <v>0</v>
      </c>
      <c r="P213" t="n">
        <v>0</v>
      </c>
      <c r="Q213" t="n">
        <v>0</v>
      </c>
      <c r="R213" s="2" t="inlineStr"/>
    </row>
    <row r="214" ht="15" customHeight="1">
      <c r="A214" t="inlineStr">
        <is>
          <t>A 20856-2019</t>
        </is>
      </c>
      <c r="B214" s="1" t="n">
        <v>43578</v>
      </c>
      <c r="C214" s="1" t="n">
        <v>45364</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21557-2019</t>
        </is>
      </c>
      <c r="B215" s="1" t="n">
        <v>43580</v>
      </c>
      <c r="C215" s="1" t="n">
        <v>45364</v>
      </c>
      <c r="D215" t="inlineStr">
        <is>
          <t>KALMAR LÄN</t>
        </is>
      </c>
      <c r="E215" t="inlineStr">
        <is>
          <t>VIMMERBY</t>
        </is>
      </c>
      <c r="G215" t="n">
        <v>13.8</v>
      </c>
      <c r="H215" t="n">
        <v>0</v>
      </c>
      <c r="I215" t="n">
        <v>0</v>
      </c>
      <c r="J215" t="n">
        <v>0</v>
      </c>
      <c r="K215" t="n">
        <v>0</v>
      </c>
      <c r="L215" t="n">
        <v>0</v>
      </c>
      <c r="M215" t="n">
        <v>0</v>
      </c>
      <c r="N215" t="n">
        <v>0</v>
      </c>
      <c r="O215" t="n">
        <v>0</v>
      </c>
      <c r="P215" t="n">
        <v>0</v>
      </c>
      <c r="Q215" t="n">
        <v>0</v>
      </c>
      <c r="R215" s="2" t="inlineStr"/>
    </row>
    <row r="216" ht="15" customHeight="1">
      <c r="A216" t="inlineStr">
        <is>
          <t>A 21500-2019</t>
        </is>
      </c>
      <c r="B216" s="1" t="n">
        <v>43580</v>
      </c>
      <c r="C216" s="1" t="n">
        <v>45364</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21688-2019</t>
        </is>
      </c>
      <c r="B217" s="1" t="n">
        <v>43581</v>
      </c>
      <c r="C217" s="1" t="n">
        <v>45364</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22372-2019</t>
        </is>
      </c>
      <c r="B218" s="1" t="n">
        <v>43587</v>
      </c>
      <c r="C218" s="1" t="n">
        <v>45364</v>
      </c>
      <c r="D218" t="inlineStr">
        <is>
          <t>KALMAR LÄN</t>
        </is>
      </c>
      <c r="E218" t="inlineStr">
        <is>
          <t>VIMMERBY</t>
        </is>
      </c>
      <c r="G218" t="n">
        <v>0.3</v>
      </c>
      <c r="H218" t="n">
        <v>0</v>
      </c>
      <c r="I218" t="n">
        <v>0</v>
      </c>
      <c r="J218" t="n">
        <v>0</v>
      </c>
      <c r="K218" t="n">
        <v>0</v>
      </c>
      <c r="L218" t="n">
        <v>0</v>
      </c>
      <c r="M218" t="n">
        <v>0</v>
      </c>
      <c r="N218" t="n">
        <v>0</v>
      </c>
      <c r="O218" t="n">
        <v>0</v>
      </c>
      <c r="P218" t="n">
        <v>0</v>
      </c>
      <c r="Q218" t="n">
        <v>0</v>
      </c>
      <c r="R218" s="2" t="inlineStr"/>
    </row>
    <row r="219" ht="15" customHeight="1">
      <c r="A219" t="inlineStr">
        <is>
          <t>A 22659-2019</t>
        </is>
      </c>
      <c r="B219" s="1" t="n">
        <v>43588</v>
      </c>
      <c r="C219" s="1" t="n">
        <v>45364</v>
      </c>
      <c r="D219" t="inlineStr">
        <is>
          <t>KALMAR LÄN</t>
        </is>
      </c>
      <c r="E219" t="inlineStr">
        <is>
          <t>VIMMERBY</t>
        </is>
      </c>
      <c r="G219" t="n">
        <v>3.5</v>
      </c>
      <c r="H219" t="n">
        <v>0</v>
      </c>
      <c r="I219" t="n">
        <v>0</v>
      </c>
      <c r="J219" t="n">
        <v>0</v>
      </c>
      <c r="K219" t="n">
        <v>0</v>
      </c>
      <c r="L219" t="n">
        <v>0</v>
      </c>
      <c r="M219" t="n">
        <v>0</v>
      </c>
      <c r="N219" t="n">
        <v>0</v>
      </c>
      <c r="O219" t="n">
        <v>0</v>
      </c>
      <c r="P219" t="n">
        <v>0</v>
      </c>
      <c r="Q219" t="n">
        <v>0</v>
      </c>
      <c r="R219" s="2" t="inlineStr"/>
    </row>
    <row r="220" ht="15" customHeight="1">
      <c r="A220" t="inlineStr">
        <is>
          <t>A 23498-2019</t>
        </is>
      </c>
      <c r="B220" s="1" t="n">
        <v>43593</v>
      </c>
      <c r="C220" s="1" t="n">
        <v>45364</v>
      </c>
      <c r="D220" t="inlineStr">
        <is>
          <t>KALMAR LÄN</t>
        </is>
      </c>
      <c r="E220" t="inlineStr">
        <is>
          <t>VIMMERBY</t>
        </is>
      </c>
      <c r="G220" t="n">
        <v>1.9</v>
      </c>
      <c r="H220" t="n">
        <v>0</v>
      </c>
      <c r="I220" t="n">
        <v>0</v>
      </c>
      <c r="J220" t="n">
        <v>0</v>
      </c>
      <c r="K220" t="n">
        <v>0</v>
      </c>
      <c r="L220" t="n">
        <v>0</v>
      </c>
      <c r="M220" t="n">
        <v>0</v>
      </c>
      <c r="N220" t="n">
        <v>0</v>
      </c>
      <c r="O220" t="n">
        <v>0</v>
      </c>
      <c r="P220" t="n">
        <v>0</v>
      </c>
      <c r="Q220" t="n">
        <v>0</v>
      </c>
      <c r="R220" s="2" t="inlineStr"/>
    </row>
    <row r="221" ht="15" customHeight="1">
      <c r="A221" t="inlineStr">
        <is>
          <t>A 24254-2019</t>
        </is>
      </c>
      <c r="B221" s="1" t="n">
        <v>43599</v>
      </c>
      <c r="C221" s="1" t="n">
        <v>45364</v>
      </c>
      <c r="D221" t="inlineStr">
        <is>
          <t>KALMAR LÄN</t>
        </is>
      </c>
      <c r="E221" t="inlineStr">
        <is>
          <t>VIMMERBY</t>
        </is>
      </c>
      <c r="G221" t="n">
        <v>1.7</v>
      </c>
      <c r="H221" t="n">
        <v>0</v>
      </c>
      <c r="I221" t="n">
        <v>0</v>
      </c>
      <c r="J221" t="n">
        <v>0</v>
      </c>
      <c r="K221" t="n">
        <v>0</v>
      </c>
      <c r="L221" t="n">
        <v>0</v>
      </c>
      <c r="M221" t="n">
        <v>0</v>
      </c>
      <c r="N221" t="n">
        <v>0</v>
      </c>
      <c r="O221" t="n">
        <v>0</v>
      </c>
      <c r="P221" t="n">
        <v>0</v>
      </c>
      <c r="Q221" t="n">
        <v>0</v>
      </c>
      <c r="R221" s="2" t="inlineStr"/>
    </row>
    <row r="222" ht="15" customHeight="1">
      <c r="A222" t="inlineStr">
        <is>
          <t>A 24937-2019</t>
        </is>
      </c>
      <c r="B222" s="1" t="n">
        <v>43602</v>
      </c>
      <c r="C222" s="1" t="n">
        <v>45364</v>
      </c>
      <c r="D222" t="inlineStr">
        <is>
          <t>KALMAR LÄN</t>
        </is>
      </c>
      <c r="E222" t="inlineStr">
        <is>
          <t>VIMMERBY</t>
        </is>
      </c>
      <c r="G222" t="n">
        <v>0.9</v>
      </c>
      <c r="H222" t="n">
        <v>0</v>
      </c>
      <c r="I222" t="n">
        <v>0</v>
      </c>
      <c r="J222" t="n">
        <v>0</v>
      </c>
      <c r="K222" t="n">
        <v>0</v>
      </c>
      <c r="L222" t="n">
        <v>0</v>
      </c>
      <c r="M222" t="n">
        <v>0</v>
      </c>
      <c r="N222" t="n">
        <v>0</v>
      </c>
      <c r="O222" t="n">
        <v>0</v>
      </c>
      <c r="P222" t="n">
        <v>0</v>
      </c>
      <c r="Q222" t="n">
        <v>0</v>
      </c>
      <c r="R222" s="2" t="inlineStr"/>
    </row>
    <row r="223" ht="15" customHeight="1">
      <c r="A223" t="inlineStr">
        <is>
          <t>A 26073-2019</t>
        </is>
      </c>
      <c r="B223" s="1" t="n">
        <v>43609</v>
      </c>
      <c r="C223" s="1" t="n">
        <v>45364</v>
      </c>
      <c r="D223" t="inlineStr">
        <is>
          <t>KALMAR LÄN</t>
        </is>
      </c>
      <c r="E223" t="inlineStr">
        <is>
          <t>VIMMERBY</t>
        </is>
      </c>
      <c r="G223" t="n">
        <v>0.4</v>
      </c>
      <c r="H223" t="n">
        <v>0</v>
      </c>
      <c r="I223" t="n">
        <v>0</v>
      </c>
      <c r="J223" t="n">
        <v>0</v>
      </c>
      <c r="K223" t="n">
        <v>0</v>
      </c>
      <c r="L223" t="n">
        <v>0</v>
      </c>
      <c r="M223" t="n">
        <v>0</v>
      </c>
      <c r="N223" t="n">
        <v>0</v>
      </c>
      <c r="O223" t="n">
        <v>0</v>
      </c>
      <c r="P223" t="n">
        <v>0</v>
      </c>
      <c r="Q223" t="n">
        <v>0</v>
      </c>
      <c r="R223" s="2" t="inlineStr"/>
    </row>
    <row r="224" ht="15" customHeight="1">
      <c r="A224" t="inlineStr">
        <is>
          <t>A 26660-2019</t>
        </is>
      </c>
      <c r="B224" s="1" t="n">
        <v>43613</v>
      </c>
      <c r="C224" s="1" t="n">
        <v>45364</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28013-2019</t>
        </is>
      </c>
      <c r="B225" s="1" t="n">
        <v>43621</v>
      </c>
      <c r="C225" s="1" t="n">
        <v>45364</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28348-2019</t>
        </is>
      </c>
      <c r="B226" s="1" t="n">
        <v>43624</v>
      </c>
      <c r="C226" s="1" t="n">
        <v>45364</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28414-2019</t>
        </is>
      </c>
      <c r="B227" s="1" t="n">
        <v>43626</v>
      </c>
      <c r="C227" s="1" t="n">
        <v>45364</v>
      </c>
      <c r="D227" t="inlineStr">
        <is>
          <t>KALMAR LÄN</t>
        </is>
      </c>
      <c r="E227" t="inlineStr">
        <is>
          <t>VIMMERBY</t>
        </is>
      </c>
      <c r="G227" t="n">
        <v>1.4</v>
      </c>
      <c r="H227" t="n">
        <v>0</v>
      </c>
      <c r="I227" t="n">
        <v>0</v>
      </c>
      <c r="J227" t="n">
        <v>0</v>
      </c>
      <c r="K227" t="n">
        <v>0</v>
      </c>
      <c r="L227" t="n">
        <v>0</v>
      </c>
      <c r="M227" t="n">
        <v>0</v>
      </c>
      <c r="N227" t="n">
        <v>0</v>
      </c>
      <c r="O227" t="n">
        <v>0</v>
      </c>
      <c r="P227" t="n">
        <v>0</v>
      </c>
      <c r="Q227" t="n">
        <v>0</v>
      </c>
      <c r="R227" s="2" t="inlineStr"/>
    </row>
    <row r="228" ht="15" customHeight="1">
      <c r="A228" t="inlineStr">
        <is>
          <t>A 29004-2019</t>
        </is>
      </c>
      <c r="B228" s="1" t="n">
        <v>43628</v>
      </c>
      <c r="C228" s="1" t="n">
        <v>45364</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29228-2019</t>
        </is>
      </c>
      <c r="B229" s="1" t="n">
        <v>43629</v>
      </c>
      <c r="C229" s="1" t="n">
        <v>45364</v>
      </c>
      <c r="D229" t="inlineStr">
        <is>
          <t>KALMAR LÄN</t>
        </is>
      </c>
      <c r="E229" t="inlineStr">
        <is>
          <t>VIMMERBY</t>
        </is>
      </c>
      <c r="G229" t="n">
        <v>3.5</v>
      </c>
      <c r="H229" t="n">
        <v>0</v>
      </c>
      <c r="I229" t="n">
        <v>0</v>
      </c>
      <c r="J229" t="n">
        <v>0</v>
      </c>
      <c r="K229" t="n">
        <v>0</v>
      </c>
      <c r="L229" t="n">
        <v>0</v>
      </c>
      <c r="M229" t="n">
        <v>0</v>
      </c>
      <c r="N229" t="n">
        <v>0</v>
      </c>
      <c r="O229" t="n">
        <v>0</v>
      </c>
      <c r="P229" t="n">
        <v>0</v>
      </c>
      <c r="Q229" t="n">
        <v>0</v>
      </c>
      <c r="R229" s="2" t="inlineStr"/>
    </row>
    <row r="230" ht="15" customHeight="1">
      <c r="A230" t="inlineStr">
        <is>
          <t>A 29408-2019</t>
        </is>
      </c>
      <c r="B230" s="1" t="n">
        <v>43629</v>
      </c>
      <c r="C230" s="1" t="n">
        <v>45364</v>
      </c>
      <c r="D230" t="inlineStr">
        <is>
          <t>KALMAR LÄN</t>
        </is>
      </c>
      <c r="E230" t="inlineStr">
        <is>
          <t>VIMMERBY</t>
        </is>
      </c>
      <c r="G230" t="n">
        <v>10.2</v>
      </c>
      <c r="H230" t="n">
        <v>0</v>
      </c>
      <c r="I230" t="n">
        <v>0</v>
      </c>
      <c r="J230" t="n">
        <v>0</v>
      </c>
      <c r="K230" t="n">
        <v>0</v>
      </c>
      <c r="L230" t="n">
        <v>0</v>
      </c>
      <c r="M230" t="n">
        <v>0</v>
      </c>
      <c r="N230" t="n">
        <v>0</v>
      </c>
      <c r="O230" t="n">
        <v>0</v>
      </c>
      <c r="P230" t="n">
        <v>0</v>
      </c>
      <c r="Q230" t="n">
        <v>0</v>
      </c>
      <c r="R230" s="2" t="inlineStr"/>
    </row>
    <row r="231" ht="15" customHeight="1">
      <c r="A231" t="inlineStr">
        <is>
          <t>A 29693-2019</t>
        </is>
      </c>
      <c r="B231" s="1" t="n">
        <v>43630</v>
      </c>
      <c r="C231" s="1" t="n">
        <v>45364</v>
      </c>
      <c r="D231" t="inlineStr">
        <is>
          <t>KALMAR LÄN</t>
        </is>
      </c>
      <c r="E231" t="inlineStr">
        <is>
          <t>VIMMERBY</t>
        </is>
      </c>
      <c r="G231" t="n">
        <v>2.1</v>
      </c>
      <c r="H231" t="n">
        <v>0</v>
      </c>
      <c r="I231" t="n">
        <v>0</v>
      </c>
      <c r="J231" t="n">
        <v>0</v>
      </c>
      <c r="K231" t="n">
        <v>0</v>
      </c>
      <c r="L231" t="n">
        <v>0</v>
      </c>
      <c r="M231" t="n">
        <v>0</v>
      </c>
      <c r="N231" t="n">
        <v>0</v>
      </c>
      <c r="O231" t="n">
        <v>0</v>
      </c>
      <c r="P231" t="n">
        <v>0</v>
      </c>
      <c r="Q231" t="n">
        <v>0</v>
      </c>
      <c r="R231" s="2" t="inlineStr"/>
    </row>
    <row r="232" ht="15" customHeight="1">
      <c r="A232" t="inlineStr">
        <is>
          <t>A 29675-2019</t>
        </is>
      </c>
      <c r="B232" s="1" t="n">
        <v>43630</v>
      </c>
      <c r="C232" s="1" t="n">
        <v>45364</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29775-2019</t>
        </is>
      </c>
      <c r="B233" s="1" t="n">
        <v>43632</v>
      </c>
      <c r="C233" s="1" t="n">
        <v>45364</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29773-2019</t>
        </is>
      </c>
      <c r="B234" s="1" t="n">
        <v>43632</v>
      </c>
      <c r="C234" s="1" t="n">
        <v>45364</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31027-2019</t>
        </is>
      </c>
      <c r="B235" s="1" t="n">
        <v>43636</v>
      </c>
      <c r="C235" s="1" t="n">
        <v>45364</v>
      </c>
      <c r="D235" t="inlineStr">
        <is>
          <t>KALMAR LÄN</t>
        </is>
      </c>
      <c r="E235" t="inlineStr">
        <is>
          <t>VIMMERBY</t>
        </is>
      </c>
      <c r="F235" t="inlineStr">
        <is>
          <t>Övriga statliga verk och myndigheter</t>
        </is>
      </c>
      <c r="G235" t="n">
        <v>0.5</v>
      </c>
      <c r="H235" t="n">
        <v>0</v>
      </c>
      <c r="I235" t="n">
        <v>0</v>
      </c>
      <c r="J235" t="n">
        <v>0</v>
      </c>
      <c r="K235" t="n">
        <v>0</v>
      </c>
      <c r="L235" t="n">
        <v>0</v>
      </c>
      <c r="M235" t="n">
        <v>0</v>
      </c>
      <c r="N235" t="n">
        <v>0</v>
      </c>
      <c r="O235" t="n">
        <v>0</v>
      </c>
      <c r="P235" t="n">
        <v>0</v>
      </c>
      <c r="Q235" t="n">
        <v>0</v>
      </c>
      <c r="R235" s="2" t="inlineStr"/>
    </row>
    <row r="236" ht="15" customHeight="1">
      <c r="A236" t="inlineStr">
        <is>
          <t>A 30994-2019</t>
        </is>
      </c>
      <c r="B236" s="1" t="n">
        <v>43640</v>
      </c>
      <c r="C236" s="1" t="n">
        <v>45364</v>
      </c>
      <c r="D236" t="inlineStr">
        <is>
          <t>KALMAR LÄN</t>
        </is>
      </c>
      <c r="E236" t="inlineStr">
        <is>
          <t>VIMMERBY</t>
        </is>
      </c>
      <c r="G236" t="n">
        <v>1.7</v>
      </c>
      <c r="H236" t="n">
        <v>0</v>
      </c>
      <c r="I236" t="n">
        <v>0</v>
      </c>
      <c r="J236" t="n">
        <v>0</v>
      </c>
      <c r="K236" t="n">
        <v>0</v>
      </c>
      <c r="L236" t="n">
        <v>0</v>
      </c>
      <c r="M236" t="n">
        <v>0</v>
      </c>
      <c r="N236" t="n">
        <v>0</v>
      </c>
      <c r="O236" t="n">
        <v>0</v>
      </c>
      <c r="P236" t="n">
        <v>0</v>
      </c>
      <c r="Q236" t="n">
        <v>0</v>
      </c>
      <c r="R236" s="2" t="inlineStr"/>
    </row>
    <row r="237" ht="15" customHeight="1">
      <c r="A237" t="inlineStr">
        <is>
          <t>A 31859-2019</t>
        </is>
      </c>
      <c r="B237" s="1" t="n">
        <v>43642</v>
      </c>
      <c r="C237" s="1" t="n">
        <v>45364</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32911-2019</t>
        </is>
      </c>
      <c r="B238" s="1" t="n">
        <v>43648</v>
      </c>
      <c r="C238" s="1" t="n">
        <v>45364</v>
      </c>
      <c r="D238" t="inlineStr">
        <is>
          <t>KALMAR LÄN</t>
        </is>
      </c>
      <c r="E238" t="inlineStr">
        <is>
          <t>VIMMERBY</t>
        </is>
      </c>
      <c r="G238" t="n">
        <v>5</v>
      </c>
      <c r="H238" t="n">
        <v>0</v>
      </c>
      <c r="I238" t="n">
        <v>0</v>
      </c>
      <c r="J238" t="n">
        <v>0</v>
      </c>
      <c r="K238" t="n">
        <v>0</v>
      </c>
      <c r="L238" t="n">
        <v>0</v>
      </c>
      <c r="M238" t="n">
        <v>0</v>
      </c>
      <c r="N238" t="n">
        <v>0</v>
      </c>
      <c r="O238" t="n">
        <v>0</v>
      </c>
      <c r="P238" t="n">
        <v>0</v>
      </c>
      <c r="Q238" t="n">
        <v>0</v>
      </c>
      <c r="R238" s="2" t="inlineStr"/>
    </row>
    <row r="239" ht="15" customHeight="1">
      <c r="A239" t="inlineStr">
        <is>
          <t>A 32924-2019</t>
        </is>
      </c>
      <c r="B239" s="1" t="n">
        <v>43648</v>
      </c>
      <c r="C239" s="1" t="n">
        <v>45364</v>
      </c>
      <c r="D239" t="inlineStr">
        <is>
          <t>KALMAR LÄN</t>
        </is>
      </c>
      <c r="E239" t="inlineStr">
        <is>
          <t>VIMMERBY</t>
        </is>
      </c>
      <c r="G239" t="n">
        <v>2.1</v>
      </c>
      <c r="H239" t="n">
        <v>0</v>
      </c>
      <c r="I239" t="n">
        <v>0</v>
      </c>
      <c r="J239" t="n">
        <v>0</v>
      </c>
      <c r="K239" t="n">
        <v>0</v>
      </c>
      <c r="L239" t="n">
        <v>0</v>
      </c>
      <c r="M239" t="n">
        <v>0</v>
      </c>
      <c r="N239" t="n">
        <v>0</v>
      </c>
      <c r="O239" t="n">
        <v>0</v>
      </c>
      <c r="P239" t="n">
        <v>0</v>
      </c>
      <c r="Q239" t="n">
        <v>0</v>
      </c>
      <c r="R239" s="2" t="inlineStr"/>
    </row>
    <row r="240" ht="15" customHeight="1">
      <c r="A240" t="inlineStr">
        <is>
          <t>A 32918-2019</t>
        </is>
      </c>
      <c r="B240" s="1" t="n">
        <v>43648</v>
      </c>
      <c r="C240" s="1" t="n">
        <v>45364</v>
      </c>
      <c r="D240" t="inlineStr">
        <is>
          <t>KALMAR LÄN</t>
        </is>
      </c>
      <c r="E240" t="inlineStr">
        <is>
          <t>VIMMERBY</t>
        </is>
      </c>
      <c r="G240" t="n">
        <v>4.1</v>
      </c>
      <c r="H240" t="n">
        <v>0</v>
      </c>
      <c r="I240" t="n">
        <v>0</v>
      </c>
      <c r="J240" t="n">
        <v>0</v>
      </c>
      <c r="K240" t="n">
        <v>0</v>
      </c>
      <c r="L240" t="n">
        <v>0</v>
      </c>
      <c r="M240" t="n">
        <v>0</v>
      </c>
      <c r="N240" t="n">
        <v>0</v>
      </c>
      <c r="O240" t="n">
        <v>0</v>
      </c>
      <c r="P240" t="n">
        <v>0</v>
      </c>
      <c r="Q240" t="n">
        <v>0</v>
      </c>
      <c r="R240" s="2" t="inlineStr"/>
    </row>
    <row r="241" ht="15" customHeight="1">
      <c r="A241" t="inlineStr">
        <is>
          <t>A 32910-2019</t>
        </is>
      </c>
      <c r="B241" s="1" t="n">
        <v>43648</v>
      </c>
      <c r="C241" s="1" t="n">
        <v>45364</v>
      </c>
      <c r="D241" t="inlineStr">
        <is>
          <t>KALMAR LÄN</t>
        </is>
      </c>
      <c r="E241" t="inlineStr">
        <is>
          <t>VIMMERBY</t>
        </is>
      </c>
      <c r="G241" t="n">
        <v>6</v>
      </c>
      <c r="H241" t="n">
        <v>0</v>
      </c>
      <c r="I241" t="n">
        <v>0</v>
      </c>
      <c r="J241" t="n">
        <v>0</v>
      </c>
      <c r="K241" t="n">
        <v>0</v>
      </c>
      <c r="L241" t="n">
        <v>0</v>
      </c>
      <c r="M241" t="n">
        <v>0</v>
      </c>
      <c r="N241" t="n">
        <v>0</v>
      </c>
      <c r="O241" t="n">
        <v>0</v>
      </c>
      <c r="P241" t="n">
        <v>0</v>
      </c>
      <c r="Q241" t="n">
        <v>0</v>
      </c>
      <c r="R241" s="2" t="inlineStr"/>
    </row>
    <row r="242" ht="15" customHeight="1">
      <c r="A242" t="inlineStr">
        <is>
          <t>A 34765-2019</t>
        </is>
      </c>
      <c r="B242" s="1" t="n">
        <v>43649</v>
      </c>
      <c r="C242" s="1" t="n">
        <v>45364</v>
      </c>
      <c r="D242" t="inlineStr">
        <is>
          <t>KALMAR LÄN</t>
        </is>
      </c>
      <c r="E242" t="inlineStr">
        <is>
          <t>VIMMERBY</t>
        </is>
      </c>
      <c r="G242" t="n">
        <v>6.9</v>
      </c>
      <c r="H242" t="n">
        <v>0</v>
      </c>
      <c r="I242" t="n">
        <v>0</v>
      </c>
      <c r="J242" t="n">
        <v>0</v>
      </c>
      <c r="K242" t="n">
        <v>0</v>
      </c>
      <c r="L242" t="n">
        <v>0</v>
      </c>
      <c r="M242" t="n">
        <v>0</v>
      </c>
      <c r="N242" t="n">
        <v>0</v>
      </c>
      <c r="O242" t="n">
        <v>0</v>
      </c>
      <c r="P242" t="n">
        <v>0</v>
      </c>
      <c r="Q242" t="n">
        <v>0</v>
      </c>
      <c r="R242" s="2" t="inlineStr"/>
    </row>
    <row r="243" ht="15" customHeight="1">
      <c r="A243" t="inlineStr">
        <is>
          <t>A 33411-2019</t>
        </is>
      </c>
      <c r="B243" s="1" t="n">
        <v>43650</v>
      </c>
      <c r="C243" s="1" t="n">
        <v>45364</v>
      </c>
      <c r="D243" t="inlineStr">
        <is>
          <t>KALMAR LÄN</t>
        </is>
      </c>
      <c r="E243" t="inlineStr">
        <is>
          <t>VIMMERBY</t>
        </is>
      </c>
      <c r="G243" t="n">
        <v>1.6</v>
      </c>
      <c r="H243" t="n">
        <v>0</v>
      </c>
      <c r="I243" t="n">
        <v>0</v>
      </c>
      <c r="J243" t="n">
        <v>0</v>
      </c>
      <c r="K243" t="n">
        <v>0</v>
      </c>
      <c r="L243" t="n">
        <v>0</v>
      </c>
      <c r="M243" t="n">
        <v>0</v>
      </c>
      <c r="N243" t="n">
        <v>0</v>
      </c>
      <c r="O243" t="n">
        <v>0</v>
      </c>
      <c r="P243" t="n">
        <v>0</v>
      </c>
      <c r="Q243" t="n">
        <v>0</v>
      </c>
      <c r="R243" s="2" t="inlineStr"/>
    </row>
    <row r="244" ht="15" customHeight="1">
      <c r="A244" t="inlineStr">
        <is>
          <t>A 33410-2019</t>
        </is>
      </c>
      <c r="B244" s="1" t="n">
        <v>43650</v>
      </c>
      <c r="C244" s="1" t="n">
        <v>45364</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35259-2019</t>
        </is>
      </c>
      <c r="B245" s="1" t="n">
        <v>43651</v>
      </c>
      <c r="C245" s="1" t="n">
        <v>45364</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33869-2019</t>
        </is>
      </c>
      <c r="B246" s="1" t="n">
        <v>43652</v>
      </c>
      <c r="C246" s="1" t="n">
        <v>45364</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34241-2019</t>
        </is>
      </c>
      <c r="B247" s="1" t="n">
        <v>43655</v>
      </c>
      <c r="C247" s="1" t="n">
        <v>45364</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34244-2019</t>
        </is>
      </c>
      <c r="B248" s="1" t="n">
        <v>43655</v>
      </c>
      <c r="C248" s="1" t="n">
        <v>45364</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34273-2019</t>
        </is>
      </c>
      <c r="B249" s="1" t="n">
        <v>43655</v>
      </c>
      <c r="C249" s="1" t="n">
        <v>45364</v>
      </c>
      <c r="D249" t="inlineStr">
        <is>
          <t>KALMAR LÄN</t>
        </is>
      </c>
      <c r="E249" t="inlineStr">
        <is>
          <t>VIMMERBY</t>
        </is>
      </c>
      <c r="G249" t="n">
        <v>3.1</v>
      </c>
      <c r="H249" t="n">
        <v>0</v>
      </c>
      <c r="I249" t="n">
        <v>0</v>
      </c>
      <c r="J249" t="n">
        <v>0</v>
      </c>
      <c r="K249" t="n">
        <v>0</v>
      </c>
      <c r="L249" t="n">
        <v>0</v>
      </c>
      <c r="M249" t="n">
        <v>0</v>
      </c>
      <c r="N249" t="n">
        <v>0</v>
      </c>
      <c r="O249" t="n">
        <v>0</v>
      </c>
      <c r="P249" t="n">
        <v>0</v>
      </c>
      <c r="Q249" t="n">
        <v>0</v>
      </c>
      <c r="R249" s="2" t="inlineStr"/>
    </row>
    <row r="250" ht="15" customHeight="1">
      <c r="A250" t="inlineStr">
        <is>
          <t>A 35701-2019</t>
        </is>
      </c>
      <c r="B250" s="1" t="n">
        <v>43655</v>
      </c>
      <c r="C250" s="1" t="n">
        <v>45364</v>
      </c>
      <c r="D250" t="inlineStr">
        <is>
          <t>KALMAR LÄN</t>
        </is>
      </c>
      <c r="E250" t="inlineStr">
        <is>
          <t>VIMMERBY</t>
        </is>
      </c>
      <c r="G250" t="n">
        <v>1.3</v>
      </c>
      <c r="H250" t="n">
        <v>0</v>
      </c>
      <c r="I250" t="n">
        <v>0</v>
      </c>
      <c r="J250" t="n">
        <v>0</v>
      </c>
      <c r="K250" t="n">
        <v>0</v>
      </c>
      <c r="L250" t="n">
        <v>0</v>
      </c>
      <c r="M250" t="n">
        <v>0</v>
      </c>
      <c r="N250" t="n">
        <v>0</v>
      </c>
      <c r="O250" t="n">
        <v>0</v>
      </c>
      <c r="P250" t="n">
        <v>0</v>
      </c>
      <c r="Q250" t="n">
        <v>0</v>
      </c>
      <c r="R250" s="2" t="inlineStr"/>
    </row>
    <row r="251" ht="15" customHeight="1">
      <c r="A251" t="inlineStr">
        <is>
          <t>A 34672-2019</t>
        </is>
      </c>
      <c r="B251" s="1" t="n">
        <v>43657</v>
      </c>
      <c r="C251" s="1" t="n">
        <v>45364</v>
      </c>
      <c r="D251" t="inlineStr">
        <is>
          <t>KALMAR LÄN</t>
        </is>
      </c>
      <c r="E251" t="inlineStr">
        <is>
          <t>VIMMERBY</t>
        </is>
      </c>
      <c r="G251" t="n">
        <v>1.8</v>
      </c>
      <c r="H251" t="n">
        <v>0</v>
      </c>
      <c r="I251" t="n">
        <v>0</v>
      </c>
      <c r="J251" t="n">
        <v>0</v>
      </c>
      <c r="K251" t="n">
        <v>0</v>
      </c>
      <c r="L251" t="n">
        <v>0</v>
      </c>
      <c r="M251" t="n">
        <v>0</v>
      </c>
      <c r="N251" t="n">
        <v>0</v>
      </c>
      <c r="O251" t="n">
        <v>0</v>
      </c>
      <c r="P251" t="n">
        <v>0</v>
      </c>
      <c r="Q251" t="n">
        <v>0</v>
      </c>
      <c r="R251" s="2" t="inlineStr"/>
    </row>
    <row r="252" ht="15" customHeight="1">
      <c r="A252" t="inlineStr">
        <is>
          <t>A 35780-2019</t>
        </is>
      </c>
      <c r="B252" s="1" t="n">
        <v>43665</v>
      </c>
      <c r="C252" s="1" t="n">
        <v>45364</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35834-2019</t>
        </is>
      </c>
      <c r="B253" s="1" t="n">
        <v>43665</v>
      </c>
      <c r="C253" s="1" t="n">
        <v>45364</v>
      </c>
      <c r="D253" t="inlineStr">
        <is>
          <t>KALMAR LÄN</t>
        </is>
      </c>
      <c r="E253" t="inlineStr">
        <is>
          <t>VIMMERBY</t>
        </is>
      </c>
      <c r="G253" t="n">
        <v>0.2</v>
      </c>
      <c r="H253" t="n">
        <v>0</v>
      </c>
      <c r="I253" t="n">
        <v>0</v>
      </c>
      <c r="J253" t="n">
        <v>0</v>
      </c>
      <c r="K253" t="n">
        <v>0</v>
      </c>
      <c r="L253" t="n">
        <v>0</v>
      </c>
      <c r="M253" t="n">
        <v>0</v>
      </c>
      <c r="N253" t="n">
        <v>0</v>
      </c>
      <c r="O253" t="n">
        <v>0</v>
      </c>
      <c r="P253" t="n">
        <v>0</v>
      </c>
      <c r="Q253" t="n">
        <v>0</v>
      </c>
      <c r="R253" s="2" t="inlineStr"/>
    </row>
    <row r="254" ht="15" customHeight="1">
      <c r="A254" t="inlineStr">
        <is>
          <t>A 35829-2019</t>
        </is>
      </c>
      <c r="B254" s="1" t="n">
        <v>43665</v>
      </c>
      <c r="C254" s="1" t="n">
        <v>45364</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35919-2019</t>
        </is>
      </c>
      <c r="B255" s="1" t="n">
        <v>43665</v>
      </c>
      <c r="C255" s="1" t="n">
        <v>45364</v>
      </c>
      <c r="D255" t="inlineStr">
        <is>
          <t>KALMAR LÄN</t>
        </is>
      </c>
      <c r="E255" t="inlineStr">
        <is>
          <t>VIMMERBY</t>
        </is>
      </c>
      <c r="G255" t="n">
        <v>7.1</v>
      </c>
      <c r="H255" t="n">
        <v>0</v>
      </c>
      <c r="I255" t="n">
        <v>0</v>
      </c>
      <c r="J255" t="n">
        <v>0</v>
      </c>
      <c r="K255" t="n">
        <v>0</v>
      </c>
      <c r="L255" t="n">
        <v>0</v>
      </c>
      <c r="M255" t="n">
        <v>0</v>
      </c>
      <c r="N255" t="n">
        <v>0</v>
      </c>
      <c r="O255" t="n">
        <v>0</v>
      </c>
      <c r="P255" t="n">
        <v>0</v>
      </c>
      <c r="Q255" t="n">
        <v>0</v>
      </c>
      <c r="R255" s="2" t="inlineStr"/>
    </row>
    <row r="256" ht="15" customHeight="1">
      <c r="A256" t="inlineStr">
        <is>
          <t>A 36027-2019</t>
        </is>
      </c>
      <c r="B256" s="1" t="n">
        <v>43668</v>
      </c>
      <c r="C256" s="1" t="n">
        <v>45364</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36024-2019</t>
        </is>
      </c>
      <c r="B257" s="1" t="n">
        <v>43668</v>
      </c>
      <c r="C257" s="1" t="n">
        <v>45364</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36716-2019</t>
        </is>
      </c>
      <c r="B258" s="1" t="n">
        <v>43669</v>
      </c>
      <c r="C258" s="1" t="n">
        <v>45364</v>
      </c>
      <c r="D258" t="inlineStr">
        <is>
          <t>KALMAR LÄN</t>
        </is>
      </c>
      <c r="E258" t="inlineStr">
        <is>
          <t>VIMMERBY</t>
        </is>
      </c>
      <c r="G258" t="n">
        <v>3.6</v>
      </c>
      <c r="H258" t="n">
        <v>0</v>
      </c>
      <c r="I258" t="n">
        <v>0</v>
      </c>
      <c r="J258" t="n">
        <v>0</v>
      </c>
      <c r="K258" t="n">
        <v>0</v>
      </c>
      <c r="L258" t="n">
        <v>0</v>
      </c>
      <c r="M258" t="n">
        <v>0</v>
      </c>
      <c r="N258" t="n">
        <v>0</v>
      </c>
      <c r="O258" t="n">
        <v>0</v>
      </c>
      <c r="P258" t="n">
        <v>0</v>
      </c>
      <c r="Q258" t="n">
        <v>0</v>
      </c>
      <c r="R258" s="2" t="inlineStr"/>
    </row>
    <row r="259" ht="15" customHeight="1">
      <c r="A259" t="inlineStr">
        <is>
          <t>A 36454-2019</t>
        </is>
      </c>
      <c r="B259" s="1" t="n">
        <v>43670</v>
      </c>
      <c r="C259" s="1" t="n">
        <v>45364</v>
      </c>
      <c r="D259" t="inlineStr">
        <is>
          <t>KALMAR LÄN</t>
        </is>
      </c>
      <c r="E259" t="inlineStr">
        <is>
          <t>VIMMERBY</t>
        </is>
      </c>
      <c r="G259" t="n">
        <v>2.1</v>
      </c>
      <c r="H259" t="n">
        <v>0</v>
      </c>
      <c r="I259" t="n">
        <v>0</v>
      </c>
      <c r="J259" t="n">
        <v>0</v>
      </c>
      <c r="K259" t="n">
        <v>0</v>
      </c>
      <c r="L259" t="n">
        <v>0</v>
      </c>
      <c r="M259" t="n">
        <v>0</v>
      </c>
      <c r="N259" t="n">
        <v>0</v>
      </c>
      <c r="O259" t="n">
        <v>0</v>
      </c>
      <c r="P259" t="n">
        <v>0</v>
      </c>
      <c r="Q259" t="n">
        <v>0</v>
      </c>
      <c r="R259" s="2" t="inlineStr"/>
    </row>
    <row r="260" ht="15" customHeight="1">
      <c r="A260" t="inlineStr">
        <is>
          <t>A 37031-2019</t>
        </is>
      </c>
      <c r="B260" s="1" t="n">
        <v>43672</v>
      </c>
      <c r="C260" s="1" t="n">
        <v>45364</v>
      </c>
      <c r="D260" t="inlineStr">
        <is>
          <t>KALMAR LÄN</t>
        </is>
      </c>
      <c r="E260" t="inlineStr">
        <is>
          <t>VIMMERBY</t>
        </is>
      </c>
      <c r="G260" t="n">
        <v>16.8</v>
      </c>
      <c r="H260" t="n">
        <v>0</v>
      </c>
      <c r="I260" t="n">
        <v>0</v>
      </c>
      <c r="J260" t="n">
        <v>0</v>
      </c>
      <c r="K260" t="n">
        <v>0</v>
      </c>
      <c r="L260" t="n">
        <v>0</v>
      </c>
      <c r="M260" t="n">
        <v>0</v>
      </c>
      <c r="N260" t="n">
        <v>0</v>
      </c>
      <c r="O260" t="n">
        <v>0</v>
      </c>
      <c r="P260" t="n">
        <v>0</v>
      </c>
      <c r="Q260" t="n">
        <v>0</v>
      </c>
      <c r="R260" s="2" t="inlineStr"/>
    </row>
    <row r="261" ht="15" customHeight="1">
      <c r="A261" t="inlineStr">
        <is>
          <t>A 36830-2019</t>
        </is>
      </c>
      <c r="B261" s="1" t="n">
        <v>43674</v>
      </c>
      <c r="C261" s="1" t="n">
        <v>45364</v>
      </c>
      <c r="D261" t="inlineStr">
        <is>
          <t>KALMAR LÄN</t>
        </is>
      </c>
      <c r="E261" t="inlineStr">
        <is>
          <t>VIMMERBY</t>
        </is>
      </c>
      <c r="G261" t="n">
        <v>7.2</v>
      </c>
      <c r="H261" t="n">
        <v>0</v>
      </c>
      <c r="I261" t="n">
        <v>0</v>
      </c>
      <c r="J261" t="n">
        <v>0</v>
      </c>
      <c r="K261" t="n">
        <v>0</v>
      </c>
      <c r="L261" t="n">
        <v>0</v>
      </c>
      <c r="M261" t="n">
        <v>0</v>
      </c>
      <c r="N261" t="n">
        <v>0</v>
      </c>
      <c r="O261" t="n">
        <v>0</v>
      </c>
      <c r="P261" t="n">
        <v>0</v>
      </c>
      <c r="Q261" t="n">
        <v>0</v>
      </c>
      <c r="R261" s="2" t="inlineStr"/>
    </row>
    <row r="262" ht="15" customHeight="1">
      <c r="A262" t="inlineStr">
        <is>
          <t>A 36936-2019</t>
        </is>
      </c>
      <c r="B262" s="1" t="n">
        <v>43675</v>
      </c>
      <c r="C262" s="1" t="n">
        <v>45364</v>
      </c>
      <c r="D262" t="inlineStr">
        <is>
          <t>KALMAR LÄN</t>
        </is>
      </c>
      <c r="E262" t="inlineStr">
        <is>
          <t>VIMMERBY</t>
        </is>
      </c>
      <c r="G262" t="n">
        <v>3.5</v>
      </c>
      <c r="H262" t="n">
        <v>0</v>
      </c>
      <c r="I262" t="n">
        <v>0</v>
      </c>
      <c r="J262" t="n">
        <v>0</v>
      </c>
      <c r="K262" t="n">
        <v>0</v>
      </c>
      <c r="L262" t="n">
        <v>0</v>
      </c>
      <c r="M262" t="n">
        <v>0</v>
      </c>
      <c r="N262" t="n">
        <v>0</v>
      </c>
      <c r="O262" t="n">
        <v>0</v>
      </c>
      <c r="P262" t="n">
        <v>0</v>
      </c>
      <c r="Q262" t="n">
        <v>0</v>
      </c>
      <c r="R262" s="2" t="inlineStr"/>
    </row>
    <row r="263" ht="15" customHeight="1">
      <c r="A263" t="inlineStr">
        <is>
          <t>A 37063-2019</t>
        </is>
      </c>
      <c r="B263" s="1" t="n">
        <v>43676</v>
      </c>
      <c r="C263" s="1" t="n">
        <v>45364</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37209-2019</t>
        </is>
      </c>
      <c r="B264" s="1" t="n">
        <v>43677</v>
      </c>
      <c r="C264" s="1" t="n">
        <v>45364</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37412-2019</t>
        </is>
      </c>
      <c r="B265" s="1" t="n">
        <v>43678</v>
      </c>
      <c r="C265" s="1" t="n">
        <v>45364</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38602-2019</t>
        </is>
      </c>
      <c r="B266" s="1" t="n">
        <v>43684</v>
      </c>
      <c r="C266" s="1" t="n">
        <v>45364</v>
      </c>
      <c r="D266" t="inlineStr">
        <is>
          <t>KALMAR LÄN</t>
        </is>
      </c>
      <c r="E266" t="inlineStr">
        <is>
          <t>VIMMERBY</t>
        </is>
      </c>
      <c r="G266" t="n">
        <v>2.7</v>
      </c>
      <c r="H266" t="n">
        <v>0</v>
      </c>
      <c r="I266" t="n">
        <v>0</v>
      </c>
      <c r="J266" t="n">
        <v>0</v>
      </c>
      <c r="K266" t="n">
        <v>0</v>
      </c>
      <c r="L266" t="n">
        <v>0</v>
      </c>
      <c r="M266" t="n">
        <v>0</v>
      </c>
      <c r="N266" t="n">
        <v>0</v>
      </c>
      <c r="O266" t="n">
        <v>0</v>
      </c>
      <c r="P266" t="n">
        <v>0</v>
      </c>
      <c r="Q266" t="n">
        <v>0</v>
      </c>
      <c r="R266" s="2" t="inlineStr"/>
    </row>
    <row r="267" ht="15" customHeight="1">
      <c r="A267" t="inlineStr">
        <is>
          <t>A 38866-2019</t>
        </is>
      </c>
      <c r="B267" s="1" t="n">
        <v>43685</v>
      </c>
      <c r="C267" s="1" t="n">
        <v>45364</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38789-2019</t>
        </is>
      </c>
      <c r="B268" s="1" t="n">
        <v>43687</v>
      </c>
      <c r="C268" s="1" t="n">
        <v>45364</v>
      </c>
      <c r="D268" t="inlineStr">
        <is>
          <t>KALMAR LÄN</t>
        </is>
      </c>
      <c r="E268" t="inlineStr">
        <is>
          <t>VIMMERBY</t>
        </is>
      </c>
      <c r="G268" t="n">
        <v>0.3</v>
      </c>
      <c r="H268" t="n">
        <v>0</v>
      </c>
      <c r="I268" t="n">
        <v>0</v>
      </c>
      <c r="J268" t="n">
        <v>0</v>
      </c>
      <c r="K268" t="n">
        <v>0</v>
      </c>
      <c r="L268" t="n">
        <v>0</v>
      </c>
      <c r="M268" t="n">
        <v>0</v>
      </c>
      <c r="N268" t="n">
        <v>0</v>
      </c>
      <c r="O268" t="n">
        <v>0</v>
      </c>
      <c r="P268" t="n">
        <v>0</v>
      </c>
      <c r="Q268" t="n">
        <v>0</v>
      </c>
      <c r="R268" s="2" t="inlineStr"/>
    </row>
    <row r="269" ht="15" customHeight="1">
      <c r="A269" t="inlineStr">
        <is>
          <t>A 38835-2019</t>
        </is>
      </c>
      <c r="B269" s="1" t="n">
        <v>43689</v>
      </c>
      <c r="C269" s="1" t="n">
        <v>45364</v>
      </c>
      <c r="D269" t="inlineStr">
        <is>
          <t>KALMAR LÄN</t>
        </is>
      </c>
      <c r="E269" t="inlineStr">
        <is>
          <t>VIMMERBY</t>
        </is>
      </c>
      <c r="G269" t="n">
        <v>3.8</v>
      </c>
      <c r="H269" t="n">
        <v>0</v>
      </c>
      <c r="I269" t="n">
        <v>0</v>
      </c>
      <c r="J269" t="n">
        <v>0</v>
      </c>
      <c r="K269" t="n">
        <v>0</v>
      </c>
      <c r="L269" t="n">
        <v>0</v>
      </c>
      <c r="M269" t="n">
        <v>0</v>
      </c>
      <c r="N269" t="n">
        <v>0</v>
      </c>
      <c r="O269" t="n">
        <v>0</v>
      </c>
      <c r="P269" t="n">
        <v>0</v>
      </c>
      <c r="Q269" t="n">
        <v>0</v>
      </c>
      <c r="R269" s="2" t="inlineStr"/>
    </row>
    <row r="270" ht="15" customHeight="1">
      <c r="A270" t="inlineStr">
        <is>
          <t>A 38823-2019</t>
        </is>
      </c>
      <c r="B270" s="1" t="n">
        <v>43689</v>
      </c>
      <c r="C270" s="1" t="n">
        <v>45364</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38837-2019</t>
        </is>
      </c>
      <c r="B271" s="1" t="n">
        <v>43689</v>
      </c>
      <c r="C271" s="1" t="n">
        <v>45364</v>
      </c>
      <c r="D271" t="inlineStr">
        <is>
          <t>KALMAR LÄN</t>
        </is>
      </c>
      <c r="E271" t="inlineStr">
        <is>
          <t>VIMMERBY</t>
        </is>
      </c>
      <c r="G271" t="n">
        <v>2</v>
      </c>
      <c r="H271" t="n">
        <v>0</v>
      </c>
      <c r="I271" t="n">
        <v>0</v>
      </c>
      <c r="J271" t="n">
        <v>0</v>
      </c>
      <c r="K271" t="n">
        <v>0</v>
      </c>
      <c r="L271" t="n">
        <v>0</v>
      </c>
      <c r="M271" t="n">
        <v>0</v>
      </c>
      <c r="N271" t="n">
        <v>0</v>
      </c>
      <c r="O271" t="n">
        <v>0</v>
      </c>
      <c r="P271" t="n">
        <v>0</v>
      </c>
      <c r="Q271" t="n">
        <v>0</v>
      </c>
      <c r="R271" s="2" t="inlineStr"/>
    </row>
    <row r="272" ht="15" customHeight="1">
      <c r="A272" t="inlineStr">
        <is>
          <t>A 38831-2019</t>
        </is>
      </c>
      <c r="B272" s="1" t="n">
        <v>43689</v>
      </c>
      <c r="C272" s="1" t="n">
        <v>45364</v>
      </c>
      <c r="D272" t="inlineStr">
        <is>
          <t>KALMAR LÄN</t>
        </is>
      </c>
      <c r="E272" t="inlineStr">
        <is>
          <t>VIMMERBY</t>
        </is>
      </c>
      <c r="G272" t="n">
        <v>3</v>
      </c>
      <c r="H272" t="n">
        <v>0</v>
      </c>
      <c r="I272" t="n">
        <v>0</v>
      </c>
      <c r="J272" t="n">
        <v>0</v>
      </c>
      <c r="K272" t="n">
        <v>0</v>
      </c>
      <c r="L272" t="n">
        <v>0</v>
      </c>
      <c r="M272" t="n">
        <v>0</v>
      </c>
      <c r="N272" t="n">
        <v>0</v>
      </c>
      <c r="O272" t="n">
        <v>0</v>
      </c>
      <c r="P272" t="n">
        <v>0</v>
      </c>
      <c r="Q272" t="n">
        <v>0</v>
      </c>
      <c r="R272" s="2" t="inlineStr"/>
    </row>
    <row r="273" ht="15" customHeight="1">
      <c r="A273" t="inlineStr">
        <is>
          <t>A 39442-2019</t>
        </is>
      </c>
      <c r="B273" s="1" t="n">
        <v>43691</v>
      </c>
      <c r="C273" s="1" t="n">
        <v>45364</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39575-2019</t>
        </is>
      </c>
      <c r="B274" s="1" t="n">
        <v>43691</v>
      </c>
      <c r="C274" s="1" t="n">
        <v>45364</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39568-2019</t>
        </is>
      </c>
      <c r="B275" s="1" t="n">
        <v>43691</v>
      </c>
      <c r="C275" s="1" t="n">
        <v>45364</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39564-2019</t>
        </is>
      </c>
      <c r="B276" s="1" t="n">
        <v>43691</v>
      </c>
      <c r="C276" s="1" t="n">
        <v>45364</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39577-2019</t>
        </is>
      </c>
      <c r="B277" s="1" t="n">
        <v>43691</v>
      </c>
      <c r="C277" s="1" t="n">
        <v>45364</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39856-2019</t>
        </is>
      </c>
      <c r="B278" s="1" t="n">
        <v>43692</v>
      </c>
      <c r="C278" s="1" t="n">
        <v>45364</v>
      </c>
      <c r="D278" t="inlineStr">
        <is>
          <t>KALMAR LÄN</t>
        </is>
      </c>
      <c r="E278" t="inlineStr">
        <is>
          <t>VIMMERBY</t>
        </is>
      </c>
      <c r="G278" t="n">
        <v>1.9</v>
      </c>
      <c r="H278" t="n">
        <v>0</v>
      </c>
      <c r="I278" t="n">
        <v>0</v>
      </c>
      <c r="J278" t="n">
        <v>0</v>
      </c>
      <c r="K278" t="n">
        <v>0</v>
      </c>
      <c r="L278" t="n">
        <v>0</v>
      </c>
      <c r="M278" t="n">
        <v>0</v>
      </c>
      <c r="N278" t="n">
        <v>0</v>
      </c>
      <c r="O278" t="n">
        <v>0</v>
      </c>
      <c r="P278" t="n">
        <v>0</v>
      </c>
      <c r="Q278" t="n">
        <v>0</v>
      </c>
      <c r="R278" s="2" t="inlineStr"/>
    </row>
    <row r="279" ht="15" customHeight="1">
      <c r="A279" t="inlineStr">
        <is>
          <t>A 39901-2019</t>
        </is>
      </c>
      <c r="B279" s="1" t="n">
        <v>43692</v>
      </c>
      <c r="C279" s="1" t="n">
        <v>45364</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39962-2019</t>
        </is>
      </c>
      <c r="B280" s="1" t="n">
        <v>43692</v>
      </c>
      <c r="C280" s="1" t="n">
        <v>45364</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39899-2019</t>
        </is>
      </c>
      <c r="B281" s="1" t="n">
        <v>43692</v>
      </c>
      <c r="C281" s="1" t="n">
        <v>45364</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39894-2019</t>
        </is>
      </c>
      <c r="B282" s="1" t="n">
        <v>43692</v>
      </c>
      <c r="C282" s="1" t="n">
        <v>45364</v>
      </c>
      <c r="D282" t="inlineStr">
        <is>
          <t>KALMAR LÄN</t>
        </is>
      </c>
      <c r="E282" t="inlineStr">
        <is>
          <t>VIMMERBY</t>
        </is>
      </c>
      <c r="G282" t="n">
        <v>3.3</v>
      </c>
      <c r="H282" t="n">
        <v>0</v>
      </c>
      <c r="I282" t="n">
        <v>0</v>
      </c>
      <c r="J282" t="n">
        <v>0</v>
      </c>
      <c r="K282" t="n">
        <v>0</v>
      </c>
      <c r="L282" t="n">
        <v>0</v>
      </c>
      <c r="M282" t="n">
        <v>0</v>
      </c>
      <c r="N282" t="n">
        <v>0</v>
      </c>
      <c r="O282" t="n">
        <v>0</v>
      </c>
      <c r="P282" t="n">
        <v>0</v>
      </c>
      <c r="Q282" t="n">
        <v>0</v>
      </c>
      <c r="R282" s="2" t="inlineStr"/>
    </row>
    <row r="283" ht="15" customHeight="1">
      <c r="A283" t="inlineStr">
        <is>
          <t>A 39920-2019</t>
        </is>
      </c>
      <c r="B283" s="1" t="n">
        <v>43692</v>
      </c>
      <c r="C283" s="1" t="n">
        <v>45364</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39897-2019</t>
        </is>
      </c>
      <c r="B284" s="1" t="n">
        <v>43692</v>
      </c>
      <c r="C284" s="1" t="n">
        <v>45364</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40140-2019</t>
        </is>
      </c>
      <c r="B285" s="1" t="n">
        <v>43693</v>
      </c>
      <c r="C285" s="1" t="n">
        <v>45364</v>
      </c>
      <c r="D285" t="inlineStr">
        <is>
          <t>KALMAR LÄN</t>
        </is>
      </c>
      <c r="E285" t="inlineStr">
        <is>
          <t>VIMMERBY</t>
        </is>
      </c>
      <c r="F285" t="inlineStr">
        <is>
          <t>Kommuner</t>
        </is>
      </c>
      <c r="G285" t="n">
        <v>1.3</v>
      </c>
      <c r="H285" t="n">
        <v>0</v>
      </c>
      <c r="I285" t="n">
        <v>0</v>
      </c>
      <c r="J285" t="n">
        <v>0</v>
      </c>
      <c r="K285" t="n">
        <v>0</v>
      </c>
      <c r="L285" t="n">
        <v>0</v>
      </c>
      <c r="M285" t="n">
        <v>0</v>
      </c>
      <c r="N285" t="n">
        <v>0</v>
      </c>
      <c r="O285" t="n">
        <v>0</v>
      </c>
      <c r="P285" t="n">
        <v>0</v>
      </c>
      <c r="Q285" t="n">
        <v>0</v>
      </c>
      <c r="R285" s="2" t="inlineStr"/>
    </row>
    <row r="286" ht="15" customHeight="1">
      <c r="A286" t="inlineStr">
        <is>
          <t>A 40691-2019</t>
        </is>
      </c>
      <c r="B286" s="1" t="n">
        <v>43696</v>
      </c>
      <c r="C286" s="1" t="n">
        <v>45364</v>
      </c>
      <c r="D286" t="inlineStr">
        <is>
          <t>KALMAR LÄN</t>
        </is>
      </c>
      <c r="E286" t="inlineStr">
        <is>
          <t>VIMMERBY</t>
        </is>
      </c>
      <c r="G286" t="n">
        <v>10.9</v>
      </c>
      <c r="H286" t="n">
        <v>0</v>
      </c>
      <c r="I286" t="n">
        <v>0</v>
      </c>
      <c r="J286" t="n">
        <v>0</v>
      </c>
      <c r="K286" t="n">
        <v>0</v>
      </c>
      <c r="L286" t="n">
        <v>0</v>
      </c>
      <c r="M286" t="n">
        <v>0</v>
      </c>
      <c r="N286" t="n">
        <v>0</v>
      </c>
      <c r="O286" t="n">
        <v>0</v>
      </c>
      <c r="P286" t="n">
        <v>0</v>
      </c>
      <c r="Q286" t="n">
        <v>0</v>
      </c>
      <c r="R286" s="2" t="inlineStr"/>
    </row>
    <row r="287" ht="15" customHeight="1">
      <c r="A287" t="inlineStr">
        <is>
          <t>A 40692-2019</t>
        </is>
      </c>
      <c r="B287" s="1" t="n">
        <v>43696</v>
      </c>
      <c r="C287" s="1" t="n">
        <v>45364</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41347-2019</t>
        </is>
      </c>
      <c r="B288" s="1" t="n">
        <v>43698</v>
      </c>
      <c r="C288" s="1" t="n">
        <v>45364</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42142-2019</t>
        </is>
      </c>
      <c r="B289" s="1" t="n">
        <v>43703</v>
      </c>
      <c r="C289" s="1" t="n">
        <v>45364</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42759-2019</t>
        </is>
      </c>
      <c r="B290" s="1" t="n">
        <v>43704</v>
      </c>
      <c r="C290" s="1" t="n">
        <v>45364</v>
      </c>
      <c r="D290" t="inlineStr">
        <is>
          <t>KALMAR LÄN</t>
        </is>
      </c>
      <c r="E290" t="inlineStr">
        <is>
          <t>VIMMERBY</t>
        </is>
      </c>
      <c r="G290" t="n">
        <v>4.6</v>
      </c>
      <c r="H290" t="n">
        <v>0</v>
      </c>
      <c r="I290" t="n">
        <v>0</v>
      </c>
      <c r="J290" t="n">
        <v>0</v>
      </c>
      <c r="K290" t="n">
        <v>0</v>
      </c>
      <c r="L290" t="n">
        <v>0</v>
      </c>
      <c r="M290" t="n">
        <v>0</v>
      </c>
      <c r="N290" t="n">
        <v>0</v>
      </c>
      <c r="O290" t="n">
        <v>0</v>
      </c>
      <c r="P290" t="n">
        <v>0</v>
      </c>
      <c r="Q290" t="n">
        <v>0</v>
      </c>
      <c r="R290" s="2" t="inlineStr"/>
    </row>
    <row r="291" ht="15" customHeight="1">
      <c r="A291" t="inlineStr">
        <is>
          <t>A 42758-2019</t>
        </is>
      </c>
      <c r="B291" s="1" t="n">
        <v>43704</v>
      </c>
      <c r="C291" s="1" t="n">
        <v>45364</v>
      </c>
      <c r="D291" t="inlineStr">
        <is>
          <t>KALMAR LÄN</t>
        </is>
      </c>
      <c r="E291" t="inlineStr">
        <is>
          <t>VIMMERBY</t>
        </is>
      </c>
      <c r="G291" t="n">
        <v>6.2</v>
      </c>
      <c r="H291" t="n">
        <v>0</v>
      </c>
      <c r="I291" t="n">
        <v>0</v>
      </c>
      <c r="J291" t="n">
        <v>0</v>
      </c>
      <c r="K291" t="n">
        <v>0</v>
      </c>
      <c r="L291" t="n">
        <v>0</v>
      </c>
      <c r="M291" t="n">
        <v>0</v>
      </c>
      <c r="N291" t="n">
        <v>0</v>
      </c>
      <c r="O291" t="n">
        <v>0</v>
      </c>
      <c r="P291" t="n">
        <v>0</v>
      </c>
      <c r="Q291" t="n">
        <v>0</v>
      </c>
      <c r="R291" s="2" t="inlineStr"/>
    </row>
    <row r="292" ht="15" customHeight="1">
      <c r="A292" t="inlineStr">
        <is>
          <t>A 42947-2019</t>
        </is>
      </c>
      <c r="B292" s="1" t="n">
        <v>43705</v>
      </c>
      <c r="C292" s="1" t="n">
        <v>45364</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42972-2019</t>
        </is>
      </c>
      <c r="B293" s="1" t="n">
        <v>43705</v>
      </c>
      <c r="C293" s="1" t="n">
        <v>45364</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44202-2019</t>
        </is>
      </c>
      <c r="B294" s="1" t="n">
        <v>43710</v>
      </c>
      <c r="C294" s="1" t="n">
        <v>45364</v>
      </c>
      <c r="D294" t="inlineStr">
        <is>
          <t>KALMAR LÄN</t>
        </is>
      </c>
      <c r="E294" t="inlineStr">
        <is>
          <t>VIMMERBY</t>
        </is>
      </c>
      <c r="G294" t="n">
        <v>1.3</v>
      </c>
      <c r="H294" t="n">
        <v>0</v>
      </c>
      <c r="I294" t="n">
        <v>0</v>
      </c>
      <c r="J294" t="n">
        <v>0</v>
      </c>
      <c r="K294" t="n">
        <v>0</v>
      </c>
      <c r="L294" t="n">
        <v>0</v>
      </c>
      <c r="M294" t="n">
        <v>0</v>
      </c>
      <c r="N294" t="n">
        <v>0</v>
      </c>
      <c r="O294" t="n">
        <v>0</v>
      </c>
      <c r="P294" t="n">
        <v>0</v>
      </c>
      <c r="Q294" t="n">
        <v>0</v>
      </c>
      <c r="R294" s="2" t="inlineStr"/>
    </row>
    <row r="295" ht="15" customHeight="1">
      <c r="A295" t="inlineStr">
        <is>
          <t>A 44630-2019</t>
        </is>
      </c>
      <c r="B295" s="1" t="n">
        <v>43712</v>
      </c>
      <c r="C295" s="1" t="n">
        <v>45364</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45446-2019</t>
        </is>
      </c>
      <c r="B296" s="1" t="n">
        <v>43714</v>
      </c>
      <c r="C296" s="1" t="n">
        <v>45364</v>
      </c>
      <c r="D296" t="inlineStr">
        <is>
          <t>KALMAR LÄN</t>
        </is>
      </c>
      <c r="E296" t="inlineStr">
        <is>
          <t>VIMMERBY</t>
        </is>
      </c>
      <c r="G296" t="n">
        <v>3.8</v>
      </c>
      <c r="H296" t="n">
        <v>0</v>
      </c>
      <c r="I296" t="n">
        <v>0</v>
      </c>
      <c r="J296" t="n">
        <v>0</v>
      </c>
      <c r="K296" t="n">
        <v>0</v>
      </c>
      <c r="L296" t="n">
        <v>0</v>
      </c>
      <c r="M296" t="n">
        <v>0</v>
      </c>
      <c r="N296" t="n">
        <v>0</v>
      </c>
      <c r="O296" t="n">
        <v>0</v>
      </c>
      <c r="P296" t="n">
        <v>0</v>
      </c>
      <c r="Q296" t="n">
        <v>0</v>
      </c>
      <c r="R296" s="2" t="inlineStr"/>
    </row>
    <row r="297" ht="15" customHeight="1">
      <c r="A297" t="inlineStr">
        <is>
          <t>A 45413-2019</t>
        </is>
      </c>
      <c r="B297" s="1" t="n">
        <v>43714</v>
      </c>
      <c r="C297" s="1" t="n">
        <v>45364</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45515-2019</t>
        </is>
      </c>
      <c r="B298" s="1" t="n">
        <v>43714</v>
      </c>
      <c r="C298" s="1" t="n">
        <v>45364</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46242-2019</t>
        </is>
      </c>
      <c r="B299" s="1" t="n">
        <v>43718</v>
      </c>
      <c r="C299" s="1" t="n">
        <v>45364</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46845-2019</t>
        </is>
      </c>
      <c r="B300" s="1" t="n">
        <v>43718</v>
      </c>
      <c r="C300" s="1" t="n">
        <v>45364</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46291-2019</t>
        </is>
      </c>
      <c r="B301" s="1" t="n">
        <v>43718</v>
      </c>
      <c r="C301" s="1" t="n">
        <v>45364</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47187-2019</t>
        </is>
      </c>
      <c r="B302" s="1" t="n">
        <v>43719</v>
      </c>
      <c r="C302" s="1" t="n">
        <v>45364</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46619-2019</t>
        </is>
      </c>
      <c r="B303" s="1" t="n">
        <v>43719</v>
      </c>
      <c r="C303" s="1" t="n">
        <v>45364</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46988-2019</t>
        </is>
      </c>
      <c r="B304" s="1" t="n">
        <v>43720</v>
      </c>
      <c r="C304" s="1" t="n">
        <v>45364</v>
      </c>
      <c r="D304" t="inlineStr">
        <is>
          <t>KALMAR LÄN</t>
        </is>
      </c>
      <c r="E304" t="inlineStr">
        <is>
          <t>VIMMERBY</t>
        </is>
      </c>
      <c r="F304" t="inlineStr">
        <is>
          <t>Kommuner</t>
        </is>
      </c>
      <c r="G304" t="n">
        <v>0.5</v>
      </c>
      <c r="H304" t="n">
        <v>0</v>
      </c>
      <c r="I304" t="n">
        <v>0</v>
      </c>
      <c r="J304" t="n">
        <v>0</v>
      </c>
      <c r="K304" t="n">
        <v>0</v>
      </c>
      <c r="L304" t="n">
        <v>0</v>
      </c>
      <c r="M304" t="n">
        <v>0</v>
      </c>
      <c r="N304" t="n">
        <v>0</v>
      </c>
      <c r="O304" t="n">
        <v>0</v>
      </c>
      <c r="P304" t="n">
        <v>0</v>
      </c>
      <c r="Q304" t="n">
        <v>0</v>
      </c>
      <c r="R304" s="2" t="inlineStr"/>
    </row>
    <row r="305" ht="15" customHeight="1">
      <c r="A305" t="inlineStr">
        <is>
          <t>A 48029-2019</t>
        </is>
      </c>
      <c r="B305" s="1" t="n">
        <v>43725</v>
      </c>
      <c r="C305" s="1" t="n">
        <v>45364</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48051-2019</t>
        </is>
      </c>
      <c r="B306" s="1" t="n">
        <v>43725</v>
      </c>
      <c r="C306" s="1" t="n">
        <v>45364</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48164-2019</t>
        </is>
      </c>
      <c r="B307" s="1" t="n">
        <v>43726</v>
      </c>
      <c r="C307" s="1" t="n">
        <v>45364</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48381-2019</t>
        </is>
      </c>
      <c r="B308" s="1" t="n">
        <v>43726</v>
      </c>
      <c r="C308" s="1" t="n">
        <v>45364</v>
      </c>
      <c r="D308" t="inlineStr">
        <is>
          <t>KALMAR LÄN</t>
        </is>
      </c>
      <c r="E308" t="inlineStr">
        <is>
          <t>VIMMERBY</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48380-2019</t>
        </is>
      </c>
      <c r="B309" s="1" t="n">
        <v>43726</v>
      </c>
      <c r="C309" s="1" t="n">
        <v>45364</v>
      </c>
      <c r="D309" t="inlineStr">
        <is>
          <t>KALMAR LÄN</t>
        </is>
      </c>
      <c r="E309" t="inlineStr">
        <is>
          <t>VIMMERBY</t>
        </is>
      </c>
      <c r="F309" t="inlineStr">
        <is>
          <t>Sveaskog</t>
        </is>
      </c>
      <c r="G309" t="n">
        <v>4.5</v>
      </c>
      <c r="H309" t="n">
        <v>0</v>
      </c>
      <c r="I309" t="n">
        <v>0</v>
      </c>
      <c r="J309" t="n">
        <v>0</v>
      </c>
      <c r="K309" t="n">
        <v>0</v>
      </c>
      <c r="L309" t="n">
        <v>0</v>
      </c>
      <c r="M309" t="n">
        <v>0</v>
      </c>
      <c r="N309" t="n">
        <v>0</v>
      </c>
      <c r="O309" t="n">
        <v>0</v>
      </c>
      <c r="P309" t="n">
        <v>0</v>
      </c>
      <c r="Q309" t="n">
        <v>0</v>
      </c>
      <c r="R309" s="2" t="inlineStr"/>
    </row>
    <row r="310" ht="15" customHeight="1">
      <c r="A310" t="inlineStr">
        <is>
          <t>A 48834-2019</t>
        </is>
      </c>
      <c r="B310" s="1" t="n">
        <v>43728</v>
      </c>
      <c r="C310" s="1" t="n">
        <v>45364</v>
      </c>
      <c r="D310" t="inlineStr">
        <is>
          <t>KALMAR LÄN</t>
        </is>
      </c>
      <c r="E310" t="inlineStr">
        <is>
          <t>VIMMERBY</t>
        </is>
      </c>
      <c r="G310" t="n">
        <v>5.3</v>
      </c>
      <c r="H310" t="n">
        <v>0</v>
      </c>
      <c r="I310" t="n">
        <v>0</v>
      </c>
      <c r="J310" t="n">
        <v>0</v>
      </c>
      <c r="K310" t="n">
        <v>0</v>
      </c>
      <c r="L310" t="n">
        <v>0</v>
      </c>
      <c r="M310" t="n">
        <v>0</v>
      </c>
      <c r="N310" t="n">
        <v>0</v>
      </c>
      <c r="O310" t="n">
        <v>0</v>
      </c>
      <c r="P310" t="n">
        <v>0</v>
      </c>
      <c r="Q310" t="n">
        <v>0</v>
      </c>
      <c r="R310" s="2" t="inlineStr"/>
    </row>
    <row r="311" ht="15" customHeight="1">
      <c r="A311" t="inlineStr">
        <is>
          <t>A 48921-2019</t>
        </is>
      </c>
      <c r="B311" s="1" t="n">
        <v>43728</v>
      </c>
      <c r="C311" s="1" t="n">
        <v>45364</v>
      </c>
      <c r="D311" t="inlineStr">
        <is>
          <t>KALMAR LÄN</t>
        </is>
      </c>
      <c r="E311" t="inlineStr">
        <is>
          <t>VIMMERBY</t>
        </is>
      </c>
      <c r="G311" t="n">
        <v>1.7</v>
      </c>
      <c r="H311" t="n">
        <v>0</v>
      </c>
      <c r="I311" t="n">
        <v>0</v>
      </c>
      <c r="J311" t="n">
        <v>0</v>
      </c>
      <c r="K311" t="n">
        <v>0</v>
      </c>
      <c r="L311" t="n">
        <v>0</v>
      </c>
      <c r="M311" t="n">
        <v>0</v>
      </c>
      <c r="N311" t="n">
        <v>0</v>
      </c>
      <c r="O311" t="n">
        <v>0</v>
      </c>
      <c r="P311" t="n">
        <v>0</v>
      </c>
      <c r="Q311" t="n">
        <v>0</v>
      </c>
      <c r="R311" s="2" t="inlineStr"/>
    </row>
    <row r="312" ht="15" customHeight="1">
      <c r="A312" t="inlineStr">
        <is>
          <t>A 49212-2019</t>
        </is>
      </c>
      <c r="B312" s="1" t="n">
        <v>43731</v>
      </c>
      <c r="C312" s="1" t="n">
        <v>45364</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49208-2019</t>
        </is>
      </c>
      <c r="B313" s="1" t="n">
        <v>43731</v>
      </c>
      <c r="C313" s="1" t="n">
        <v>45364</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49206-2019</t>
        </is>
      </c>
      <c r="B314" s="1" t="n">
        <v>43731</v>
      </c>
      <c r="C314" s="1" t="n">
        <v>45364</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49741-2019</t>
        </is>
      </c>
      <c r="B315" s="1" t="n">
        <v>43733</v>
      </c>
      <c r="C315" s="1" t="n">
        <v>45364</v>
      </c>
      <c r="D315" t="inlineStr">
        <is>
          <t>KALMAR LÄN</t>
        </is>
      </c>
      <c r="E315" t="inlineStr">
        <is>
          <t>VIMMERBY</t>
        </is>
      </c>
      <c r="G315" t="n">
        <v>2.2</v>
      </c>
      <c r="H315" t="n">
        <v>0</v>
      </c>
      <c r="I315" t="n">
        <v>0</v>
      </c>
      <c r="J315" t="n">
        <v>0</v>
      </c>
      <c r="K315" t="n">
        <v>0</v>
      </c>
      <c r="L315" t="n">
        <v>0</v>
      </c>
      <c r="M315" t="n">
        <v>0</v>
      </c>
      <c r="N315" t="n">
        <v>0</v>
      </c>
      <c r="O315" t="n">
        <v>0</v>
      </c>
      <c r="P315" t="n">
        <v>0</v>
      </c>
      <c r="Q315" t="n">
        <v>0</v>
      </c>
      <c r="R315" s="2" t="inlineStr"/>
    </row>
    <row r="316" ht="15" customHeight="1">
      <c r="A316" t="inlineStr">
        <is>
          <t>A 49760-2019</t>
        </is>
      </c>
      <c r="B316" s="1" t="n">
        <v>43733</v>
      </c>
      <c r="C316" s="1" t="n">
        <v>45364</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49747-2019</t>
        </is>
      </c>
      <c r="B317" s="1" t="n">
        <v>43733</v>
      </c>
      <c r="C317" s="1" t="n">
        <v>45364</v>
      </c>
      <c r="D317" t="inlineStr">
        <is>
          <t>KALMAR LÄN</t>
        </is>
      </c>
      <c r="E317" t="inlineStr">
        <is>
          <t>VIMMERBY</t>
        </is>
      </c>
      <c r="G317" t="n">
        <v>4.9</v>
      </c>
      <c r="H317" t="n">
        <v>0</v>
      </c>
      <c r="I317" t="n">
        <v>0</v>
      </c>
      <c r="J317" t="n">
        <v>0</v>
      </c>
      <c r="K317" t="n">
        <v>0</v>
      </c>
      <c r="L317" t="n">
        <v>0</v>
      </c>
      <c r="M317" t="n">
        <v>0</v>
      </c>
      <c r="N317" t="n">
        <v>0</v>
      </c>
      <c r="O317" t="n">
        <v>0</v>
      </c>
      <c r="P317" t="n">
        <v>0</v>
      </c>
      <c r="Q317" t="n">
        <v>0</v>
      </c>
      <c r="R317" s="2" t="inlineStr"/>
    </row>
    <row r="318" ht="15" customHeight="1">
      <c r="A318" t="inlineStr">
        <is>
          <t>A 49855-2019</t>
        </is>
      </c>
      <c r="B318" s="1" t="n">
        <v>43733</v>
      </c>
      <c r="C318" s="1" t="n">
        <v>45364</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49871-2019</t>
        </is>
      </c>
      <c r="B319" s="1" t="n">
        <v>43733</v>
      </c>
      <c r="C319" s="1" t="n">
        <v>45364</v>
      </c>
      <c r="D319" t="inlineStr">
        <is>
          <t>KALMAR LÄN</t>
        </is>
      </c>
      <c r="E319" t="inlineStr">
        <is>
          <t>VIMMERBY</t>
        </is>
      </c>
      <c r="F319" t="inlineStr">
        <is>
          <t>Sveaskog</t>
        </is>
      </c>
      <c r="G319" t="n">
        <v>5.9</v>
      </c>
      <c r="H319" t="n">
        <v>0</v>
      </c>
      <c r="I319" t="n">
        <v>0</v>
      </c>
      <c r="J319" t="n">
        <v>0</v>
      </c>
      <c r="K319" t="n">
        <v>0</v>
      </c>
      <c r="L319" t="n">
        <v>0</v>
      </c>
      <c r="M319" t="n">
        <v>0</v>
      </c>
      <c r="N319" t="n">
        <v>0</v>
      </c>
      <c r="O319" t="n">
        <v>0</v>
      </c>
      <c r="P319" t="n">
        <v>0</v>
      </c>
      <c r="Q319" t="n">
        <v>0</v>
      </c>
      <c r="R319" s="2" t="inlineStr"/>
    </row>
    <row r="320" ht="15" customHeight="1">
      <c r="A320" t="inlineStr">
        <is>
          <t>A 49880-2019</t>
        </is>
      </c>
      <c r="B320" s="1" t="n">
        <v>43733</v>
      </c>
      <c r="C320" s="1" t="n">
        <v>45364</v>
      </c>
      <c r="D320" t="inlineStr">
        <is>
          <t>KALMAR LÄN</t>
        </is>
      </c>
      <c r="E320" t="inlineStr">
        <is>
          <t>VIMMERBY</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49885-2019</t>
        </is>
      </c>
      <c r="B321" s="1" t="n">
        <v>43733</v>
      </c>
      <c r="C321" s="1" t="n">
        <v>45364</v>
      </c>
      <c r="D321" t="inlineStr">
        <is>
          <t>KALMAR LÄN</t>
        </is>
      </c>
      <c r="E321" t="inlineStr">
        <is>
          <t>VIMMERBY</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49901-2019</t>
        </is>
      </c>
      <c r="B322" s="1" t="n">
        <v>43733</v>
      </c>
      <c r="C322" s="1" t="n">
        <v>45364</v>
      </c>
      <c r="D322" t="inlineStr">
        <is>
          <t>KALMAR LÄN</t>
        </is>
      </c>
      <c r="E322" t="inlineStr">
        <is>
          <t>VIMMERBY</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49891-2019</t>
        </is>
      </c>
      <c r="B323" s="1" t="n">
        <v>43733</v>
      </c>
      <c r="C323" s="1" t="n">
        <v>45364</v>
      </c>
      <c r="D323" t="inlineStr">
        <is>
          <t>KALMAR LÄN</t>
        </is>
      </c>
      <c r="E323" t="inlineStr">
        <is>
          <t>VIMMERBY</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49695-2019</t>
        </is>
      </c>
      <c r="B324" s="1" t="n">
        <v>43733</v>
      </c>
      <c r="C324" s="1" t="n">
        <v>45364</v>
      </c>
      <c r="D324" t="inlineStr">
        <is>
          <t>KALMAR LÄN</t>
        </is>
      </c>
      <c r="E324" t="inlineStr">
        <is>
          <t>VIMMERBY</t>
        </is>
      </c>
      <c r="G324" t="n">
        <v>4.6</v>
      </c>
      <c r="H324" t="n">
        <v>0</v>
      </c>
      <c r="I324" t="n">
        <v>0</v>
      </c>
      <c r="J324" t="n">
        <v>0</v>
      </c>
      <c r="K324" t="n">
        <v>0</v>
      </c>
      <c r="L324" t="n">
        <v>0</v>
      </c>
      <c r="M324" t="n">
        <v>0</v>
      </c>
      <c r="N324" t="n">
        <v>0</v>
      </c>
      <c r="O324" t="n">
        <v>0</v>
      </c>
      <c r="P324" t="n">
        <v>0</v>
      </c>
      <c r="Q324" t="n">
        <v>0</v>
      </c>
      <c r="R324" s="2" t="inlineStr"/>
    </row>
    <row r="325" ht="15" customHeight="1">
      <c r="A325" t="inlineStr">
        <is>
          <t>A 50214-2019</t>
        </is>
      </c>
      <c r="B325" s="1" t="n">
        <v>43734</v>
      </c>
      <c r="C325" s="1" t="n">
        <v>45364</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50317-2019</t>
        </is>
      </c>
      <c r="B326" s="1" t="n">
        <v>43735</v>
      </c>
      <c r="C326" s="1" t="n">
        <v>45364</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50761-2019</t>
        </is>
      </c>
      <c r="B327" s="1" t="n">
        <v>43738</v>
      </c>
      <c r="C327" s="1" t="n">
        <v>45364</v>
      </c>
      <c r="D327" t="inlineStr">
        <is>
          <t>KALMAR LÄN</t>
        </is>
      </c>
      <c r="E327" t="inlineStr">
        <is>
          <t>VIMMERBY</t>
        </is>
      </c>
      <c r="G327" t="n">
        <v>3.9</v>
      </c>
      <c r="H327" t="n">
        <v>0</v>
      </c>
      <c r="I327" t="n">
        <v>0</v>
      </c>
      <c r="J327" t="n">
        <v>0</v>
      </c>
      <c r="K327" t="n">
        <v>0</v>
      </c>
      <c r="L327" t="n">
        <v>0</v>
      </c>
      <c r="M327" t="n">
        <v>0</v>
      </c>
      <c r="N327" t="n">
        <v>0</v>
      </c>
      <c r="O327" t="n">
        <v>0</v>
      </c>
      <c r="P327" t="n">
        <v>0</v>
      </c>
      <c r="Q327" t="n">
        <v>0</v>
      </c>
      <c r="R327" s="2" t="inlineStr"/>
    </row>
    <row r="328" ht="15" customHeight="1">
      <c r="A328" t="inlineStr">
        <is>
          <t>A 51273-2019</t>
        </is>
      </c>
      <c r="B328" s="1" t="n">
        <v>43739</v>
      </c>
      <c r="C328" s="1" t="n">
        <v>45364</v>
      </c>
      <c r="D328" t="inlineStr">
        <is>
          <t>KALMAR LÄN</t>
        </is>
      </c>
      <c r="E328" t="inlineStr">
        <is>
          <t>VIMMERBY</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51277-2019</t>
        </is>
      </c>
      <c r="B329" s="1" t="n">
        <v>43739</v>
      </c>
      <c r="C329" s="1" t="n">
        <v>45364</v>
      </c>
      <c r="D329" t="inlineStr">
        <is>
          <t>KALMAR LÄN</t>
        </is>
      </c>
      <c r="E329" t="inlineStr">
        <is>
          <t>VIMMERBY</t>
        </is>
      </c>
      <c r="F329" t="inlineStr">
        <is>
          <t>Sveaskog</t>
        </is>
      </c>
      <c r="G329" t="n">
        <v>7.9</v>
      </c>
      <c r="H329" t="n">
        <v>0</v>
      </c>
      <c r="I329" t="n">
        <v>0</v>
      </c>
      <c r="J329" t="n">
        <v>0</v>
      </c>
      <c r="K329" t="n">
        <v>0</v>
      </c>
      <c r="L329" t="n">
        <v>0</v>
      </c>
      <c r="M329" t="n">
        <v>0</v>
      </c>
      <c r="N329" t="n">
        <v>0</v>
      </c>
      <c r="O329" t="n">
        <v>0</v>
      </c>
      <c r="P329" t="n">
        <v>0</v>
      </c>
      <c r="Q329" t="n">
        <v>0</v>
      </c>
      <c r="R329" s="2" t="inlineStr"/>
    </row>
    <row r="330" ht="15" customHeight="1">
      <c r="A330" t="inlineStr">
        <is>
          <t>A 51362-2019</t>
        </is>
      </c>
      <c r="B330" s="1" t="n">
        <v>43740</v>
      </c>
      <c r="C330" s="1" t="n">
        <v>45364</v>
      </c>
      <c r="D330" t="inlineStr">
        <is>
          <t>KALMAR LÄN</t>
        </is>
      </c>
      <c r="E330" t="inlineStr">
        <is>
          <t>VIMMERBY</t>
        </is>
      </c>
      <c r="G330" t="n">
        <v>2.4</v>
      </c>
      <c r="H330" t="n">
        <v>0</v>
      </c>
      <c r="I330" t="n">
        <v>0</v>
      </c>
      <c r="J330" t="n">
        <v>0</v>
      </c>
      <c r="K330" t="n">
        <v>0</v>
      </c>
      <c r="L330" t="n">
        <v>0</v>
      </c>
      <c r="M330" t="n">
        <v>0</v>
      </c>
      <c r="N330" t="n">
        <v>0</v>
      </c>
      <c r="O330" t="n">
        <v>0</v>
      </c>
      <c r="P330" t="n">
        <v>0</v>
      </c>
      <c r="Q330" t="n">
        <v>0</v>
      </c>
      <c r="R330" s="2" t="inlineStr"/>
    </row>
    <row r="331" ht="15" customHeight="1">
      <c r="A331" t="inlineStr">
        <is>
          <t>A 51552-2019</t>
        </is>
      </c>
      <c r="B331" s="1" t="n">
        <v>43740</v>
      </c>
      <c r="C331" s="1" t="n">
        <v>45364</v>
      </c>
      <c r="D331" t="inlineStr">
        <is>
          <t>KALMAR LÄN</t>
        </is>
      </c>
      <c r="E331" t="inlineStr">
        <is>
          <t>VIMMERBY</t>
        </is>
      </c>
      <c r="G331" t="n">
        <v>1.2</v>
      </c>
      <c r="H331" t="n">
        <v>0</v>
      </c>
      <c r="I331" t="n">
        <v>0</v>
      </c>
      <c r="J331" t="n">
        <v>0</v>
      </c>
      <c r="K331" t="n">
        <v>0</v>
      </c>
      <c r="L331" t="n">
        <v>0</v>
      </c>
      <c r="M331" t="n">
        <v>0</v>
      </c>
      <c r="N331" t="n">
        <v>0</v>
      </c>
      <c r="O331" t="n">
        <v>0</v>
      </c>
      <c r="P331" t="n">
        <v>0</v>
      </c>
      <c r="Q331" t="n">
        <v>0</v>
      </c>
      <c r="R331" s="2" t="inlineStr"/>
    </row>
    <row r="332" ht="15" customHeight="1">
      <c r="A332" t="inlineStr">
        <is>
          <t>A 51719-2019</t>
        </is>
      </c>
      <c r="B332" s="1" t="n">
        <v>43741</v>
      </c>
      <c r="C332" s="1" t="n">
        <v>45364</v>
      </c>
      <c r="D332" t="inlineStr">
        <is>
          <t>KALMAR LÄN</t>
        </is>
      </c>
      <c r="E332" t="inlineStr">
        <is>
          <t>VIMMERBY</t>
        </is>
      </c>
      <c r="G332" t="n">
        <v>3</v>
      </c>
      <c r="H332" t="n">
        <v>0</v>
      </c>
      <c r="I332" t="n">
        <v>0</v>
      </c>
      <c r="J332" t="n">
        <v>0</v>
      </c>
      <c r="K332" t="n">
        <v>0</v>
      </c>
      <c r="L332" t="n">
        <v>0</v>
      </c>
      <c r="M332" t="n">
        <v>0</v>
      </c>
      <c r="N332" t="n">
        <v>0</v>
      </c>
      <c r="O332" t="n">
        <v>0</v>
      </c>
      <c r="P332" t="n">
        <v>0</v>
      </c>
      <c r="Q332" t="n">
        <v>0</v>
      </c>
      <c r="R332" s="2" t="inlineStr"/>
    </row>
    <row r="333" ht="15" customHeight="1">
      <c r="A333" t="inlineStr">
        <is>
          <t>A 52173-2019</t>
        </is>
      </c>
      <c r="B333" s="1" t="n">
        <v>43742</v>
      </c>
      <c r="C333" s="1" t="n">
        <v>45364</v>
      </c>
      <c r="D333" t="inlineStr">
        <is>
          <t>KALMAR LÄN</t>
        </is>
      </c>
      <c r="E333" t="inlineStr">
        <is>
          <t>VIMMERBY</t>
        </is>
      </c>
      <c r="G333" t="n">
        <v>3.9</v>
      </c>
      <c r="H333" t="n">
        <v>0</v>
      </c>
      <c r="I333" t="n">
        <v>0</v>
      </c>
      <c r="J333" t="n">
        <v>0</v>
      </c>
      <c r="K333" t="n">
        <v>0</v>
      </c>
      <c r="L333" t="n">
        <v>0</v>
      </c>
      <c r="M333" t="n">
        <v>0</v>
      </c>
      <c r="N333" t="n">
        <v>0</v>
      </c>
      <c r="O333" t="n">
        <v>0</v>
      </c>
      <c r="P333" t="n">
        <v>0</v>
      </c>
      <c r="Q333" t="n">
        <v>0</v>
      </c>
      <c r="R333" s="2" t="inlineStr"/>
    </row>
    <row r="334" ht="15" customHeight="1">
      <c r="A334" t="inlineStr">
        <is>
          <t>A 52356-2019</t>
        </is>
      </c>
      <c r="B334" s="1" t="n">
        <v>43745</v>
      </c>
      <c r="C334" s="1" t="n">
        <v>45364</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52909-2019</t>
        </is>
      </c>
      <c r="B335" s="1" t="n">
        <v>43746</v>
      </c>
      <c r="C335" s="1" t="n">
        <v>45364</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52908-2019</t>
        </is>
      </c>
      <c r="B336" s="1" t="n">
        <v>43746</v>
      </c>
      <c r="C336" s="1" t="n">
        <v>45364</v>
      </c>
      <c r="D336" t="inlineStr">
        <is>
          <t>KALMAR LÄN</t>
        </is>
      </c>
      <c r="E336" t="inlineStr">
        <is>
          <t>VIMMERBY</t>
        </is>
      </c>
      <c r="G336" t="n">
        <v>5.8</v>
      </c>
      <c r="H336" t="n">
        <v>0</v>
      </c>
      <c r="I336" t="n">
        <v>0</v>
      </c>
      <c r="J336" t="n">
        <v>0</v>
      </c>
      <c r="K336" t="n">
        <v>0</v>
      </c>
      <c r="L336" t="n">
        <v>0</v>
      </c>
      <c r="M336" t="n">
        <v>0</v>
      </c>
      <c r="N336" t="n">
        <v>0</v>
      </c>
      <c r="O336" t="n">
        <v>0</v>
      </c>
      <c r="P336" t="n">
        <v>0</v>
      </c>
      <c r="Q336" t="n">
        <v>0</v>
      </c>
      <c r="R336" s="2" t="inlineStr"/>
    </row>
    <row r="337" ht="15" customHeight="1">
      <c r="A337" t="inlineStr">
        <is>
          <t>A 52780-2019</t>
        </is>
      </c>
      <c r="B337" s="1" t="n">
        <v>43746</v>
      </c>
      <c r="C337" s="1" t="n">
        <v>45364</v>
      </c>
      <c r="D337" t="inlineStr">
        <is>
          <t>KALMAR LÄN</t>
        </is>
      </c>
      <c r="E337" t="inlineStr">
        <is>
          <t>VIMMERBY</t>
        </is>
      </c>
      <c r="G337" t="n">
        <v>1.1</v>
      </c>
      <c r="H337" t="n">
        <v>0</v>
      </c>
      <c r="I337" t="n">
        <v>0</v>
      </c>
      <c r="J337" t="n">
        <v>0</v>
      </c>
      <c r="K337" t="n">
        <v>0</v>
      </c>
      <c r="L337" t="n">
        <v>0</v>
      </c>
      <c r="M337" t="n">
        <v>0</v>
      </c>
      <c r="N337" t="n">
        <v>0</v>
      </c>
      <c r="O337" t="n">
        <v>0</v>
      </c>
      <c r="P337" t="n">
        <v>0</v>
      </c>
      <c r="Q337" t="n">
        <v>0</v>
      </c>
      <c r="R337" s="2" t="inlineStr"/>
    </row>
    <row r="338" ht="15" customHeight="1">
      <c r="A338" t="inlineStr">
        <is>
          <t>A 53691-2019</t>
        </is>
      </c>
      <c r="B338" s="1" t="n">
        <v>43749</v>
      </c>
      <c r="C338" s="1" t="n">
        <v>45364</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54593-2019</t>
        </is>
      </c>
      <c r="B339" s="1" t="n">
        <v>43754</v>
      </c>
      <c r="C339" s="1" t="n">
        <v>45364</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54794-2019</t>
        </is>
      </c>
      <c r="B340" s="1" t="n">
        <v>43755</v>
      </c>
      <c r="C340" s="1" t="n">
        <v>45364</v>
      </c>
      <c r="D340" t="inlineStr">
        <is>
          <t>KALMAR LÄN</t>
        </is>
      </c>
      <c r="E340" t="inlineStr">
        <is>
          <t>VIMMERBY</t>
        </is>
      </c>
      <c r="G340" t="n">
        <v>3.2</v>
      </c>
      <c r="H340" t="n">
        <v>0</v>
      </c>
      <c r="I340" t="n">
        <v>0</v>
      </c>
      <c r="J340" t="n">
        <v>0</v>
      </c>
      <c r="K340" t="n">
        <v>0</v>
      </c>
      <c r="L340" t="n">
        <v>0</v>
      </c>
      <c r="M340" t="n">
        <v>0</v>
      </c>
      <c r="N340" t="n">
        <v>0</v>
      </c>
      <c r="O340" t="n">
        <v>0</v>
      </c>
      <c r="P340" t="n">
        <v>0</v>
      </c>
      <c r="Q340" t="n">
        <v>0</v>
      </c>
      <c r="R340" s="2" t="inlineStr"/>
    </row>
    <row r="341" ht="15" customHeight="1">
      <c r="A341" t="inlineStr">
        <is>
          <t>A 55757-2019</t>
        </is>
      </c>
      <c r="B341" s="1" t="n">
        <v>43759</v>
      </c>
      <c r="C341" s="1" t="n">
        <v>45364</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57998-2019</t>
        </is>
      </c>
      <c r="B342" s="1" t="n">
        <v>43762</v>
      </c>
      <c r="C342" s="1" t="n">
        <v>45364</v>
      </c>
      <c r="D342" t="inlineStr">
        <is>
          <t>KALMAR LÄN</t>
        </is>
      </c>
      <c r="E342" t="inlineStr">
        <is>
          <t>VIMMERBY</t>
        </is>
      </c>
      <c r="G342" t="n">
        <v>2.3</v>
      </c>
      <c r="H342" t="n">
        <v>0</v>
      </c>
      <c r="I342" t="n">
        <v>0</v>
      </c>
      <c r="J342" t="n">
        <v>0</v>
      </c>
      <c r="K342" t="n">
        <v>0</v>
      </c>
      <c r="L342" t="n">
        <v>0</v>
      </c>
      <c r="M342" t="n">
        <v>0</v>
      </c>
      <c r="N342" t="n">
        <v>0</v>
      </c>
      <c r="O342" t="n">
        <v>0</v>
      </c>
      <c r="P342" t="n">
        <v>0</v>
      </c>
      <c r="Q342" t="n">
        <v>0</v>
      </c>
      <c r="R342" s="2" t="inlineStr"/>
    </row>
    <row r="343" ht="15" customHeight="1">
      <c r="A343" t="inlineStr">
        <is>
          <t>A 57509-2019</t>
        </is>
      </c>
      <c r="B343" s="1" t="n">
        <v>43767</v>
      </c>
      <c r="C343" s="1" t="n">
        <v>45364</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57886-2019</t>
        </is>
      </c>
      <c r="B344" s="1" t="n">
        <v>43768</v>
      </c>
      <c r="C344" s="1" t="n">
        <v>45364</v>
      </c>
      <c r="D344" t="inlineStr">
        <is>
          <t>KALMAR LÄN</t>
        </is>
      </c>
      <c r="E344" t="inlineStr">
        <is>
          <t>VIMMERBY</t>
        </is>
      </c>
      <c r="G344" t="n">
        <v>1.3</v>
      </c>
      <c r="H344" t="n">
        <v>0</v>
      </c>
      <c r="I344" t="n">
        <v>0</v>
      </c>
      <c r="J344" t="n">
        <v>0</v>
      </c>
      <c r="K344" t="n">
        <v>0</v>
      </c>
      <c r="L344" t="n">
        <v>0</v>
      </c>
      <c r="M344" t="n">
        <v>0</v>
      </c>
      <c r="N344" t="n">
        <v>0</v>
      </c>
      <c r="O344" t="n">
        <v>0</v>
      </c>
      <c r="P344" t="n">
        <v>0</v>
      </c>
      <c r="Q344" t="n">
        <v>0</v>
      </c>
      <c r="R344" s="2" t="inlineStr"/>
    </row>
    <row r="345" ht="15" customHeight="1">
      <c r="A345" t="inlineStr">
        <is>
          <t>A 59256-2019</t>
        </is>
      </c>
      <c r="B345" s="1" t="n">
        <v>43773</v>
      </c>
      <c r="C345" s="1" t="n">
        <v>45364</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58812-2019</t>
        </is>
      </c>
      <c r="B346" s="1" t="n">
        <v>43774</v>
      </c>
      <c r="C346" s="1" t="n">
        <v>45364</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60253-2019</t>
        </is>
      </c>
      <c r="B347" s="1" t="n">
        <v>43780</v>
      </c>
      <c r="C347" s="1" t="n">
        <v>45364</v>
      </c>
      <c r="D347" t="inlineStr">
        <is>
          <t>KALMAR LÄN</t>
        </is>
      </c>
      <c r="E347" t="inlineStr">
        <is>
          <t>VIMMERBY</t>
        </is>
      </c>
      <c r="G347" t="n">
        <v>4.4</v>
      </c>
      <c r="H347" t="n">
        <v>0</v>
      </c>
      <c r="I347" t="n">
        <v>0</v>
      </c>
      <c r="J347" t="n">
        <v>0</v>
      </c>
      <c r="K347" t="n">
        <v>0</v>
      </c>
      <c r="L347" t="n">
        <v>0</v>
      </c>
      <c r="M347" t="n">
        <v>0</v>
      </c>
      <c r="N347" t="n">
        <v>0</v>
      </c>
      <c r="O347" t="n">
        <v>0</v>
      </c>
      <c r="P347" t="n">
        <v>0</v>
      </c>
      <c r="Q347" t="n">
        <v>0</v>
      </c>
      <c r="R347" s="2" t="inlineStr"/>
    </row>
    <row r="348" ht="15" customHeight="1">
      <c r="A348" t="inlineStr">
        <is>
          <t>A 60673-2019</t>
        </is>
      </c>
      <c r="B348" s="1" t="n">
        <v>43781</v>
      </c>
      <c r="C348" s="1" t="n">
        <v>45364</v>
      </c>
      <c r="D348" t="inlineStr">
        <is>
          <t>KALMAR LÄN</t>
        </is>
      </c>
      <c r="E348" t="inlineStr">
        <is>
          <t>VIMMERBY</t>
        </is>
      </c>
      <c r="G348" t="n">
        <v>2.3</v>
      </c>
      <c r="H348" t="n">
        <v>0</v>
      </c>
      <c r="I348" t="n">
        <v>0</v>
      </c>
      <c r="J348" t="n">
        <v>0</v>
      </c>
      <c r="K348" t="n">
        <v>0</v>
      </c>
      <c r="L348" t="n">
        <v>0</v>
      </c>
      <c r="M348" t="n">
        <v>0</v>
      </c>
      <c r="N348" t="n">
        <v>0</v>
      </c>
      <c r="O348" t="n">
        <v>0</v>
      </c>
      <c r="P348" t="n">
        <v>0</v>
      </c>
      <c r="Q348" t="n">
        <v>0</v>
      </c>
      <c r="R348" s="2" t="inlineStr"/>
    </row>
    <row r="349" ht="15" customHeight="1">
      <c r="A349" t="inlineStr">
        <is>
          <t>A 60802-2019</t>
        </is>
      </c>
      <c r="B349" s="1" t="n">
        <v>43781</v>
      </c>
      <c r="C349" s="1" t="n">
        <v>45364</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61049-2019</t>
        </is>
      </c>
      <c r="B350" s="1" t="n">
        <v>43782</v>
      </c>
      <c r="C350" s="1" t="n">
        <v>45364</v>
      </c>
      <c r="D350" t="inlineStr">
        <is>
          <t>KALMAR LÄN</t>
        </is>
      </c>
      <c r="E350" t="inlineStr">
        <is>
          <t>VIMMERBY</t>
        </is>
      </c>
      <c r="G350" t="n">
        <v>4.1</v>
      </c>
      <c r="H350" t="n">
        <v>0</v>
      </c>
      <c r="I350" t="n">
        <v>0</v>
      </c>
      <c r="J350" t="n">
        <v>0</v>
      </c>
      <c r="K350" t="n">
        <v>0</v>
      </c>
      <c r="L350" t="n">
        <v>0</v>
      </c>
      <c r="M350" t="n">
        <v>0</v>
      </c>
      <c r="N350" t="n">
        <v>0</v>
      </c>
      <c r="O350" t="n">
        <v>0</v>
      </c>
      <c r="P350" t="n">
        <v>0</v>
      </c>
      <c r="Q350" t="n">
        <v>0</v>
      </c>
      <c r="R350" s="2" t="inlineStr"/>
    </row>
    <row r="351" ht="15" customHeight="1">
      <c r="A351" t="inlineStr">
        <is>
          <t>A 63362-2019</t>
        </is>
      </c>
      <c r="B351" s="1" t="n">
        <v>43787</v>
      </c>
      <c r="C351" s="1" t="n">
        <v>45364</v>
      </c>
      <c r="D351" t="inlineStr">
        <is>
          <t>KALMAR LÄN</t>
        </is>
      </c>
      <c r="E351" t="inlineStr">
        <is>
          <t>VIMMERBY</t>
        </is>
      </c>
      <c r="G351" t="n">
        <v>1.5</v>
      </c>
      <c r="H351" t="n">
        <v>0</v>
      </c>
      <c r="I351" t="n">
        <v>0</v>
      </c>
      <c r="J351" t="n">
        <v>0</v>
      </c>
      <c r="K351" t="n">
        <v>0</v>
      </c>
      <c r="L351" t="n">
        <v>0</v>
      </c>
      <c r="M351" t="n">
        <v>0</v>
      </c>
      <c r="N351" t="n">
        <v>0</v>
      </c>
      <c r="O351" t="n">
        <v>0</v>
      </c>
      <c r="P351" t="n">
        <v>0</v>
      </c>
      <c r="Q351" t="n">
        <v>0</v>
      </c>
      <c r="R351" s="2" t="inlineStr"/>
    </row>
    <row r="352" ht="15" customHeight="1">
      <c r="A352" t="inlineStr">
        <is>
          <t>A 62625-2019</t>
        </is>
      </c>
      <c r="B352" s="1" t="n">
        <v>43789</v>
      </c>
      <c r="C352" s="1" t="n">
        <v>45364</v>
      </c>
      <c r="D352" t="inlineStr">
        <is>
          <t>KALMAR LÄN</t>
        </is>
      </c>
      <c r="E352" t="inlineStr">
        <is>
          <t>VIMMERBY</t>
        </is>
      </c>
      <c r="F352" t="inlineStr">
        <is>
          <t>Övriga Aktiebolag</t>
        </is>
      </c>
      <c r="G352" t="n">
        <v>8.1</v>
      </c>
      <c r="H352" t="n">
        <v>0</v>
      </c>
      <c r="I352" t="n">
        <v>0</v>
      </c>
      <c r="J352" t="n">
        <v>0</v>
      </c>
      <c r="K352" t="n">
        <v>0</v>
      </c>
      <c r="L352" t="n">
        <v>0</v>
      </c>
      <c r="M352" t="n">
        <v>0</v>
      </c>
      <c r="N352" t="n">
        <v>0</v>
      </c>
      <c r="O352" t="n">
        <v>0</v>
      </c>
      <c r="P352" t="n">
        <v>0</v>
      </c>
      <c r="Q352" t="n">
        <v>0</v>
      </c>
      <c r="R352" s="2" t="inlineStr"/>
    </row>
    <row r="353" ht="15" customHeight="1">
      <c r="A353" t="inlineStr">
        <is>
          <t>A 63029-2019</t>
        </is>
      </c>
      <c r="B353" s="1" t="n">
        <v>43791</v>
      </c>
      <c r="C353" s="1" t="n">
        <v>45364</v>
      </c>
      <c r="D353" t="inlineStr">
        <is>
          <t>KALMAR LÄN</t>
        </is>
      </c>
      <c r="E353" t="inlineStr">
        <is>
          <t>VIMMERBY</t>
        </is>
      </c>
      <c r="F353" t="inlineStr">
        <is>
          <t>Kyrkan</t>
        </is>
      </c>
      <c r="G353" t="n">
        <v>3.1</v>
      </c>
      <c r="H353" t="n">
        <v>0</v>
      </c>
      <c r="I353" t="n">
        <v>0</v>
      </c>
      <c r="J353" t="n">
        <v>0</v>
      </c>
      <c r="K353" t="n">
        <v>0</v>
      </c>
      <c r="L353" t="n">
        <v>0</v>
      </c>
      <c r="M353" t="n">
        <v>0</v>
      </c>
      <c r="N353" t="n">
        <v>0</v>
      </c>
      <c r="O353" t="n">
        <v>0</v>
      </c>
      <c r="P353" t="n">
        <v>0</v>
      </c>
      <c r="Q353" t="n">
        <v>0</v>
      </c>
      <c r="R353" s="2" t="inlineStr"/>
    </row>
    <row r="354" ht="15" customHeight="1">
      <c r="A354" t="inlineStr">
        <is>
          <t>A 63746-2019</t>
        </is>
      </c>
      <c r="B354" s="1" t="n">
        <v>43795</v>
      </c>
      <c r="C354" s="1" t="n">
        <v>45364</v>
      </c>
      <c r="D354" t="inlineStr">
        <is>
          <t>KALMAR LÄN</t>
        </is>
      </c>
      <c r="E354" t="inlineStr">
        <is>
          <t>VIMMERBY</t>
        </is>
      </c>
      <c r="G354" t="n">
        <v>4.5</v>
      </c>
      <c r="H354" t="n">
        <v>0</v>
      </c>
      <c r="I354" t="n">
        <v>0</v>
      </c>
      <c r="J354" t="n">
        <v>0</v>
      </c>
      <c r="K354" t="n">
        <v>0</v>
      </c>
      <c r="L354" t="n">
        <v>0</v>
      </c>
      <c r="M354" t="n">
        <v>0</v>
      </c>
      <c r="N354" t="n">
        <v>0</v>
      </c>
      <c r="O354" t="n">
        <v>0</v>
      </c>
      <c r="P354" t="n">
        <v>0</v>
      </c>
      <c r="Q354" t="n">
        <v>0</v>
      </c>
      <c r="R354" s="2" t="inlineStr"/>
    </row>
    <row r="355" ht="15" customHeight="1">
      <c r="A355" t="inlineStr">
        <is>
          <t>A 64119-2019</t>
        </is>
      </c>
      <c r="B355" s="1" t="n">
        <v>43796</v>
      </c>
      <c r="C355" s="1" t="n">
        <v>45364</v>
      </c>
      <c r="D355" t="inlineStr">
        <is>
          <t>KALMAR LÄN</t>
        </is>
      </c>
      <c r="E355" t="inlineStr">
        <is>
          <t>VIMMERBY</t>
        </is>
      </c>
      <c r="G355" t="n">
        <v>4.6</v>
      </c>
      <c r="H355" t="n">
        <v>0</v>
      </c>
      <c r="I355" t="n">
        <v>0</v>
      </c>
      <c r="J355" t="n">
        <v>0</v>
      </c>
      <c r="K355" t="n">
        <v>0</v>
      </c>
      <c r="L355" t="n">
        <v>0</v>
      </c>
      <c r="M355" t="n">
        <v>0</v>
      </c>
      <c r="N355" t="n">
        <v>0</v>
      </c>
      <c r="O355" t="n">
        <v>0</v>
      </c>
      <c r="P355" t="n">
        <v>0</v>
      </c>
      <c r="Q355" t="n">
        <v>0</v>
      </c>
      <c r="R355" s="2" t="inlineStr"/>
    </row>
    <row r="356" ht="15" customHeight="1">
      <c r="A356" t="inlineStr">
        <is>
          <t>A 64345-2019</t>
        </is>
      </c>
      <c r="B356" s="1" t="n">
        <v>43797</v>
      </c>
      <c r="C356" s="1" t="n">
        <v>45364</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64334-2019</t>
        </is>
      </c>
      <c r="B357" s="1" t="n">
        <v>43797</v>
      </c>
      <c r="C357" s="1" t="n">
        <v>45364</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65267-2019</t>
        </is>
      </c>
      <c r="B358" s="1" t="n">
        <v>43802</v>
      </c>
      <c r="C358" s="1" t="n">
        <v>45364</v>
      </c>
      <c r="D358" t="inlineStr">
        <is>
          <t>KALMAR LÄN</t>
        </is>
      </c>
      <c r="E358" t="inlineStr">
        <is>
          <t>VIMMERBY</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66169-2019</t>
        </is>
      </c>
      <c r="B359" s="1" t="n">
        <v>43808</v>
      </c>
      <c r="C359" s="1" t="n">
        <v>45364</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66172-2019</t>
        </is>
      </c>
      <c r="B360" s="1" t="n">
        <v>43808</v>
      </c>
      <c r="C360" s="1" t="n">
        <v>45364</v>
      </c>
      <c r="D360" t="inlineStr">
        <is>
          <t>KALMAR LÄN</t>
        </is>
      </c>
      <c r="E360" t="inlineStr">
        <is>
          <t>VIMMERBY</t>
        </is>
      </c>
      <c r="G360" t="n">
        <v>3.6</v>
      </c>
      <c r="H360" t="n">
        <v>0</v>
      </c>
      <c r="I360" t="n">
        <v>0</v>
      </c>
      <c r="J360" t="n">
        <v>0</v>
      </c>
      <c r="K360" t="n">
        <v>0</v>
      </c>
      <c r="L360" t="n">
        <v>0</v>
      </c>
      <c r="M360" t="n">
        <v>0</v>
      </c>
      <c r="N360" t="n">
        <v>0</v>
      </c>
      <c r="O360" t="n">
        <v>0</v>
      </c>
      <c r="P360" t="n">
        <v>0</v>
      </c>
      <c r="Q360" t="n">
        <v>0</v>
      </c>
      <c r="R360" s="2" t="inlineStr"/>
    </row>
    <row r="361" ht="15" customHeight="1">
      <c r="A361" t="inlineStr">
        <is>
          <t>A 66151-2019</t>
        </is>
      </c>
      <c r="B361" s="1" t="n">
        <v>43808</v>
      </c>
      <c r="C361" s="1" t="n">
        <v>45364</v>
      </c>
      <c r="D361" t="inlineStr">
        <is>
          <t>KALMAR LÄN</t>
        </is>
      </c>
      <c r="E361" t="inlineStr">
        <is>
          <t>VIMMERBY</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67293-2019</t>
        </is>
      </c>
      <c r="B362" s="1" t="n">
        <v>43812</v>
      </c>
      <c r="C362" s="1" t="n">
        <v>45364</v>
      </c>
      <c r="D362" t="inlineStr">
        <is>
          <t>KALMAR LÄN</t>
        </is>
      </c>
      <c r="E362" t="inlineStr">
        <is>
          <t>VIMMERBY</t>
        </is>
      </c>
      <c r="F362" t="inlineStr">
        <is>
          <t>Kommuner</t>
        </is>
      </c>
      <c r="G362" t="n">
        <v>1.2</v>
      </c>
      <c r="H362" t="n">
        <v>0</v>
      </c>
      <c r="I362" t="n">
        <v>0</v>
      </c>
      <c r="J362" t="n">
        <v>0</v>
      </c>
      <c r="K362" t="n">
        <v>0</v>
      </c>
      <c r="L362" t="n">
        <v>0</v>
      </c>
      <c r="M362" t="n">
        <v>0</v>
      </c>
      <c r="N362" t="n">
        <v>0</v>
      </c>
      <c r="O362" t="n">
        <v>0</v>
      </c>
      <c r="P362" t="n">
        <v>0</v>
      </c>
      <c r="Q362" t="n">
        <v>0</v>
      </c>
      <c r="R362" s="2" t="inlineStr"/>
    </row>
    <row r="363" ht="15" customHeight="1">
      <c r="A363" t="inlineStr">
        <is>
          <t>A 67359-2019</t>
        </is>
      </c>
      <c r="B363" s="1" t="n">
        <v>43812</v>
      </c>
      <c r="C363" s="1" t="n">
        <v>45364</v>
      </c>
      <c r="D363" t="inlineStr">
        <is>
          <t>KALMAR LÄN</t>
        </is>
      </c>
      <c r="E363" t="inlineStr">
        <is>
          <t>VIMMERBY</t>
        </is>
      </c>
      <c r="F363" t="inlineStr">
        <is>
          <t>Kommuner</t>
        </is>
      </c>
      <c r="G363" t="n">
        <v>1</v>
      </c>
      <c r="H363" t="n">
        <v>0</v>
      </c>
      <c r="I363" t="n">
        <v>0</v>
      </c>
      <c r="J363" t="n">
        <v>0</v>
      </c>
      <c r="K363" t="n">
        <v>0</v>
      </c>
      <c r="L363" t="n">
        <v>0</v>
      </c>
      <c r="M363" t="n">
        <v>0</v>
      </c>
      <c r="N363" t="n">
        <v>0</v>
      </c>
      <c r="O363" t="n">
        <v>0</v>
      </c>
      <c r="P363" t="n">
        <v>0</v>
      </c>
      <c r="Q363" t="n">
        <v>0</v>
      </c>
      <c r="R363" s="2" t="inlineStr"/>
    </row>
    <row r="364" ht="15" customHeight="1">
      <c r="A364" t="inlineStr">
        <is>
          <t>A 67346-2019</t>
        </is>
      </c>
      <c r="B364" s="1" t="n">
        <v>43812</v>
      </c>
      <c r="C364" s="1" t="n">
        <v>45364</v>
      </c>
      <c r="D364" t="inlineStr">
        <is>
          <t>KALMAR LÄN</t>
        </is>
      </c>
      <c r="E364" t="inlineStr">
        <is>
          <t>VIMMERBY</t>
        </is>
      </c>
      <c r="F364" t="inlineStr">
        <is>
          <t>Kommuner</t>
        </is>
      </c>
      <c r="G364" t="n">
        <v>0.5</v>
      </c>
      <c r="H364" t="n">
        <v>0</v>
      </c>
      <c r="I364" t="n">
        <v>0</v>
      </c>
      <c r="J364" t="n">
        <v>0</v>
      </c>
      <c r="K364" t="n">
        <v>0</v>
      </c>
      <c r="L364" t="n">
        <v>0</v>
      </c>
      <c r="M364" t="n">
        <v>0</v>
      </c>
      <c r="N364" t="n">
        <v>0</v>
      </c>
      <c r="O364" t="n">
        <v>0</v>
      </c>
      <c r="P364" t="n">
        <v>0</v>
      </c>
      <c r="Q364" t="n">
        <v>0</v>
      </c>
      <c r="R364" s="2" t="inlineStr"/>
    </row>
    <row r="365" ht="15" customHeight="1">
      <c r="A365" t="inlineStr">
        <is>
          <t>A 447-2020</t>
        </is>
      </c>
      <c r="B365" s="1" t="n">
        <v>43837</v>
      </c>
      <c r="C365" s="1" t="n">
        <v>45364</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306-2020</t>
        </is>
      </c>
      <c r="B366" s="1" t="n">
        <v>43837</v>
      </c>
      <c r="C366" s="1" t="n">
        <v>45364</v>
      </c>
      <c r="D366" t="inlineStr">
        <is>
          <t>KALMAR LÄN</t>
        </is>
      </c>
      <c r="E366" t="inlineStr">
        <is>
          <t>VIMMERBY</t>
        </is>
      </c>
      <c r="G366" t="n">
        <v>9.9</v>
      </c>
      <c r="H366" t="n">
        <v>0</v>
      </c>
      <c r="I366" t="n">
        <v>0</v>
      </c>
      <c r="J366" t="n">
        <v>0</v>
      </c>
      <c r="K366" t="n">
        <v>0</v>
      </c>
      <c r="L366" t="n">
        <v>0</v>
      </c>
      <c r="M366" t="n">
        <v>0</v>
      </c>
      <c r="N366" t="n">
        <v>0</v>
      </c>
      <c r="O366" t="n">
        <v>0</v>
      </c>
      <c r="P366" t="n">
        <v>0</v>
      </c>
      <c r="Q366" t="n">
        <v>0</v>
      </c>
      <c r="R366" s="2" t="inlineStr"/>
    </row>
    <row r="367" ht="15" customHeight="1">
      <c r="A367" t="inlineStr">
        <is>
          <t>A 593-2020</t>
        </is>
      </c>
      <c r="B367" s="1" t="n">
        <v>43838</v>
      </c>
      <c r="C367" s="1" t="n">
        <v>45364</v>
      </c>
      <c r="D367" t="inlineStr">
        <is>
          <t>KALMAR LÄN</t>
        </is>
      </c>
      <c r="E367" t="inlineStr">
        <is>
          <t>VIMMERBY</t>
        </is>
      </c>
      <c r="G367" t="n">
        <v>2</v>
      </c>
      <c r="H367" t="n">
        <v>0</v>
      </c>
      <c r="I367" t="n">
        <v>0</v>
      </c>
      <c r="J367" t="n">
        <v>0</v>
      </c>
      <c r="K367" t="n">
        <v>0</v>
      </c>
      <c r="L367" t="n">
        <v>0</v>
      </c>
      <c r="M367" t="n">
        <v>0</v>
      </c>
      <c r="N367" t="n">
        <v>0</v>
      </c>
      <c r="O367" t="n">
        <v>0</v>
      </c>
      <c r="P367" t="n">
        <v>0</v>
      </c>
      <c r="Q367" t="n">
        <v>0</v>
      </c>
      <c r="R367" s="2" t="inlineStr"/>
    </row>
    <row r="368" ht="15" customHeight="1">
      <c r="A368" t="inlineStr">
        <is>
          <t>A 2473-2020</t>
        </is>
      </c>
      <c r="B368" s="1" t="n">
        <v>43840</v>
      </c>
      <c r="C368" s="1" t="n">
        <v>45364</v>
      </c>
      <c r="D368" t="inlineStr">
        <is>
          <t>KALMAR LÄN</t>
        </is>
      </c>
      <c r="E368" t="inlineStr">
        <is>
          <t>VIMMERBY</t>
        </is>
      </c>
      <c r="G368" t="n">
        <v>4.5</v>
      </c>
      <c r="H368" t="n">
        <v>0</v>
      </c>
      <c r="I368" t="n">
        <v>0</v>
      </c>
      <c r="J368" t="n">
        <v>0</v>
      </c>
      <c r="K368" t="n">
        <v>0</v>
      </c>
      <c r="L368" t="n">
        <v>0</v>
      </c>
      <c r="M368" t="n">
        <v>0</v>
      </c>
      <c r="N368" t="n">
        <v>0</v>
      </c>
      <c r="O368" t="n">
        <v>0</v>
      </c>
      <c r="P368" t="n">
        <v>0</v>
      </c>
      <c r="Q368" t="n">
        <v>0</v>
      </c>
      <c r="R368" s="2" t="inlineStr"/>
    </row>
    <row r="369" ht="15" customHeight="1">
      <c r="A369" t="inlineStr">
        <is>
          <t>A 1967-2020</t>
        </is>
      </c>
      <c r="B369" s="1" t="n">
        <v>43845</v>
      </c>
      <c r="C369" s="1" t="n">
        <v>45364</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2070-2020</t>
        </is>
      </c>
      <c r="B370" s="1" t="n">
        <v>43845</v>
      </c>
      <c r="C370" s="1" t="n">
        <v>45364</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3434-2020</t>
        </is>
      </c>
      <c r="B371" s="1" t="n">
        <v>43845</v>
      </c>
      <c r="C371" s="1" t="n">
        <v>45364</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2756-2020</t>
        </is>
      </c>
      <c r="B372" s="1" t="n">
        <v>43850</v>
      </c>
      <c r="C372" s="1" t="n">
        <v>45364</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2856-2020</t>
        </is>
      </c>
      <c r="B373" s="1" t="n">
        <v>43850</v>
      </c>
      <c r="C373" s="1" t="n">
        <v>45364</v>
      </c>
      <c r="D373" t="inlineStr">
        <is>
          <t>KALMAR LÄN</t>
        </is>
      </c>
      <c r="E373" t="inlineStr">
        <is>
          <t>VIMMERBY</t>
        </is>
      </c>
      <c r="G373" t="n">
        <v>3.2</v>
      </c>
      <c r="H373" t="n">
        <v>0</v>
      </c>
      <c r="I373" t="n">
        <v>0</v>
      </c>
      <c r="J373" t="n">
        <v>0</v>
      </c>
      <c r="K373" t="n">
        <v>0</v>
      </c>
      <c r="L373" t="n">
        <v>0</v>
      </c>
      <c r="M373" t="n">
        <v>0</v>
      </c>
      <c r="N373" t="n">
        <v>0</v>
      </c>
      <c r="O373" t="n">
        <v>0</v>
      </c>
      <c r="P373" t="n">
        <v>0</v>
      </c>
      <c r="Q373" t="n">
        <v>0</v>
      </c>
      <c r="R373" s="2" t="inlineStr"/>
    </row>
    <row r="374" ht="15" customHeight="1">
      <c r="A374" t="inlineStr">
        <is>
          <t>A 3211-2020</t>
        </is>
      </c>
      <c r="B374" s="1" t="n">
        <v>43851</v>
      </c>
      <c r="C374" s="1" t="n">
        <v>45364</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3414-2020</t>
        </is>
      </c>
      <c r="B375" s="1" t="n">
        <v>43852</v>
      </c>
      <c r="C375" s="1" t="n">
        <v>45364</v>
      </c>
      <c r="D375" t="inlineStr">
        <is>
          <t>KALMAR LÄN</t>
        </is>
      </c>
      <c r="E375" t="inlineStr">
        <is>
          <t>VIMMERBY</t>
        </is>
      </c>
      <c r="G375" t="n">
        <v>4</v>
      </c>
      <c r="H375" t="n">
        <v>0</v>
      </c>
      <c r="I375" t="n">
        <v>0</v>
      </c>
      <c r="J375" t="n">
        <v>0</v>
      </c>
      <c r="K375" t="n">
        <v>0</v>
      </c>
      <c r="L375" t="n">
        <v>0</v>
      </c>
      <c r="M375" t="n">
        <v>0</v>
      </c>
      <c r="N375" t="n">
        <v>0</v>
      </c>
      <c r="O375" t="n">
        <v>0</v>
      </c>
      <c r="P375" t="n">
        <v>0</v>
      </c>
      <c r="Q375" t="n">
        <v>0</v>
      </c>
      <c r="R375" s="2" t="inlineStr"/>
    </row>
    <row r="376" ht="15" customHeight="1">
      <c r="A376" t="inlineStr">
        <is>
          <t>A 3672-2020</t>
        </is>
      </c>
      <c r="B376" s="1" t="n">
        <v>43853</v>
      </c>
      <c r="C376" s="1" t="n">
        <v>45364</v>
      </c>
      <c r="D376" t="inlineStr">
        <is>
          <t>KALMAR LÄN</t>
        </is>
      </c>
      <c r="E376" t="inlineStr">
        <is>
          <t>VIMMERBY</t>
        </is>
      </c>
      <c r="G376" t="n">
        <v>3.7</v>
      </c>
      <c r="H376" t="n">
        <v>0</v>
      </c>
      <c r="I376" t="n">
        <v>0</v>
      </c>
      <c r="J376" t="n">
        <v>0</v>
      </c>
      <c r="K376" t="n">
        <v>0</v>
      </c>
      <c r="L376" t="n">
        <v>0</v>
      </c>
      <c r="M376" t="n">
        <v>0</v>
      </c>
      <c r="N376" t="n">
        <v>0</v>
      </c>
      <c r="O376" t="n">
        <v>0</v>
      </c>
      <c r="P376" t="n">
        <v>0</v>
      </c>
      <c r="Q376" t="n">
        <v>0</v>
      </c>
      <c r="R376" s="2" t="inlineStr"/>
    </row>
    <row r="377" ht="15" customHeight="1">
      <c r="A377" t="inlineStr">
        <is>
          <t>A 5047-2020</t>
        </is>
      </c>
      <c r="B377" s="1" t="n">
        <v>43853</v>
      </c>
      <c r="C377" s="1" t="n">
        <v>45364</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5043-2020</t>
        </is>
      </c>
      <c r="B378" s="1" t="n">
        <v>43853</v>
      </c>
      <c r="C378" s="1" t="n">
        <v>45364</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4194-2020</t>
        </is>
      </c>
      <c r="B379" s="1" t="n">
        <v>43857</v>
      </c>
      <c r="C379" s="1" t="n">
        <v>45364</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5362-2020</t>
        </is>
      </c>
      <c r="B380" s="1" t="n">
        <v>43857</v>
      </c>
      <c r="C380" s="1" t="n">
        <v>45364</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4472-2020</t>
        </is>
      </c>
      <c r="B381" s="1" t="n">
        <v>43858</v>
      </c>
      <c r="C381" s="1" t="n">
        <v>45364</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5548-2020</t>
        </is>
      </c>
      <c r="B382" s="1" t="n">
        <v>43861</v>
      </c>
      <c r="C382" s="1" t="n">
        <v>45364</v>
      </c>
      <c r="D382" t="inlineStr">
        <is>
          <t>KALMAR LÄN</t>
        </is>
      </c>
      <c r="E382" t="inlineStr">
        <is>
          <t>VIMMERBY</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6042-2020</t>
        </is>
      </c>
      <c r="B383" s="1" t="n">
        <v>43865</v>
      </c>
      <c r="C383" s="1" t="n">
        <v>45364</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7870-2020</t>
        </is>
      </c>
      <c r="B384" s="1" t="n">
        <v>43873</v>
      </c>
      <c r="C384" s="1" t="n">
        <v>45364</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8691-2020</t>
        </is>
      </c>
      <c r="B385" s="1" t="n">
        <v>43878</v>
      </c>
      <c r="C385" s="1" t="n">
        <v>45364</v>
      </c>
      <c r="D385" t="inlineStr">
        <is>
          <t>KALMAR LÄN</t>
        </is>
      </c>
      <c r="E385" t="inlineStr">
        <is>
          <t>VIMMERBY</t>
        </is>
      </c>
      <c r="G385" t="n">
        <v>5.1</v>
      </c>
      <c r="H385" t="n">
        <v>0</v>
      </c>
      <c r="I385" t="n">
        <v>0</v>
      </c>
      <c r="J385" t="n">
        <v>0</v>
      </c>
      <c r="K385" t="n">
        <v>0</v>
      </c>
      <c r="L385" t="n">
        <v>0</v>
      </c>
      <c r="M385" t="n">
        <v>0</v>
      </c>
      <c r="N385" t="n">
        <v>0</v>
      </c>
      <c r="O385" t="n">
        <v>0</v>
      </c>
      <c r="P385" t="n">
        <v>0</v>
      </c>
      <c r="Q385" t="n">
        <v>0</v>
      </c>
      <c r="R385" s="2" t="inlineStr"/>
    </row>
    <row r="386" ht="15" customHeight="1">
      <c r="A386" t="inlineStr">
        <is>
          <t>A 9151-2020</t>
        </is>
      </c>
      <c r="B386" s="1" t="n">
        <v>43879</v>
      </c>
      <c r="C386" s="1" t="n">
        <v>45364</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9382-2020</t>
        </is>
      </c>
      <c r="B387" s="1" t="n">
        <v>43880</v>
      </c>
      <c r="C387" s="1" t="n">
        <v>45364</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9718-2020</t>
        </is>
      </c>
      <c r="B388" s="1" t="n">
        <v>43881</v>
      </c>
      <c r="C388" s="1" t="n">
        <v>45364</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10474-2020</t>
        </is>
      </c>
      <c r="B389" s="1" t="n">
        <v>43887</v>
      </c>
      <c r="C389" s="1" t="n">
        <v>45364</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10484-2020</t>
        </is>
      </c>
      <c r="B390" s="1" t="n">
        <v>43887</v>
      </c>
      <c r="C390" s="1" t="n">
        <v>45364</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10923-2020</t>
        </is>
      </c>
      <c r="B391" s="1" t="n">
        <v>43889</v>
      </c>
      <c r="C391" s="1" t="n">
        <v>45364</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11243-2020</t>
        </is>
      </c>
      <c r="B392" s="1" t="n">
        <v>43892</v>
      </c>
      <c r="C392" s="1" t="n">
        <v>45364</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12823-2020</t>
        </is>
      </c>
      <c r="B393" s="1" t="n">
        <v>43899</v>
      </c>
      <c r="C393" s="1" t="n">
        <v>45364</v>
      </c>
      <c r="D393" t="inlineStr">
        <is>
          <t>KALMAR LÄN</t>
        </is>
      </c>
      <c r="E393" t="inlineStr">
        <is>
          <t>VIMMERBY</t>
        </is>
      </c>
      <c r="G393" t="n">
        <v>3.3</v>
      </c>
      <c r="H393" t="n">
        <v>0</v>
      </c>
      <c r="I393" t="n">
        <v>0</v>
      </c>
      <c r="J393" t="n">
        <v>0</v>
      </c>
      <c r="K393" t="n">
        <v>0</v>
      </c>
      <c r="L393" t="n">
        <v>0</v>
      </c>
      <c r="M393" t="n">
        <v>0</v>
      </c>
      <c r="N393" t="n">
        <v>0</v>
      </c>
      <c r="O393" t="n">
        <v>0</v>
      </c>
      <c r="P393" t="n">
        <v>0</v>
      </c>
      <c r="Q393" t="n">
        <v>0</v>
      </c>
      <c r="R393" s="2" t="inlineStr"/>
    </row>
    <row r="394" ht="15" customHeight="1">
      <c r="A394" t="inlineStr">
        <is>
          <t>A 13496-2020</t>
        </is>
      </c>
      <c r="B394" s="1" t="n">
        <v>43900</v>
      </c>
      <c r="C394" s="1" t="n">
        <v>45364</v>
      </c>
      <c r="D394" t="inlineStr">
        <is>
          <t>KALMAR LÄN</t>
        </is>
      </c>
      <c r="E394" t="inlineStr">
        <is>
          <t>VIMMERBY</t>
        </is>
      </c>
      <c r="G394" t="n">
        <v>2.8</v>
      </c>
      <c r="H394" t="n">
        <v>0</v>
      </c>
      <c r="I394" t="n">
        <v>0</v>
      </c>
      <c r="J394" t="n">
        <v>0</v>
      </c>
      <c r="K394" t="n">
        <v>0</v>
      </c>
      <c r="L394" t="n">
        <v>0</v>
      </c>
      <c r="M394" t="n">
        <v>0</v>
      </c>
      <c r="N394" t="n">
        <v>0</v>
      </c>
      <c r="O394" t="n">
        <v>0</v>
      </c>
      <c r="P394" t="n">
        <v>0</v>
      </c>
      <c r="Q394" t="n">
        <v>0</v>
      </c>
      <c r="R394" s="2" t="inlineStr"/>
    </row>
    <row r="395" ht="15" customHeight="1">
      <c r="A395" t="inlineStr">
        <is>
          <t>A 14410-2020</t>
        </is>
      </c>
      <c r="B395" s="1" t="n">
        <v>43902</v>
      </c>
      <c r="C395" s="1" t="n">
        <v>45364</v>
      </c>
      <c r="D395" t="inlineStr">
        <is>
          <t>KALMAR LÄN</t>
        </is>
      </c>
      <c r="E395" t="inlineStr">
        <is>
          <t>VIMMERBY</t>
        </is>
      </c>
      <c r="G395" t="n">
        <v>2.7</v>
      </c>
      <c r="H395" t="n">
        <v>0</v>
      </c>
      <c r="I395" t="n">
        <v>0</v>
      </c>
      <c r="J395" t="n">
        <v>0</v>
      </c>
      <c r="K395" t="n">
        <v>0</v>
      </c>
      <c r="L395" t="n">
        <v>0</v>
      </c>
      <c r="M395" t="n">
        <v>0</v>
      </c>
      <c r="N395" t="n">
        <v>0</v>
      </c>
      <c r="O395" t="n">
        <v>0</v>
      </c>
      <c r="P395" t="n">
        <v>0</v>
      </c>
      <c r="Q395" t="n">
        <v>0</v>
      </c>
      <c r="R395" s="2" t="inlineStr"/>
    </row>
    <row r="396" ht="15" customHeight="1">
      <c r="A396" t="inlineStr">
        <is>
          <t>A 13606-2020</t>
        </is>
      </c>
      <c r="B396" s="1" t="n">
        <v>43903</v>
      </c>
      <c r="C396" s="1" t="n">
        <v>45364</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14022-2020</t>
        </is>
      </c>
      <c r="B397" s="1" t="n">
        <v>43906</v>
      </c>
      <c r="C397" s="1" t="n">
        <v>45364</v>
      </c>
      <c r="D397" t="inlineStr">
        <is>
          <t>KALMAR LÄN</t>
        </is>
      </c>
      <c r="E397" t="inlineStr">
        <is>
          <t>VIMMERBY</t>
        </is>
      </c>
      <c r="F397" t="inlineStr">
        <is>
          <t>Kommuner</t>
        </is>
      </c>
      <c r="G397" t="n">
        <v>2</v>
      </c>
      <c r="H397" t="n">
        <v>0</v>
      </c>
      <c r="I397" t="n">
        <v>0</v>
      </c>
      <c r="J397" t="n">
        <v>0</v>
      </c>
      <c r="K397" t="n">
        <v>0</v>
      </c>
      <c r="L397" t="n">
        <v>0</v>
      </c>
      <c r="M397" t="n">
        <v>0</v>
      </c>
      <c r="N397" t="n">
        <v>0</v>
      </c>
      <c r="O397" t="n">
        <v>0</v>
      </c>
      <c r="P397" t="n">
        <v>0</v>
      </c>
      <c r="Q397" t="n">
        <v>0</v>
      </c>
      <c r="R397" s="2" t="inlineStr"/>
    </row>
    <row r="398" ht="15" customHeight="1">
      <c r="A398" t="inlineStr">
        <is>
          <t>A 16222-2020</t>
        </is>
      </c>
      <c r="B398" s="1" t="n">
        <v>43917</v>
      </c>
      <c r="C398" s="1" t="n">
        <v>45364</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18676-2020</t>
        </is>
      </c>
      <c r="B399" s="1" t="n">
        <v>43930</v>
      </c>
      <c r="C399" s="1" t="n">
        <v>45364</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18855-2020</t>
        </is>
      </c>
      <c r="B400" s="1" t="n">
        <v>43930</v>
      </c>
      <c r="C400" s="1" t="n">
        <v>45364</v>
      </c>
      <c r="D400" t="inlineStr">
        <is>
          <t>KALMAR LÄN</t>
        </is>
      </c>
      <c r="E400" t="inlineStr">
        <is>
          <t>VIMMERBY</t>
        </is>
      </c>
      <c r="G400" t="n">
        <v>2.9</v>
      </c>
      <c r="H400" t="n">
        <v>0</v>
      </c>
      <c r="I400" t="n">
        <v>0</v>
      </c>
      <c r="J400" t="n">
        <v>0</v>
      </c>
      <c r="K400" t="n">
        <v>0</v>
      </c>
      <c r="L400" t="n">
        <v>0</v>
      </c>
      <c r="M400" t="n">
        <v>0</v>
      </c>
      <c r="N400" t="n">
        <v>0</v>
      </c>
      <c r="O400" t="n">
        <v>0</v>
      </c>
      <c r="P400" t="n">
        <v>0</v>
      </c>
      <c r="Q400" t="n">
        <v>0</v>
      </c>
      <c r="R400" s="2" t="inlineStr"/>
    </row>
    <row r="401" ht="15" customHeight="1">
      <c r="A401" t="inlineStr">
        <is>
          <t>A 18885-2020</t>
        </is>
      </c>
      <c r="B401" s="1" t="n">
        <v>43935</v>
      </c>
      <c r="C401" s="1" t="n">
        <v>45364</v>
      </c>
      <c r="D401" t="inlineStr">
        <is>
          <t>KALMAR LÄN</t>
        </is>
      </c>
      <c r="E401" t="inlineStr">
        <is>
          <t>VIMMERBY</t>
        </is>
      </c>
      <c r="G401" t="n">
        <v>1.5</v>
      </c>
      <c r="H401" t="n">
        <v>0</v>
      </c>
      <c r="I401" t="n">
        <v>0</v>
      </c>
      <c r="J401" t="n">
        <v>0</v>
      </c>
      <c r="K401" t="n">
        <v>0</v>
      </c>
      <c r="L401" t="n">
        <v>0</v>
      </c>
      <c r="M401" t="n">
        <v>0</v>
      </c>
      <c r="N401" t="n">
        <v>0</v>
      </c>
      <c r="O401" t="n">
        <v>0</v>
      </c>
      <c r="P401" t="n">
        <v>0</v>
      </c>
      <c r="Q401" t="n">
        <v>0</v>
      </c>
      <c r="R401" s="2" t="inlineStr"/>
    </row>
    <row r="402" ht="15" customHeight="1">
      <c r="A402" t="inlineStr">
        <is>
          <t>A 18909-2020</t>
        </is>
      </c>
      <c r="B402" s="1" t="n">
        <v>43935</v>
      </c>
      <c r="C402" s="1" t="n">
        <v>45364</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20291-2020</t>
        </is>
      </c>
      <c r="B403" s="1" t="n">
        <v>43945</v>
      </c>
      <c r="C403" s="1" t="n">
        <v>45364</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21408-2020</t>
        </is>
      </c>
      <c r="B404" s="1" t="n">
        <v>43955</v>
      </c>
      <c r="C404" s="1" t="n">
        <v>45364</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21581-2020</t>
        </is>
      </c>
      <c r="B405" s="1" t="n">
        <v>43956</v>
      </c>
      <c r="C405" s="1" t="n">
        <v>45364</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21891-2020</t>
        </is>
      </c>
      <c r="B406" s="1" t="n">
        <v>43958</v>
      </c>
      <c r="C406" s="1" t="n">
        <v>45364</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22267-2020</t>
        </is>
      </c>
      <c r="B407" s="1" t="n">
        <v>43962</v>
      </c>
      <c r="C407" s="1" t="n">
        <v>45364</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22574-2020</t>
        </is>
      </c>
      <c r="B408" s="1" t="n">
        <v>43963</v>
      </c>
      <c r="C408" s="1" t="n">
        <v>45364</v>
      </c>
      <c r="D408" t="inlineStr">
        <is>
          <t>KALMAR LÄN</t>
        </is>
      </c>
      <c r="E408" t="inlineStr">
        <is>
          <t>VIMMERBY</t>
        </is>
      </c>
      <c r="G408" t="n">
        <v>0.5</v>
      </c>
      <c r="H408" t="n">
        <v>0</v>
      </c>
      <c r="I408" t="n">
        <v>0</v>
      </c>
      <c r="J408" t="n">
        <v>0</v>
      </c>
      <c r="K408" t="n">
        <v>0</v>
      </c>
      <c r="L408" t="n">
        <v>0</v>
      </c>
      <c r="M408" t="n">
        <v>0</v>
      </c>
      <c r="N408" t="n">
        <v>0</v>
      </c>
      <c r="O408" t="n">
        <v>0</v>
      </c>
      <c r="P408" t="n">
        <v>0</v>
      </c>
      <c r="Q408" t="n">
        <v>0</v>
      </c>
      <c r="R408" s="2" t="inlineStr"/>
    </row>
    <row r="409" ht="15" customHeight="1">
      <c r="A409" t="inlineStr">
        <is>
          <t>A 22637-2020</t>
        </is>
      </c>
      <c r="B409" s="1" t="n">
        <v>43963</v>
      </c>
      <c r="C409" s="1" t="n">
        <v>45364</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22439-2020</t>
        </is>
      </c>
      <c r="B410" s="1" t="n">
        <v>43963</v>
      </c>
      <c r="C410" s="1" t="n">
        <v>45364</v>
      </c>
      <c r="D410" t="inlineStr">
        <is>
          <t>KALMAR LÄN</t>
        </is>
      </c>
      <c r="E410" t="inlineStr">
        <is>
          <t>VIMMERBY</t>
        </is>
      </c>
      <c r="G410" t="n">
        <v>13.8</v>
      </c>
      <c r="H410" t="n">
        <v>0</v>
      </c>
      <c r="I410" t="n">
        <v>0</v>
      </c>
      <c r="J410" t="n">
        <v>0</v>
      </c>
      <c r="K410" t="n">
        <v>0</v>
      </c>
      <c r="L410" t="n">
        <v>0</v>
      </c>
      <c r="M410" t="n">
        <v>0</v>
      </c>
      <c r="N410" t="n">
        <v>0</v>
      </c>
      <c r="O410" t="n">
        <v>0</v>
      </c>
      <c r="P410" t="n">
        <v>0</v>
      </c>
      <c r="Q410" t="n">
        <v>0</v>
      </c>
      <c r="R410" s="2" t="inlineStr"/>
    </row>
    <row r="411" ht="15" customHeight="1">
      <c r="A411" t="inlineStr">
        <is>
          <t>A 22828-2020</t>
        </is>
      </c>
      <c r="B411" s="1" t="n">
        <v>43964</v>
      </c>
      <c r="C411" s="1" t="n">
        <v>45364</v>
      </c>
      <c r="D411" t="inlineStr">
        <is>
          <t>KALMAR LÄN</t>
        </is>
      </c>
      <c r="E411" t="inlineStr">
        <is>
          <t>VIMMERBY</t>
        </is>
      </c>
      <c r="G411" t="n">
        <v>7.5</v>
      </c>
      <c r="H411" t="n">
        <v>0</v>
      </c>
      <c r="I411" t="n">
        <v>0</v>
      </c>
      <c r="J411" t="n">
        <v>0</v>
      </c>
      <c r="K411" t="n">
        <v>0</v>
      </c>
      <c r="L411" t="n">
        <v>0</v>
      </c>
      <c r="M411" t="n">
        <v>0</v>
      </c>
      <c r="N411" t="n">
        <v>0</v>
      </c>
      <c r="O411" t="n">
        <v>0</v>
      </c>
      <c r="P411" t="n">
        <v>0</v>
      </c>
      <c r="Q411" t="n">
        <v>0</v>
      </c>
      <c r="R411" s="2" t="inlineStr"/>
    </row>
    <row r="412" ht="15" customHeight="1">
      <c r="A412" t="inlineStr">
        <is>
          <t>A 23391-2020</t>
        </is>
      </c>
      <c r="B412" s="1" t="n">
        <v>43968</v>
      </c>
      <c r="C412" s="1" t="n">
        <v>45364</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23394-2020</t>
        </is>
      </c>
      <c r="B413" s="1" t="n">
        <v>43968</v>
      </c>
      <c r="C413" s="1" t="n">
        <v>45364</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23705-2020</t>
        </is>
      </c>
      <c r="B414" s="1" t="n">
        <v>43970</v>
      </c>
      <c r="C414" s="1" t="n">
        <v>45364</v>
      </c>
      <c r="D414" t="inlineStr">
        <is>
          <t>KALMAR LÄN</t>
        </is>
      </c>
      <c r="E414" t="inlineStr">
        <is>
          <t>VIMMERBY</t>
        </is>
      </c>
      <c r="G414" t="n">
        <v>1.4</v>
      </c>
      <c r="H414" t="n">
        <v>0</v>
      </c>
      <c r="I414" t="n">
        <v>0</v>
      </c>
      <c r="J414" t="n">
        <v>0</v>
      </c>
      <c r="K414" t="n">
        <v>0</v>
      </c>
      <c r="L414" t="n">
        <v>0</v>
      </c>
      <c r="M414" t="n">
        <v>0</v>
      </c>
      <c r="N414" t="n">
        <v>0</v>
      </c>
      <c r="O414" t="n">
        <v>0</v>
      </c>
      <c r="P414" t="n">
        <v>0</v>
      </c>
      <c r="Q414" t="n">
        <v>0</v>
      </c>
      <c r="R414" s="2" t="inlineStr"/>
    </row>
    <row r="415" ht="15" customHeight="1">
      <c r="A415" t="inlineStr">
        <is>
          <t>A 23877-2020</t>
        </is>
      </c>
      <c r="B415" s="1" t="n">
        <v>43971</v>
      </c>
      <c r="C415" s="1" t="n">
        <v>45364</v>
      </c>
      <c r="D415" t="inlineStr">
        <is>
          <t>KALMAR LÄN</t>
        </is>
      </c>
      <c r="E415" t="inlineStr">
        <is>
          <t>VIMMERBY</t>
        </is>
      </c>
      <c r="G415" t="n">
        <v>1.5</v>
      </c>
      <c r="H415" t="n">
        <v>0</v>
      </c>
      <c r="I415" t="n">
        <v>0</v>
      </c>
      <c r="J415" t="n">
        <v>0</v>
      </c>
      <c r="K415" t="n">
        <v>0</v>
      </c>
      <c r="L415" t="n">
        <v>0</v>
      </c>
      <c r="M415" t="n">
        <v>0</v>
      </c>
      <c r="N415" t="n">
        <v>0</v>
      </c>
      <c r="O415" t="n">
        <v>0</v>
      </c>
      <c r="P415" t="n">
        <v>0</v>
      </c>
      <c r="Q415" t="n">
        <v>0</v>
      </c>
      <c r="R415" s="2" t="inlineStr"/>
    </row>
    <row r="416" ht="15" customHeight="1">
      <c r="A416" t="inlineStr">
        <is>
          <t>A 24016-2020</t>
        </is>
      </c>
      <c r="B416" s="1" t="n">
        <v>43971</v>
      </c>
      <c r="C416" s="1" t="n">
        <v>45364</v>
      </c>
      <c r="D416" t="inlineStr">
        <is>
          <t>KALMAR LÄN</t>
        </is>
      </c>
      <c r="E416" t="inlineStr">
        <is>
          <t>VIMMERBY</t>
        </is>
      </c>
      <c r="G416" t="n">
        <v>4.5</v>
      </c>
      <c r="H416" t="n">
        <v>0</v>
      </c>
      <c r="I416" t="n">
        <v>0</v>
      </c>
      <c r="J416" t="n">
        <v>0</v>
      </c>
      <c r="K416" t="n">
        <v>0</v>
      </c>
      <c r="L416" t="n">
        <v>0</v>
      </c>
      <c r="M416" t="n">
        <v>0</v>
      </c>
      <c r="N416" t="n">
        <v>0</v>
      </c>
      <c r="O416" t="n">
        <v>0</v>
      </c>
      <c r="P416" t="n">
        <v>0</v>
      </c>
      <c r="Q416" t="n">
        <v>0</v>
      </c>
      <c r="R416" s="2" t="inlineStr"/>
    </row>
    <row r="417" ht="15" customHeight="1">
      <c r="A417" t="inlineStr">
        <is>
          <t>A 24770-2020</t>
        </is>
      </c>
      <c r="B417" s="1" t="n">
        <v>43978</v>
      </c>
      <c r="C417" s="1" t="n">
        <v>45364</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24784-2020</t>
        </is>
      </c>
      <c r="B418" s="1" t="n">
        <v>43978</v>
      </c>
      <c r="C418" s="1" t="n">
        <v>45364</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24782-2020</t>
        </is>
      </c>
      <c r="B419" s="1" t="n">
        <v>43978</v>
      </c>
      <c r="C419" s="1" t="n">
        <v>45364</v>
      </c>
      <c r="D419" t="inlineStr">
        <is>
          <t>KALMAR LÄN</t>
        </is>
      </c>
      <c r="E419" t="inlineStr">
        <is>
          <t>VIMMERBY</t>
        </is>
      </c>
      <c r="G419" t="n">
        <v>1.8</v>
      </c>
      <c r="H419" t="n">
        <v>0</v>
      </c>
      <c r="I419" t="n">
        <v>0</v>
      </c>
      <c r="J419" t="n">
        <v>0</v>
      </c>
      <c r="K419" t="n">
        <v>0</v>
      </c>
      <c r="L419" t="n">
        <v>0</v>
      </c>
      <c r="M419" t="n">
        <v>0</v>
      </c>
      <c r="N419" t="n">
        <v>0</v>
      </c>
      <c r="O419" t="n">
        <v>0</v>
      </c>
      <c r="P419" t="n">
        <v>0</v>
      </c>
      <c r="Q419" t="n">
        <v>0</v>
      </c>
      <c r="R419" s="2" t="inlineStr"/>
    </row>
    <row r="420" ht="15" customHeight="1">
      <c r="A420" t="inlineStr">
        <is>
          <t>A 25761-2020</t>
        </is>
      </c>
      <c r="B420" s="1" t="n">
        <v>43984</v>
      </c>
      <c r="C420" s="1" t="n">
        <v>45364</v>
      </c>
      <c r="D420" t="inlineStr">
        <is>
          <t>KALMAR LÄN</t>
        </is>
      </c>
      <c r="E420" t="inlineStr">
        <is>
          <t>VIMMERBY</t>
        </is>
      </c>
      <c r="G420" t="n">
        <v>2.3</v>
      </c>
      <c r="H420" t="n">
        <v>0</v>
      </c>
      <c r="I420" t="n">
        <v>0</v>
      </c>
      <c r="J420" t="n">
        <v>0</v>
      </c>
      <c r="K420" t="n">
        <v>0</v>
      </c>
      <c r="L420" t="n">
        <v>0</v>
      </c>
      <c r="M420" t="n">
        <v>0</v>
      </c>
      <c r="N420" t="n">
        <v>0</v>
      </c>
      <c r="O420" t="n">
        <v>0</v>
      </c>
      <c r="P420" t="n">
        <v>0</v>
      </c>
      <c r="Q420" t="n">
        <v>0</v>
      </c>
      <c r="R420" s="2" t="inlineStr"/>
    </row>
    <row r="421" ht="15" customHeight="1">
      <c r="A421" t="inlineStr">
        <is>
          <t>A 26723-2020</t>
        </is>
      </c>
      <c r="B421" s="1" t="n">
        <v>43990</v>
      </c>
      <c r="C421" s="1" t="n">
        <v>45364</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27104-2020</t>
        </is>
      </c>
      <c r="B422" s="1" t="n">
        <v>43991</v>
      </c>
      <c r="C422" s="1" t="n">
        <v>45364</v>
      </c>
      <c r="D422" t="inlineStr">
        <is>
          <t>KALMAR LÄN</t>
        </is>
      </c>
      <c r="E422" t="inlineStr">
        <is>
          <t>VIMMERBY</t>
        </is>
      </c>
      <c r="G422" t="n">
        <v>0.5</v>
      </c>
      <c r="H422" t="n">
        <v>0</v>
      </c>
      <c r="I422" t="n">
        <v>0</v>
      </c>
      <c r="J422" t="n">
        <v>0</v>
      </c>
      <c r="K422" t="n">
        <v>0</v>
      </c>
      <c r="L422" t="n">
        <v>0</v>
      </c>
      <c r="M422" t="n">
        <v>0</v>
      </c>
      <c r="N422" t="n">
        <v>0</v>
      </c>
      <c r="O422" t="n">
        <v>0</v>
      </c>
      <c r="P422" t="n">
        <v>0</v>
      </c>
      <c r="Q422" t="n">
        <v>0</v>
      </c>
      <c r="R422" s="2" t="inlineStr"/>
    </row>
    <row r="423" ht="15" customHeight="1">
      <c r="A423" t="inlineStr">
        <is>
          <t>A 27212-2020</t>
        </is>
      </c>
      <c r="B423" s="1" t="n">
        <v>43992</v>
      </c>
      <c r="C423" s="1" t="n">
        <v>45364</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27316-2020</t>
        </is>
      </c>
      <c r="B424" s="1" t="n">
        <v>43992</v>
      </c>
      <c r="C424" s="1" t="n">
        <v>45364</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27214-2020</t>
        </is>
      </c>
      <c r="B425" s="1" t="n">
        <v>43992</v>
      </c>
      <c r="C425" s="1" t="n">
        <v>45364</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27213-2020</t>
        </is>
      </c>
      <c r="B426" s="1" t="n">
        <v>43992</v>
      </c>
      <c r="C426" s="1" t="n">
        <v>45364</v>
      </c>
      <c r="D426" t="inlineStr">
        <is>
          <t>KALMAR LÄN</t>
        </is>
      </c>
      <c r="E426" t="inlineStr">
        <is>
          <t>VIMMERBY</t>
        </is>
      </c>
      <c r="G426" t="n">
        <v>0.9</v>
      </c>
      <c r="H426" t="n">
        <v>0</v>
      </c>
      <c r="I426" t="n">
        <v>0</v>
      </c>
      <c r="J426" t="n">
        <v>0</v>
      </c>
      <c r="K426" t="n">
        <v>0</v>
      </c>
      <c r="L426" t="n">
        <v>0</v>
      </c>
      <c r="M426" t="n">
        <v>0</v>
      </c>
      <c r="N426" t="n">
        <v>0</v>
      </c>
      <c r="O426" t="n">
        <v>0</v>
      </c>
      <c r="P426" t="n">
        <v>0</v>
      </c>
      <c r="Q426" t="n">
        <v>0</v>
      </c>
      <c r="R426" s="2" t="inlineStr"/>
    </row>
    <row r="427" ht="15" customHeight="1">
      <c r="A427" t="inlineStr">
        <is>
          <t>A 27236-2020</t>
        </is>
      </c>
      <c r="B427" s="1" t="n">
        <v>43992</v>
      </c>
      <c r="C427" s="1" t="n">
        <v>45364</v>
      </c>
      <c r="D427" t="inlineStr">
        <is>
          <t>KALMAR LÄN</t>
        </is>
      </c>
      <c r="E427" t="inlineStr">
        <is>
          <t>VIMMERBY</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28853-2020</t>
        </is>
      </c>
      <c r="B428" s="1" t="n">
        <v>44000</v>
      </c>
      <c r="C428" s="1" t="n">
        <v>45364</v>
      </c>
      <c r="D428" t="inlineStr">
        <is>
          <t>KALMAR LÄN</t>
        </is>
      </c>
      <c r="E428" t="inlineStr">
        <is>
          <t>VIMMERBY</t>
        </is>
      </c>
      <c r="G428" t="n">
        <v>2.3</v>
      </c>
      <c r="H428" t="n">
        <v>0</v>
      </c>
      <c r="I428" t="n">
        <v>0</v>
      </c>
      <c r="J428" t="n">
        <v>0</v>
      </c>
      <c r="K428" t="n">
        <v>0</v>
      </c>
      <c r="L428" t="n">
        <v>0</v>
      </c>
      <c r="M428" t="n">
        <v>0</v>
      </c>
      <c r="N428" t="n">
        <v>0</v>
      </c>
      <c r="O428" t="n">
        <v>0</v>
      </c>
      <c r="P428" t="n">
        <v>0</v>
      </c>
      <c r="Q428" t="n">
        <v>0</v>
      </c>
      <c r="R428" s="2" t="inlineStr"/>
    </row>
    <row r="429" ht="15" customHeight="1">
      <c r="A429" t="inlineStr">
        <is>
          <t>A 28885-2020</t>
        </is>
      </c>
      <c r="B429" s="1" t="n">
        <v>44000</v>
      </c>
      <c r="C429" s="1" t="n">
        <v>45364</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28969-2020</t>
        </is>
      </c>
      <c r="B430" s="1" t="n">
        <v>44000</v>
      </c>
      <c r="C430" s="1" t="n">
        <v>45364</v>
      </c>
      <c r="D430" t="inlineStr">
        <is>
          <t>KALMAR LÄN</t>
        </is>
      </c>
      <c r="E430" t="inlineStr">
        <is>
          <t>VIMMERBY</t>
        </is>
      </c>
      <c r="G430" t="n">
        <v>1.2</v>
      </c>
      <c r="H430" t="n">
        <v>0</v>
      </c>
      <c r="I430" t="n">
        <v>0</v>
      </c>
      <c r="J430" t="n">
        <v>0</v>
      </c>
      <c r="K430" t="n">
        <v>0</v>
      </c>
      <c r="L430" t="n">
        <v>0</v>
      </c>
      <c r="M430" t="n">
        <v>0</v>
      </c>
      <c r="N430" t="n">
        <v>0</v>
      </c>
      <c r="O430" t="n">
        <v>0</v>
      </c>
      <c r="P430" t="n">
        <v>0</v>
      </c>
      <c r="Q430" t="n">
        <v>0</v>
      </c>
      <c r="R430" s="2" t="inlineStr"/>
    </row>
    <row r="431" ht="15" customHeight="1">
      <c r="A431" t="inlineStr">
        <is>
          <t>A 29235-2020</t>
        </is>
      </c>
      <c r="B431" s="1" t="n">
        <v>44004</v>
      </c>
      <c r="C431" s="1" t="n">
        <v>45364</v>
      </c>
      <c r="D431" t="inlineStr">
        <is>
          <t>KALMAR LÄN</t>
        </is>
      </c>
      <c r="E431" t="inlineStr">
        <is>
          <t>VIMMERBY</t>
        </is>
      </c>
      <c r="G431" t="n">
        <v>3</v>
      </c>
      <c r="H431" t="n">
        <v>0</v>
      </c>
      <c r="I431" t="n">
        <v>0</v>
      </c>
      <c r="J431" t="n">
        <v>0</v>
      </c>
      <c r="K431" t="n">
        <v>0</v>
      </c>
      <c r="L431" t="n">
        <v>0</v>
      </c>
      <c r="M431" t="n">
        <v>0</v>
      </c>
      <c r="N431" t="n">
        <v>0</v>
      </c>
      <c r="O431" t="n">
        <v>0</v>
      </c>
      <c r="P431" t="n">
        <v>0</v>
      </c>
      <c r="Q431" t="n">
        <v>0</v>
      </c>
      <c r="R431" s="2" t="inlineStr"/>
    </row>
    <row r="432" ht="15" customHeight="1">
      <c r="A432" t="inlineStr">
        <is>
          <t>A 29913-2020</t>
        </is>
      </c>
      <c r="B432" s="1" t="n">
        <v>44006</v>
      </c>
      <c r="C432" s="1" t="n">
        <v>45364</v>
      </c>
      <c r="D432" t="inlineStr">
        <is>
          <t>KALMAR LÄN</t>
        </is>
      </c>
      <c r="E432" t="inlineStr">
        <is>
          <t>VIMMERBY</t>
        </is>
      </c>
      <c r="F432" t="inlineStr">
        <is>
          <t>Kommuner</t>
        </is>
      </c>
      <c r="G432" t="n">
        <v>3.8</v>
      </c>
      <c r="H432" t="n">
        <v>0</v>
      </c>
      <c r="I432" t="n">
        <v>0</v>
      </c>
      <c r="J432" t="n">
        <v>0</v>
      </c>
      <c r="K432" t="n">
        <v>0</v>
      </c>
      <c r="L432" t="n">
        <v>0</v>
      </c>
      <c r="M432" t="n">
        <v>0</v>
      </c>
      <c r="N432" t="n">
        <v>0</v>
      </c>
      <c r="O432" t="n">
        <v>0</v>
      </c>
      <c r="P432" t="n">
        <v>0</v>
      </c>
      <c r="Q432" t="n">
        <v>0</v>
      </c>
      <c r="R432" s="2" t="inlineStr"/>
    </row>
    <row r="433" ht="15" customHeight="1">
      <c r="A433" t="inlineStr">
        <is>
          <t>A 29918-2020</t>
        </is>
      </c>
      <c r="B433" s="1" t="n">
        <v>44006</v>
      </c>
      <c r="C433" s="1" t="n">
        <v>45364</v>
      </c>
      <c r="D433" t="inlineStr">
        <is>
          <t>KALMAR LÄN</t>
        </is>
      </c>
      <c r="E433" t="inlineStr">
        <is>
          <t>VIMMERBY</t>
        </is>
      </c>
      <c r="F433" t="inlineStr">
        <is>
          <t>Kommuner</t>
        </is>
      </c>
      <c r="G433" t="n">
        <v>2.5</v>
      </c>
      <c r="H433" t="n">
        <v>0</v>
      </c>
      <c r="I433" t="n">
        <v>0</v>
      </c>
      <c r="J433" t="n">
        <v>0</v>
      </c>
      <c r="K433" t="n">
        <v>0</v>
      </c>
      <c r="L433" t="n">
        <v>0</v>
      </c>
      <c r="M433" t="n">
        <v>0</v>
      </c>
      <c r="N433" t="n">
        <v>0</v>
      </c>
      <c r="O433" t="n">
        <v>0</v>
      </c>
      <c r="P433" t="n">
        <v>0</v>
      </c>
      <c r="Q433" t="n">
        <v>0</v>
      </c>
      <c r="R433" s="2" t="inlineStr"/>
    </row>
    <row r="434" ht="15" customHeight="1">
      <c r="A434" t="inlineStr">
        <is>
          <t>A 29979-2020</t>
        </is>
      </c>
      <c r="B434" s="1" t="n">
        <v>44006</v>
      </c>
      <c r="C434" s="1" t="n">
        <v>45364</v>
      </c>
      <c r="D434" t="inlineStr">
        <is>
          <t>KALMAR LÄN</t>
        </is>
      </c>
      <c r="E434" t="inlineStr">
        <is>
          <t>VIMMERBY</t>
        </is>
      </c>
      <c r="F434" t="inlineStr">
        <is>
          <t>Kommuner</t>
        </is>
      </c>
      <c r="G434" t="n">
        <v>1.4</v>
      </c>
      <c r="H434" t="n">
        <v>0</v>
      </c>
      <c r="I434" t="n">
        <v>0</v>
      </c>
      <c r="J434" t="n">
        <v>0</v>
      </c>
      <c r="K434" t="n">
        <v>0</v>
      </c>
      <c r="L434" t="n">
        <v>0</v>
      </c>
      <c r="M434" t="n">
        <v>0</v>
      </c>
      <c r="N434" t="n">
        <v>0</v>
      </c>
      <c r="O434" t="n">
        <v>0</v>
      </c>
      <c r="P434" t="n">
        <v>0</v>
      </c>
      <c r="Q434" t="n">
        <v>0</v>
      </c>
      <c r="R434" s="2" t="inlineStr"/>
    </row>
    <row r="435" ht="15" customHeight="1">
      <c r="A435" t="inlineStr">
        <is>
          <t>A 29935-2020</t>
        </is>
      </c>
      <c r="B435" s="1" t="n">
        <v>44006</v>
      </c>
      <c r="C435" s="1" t="n">
        <v>45364</v>
      </c>
      <c r="D435" t="inlineStr">
        <is>
          <t>KALMAR LÄN</t>
        </is>
      </c>
      <c r="E435" t="inlineStr">
        <is>
          <t>VIMMERBY</t>
        </is>
      </c>
      <c r="F435" t="inlineStr">
        <is>
          <t>Kommuner</t>
        </is>
      </c>
      <c r="G435" t="n">
        <v>0.7</v>
      </c>
      <c r="H435" t="n">
        <v>0</v>
      </c>
      <c r="I435" t="n">
        <v>0</v>
      </c>
      <c r="J435" t="n">
        <v>0</v>
      </c>
      <c r="K435" t="n">
        <v>0</v>
      </c>
      <c r="L435" t="n">
        <v>0</v>
      </c>
      <c r="M435" t="n">
        <v>0</v>
      </c>
      <c r="N435" t="n">
        <v>0</v>
      </c>
      <c r="O435" t="n">
        <v>0</v>
      </c>
      <c r="P435" t="n">
        <v>0</v>
      </c>
      <c r="Q435" t="n">
        <v>0</v>
      </c>
      <c r="R435" s="2" t="inlineStr"/>
    </row>
    <row r="436" ht="15" customHeight="1">
      <c r="A436" t="inlineStr">
        <is>
          <t>A 30206-2020</t>
        </is>
      </c>
      <c r="B436" s="1" t="n">
        <v>44007</v>
      </c>
      <c r="C436" s="1" t="n">
        <v>45364</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31289-2020</t>
        </is>
      </c>
      <c r="B437" s="1" t="n">
        <v>44012</v>
      </c>
      <c r="C437" s="1" t="n">
        <v>45364</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33159-2020</t>
        </is>
      </c>
      <c r="B438" s="1" t="n">
        <v>44021</v>
      </c>
      <c r="C438" s="1" t="n">
        <v>45364</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33279-2020</t>
        </is>
      </c>
      <c r="B439" s="1" t="n">
        <v>44022</v>
      </c>
      <c r="C439" s="1" t="n">
        <v>45364</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33856-2020</t>
        </is>
      </c>
      <c r="B440" s="1" t="n">
        <v>44027</v>
      </c>
      <c r="C440" s="1" t="n">
        <v>45364</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34350-2020</t>
        </is>
      </c>
      <c r="B441" s="1" t="n">
        <v>44028</v>
      </c>
      <c r="C441" s="1" t="n">
        <v>45364</v>
      </c>
      <c r="D441" t="inlineStr">
        <is>
          <t>KALMAR LÄN</t>
        </is>
      </c>
      <c r="E441" t="inlineStr">
        <is>
          <t>VIMMERBY</t>
        </is>
      </c>
      <c r="G441" t="n">
        <v>4.3</v>
      </c>
      <c r="H441" t="n">
        <v>0</v>
      </c>
      <c r="I441" t="n">
        <v>0</v>
      </c>
      <c r="J441" t="n">
        <v>0</v>
      </c>
      <c r="K441" t="n">
        <v>0</v>
      </c>
      <c r="L441" t="n">
        <v>0</v>
      </c>
      <c r="M441" t="n">
        <v>0</v>
      </c>
      <c r="N441" t="n">
        <v>0</v>
      </c>
      <c r="O441" t="n">
        <v>0</v>
      </c>
      <c r="P441" t="n">
        <v>0</v>
      </c>
      <c r="Q441" t="n">
        <v>0</v>
      </c>
      <c r="R441" s="2" t="inlineStr"/>
    </row>
    <row r="442" ht="15" customHeight="1">
      <c r="A442" t="inlineStr">
        <is>
          <t>A 34345-2020</t>
        </is>
      </c>
      <c r="B442" s="1" t="n">
        <v>44028</v>
      </c>
      <c r="C442" s="1" t="n">
        <v>45364</v>
      </c>
      <c r="D442" t="inlineStr">
        <is>
          <t>KALMAR LÄN</t>
        </is>
      </c>
      <c r="E442" t="inlineStr">
        <is>
          <t>VIMMERBY</t>
        </is>
      </c>
      <c r="G442" t="n">
        <v>5.1</v>
      </c>
      <c r="H442" t="n">
        <v>0</v>
      </c>
      <c r="I442" t="n">
        <v>0</v>
      </c>
      <c r="J442" t="n">
        <v>0</v>
      </c>
      <c r="K442" t="n">
        <v>0</v>
      </c>
      <c r="L442" t="n">
        <v>0</v>
      </c>
      <c r="M442" t="n">
        <v>0</v>
      </c>
      <c r="N442" t="n">
        <v>0</v>
      </c>
      <c r="O442" t="n">
        <v>0</v>
      </c>
      <c r="P442" t="n">
        <v>0</v>
      </c>
      <c r="Q442" t="n">
        <v>0</v>
      </c>
      <c r="R442" s="2" t="inlineStr"/>
    </row>
    <row r="443" ht="15" customHeight="1">
      <c r="A443" t="inlineStr">
        <is>
          <t>A 34719-2020</t>
        </is>
      </c>
      <c r="B443" s="1" t="n">
        <v>44035</v>
      </c>
      <c r="C443" s="1" t="n">
        <v>45364</v>
      </c>
      <c r="D443" t="inlineStr">
        <is>
          <t>KALMAR LÄN</t>
        </is>
      </c>
      <c r="E443" t="inlineStr">
        <is>
          <t>VIMMERBY</t>
        </is>
      </c>
      <c r="G443" t="n">
        <v>3.5</v>
      </c>
      <c r="H443" t="n">
        <v>0</v>
      </c>
      <c r="I443" t="n">
        <v>0</v>
      </c>
      <c r="J443" t="n">
        <v>0</v>
      </c>
      <c r="K443" t="n">
        <v>0</v>
      </c>
      <c r="L443" t="n">
        <v>0</v>
      </c>
      <c r="M443" t="n">
        <v>0</v>
      </c>
      <c r="N443" t="n">
        <v>0</v>
      </c>
      <c r="O443" t="n">
        <v>0</v>
      </c>
      <c r="P443" t="n">
        <v>0</v>
      </c>
      <c r="Q443" t="n">
        <v>0</v>
      </c>
      <c r="R443" s="2" t="inlineStr"/>
    </row>
    <row r="444" ht="15" customHeight="1">
      <c r="A444" t="inlineStr">
        <is>
          <t>A 34907-2020</t>
        </is>
      </c>
      <c r="B444" s="1" t="n">
        <v>44036</v>
      </c>
      <c r="C444" s="1" t="n">
        <v>45364</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35350-2020</t>
        </is>
      </c>
      <c r="B445" s="1" t="n">
        <v>44041</v>
      </c>
      <c r="C445" s="1" t="n">
        <v>45364</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35886-2020</t>
        </is>
      </c>
      <c r="B446" s="1" t="n">
        <v>44047</v>
      </c>
      <c r="C446" s="1" t="n">
        <v>45364</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36085-2020</t>
        </is>
      </c>
      <c r="B447" s="1" t="n">
        <v>44048</v>
      </c>
      <c r="C447" s="1" t="n">
        <v>45364</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36161-2020</t>
        </is>
      </c>
      <c r="B448" s="1" t="n">
        <v>44048</v>
      </c>
      <c r="C448" s="1" t="n">
        <v>45364</v>
      </c>
      <c r="D448" t="inlineStr">
        <is>
          <t>KALMAR LÄN</t>
        </is>
      </c>
      <c r="E448" t="inlineStr">
        <is>
          <t>VIMMERBY</t>
        </is>
      </c>
      <c r="G448" t="n">
        <v>12.5</v>
      </c>
      <c r="H448" t="n">
        <v>0</v>
      </c>
      <c r="I448" t="n">
        <v>0</v>
      </c>
      <c r="J448" t="n">
        <v>0</v>
      </c>
      <c r="K448" t="n">
        <v>0</v>
      </c>
      <c r="L448" t="n">
        <v>0</v>
      </c>
      <c r="M448" t="n">
        <v>0</v>
      </c>
      <c r="N448" t="n">
        <v>0</v>
      </c>
      <c r="O448" t="n">
        <v>0</v>
      </c>
      <c r="P448" t="n">
        <v>0</v>
      </c>
      <c r="Q448" t="n">
        <v>0</v>
      </c>
      <c r="R448" s="2" t="inlineStr"/>
    </row>
    <row r="449" ht="15" customHeight="1">
      <c r="A449" t="inlineStr">
        <is>
          <t>A 37104-2020</t>
        </is>
      </c>
      <c r="B449" s="1" t="n">
        <v>44054</v>
      </c>
      <c r="C449" s="1" t="n">
        <v>45364</v>
      </c>
      <c r="D449" t="inlineStr">
        <is>
          <t>KALMAR LÄN</t>
        </is>
      </c>
      <c r="E449" t="inlineStr">
        <is>
          <t>VIMMERBY</t>
        </is>
      </c>
      <c r="G449" t="n">
        <v>2.8</v>
      </c>
      <c r="H449" t="n">
        <v>0</v>
      </c>
      <c r="I449" t="n">
        <v>0</v>
      </c>
      <c r="J449" t="n">
        <v>0</v>
      </c>
      <c r="K449" t="n">
        <v>0</v>
      </c>
      <c r="L449" t="n">
        <v>0</v>
      </c>
      <c r="M449" t="n">
        <v>0</v>
      </c>
      <c r="N449" t="n">
        <v>0</v>
      </c>
      <c r="O449" t="n">
        <v>0</v>
      </c>
      <c r="P449" t="n">
        <v>0</v>
      </c>
      <c r="Q449" t="n">
        <v>0</v>
      </c>
      <c r="R449" s="2" t="inlineStr"/>
    </row>
    <row r="450" ht="15" customHeight="1">
      <c r="A450" t="inlineStr">
        <is>
          <t>A 37201-2020</t>
        </is>
      </c>
      <c r="B450" s="1" t="n">
        <v>44054</v>
      </c>
      <c r="C450" s="1" t="n">
        <v>45364</v>
      </c>
      <c r="D450" t="inlineStr">
        <is>
          <t>KALMAR LÄN</t>
        </is>
      </c>
      <c r="E450" t="inlineStr">
        <is>
          <t>VIMMERBY</t>
        </is>
      </c>
      <c r="G450" t="n">
        <v>3.6</v>
      </c>
      <c r="H450" t="n">
        <v>0</v>
      </c>
      <c r="I450" t="n">
        <v>0</v>
      </c>
      <c r="J450" t="n">
        <v>0</v>
      </c>
      <c r="K450" t="n">
        <v>0</v>
      </c>
      <c r="L450" t="n">
        <v>0</v>
      </c>
      <c r="M450" t="n">
        <v>0</v>
      </c>
      <c r="N450" t="n">
        <v>0</v>
      </c>
      <c r="O450" t="n">
        <v>0</v>
      </c>
      <c r="P450" t="n">
        <v>0</v>
      </c>
      <c r="Q450" t="n">
        <v>0</v>
      </c>
      <c r="R450" s="2" t="inlineStr"/>
    </row>
    <row r="451" ht="15" customHeight="1">
      <c r="A451" t="inlineStr">
        <is>
          <t>A 37078-2020</t>
        </is>
      </c>
      <c r="B451" s="1" t="n">
        <v>44054</v>
      </c>
      <c r="C451" s="1" t="n">
        <v>45364</v>
      </c>
      <c r="D451" t="inlineStr">
        <is>
          <t>KALMAR LÄN</t>
        </is>
      </c>
      <c r="E451" t="inlineStr">
        <is>
          <t>VIMMERBY</t>
        </is>
      </c>
      <c r="G451" t="n">
        <v>4.5</v>
      </c>
      <c r="H451" t="n">
        <v>0</v>
      </c>
      <c r="I451" t="n">
        <v>0</v>
      </c>
      <c r="J451" t="n">
        <v>0</v>
      </c>
      <c r="K451" t="n">
        <v>0</v>
      </c>
      <c r="L451" t="n">
        <v>0</v>
      </c>
      <c r="M451" t="n">
        <v>0</v>
      </c>
      <c r="N451" t="n">
        <v>0</v>
      </c>
      <c r="O451" t="n">
        <v>0</v>
      </c>
      <c r="P451" t="n">
        <v>0</v>
      </c>
      <c r="Q451" t="n">
        <v>0</v>
      </c>
      <c r="R451" s="2" t="inlineStr"/>
    </row>
    <row r="452" ht="15" customHeight="1">
      <c r="A452" t="inlineStr">
        <is>
          <t>A 37362-2020</t>
        </is>
      </c>
      <c r="B452" s="1" t="n">
        <v>44055</v>
      </c>
      <c r="C452" s="1" t="n">
        <v>45364</v>
      </c>
      <c r="D452" t="inlineStr">
        <is>
          <t>KALMAR LÄN</t>
        </is>
      </c>
      <c r="E452" t="inlineStr">
        <is>
          <t>VIMMERBY</t>
        </is>
      </c>
      <c r="F452" t="inlineStr">
        <is>
          <t>Övriga Aktiebolag</t>
        </is>
      </c>
      <c r="G452" t="n">
        <v>3</v>
      </c>
      <c r="H452" t="n">
        <v>0</v>
      </c>
      <c r="I452" t="n">
        <v>0</v>
      </c>
      <c r="J452" t="n">
        <v>0</v>
      </c>
      <c r="K452" t="n">
        <v>0</v>
      </c>
      <c r="L452" t="n">
        <v>0</v>
      </c>
      <c r="M452" t="n">
        <v>0</v>
      </c>
      <c r="N452" t="n">
        <v>0</v>
      </c>
      <c r="O452" t="n">
        <v>0</v>
      </c>
      <c r="P452" t="n">
        <v>0</v>
      </c>
      <c r="Q452" t="n">
        <v>0</v>
      </c>
      <c r="R452" s="2" t="inlineStr"/>
    </row>
    <row r="453" ht="15" customHeight="1">
      <c r="A453" t="inlineStr">
        <is>
          <t>A 37813-2020</t>
        </is>
      </c>
      <c r="B453" s="1" t="n">
        <v>44057</v>
      </c>
      <c r="C453" s="1" t="n">
        <v>45364</v>
      </c>
      <c r="D453" t="inlineStr">
        <is>
          <t>KALMAR LÄN</t>
        </is>
      </c>
      <c r="E453" t="inlineStr">
        <is>
          <t>VIMMERBY</t>
        </is>
      </c>
      <c r="G453" t="n">
        <v>2</v>
      </c>
      <c r="H453" t="n">
        <v>0</v>
      </c>
      <c r="I453" t="n">
        <v>0</v>
      </c>
      <c r="J453" t="n">
        <v>0</v>
      </c>
      <c r="K453" t="n">
        <v>0</v>
      </c>
      <c r="L453" t="n">
        <v>0</v>
      </c>
      <c r="M453" t="n">
        <v>0</v>
      </c>
      <c r="N453" t="n">
        <v>0</v>
      </c>
      <c r="O453" t="n">
        <v>0</v>
      </c>
      <c r="P453" t="n">
        <v>0</v>
      </c>
      <c r="Q453" t="n">
        <v>0</v>
      </c>
      <c r="R453" s="2" t="inlineStr"/>
    </row>
    <row r="454" ht="15" customHeight="1">
      <c r="A454" t="inlineStr">
        <is>
          <t>A 37973-2020</t>
        </is>
      </c>
      <c r="B454" s="1" t="n">
        <v>44057</v>
      </c>
      <c r="C454" s="1" t="n">
        <v>45364</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38153-2020</t>
        </is>
      </c>
      <c r="B455" s="1" t="n">
        <v>44060</v>
      </c>
      <c r="C455" s="1" t="n">
        <v>45364</v>
      </c>
      <c r="D455" t="inlineStr">
        <is>
          <t>KALMAR LÄN</t>
        </is>
      </c>
      <c r="E455" t="inlineStr">
        <is>
          <t>VIMMERBY</t>
        </is>
      </c>
      <c r="G455" t="n">
        <v>6</v>
      </c>
      <c r="H455" t="n">
        <v>0</v>
      </c>
      <c r="I455" t="n">
        <v>0</v>
      </c>
      <c r="J455" t="n">
        <v>0</v>
      </c>
      <c r="K455" t="n">
        <v>0</v>
      </c>
      <c r="L455" t="n">
        <v>0</v>
      </c>
      <c r="M455" t="n">
        <v>0</v>
      </c>
      <c r="N455" t="n">
        <v>0</v>
      </c>
      <c r="O455" t="n">
        <v>0</v>
      </c>
      <c r="P455" t="n">
        <v>0</v>
      </c>
      <c r="Q455" t="n">
        <v>0</v>
      </c>
      <c r="R455" s="2" t="inlineStr"/>
    </row>
    <row r="456" ht="15" customHeight="1">
      <c r="A456" t="inlineStr">
        <is>
          <t>A 38397-2020</t>
        </is>
      </c>
      <c r="B456" s="1" t="n">
        <v>44060</v>
      </c>
      <c r="C456" s="1" t="n">
        <v>45364</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38530-2020</t>
        </is>
      </c>
      <c r="B457" s="1" t="n">
        <v>44061</v>
      </c>
      <c r="C457" s="1" t="n">
        <v>45364</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38710-2020</t>
        </is>
      </c>
      <c r="B458" s="1" t="n">
        <v>44061</v>
      </c>
      <c r="C458" s="1" t="n">
        <v>45364</v>
      </c>
      <c r="D458" t="inlineStr">
        <is>
          <t>KALMAR LÄN</t>
        </is>
      </c>
      <c r="E458" t="inlineStr">
        <is>
          <t>VIMMERBY</t>
        </is>
      </c>
      <c r="G458" t="n">
        <v>2.2</v>
      </c>
      <c r="H458" t="n">
        <v>0</v>
      </c>
      <c r="I458" t="n">
        <v>0</v>
      </c>
      <c r="J458" t="n">
        <v>0</v>
      </c>
      <c r="K458" t="n">
        <v>0</v>
      </c>
      <c r="L458" t="n">
        <v>0</v>
      </c>
      <c r="M458" t="n">
        <v>0</v>
      </c>
      <c r="N458" t="n">
        <v>0</v>
      </c>
      <c r="O458" t="n">
        <v>0</v>
      </c>
      <c r="P458" t="n">
        <v>0</v>
      </c>
      <c r="Q458" t="n">
        <v>0</v>
      </c>
      <c r="R458" s="2" t="inlineStr"/>
    </row>
    <row r="459" ht="15" customHeight="1">
      <c r="A459" t="inlineStr">
        <is>
          <t>A 38844-2020</t>
        </is>
      </c>
      <c r="B459" s="1" t="n">
        <v>44062</v>
      </c>
      <c r="C459" s="1" t="n">
        <v>45364</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39191-2020</t>
        </is>
      </c>
      <c r="B460" s="1" t="n">
        <v>44063</v>
      </c>
      <c r="C460" s="1" t="n">
        <v>45364</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39251-2020</t>
        </is>
      </c>
      <c r="B461" s="1" t="n">
        <v>44063</v>
      </c>
      <c r="C461" s="1" t="n">
        <v>45364</v>
      </c>
      <c r="D461" t="inlineStr">
        <is>
          <t>KALMAR LÄN</t>
        </is>
      </c>
      <c r="E461" t="inlineStr">
        <is>
          <t>VIMMERBY</t>
        </is>
      </c>
      <c r="G461" t="n">
        <v>6.1</v>
      </c>
      <c r="H461" t="n">
        <v>0</v>
      </c>
      <c r="I461" t="n">
        <v>0</v>
      </c>
      <c r="J461" t="n">
        <v>0</v>
      </c>
      <c r="K461" t="n">
        <v>0</v>
      </c>
      <c r="L461" t="n">
        <v>0</v>
      </c>
      <c r="M461" t="n">
        <v>0</v>
      </c>
      <c r="N461" t="n">
        <v>0</v>
      </c>
      <c r="O461" t="n">
        <v>0</v>
      </c>
      <c r="P461" t="n">
        <v>0</v>
      </c>
      <c r="Q461" t="n">
        <v>0</v>
      </c>
      <c r="R461" s="2" t="inlineStr"/>
    </row>
    <row r="462" ht="15" customHeight="1">
      <c r="A462" t="inlineStr">
        <is>
          <t>A 39125-2020</t>
        </is>
      </c>
      <c r="B462" s="1" t="n">
        <v>44063</v>
      </c>
      <c r="C462" s="1" t="n">
        <v>45364</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39300-2020</t>
        </is>
      </c>
      <c r="B463" s="1" t="n">
        <v>44063</v>
      </c>
      <c r="C463" s="1" t="n">
        <v>45364</v>
      </c>
      <c r="D463" t="inlineStr">
        <is>
          <t>KALMAR LÄN</t>
        </is>
      </c>
      <c r="E463" t="inlineStr">
        <is>
          <t>VIMMERBY</t>
        </is>
      </c>
      <c r="G463" t="n">
        <v>5.1</v>
      </c>
      <c r="H463" t="n">
        <v>0</v>
      </c>
      <c r="I463" t="n">
        <v>0</v>
      </c>
      <c r="J463" t="n">
        <v>0</v>
      </c>
      <c r="K463" t="n">
        <v>0</v>
      </c>
      <c r="L463" t="n">
        <v>0</v>
      </c>
      <c r="M463" t="n">
        <v>0</v>
      </c>
      <c r="N463" t="n">
        <v>0</v>
      </c>
      <c r="O463" t="n">
        <v>0</v>
      </c>
      <c r="P463" t="n">
        <v>0</v>
      </c>
      <c r="Q463" t="n">
        <v>0</v>
      </c>
      <c r="R463" s="2" t="inlineStr"/>
    </row>
    <row r="464" ht="15" customHeight="1">
      <c r="A464" t="inlineStr">
        <is>
          <t>A 39288-2020</t>
        </is>
      </c>
      <c r="B464" s="1" t="n">
        <v>44063</v>
      </c>
      <c r="C464" s="1" t="n">
        <v>45364</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39508-2020</t>
        </is>
      </c>
      <c r="B465" s="1" t="n">
        <v>44064</v>
      </c>
      <c r="C465" s="1" t="n">
        <v>45364</v>
      </c>
      <c r="D465" t="inlineStr">
        <is>
          <t>KALMAR LÄN</t>
        </is>
      </c>
      <c r="E465" t="inlineStr">
        <is>
          <t>VIMMERBY</t>
        </is>
      </c>
      <c r="G465" t="n">
        <v>4.7</v>
      </c>
      <c r="H465" t="n">
        <v>0</v>
      </c>
      <c r="I465" t="n">
        <v>0</v>
      </c>
      <c r="J465" t="n">
        <v>0</v>
      </c>
      <c r="K465" t="n">
        <v>0</v>
      </c>
      <c r="L465" t="n">
        <v>0</v>
      </c>
      <c r="M465" t="n">
        <v>0</v>
      </c>
      <c r="N465" t="n">
        <v>0</v>
      </c>
      <c r="O465" t="n">
        <v>0</v>
      </c>
      <c r="P465" t="n">
        <v>0</v>
      </c>
      <c r="Q465" t="n">
        <v>0</v>
      </c>
      <c r="R465" s="2" t="inlineStr"/>
    </row>
    <row r="466" ht="15" customHeight="1">
      <c r="A466" t="inlineStr">
        <is>
          <t>A 39769-2020</t>
        </is>
      </c>
      <c r="B466" s="1" t="n">
        <v>44064</v>
      </c>
      <c r="C466" s="1" t="n">
        <v>45364</v>
      </c>
      <c r="D466" t="inlineStr">
        <is>
          <t>KALMAR LÄN</t>
        </is>
      </c>
      <c r="E466" t="inlineStr">
        <is>
          <t>VIMMERBY</t>
        </is>
      </c>
      <c r="G466" t="n">
        <v>24.6</v>
      </c>
      <c r="H466" t="n">
        <v>0</v>
      </c>
      <c r="I466" t="n">
        <v>0</v>
      </c>
      <c r="J466" t="n">
        <v>0</v>
      </c>
      <c r="K466" t="n">
        <v>0</v>
      </c>
      <c r="L466" t="n">
        <v>0</v>
      </c>
      <c r="M466" t="n">
        <v>0</v>
      </c>
      <c r="N466" t="n">
        <v>0</v>
      </c>
      <c r="O466" t="n">
        <v>0</v>
      </c>
      <c r="P466" t="n">
        <v>0</v>
      </c>
      <c r="Q466" t="n">
        <v>0</v>
      </c>
      <c r="R466" s="2" t="inlineStr"/>
    </row>
    <row r="467" ht="15" customHeight="1">
      <c r="A467" t="inlineStr">
        <is>
          <t>A 40239-2020</t>
        </is>
      </c>
      <c r="B467" s="1" t="n">
        <v>44068</v>
      </c>
      <c r="C467" s="1" t="n">
        <v>45364</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40766-2020</t>
        </is>
      </c>
      <c r="B468" s="1" t="n">
        <v>44070</v>
      </c>
      <c r="C468" s="1" t="n">
        <v>45364</v>
      </c>
      <c r="D468" t="inlineStr">
        <is>
          <t>KALMAR LÄN</t>
        </is>
      </c>
      <c r="E468" t="inlineStr">
        <is>
          <t>VIMMERBY</t>
        </is>
      </c>
      <c r="G468" t="n">
        <v>4.2</v>
      </c>
      <c r="H468" t="n">
        <v>0</v>
      </c>
      <c r="I468" t="n">
        <v>0</v>
      </c>
      <c r="J468" t="n">
        <v>0</v>
      </c>
      <c r="K468" t="n">
        <v>0</v>
      </c>
      <c r="L468" t="n">
        <v>0</v>
      </c>
      <c r="M468" t="n">
        <v>0</v>
      </c>
      <c r="N468" t="n">
        <v>0</v>
      </c>
      <c r="O468" t="n">
        <v>0</v>
      </c>
      <c r="P468" t="n">
        <v>0</v>
      </c>
      <c r="Q468" t="n">
        <v>0</v>
      </c>
      <c r="R468" s="2" t="inlineStr"/>
    </row>
    <row r="469" ht="15" customHeight="1">
      <c r="A469" t="inlineStr">
        <is>
          <t>A 40890-2020</t>
        </is>
      </c>
      <c r="B469" s="1" t="n">
        <v>44070</v>
      </c>
      <c r="C469" s="1" t="n">
        <v>45364</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40812-2020</t>
        </is>
      </c>
      <c r="B470" s="1" t="n">
        <v>44070</v>
      </c>
      <c r="C470" s="1" t="n">
        <v>45364</v>
      </c>
      <c r="D470" t="inlineStr">
        <is>
          <t>KALMAR LÄN</t>
        </is>
      </c>
      <c r="E470" t="inlineStr">
        <is>
          <t>VIMMERBY</t>
        </is>
      </c>
      <c r="G470" t="n">
        <v>4.9</v>
      </c>
      <c r="H470" t="n">
        <v>0</v>
      </c>
      <c r="I470" t="n">
        <v>0</v>
      </c>
      <c r="J470" t="n">
        <v>0</v>
      </c>
      <c r="K470" t="n">
        <v>0</v>
      </c>
      <c r="L470" t="n">
        <v>0</v>
      </c>
      <c r="M470" t="n">
        <v>0</v>
      </c>
      <c r="N470" t="n">
        <v>0</v>
      </c>
      <c r="O470" t="n">
        <v>0</v>
      </c>
      <c r="P470" t="n">
        <v>0</v>
      </c>
      <c r="Q470" t="n">
        <v>0</v>
      </c>
      <c r="R470" s="2" t="inlineStr"/>
    </row>
    <row r="471" ht="15" customHeight="1">
      <c r="A471" t="inlineStr">
        <is>
          <t>A 40889-2020</t>
        </is>
      </c>
      <c r="B471" s="1" t="n">
        <v>44070</v>
      </c>
      <c r="C471" s="1" t="n">
        <v>45364</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40818-2020</t>
        </is>
      </c>
      <c r="B472" s="1" t="n">
        <v>44070</v>
      </c>
      <c r="C472" s="1" t="n">
        <v>45364</v>
      </c>
      <c r="D472" t="inlineStr">
        <is>
          <t>KALMAR LÄN</t>
        </is>
      </c>
      <c r="E472" t="inlineStr">
        <is>
          <t>VIMMERBY</t>
        </is>
      </c>
      <c r="G472" t="n">
        <v>2.2</v>
      </c>
      <c r="H472" t="n">
        <v>0</v>
      </c>
      <c r="I472" t="n">
        <v>0</v>
      </c>
      <c r="J472" t="n">
        <v>0</v>
      </c>
      <c r="K472" t="n">
        <v>0</v>
      </c>
      <c r="L472" t="n">
        <v>0</v>
      </c>
      <c r="M472" t="n">
        <v>0</v>
      </c>
      <c r="N472" t="n">
        <v>0</v>
      </c>
      <c r="O472" t="n">
        <v>0</v>
      </c>
      <c r="P472" t="n">
        <v>0</v>
      </c>
      <c r="Q472" t="n">
        <v>0</v>
      </c>
      <c r="R472" s="2" t="inlineStr"/>
    </row>
    <row r="473" ht="15" customHeight="1">
      <c r="A473" t="inlineStr">
        <is>
          <t>A 40808-2020</t>
        </is>
      </c>
      <c r="B473" s="1" t="n">
        <v>44070</v>
      </c>
      <c r="C473" s="1" t="n">
        <v>45364</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42067-2020</t>
        </is>
      </c>
      <c r="B474" s="1" t="n">
        <v>44075</v>
      </c>
      <c r="C474" s="1" t="n">
        <v>45364</v>
      </c>
      <c r="D474" t="inlineStr">
        <is>
          <t>KALMAR LÄN</t>
        </is>
      </c>
      <c r="E474" t="inlineStr">
        <is>
          <t>VIMMERBY</t>
        </is>
      </c>
      <c r="G474" t="n">
        <v>1.9</v>
      </c>
      <c r="H474" t="n">
        <v>0</v>
      </c>
      <c r="I474" t="n">
        <v>0</v>
      </c>
      <c r="J474" t="n">
        <v>0</v>
      </c>
      <c r="K474" t="n">
        <v>0</v>
      </c>
      <c r="L474" t="n">
        <v>0</v>
      </c>
      <c r="M474" t="n">
        <v>0</v>
      </c>
      <c r="N474" t="n">
        <v>0</v>
      </c>
      <c r="O474" t="n">
        <v>0</v>
      </c>
      <c r="P474" t="n">
        <v>0</v>
      </c>
      <c r="Q474" t="n">
        <v>0</v>
      </c>
      <c r="R474" s="2" t="inlineStr"/>
    </row>
    <row r="475" ht="15" customHeight="1">
      <c r="A475" t="inlineStr">
        <is>
          <t>A 42494-2020</t>
        </is>
      </c>
      <c r="B475" s="1" t="n">
        <v>44077</v>
      </c>
      <c r="C475" s="1" t="n">
        <v>45364</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44000-2020</t>
        </is>
      </c>
      <c r="B476" s="1" t="n">
        <v>44083</v>
      </c>
      <c r="C476" s="1" t="n">
        <v>45364</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43998-2020</t>
        </is>
      </c>
      <c r="B477" s="1" t="n">
        <v>44083</v>
      </c>
      <c r="C477" s="1" t="n">
        <v>45364</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44605-2020</t>
        </is>
      </c>
      <c r="B478" s="1" t="n">
        <v>44085</v>
      </c>
      <c r="C478" s="1" t="n">
        <v>45364</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45050-2020</t>
        </is>
      </c>
      <c r="B479" s="1" t="n">
        <v>44088</v>
      </c>
      <c r="C479" s="1" t="n">
        <v>45364</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45054-2020</t>
        </is>
      </c>
      <c r="B480" s="1" t="n">
        <v>44088</v>
      </c>
      <c r="C480" s="1" t="n">
        <v>45364</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45528-2020</t>
        </is>
      </c>
      <c r="B481" s="1" t="n">
        <v>44089</v>
      </c>
      <c r="C481" s="1" t="n">
        <v>45364</v>
      </c>
      <c r="D481" t="inlineStr">
        <is>
          <t>KALMAR LÄN</t>
        </is>
      </c>
      <c r="E481" t="inlineStr">
        <is>
          <t>VIMMERBY</t>
        </is>
      </c>
      <c r="G481" t="n">
        <v>3.8</v>
      </c>
      <c r="H481" t="n">
        <v>0</v>
      </c>
      <c r="I481" t="n">
        <v>0</v>
      </c>
      <c r="J481" t="n">
        <v>0</v>
      </c>
      <c r="K481" t="n">
        <v>0</v>
      </c>
      <c r="L481" t="n">
        <v>0</v>
      </c>
      <c r="M481" t="n">
        <v>0</v>
      </c>
      <c r="N481" t="n">
        <v>0</v>
      </c>
      <c r="O481" t="n">
        <v>0</v>
      </c>
      <c r="P481" t="n">
        <v>0</v>
      </c>
      <c r="Q481" t="n">
        <v>0</v>
      </c>
      <c r="R481" s="2" t="inlineStr"/>
    </row>
    <row r="482" ht="15" customHeight="1">
      <c r="A482" t="inlineStr">
        <is>
          <t>A 45678-2020</t>
        </is>
      </c>
      <c r="B482" s="1" t="n">
        <v>44090</v>
      </c>
      <c r="C482" s="1" t="n">
        <v>45364</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46085-2020</t>
        </is>
      </c>
      <c r="B483" s="1" t="n">
        <v>44091</v>
      </c>
      <c r="C483" s="1" t="n">
        <v>45364</v>
      </c>
      <c r="D483" t="inlineStr">
        <is>
          <t>KALMAR LÄN</t>
        </is>
      </c>
      <c r="E483" t="inlineStr">
        <is>
          <t>VIMMERBY</t>
        </is>
      </c>
      <c r="G483" t="n">
        <v>6.1</v>
      </c>
      <c r="H483" t="n">
        <v>0</v>
      </c>
      <c r="I483" t="n">
        <v>0</v>
      </c>
      <c r="J483" t="n">
        <v>0</v>
      </c>
      <c r="K483" t="n">
        <v>0</v>
      </c>
      <c r="L483" t="n">
        <v>0</v>
      </c>
      <c r="M483" t="n">
        <v>0</v>
      </c>
      <c r="N483" t="n">
        <v>0</v>
      </c>
      <c r="O483" t="n">
        <v>0</v>
      </c>
      <c r="P483" t="n">
        <v>0</v>
      </c>
      <c r="Q483" t="n">
        <v>0</v>
      </c>
      <c r="R483" s="2" t="inlineStr"/>
    </row>
    <row r="484" ht="15" customHeight="1">
      <c r="A484" t="inlineStr">
        <is>
          <t>A 46461-2020</t>
        </is>
      </c>
      <c r="B484" s="1" t="n">
        <v>44092</v>
      </c>
      <c r="C484" s="1" t="n">
        <v>45364</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46527-2020</t>
        </is>
      </c>
      <c r="B485" s="1" t="n">
        <v>44095</v>
      </c>
      <c r="C485" s="1" t="n">
        <v>45364</v>
      </c>
      <c r="D485" t="inlineStr">
        <is>
          <t>KALMAR LÄN</t>
        </is>
      </c>
      <c r="E485" t="inlineStr">
        <is>
          <t>VIMMERBY</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47295-2020</t>
        </is>
      </c>
      <c r="B486" s="1" t="n">
        <v>44097</v>
      </c>
      <c r="C486" s="1" t="n">
        <v>45364</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49059-2020</t>
        </is>
      </c>
      <c r="B487" s="1" t="n">
        <v>44102</v>
      </c>
      <c r="C487" s="1" t="n">
        <v>45364</v>
      </c>
      <c r="D487" t="inlineStr">
        <is>
          <t>KALMAR LÄN</t>
        </is>
      </c>
      <c r="E487" t="inlineStr">
        <is>
          <t>VIMMERBY</t>
        </is>
      </c>
      <c r="G487" t="n">
        <v>5.8</v>
      </c>
      <c r="H487" t="n">
        <v>0</v>
      </c>
      <c r="I487" t="n">
        <v>0</v>
      </c>
      <c r="J487" t="n">
        <v>0</v>
      </c>
      <c r="K487" t="n">
        <v>0</v>
      </c>
      <c r="L487" t="n">
        <v>0</v>
      </c>
      <c r="M487" t="n">
        <v>0</v>
      </c>
      <c r="N487" t="n">
        <v>0</v>
      </c>
      <c r="O487" t="n">
        <v>0</v>
      </c>
      <c r="P487" t="n">
        <v>0</v>
      </c>
      <c r="Q487" t="n">
        <v>0</v>
      </c>
      <c r="R487" s="2" t="inlineStr"/>
    </row>
    <row r="488" ht="15" customHeight="1">
      <c r="A488" t="inlineStr">
        <is>
          <t>A 48949-2020</t>
        </is>
      </c>
      <c r="B488" s="1" t="n">
        <v>44102</v>
      </c>
      <c r="C488" s="1" t="n">
        <v>45364</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49186-2020</t>
        </is>
      </c>
      <c r="B489" s="1" t="n">
        <v>44105</v>
      </c>
      <c r="C489" s="1" t="n">
        <v>45364</v>
      </c>
      <c r="D489" t="inlineStr">
        <is>
          <t>KALMAR LÄN</t>
        </is>
      </c>
      <c r="E489" t="inlineStr">
        <is>
          <t>VIMMERBY</t>
        </is>
      </c>
      <c r="F489" t="inlineStr">
        <is>
          <t>Sveaskog</t>
        </is>
      </c>
      <c r="G489" t="n">
        <v>3.8</v>
      </c>
      <c r="H489" t="n">
        <v>0</v>
      </c>
      <c r="I489" t="n">
        <v>0</v>
      </c>
      <c r="J489" t="n">
        <v>0</v>
      </c>
      <c r="K489" t="n">
        <v>0</v>
      </c>
      <c r="L489" t="n">
        <v>0</v>
      </c>
      <c r="M489" t="n">
        <v>0</v>
      </c>
      <c r="N489" t="n">
        <v>0</v>
      </c>
      <c r="O489" t="n">
        <v>0</v>
      </c>
      <c r="P489" t="n">
        <v>0</v>
      </c>
      <c r="Q489" t="n">
        <v>0</v>
      </c>
      <c r="R489" s="2" t="inlineStr"/>
    </row>
    <row r="490" ht="15" customHeight="1">
      <c r="A490" t="inlineStr">
        <is>
          <t>A 51571-2020</t>
        </is>
      </c>
      <c r="B490" s="1" t="n">
        <v>44109</v>
      </c>
      <c r="C490" s="1" t="n">
        <v>45364</v>
      </c>
      <c r="D490" t="inlineStr">
        <is>
          <t>KALMAR LÄN</t>
        </is>
      </c>
      <c r="E490" t="inlineStr">
        <is>
          <t>VIMMERBY</t>
        </is>
      </c>
      <c r="G490" t="n">
        <v>6.1</v>
      </c>
      <c r="H490" t="n">
        <v>0</v>
      </c>
      <c r="I490" t="n">
        <v>0</v>
      </c>
      <c r="J490" t="n">
        <v>0</v>
      </c>
      <c r="K490" t="n">
        <v>0</v>
      </c>
      <c r="L490" t="n">
        <v>0</v>
      </c>
      <c r="M490" t="n">
        <v>0</v>
      </c>
      <c r="N490" t="n">
        <v>0</v>
      </c>
      <c r="O490" t="n">
        <v>0</v>
      </c>
      <c r="P490" t="n">
        <v>0</v>
      </c>
      <c r="Q490" t="n">
        <v>0</v>
      </c>
      <c r="R490" s="2" t="inlineStr"/>
    </row>
    <row r="491" ht="15" customHeight="1">
      <c r="A491" t="inlineStr">
        <is>
          <t>A 51569-2020</t>
        </is>
      </c>
      <c r="B491" s="1" t="n">
        <v>44109</v>
      </c>
      <c r="C491" s="1" t="n">
        <v>45364</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50764-2020</t>
        </is>
      </c>
      <c r="B492" s="1" t="n">
        <v>44111</v>
      </c>
      <c r="C492" s="1" t="n">
        <v>45364</v>
      </c>
      <c r="D492" t="inlineStr">
        <is>
          <t>KALMAR LÄN</t>
        </is>
      </c>
      <c r="E492" t="inlineStr">
        <is>
          <t>VIMMERBY</t>
        </is>
      </c>
      <c r="G492" t="n">
        <v>2.3</v>
      </c>
      <c r="H492" t="n">
        <v>0</v>
      </c>
      <c r="I492" t="n">
        <v>0</v>
      </c>
      <c r="J492" t="n">
        <v>0</v>
      </c>
      <c r="K492" t="n">
        <v>0</v>
      </c>
      <c r="L492" t="n">
        <v>0</v>
      </c>
      <c r="M492" t="n">
        <v>0</v>
      </c>
      <c r="N492" t="n">
        <v>0</v>
      </c>
      <c r="O492" t="n">
        <v>0</v>
      </c>
      <c r="P492" t="n">
        <v>0</v>
      </c>
      <c r="Q492" t="n">
        <v>0</v>
      </c>
      <c r="R492" s="2" t="inlineStr"/>
    </row>
    <row r="493" ht="15" customHeight="1">
      <c r="A493" t="inlineStr">
        <is>
          <t>A 51977-2020</t>
        </is>
      </c>
      <c r="B493" s="1" t="n">
        <v>44116</v>
      </c>
      <c r="C493" s="1" t="n">
        <v>45364</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52073-2020</t>
        </is>
      </c>
      <c r="B494" s="1" t="n">
        <v>44117</v>
      </c>
      <c r="C494" s="1" t="n">
        <v>45364</v>
      </c>
      <c r="D494" t="inlineStr">
        <is>
          <t>KALMAR LÄN</t>
        </is>
      </c>
      <c r="E494" t="inlineStr">
        <is>
          <t>VIMMERBY</t>
        </is>
      </c>
      <c r="G494" t="n">
        <v>2.3</v>
      </c>
      <c r="H494" t="n">
        <v>0</v>
      </c>
      <c r="I494" t="n">
        <v>0</v>
      </c>
      <c r="J494" t="n">
        <v>0</v>
      </c>
      <c r="K494" t="n">
        <v>0</v>
      </c>
      <c r="L494" t="n">
        <v>0</v>
      </c>
      <c r="M494" t="n">
        <v>0</v>
      </c>
      <c r="N494" t="n">
        <v>0</v>
      </c>
      <c r="O494" t="n">
        <v>0</v>
      </c>
      <c r="P494" t="n">
        <v>0</v>
      </c>
      <c r="Q494" t="n">
        <v>0</v>
      </c>
      <c r="R494" s="2" t="inlineStr"/>
    </row>
    <row r="495" ht="15" customHeight="1">
      <c r="A495" t="inlineStr">
        <is>
          <t>A 53100-2020</t>
        </is>
      </c>
      <c r="B495" s="1" t="n">
        <v>44120</v>
      </c>
      <c r="C495" s="1" t="n">
        <v>45364</v>
      </c>
      <c r="D495" t="inlineStr">
        <is>
          <t>KALMAR LÄN</t>
        </is>
      </c>
      <c r="E495" t="inlineStr">
        <is>
          <t>VIMMERBY</t>
        </is>
      </c>
      <c r="G495" t="n">
        <v>1.2</v>
      </c>
      <c r="H495" t="n">
        <v>0</v>
      </c>
      <c r="I495" t="n">
        <v>0</v>
      </c>
      <c r="J495" t="n">
        <v>0</v>
      </c>
      <c r="K495" t="n">
        <v>0</v>
      </c>
      <c r="L495" t="n">
        <v>0</v>
      </c>
      <c r="M495" t="n">
        <v>0</v>
      </c>
      <c r="N495" t="n">
        <v>0</v>
      </c>
      <c r="O495" t="n">
        <v>0</v>
      </c>
      <c r="P495" t="n">
        <v>0</v>
      </c>
      <c r="Q495" t="n">
        <v>0</v>
      </c>
      <c r="R495" s="2" t="inlineStr"/>
    </row>
    <row r="496" ht="15" customHeight="1">
      <c r="A496" t="inlineStr">
        <is>
          <t>A 53387-2020</t>
        </is>
      </c>
      <c r="B496" s="1" t="n">
        <v>44123</v>
      </c>
      <c r="C496" s="1" t="n">
        <v>45364</v>
      </c>
      <c r="D496" t="inlineStr">
        <is>
          <t>KALMAR LÄN</t>
        </is>
      </c>
      <c r="E496" t="inlineStr">
        <is>
          <t>VIMMERBY</t>
        </is>
      </c>
      <c r="G496" t="n">
        <v>7.2</v>
      </c>
      <c r="H496" t="n">
        <v>0</v>
      </c>
      <c r="I496" t="n">
        <v>0</v>
      </c>
      <c r="J496" t="n">
        <v>0</v>
      </c>
      <c r="K496" t="n">
        <v>0</v>
      </c>
      <c r="L496" t="n">
        <v>0</v>
      </c>
      <c r="M496" t="n">
        <v>0</v>
      </c>
      <c r="N496" t="n">
        <v>0</v>
      </c>
      <c r="O496" t="n">
        <v>0</v>
      </c>
      <c r="P496" t="n">
        <v>0</v>
      </c>
      <c r="Q496" t="n">
        <v>0</v>
      </c>
      <c r="R496" s="2" t="inlineStr"/>
    </row>
    <row r="497" ht="15" customHeight="1">
      <c r="A497" t="inlineStr">
        <is>
          <t>A 53711-2020</t>
        </is>
      </c>
      <c r="B497" s="1" t="n">
        <v>44124</v>
      </c>
      <c r="C497" s="1" t="n">
        <v>45364</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54917-2020</t>
        </is>
      </c>
      <c r="B498" s="1" t="n">
        <v>44127</v>
      </c>
      <c r="C498" s="1" t="n">
        <v>45364</v>
      </c>
      <c r="D498" t="inlineStr">
        <is>
          <t>KALMAR LÄN</t>
        </is>
      </c>
      <c r="E498" t="inlineStr">
        <is>
          <t>VIMMERBY</t>
        </is>
      </c>
      <c r="G498" t="n">
        <v>9.5</v>
      </c>
      <c r="H498" t="n">
        <v>0</v>
      </c>
      <c r="I498" t="n">
        <v>0</v>
      </c>
      <c r="J498" t="n">
        <v>0</v>
      </c>
      <c r="K498" t="n">
        <v>0</v>
      </c>
      <c r="L498" t="n">
        <v>0</v>
      </c>
      <c r="M498" t="n">
        <v>0</v>
      </c>
      <c r="N498" t="n">
        <v>0</v>
      </c>
      <c r="O498" t="n">
        <v>0</v>
      </c>
      <c r="P498" t="n">
        <v>0</v>
      </c>
      <c r="Q498" t="n">
        <v>0</v>
      </c>
      <c r="R498" s="2" t="inlineStr"/>
    </row>
    <row r="499" ht="15" customHeight="1">
      <c r="A499" t="inlineStr">
        <is>
          <t>A 55053-2020</t>
        </is>
      </c>
      <c r="B499" s="1" t="n">
        <v>44130</v>
      </c>
      <c r="C499" s="1" t="n">
        <v>45364</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57948-2020</t>
        </is>
      </c>
      <c r="B500" s="1" t="n">
        <v>44142</v>
      </c>
      <c r="C500" s="1" t="n">
        <v>45364</v>
      </c>
      <c r="D500" t="inlineStr">
        <is>
          <t>KALMAR LÄN</t>
        </is>
      </c>
      <c r="E500" t="inlineStr">
        <is>
          <t>VIMMERBY</t>
        </is>
      </c>
      <c r="G500" t="n">
        <v>7.1</v>
      </c>
      <c r="H500" t="n">
        <v>0</v>
      </c>
      <c r="I500" t="n">
        <v>0</v>
      </c>
      <c r="J500" t="n">
        <v>0</v>
      </c>
      <c r="K500" t="n">
        <v>0</v>
      </c>
      <c r="L500" t="n">
        <v>0</v>
      </c>
      <c r="M500" t="n">
        <v>0</v>
      </c>
      <c r="N500" t="n">
        <v>0</v>
      </c>
      <c r="O500" t="n">
        <v>0</v>
      </c>
      <c r="P500" t="n">
        <v>0</v>
      </c>
      <c r="Q500" t="n">
        <v>0</v>
      </c>
      <c r="R500" s="2" t="inlineStr"/>
    </row>
    <row r="501" ht="15" customHeight="1">
      <c r="A501" t="inlineStr">
        <is>
          <t>A 58026-2020</t>
        </is>
      </c>
      <c r="B501" s="1" t="n">
        <v>44144</v>
      </c>
      <c r="C501" s="1" t="n">
        <v>45364</v>
      </c>
      <c r="D501" t="inlineStr">
        <is>
          <t>KALMAR LÄN</t>
        </is>
      </c>
      <c r="E501" t="inlineStr">
        <is>
          <t>VIMMERBY</t>
        </is>
      </c>
      <c r="G501" t="n">
        <v>1.2</v>
      </c>
      <c r="H501" t="n">
        <v>0</v>
      </c>
      <c r="I501" t="n">
        <v>0</v>
      </c>
      <c r="J501" t="n">
        <v>0</v>
      </c>
      <c r="K501" t="n">
        <v>0</v>
      </c>
      <c r="L501" t="n">
        <v>0</v>
      </c>
      <c r="M501" t="n">
        <v>0</v>
      </c>
      <c r="N501" t="n">
        <v>0</v>
      </c>
      <c r="O501" t="n">
        <v>0</v>
      </c>
      <c r="P501" t="n">
        <v>0</v>
      </c>
      <c r="Q501" t="n">
        <v>0</v>
      </c>
      <c r="R501" s="2" t="inlineStr"/>
    </row>
    <row r="502" ht="15" customHeight="1">
      <c r="A502" t="inlineStr">
        <is>
          <t>A 58145-2020</t>
        </is>
      </c>
      <c r="B502" s="1" t="n">
        <v>44144</v>
      </c>
      <c r="C502" s="1" t="n">
        <v>45364</v>
      </c>
      <c r="D502" t="inlineStr">
        <is>
          <t>KALMAR LÄN</t>
        </is>
      </c>
      <c r="E502" t="inlineStr">
        <is>
          <t>VIMMERBY</t>
        </is>
      </c>
      <c r="G502" t="n">
        <v>1.9</v>
      </c>
      <c r="H502" t="n">
        <v>0</v>
      </c>
      <c r="I502" t="n">
        <v>0</v>
      </c>
      <c r="J502" t="n">
        <v>0</v>
      </c>
      <c r="K502" t="n">
        <v>0</v>
      </c>
      <c r="L502" t="n">
        <v>0</v>
      </c>
      <c r="M502" t="n">
        <v>0</v>
      </c>
      <c r="N502" t="n">
        <v>0</v>
      </c>
      <c r="O502" t="n">
        <v>0</v>
      </c>
      <c r="P502" t="n">
        <v>0</v>
      </c>
      <c r="Q502" t="n">
        <v>0</v>
      </c>
      <c r="R502" s="2" t="inlineStr"/>
    </row>
    <row r="503" ht="15" customHeight="1">
      <c r="A503" t="inlineStr">
        <is>
          <t>A 60810-2020</t>
        </is>
      </c>
      <c r="B503" s="1" t="n">
        <v>44154</v>
      </c>
      <c r="C503" s="1" t="n">
        <v>45364</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61878-2020</t>
        </is>
      </c>
      <c r="B504" s="1" t="n">
        <v>44159</v>
      </c>
      <c r="C504" s="1" t="n">
        <v>45364</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64707-2020</t>
        </is>
      </c>
      <c r="B505" s="1" t="n">
        <v>44169</v>
      </c>
      <c r="C505" s="1" t="n">
        <v>45364</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65049-2020</t>
        </is>
      </c>
      <c r="B506" s="1" t="n">
        <v>44172</v>
      </c>
      <c r="C506" s="1" t="n">
        <v>45364</v>
      </c>
      <c r="D506" t="inlineStr">
        <is>
          <t>KALMAR LÄN</t>
        </is>
      </c>
      <c r="E506" t="inlineStr">
        <is>
          <t>VIMMERBY</t>
        </is>
      </c>
      <c r="G506" t="n">
        <v>2.3</v>
      </c>
      <c r="H506" t="n">
        <v>0</v>
      </c>
      <c r="I506" t="n">
        <v>0</v>
      </c>
      <c r="J506" t="n">
        <v>0</v>
      </c>
      <c r="K506" t="n">
        <v>0</v>
      </c>
      <c r="L506" t="n">
        <v>0</v>
      </c>
      <c r="M506" t="n">
        <v>0</v>
      </c>
      <c r="N506" t="n">
        <v>0</v>
      </c>
      <c r="O506" t="n">
        <v>0</v>
      </c>
      <c r="P506" t="n">
        <v>0</v>
      </c>
      <c r="Q506" t="n">
        <v>0</v>
      </c>
      <c r="R506" s="2" t="inlineStr"/>
    </row>
    <row r="507" ht="15" customHeight="1">
      <c r="A507" t="inlineStr">
        <is>
          <t>A 65564-2020</t>
        </is>
      </c>
      <c r="B507" s="1" t="n">
        <v>44172</v>
      </c>
      <c r="C507" s="1" t="n">
        <v>45364</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65956-2020</t>
        </is>
      </c>
      <c r="B508" s="1" t="n">
        <v>44175</v>
      </c>
      <c r="C508" s="1" t="n">
        <v>45364</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65952-2020</t>
        </is>
      </c>
      <c r="B509" s="1" t="n">
        <v>44175</v>
      </c>
      <c r="C509" s="1" t="n">
        <v>45364</v>
      </c>
      <c r="D509" t="inlineStr">
        <is>
          <t>KALMAR LÄN</t>
        </is>
      </c>
      <c r="E509" t="inlineStr">
        <is>
          <t>VIMMERBY</t>
        </is>
      </c>
      <c r="G509" t="n">
        <v>1.9</v>
      </c>
      <c r="H509" t="n">
        <v>0</v>
      </c>
      <c r="I509" t="n">
        <v>0</v>
      </c>
      <c r="J509" t="n">
        <v>0</v>
      </c>
      <c r="K509" t="n">
        <v>0</v>
      </c>
      <c r="L509" t="n">
        <v>0</v>
      </c>
      <c r="M509" t="n">
        <v>0</v>
      </c>
      <c r="N509" t="n">
        <v>0</v>
      </c>
      <c r="O509" t="n">
        <v>0</v>
      </c>
      <c r="P509" t="n">
        <v>0</v>
      </c>
      <c r="Q509" t="n">
        <v>0</v>
      </c>
      <c r="R509" s="2" t="inlineStr"/>
    </row>
    <row r="510" ht="15" customHeight="1">
      <c r="A510" t="inlineStr">
        <is>
          <t>A 65961-2020</t>
        </is>
      </c>
      <c r="B510" s="1" t="n">
        <v>44175</v>
      </c>
      <c r="C510" s="1" t="n">
        <v>45364</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65973-2020</t>
        </is>
      </c>
      <c r="B511" s="1" t="n">
        <v>44175</v>
      </c>
      <c r="C511" s="1" t="n">
        <v>45364</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66913-2020</t>
        </is>
      </c>
      <c r="B512" s="1" t="n">
        <v>44175</v>
      </c>
      <c r="C512" s="1" t="n">
        <v>45364</v>
      </c>
      <c r="D512" t="inlineStr">
        <is>
          <t>KALMAR LÄN</t>
        </is>
      </c>
      <c r="E512" t="inlineStr">
        <is>
          <t>VIMMERBY</t>
        </is>
      </c>
      <c r="G512" t="n">
        <v>5.6</v>
      </c>
      <c r="H512" t="n">
        <v>0</v>
      </c>
      <c r="I512" t="n">
        <v>0</v>
      </c>
      <c r="J512" t="n">
        <v>0</v>
      </c>
      <c r="K512" t="n">
        <v>0</v>
      </c>
      <c r="L512" t="n">
        <v>0</v>
      </c>
      <c r="M512" t="n">
        <v>0</v>
      </c>
      <c r="N512" t="n">
        <v>0</v>
      </c>
      <c r="O512" t="n">
        <v>0</v>
      </c>
      <c r="P512" t="n">
        <v>0</v>
      </c>
      <c r="Q512" t="n">
        <v>0</v>
      </c>
      <c r="R512" s="2" t="inlineStr"/>
    </row>
    <row r="513" ht="15" customHeight="1">
      <c r="A513" t="inlineStr">
        <is>
          <t>A 66295-2020</t>
        </is>
      </c>
      <c r="B513" s="1" t="n">
        <v>44176</v>
      </c>
      <c r="C513" s="1" t="n">
        <v>45364</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68744-2020</t>
        </is>
      </c>
      <c r="B514" s="1" t="n">
        <v>44186</v>
      </c>
      <c r="C514" s="1" t="n">
        <v>45364</v>
      </c>
      <c r="D514" t="inlineStr">
        <is>
          <t>KALMAR LÄN</t>
        </is>
      </c>
      <c r="E514" t="inlineStr">
        <is>
          <t>VIMMERBY</t>
        </is>
      </c>
      <c r="G514" t="n">
        <v>2.5</v>
      </c>
      <c r="H514" t="n">
        <v>0</v>
      </c>
      <c r="I514" t="n">
        <v>0</v>
      </c>
      <c r="J514" t="n">
        <v>0</v>
      </c>
      <c r="K514" t="n">
        <v>0</v>
      </c>
      <c r="L514" t="n">
        <v>0</v>
      </c>
      <c r="M514" t="n">
        <v>0</v>
      </c>
      <c r="N514" t="n">
        <v>0</v>
      </c>
      <c r="O514" t="n">
        <v>0</v>
      </c>
      <c r="P514" t="n">
        <v>0</v>
      </c>
      <c r="Q514" t="n">
        <v>0</v>
      </c>
      <c r="R514" s="2" t="inlineStr"/>
    </row>
    <row r="515" ht="15" customHeight="1">
      <c r="A515" t="inlineStr">
        <is>
          <t>A 68785-2020</t>
        </is>
      </c>
      <c r="B515" s="1" t="n">
        <v>44186</v>
      </c>
      <c r="C515" s="1" t="n">
        <v>45364</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618-2021</t>
        </is>
      </c>
      <c r="B516" s="1" t="n">
        <v>44203</v>
      </c>
      <c r="C516" s="1" t="n">
        <v>45364</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1929-2021</t>
        </is>
      </c>
      <c r="B517" s="1" t="n">
        <v>44210</v>
      </c>
      <c r="C517" s="1" t="n">
        <v>45364</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2555-2021</t>
        </is>
      </c>
      <c r="B518" s="1" t="n">
        <v>44214</v>
      </c>
      <c r="C518" s="1" t="n">
        <v>45364</v>
      </c>
      <c r="D518" t="inlineStr">
        <is>
          <t>KALMAR LÄN</t>
        </is>
      </c>
      <c r="E518" t="inlineStr">
        <is>
          <t>VIMMERBY</t>
        </is>
      </c>
      <c r="G518" t="n">
        <v>7.3</v>
      </c>
      <c r="H518" t="n">
        <v>0</v>
      </c>
      <c r="I518" t="n">
        <v>0</v>
      </c>
      <c r="J518" t="n">
        <v>0</v>
      </c>
      <c r="K518" t="n">
        <v>0</v>
      </c>
      <c r="L518" t="n">
        <v>0</v>
      </c>
      <c r="M518" t="n">
        <v>0</v>
      </c>
      <c r="N518" t="n">
        <v>0</v>
      </c>
      <c r="O518" t="n">
        <v>0</v>
      </c>
      <c r="P518" t="n">
        <v>0</v>
      </c>
      <c r="Q518" t="n">
        <v>0</v>
      </c>
      <c r="R518" s="2" t="inlineStr"/>
    </row>
    <row r="519" ht="15" customHeight="1">
      <c r="A519" t="inlineStr">
        <is>
          <t>A 2654-2021</t>
        </is>
      </c>
      <c r="B519" s="1" t="n">
        <v>44215</v>
      </c>
      <c r="C519" s="1" t="n">
        <v>45364</v>
      </c>
      <c r="D519" t="inlineStr">
        <is>
          <t>KALMAR LÄN</t>
        </is>
      </c>
      <c r="E519" t="inlineStr">
        <is>
          <t>VIMMERBY</t>
        </is>
      </c>
      <c r="G519" t="n">
        <v>1.2</v>
      </c>
      <c r="H519" t="n">
        <v>0</v>
      </c>
      <c r="I519" t="n">
        <v>0</v>
      </c>
      <c r="J519" t="n">
        <v>0</v>
      </c>
      <c r="K519" t="n">
        <v>0</v>
      </c>
      <c r="L519" t="n">
        <v>0</v>
      </c>
      <c r="M519" t="n">
        <v>0</v>
      </c>
      <c r="N519" t="n">
        <v>0</v>
      </c>
      <c r="O519" t="n">
        <v>0</v>
      </c>
      <c r="P519" t="n">
        <v>0</v>
      </c>
      <c r="Q519" t="n">
        <v>0</v>
      </c>
      <c r="R519" s="2" t="inlineStr"/>
    </row>
    <row r="520" ht="15" customHeight="1">
      <c r="A520" t="inlineStr">
        <is>
          <t>A 3330-2021</t>
        </is>
      </c>
      <c r="B520" s="1" t="n">
        <v>44217</v>
      </c>
      <c r="C520" s="1" t="n">
        <v>45364</v>
      </c>
      <c r="D520" t="inlineStr">
        <is>
          <t>KALMAR LÄN</t>
        </is>
      </c>
      <c r="E520" t="inlineStr">
        <is>
          <t>VIMMERBY</t>
        </is>
      </c>
      <c r="G520" t="n">
        <v>11.1</v>
      </c>
      <c r="H520" t="n">
        <v>0</v>
      </c>
      <c r="I520" t="n">
        <v>0</v>
      </c>
      <c r="J520" t="n">
        <v>0</v>
      </c>
      <c r="K520" t="n">
        <v>0</v>
      </c>
      <c r="L520" t="n">
        <v>0</v>
      </c>
      <c r="M520" t="n">
        <v>0</v>
      </c>
      <c r="N520" t="n">
        <v>0</v>
      </c>
      <c r="O520" t="n">
        <v>0</v>
      </c>
      <c r="P520" t="n">
        <v>0</v>
      </c>
      <c r="Q520" t="n">
        <v>0</v>
      </c>
      <c r="R520" s="2" t="inlineStr"/>
    </row>
    <row r="521" ht="15" customHeight="1">
      <c r="A521" t="inlineStr">
        <is>
          <t>A 3184-2021</t>
        </is>
      </c>
      <c r="B521" s="1" t="n">
        <v>44217</v>
      </c>
      <c r="C521" s="1" t="n">
        <v>45364</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3621-2021</t>
        </is>
      </c>
      <c r="B522" s="1" t="n">
        <v>44221</v>
      </c>
      <c r="C522" s="1" t="n">
        <v>45364</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4762-2021</t>
        </is>
      </c>
      <c r="B523" s="1" t="n">
        <v>44225</v>
      </c>
      <c r="C523" s="1" t="n">
        <v>45364</v>
      </c>
      <c r="D523" t="inlineStr">
        <is>
          <t>KALMAR LÄN</t>
        </is>
      </c>
      <c r="E523" t="inlineStr">
        <is>
          <t>VIMMERBY</t>
        </is>
      </c>
      <c r="G523" t="n">
        <v>5.3</v>
      </c>
      <c r="H523" t="n">
        <v>0</v>
      </c>
      <c r="I523" t="n">
        <v>0</v>
      </c>
      <c r="J523" t="n">
        <v>0</v>
      </c>
      <c r="K523" t="n">
        <v>0</v>
      </c>
      <c r="L523" t="n">
        <v>0</v>
      </c>
      <c r="M523" t="n">
        <v>0</v>
      </c>
      <c r="N523" t="n">
        <v>0</v>
      </c>
      <c r="O523" t="n">
        <v>0</v>
      </c>
      <c r="P523" t="n">
        <v>0</v>
      </c>
      <c r="Q523" t="n">
        <v>0</v>
      </c>
      <c r="R523" s="2" t="inlineStr"/>
    </row>
    <row r="524" ht="15" customHeight="1">
      <c r="A524" t="inlineStr">
        <is>
          <t>A 5689-2021</t>
        </is>
      </c>
      <c r="B524" s="1" t="n">
        <v>44230</v>
      </c>
      <c r="C524" s="1" t="n">
        <v>45364</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5654-2021</t>
        </is>
      </c>
      <c r="B525" s="1" t="n">
        <v>44230</v>
      </c>
      <c r="C525" s="1" t="n">
        <v>45364</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6841-2021</t>
        </is>
      </c>
      <c r="B526" s="1" t="n">
        <v>44236</v>
      </c>
      <c r="C526" s="1" t="n">
        <v>45364</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7072-2021</t>
        </is>
      </c>
      <c r="B527" s="1" t="n">
        <v>44237</v>
      </c>
      <c r="C527" s="1" t="n">
        <v>45364</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7075-2021</t>
        </is>
      </c>
      <c r="B528" s="1" t="n">
        <v>44237</v>
      </c>
      <c r="C528" s="1" t="n">
        <v>45364</v>
      </c>
      <c r="D528" t="inlineStr">
        <is>
          <t>KALMAR LÄN</t>
        </is>
      </c>
      <c r="E528" t="inlineStr">
        <is>
          <t>VIMMERBY</t>
        </is>
      </c>
      <c r="G528" t="n">
        <v>3.6</v>
      </c>
      <c r="H528" t="n">
        <v>0</v>
      </c>
      <c r="I528" t="n">
        <v>0</v>
      </c>
      <c r="J528" t="n">
        <v>0</v>
      </c>
      <c r="K528" t="n">
        <v>0</v>
      </c>
      <c r="L528" t="n">
        <v>0</v>
      </c>
      <c r="M528" t="n">
        <v>0</v>
      </c>
      <c r="N528" t="n">
        <v>0</v>
      </c>
      <c r="O528" t="n">
        <v>0</v>
      </c>
      <c r="P528" t="n">
        <v>0</v>
      </c>
      <c r="Q528" t="n">
        <v>0</v>
      </c>
      <c r="R528" s="2" t="inlineStr"/>
    </row>
    <row r="529" ht="15" customHeight="1">
      <c r="A529" t="inlineStr">
        <is>
          <t>A 7515-2021</t>
        </is>
      </c>
      <c r="B529" s="1" t="n">
        <v>44238</v>
      </c>
      <c r="C529" s="1" t="n">
        <v>45364</v>
      </c>
      <c r="D529" t="inlineStr">
        <is>
          <t>KALMAR LÄN</t>
        </is>
      </c>
      <c r="E529" t="inlineStr">
        <is>
          <t>VIMMERBY</t>
        </is>
      </c>
      <c r="G529" t="n">
        <v>20.9</v>
      </c>
      <c r="H529" t="n">
        <v>0</v>
      </c>
      <c r="I529" t="n">
        <v>0</v>
      </c>
      <c r="J529" t="n">
        <v>0</v>
      </c>
      <c r="K529" t="n">
        <v>0</v>
      </c>
      <c r="L529" t="n">
        <v>0</v>
      </c>
      <c r="M529" t="n">
        <v>0</v>
      </c>
      <c r="N529" t="n">
        <v>0</v>
      </c>
      <c r="O529" t="n">
        <v>0</v>
      </c>
      <c r="P529" t="n">
        <v>0</v>
      </c>
      <c r="Q529" t="n">
        <v>0</v>
      </c>
      <c r="R529" s="2" t="inlineStr"/>
    </row>
    <row r="530" ht="15" customHeight="1">
      <c r="A530" t="inlineStr">
        <is>
          <t>A 7828-2021</t>
        </is>
      </c>
      <c r="B530" s="1" t="n">
        <v>44242</v>
      </c>
      <c r="C530" s="1" t="n">
        <v>45364</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8121-2021</t>
        </is>
      </c>
      <c r="B531" s="1" t="n">
        <v>44243</v>
      </c>
      <c r="C531" s="1" t="n">
        <v>45364</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8086-2021</t>
        </is>
      </c>
      <c r="B532" s="1" t="n">
        <v>44243</v>
      </c>
      <c r="C532" s="1" t="n">
        <v>45364</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8415-2021</t>
        </is>
      </c>
      <c r="B533" s="1" t="n">
        <v>44245</v>
      </c>
      <c r="C533" s="1" t="n">
        <v>45364</v>
      </c>
      <c r="D533" t="inlineStr">
        <is>
          <t>KALMAR LÄN</t>
        </is>
      </c>
      <c r="E533" t="inlineStr">
        <is>
          <t>VIMMERBY</t>
        </is>
      </c>
      <c r="G533" t="n">
        <v>4.7</v>
      </c>
      <c r="H533" t="n">
        <v>0</v>
      </c>
      <c r="I533" t="n">
        <v>0</v>
      </c>
      <c r="J533" t="n">
        <v>0</v>
      </c>
      <c r="K533" t="n">
        <v>0</v>
      </c>
      <c r="L533" t="n">
        <v>0</v>
      </c>
      <c r="M533" t="n">
        <v>0</v>
      </c>
      <c r="N533" t="n">
        <v>0</v>
      </c>
      <c r="O533" t="n">
        <v>0</v>
      </c>
      <c r="P533" t="n">
        <v>0</v>
      </c>
      <c r="Q533" t="n">
        <v>0</v>
      </c>
      <c r="R533" s="2" t="inlineStr"/>
    </row>
    <row r="534" ht="15" customHeight="1">
      <c r="A534" t="inlineStr">
        <is>
          <t>A 9836-2021</t>
        </is>
      </c>
      <c r="B534" s="1" t="n">
        <v>44253</v>
      </c>
      <c r="C534" s="1" t="n">
        <v>45364</v>
      </c>
      <c r="D534" t="inlineStr">
        <is>
          <t>KALMAR LÄN</t>
        </is>
      </c>
      <c r="E534" t="inlineStr">
        <is>
          <t>VIMMERBY</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10674-2021</t>
        </is>
      </c>
      <c r="B535" s="1" t="n">
        <v>44258</v>
      </c>
      <c r="C535" s="1" t="n">
        <v>45364</v>
      </c>
      <c r="D535" t="inlineStr">
        <is>
          <t>KALMAR LÄN</t>
        </is>
      </c>
      <c r="E535" t="inlineStr">
        <is>
          <t>VIMMERBY</t>
        </is>
      </c>
      <c r="G535" t="n">
        <v>8.4</v>
      </c>
      <c r="H535" t="n">
        <v>0</v>
      </c>
      <c r="I535" t="n">
        <v>0</v>
      </c>
      <c r="J535" t="n">
        <v>0</v>
      </c>
      <c r="K535" t="n">
        <v>0</v>
      </c>
      <c r="L535" t="n">
        <v>0</v>
      </c>
      <c r="M535" t="n">
        <v>0</v>
      </c>
      <c r="N535" t="n">
        <v>0</v>
      </c>
      <c r="O535" t="n">
        <v>0</v>
      </c>
      <c r="P535" t="n">
        <v>0</v>
      </c>
      <c r="Q535" t="n">
        <v>0</v>
      </c>
      <c r="R535" s="2" t="inlineStr"/>
    </row>
    <row r="536" ht="15" customHeight="1">
      <c r="A536" t="inlineStr">
        <is>
          <t>A 10518-2021</t>
        </is>
      </c>
      <c r="B536" s="1" t="n">
        <v>44258</v>
      </c>
      <c r="C536" s="1" t="n">
        <v>45364</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10744-2021</t>
        </is>
      </c>
      <c r="B537" s="1" t="n">
        <v>44259</v>
      </c>
      <c r="C537" s="1" t="n">
        <v>45364</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10928-2021</t>
        </is>
      </c>
      <c r="B538" s="1" t="n">
        <v>44259</v>
      </c>
      <c r="C538" s="1" t="n">
        <v>45364</v>
      </c>
      <c r="D538" t="inlineStr">
        <is>
          <t>KALMAR LÄN</t>
        </is>
      </c>
      <c r="E538" t="inlineStr">
        <is>
          <t>VIMMERBY</t>
        </is>
      </c>
      <c r="G538" t="n">
        <v>2.5</v>
      </c>
      <c r="H538" t="n">
        <v>0</v>
      </c>
      <c r="I538" t="n">
        <v>0</v>
      </c>
      <c r="J538" t="n">
        <v>0</v>
      </c>
      <c r="K538" t="n">
        <v>0</v>
      </c>
      <c r="L538" t="n">
        <v>0</v>
      </c>
      <c r="M538" t="n">
        <v>0</v>
      </c>
      <c r="N538" t="n">
        <v>0</v>
      </c>
      <c r="O538" t="n">
        <v>0</v>
      </c>
      <c r="P538" t="n">
        <v>0</v>
      </c>
      <c r="Q538" t="n">
        <v>0</v>
      </c>
      <c r="R538" s="2" t="inlineStr"/>
    </row>
    <row r="539" ht="15" customHeight="1">
      <c r="A539" t="inlineStr">
        <is>
          <t>A 11011-2021</t>
        </is>
      </c>
      <c r="B539" s="1" t="n">
        <v>44260</v>
      </c>
      <c r="C539" s="1" t="n">
        <v>45364</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12241-2021</t>
        </is>
      </c>
      <c r="B540" s="1" t="n">
        <v>44266</v>
      </c>
      <c r="C540" s="1" t="n">
        <v>45364</v>
      </c>
      <c r="D540" t="inlineStr">
        <is>
          <t>KALMAR LÄN</t>
        </is>
      </c>
      <c r="E540" t="inlineStr">
        <is>
          <t>VIMMERBY</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12465-2021</t>
        </is>
      </c>
      <c r="B541" s="1" t="n">
        <v>44267</v>
      </c>
      <c r="C541" s="1" t="n">
        <v>45364</v>
      </c>
      <c r="D541" t="inlineStr">
        <is>
          <t>KALMAR LÄN</t>
        </is>
      </c>
      <c r="E541" t="inlineStr">
        <is>
          <t>VIMMERBY</t>
        </is>
      </c>
      <c r="F541" t="inlineStr">
        <is>
          <t>Sveaskog</t>
        </is>
      </c>
      <c r="G541" t="n">
        <v>3.7</v>
      </c>
      <c r="H541" t="n">
        <v>0</v>
      </c>
      <c r="I541" t="n">
        <v>0</v>
      </c>
      <c r="J541" t="n">
        <v>0</v>
      </c>
      <c r="K541" t="n">
        <v>0</v>
      </c>
      <c r="L541" t="n">
        <v>0</v>
      </c>
      <c r="M541" t="n">
        <v>0</v>
      </c>
      <c r="N541" t="n">
        <v>0</v>
      </c>
      <c r="O541" t="n">
        <v>0</v>
      </c>
      <c r="P541" t="n">
        <v>0</v>
      </c>
      <c r="Q541" t="n">
        <v>0</v>
      </c>
      <c r="R541" s="2" t="inlineStr"/>
    </row>
    <row r="542" ht="15" customHeight="1">
      <c r="A542" t="inlineStr">
        <is>
          <t>A 12467-2021</t>
        </is>
      </c>
      <c r="B542" s="1" t="n">
        <v>44267</v>
      </c>
      <c r="C542" s="1" t="n">
        <v>45364</v>
      </c>
      <c r="D542" t="inlineStr">
        <is>
          <t>KALMAR LÄN</t>
        </is>
      </c>
      <c r="E542" t="inlineStr">
        <is>
          <t>VIMMERBY</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12586-2021</t>
        </is>
      </c>
      <c r="B543" s="1" t="n">
        <v>44270</v>
      </c>
      <c r="C543" s="1" t="n">
        <v>45364</v>
      </c>
      <c r="D543" t="inlineStr">
        <is>
          <t>KALMAR LÄN</t>
        </is>
      </c>
      <c r="E543" t="inlineStr">
        <is>
          <t>VIMMERBY</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12661-2021</t>
        </is>
      </c>
      <c r="B544" s="1" t="n">
        <v>44270</v>
      </c>
      <c r="C544" s="1" t="n">
        <v>45364</v>
      </c>
      <c r="D544" t="inlineStr">
        <is>
          <t>KALMAR LÄN</t>
        </is>
      </c>
      <c r="E544" t="inlineStr">
        <is>
          <t>VIMMERBY</t>
        </is>
      </c>
      <c r="G544" t="n">
        <v>1.8</v>
      </c>
      <c r="H544" t="n">
        <v>0</v>
      </c>
      <c r="I544" t="n">
        <v>0</v>
      </c>
      <c r="J544" t="n">
        <v>0</v>
      </c>
      <c r="K544" t="n">
        <v>0</v>
      </c>
      <c r="L544" t="n">
        <v>0</v>
      </c>
      <c r="M544" t="n">
        <v>0</v>
      </c>
      <c r="N544" t="n">
        <v>0</v>
      </c>
      <c r="O544" t="n">
        <v>0</v>
      </c>
      <c r="P544" t="n">
        <v>0</v>
      </c>
      <c r="Q544" t="n">
        <v>0</v>
      </c>
      <c r="R544" s="2" t="inlineStr"/>
    </row>
    <row r="545" ht="15" customHeight="1">
      <c r="A545" t="inlineStr">
        <is>
          <t>A 12757-2021</t>
        </is>
      </c>
      <c r="B545" s="1" t="n">
        <v>44270</v>
      </c>
      <c r="C545" s="1" t="n">
        <v>45364</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12585-2021</t>
        </is>
      </c>
      <c r="B546" s="1" t="n">
        <v>44270</v>
      </c>
      <c r="C546" s="1" t="n">
        <v>45364</v>
      </c>
      <c r="D546" t="inlineStr">
        <is>
          <t>KALMAR LÄN</t>
        </is>
      </c>
      <c r="E546" t="inlineStr">
        <is>
          <t>VIMMERBY</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12597-2021</t>
        </is>
      </c>
      <c r="B547" s="1" t="n">
        <v>44270</v>
      </c>
      <c r="C547" s="1" t="n">
        <v>45364</v>
      </c>
      <c r="D547" t="inlineStr">
        <is>
          <t>KALMAR LÄN</t>
        </is>
      </c>
      <c r="E547" t="inlineStr">
        <is>
          <t>VIMMERBY</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12582-2021</t>
        </is>
      </c>
      <c r="B548" s="1" t="n">
        <v>44270</v>
      </c>
      <c r="C548" s="1" t="n">
        <v>45364</v>
      </c>
      <c r="D548" t="inlineStr">
        <is>
          <t>KALMAR LÄN</t>
        </is>
      </c>
      <c r="E548" t="inlineStr">
        <is>
          <t>VIMMERBY</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12596-2021</t>
        </is>
      </c>
      <c r="B549" s="1" t="n">
        <v>44270</v>
      </c>
      <c r="C549" s="1" t="n">
        <v>45364</v>
      </c>
      <c r="D549" t="inlineStr">
        <is>
          <t>KALMAR LÄN</t>
        </is>
      </c>
      <c r="E549" t="inlineStr">
        <is>
          <t>VIMMERBY</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12587-2021</t>
        </is>
      </c>
      <c r="B550" s="1" t="n">
        <v>44270</v>
      </c>
      <c r="C550" s="1" t="n">
        <v>45364</v>
      </c>
      <c r="D550" t="inlineStr">
        <is>
          <t>KALMAR LÄN</t>
        </is>
      </c>
      <c r="E550" t="inlineStr">
        <is>
          <t>VIMMERBY</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12595-2021</t>
        </is>
      </c>
      <c r="B551" s="1" t="n">
        <v>44270</v>
      </c>
      <c r="C551" s="1" t="n">
        <v>45364</v>
      </c>
      <c r="D551" t="inlineStr">
        <is>
          <t>KALMAR LÄN</t>
        </is>
      </c>
      <c r="E551" t="inlineStr">
        <is>
          <t>VIMMERBY</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12662-2021</t>
        </is>
      </c>
      <c r="B552" s="1" t="n">
        <v>44270</v>
      </c>
      <c r="C552" s="1" t="n">
        <v>45364</v>
      </c>
      <c r="D552" t="inlineStr">
        <is>
          <t>KALMAR LÄN</t>
        </is>
      </c>
      <c r="E552" t="inlineStr">
        <is>
          <t>VIMMERBY</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12848-2021</t>
        </is>
      </c>
      <c r="B553" s="1" t="n">
        <v>44271</v>
      </c>
      <c r="C553" s="1" t="n">
        <v>45364</v>
      </c>
      <c r="D553" t="inlineStr">
        <is>
          <t>KALMAR LÄN</t>
        </is>
      </c>
      <c r="E553" t="inlineStr">
        <is>
          <t>VIMMERBY</t>
        </is>
      </c>
      <c r="G553" t="n">
        <v>0.5</v>
      </c>
      <c r="H553" t="n">
        <v>0</v>
      </c>
      <c r="I553" t="n">
        <v>0</v>
      </c>
      <c r="J553" t="n">
        <v>0</v>
      </c>
      <c r="K553" t="n">
        <v>0</v>
      </c>
      <c r="L553" t="n">
        <v>0</v>
      </c>
      <c r="M553" t="n">
        <v>0</v>
      </c>
      <c r="N553" t="n">
        <v>0</v>
      </c>
      <c r="O553" t="n">
        <v>0</v>
      </c>
      <c r="P553" t="n">
        <v>0</v>
      </c>
      <c r="Q553" t="n">
        <v>0</v>
      </c>
      <c r="R553" s="2" t="inlineStr"/>
    </row>
    <row r="554" ht="15" customHeight="1">
      <c r="A554" t="inlineStr">
        <is>
          <t>A 13457-2021</t>
        </is>
      </c>
      <c r="B554" s="1" t="n">
        <v>44273</v>
      </c>
      <c r="C554" s="1" t="n">
        <v>45364</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13492-2021</t>
        </is>
      </c>
      <c r="B555" s="1" t="n">
        <v>44273</v>
      </c>
      <c r="C555" s="1" t="n">
        <v>45364</v>
      </c>
      <c r="D555" t="inlineStr">
        <is>
          <t>KALMAR LÄN</t>
        </is>
      </c>
      <c r="E555" t="inlineStr">
        <is>
          <t>VIMMERBY</t>
        </is>
      </c>
      <c r="G555" t="n">
        <v>3.1</v>
      </c>
      <c r="H555" t="n">
        <v>0</v>
      </c>
      <c r="I555" t="n">
        <v>0</v>
      </c>
      <c r="J555" t="n">
        <v>0</v>
      </c>
      <c r="K555" t="n">
        <v>0</v>
      </c>
      <c r="L555" t="n">
        <v>0</v>
      </c>
      <c r="M555" t="n">
        <v>0</v>
      </c>
      <c r="N555" t="n">
        <v>0</v>
      </c>
      <c r="O555" t="n">
        <v>0</v>
      </c>
      <c r="P555" t="n">
        <v>0</v>
      </c>
      <c r="Q555" t="n">
        <v>0</v>
      </c>
      <c r="R555" s="2" t="inlineStr"/>
    </row>
    <row r="556" ht="15" customHeight="1">
      <c r="A556" t="inlineStr">
        <is>
          <t>A 14220-2021</t>
        </is>
      </c>
      <c r="B556" s="1" t="n">
        <v>44278</v>
      </c>
      <c r="C556" s="1" t="n">
        <v>45364</v>
      </c>
      <c r="D556" t="inlineStr">
        <is>
          <t>KALMAR LÄN</t>
        </is>
      </c>
      <c r="E556" t="inlineStr">
        <is>
          <t>VIMMERBY</t>
        </is>
      </c>
      <c r="G556" t="n">
        <v>0.3</v>
      </c>
      <c r="H556" t="n">
        <v>0</v>
      </c>
      <c r="I556" t="n">
        <v>0</v>
      </c>
      <c r="J556" t="n">
        <v>0</v>
      </c>
      <c r="K556" t="n">
        <v>0</v>
      </c>
      <c r="L556" t="n">
        <v>0</v>
      </c>
      <c r="M556" t="n">
        <v>0</v>
      </c>
      <c r="N556" t="n">
        <v>0</v>
      </c>
      <c r="O556" t="n">
        <v>0</v>
      </c>
      <c r="P556" t="n">
        <v>0</v>
      </c>
      <c r="Q556" t="n">
        <v>0</v>
      </c>
      <c r="R556" s="2" t="inlineStr"/>
    </row>
    <row r="557" ht="15" customHeight="1">
      <c r="A557" t="inlineStr">
        <is>
          <t>A 14278-2021</t>
        </is>
      </c>
      <c r="B557" s="1" t="n">
        <v>44278</v>
      </c>
      <c r="C557" s="1" t="n">
        <v>45364</v>
      </c>
      <c r="D557" t="inlineStr">
        <is>
          <t>KALMAR LÄN</t>
        </is>
      </c>
      <c r="E557" t="inlineStr">
        <is>
          <t>VIMMERBY</t>
        </is>
      </c>
      <c r="F557" t="inlineStr">
        <is>
          <t>Övriga statliga verk och myndigheter</t>
        </is>
      </c>
      <c r="G557" t="n">
        <v>0.8</v>
      </c>
      <c r="H557" t="n">
        <v>0</v>
      </c>
      <c r="I557" t="n">
        <v>0</v>
      </c>
      <c r="J557" t="n">
        <v>0</v>
      </c>
      <c r="K557" t="n">
        <v>0</v>
      </c>
      <c r="L557" t="n">
        <v>0</v>
      </c>
      <c r="M557" t="n">
        <v>0</v>
      </c>
      <c r="N557" t="n">
        <v>0</v>
      </c>
      <c r="O557" t="n">
        <v>0</v>
      </c>
      <c r="P557" t="n">
        <v>0</v>
      </c>
      <c r="Q557" t="n">
        <v>0</v>
      </c>
      <c r="R557" s="2" t="inlineStr"/>
    </row>
    <row r="558" ht="15" customHeight="1">
      <c r="A558" t="inlineStr">
        <is>
          <t>A 14347-2021</t>
        </is>
      </c>
      <c r="B558" s="1" t="n">
        <v>44279</v>
      </c>
      <c r="C558" s="1" t="n">
        <v>45364</v>
      </c>
      <c r="D558" t="inlineStr">
        <is>
          <t>KALMAR LÄN</t>
        </is>
      </c>
      <c r="E558" t="inlineStr">
        <is>
          <t>VIMMERBY</t>
        </is>
      </c>
      <c r="G558" t="n">
        <v>6.4</v>
      </c>
      <c r="H558" t="n">
        <v>0</v>
      </c>
      <c r="I558" t="n">
        <v>0</v>
      </c>
      <c r="J558" t="n">
        <v>0</v>
      </c>
      <c r="K558" t="n">
        <v>0</v>
      </c>
      <c r="L558" t="n">
        <v>0</v>
      </c>
      <c r="M558" t="n">
        <v>0</v>
      </c>
      <c r="N558" t="n">
        <v>0</v>
      </c>
      <c r="O558" t="n">
        <v>0</v>
      </c>
      <c r="P558" t="n">
        <v>0</v>
      </c>
      <c r="Q558" t="n">
        <v>0</v>
      </c>
      <c r="R558" s="2" t="inlineStr"/>
    </row>
    <row r="559" ht="15" customHeight="1">
      <c r="A559" t="inlineStr">
        <is>
          <t>A 14451-2021</t>
        </is>
      </c>
      <c r="B559" s="1" t="n">
        <v>44279</v>
      </c>
      <c r="C559" s="1" t="n">
        <v>45364</v>
      </c>
      <c r="D559" t="inlineStr">
        <is>
          <t>KALMAR LÄN</t>
        </is>
      </c>
      <c r="E559" t="inlineStr">
        <is>
          <t>VIMMERBY</t>
        </is>
      </c>
      <c r="F559" t="inlineStr">
        <is>
          <t>Sveaskog</t>
        </is>
      </c>
      <c r="G559" t="n">
        <v>9.4</v>
      </c>
      <c r="H559" t="n">
        <v>0</v>
      </c>
      <c r="I559" t="n">
        <v>0</v>
      </c>
      <c r="J559" t="n">
        <v>0</v>
      </c>
      <c r="K559" t="n">
        <v>0</v>
      </c>
      <c r="L559" t="n">
        <v>0</v>
      </c>
      <c r="M559" t="n">
        <v>0</v>
      </c>
      <c r="N559" t="n">
        <v>0</v>
      </c>
      <c r="O559" t="n">
        <v>0</v>
      </c>
      <c r="P559" t="n">
        <v>0</v>
      </c>
      <c r="Q559" t="n">
        <v>0</v>
      </c>
      <c r="R559" s="2" t="inlineStr"/>
    </row>
    <row r="560" ht="15" customHeight="1">
      <c r="A560" t="inlineStr">
        <is>
          <t>A 14521-2021</t>
        </is>
      </c>
      <c r="B560" s="1" t="n">
        <v>44279</v>
      </c>
      <c r="C560" s="1" t="n">
        <v>45364</v>
      </c>
      <c r="D560" t="inlineStr">
        <is>
          <t>KALMAR LÄN</t>
        </is>
      </c>
      <c r="E560" t="inlineStr">
        <is>
          <t>VIMMERBY</t>
        </is>
      </c>
      <c r="F560" t="inlineStr">
        <is>
          <t>Sveaskog</t>
        </is>
      </c>
      <c r="G560" t="n">
        <v>1.8</v>
      </c>
      <c r="H560" t="n">
        <v>0</v>
      </c>
      <c r="I560" t="n">
        <v>0</v>
      </c>
      <c r="J560" t="n">
        <v>0</v>
      </c>
      <c r="K560" t="n">
        <v>0</v>
      </c>
      <c r="L560" t="n">
        <v>0</v>
      </c>
      <c r="M560" t="n">
        <v>0</v>
      </c>
      <c r="N560" t="n">
        <v>0</v>
      </c>
      <c r="O560" t="n">
        <v>0</v>
      </c>
      <c r="P560" t="n">
        <v>0</v>
      </c>
      <c r="Q560" t="n">
        <v>0</v>
      </c>
      <c r="R560" s="2" t="inlineStr"/>
    </row>
    <row r="561" ht="15" customHeight="1">
      <c r="A561" t="inlineStr">
        <is>
          <t>A 15092-2021</t>
        </is>
      </c>
      <c r="B561" s="1" t="n">
        <v>44281</v>
      </c>
      <c r="C561" s="1" t="n">
        <v>45364</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15188-2021</t>
        </is>
      </c>
      <c r="B562" s="1" t="n">
        <v>44284</v>
      </c>
      <c r="C562" s="1" t="n">
        <v>45364</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15191-2021</t>
        </is>
      </c>
      <c r="B563" s="1" t="n">
        <v>44284</v>
      </c>
      <c r="C563" s="1" t="n">
        <v>45364</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15200-2021</t>
        </is>
      </c>
      <c r="B564" s="1" t="n">
        <v>44284</v>
      </c>
      <c r="C564" s="1" t="n">
        <v>45364</v>
      </c>
      <c r="D564" t="inlineStr">
        <is>
          <t>KALMAR LÄN</t>
        </is>
      </c>
      <c r="E564" t="inlineStr">
        <is>
          <t>VIMMERBY</t>
        </is>
      </c>
      <c r="G564" t="n">
        <v>1.2</v>
      </c>
      <c r="H564" t="n">
        <v>0</v>
      </c>
      <c r="I564" t="n">
        <v>0</v>
      </c>
      <c r="J564" t="n">
        <v>0</v>
      </c>
      <c r="K564" t="n">
        <v>0</v>
      </c>
      <c r="L564" t="n">
        <v>0</v>
      </c>
      <c r="M564" t="n">
        <v>0</v>
      </c>
      <c r="N564" t="n">
        <v>0</v>
      </c>
      <c r="O564" t="n">
        <v>0</v>
      </c>
      <c r="P564" t="n">
        <v>0</v>
      </c>
      <c r="Q564" t="n">
        <v>0</v>
      </c>
      <c r="R564" s="2" t="inlineStr"/>
    </row>
    <row r="565" ht="15" customHeight="1">
      <c r="A565" t="inlineStr">
        <is>
          <t>A 15903-2021</t>
        </is>
      </c>
      <c r="B565" s="1" t="n">
        <v>44287</v>
      </c>
      <c r="C565" s="1" t="n">
        <v>45364</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16288-2021</t>
        </is>
      </c>
      <c r="B566" s="1" t="n">
        <v>44292</v>
      </c>
      <c r="C566" s="1" t="n">
        <v>45364</v>
      </c>
      <c r="D566" t="inlineStr">
        <is>
          <t>KALMAR LÄN</t>
        </is>
      </c>
      <c r="E566" t="inlineStr">
        <is>
          <t>VIMMERBY</t>
        </is>
      </c>
      <c r="F566" t="inlineStr">
        <is>
          <t>Övriga Aktiebolag</t>
        </is>
      </c>
      <c r="G566" t="n">
        <v>27.6</v>
      </c>
      <c r="H566" t="n">
        <v>0</v>
      </c>
      <c r="I566" t="n">
        <v>0</v>
      </c>
      <c r="J566" t="n">
        <v>0</v>
      </c>
      <c r="K566" t="n">
        <v>0</v>
      </c>
      <c r="L566" t="n">
        <v>0</v>
      </c>
      <c r="M566" t="n">
        <v>0</v>
      </c>
      <c r="N566" t="n">
        <v>0</v>
      </c>
      <c r="O566" t="n">
        <v>0</v>
      </c>
      <c r="P566" t="n">
        <v>0</v>
      </c>
      <c r="Q566" t="n">
        <v>0</v>
      </c>
      <c r="R566" s="2" t="inlineStr"/>
    </row>
    <row r="567" ht="15" customHeight="1">
      <c r="A567" t="inlineStr">
        <is>
          <t>A 16602-2021</t>
        </is>
      </c>
      <c r="B567" s="1" t="n">
        <v>44294</v>
      </c>
      <c r="C567" s="1" t="n">
        <v>45364</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16607-2021</t>
        </is>
      </c>
      <c r="B568" s="1" t="n">
        <v>44294</v>
      </c>
      <c r="C568" s="1" t="n">
        <v>45364</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17869-2021</t>
        </is>
      </c>
      <c r="B569" s="1" t="n">
        <v>44301</v>
      </c>
      <c r="C569" s="1" t="n">
        <v>45364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18411-2021</t>
        </is>
      </c>
      <c r="B570" s="1" t="n">
        <v>44302</v>
      </c>
      <c r="C570" s="1" t="n">
        <v>45364</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18276-2021</t>
        </is>
      </c>
      <c r="B571" s="1" t="n">
        <v>44305</v>
      </c>
      <c r="C571" s="1" t="n">
        <v>45364</v>
      </c>
      <c r="D571" t="inlineStr">
        <is>
          <t>KALMAR LÄN</t>
        </is>
      </c>
      <c r="E571" t="inlineStr">
        <is>
          <t>VIMMERBY</t>
        </is>
      </c>
      <c r="G571" t="n">
        <v>0.9</v>
      </c>
      <c r="H571" t="n">
        <v>0</v>
      </c>
      <c r="I571" t="n">
        <v>0</v>
      </c>
      <c r="J571" t="n">
        <v>0</v>
      </c>
      <c r="K571" t="n">
        <v>0</v>
      </c>
      <c r="L571" t="n">
        <v>0</v>
      </c>
      <c r="M571" t="n">
        <v>0</v>
      </c>
      <c r="N571" t="n">
        <v>0</v>
      </c>
      <c r="O571" t="n">
        <v>0</v>
      </c>
      <c r="P571" t="n">
        <v>0</v>
      </c>
      <c r="Q571" t="n">
        <v>0</v>
      </c>
      <c r="R571" s="2" t="inlineStr"/>
    </row>
    <row r="572" ht="15" customHeight="1">
      <c r="A572" t="inlineStr">
        <is>
          <t>A 18356-2021</t>
        </is>
      </c>
      <c r="B572" s="1" t="n">
        <v>44305</v>
      </c>
      <c r="C572" s="1" t="n">
        <v>45364</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18756-2021</t>
        </is>
      </c>
      <c r="B573" s="1" t="n">
        <v>44307</v>
      </c>
      <c r="C573" s="1" t="n">
        <v>45364</v>
      </c>
      <c r="D573" t="inlineStr">
        <is>
          <t>KALMAR LÄN</t>
        </is>
      </c>
      <c r="E573" t="inlineStr">
        <is>
          <t>VIMMERBY</t>
        </is>
      </c>
      <c r="G573" t="n">
        <v>7.4</v>
      </c>
      <c r="H573" t="n">
        <v>0</v>
      </c>
      <c r="I573" t="n">
        <v>0</v>
      </c>
      <c r="J573" t="n">
        <v>0</v>
      </c>
      <c r="K573" t="n">
        <v>0</v>
      </c>
      <c r="L573" t="n">
        <v>0</v>
      </c>
      <c r="M573" t="n">
        <v>0</v>
      </c>
      <c r="N573" t="n">
        <v>0</v>
      </c>
      <c r="O573" t="n">
        <v>0</v>
      </c>
      <c r="P573" t="n">
        <v>0</v>
      </c>
      <c r="Q573" t="n">
        <v>0</v>
      </c>
      <c r="R573" s="2" t="inlineStr"/>
    </row>
    <row r="574" ht="15" customHeight="1">
      <c r="A574" t="inlineStr">
        <is>
          <t>A 19445-2021</t>
        </is>
      </c>
      <c r="B574" s="1" t="n">
        <v>44310</v>
      </c>
      <c r="C574" s="1" t="n">
        <v>45364</v>
      </c>
      <c r="D574" t="inlineStr">
        <is>
          <t>KALMAR LÄN</t>
        </is>
      </c>
      <c r="E574" t="inlineStr">
        <is>
          <t>VIMMERBY</t>
        </is>
      </c>
      <c r="G574" t="n">
        <v>6.8</v>
      </c>
      <c r="H574" t="n">
        <v>0</v>
      </c>
      <c r="I574" t="n">
        <v>0</v>
      </c>
      <c r="J574" t="n">
        <v>0</v>
      </c>
      <c r="K574" t="n">
        <v>0</v>
      </c>
      <c r="L574" t="n">
        <v>0</v>
      </c>
      <c r="M574" t="n">
        <v>0</v>
      </c>
      <c r="N574" t="n">
        <v>0</v>
      </c>
      <c r="O574" t="n">
        <v>0</v>
      </c>
      <c r="P574" t="n">
        <v>0</v>
      </c>
      <c r="Q574" t="n">
        <v>0</v>
      </c>
      <c r="R574" s="2" t="inlineStr"/>
    </row>
    <row r="575" ht="15" customHeight="1">
      <c r="A575" t="inlineStr">
        <is>
          <t>A 19863-2021</t>
        </is>
      </c>
      <c r="B575" s="1" t="n">
        <v>44312</v>
      </c>
      <c r="C575" s="1" t="n">
        <v>45364</v>
      </c>
      <c r="D575" t="inlineStr">
        <is>
          <t>KALMAR LÄN</t>
        </is>
      </c>
      <c r="E575" t="inlineStr">
        <is>
          <t>VIMMERBY</t>
        </is>
      </c>
      <c r="G575" t="n">
        <v>3.7</v>
      </c>
      <c r="H575" t="n">
        <v>0</v>
      </c>
      <c r="I575" t="n">
        <v>0</v>
      </c>
      <c r="J575" t="n">
        <v>0</v>
      </c>
      <c r="K575" t="n">
        <v>0</v>
      </c>
      <c r="L575" t="n">
        <v>0</v>
      </c>
      <c r="M575" t="n">
        <v>0</v>
      </c>
      <c r="N575" t="n">
        <v>0</v>
      </c>
      <c r="O575" t="n">
        <v>0</v>
      </c>
      <c r="P575" t="n">
        <v>0</v>
      </c>
      <c r="Q575" t="n">
        <v>0</v>
      </c>
      <c r="R575" s="2" t="inlineStr"/>
    </row>
    <row r="576" ht="15" customHeight="1">
      <c r="A576" t="inlineStr">
        <is>
          <t>A 19865-2021</t>
        </is>
      </c>
      <c r="B576" s="1" t="n">
        <v>44312</v>
      </c>
      <c r="C576" s="1" t="n">
        <v>45364</v>
      </c>
      <c r="D576" t="inlineStr">
        <is>
          <t>KALMAR LÄN</t>
        </is>
      </c>
      <c r="E576" t="inlineStr">
        <is>
          <t>VIMMERBY</t>
        </is>
      </c>
      <c r="G576" t="n">
        <v>8.6</v>
      </c>
      <c r="H576" t="n">
        <v>0</v>
      </c>
      <c r="I576" t="n">
        <v>0</v>
      </c>
      <c r="J576" t="n">
        <v>0</v>
      </c>
      <c r="K576" t="n">
        <v>0</v>
      </c>
      <c r="L576" t="n">
        <v>0</v>
      </c>
      <c r="M576" t="n">
        <v>0</v>
      </c>
      <c r="N576" t="n">
        <v>0</v>
      </c>
      <c r="O576" t="n">
        <v>0</v>
      </c>
      <c r="P576" t="n">
        <v>0</v>
      </c>
      <c r="Q576" t="n">
        <v>0</v>
      </c>
      <c r="R576" s="2" t="inlineStr"/>
    </row>
    <row r="577" ht="15" customHeight="1">
      <c r="A577" t="inlineStr">
        <is>
          <t>A 22637-2021</t>
        </is>
      </c>
      <c r="B577" s="1" t="n">
        <v>44327</v>
      </c>
      <c r="C577" s="1" t="n">
        <v>45364</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24369-2021</t>
        </is>
      </c>
      <c r="B578" s="1" t="n">
        <v>44337</v>
      </c>
      <c r="C578" s="1" t="n">
        <v>45364</v>
      </c>
      <c r="D578" t="inlineStr">
        <is>
          <t>KALMAR LÄN</t>
        </is>
      </c>
      <c r="E578" t="inlineStr">
        <is>
          <t>VIMMERBY</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24655-2021</t>
        </is>
      </c>
      <c r="B579" s="1" t="n">
        <v>44340</v>
      </c>
      <c r="C579" s="1" t="n">
        <v>45364</v>
      </c>
      <c r="D579" t="inlineStr">
        <is>
          <t>KALMAR LÄN</t>
        </is>
      </c>
      <c r="E579" t="inlineStr">
        <is>
          <t>VIMMERBY</t>
        </is>
      </c>
      <c r="G579" t="n">
        <v>14.9</v>
      </c>
      <c r="H579" t="n">
        <v>0</v>
      </c>
      <c r="I579" t="n">
        <v>0</v>
      </c>
      <c r="J579" t="n">
        <v>0</v>
      </c>
      <c r="K579" t="n">
        <v>0</v>
      </c>
      <c r="L579" t="n">
        <v>0</v>
      </c>
      <c r="M579" t="n">
        <v>0</v>
      </c>
      <c r="N579" t="n">
        <v>0</v>
      </c>
      <c r="O579" t="n">
        <v>0</v>
      </c>
      <c r="P579" t="n">
        <v>0</v>
      </c>
      <c r="Q579" t="n">
        <v>0</v>
      </c>
      <c r="R579" s="2" t="inlineStr"/>
    </row>
    <row r="580" ht="15" customHeight="1">
      <c r="A580" t="inlineStr">
        <is>
          <t>A 24752-2021</t>
        </is>
      </c>
      <c r="B580" s="1" t="n">
        <v>44340</v>
      </c>
      <c r="C580" s="1" t="n">
        <v>45364</v>
      </c>
      <c r="D580" t="inlineStr">
        <is>
          <t>KALMAR LÄN</t>
        </is>
      </c>
      <c r="E580" t="inlineStr">
        <is>
          <t>VIMMERBY</t>
        </is>
      </c>
      <c r="G580" t="n">
        <v>4.1</v>
      </c>
      <c r="H580" t="n">
        <v>0</v>
      </c>
      <c r="I580" t="n">
        <v>0</v>
      </c>
      <c r="J580" t="n">
        <v>0</v>
      </c>
      <c r="K580" t="n">
        <v>0</v>
      </c>
      <c r="L580" t="n">
        <v>0</v>
      </c>
      <c r="M580" t="n">
        <v>0</v>
      </c>
      <c r="N580" t="n">
        <v>0</v>
      </c>
      <c r="O580" t="n">
        <v>0</v>
      </c>
      <c r="P580" t="n">
        <v>0</v>
      </c>
      <c r="Q580" t="n">
        <v>0</v>
      </c>
      <c r="R580" s="2" t="inlineStr"/>
    </row>
    <row r="581" ht="15" customHeight="1">
      <c r="A581" t="inlineStr">
        <is>
          <t>A 24738-2021</t>
        </is>
      </c>
      <c r="B581" s="1" t="n">
        <v>44340</v>
      </c>
      <c r="C581" s="1" t="n">
        <v>45364</v>
      </c>
      <c r="D581" t="inlineStr">
        <is>
          <t>KALMAR LÄN</t>
        </is>
      </c>
      <c r="E581" t="inlineStr">
        <is>
          <t>VIMMERBY</t>
        </is>
      </c>
      <c r="G581" t="n">
        <v>3.5</v>
      </c>
      <c r="H581" t="n">
        <v>0</v>
      </c>
      <c r="I581" t="n">
        <v>0</v>
      </c>
      <c r="J581" t="n">
        <v>0</v>
      </c>
      <c r="K581" t="n">
        <v>0</v>
      </c>
      <c r="L581" t="n">
        <v>0</v>
      </c>
      <c r="M581" t="n">
        <v>0</v>
      </c>
      <c r="N581" t="n">
        <v>0</v>
      </c>
      <c r="O581" t="n">
        <v>0</v>
      </c>
      <c r="P581" t="n">
        <v>0</v>
      </c>
      <c r="Q581" t="n">
        <v>0</v>
      </c>
      <c r="R581" s="2" t="inlineStr"/>
    </row>
    <row r="582" ht="15" customHeight="1">
      <c r="A582" t="inlineStr">
        <is>
          <t>A 24723-2021</t>
        </is>
      </c>
      <c r="B582" s="1" t="n">
        <v>44340</v>
      </c>
      <c r="C582" s="1" t="n">
        <v>45364</v>
      </c>
      <c r="D582" t="inlineStr">
        <is>
          <t>KALMAR LÄN</t>
        </is>
      </c>
      <c r="E582" t="inlineStr">
        <is>
          <t>VIMMERBY</t>
        </is>
      </c>
      <c r="G582" t="n">
        <v>3.3</v>
      </c>
      <c r="H582" t="n">
        <v>0</v>
      </c>
      <c r="I582" t="n">
        <v>0</v>
      </c>
      <c r="J582" t="n">
        <v>0</v>
      </c>
      <c r="K582" t="n">
        <v>0</v>
      </c>
      <c r="L582" t="n">
        <v>0</v>
      </c>
      <c r="M582" t="n">
        <v>0</v>
      </c>
      <c r="N582" t="n">
        <v>0</v>
      </c>
      <c r="O582" t="n">
        <v>0</v>
      </c>
      <c r="P582" t="n">
        <v>0</v>
      </c>
      <c r="Q582" t="n">
        <v>0</v>
      </c>
      <c r="R582" s="2" t="inlineStr"/>
    </row>
    <row r="583" ht="15" customHeight="1">
      <c r="A583" t="inlineStr">
        <is>
          <t>A 24999-2021</t>
        </is>
      </c>
      <c r="B583" s="1" t="n">
        <v>44341</v>
      </c>
      <c r="C583" s="1" t="n">
        <v>45364</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27100-2021</t>
        </is>
      </c>
      <c r="B584" s="1" t="n">
        <v>44350</v>
      </c>
      <c r="C584" s="1" t="n">
        <v>45364</v>
      </c>
      <c r="D584" t="inlineStr">
        <is>
          <t>KALMAR LÄN</t>
        </is>
      </c>
      <c r="E584" t="inlineStr">
        <is>
          <t>VIMMERBY</t>
        </is>
      </c>
      <c r="G584" t="n">
        <v>9.6</v>
      </c>
      <c r="H584" t="n">
        <v>0</v>
      </c>
      <c r="I584" t="n">
        <v>0</v>
      </c>
      <c r="J584" t="n">
        <v>0</v>
      </c>
      <c r="K584" t="n">
        <v>0</v>
      </c>
      <c r="L584" t="n">
        <v>0</v>
      </c>
      <c r="M584" t="n">
        <v>0</v>
      </c>
      <c r="N584" t="n">
        <v>0</v>
      </c>
      <c r="O584" t="n">
        <v>0</v>
      </c>
      <c r="P584" t="n">
        <v>0</v>
      </c>
      <c r="Q584" t="n">
        <v>0</v>
      </c>
      <c r="R584" s="2" t="inlineStr"/>
    </row>
    <row r="585" ht="15" customHeight="1">
      <c r="A585" t="inlineStr">
        <is>
          <t>A 27086-2021</t>
        </is>
      </c>
      <c r="B585" s="1" t="n">
        <v>44350</v>
      </c>
      <c r="C585" s="1" t="n">
        <v>45364</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27759-2021</t>
        </is>
      </c>
      <c r="B586" s="1" t="n">
        <v>44354</v>
      </c>
      <c r="C586" s="1" t="n">
        <v>45364</v>
      </c>
      <c r="D586" t="inlineStr">
        <is>
          <t>KALMAR LÄN</t>
        </is>
      </c>
      <c r="E586" t="inlineStr">
        <is>
          <t>VIMMERBY</t>
        </is>
      </c>
      <c r="G586" t="n">
        <v>4.6</v>
      </c>
      <c r="H586" t="n">
        <v>0</v>
      </c>
      <c r="I586" t="n">
        <v>0</v>
      </c>
      <c r="J586" t="n">
        <v>0</v>
      </c>
      <c r="K586" t="n">
        <v>0</v>
      </c>
      <c r="L586" t="n">
        <v>0</v>
      </c>
      <c r="M586" t="n">
        <v>0</v>
      </c>
      <c r="N586" t="n">
        <v>0</v>
      </c>
      <c r="O586" t="n">
        <v>0</v>
      </c>
      <c r="P586" t="n">
        <v>0</v>
      </c>
      <c r="Q586" t="n">
        <v>0</v>
      </c>
      <c r="R586" s="2" t="inlineStr"/>
    </row>
    <row r="587" ht="15" customHeight="1">
      <c r="A587" t="inlineStr">
        <is>
          <t>A 27762-2021</t>
        </is>
      </c>
      <c r="B587" s="1" t="n">
        <v>44354</v>
      </c>
      <c r="C587" s="1" t="n">
        <v>45364</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30682-2021</t>
        </is>
      </c>
      <c r="B588" s="1" t="n">
        <v>44365</v>
      </c>
      <c r="C588" s="1" t="n">
        <v>45364</v>
      </c>
      <c r="D588" t="inlineStr">
        <is>
          <t>KALMAR LÄN</t>
        </is>
      </c>
      <c r="E588" t="inlineStr">
        <is>
          <t>VIMMERBY</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31660-2021</t>
        </is>
      </c>
      <c r="B589" s="1" t="n">
        <v>44369</v>
      </c>
      <c r="C589" s="1" t="n">
        <v>45364</v>
      </c>
      <c r="D589" t="inlineStr">
        <is>
          <t>KALMAR LÄN</t>
        </is>
      </c>
      <c r="E589" t="inlineStr">
        <is>
          <t>VIMMERBY</t>
        </is>
      </c>
      <c r="G589" t="n">
        <v>4.2</v>
      </c>
      <c r="H589" t="n">
        <v>0</v>
      </c>
      <c r="I589" t="n">
        <v>0</v>
      </c>
      <c r="J589" t="n">
        <v>0</v>
      </c>
      <c r="K589" t="n">
        <v>0</v>
      </c>
      <c r="L589" t="n">
        <v>0</v>
      </c>
      <c r="M589" t="n">
        <v>0</v>
      </c>
      <c r="N589" t="n">
        <v>0</v>
      </c>
      <c r="O589" t="n">
        <v>0</v>
      </c>
      <c r="P589" t="n">
        <v>0</v>
      </c>
      <c r="Q589" t="n">
        <v>0</v>
      </c>
      <c r="R589" s="2" t="inlineStr"/>
    </row>
    <row r="590" ht="15" customHeight="1">
      <c r="A590" t="inlineStr">
        <is>
          <t>A 32386-2021</t>
        </is>
      </c>
      <c r="B590" s="1" t="n">
        <v>44371</v>
      </c>
      <c r="C590" s="1" t="n">
        <v>45364</v>
      </c>
      <c r="D590" t="inlineStr">
        <is>
          <t>KALMAR LÄN</t>
        </is>
      </c>
      <c r="E590" t="inlineStr">
        <is>
          <t>VIMMERBY</t>
        </is>
      </c>
      <c r="G590" t="n">
        <v>1.6</v>
      </c>
      <c r="H590" t="n">
        <v>0</v>
      </c>
      <c r="I590" t="n">
        <v>0</v>
      </c>
      <c r="J590" t="n">
        <v>0</v>
      </c>
      <c r="K590" t="n">
        <v>0</v>
      </c>
      <c r="L590" t="n">
        <v>0</v>
      </c>
      <c r="M590" t="n">
        <v>0</v>
      </c>
      <c r="N590" t="n">
        <v>0</v>
      </c>
      <c r="O590" t="n">
        <v>0</v>
      </c>
      <c r="P590" t="n">
        <v>0</v>
      </c>
      <c r="Q590" t="n">
        <v>0</v>
      </c>
      <c r="R590" s="2" t="inlineStr"/>
    </row>
    <row r="591" ht="15" customHeight="1">
      <c r="A591" t="inlineStr">
        <is>
          <t>A 32607-2021</t>
        </is>
      </c>
      <c r="B591" s="1" t="n">
        <v>44375</v>
      </c>
      <c r="C591" s="1" t="n">
        <v>45364</v>
      </c>
      <c r="D591" t="inlineStr">
        <is>
          <t>KALMAR LÄN</t>
        </is>
      </c>
      <c r="E591" t="inlineStr">
        <is>
          <t>VIMMERBY</t>
        </is>
      </c>
      <c r="G591" t="n">
        <v>0.4</v>
      </c>
      <c r="H591" t="n">
        <v>0</v>
      </c>
      <c r="I591" t="n">
        <v>0</v>
      </c>
      <c r="J591" t="n">
        <v>0</v>
      </c>
      <c r="K591" t="n">
        <v>0</v>
      </c>
      <c r="L591" t="n">
        <v>0</v>
      </c>
      <c r="M591" t="n">
        <v>0</v>
      </c>
      <c r="N591" t="n">
        <v>0</v>
      </c>
      <c r="O591" t="n">
        <v>0</v>
      </c>
      <c r="P591" t="n">
        <v>0</v>
      </c>
      <c r="Q591" t="n">
        <v>0</v>
      </c>
      <c r="R591" s="2" t="inlineStr"/>
    </row>
    <row r="592" ht="15" customHeight="1">
      <c r="A592" t="inlineStr">
        <is>
          <t>A 32603-2021</t>
        </is>
      </c>
      <c r="B592" s="1" t="n">
        <v>44375</v>
      </c>
      <c r="C592" s="1" t="n">
        <v>45364</v>
      </c>
      <c r="D592" t="inlineStr">
        <is>
          <t>KALMAR LÄN</t>
        </is>
      </c>
      <c r="E592" t="inlineStr">
        <is>
          <t>VIMMERBY</t>
        </is>
      </c>
      <c r="G592" t="n">
        <v>0.8</v>
      </c>
      <c r="H592" t="n">
        <v>0</v>
      </c>
      <c r="I592" t="n">
        <v>0</v>
      </c>
      <c r="J592" t="n">
        <v>0</v>
      </c>
      <c r="K592" t="n">
        <v>0</v>
      </c>
      <c r="L592" t="n">
        <v>0</v>
      </c>
      <c r="M592" t="n">
        <v>0</v>
      </c>
      <c r="N592" t="n">
        <v>0</v>
      </c>
      <c r="O592" t="n">
        <v>0</v>
      </c>
      <c r="P592" t="n">
        <v>0</v>
      </c>
      <c r="Q592" t="n">
        <v>0</v>
      </c>
      <c r="R592" s="2" t="inlineStr"/>
    </row>
    <row r="593" ht="15" customHeight="1">
      <c r="A593" t="inlineStr">
        <is>
          <t>A 33359-2021</t>
        </is>
      </c>
      <c r="B593" s="1" t="n">
        <v>44377</v>
      </c>
      <c r="C593" s="1" t="n">
        <v>45364</v>
      </c>
      <c r="D593" t="inlineStr">
        <is>
          <t>KALMAR LÄN</t>
        </is>
      </c>
      <c r="E593" t="inlineStr">
        <is>
          <t>VIMMERBY</t>
        </is>
      </c>
      <c r="F593" t="inlineStr">
        <is>
          <t>Kommuner</t>
        </is>
      </c>
      <c r="G593" t="n">
        <v>8</v>
      </c>
      <c r="H593" t="n">
        <v>0</v>
      </c>
      <c r="I593" t="n">
        <v>0</v>
      </c>
      <c r="J593" t="n">
        <v>0</v>
      </c>
      <c r="K593" t="n">
        <v>0</v>
      </c>
      <c r="L593" t="n">
        <v>0</v>
      </c>
      <c r="M593" t="n">
        <v>0</v>
      </c>
      <c r="N593" t="n">
        <v>0</v>
      </c>
      <c r="O593" t="n">
        <v>0</v>
      </c>
      <c r="P593" t="n">
        <v>0</v>
      </c>
      <c r="Q593" t="n">
        <v>0</v>
      </c>
      <c r="R593" s="2" t="inlineStr"/>
    </row>
    <row r="594" ht="15" customHeight="1">
      <c r="A594" t="inlineStr">
        <is>
          <t>A 33374-2021</t>
        </is>
      </c>
      <c r="B594" s="1" t="n">
        <v>44377</v>
      </c>
      <c r="C594" s="1" t="n">
        <v>45364</v>
      </c>
      <c r="D594" t="inlineStr">
        <is>
          <t>KALMAR LÄN</t>
        </is>
      </c>
      <c r="E594" t="inlineStr">
        <is>
          <t>VIMMERBY</t>
        </is>
      </c>
      <c r="G594" t="n">
        <v>3.3</v>
      </c>
      <c r="H594" t="n">
        <v>0</v>
      </c>
      <c r="I594" t="n">
        <v>0</v>
      </c>
      <c r="J594" t="n">
        <v>0</v>
      </c>
      <c r="K594" t="n">
        <v>0</v>
      </c>
      <c r="L594" t="n">
        <v>0</v>
      </c>
      <c r="M594" t="n">
        <v>0</v>
      </c>
      <c r="N594" t="n">
        <v>0</v>
      </c>
      <c r="O594" t="n">
        <v>0</v>
      </c>
      <c r="P594" t="n">
        <v>0</v>
      </c>
      <c r="Q594" t="n">
        <v>0</v>
      </c>
      <c r="R594" s="2" t="inlineStr"/>
    </row>
    <row r="595" ht="15" customHeight="1">
      <c r="A595" t="inlineStr">
        <is>
          <t>A 33446-2021</t>
        </is>
      </c>
      <c r="B595" s="1" t="n">
        <v>44377</v>
      </c>
      <c r="C595" s="1" t="n">
        <v>45364</v>
      </c>
      <c r="D595" t="inlineStr">
        <is>
          <t>KALMAR LÄN</t>
        </is>
      </c>
      <c r="E595" t="inlineStr">
        <is>
          <t>VIMMERBY</t>
        </is>
      </c>
      <c r="G595" t="n">
        <v>4.3</v>
      </c>
      <c r="H595" t="n">
        <v>0</v>
      </c>
      <c r="I595" t="n">
        <v>0</v>
      </c>
      <c r="J595" t="n">
        <v>0</v>
      </c>
      <c r="K595" t="n">
        <v>0</v>
      </c>
      <c r="L595" t="n">
        <v>0</v>
      </c>
      <c r="M595" t="n">
        <v>0</v>
      </c>
      <c r="N595" t="n">
        <v>0</v>
      </c>
      <c r="O595" t="n">
        <v>0</v>
      </c>
      <c r="P595" t="n">
        <v>0</v>
      </c>
      <c r="Q595" t="n">
        <v>0</v>
      </c>
      <c r="R595" s="2" t="inlineStr"/>
    </row>
    <row r="596" ht="15" customHeight="1">
      <c r="A596" t="inlineStr">
        <is>
          <t>A 35198-2021</t>
        </is>
      </c>
      <c r="B596" s="1" t="n">
        <v>44377</v>
      </c>
      <c r="C596" s="1" t="n">
        <v>45364</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34040-2021</t>
        </is>
      </c>
      <c r="B597" s="1" t="n">
        <v>44379</v>
      </c>
      <c r="C597" s="1" t="n">
        <v>45364</v>
      </c>
      <c r="D597" t="inlineStr">
        <is>
          <t>KALMAR LÄN</t>
        </is>
      </c>
      <c r="E597" t="inlineStr">
        <is>
          <t>VIMMERBY</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34036-2021</t>
        </is>
      </c>
      <c r="B598" s="1" t="n">
        <v>44379</v>
      </c>
      <c r="C598" s="1" t="n">
        <v>45364</v>
      </c>
      <c r="D598" t="inlineStr">
        <is>
          <t>KALMAR LÄN</t>
        </is>
      </c>
      <c r="E598" t="inlineStr">
        <is>
          <t>VIMMERBY</t>
        </is>
      </c>
      <c r="F598" t="inlineStr">
        <is>
          <t>Sveaskog</t>
        </is>
      </c>
      <c r="G598" t="n">
        <v>7</v>
      </c>
      <c r="H598" t="n">
        <v>0</v>
      </c>
      <c r="I598" t="n">
        <v>0</v>
      </c>
      <c r="J598" t="n">
        <v>0</v>
      </c>
      <c r="K598" t="n">
        <v>0</v>
      </c>
      <c r="L598" t="n">
        <v>0</v>
      </c>
      <c r="M598" t="n">
        <v>0</v>
      </c>
      <c r="N598" t="n">
        <v>0</v>
      </c>
      <c r="O598" t="n">
        <v>0</v>
      </c>
      <c r="P598" t="n">
        <v>0</v>
      </c>
      <c r="Q598" t="n">
        <v>0</v>
      </c>
      <c r="R598" s="2" t="inlineStr"/>
    </row>
    <row r="599" ht="15" customHeight="1">
      <c r="A599" t="inlineStr">
        <is>
          <t>A 35001-2021</t>
        </is>
      </c>
      <c r="B599" s="1" t="n">
        <v>44383</v>
      </c>
      <c r="C599" s="1" t="n">
        <v>45364</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35316-2021</t>
        </is>
      </c>
      <c r="B600" s="1" t="n">
        <v>44384</v>
      </c>
      <c r="C600" s="1" t="n">
        <v>45364</v>
      </c>
      <c r="D600" t="inlineStr">
        <is>
          <t>KALMAR LÄN</t>
        </is>
      </c>
      <c r="E600" t="inlineStr">
        <is>
          <t>VIMMERBY</t>
        </is>
      </c>
      <c r="G600" t="n">
        <v>3.5</v>
      </c>
      <c r="H600" t="n">
        <v>0</v>
      </c>
      <c r="I600" t="n">
        <v>0</v>
      </c>
      <c r="J600" t="n">
        <v>0</v>
      </c>
      <c r="K600" t="n">
        <v>0</v>
      </c>
      <c r="L600" t="n">
        <v>0</v>
      </c>
      <c r="M600" t="n">
        <v>0</v>
      </c>
      <c r="N600" t="n">
        <v>0</v>
      </c>
      <c r="O600" t="n">
        <v>0</v>
      </c>
      <c r="P600" t="n">
        <v>0</v>
      </c>
      <c r="Q600" t="n">
        <v>0</v>
      </c>
      <c r="R600" s="2" t="inlineStr"/>
    </row>
    <row r="601" ht="15" customHeight="1">
      <c r="A601" t="inlineStr">
        <is>
          <t>A 35531-2021</t>
        </is>
      </c>
      <c r="B601" s="1" t="n">
        <v>44385</v>
      </c>
      <c r="C601" s="1" t="n">
        <v>45364</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35633-2021</t>
        </is>
      </c>
      <c r="B602" s="1" t="n">
        <v>44386</v>
      </c>
      <c r="C602" s="1" t="n">
        <v>45364</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36077-2021</t>
        </is>
      </c>
      <c r="B603" s="1" t="n">
        <v>44386</v>
      </c>
      <c r="C603" s="1" t="n">
        <v>45364</v>
      </c>
      <c r="D603" t="inlineStr">
        <is>
          <t>KALMAR LÄN</t>
        </is>
      </c>
      <c r="E603" t="inlineStr">
        <is>
          <t>VIMMERBY</t>
        </is>
      </c>
      <c r="G603" t="n">
        <v>2</v>
      </c>
      <c r="H603" t="n">
        <v>0</v>
      </c>
      <c r="I603" t="n">
        <v>0</v>
      </c>
      <c r="J603" t="n">
        <v>0</v>
      </c>
      <c r="K603" t="n">
        <v>0</v>
      </c>
      <c r="L603" t="n">
        <v>0</v>
      </c>
      <c r="M603" t="n">
        <v>0</v>
      </c>
      <c r="N603" t="n">
        <v>0</v>
      </c>
      <c r="O603" t="n">
        <v>0</v>
      </c>
      <c r="P603" t="n">
        <v>0</v>
      </c>
      <c r="Q603" t="n">
        <v>0</v>
      </c>
      <c r="R603" s="2" t="inlineStr"/>
    </row>
    <row r="604" ht="15" customHeight="1">
      <c r="A604" t="inlineStr">
        <is>
          <t>A 36117-2021</t>
        </is>
      </c>
      <c r="B604" s="1" t="n">
        <v>44386</v>
      </c>
      <c r="C604" s="1" t="n">
        <v>45364</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36121-2021</t>
        </is>
      </c>
      <c r="B605" s="1" t="n">
        <v>44386</v>
      </c>
      <c r="C605" s="1" t="n">
        <v>45364</v>
      </c>
      <c r="D605" t="inlineStr">
        <is>
          <t>KALMAR LÄN</t>
        </is>
      </c>
      <c r="E605" t="inlineStr">
        <is>
          <t>VIMMERBY</t>
        </is>
      </c>
      <c r="G605" t="n">
        <v>3.5</v>
      </c>
      <c r="H605" t="n">
        <v>0</v>
      </c>
      <c r="I605" t="n">
        <v>0</v>
      </c>
      <c r="J605" t="n">
        <v>0</v>
      </c>
      <c r="K605" t="n">
        <v>0</v>
      </c>
      <c r="L605" t="n">
        <v>0</v>
      </c>
      <c r="M605" t="n">
        <v>0</v>
      </c>
      <c r="N605" t="n">
        <v>0</v>
      </c>
      <c r="O605" t="n">
        <v>0</v>
      </c>
      <c r="P605" t="n">
        <v>0</v>
      </c>
      <c r="Q605" t="n">
        <v>0</v>
      </c>
      <c r="R605" s="2" t="inlineStr"/>
    </row>
    <row r="606" ht="15" customHeight="1">
      <c r="A606" t="inlineStr">
        <is>
          <t>A 36802-2021</t>
        </is>
      </c>
      <c r="B606" s="1" t="n">
        <v>44392</v>
      </c>
      <c r="C606" s="1" t="n">
        <v>45364</v>
      </c>
      <c r="D606" t="inlineStr">
        <is>
          <t>KALMAR LÄN</t>
        </is>
      </c>
      <c r="E606" t="inlineStr">
        <is>
          <t>VIMMERBY</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38086-2021</t>
        </is>
      </c>
      <c r="B607" s="1" t="n">
        <v>44404</v>
      </c>
      <c r="C607" s="1" t="n">
        <v>45364</v>
      </c>
      <c r="D607" t="inlineStr">
        <is>
          <t>KALMAR LÄN</t>
        </is>
      </c>
      <c r="E607" t="inlineStr">
        <is>
          <t>VIMMERBY</t>
        </is>
      </c>
      <c r="G607" t="n">
        <v>4.4</v>
      </c>
      <c r="H607" t="n">
        <v>0</v>
      </c>
      <c r="I607" t="n">
        <v>0</v>
      </c>
      <c r="J607" t="n">
        <v>0</v>
      </c>
      <c r="K607" t="n">
        <v>0</v>
      </c>
      <c r="L607" t="n">
        <v>0</v>
      </c>
      <c r="M607" t="n">
        <v>0</v>
      </c>
      <c r="N607" t="n">
        <v>0</v>
      </c>
      <c r="O607" t="n">
        <v>0</v>
      </c>
      <c r="P607" t="n">
        <v>0</v>
      </c>
      <c r="Q607" t="n">
        <v>0</v>
      </c>
      <c r="R607" s="2" t="inlineStr"/>
    </row>
    <row r="608" ht="15" customHeight="1">
      <c r="A608" t="inlineStr">
        <is>
          <t>A 38348-2021</t>
        </is>
      </c>
      <c r="B608" s="1" t="n">
        <v>44406</v>
      </c>
      <c r="C608" s="1" t="n">
        <v>45364</v>
      </c>
      <c r="D608" t="inlineStr">
        <is>
          <t>KALMAR LÄN</t>
        </is>
      </c>
      <c r="E608" t="inlineStr">
        <is>
          <t>VIMMERBY</t>
        </is>
      </c>
      <c r="G608" t="n">
        <v>2.2</v>
      </c>
      <c r="H608" t="n">
        <v>0</v>
      </c>
      <c r="I608" t="n">
        <v>0</v>
      </c>
      <c r="J608" t="n">
        <v>0</v>
      </c>
      <c r="K608" t="n">
        <v>0</v>
      </c>
      <c r="L608" t="n">
        <v>0</v>
      </c>
      <c r="M608" t="n">
        <v>0</v>
      </c>
      <c r="N608" t="n">
        <v>0</v>
      </c>
      <c r="O608" t="n">
        <v>0</v>
      </c>
      <c r="P608" t="n">
        <v>0</v>
      </c>
      <c r="Q608" t="n">
        <v>0</v>
      </c>
      <c r="R608" s="2" t="inlineStr"/>
    </row>
    <row r="609" ht="15" customHeight="1">
      <c r="A609" t="inlineStr">
        <is>
          <t>A 38780-2021</t>
        </is>
      </c>
      <c r="B609" s="1" t="n">
        <v>44410</v>
      </c>
      <c r="C609" s="1" t="n">
        <v>45364</v>
      </c>
      <c r="D609" t="inlineStr">
        <is>
          <t>KALMAR LÄN</t>
        </is>
      </c>
      <c r="E609" t="inlineStr">
        <is>
          <t>VIMMERBY</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38789-2021</t>
        </is>
      </c>
      <c r="B610" s="1" t="n">
        <v>44410</v>
      </c>
      <c r="C610" s="1" t="n">
        <v>45364</v>
      </c>
      <c r="D610" t="inlineStr">
        <is>
          <t>KALMAR LÄN</t>
        </is>
      </c>
      <c r="E610" t="inlineStr">
        <is>
          <t>VIMMERBY</t>
        </is>
      </c>
      <c r="G610" t="n">
        <v>3.7</v>
      </c>
      <c r="H610" t="n">
        <v>0</v>
      </c>
      <c r="I610" t="n">
        <v>0</v>
      </c>
      <c r="J610" t="n">
        <v>0</v>
      </c>
      <c r="K610" t="n">
        <v>0</v>
      </c>
      <c r="L610" t="n">
        <v>0</v>
      </c>
      <c r="M610" t="n">
        <v>0</v>
      </c>
      <c r="N610" t="n">
        <v>0</v>
      </c>
      <c r="O610" t="n">
        <v>0</v>
      </c>
      <c r="P610" t="n">
        <v>0</v>
      </c>
      <c r="Q610" t="n">
        <v>0</v>
      </c>
      <c r="R610" s="2" t="inlineStr"/>
    </row>
    <row r="611" ht="15" customHeight="1">
      <c r="A611" t="inlineStr">
        <is>
          <t>A 40073-2021</t>
        </is>
      </c>
      <c r="B611" s="1" t="n">
        <v>44418</v>
      </c>
      <c r="C611" s="1" t="n">
        <v>45364</v>
      </c>
      <c r="D611" t="inlineStr">
        <is>
          <t>KALMAR LÄN</t>
        </is>
      </c>
      <c r="E611" t="inlineStr">
        <is>
          <t>VIMMERBY</t>
        </is>
      </c>
      <c r="G611" t="n">
        <v>1</v>
      </c>
      <c r="H611" t="n">
        <v>0</v>
      </c>
      <c r="I611" t="n">
        <v>0</v>
      </c>
      <c r="J611" t="n">
        <v>0</v>
      </c>
      <c r="K611" t="n">
        <v>0</v>
      </c>
      <c r="L611" t="n">
        <v>0</v>
      </c>
      <c r="M611" t="n">
        <v>0</v>
      </c>
      <c r="N611" t="n">
        <v>0</v>
      </c>
      <c r="O611" t="n">
        <v>0</v>
      </c>
      <c r="P611" t="n">
        <v>0</v>
      </c>
      <c r="Q611" t="n">
        <v>0</v>
      </c>
      <c r="R611" s="2" t="inlineStr"/>
    </row>
    <row r="612" ht="15" customHeight="1">
      <c r="A612" t="inlineStr">
        <is>
          <t>A 40076-2021</t>
        </is>
      </c>
      <c r="B612" s="1" t="n">
        <v>44418</v>
      </c>
      <c r="C612" s="1" t="n">
        <v>45364</v>
      </c>
      <c r="D612" t="inlineStr">
        <is>
          <t>KALMAR LÄN</t>
        </is>
      </c>
      <c r="E612" t="inlineStr">
        <is>
          <t>VIMMERBY</t>
        </is>
      </c>
      <c r="G612" t="n">
        <v>2</v>
      </c>
      <c r="H612" t="n">
        <v>0</v>
      </c>
      <c r="I612" t="n">
        <v>0</v>
      </c>
      <c r="J612" t="n">
        <v>0</v>
      </c>
      <c r="K612" t="n">
        <v>0</v>
      </c>
      <c r="L612" t="n">
        <v>0</v>
      </c>
      <c r="M612" t="n">
        <v>0</v>
      </c>
      <c r="N612" t="n">
        <v>0</v>
      </c>
      <c r="O612" t="n">
        <v>0</v>
      </c>
      <c r="P612" t="n">
        <v>0</v>
      </c>
      <c r="Q612" t="n">
        <v>0</v>
      </c>
      <c r="R612" s="2" t="inlineStr"/>
    </row>
    <row r="613" ht="15" customHeight="1">
      <c r="A613" t="inlineStr">
        <is>
          <t>A 40071-2021</t>
        </is>
      </c>
      <c r="B613" s="1" t="n">
        <v>44418</v>
      </c>
      <c r="C613" s="1" t="n">
        <v>45364</v>
      </c>
      <c r="D613" t="inlineStr">
        <is>
          <t>KALMAR LÄN</t>
        </is>
      </c>
      <c r="E613" t="inlineStr">
        <is>
          <t>VIMMERBY</t>
        </is>
      </c>
      <c r="G613" t="n">
        <v>1.5</v>
      </c>
      <c r="H613" t="n">
        <v>0</v>
      </c>
      <c r="I613" t="n">
        <v>0</v>
      </c>
      <c r="J613" t="n">
        <v>0</v>
      </c>
      <c r="K613" t="n">
        <v>0</v>
      </c>
      <c r="L613" t="n">
        <v>0</v>
      </c>
      <c r="M613" t="n">
        <v>0</v>
      </c>
      <c r="N613" t="n">
        <v>0</v>
      </c>
      <c r="O613" t="n">
        <v>0</v>
      </c>
      <c r="P613" t="n">
        <v>0</v>
      </c>
      <c r="Q613" t="n">
        <v>0</v>
      </c>
      <c r="R613" s="2" t="inlineStr"/>
    </row>
    <row r="614" ht="15" customHeight="1">
      <c r="A614" t="inlineStr">
        <is>
          <t>A 40077-2021</t>
        </is>
      </c>
      <c r="B614" s="1" t="n">
        <v>44418</v>
      </c>
      <c r="C614" s="1" t="n">
        <v>45364</v>
      </c>
      <c r="D614" t="inlineStr">
        <is>
          <t>KALMAR LÄN</t>
        </is>
      </c>
      <c r="E614" t="inlineStr">
        <is>
          <t>VIMMERBY</t>
        </is>
      </c>
      <c r="G614" t="n">
        <v>2.9</v>
      </c>
      <c r="H614" t="n">
        <v>0</v>
      </c>
      <c r="I614" t="n">
        <v>0</v>
      </c>
      <c r="J614" t="n">
        <v>0</v>
      </c>
      <c r="K614" t="n">
        <v>0</v>
      </c>
      <c r="L614" t="n">
        <v>0</v>
      </c>
      <c r="M614" t="n">
        <v>0</v>
      </c>
      <c r="N614" t="n">
        <v>0</v>
      </c>
      <c r="O614" t="n">
        <v>0</v>
      </c>
      <c r="P614" t="n">
        <v>0</v>
      </c>
      <c r="Q614" t="n">
        <v>0</v>
      </c>
      <c r="R614" s="2" t="inlineStr"/>
    </row>
    <row r="615" ht="15" customHeight="1">
      <c r="A615" t="inlineStr">
        <is>
          <t>A 40971-2021</t>
        </is>
      </c>
      <c r="B615" s="1" t="n">
        <v>44421</v>
      </c>
      <c r="C615" s="1" t="n">
        <v>45364</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42521-2021</t>
        </is>
      </c>
      <c r="B616" s="1" t="n">
        <v>44427</v>
      </c>
      <c r="C616" s="1" t="n">
        <v>45364</v>
      </c>
      <c r="D616" t="inlineStr">
        <is>
          <t>KALMAR LÄN</t>
        </is>
      </c>
      <c r="E616" t="inlineStr">
        <is>
          <t>VIMMERBY</t>
        </is>
      </c>
      <c r="G616" t="n">
        <v>5.4</v>
      </c>
      <c r="H616" t="n">
        <v>0</v>
      </c>
      <c r="I616" t="n">
        <v>0</v>
      </c>
      <c r="J616" t="n">
        <v>0</v>
      </c>
      <c r="K616" t="n">
        <v>0</v>
      </c>
      <c r="L616" t="n">
        <v>0</v>
      </c>
      <c r="M616" t="n">
        <v>0</v>
      </c>
      <c r="N616" t="n">
        <v>0</v>
      </c>
      <c r="O616" t="n">
        <v>0</v>
      </c>
      <c r="P616" t="n">
        <v>0</v>
      </c>
      <c r="Q616" t="n">
        <v>0</v>
      </c>
      <c r="R616" s="2" t="inlineStr"/>
    </row>
    <row r="617" ht="15" customHeight="1">
      <c r="A617" t="inlineStr">
        <is>
          <t>A 42918-2021</t>
        </is>
      </c>
      <c r="B617" s="1" t="n">
        <v>44431</v>
      </c>
      <c r="C617" s="1" t="n">
        <v>45364</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43186-2021</t>
        </is>
      </c>
      <c r="B618" s="1" t="n">
        <v>44431</v>
      </c>
      <c r="C618" s="1" t="n">
        <v>45364</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45528-2021</t>
        </is>
      </c>
      <c r="B619" s="1" t="n">
        <v>44440</v>
      </c>
      <c r="C619" s="1" t="n">
        <v>45364</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45390-2021</t>
        </is>
      </c>
      <c r="B620" s="1" t="n">
        <v>44440</v>
      </c>
      <c r="C620" s="1" t="n">
        <v>45364</v>
      </c>
      <c r="D620" t="inlineStr">
        <is>
          <t>KALMAR LÄN</t>
        </is>
      </c>
      <c r="E620" t="inlineStr">
        <is>
          <t>VIMMERBY</t>
        </is>
      </c>
      <c r="G620" t="n">
        <v>3.9</v>
      </c>
      <c r="H620" t="n">
        <v>0</v>
      </c>
      <c r="I620" t="n">
        <v>0</v>
      </c>
      <c r="J620" t="n">
        <v>0</v>
      </c>
      <c r="K620" t="n">
        <v>0</v>
      </c>
      <c r="L620" t="n">
        <v>0</v>
      </c>
      <c r="M620" t="n">
        <v>0</v>
      </c>
      <c r="N620" t="n">
        <v>0</v>
      </c>
      <c r="O620" t="n">
        <v>0</v>
      </c>
      <c r="P620" t="n">
        <v>0</v>
      </c>
      <c r="Q620" t="n">
        <v>0</v>
      </c>
      <c r="R620" s="2" t="inlineStr"/>
    </row>
    <row r="621" ht="15" customHeight="1">
      <c r="A621" t="inlineStr">
        <is>
          <t>A 45560-2021</t>
        </is>
      </c>
      <c r="B621" s="1" t="n">
        <v>44440</v>
      </c>
      <c r="C621" s="1" t="n">
        <v>45364</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47208-2021</t>
        </is>
      </c>
      <c r="B622" s="1" t="n">
        <v>44447</v>
      </c>
      <c r="C622" s="1" t="n">
        <v>45364</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47205-2021</t>
        </is>
      </c>
      <c r="B623" s="1" t="n">
        <v>44447</v>
      </c>
      <c r="C623" s="1" t="n">
        <v>45364</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47473-2021</t>
        </is>
      </c>
      <c r="B624" s="1" t="n">
        <v>44447</v>
      </c>
      <c r="C624" s="1" t="n">
        <v>45364</v>
      </c>
      <c r="D624" t="inlineStr">
        <is>
          <t>KALMAR LÄN</t>
        </is>
      </c>
      <c r="E624" t="inlineStr">
        <is>
          <t>VIMMERBY</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48377-2021</t>
        </is>
      </c>
      <c r="B625" s="1" t="n">
        <v>44451</v>
      </c>
      <c r="C625" s="1" t="n">
        <v>45364</v>
      </c>
      <c r="D625" t="inlineStr">
        <is>
          <t>KALMAR LÄN</t>
        </is>
      </c>
      <c r="E625" t="inlineStr">
        <is>
          <t>VIMMERBY</t>
        </is>
      </c>
      <c r="G625" t="n">
        <v>0.4</v>
      </c>
      <c r="H625" t="n">
        <v>0</v>
      </c>
      <c r="I625" t="n">
        <v>0</v>
      </c>
      <c r="J625" t="n">
        <v>0</v>
      </c>
      <c r="K625" t="n">
        <v>0</v>
      </c>
      <c r="L625" t="n">
        <v>0</v>
      </c>
      <c r="M625" t="n">
        <v>0</v>
      </c>
      <c r="N625" t="n">
        <v>0</v>
      </c>
      <c r="O625" t="n">
        <v>0</v>
      </c>
      <c r="P625" t="n">
        <v>0</v>
      </c>
      <c r="Q625" t="n">
        <v>0</v>
      </c>
      <c r="R625" s="2" t="inlineStr"/>
    </row>
    <row r="626" ht="15" customHeight="1">
      <c r="A626" t="inlineStr">
        <is>
          <t>A 48373-2021</t>
        </is>
      </c>
      <c r="B626" s="1" t="n">
        <v>44451</v>
      </c>
      <c r="C626" s="1" t="n">
        <v>45364</v>
      </c>
      <c r="D626" t="inlineStr">
        <is>
          <t>KALMAR LÄN</t>
        </is>
      </c>
      <c r="E626" t="inlineStr">
        <is>
          <t>VIMMERBY</t>
        </is>
      </c>
      <c r="G626" t="n">
        <v>2.2</v>
      </c>
      <c r="H626" t="n">
        <v>0</v>
      </c>
      <c r="I626" t="n">
        <v>0</v>
      </c>
      <c r="J626" t="n">
        <v>0</v>
      </c>
      <c r="K626" t="n">
        <v>0</v>
      </c>
      <c r="L626" t="n">
        <v>0</v>
      </c>
      <c r="M626" t="n">
        <v>0</v>
      </c>
      <c r="N626" t="n">
        <v>0</v>
      </c>
      <c r="O626" t="n">
        <v>0</v>
      </c>
      <c r="P626" t="n">
        <v>0</v>
      </c>
      <c r="Q626" t="n">
        <v>0</v>
      </c>
      <c r="R626" s="2" t="inlineStr"/>
    </row>
    <row r="627" ht="15" customHeight="1">
      <c r="A627" t="inlineStr">
        <is>
          <t>A 48673-2021</t>
        </is>
      </c>
      <c r="B627" s="1" t="n">
        <v>44452</v>
      </c>
      <c r="C627" s="1" t="n">
        <v>45364</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49039-2021</t>
        </is>
      </c>
      <c r="B628" s="1" t="n">
        <v>44453</v>
      </c>
      <c r="C628" s="1" t="n">
        <v>45364</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51972-2021</t>
        </is>
      </c>
      <c r="B629" s="1" t="n">
        <v>44463</v>
      </c>
      <c r="C629" s="1" t="n">
        <v>45364</v>
      </c>
      <c r="D629" t="inlineStr">
        <is>
          <t>KALMAR LÄN</t>
        </is>
      </c>
      <c r="E629" t="inlineStr">
        <is>
          <t>VIMMERBY</t>
        </is>
      </c>
      <c r="G629" t="n">
        <v>4.5</v>
      </c>
      <c r="H629" t="n">
        <v>0</v>
      </c>
      <c r="I629" t="n">
        <v>0</v>
      </c>
      <c r="J629" t="n">
        <v>0</v>
      </c>
      <c r="K629" t="n">
        <v>0</v>
      </c>
      <c r="L629" t="n">
        <v>0</v>
      </c>
      <c r="M629" t="n">
        <v>0</v>
      </c>
      <c r="N629" t="n">
        <v>0</v>
      </c>
      <c r="O629" t="n">
        <v>0</v>
      </c>
      <c r="P629" t="n">
        <v>0</v>
      </c>
      <c r="Q629" t="n">
        <v>0</v>
      </c>
      <c r="R629" s="2" t="inlineStr"/>
    </row>
    <row r="630" ht="15" customHeight="1">
      <c r="A630" t="inlineStr">
        <is>
          <t>A 52433-2021</t>
        </is>
      </c>
      <c r="B630" s="1" t="n">
        <v>44466</v>
      </c>
      <c r="C630" s="1" t="n">
        <v>45364</v>
      </c>
      <c r="D630" t="inlineStr">
        <is>
          <t>KALMAR LÄN</t>
        </is>
      </c>
      <c r="E630" t="inlineStr">
        <is>
          <t>VIMMERBY</t>
        </is>
      </c>
      <c r="G630" t="n">
        <v>3.5</v>
      </c>
      <c r="H630" t="n">
        <v>0</v>
      </c>
      <c r="I630" t="n">
        <v>0</v>
      </c>
      <c r="J630" t="n">
        <v>0</v>
      </c>
      <c r="K630" t="n">
        <v>0</v>
      </c>
      <c r="L630" t="n">
        <v>0</v>
      </c>
      <c r="M630" t="n">
        <v>0</v>
      </c>
      <c r="N630" t="n">
        <v>0</v>
      </c>
      <c r="O630" t="n">
        <v>0</v>
      </c>
      <c r="P630" t="n">
        <v>0</v>
      </c>
      <c r="Q630" t="n">
        <v>0</v>
      </c>
      <c r="R630" s="2" t="inlineStr"/>
    </row>
    <row r="631" ht="15" customHeight="1">
      <c r="A631" t="inlineStr">
        <is>
          <t>A 52435-2021</t>
        </is>
      </c>
      <c r="B631" s="1" t="n">
        <v>44466</v>
      </c>
      <c r="C631" s="1" t="n">
        <v>45364</v>
      </c>
      <c r="D631" t="inlineStr">
        <is>
          <t>KALMAR LÄN</t>
        </is>
      </c>
      <c r="E631" t="inlineStr">
        <is>
          <t>VIMMERBY</t>
        </is>
      </c>
      <c r="G631" t="n">
        <v>2.8</v>
      </c>
      <c r="H631" t="n">
        <v>0</v>
      </c>
      <c r="I631" t="n">
        <v>0</v>
      </c>
      <c r="J631" t="n">
        <v>0</v>
      </c>
      <c r="K631" t="n">
        <v>0</v>
      </c>
      <c r="L631" t="n">
        <v>0</v>
      </c>
      <c r="M631" t="n">
        <v>0</v>
      </c>
      <c r="N631" t="n">
        <v>0</v>
      </c>
      <c r="O631" t="n">
        <v>0</v>
      </c>
      <c r="P631" t="n">
        <v>0</v>
      </c>
      <c r="Q631" t="n">
        <v>0</v>
      </c>
      <c r="R631" s="2" t="inlineStr"/>
    </row>
    <row r="632" ht="15" customHeight="1">
      <c r="A632" t="inlineStr">
        <is>
          <t>A 53083-2021</t>
        </is>
      </c>
      <c r="B632" s="1" t="n">
        <v>44467</v>
      </c>
      <c r="C632" s="1" t="n">
        <v>45364</v>
      </c>
      <c r="D632" t="inlineStr">
        <is>
          <t>KALMAR LÄN</t>
        </is>
      </c>
      <c r="E632" t="inlineStr">
        <is>
          <t>VIMMERBY</t>
        </is>
      </c>
      <c r="G632" t="n">
        <v>6.8</v>
      </c>
      <c r="H632" t="n">
        <v>0</v>
      </c>
      <c r="I632" t="n">
        <v>0</v>
      </c>
      <c r="J632" t="n">
        <v>0</v>
      </c>
      <c r="K632" t="n">
        <v>0</v>
      </c>
      <c r="L632" t="n">
        <v>0</v>
      </c>
      <c r="M632" t="n">
        <v>0</v>
      </c>
      <c r="N632" t="n">
        <v>0</v>
      </c>
      <c r="O632" t="n">
        <v>0</v>
      </c>
      <c r="P632" t="n">
        <v>0</v>
      </c>
      <c r="Q632" t="n">
        <v>0</v>
      </c>
      <c r="R632" s="2" t="inlineStr"/>
    </row>
    <row r="633" ht="15" customHeight="1">
      <c r="A633" t="inlineStr">
        <is>
          <t>A 53080-2021</t>
        </is>
      </c>
      <c r="B633" s="1" t="n">
        <v>44467</v>
      </c>
      <c r="C633" s="1" t="n">
        <v>45364</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54065-2021</t>
        </is>
      </c>
      <c r="B634" s="1" t="n">
        <v>44470</v>
      </c>
      <c r="C634" s="1" t="n">
        <v>45364</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55300-2021</t>
        </is>
      </c>
      <c r="B635" s="1" t="n">
        <v>44475</v>
      </c>
      <c r="C635" s="1" t="n">
        <v>45364</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55297-2021</t>
        </is>
      </c>
      <c r="B636" s="1" t="n">
        <v>44475</v>
      </c>
      <c r="C636" s="1" t="n">
        <v>45364</v>
      </c>
      <c r="D636" t="inlineStr">
        <is>
          <t>KALMAR LÄN</t>
        </is>
      </c>
      <c r="E636" t="inlineStr">
        <is>
          <t>VIMMERBY</t>
        </is>
      </c>
      <c r="G636" t="n">
        <v>4.1</v>
      </c>
      <c r="H636" t="n">
        <v>0</v>
      </c>
      <c r="I636" t="n">
        <v>0</v>
      </c>
      <c r="J636" t="n">
        <v>0</v>
      </c>
      <c r="K636" t="n">
        <v>0</v>
      </c>
      <c r="L636" t="n">
        <v>0</v>
      </c>
      <c r="M636" t="n">
        <v>0</v>
      </c>
      <c r="N636" t="n">
        <v>0</v>
      </c>
      <c r="O636" t="n">
        <v>0</v>
      </c>
      <c r="P636" t="n">
        <v>0</v>
      </c>
      <c r="Q636" t="n">
        <v>0</v>
      </c>
      <c r="R636" s="2" t="inlineStr"/>
    </row>
    <row r="637" ht="15" customHeight="1">
      <c r="A637" t="inlineStr">
        <is>
          <t>A 55674-2021</t>
        </is>
      </c>
      <c r="B637" s="1" t="n">
        <v>44476</v>
      </c>
      <c r="C637" s="1" t="n">
        <v>45364</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56029-2021</t>
        </is>
      </c>
      <c r="B638" s="1" t="n">
        <v>44477</v>
      </c>
      <c r="C638" s="1" t="n">
        <v>45364</v>
      </c>
      <c r="D638" t="inlineStr">
        <is>
          <t>KALMAR LÄN</t>
        </is>
      </c>
      <c r="E638" t="inlineStr">
        <is>
          <t>VIMMERBY</t>
        </is>
      </c>
      <c r="G638" t="n">
        <v>3.9</v>
      </c>
      <c r="H638" t="n">
        <v>0</v>
      </c>
      <c r="I638" t="n">
        <v>0</v>
      </c>
      <c r="J638" t="n">
        <v>0</v>
      </c>
      <c r="K638" t="n">
        <v>0</v>
      </c>
      <c r="L638" t="n">
        <v>0</v>
      </c>
      <c r="M638" t="n">
        <v>0</v>
      </c>
      <c r="N638" t="n">
        <v>0</v>
      </c>
      <c r="O638" t="n">
        <v>0</v>
      </c>
      <c r="P638" t="n">
        <v>0</v>
      </c>
      <c r="Q638" t="n">
        <v>0</v>
      </c>
      <c r="R638" s="2" t="inlineStr"/>
    </row>
    <row r="639" ht="15" customHeight="1">
      <c r="A639" t="inlineStr">
        <is>
          <t>A 56343-2021</t>
        </is>
      </c>
      <c r="B639" s="1" t="n">
        <v>44480</v>
      </c>
      <c r="C639" s="1" t="n">
        <v>45364</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56385-2021</t>
        </is>
      </c>
      <c r="B640" s="1" t="n">
        <v>44480</v>
      </c>
      <c r="C640" s="1" t="n">
        <v>45364</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56347-2021</t>
        </is>
      </c>
      <c r="B641" s="1" t="n">
        <v>44480</v>
      </c>
      <c r="C641" s="1" t="n">
        <v>45364</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56378-2021</t>
        </is>
      </c>
      <c r="B642" s="1" t="n">
        <v>44480</v>
      </c>
      <c r="C642" s="1" t="n">
        <v>45364</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56398-2021</t>
        </is>
      </c>
      <c r="B643" s="1" t="n">
        <v>44480</v>
      </c>
      <c r="C643" s="1" t="n">
        <v>45364</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56389-2021</t>
        </is>
      </c>
      <c r="B644" s="1" t="n">
        <v>44480</v>
      </c>
      <c r="C644" s="1" t="n">
        <v>45364</v>
      </c>
      <c r="D644" t="inlineStr">
        <is>
          <t>KALMAR LÄN</t>
        </is>
      </c>
      <c r="E644" t="inlineStr">
        <is>
          <t>VIMMERBY</t>
        </is>
      </c>
      <c r="G644" t="n">
        <v>0.9</v>
      </c>
      <c r="H644" t="n">
        <v>0</v>
      </c>
      <c r="I644" t="n">
        <v>0</v>
      </c>
      <c r="J644" t="n">
        <v>0</v>
      </c>
      <c r="K644" t="n">
        <v>0</v>
      </c>
      <c r="L644" t="n">
        <v>0</v>
      </c>
      <c r="M644" t="n">
        <v>0</v>
      </c>
      <c r="N644" t="n">
        <v>0</v>
      </c>
      <c r="O644" t="n">
        <v>0</v>
      </c>
      <c r="P644" t="n">
        <v>0</v>
      </c>
      <c r="Q644" t="n">
        <v>0</v>
      </c>
      <c r="R644" s="2" t="inlineStr"/>
    </row>
    <row r="645" ht="15" customHeight="1">
      <c r="A645" t="inlineStr">
        <is>
          <t>A 56754-2021</t>
        </is>
      </c>
      <c r="B645" s="1" t="n">
        <v>44481</v>
      </c>
      <c r="C645" s="1" t="n">
        <v>45364</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57416-2021</t>
        </is>
      </c>
      <c r="B646" s="1" t="n">
        <v>44483</v>
      </c>
      <c r="C646" s="1" t="n">
        <v>45364</v>
      </c>
      <c r="D646" t="inlineStr">
        <is>
          <t>KALMAR LÄN</t>
        </is>
      </c>
      <c r="E646" t="inlineStr">
        <is>
          <t>VIMMERBY</t>
        </is>
      </c>
      <c r="G646" t="n">
        <v>2.9</v>
      </c>
      <c r="H646" t="n">
        <v>0</v>
      </c>
      <c r="I646" t="n">
        <v>0</v>
      </c>
      <c r="J646" t="n">
        <v>0</v>
      </c>
      <c r="K646" t="n">
        <v>0</v>
      </c>
      <c r="L646" t="n">
        <v>0</v>
      </c>
      <c r="M646" t="n">
        <v>0</v>
      </c>
      <c r="N646" t="n">
        <v>0</v>
      </c>
      <c r="O646" t="n">
        <v>0</v>
      </c>
      <c r="P646" t="n">
        <v>0</v>
      </c>
      <c r="Q646" t="n">
        <v>0</v>
      </c>
      <c r="R646" s="2" t="inlineStr"/>
    </row>
    <row r="647" ht="15" customHeight="1">
      <c r="A647" t="inlineStr">
        <is>
          <t>A 57605-2021</t>
        </is>
      </c>
      <c r="B647" s="1" t="n">
        <v>44483</v>
      </c>
      <c r="C647" s="1" t="n">
        <v>45364</v>
      </c>
      <c r="D647" t="inlineStr">
        <is>
          <t>KALMAR LÄN</t>
        </is>
      </c>
      <c r="E647" t="inlineStr">
        <is>
          <t>VIMMERBY</t>
        </is>
      </c>
      <c r="G647" t="n">
        <v>13.1</v>
      </c>
      <c r="H647" t="n">
        <v>0</v>
      </c>
      <c r="I647" t="n">
        <v>0</v>
      </c>
      <c r="J647" t="n">
        <v>0</v>
      </c>
      <c r="K647" t="n">
        <v>0</v>
      </c>
      <c r="L647" t="n">
        <v>0</v>
      </c>
      <c r="M647" t="n">
        <v>0</v>
      </c>
      <c r="N647" t="n">
        <v>0</v>
      </c>
      <c r="O647" t="n">
        <v>0</v>
      </c>
      <c r="P647" t="n">
        <v>0</v>
      </c>
      <c r="Q647" t="n">
        <v>0</v>
      </c>
      <c r="R647" s="2" t="inlineStr"/>
    </row>
    <row r="648" ht="15" customHeight="1">
      <c r="A648" t="inlineStr">
        <is>
          <t>A 58318-2021</t>
        </is>
      </c>
      <c r="B648" s="1" t="n">
        <v>44488</v>
      </c>
      <c r="C648" s="1" t="n">
        <v>45364</v>
      </c>
      <c r="D648" t="inlineStr">
        <is>
          <t>KALMAR LÄN</t>
        </is>
      </c>
      <c r="E648" t="inlineStr">
        <is>
          <t>VIMMERBY</t>
        </is>
      </c>
      <c r="G648" t="n">
        <v>4</v>
      </c>
      <c r="H648" t="n">
        <v>0</v>
      </c>
      <c r="I648" t="n">
        <v>0</v>
      </c>
      <c r="J648" t="n">
        <v>0</v>
      </c>
      <c r="K648" t="n">
        <v>0</v>
      </c>
      <c r="L648" t="n">
        <v>0</v>
      </c>
      <c r="M648" t="n">
        <v>0</v>
      </c>
      <c r="N648" t="n">
        <v>0</v>
      </c>
      <c r="O648" t="n">
        <v>0</v>
      </c>
      <c r="P648" t="n">
        <v>0</v>
      </c>
      <c r="Q648" t="n">
        <v>0</v>
      </c>
      <c r="R648" s="2" t="inlineStr"/>
    </row>
    <row r="649" ht="15" customHeight="1">
      <c r="A649" t="inlineStr">
        <is>
          <t>A 59070-2021</t>
        </is>
      </c>
      <c r="B649" s="1" t="n">
        <v>44490</v>
      </c>
      <c r="C649" s="1" t="n">
        <v>45364</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59781-2021</t>
        </is>
      </c>
      <c r="B650" s="1" t="n">
        <v>44494</v>
      </c>
      <c r="C650" s="1" t="n">
        <v>45364</v>
      </c>
      <c r="D650" t="inlineStr">
        <is>
          <t>KALMAR LÄN</t>
        </is>
      </c>
      <c r="E650" t="inlineStr">
        <is>
          <t>VIMMERBY</t>
        </is>
      </c>
      <c r="G650" t="n">
        <v>5.6</v>
      </c>
      <c r="H650" t="n">
        <v>0</v>
      </c>
      <c r="I650" t="n">
        <v>0</v>
      </c>
      <c r="J650" t="n">
        <v>0</v>
      </c>
      <c r="K650" t="n">
        <v>0</v>
      </c>
      <c r="L650" t="n">
        <v>0</v>
      </c>
      <c r="M650" t="n">
        <v>0</v>
      </c>
      <c r="N650" t="n">
        <v>0</v>
      </c>
      <c r="O650" t="n">
        <v>0</v>
      </c>
      <c r="P650" t="n">
        <v>0</v>
      </c>
      <c r="Q650" t="n">
        <v>0</v>
      </c>
      <c r="R650" s="2" t="inlineStr"/>
    </row>
    <row r="651" ht="15" customHeight="1">
      <c r="A651" t="inlineStr">
        <is>
          <t>A 59791-2021</t>
        </is>
      </c>
      <c r="B651" s="1" t="n">
        <v>44494</v>
      </c>
      <c r="C651" s="1" t="n">
        <v>45364</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60228-2021</t>
        </is>
      </c>
      <c r="B652" s="1" t="n">
        <v>44495</v>
      </c>
      <c r="C652" s="1" t="n">
        <v>45364</v>
      </c>
      <c r="D652" t="inlineStr">
        <is>
          <t>KALMAR LÄN</t>
        </is>
      </c>
      <c r="E652" t="inlineStr">
        <is>
          <t>VIMMERBY</t>
        </is>
      </c>
      <c r="G652" t="n">
        <v>4.1</v>
      </c>
      <c r="H652" t="n">
        <v>0</v>
      </c>
      <c r="I652" t="n">
        <v>0</v>
      </c>
      <c r="J652" t="n">
        <v>0</v>
      </c>
      <c r="K652" t="n">
        <v>0</v>
      </c>
      <c r="L652" t="n">
        <v>0</v>
      </c>
      <c r="M652" t="n">
        <v>0</v>
      </c>
      <c r="N652" t="n">
        <v>0</v>
      </c>
      <c r="O652" t="n">
        <v>0</v>
      </c>
      <c r="P652" t="n">
        <v>0</v>
      </c>
      <c r="Q652" t="n">
        <v>0</v>
      </c>
      <c r="R652" s="2" t="inlineStr"/>
    </row>
    <row r="653" ht="15" customHeight="1">
      <c r="A653" t="inlineStr">
        <is>
          <t>A 60225-2021</t>
        </is>
      </c>
      <c r="B653" s="1" t="n">
        <v>44495</v>
      </c>
      <c r="C653" s="1" t="n">
        <v>45364</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60994-2021</t>
        </is>
      </c>
      <c r="B654" s="1" t="n">
        <v>44497</v>
      </c>
      <c r="C654" s="1" t="n">
        <v>45364</v>
      </c>
      <c r="D654" t="inlineStr">
        <is>
          <t>KALMAR LÄN</t>
        </is>
      </c>
      <c r="E654" t="inlineStr">
        <is>
          <t>VIMMERBY</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61939-2021</t>
        </is>
      </c>
      <c r="B655" s="1" t="n">
        <v>44502</v>
      </c>
      <c r="C655" s="1" t="n">
        <v>45364</v>
      </c>
      <c r="D655" t="inlineStr">
        <is>
          <t>KALMAR LÄN</t>
        </is>
      </c>
      <c r="E655" t="inlineStr">
        <is>
          <t>VIMMERBY</t>
        </is>
      </c>
      <c r="G655" t="n">
        <v>2.7</v>
      </c>
      <c r="H655" t="n">
        <v>0</v>
      </c>
      <c r="I655" t="n">
        <v>0</v>
      </c>
      <c r="J655" t="n">
        <v>0</v>
      </c>
      <c r="K655" t="n">
        <v>0</v>
      </c>
      <c r="L655" t="n">
        <v>0</v>
      </c>
      <c r="M655" t="n">
        <v>0</v>
      </c>
      <c r="N655" t="n">
        <v>0</v>
      </c>
      <c r="O655" t="n">
        <v>0</v>
      </c>
      <c r="P655" t="n">
        <v>0</v>
      </c>
      <c r="Q655" t="n">
        <v>0</v>
      </c>
      <c r="R655" s="2" t="inlineStr"/>
    </row>
    <row r="656" ht="15" customHeight="1">
      <c r="A656" t="inlineStr">
        <is>
          <t>A 63244-2021</t>
        </is>
      </c>
      <c r="B656" s="1" t="n">
        <v>44508</v>
      </c>
      <c r="C656" s="1" t="n">
        <v>45364</v>
      </c>
      <c r="D656" t="inlineStr">
        <is>
          <t>KALMAR LÄN</t>
        </is>
      </c>
      <c r="E656" t="inlineStr">
        <is>
          <t>VIMMERBY</t>
        </is>
      </c>
      <c r="F656" t="inlineStr">
        <is>
          <t>Övriga statliga verk och myndigheter</t>
        </is>
      </c>
      <c r="G656" t="n">
        <v>0.6</v>
      </c>
      <c r="H656" t="n">
        <v>0</v>
      </c>
      <c r="I656" t="n">
        <v>0</v>
      </c>
      <c r="J656" t="n">
        <v>0</v>
      </c>
      <c r="K656" t="n">
        <v>0</v>
      </c>
      <c r="L656" t="n">
        <v>0</v>
      </c>
      <c r="M656" t="n">
        <v>0</v>
      </c>
      <c r="N656" t="n">
        <v>0</v>
      </c>
      <c r="O656" t="n">
        <v>0</v>
      </c>
      <c r="P656" t="n">
        <v>0</v>
      </c>
      <c r="Q656" t="n">
        <v>0</v>
      </c>
      <c r="R656" s="2" t="inlineStr"/>
    </row>
    <row r="657" ht="15" customHeight="1">
      <c r="A657" t="inlineStr">
        <is>
          <t>A 63926-2021</t>
        </is>
      </c>
      <c r="B657" s="1" t="n">
        <v>44509</v>
      </c>
      <c r="C657" s="1" t="n">
        <v>45364</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64143-2021</t>
        </is>
      </c>
      <c r="B658" s="1" t="n">
        <v>44510</v>
      </c>
      <c r="C658" s="1" t="n">
        <v>45364</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64203-2021</t>
        </is>
      </c>
      <c r="B659" s="1" t="n">
        <v>44510</v>
      </c>
      <c r="C659" s="1" t="n">
        <v>45364</v>
      </c>
      <c r="D659" t="inlineStr">
        <is>
          <t>KALMAR LÄN</t>
        </is>
      </c>
      <c r="E659" t="inlineStr">
        <is>
          <t>VIMMERBY</t>
        </is>
      </c>
      <c r="F659" t="inlineStr">
        <is>
          <t>Övriga Aktiebolag</t>
        </is>
      </c>
      <c r="G659" t="n">
        <v>5.4</v>
      </c>
      <c r="H659" t="n">
        <v>0</v>
      </c>
      <c r="I659" t="n">
        <v>0</v>
      </c>
      <c r="J659" t="n">
        <v>0</v>
      </c>
      <c r="K659" t="n">
        <v>0</v>
      </c>
      <c r="L659" t="n">
        <v>0</v>
      </c>
      <c r="M659" t="n">
        <v>0</v>
      </c>
      <c r="N659" t="n">
        <v>0</v>
      </c>
      <c r="O659" t="n">
        <v>0</v>
      </c>
      <c r="P659" t="n">
        <v>0</v>
      </c>
      <c r="Q659" t="n">
        <v>0</v>
      </c>
      <c r="R659" s="2" t="inlineStr"/>
    </row>
    <row r="660" ht="15" customHeight="1">
      <c r="A660" t="inlineStr">
        <is>
          <t>A 64923-2021</t>
        </is>
      </c>
      <c r="B660" s="1" t="n">
        <v>44512</v>
      </c>
      <c r="C660" s="1" t="n">
        <v>45364</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65670-2021</t>
        </is>
      </c>
      <c r="B661" s="1" t="n">
        <v>44516</v>
      </c>
      <c r="C661" s="1" t="n">
        <v>45364</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65864-2021</t>
        </is>
      </c>
      <c r="B662" s="1" t="n">
        <v>44517</v>
      </c>
      <c r="C662" s="1" t="n">
        <v>45364</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65887-2021</t>
        </is>
      </c>
      <c r="B663" s="1" t="n">
        <v>44517</v>
      </c>
      <c r="C663" s="1" t="n">
        <v>45364</v>
      </c>
      <c r="D663" t="inlineStr">
        <is>
          <t>KALMAR LÄN</t>
        </is>
      </c>
      <c r="E663" t="inlineStr">
        <is>
          <t>VIMMERBY</t>
        </is>
      </c>
      <c r="G663" t="n">
        <v>1.4</v>
      </c>
      <c r="H663" t="n">
        <v>0</v>
      </c>
      <c r="I663" t="n">
        <v>0</v>
      </c>
      <c r="J663" t="n">
        <v>0</v>
      </c>
      <c r="K663" t="n">
        <v>0</v>
      </c>
      <c r="L663" t="n">
        <v>0</v>
      </c>
      <c r="M663" t="n">
        <v>0</v>
      </c>
      <c r="N663" t="n">
        <v>0</v>
      </c>
      <c r="O663" t="n">
        <v>0</v>
      </c>
      <c r="P663" t="n">
        <v>0</v>
      </c>
      <c r="Q663" t="n">
        <v>0</v>
      </c>
      <c r="R663" s="2" t="inlineStr"/>
    </row>
    <row r="664" ht="15" customHeight="1">
      <c r="A664" t="inlineStr">
        <is>
          <t>A 66022-2021</t>
        </is>
      </c>
      <c r="B664" s="1" t="n">
        <v>44517</v>
      </c>
      <c r="C664" s="1" t="n">
        <v>45364</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67952-2021</t>
        </is>
      </c>
      <c r="B665" s="1" t="n">
        <v>44525</v>
      </c>
      <c r="C665" s="1" t="n">
        <v>45364</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67983-2021</t>
        </is>
      </c>
      <c r="B666" s="1" t="n">
        <v>44525</v>
      </c>
      <c r="C666" s="1" t="n">
        <v>45364</v>
      </c>
      <c r="D666" t="inlineStr">
        <is>
          <t>KALMAR LÄN</t>
        </is>
      </c>
      <c r="E666" t="inlineStr">
        <is>
          <t>VIMMERBY</t>
        </is>
      </c>
      <c r="G666" t="n">
        <v>6.1</v>
      </c>
      <c r="H666" t="n">
        <v>0</v>
      </c>
      <c r="I666" t="n">
        <v>0</v>
      </c>
      <c r="J666" t="n">
        <v>0</v>
      </c>
      <c r="K666" t="n">
        <v>0</v>
      </c>
      <c r="L666" t="n">
        <v>0</v>
      </c>
      <c r="M666" t="n">
        <v>0</v>
      </c>
      <c r="N666" t="n">
        <v>0</v>
      </c>
      <c r="O666" t="n">
        <v>0</v>
      </c>
      <c r="P666" t="n">
        <v>0</v>
      </c>
      <c r="Q666" t="n">
        <v>0</v>
      </c>
      <c r="R666" s="2" t="inlineStr"/>
    </row>
    <row r="667" ht="15" customHeight="1">
      <c r="A667" t="inlineStr">
        <is>
          <t>A 68426-2021</t>
        </is>
      </c>
      <c r="B667" s="1" t="n">
        <v>44529</v>
      </c>
      <c r="C667" s="1" t="n">
        <v>45364</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68840-2021</t>
        </is>
      </c>
      <c r="B668" s="1" t="n">
        <v>44530</v>
      </c>
      <c r="C668" s="1" t="n">
        <v>45364</v>
      </c>
      <c r="D668" t="inlineStr">
        <is>
          <t>KALMAR LÄN</t>
        </is>
      </c>
      <c r="E668" t="inlineStr">
        <is>
          <t>VIMMERBY</t>
        </is>
      </c>
      <c r="G668" t="n">
        <v>1.4</v>
      </c>
      <c r="H668" t="n">
        <v>0</v>
      </c>
      <c r="I668" t="n">
        <v>0</v>
      </c>
      <c r="J668" t="n">
        <v>0</v>
      </c>
      <c r="K668" t="n">
        <v>0</v>
      </c>
      <c r="L668" t="n">
        <v>0</v>
      </c>
      <c r="M668" t="n">
        <v>0</v>
      </c>
      <c r="N668" t="n">
        <v>0</v>
      </c>
      <c r="O668" t="n">
        <v>0</v>
      </c>
      <c r="P668" t="n">
        <v>0</v>
      </c>
      <c r="Q668" t="n">
        <v>0</v>
      </c>
      <c r="R668" s="2" t="inlineStr"/>
    </row>
    <row r="669" ht="15" customHeight="1">
      <c r="A669" t="inlineStr">
        <is>
          <t>A 71775-2021</t>
        </is>
      </c>
      <c r="B669" s="1" t="n">
        <v>44539</v>
      </c>
      <c r="C669" s="1" t="n">
        <v>45364</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71793-2021</t>
        </is>
      </c>
      <c r="B670" s="1" t="n">
        <v>44539</v>
      </c>
      <c r="C670" s="1" t="n">
        <v>45364</v>
      </c>
      <c r="D670" t="inlineStr">
        <is>
          <t>KALMAR LÄN</t>
        </is>
      </c>
      <c r="E670" t="inlineStr">
        <is>
          <t>VIMMERBY</t>
        </is>
      </c>
      <c r="G670" t="n">
        <v>2.7</v>
      </c>
      <c r="H670" t="n">
        <v>0</v>
      </c>
      <c r="I670" t="n">
        <v>0</v>
      </c>
      <c r="J670" t="n">
        <v>0</v>
      </c>
      <c r="K670" t="n">
        <v>0</v>
      </c>
      <c r="L670" t="n">
        <v>0</v>
      </c>
      <c r="M670" t="n">
        <v>0</v>
      </c>
      <c r="N670" t="n">
        <v>0</v>
      </c>
      <c r="O670" t="n">
        <v>0</v>
      </c>
      <c r="P670" t="n">
        <v>0</v>
      </c>
      <c r="Q670" t="n">
        <v>0</v>
      </c>
      <c r="R670" s="2" t="inlineStr"/>
    </row>
    <row r="671" ht="15" customHeight="1">
      <c r="A671" t="inlineStr">
        <is>
          <t>A 72067-2021</t>
        </is>
      </c>
      <c r="B671" s="1" t="n">
        <v>44540</v>
      </c>
      <c r="C671" s="1" t="n">
        <v>45364</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71631-2021</t>
        </is>
      </c>
      <c r="B672" s="1" t="n">
        <v>44542</v>
      </c>
      <c r="C672" s="1" t="n">
        <v>45364</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71626-2021</t>
        </is>
      </c>
      <c r="B673" s="1" t="n">
        <v>44542</v>
      </c>
      <c r="C673" s="1" t="n">
        <v>45364</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72701-2021</t>
        </is>
      </c>
      <c r="B674" s="1" t="n">
        <v>44546</v>
      </c>
      <c r="C674" s="1" t="n">
        <v>45364</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73938-2021</t>
        </is>
      </c>
      <c r="B675" s="1" t="n">
        <v>44553</v>
      </c>
      <c r="C675" s="1" t="n">
        <v>45364</v>
      </c>
      <c r="D675" t="inlineStr">
        <is>
          <t>KALMAR LÄN</t>
        </is>
      </c>
      <c r="E675" t="inlineStr">
        <is>
          <t>VIMMERBY</t>
        </is>
      </c>
      <c r="G675" t="n">
        <v>3.2</v>
      </c>
      <c r="H675" t="n">
        <v>0</v>
      </c>
      <c r="I675" t="n">
        <v>0</v>
      </c>
      <c r="J675" t="n">
        <v>0</v>
      </c>
      <c r="K675" t="n">
        <v>0</v>
      </c>
      <c r="L675" t="n">
        <v>0</v>
      </c>
      <c r="M675" t="n">
        <v>0</v>
      </c>
      <c r="N675" t="n">
        <v>0</v>
      </c>
      <c r="O675" t="n">
        <v>0</v>
      </c>
      <c r="P675" t="n">
        <v>0</v>
      </c>
      <c r="Q675" t="n">
        <v>0</v>
      </c>
      <c r="R675" s="2" t="inlineStr"/>
    </row>
    <row r="676" ht="15" customHeight="1">
      <c r="A676" t="inlineStr">
        <is>
          <t>A 172-2022</t>
        </is>
      </c>
      <c r="B676" s="1" t="n">
        <v>44564</v>
      </c>
      <c r="C676" s="1" t="n">
        <v>45364</v>
      </c>
      <c r="D676" t="inlineStr">
        <is>
          <t>KALMAR LÄN</t>
        </is>
      </c>
      <c r="E676" t="inlineStr">
        <is>
          <t>VIMMERBY</t>
        </is>
      </c>
      <c r="G676" t="n">
        <v>2.1</v>
      </c>
      <c r="H676" t="n">
        <v>0</v>
      </c>
      <c r="I676" t="n">
        <v>0</v>
      </c>
      <c r="J676" t="n">
        <v>0</v>
      </c>
      <c r="K676" t="n">
        <v>0</v>
      </c>
      <c r="L676" t="n">
        <v>0</v>
      </c>
      <c r="M676" t="n">
        <v>0</v>
      </c>
      <c r="N676" t="n">
        <v>0</v>
      </c>
      <c r="O676" t="n">
        <v>0</v>
      </c>
      <c r="P676" t="n">
        <v>0</v>
      </c>
      <c r="Q676" t="n">
        <v>0</v>
      </c>
      <c r="R676" s="2" t="inlineStr"/>
    </row>
    <row r="677" ht="15" customHeight="1">
      <c r="A677" t="inlineStr">
        <is>
          <t>A 165-2022</t>
        </is>
      </c>
      <c r="B677" s="1" t="n">
        <v>44564</v>
      </c>
      <c r="C677" s="1" t="n">
        <v>45364</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529-2022</t>
        </is>
      </c>
      <c r="B678" s="1" t="n">
        <v>44566</v>
      </c>
      <c r="C678" s="1" t="n">
        <v>45364</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1627-2022</t>
        </is>
      </c>
      <c r="B679" s="1" t="n">
        <v>44573</v>
      </c>
      <c r="C679" s="1" t="n">
        <v>45364</v>
      </c>
      <c r="D679" t="inlineStr">
        <is>
          <t>KALMAR LÄN</t>
        </is>
      </c>
      <c r="E679" t="inlineStr">
        <is>
          <t>VIMMERBY</t>
        </is>
      </c>
      <c r="G679" t="n">
        <v>2.3</v>
      </c>
      <c r="H679" t="n">
        <v>0</v>
      </c>
      <c r="I679" t="n">
        <v>0</v>
      </c>
      <c r="J679" t="n">
        <v>0</v>
      </c>
      <c r="K679" t="n">
        <v>0</v>
      </c>
      <c r="L679" t="n">
        <v>0</v>
      </c>
      <c r="M679" t="n">
        <v>0</v>
      </c>
      <c r="N679" t="n">
        <v>0</v>
      </c>
      <c r="O679" t="n">
        <v>0</v>
      </c>
      <c r="P679" t="n">
        <v>0</v>
      </c>
      <c r="Q679" t="n">
        <v>0</v>
      </c>
      <c r="R679" s="2" t="inlineStr"/>
    </row>
    <row r="680" ht="15" customHeight="1">
      <c r="A680" t="inlineStr">
        <is>
          <t>A 1838-2022</t>
        </is>
      </c>
      <c r="B680" s="1" t="n">
        <v>44574</v>
      </c>
      <c r="C680" s="1" t="n">
        <v>45364</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2069-2022</t>
        </is>
      </c>
      <c r="B681" s="1" t="n">
        <v>44575</v>
      </c>
      <c r="C681" s="1" t="n">
        <v>45364</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2121-2022</t>
        </is>
      </c>
      <c r="B682" s="1" t="n">
        <v>44578</v>
      </c>
      <c r="C682" s="1" t="n">
        <v>45364</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2196-2022</t>
        </is>
      </c>
      <c r="B683" s="1" t="n">
        <v>44578</v>
      </c>
      <c r="C683" s="1" t="n">
        <v>45364</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2183-2022</t>
        </is>
      </c>
      <c r="B684" s="1" t="n">
        <v>44578</v>
      </c>
      <c r="C684" s="1" t="n">
        <v>45364</v>
      </c>
      <c r="D684" t="inlineStr">
        <is>
          <t>KALMAR LÄN</t>
        </is>
      </c>
      <c r="E684" t="inlineStr">
        <is>
          <t>VIMMERBY</t>
        </is>
      </c>
      <c r="G684" t="n">
        <v>4.8</v>
      </c>
      <c r="H684" t="n">
        <v>0</v>
      </c>
      <c r="I684" t="n">
        <v>0</v>
      </c>
      <c r="J684" t="n">
        <v>0</v>
      </c>
      <c r="K684" t="n">
        <v>0</v>
      </c>
      <c r="L684" t="n">
        <v>0</v>
      </c>
      <c r="M684" t="n">
        <v>0</v>
      </c>
      <c r="N684" t="n">
        <v>0</v>
      </c>
      <c r="O684" t="n">
        <v>0</v>
      </c>
      <c r="P684" t="n">
        <v>0</v>
      </c>
      <c r="Q684" t="n">
        <v>0</v>
      </c>
      <c r="R684" s="2" t="inlineStr"/>
    </row>
    <row r="685" ht="15" customHeight="1">
      <c r="A685" t="inlineStr">
        <is>
          <t>A 2260-2022</t>
        </is>
      </c>
      <c r="B685" s="1" t="n">
        <v>44578</v>
      </c>
      <c r="C685" s="1" t="n">
        <v>45364</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2411-2022</t>
        </is>
      </c>
      <c r="B686" s="1" t="n">
        <v>44579</v>
      </c>
      <c r="C686" s="1" t="n">
        <v>45364</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2462-2022</t>
        </is>
      </c>
      <c r="B687" s="1" t="n">
        <v>44579</v>
      </c>
      <c r="C687" s="1" t="n">
        <v>45364</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3425-2022</t>
        </is>
      </c>
      <c r="B688" s="1" t="n">
        <v>44585</v>
      </c>
      <c r="C688" s="1" t="n">
        <v>45364</v>
      </c>
      <c r="D688" t="inlineStr">
        <is>
          <t>KALMAR LÄN</t>
        </is>
      </c>
      <c r="E688" t="inlineStr">
        <is>
          <t>VIMMERBY</t>
        </is>
      </c>
      <c r="G688" t="n">
        <v>1.3</v>
      </c>
      <c r="H688" t="n">
        <v>0</v>
      </c>
      <c r="I688" t="n">
        <v>0</v>
      </c>
      <c r="J688" t="n">
        <v>0</v>
      </c>
      <c r="K688" t="n">
        <v>0</v>
      </c>
      <c r="L688" t="n">
        <v>0</v>
      </c>
      <c r="M688" t="n">
        <v>0</v>
      </c>
      <c r="N688" t="n">
        <v>0</v>
      </c>
      <c r="O688" t="n">
        <v>0</v>
      </c>
      <c r="P688" t="n">
        <v>0</v>
      </c>
      <c r="Q688" t="n">
        <v>0</v>
      </c>
      <c r="R688" s="2" t="inlineStr"/>
    </row>
    <row r="689" ht="15" customHeight="1">
      <c r="A689" t="inlineStr">
        <is>
          <t>A 3423-2022</t>
        </is>
      </c>
      <c r="B689" s="1" t="n">
        <v>44585</v>
      </c>
      <c r="C689" s="1" t="n">
        <v>45364</v>
      </c>
      <c r="D689" t="inlineStr">
        <is>
          <t>KALMAR LÄN</t>
        </is>
      </c>
      <c r="E689" t="inlineStr">
        <is>
          <t>VIMMERBY</t>
        </is>
      </c>
      <c r="G689" t="n">
        <v>1.7</v>
      </c>
      <c r="H689" t="n">
        <v>0</v>
      </c>
      <c r="I689" t="n">
        <v>0</v>
      </c>
      <c r="J689" t="n">
        <v>0</v>
      </c>
      <c r="K689" t="n">
        <v>0</v>
      </c>
      <c r="L689" t="n">
        <v>0</v>
      </c>
      <c r="M689" t="n">
        <v>0</v>
      </c>
      <c r="N689" t="n">
        <v>0</v>
      </c>
      <c r="O689" t="n">
        <v>0</v>
      </c>
      <c r="P689" t="n">
        <v>0</v>
      </c>
      <c r="Q689" t="n">
        <v>0</v>
      </c>
      <c r="R689" s="2" t="inlineStr"/>
    </row>
    <row r="690" ht="15" customHeight="1">
      <c r="A690" t="inlineStr">
        <is>
          <t>A 3426-2022</t>
        </is>
      </c>
      <c r="B690" s="1" t="n">
        <v>44585</v>
      </c>
      <c r="C690" s="1" t="n">
        <v>45364</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3816-2022</t>
        </is>
      </c>
      <c r="B691" s="1" t="n">
        <v>44587</v>
      </c>
      <c r="C691" s="1" t="n">
        <v>45364</v>
      </c>
      <c r="D691" t="inlineStr">
        <is>
          <t>KALMAR LÄN</t>
        </is>
      </c>
      <c r="E691" t="inlineStr">
        <is>
          <t>VIMMERBY</t>
        </is>
      </c>
      <c r="G691" t="n">
        <v>1.2</v>
      </c>
      <c r="H691" t="n">
        <v>0</v>
      </c>
      <c r="I691" t="n">
        <v>0</v>
      </c>
      <c r="J691" t="n">
        <v>0</v>
      </c>
      <c r="K691" t="n">
        <v>0</v>
      </c>
      <c r="L691" t="n">
        <v>0</v>
      </c>
      <c r="M691" t="n">
        <v>0</v>
      </c>
      <c r="N691" t="n">
        <v>0</v>
      </c>
      <c r="O691" t="n">
        <v>0</v>
      </c>
      <c r="P691" t="n">
        <v>0</v>
      </c>
      <c r="Q691" t="n">
        <v>0</v>
      </c>
      <c r="R691" s="2" t="inlineStr"/>
    </row>
    <row r="692" ht="15" customHeight="1">
      <c r="A692" t="inlineStr">
        <is>
          <t>A 3902-2022</t>
        </is>
      </c>
      <c r="B692" s="1" t="n">
        <v>44587</v>
      </c>
      <c r="C692" s="1" t="n">
        <v>45364</v>
      </c>
      <c r="D692" t="inlineStr">
        <is>
          <t>KALMAR LÄN</t>
        </is>
      </c>
      <c r="E692" t="inlineStr">
        <is>
          <t>VIMMERBY</t>
        </is>
      </c>
      <c r="G692" t="n">
        <v>2.6</v>
      </c>
      <c r="H692" t="n">
        <v>0</v>
      </c>
      <c r="I692" t="n">
        <v>0</v>
      </c>
      <c r="J692" t="n">
        <v>0</v>
      </c>
      <c r="K692" t="n">
        <v>0</v>
      </c>
      <c r="L692" t="n">
        <v>0</v>
      </c>
      <c r="M692" t="n">
        <v>0</v>
      </c>
      <c r="N692" t="n">
        <v>0</v>
      </c>
      <c r="O692" t="n">
        <v>0</v>
      </c>
      <c r="P692" t="n">
        <v>0</v>
      </c>
      <c r="Q692" t="n">
        <v>0</v>
      </c>
      <c r="R692" s="2" t="inlineStr"/>
    </row>
    <row r="693" ht="15" customHeight="1">
      <c r="A693" t="inlineStr">
        <is>
          <t>A 4046-2022</t>
        </is>
      </c>
      <c r="B693" s="1" t="n">
        <v>44588</v>
      </c>
      <c r="C693" s="1" t="n">
        <v>45364</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4054-2022</t>
        </is>
      </c>
      <c r="B694" s="1" t="n">
        <v>44588</v>
      </c>
      <c r="C694" s="1" t="n">
        <v>45364</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4118-2022</t>
        </is>
      </c>
      <c r="B695" s="1" t="n">
        <v>44588</v>
      </c>
      <c r="C695" s="1" t="n">
        <v>45364</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4126-2022</t>
        </is>
      </c>
      <c r="B696" s="1" t="n">
        <v>44588</v>
      </c>
      <c r="C696" s="1" t="n">
        <v>45364</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4042-2022</t>
        </is>
      </c>
      <c r="B697" s="1" t="n">
        <v>44588</v>
      </c>
      <c r="C697" s="1" t="n">
        <v>45364</v>
      </c>
      <c r="D697" t="inlineStr">
        <is>
          <t>KALMAR LÄN</t>
        </is>
      </c>
      <c r="E697" t="inlineStr">
        <is>
          <t>VIMMERBY</t>
        </is>
      </c>
      <c r="G697" t="n">
        <v>4.7</v>
      </c>
      <c r="H697" t="n">
        <v>0</v>
      </c>
      <c r="I697" t="n">
        <v>0</v>
      </c>
      <c r="J697" t="n">
        <v>0</v>
      </c>
      <c r="K697" t="n">
        <v>0</v>
      </c>
      <c r="L697" t="n">
        <v>0</v>
      </c>
      <c r="M697" t="n">
        <v>0</v>
      </c>
      <c r="N697" t="n">
        <v>0</v>
      </c>
      <c r="O697" t="n">
        <v>0</v>
      </c>
      <c r="P697" t="n">
        <v>0</v>
      </c>
      <c r="Q697" t="n">
        <v>0</v>
      </c>
      <c r="R697" s="2" t="inlineStr"/>
    </row>
    <row r="698" ht="15" customHeight="1">
      <c r="A698" t="inlineStr">
        <is>
          <t>A 4076-2022</t>
        </is>
      </c>
      <c r="B698" s="1" t="n">
        <v>44588</v>
      </c>
      <c r="C698" s="1" t="n">
        <v>45364</v>
      </c>
      <c r="D698" t="inlineStr">
        <is>
          <t>KALMAR LÄN</t>
        </is>
      </c>
      <c r="E698" t="inlineStr">
        <is>
          <t>VIMMERBY</t>
        </is>
      </c>
      <c r="G698" t="n">
        <v>3</v>
      </c>
      <c r="H698" t="n">
        <v>0</v>
      </c>
      <c r="I698" t="n">
        <v>0</v>
      </c>
      <c r="J698" t="n">
        <v>0</v>
      </c>
      <c r="K698" t="n">
        <v>0</v>
      </c>
      <c r="L698" t="n">
        <v>0</v>
      </c>
      <c r="M698" t="n">
        <v>0</v>
      </c>
      <c r="N698" t="n">
        <v>0</v>
      </c>
      <c r="O698" t="n">
        <v>0</v>
      </c>
      <c r="P698" t="n">
        <v>0</v>
      </c>
      <c r="Q698" t="n">
        <v>0</v>
      </c>
      <c r="R698" s="2" t="inlineStr"/>
    </row>
    <row r="699" ht="15" customHeight="1">
      <c r="A699" t="inlineStr">
        <is>
          <t>A 4122-2022</t>
        </is>
      </c>
      <c r="B699" s="1" t="n">
        <v>44588</v>
      </c>
      <c r="C699" s="1" t="n">
        <v>45364</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4297-2022</t>
        </is>
      </c>
      <c r="B700" s="1" t="n">
        <v>44588</v>
      </c>
      <c r="C700" s="1" t="n">
        <v>45364</v>
      </c>
      <c r="D700" t="inlineStr">
        <is>
          <t>KALMAR LÄN</t>
        </is>
      </c>
      <c r="E700" t="inlineStr">
        <is>
          <t>VIMMERBY</t>
        </is>
      </c>
      <c r="G700" t="n">
        <v>1</v>
      </c>
      <c r="H700" t="n">
        <v>0</v>
      </c>
      <c r="I700" t="n">
        <v>0</v>
      </c>
      <c r="J700" t="n">
        <v>0</v>
      </c>
      <c r="K700" t="n">
        <v>0</v>
      </c>
      <c r="L700" t="n">
        <v>0</v>
      </c>
      <c r="M700" t="n">
        <v>0</v>
      </c>
      <c r="N700" t="n">
        <v>0</v>
      </c>
      <c r="O700" t="n">
        <v>0</v>
      </c>
      <c r="P700" t="n">
        <v>0</v>
      </c>
      <c r="Q700" t="n">
        <v>0</v>
      </c>
      <c r="R700" s="2" t="inlineStr"/>
    </row>
    <row r="701" ht="15" customHeight="1">
      <c r="A701" t="inlineStr">
        <is>
          <t>A 4296-2022</t>
        </is>
      </c>
      <c r="B701" s="1" t="n">
        <v>44588</v>
      </c>
      <c r="C701" s="1" t="n">
        <v>45364</v>
      </c>
      <c r="D701" t="inlineStr">
        <is>
          <t>KALMAR LÄN</t>
        </is>
      </c>
      <c r="E701" t="inlineStr">
        <is>
          <t>VIMMERBY</t>
        </is>
      </c>
      <c r="G701" t="n">
        <v>1.8</v>
      </c>
      <c r="H701" t="n">
        <v>0</v>
      </c>
      <c r="I701" t="n">
        <v>0</v>
      </c>
      <c r="J701" t="n">
        <v>0</v>
      </c>
      <c r="K701" t="n">
        <v>0</v>
      </c>
      <c r="L701" t="n">
        <v>0</v>
      </c>
      <c r="M701" t="n">
        <v>0</v>
      </c>
      <c r="N701" t="n">
        <v>0</v>
      </c>
      <c r="O701" t="n">
        <v>0</v>
      </c>
      <c r="P701" t="n">
        <v>0</v>
      </c>
      <c r="Q701" t="n">
        <v>0</v>
      </c>
      <c r="R701" s="2" t="inlineStr"/>
    </row>
    <row r="702" ht="15" customHeight="1">
      <c r="A702" t="inlineStr">
        <is>
          <t>A 4532-2022</t>
        </is>
      </c>
      <c r="B702" s="1" t="n">
        <v>44590</v>
      </c>
      <c r="C702" s="1" t="n">
        <v>45364</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5527-2022</t>
        </is>
      </c>
      <c r="B703" s="1" t="n">
        <v>44595</v>
      </c>
      <c r="C703" s="1" t="n">
        <v>45364</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5545-2022</t>
        </is>
      </c>
      <c r="B704" s="1" t="n">
        <v>44595</v>
      </c>
      <c r="C704" s="1" t="n">
        <v>45364</v>
      </c>
      <c r="D704" t="inlineStr">
        <is>
          <t>KALMAR LÄN</t>
        </is>
      </c>
      <c r="E704" t="inlineStr">
        <is>
          <t>VIMMERBY</t>
        </is>
      </c>
      <c r="G704" t="n">
        <v>2.2</v>
      </c>
      <c r="H704" t="n">
        <v>0</v>
      </c>
      <c r="I704" t="n">
        <v>0</v>
      </c>
      <c r="J704" t="n">
        <v>0</v>
      </c>
      <c r="K704" t="n">
        <v>0</v>
      </c>
      <c r="L704" t="n">
        <v>0</v>
      </c>
      <c r="M704" t="n">
        <v>0</v>
      </c>
      <c r="N704" t="n">
        <v>0</v>
      </c>
      <c r="O704" t="n">
        <v>0</v>
      </c>
      <c r="P704" t="n">
        <v>0</v>
      </c>
      <c r="Q704" t="n">
        <v>0</v>
      </c>
      <c r="R704" s="2" t="inlineStr"/>
    </row>
    <row r="705" ht="15" customHeight="1">
      <c r="A705" t="inlineStr">
        <is>
          <t>A 5618-2022</t>
        </is>
      </c>
      <c r="B705" s="1" t="n">
        <v>44595</v>
      </c>
      <c r="C705" s="1" t="n">
        <v>45364</v>
      </c>
      <c r="D705" t="inlineStr">
        <is>
          <t>KALMAR LÄN</t>
        </is>
      </c>
      <c r="E705" t="inlineStr">
        <is>
          <t>VIMMERBY</t>
        </is>
      </c>
      <c r="G705" t="n">
        <v>3.6</v>
      </c>
      <c r="H705" t="n">
        <v>0</v>
      </c>
      <c r="I705" t="n">
        <v>0</v>
      </c>
      <c r="J705" t="n">
        <v>0</v>
      </c>
      <c r="K705" t="n">
        <v>0</v>
      </c>
      <c r="L705" t="n">
        <v>0</v>
      </c>
      <c r="M705" t="n">
        <v>0</v>
      </c>
      <c r="N705" t="n">
        <v>0</v>
      </c>
      <c r="O705" t="n">
        <v>0</v>
      </c>
      <c r="P705" t="n">
        <v>0</v>
      </c>
      <c r="Q705" t="n">
        <v>0</v>
      </c>
      <c r="R705" s="2" t="inlineStr"/>
    </row>
    <row r="706" ht="15" customHeight="1">
      <c r="A706" t="inlineStr">
        <is>
          <t>A 5864-2022</t>
        </is>
      </c>
      <c r="B706" s="1" t="n">
        <v>44596</v>
      </c>
      <c r="C706" s="1" t="n">
        <v>45364</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5925-2022</t>
        </is>
      </c>
      <c r="B707" s="1" t="n">
        <v>44598</v>
      </c>
      <c r="C707" s="1" t="n">
        <v>45364</v>
      </c>
      <c r="D707" t="inlineStr">
        <is>
          <t>KALMAR LÄN</t>
        </is>
      </c>
      <c r="E707" t="inlineStr">
        <is>
          <t>VIMMERBY</t>
        </is>
      </c>
      <c r="G707" t="n">
        <v>2.1</v>
      </c>
      <c r="H707" t="n">
        <v>0</v>
      </c>
      <c r="I707" t="n">
        <v>0</v>
      </c>
      <c r="J707" t="n">
        <v>0</v>
      </c>
      <c r="K707" t="n">
        <v>0</v>
      </c>
      <c r="L707" t="n">
        <v>0</v>
      </c>
      <c r="M707" t="n">
        <v>0</v>
      </c>
      <c r="N707" t="n">
        <v>0</v>
      </c>
      <c r="O707" t="n">
        <v>0</v>
      </c>
      <c r="P707" t="n">
        <v>0</v>
      </c>
      <c r="Q707" t="n">
        <v>0</v>
      </c>
      <c r="R707" s="2" t="inlineStr"/>
    </row>
    <row r="708" ht="15" customHeight="1">
      <c r="A708" t="inlineStr">
        <is>
          <t>A 5938-2022</t>
        </is>
      </c>
      <c r="B708" s="1" t="n">
        <v>44598</v>
      </c>
      <c r="C708" s="1" t="n">
        <v>45364</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6083-2022</t>
        </is>
      </c>
      <c r="B709" s="1" t="n">
        <v>44599</v>
      </c>
      <c r="C709" s="1" t="n">
        <v>45364</v>
      </c>
      <c r="D709" t="inlineStr">
        <is>
          <t>KALMAR LÄN</t>
        </is>
      </c>
      <c r="E709" t="inlineStr">
        <is>
          <t>VIMMERBY</t>
        </is>
      </c>
      <c r="G709" t="n">
        <v>6.6</v>
      </c>
      <c r="H709" t="n">
        <v>0</v>
      </c>
      <c r="I709" t="n">
        <v>0</v>
      </c>
      <c r="J709" t="n">
        <v>0</v>
      </c>
      <c r="K709" t="n">
        <v>0</v>
      </c>
      <c r="L709" t="n">
        <v>0</v>
      </c>
      <c r="M709" t="n">
        <v>0</v>
      </c>
      <c r="N709" t="n">
        <v>0</v>
      </c>
      <c r="O709" t="n">
        <v>0</v>
      </c>
      <c r="P709" t="n">
        <v>0</v>
      </c>
      <c r="Q709" t="n">
        <v>0</v>
      </c>
      <c r="R709" s="2" t="inlineStr"/>
    </row>
    <row r="710" ht="15" customHeight="1">
      <c r="A710" t="inlineStr">
        <is>
          <t>A 6082-2022</t>
        </is>
      </c>
      <c r="B710" s="1" t="n">
        <v>44599</v>
      </c>
      <c r="C710" s="1" t="n">
        <v>45364</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6358-2022</t>
        </is>
      </c>
      <c r="B711" s="1" t="n">
        <v>44600</v>
      </c>
      <c r="C711" s="1" t="n">
        <v>45364</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6355-2022</t>
        </is>
      </c>
      <c r="B712" s="1" t="n">
        <v>44600</v>
      </c>
      <c r="C712" s="1" t="n">
        <v>45364</v>
      </c>
      <c r="D712" t="inlineStr">
        <is>
          <t>KALMAR LÄN</t>
        </is>
      </c>
      <c r="E712" t="inlineStr">
        <is>
          <t>VIMMERBY</t>
        </is>
      </c>
      <c r="G712" t="n">
        <v>4.9</v>
      </c>
      <c r="H712" t="n">
        <v>0</v>
      </c>
      <c r="I712" t="n">
        <v>0</v>
      </c>
      <c r="J712" t="n">
        <v>0</v>
      </c>
      <c r="K712" t="n">
        <v>0</v>
      </c>
      <c r="L712" t="n">
        <v>0</v>
      </c>
      <c r="M712" t="n">
        <v>0</v>
      </c>
      <c r="N712" t="n">
        <v>0</v>
      </c>
      <c r="O712" t="n">
        <v>0</v>
      </c>
      <c r="P712" t="n">
        <v>0</v>
      </c>
      <c r="Q712" t="n">
        <v>0</v>
      </c>
      <c r="R712" s="2" t="inlineStr"/>
    </row>
    <row r="713" ht="15" customHeight="1">
      <c r="A713" t="inlineStr">
        <is>
          <t>A 7047-2022</t>
        </is>
      </c>
      <c r="B713" s="1" t="n">
        <v>44603</v>
      </c>
      <c r="C713" s="1" t="n">
        <v>45364</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7049-2022</t>
        </is>
      </c>
      <c r="B714" s="1" t="n">
        <v>44603</v>
      </c>
      <c r="C714" s="1" t="n">
        <v>45364</v>
      </c>
      <c r="D714" t="inlineStr">
        <is>
          <t>KALMAR LÄN</t>
        </is>
      </c>
      <c r="E714" t="inlineStr">
        <is>
          <t>VIMMERBY</t>
        </is>
      </c>
      <c r="G714" t="n">
        <v>2.3</v>
      </c>
      <c r="H714" t="n">
        <v>0</v>
      </c>
      <c r="I714" t="n">
        <v>0</v>
      </c>
      <c r="J714" t="n">
        <v>0</v>
      </c>
      <c r="K714" t="n">
        <v>0</v>
      </c>
      <c r="L714" t="n">
        <v>0</v>
      </c>
      <c r="M714" t="n">
        <v>0</v>
      </c>
      <c r="N714" t="n">
        <v>0</v>
      </c>
      <c r="O714" t="n">
        <v>0</v>
      </c>
      <c r="P714" t="n">
        <v>0</v>
      </c>
      <c r="Q714" t="n">
        <v>0</v>
      </c>
      <c r="R714" s="2" t="inlineStr"/>
    </row>
    <row r="715" ht="15" customHeight="1">
      <c r="A715" t="inlineStr">
        <is>
          <t>A 7167-2022</t>
        </is>
      </c>
      <c r="B715" s="1" t="n">
        <v>44604</v>
      </c>
      <c r="C715" s="1" t="n">
        <v>45364</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7643-2022</t>
        </is>
      </c>
      <c r="B716" s="1" t="n">
        <v>44607</v>
      </c>
      <c r="C716" s="1" t="n">
        <v>45364</v>
      </c>
      <c r="D716" t="inlineStr">
        <is>
          <t>KALMAR LÄN</t>
        </is>
      </c>
      <c r="E716" t="inlineStr">
        <is>
          <t>VIMMERBY</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7804-2022</t>
        </is>
      </c>
      <c r="B717" s="1" t="n">
        <v>44608</v>
      </c>
      <c r="C717" s="1" t="n">
        <v>45364</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7917-2022</t>
        </is>
      </c>
      <c r="B718" s="1" t="n">
        <v>44608</v>
      </c>
      <c r="C718" s="1" t="n">
        <v>45364</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8194-2022</t>
        </is>
      </c>
      <c r="B719" s="1" t="n">
        <v>44609</v>
      </c>
      <c r="C719" s="1" t="n">
        <v>45364</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8454-2022</t>
        </is>
      </c>
      <c r="B720" s="1" t="n">
        <v>44612</v>
      </c>
      <c r="C720" s="1" t="n">
        <v>45364</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8453-2022</t>
        </is>
      </c>
      <c r="B721" s="1" t="n">
        <v>44612</v>
      </c>
      <c r="C721" s="1" t="n">
        <v>45364</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8462-2022</t>
        </is>
      </c>
      <c r="B722" s="1" t="n">
        <v>44612</v>
      </c>
      <c r="C722" s="1" t="n">
        <v>45364</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8650-2022</t>
        </is>
      </c>
      <c r="B723" s="1" t="n">
        <v>44613</v>
      </c>
      <c r="C723" s="1" t="n">
        <v>45364</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8908-2022</t>
        </is>
      </c>
      <c r="B724" s="1" t="n">
        <v>44614</v>
      </c>
      <c r="C724" s="1" t="n">
        <v>45364</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9311-2022</t>
        </is>
      </c>
      <c r="B725" s="1" t="n">
        <v>44616</v>
      </c>
      <c r="C725" s="1" t="n">
        <v>45364</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9918-2022</t>
        </is>
      </c>
      <c r="B726" s="1" t="n">
        <v>44620</v>
      </c>
      <c r="C726" s="1" t="n">
        <v>45364</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10086-2022</t>
        </is>
      </c>
      <c r="B727" s="1" t="n">
        <v>44621</v>
      </c>
      <c r="C727" s="1" t="n">
        <v>45364</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10487-2022</t>
        </is>
      </c>
      <c r="B728" s="1" t="n">
        <v>44623</v>
      </c>
      <c r="C728" s="1" t="n">
        <v>45364</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11429-2022</t>
        </is>
      </c>
      <c r="B729" s="1" t="n">
        <v>44630</v>
      </c>
      <c r="C729" s="1" t="n">
        <v>45364</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11733-2022</t>
        </is>
      </c>
      <c r="B730" s="1" t="n">
        <v>44634</v>
      </c>
      <c r="C730" s="1" t="n">
        <v>45364</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11814-2022</t>
        </is>
      </c>
      <c r="B731" s="1" t="n">
        <v>44634</v>
      </c>
      <c r="C731" s="1" t="n">
        <v>45364</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11928-2022</t>
        </is>
      </c>
      <c r="B732" s="1" t="n">
        <v>44635</v>
      </c>
      <c r="C732" s="1" t="n">
        <v>45364</v>
      </c>
      <c r="D732" t="inlineStr">
        <is>
          <t>KALMAR LÄN</t>
        </is>
      </c>
      <c r="E732" t="inlineStr">
        <is>
          <t>VIMMERBY</t>
        </is>
      </c>
      <c r="G732" t="n">
        <v>2.8</v>
      </c>
      <c r="H732" t="n">
        <v>0</v>
      </c>
      <c r="I732" t="n">
        <v>0</v>
      </c>
      <c r="J732" t="n">
        <v>0</v>
      </c>
      <c r="K732" t="n">
        <v>0</v>
      </c>
      <c r="L732" t="n">
        <v>0</v>
      </c>
      <c r="M732" t="n">
        <v>0</v>
      </c>
      <c r="N732" t="n">
        <v>0</v>
      </c>
      <c r="O732" t="n">
        <v>0</v>
      </c>
      <c r="P732" t="n">
        <v>0</v>
      </c>
      <c r="Q732" t="n">
        <v>0</v>
      </c>
      <c r="R732" s="2" t="inlineStr"/>
    </row>
    <row r="733" ht="15" customHeight="1">
      <c r="A733" t="inlineStr">
        <is>
          <t>A 11930-2022</t>
        </is>
      </c>
      <c r="B733" s="1" t="n">
        <v>44635</v>
      </c>
      <c r="C733" s="1" t="n">
        <v>45364</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12107-2022</t>
        </is>
      </c>
      <c r="B734" s="1" t="n">
        <v>44636</v>
      </c>
      <c r="C734" s="1" t="n">
        <v>45364</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12510-2022</t>
        </is>
      </c>
      <c r="B735" s="1" t="n">
        <v>44638</v>
      </c>
      <c r="C735" s="1" t="n">
        <v>45364</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13015-2022</t>
        </is>
      </c>
      <c r="B736" s="1" t="n">
        <v>44643</v>
      </c>
      <c r="C736" s="1" t="n">
        <v>45364</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13180-2022</t>
        </is>
      </c>
      <c r="B737" s="1" t="n">
        <v>44644</v>
      </c>
      <c r="C737" s="1" t="n">
        <v>45364</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14347-2022</t>
        </is>
      </c>
      <c r="B738" s="1" t="n">
        <v>44652</v>
      </c>
      <c r="C738" s="1" t="n">
        <v>45364</v>
      </c>
      <c r="D738" t="inlineStr">
        <is>
          <t>KALMAR LÄN</t>
        </is>
      </c>
      <c r="E738" t="inlineStr">
        <is>
          <t>VIMMERBY</t>
        </is>
      </c>
      <c r="F738" t="inlineStr">
        <is>
          <t>Sveaskog</t>
        </is>
      </c>
      <c r="G738" t="n">
        <v>7.2</v>
      </c>
      <c r="H738" t="n">
        <v>0</v>
      </c>
      <c r="I738" t="n">
        <v>0</v>
      </c>
      <c r="J738" t="n">
        <v>0</v>
      </c>
      <c r="K738" t="n">
        <v>0</v>
      </c>
      <c r="L738" t="n">
        <v>0</v>
      </c>
      <c r="M738" t="n">
        <v>0</v>
      </c>
      <c r="N738" t="n">
        <v>0</v>
      </c>
      <c r="O738" t="n">
        <v>0</v>
      </c>
      <c r="P738" t="n">
        <v>0</v>
      </c>
      <c r="Q738" t="n">
        <v>0</v>
      </c>
      <c r="R738" s="2" t="inlineStr"/>
    </row>
    <row r="739" ht="15" customHeight="1">
      <c r="A739" t="inlineStr">
        <is>
          <t>A 15146-2022</t>
        </is>
      </c>
      <c r="B739" s="1" t="n">
        <v>44658</v>
      </c>
      <c r="C739" s="1" t="n">
        <v>45364</v>
      </c>
      <c r="D739" t="inlineStr">
        <is>
          <t>KALMAR LÄN</t>
        </is>
      </c>
      <c r="E739" t="inlineStr">
        <is>
          <t>VIMMERBY</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15438-2022</t>
        </is>
      </c>
      <c r="B740" s="1" t="n">
        <v>44659</v>
      </c>
      <c r="C740" s="1" t="n">
        <v>45364</v>
      </c>
      <c r="D740" t="inlineStr">
        <is>
          <t>KALMAR LÄN</t>
        </is>
      </c>
      <c r="E740" t="inlineStr">
        <is>
          <t>VIMMERBY</t>
        </is>
      </c>
      <c r="F740" t="inlineStr">
        <is>
          <t>Kommuner</t>
        </is>
      </c>
      <c r="G740" t="n">
        <v>2.8</v>
      </c>
      <c r="H740" t="n">
        <v>0</v>
      </c>
      <c r="I740" t="n">
        <v>0</v>
      </c>
      <c r="J740" t="n">
        <v>0</v>
      </c>
      <c r="K740" t="n">
        <v>0</v>
      </c>
      <c r="L740" t="n">
        <v>0</v>
      </c>
      <c r="M740" t="n">
        <v>0</v>
      </c>
      <c r="N740" t="n">
        <v>0</v>
      </c>
      <c r="O740" t="n">
        <v>0</v>
      </c>
      <c r="P740" t="n">
        <v>0</v>
      </c>
      <c r="Q740" t="n">
        <v>0</v>
      </c>
      <c r="R740" s="2" t="inlineStr"/>
    </row>
    <row r="741" ht="15" customHeight="1">
      <c r="A741" t="inlineStr">
        <is>
          <t>A 15533-2022</t>
        </is>
      </c>
      <c r="B741" s="1" t="n">
        <v>44662</v>
      </c>
      <c r="C741" s="1" t="n">
        <v>45364</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15535-2022</t>
        </is>
      </c>
      <c r="B742" s="1" t="n">
        <v>44662</v>
      </c>
      <c r="C742" s="1" t="n">
        <v>45364</v>
      </c>
      <c r="D742" t="inlineStr">
        <is>
          <t>KALMAR LÄN</t>
        </is>
      </c>
      <c r="E742" t="inlineStr">
        <is>
          <t>VIMMERBY</t>
        </is>
      </c>
      <c r="G742" t="n">
        <v>0.5</v>
      </c>
      <c r="H742" t="n">
        <v>0</v>
      </c>
      <c r="I742" t="n">
        <v>0</v>
      </c>
      <c r="J742" t="n">
        <v>0</v>
      </c>
      <c r="K742" t="n">
        <v>0</v>
      </c>
      <c r="L742" t="n">
        <v>0</v>
      </c>
      <c r="M742" t="n">
        <v>0</v>
      </c>
      <c r="N742" t="n">
        <v>0</v>
      </c>
      <c r="O742" t="n">
        <v>0</v>
      </c>
      <c r="P742" t="n">
        <v>0</v>
      </c>
      <c r="Q742" t="n">
        <v>0</v>
      </c>
      <c r="R742" s="2" t="inlineStr"/>
    </row>
    <row r="743" ht="15" customHeight="1">
      <c r="A743" t="inlineStr">
        <is>
          <t>A 16156-2022</t>
        </is>
      </c>
      <c r="B743" s="1" t="n">
        <v>44666</v>
      </c>
      <c r="C743" s="1" t="n">
        <v>45364</v>
      </c>
      <c r="D743" t="inlineStr">
        <is>
          <t>KALMAR LÄN</t>
        </is>
      </c>
      <c r="E743" t="inlineStr">
        <is>
          <t>VIMMERBY</t>
        </is>
      </c>
      <c r="G743" t="n">
        <v>3.4</v>
      </c>
      <c r="H743" t="n">
        <v>0</v>
      </c>
      <c r="I743" t="n">
        <v>0</v>
      </c>
      <c r="J743" t="n">
        <v>0</v>
      </c>
      <c r="K743" t="n">
        <v>0</v>
      </c>
      <c r="L743" t="n">
        <v>0</v>
      </c>
      <c r="M743" t="n">
        <v>0</v>
      </c>
      <c r="N743" t="n">
        <v>0</v>
      </c>
      <c r="O743" t="n">
        <v>0</v>
      </c>
      <c r="P743" t="n">
        <v>0</v>
      </c>
      <c r="Q743" t="n">
        <v>0</v>
      </c>
      <c r="R743" s="2" t="inlineStr"/>
    </row>
    <row r="744" ht="15" customHeight="1">
      <c r="A744" t="inlineStr">
        <is>
          <t>A 16288-2022</t>
        </is>
      </c>
      <c r="B744" s="1" t="n">
        <v>44670</v>
      </c>
      <c r="C744" s="1" t="n">
        <v>45364</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16283-2022</t>
        </is>
      </c>
      <c r="B745" s="1" t="n">
        <v>44670</v>
      </c>
      <c r="C745" s="1" t="n">
        <v>45364</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16290-2022</t>
        </is>
      </c>
      <c r="B746" s="1" t="n">
        <v>44670</v>
      </c>
      <c r="C746" s="1" t="n">
        <v>45364</v>
      </c>
      <c r="D746" t="inlineStr">
        <is>
          <t>KALMAR LÄN</t>
        </is>
      </c>
      <c r="E746" t="inlineStr">
        <is>
          <t>VIMMERBY</t>
        </is>
      </c>
      <c r="G746" t="n">
        <v>1.2</v>
      </c>
      <c r="H746" t="n">
        <v>0</v>
      </c>
      <c r="I746" t="n">
        <v>0</v>
      </c>
      <c r="J746" t="n">
        <v>0</v>
      </c>
      <c r="K746" t="n">
        <v>0</v>
      </c>
      <c r="L746" t="n">
        <v>0</v>
      </c>
      <c r="M746" t="n">
        <v>0</v>
      </c>
      <c r="N746" t="n">
        <v>0</v>
      </c>
      <c r="O746" t="n">
        <v>0</v>
      </c>
      <c r="P746" t="n">
        <v>0</v>
      </c>
      <c r="Q746" t="n">
        <v>0</v>
      </c>
      <c r="R746" s="2" t="inlineStr"/>
    </row>
    <row r="747" ht="15" customHeight="1">
      <c r="A747" t="inlineStr">
        <is>
          <t>A 17029-2022</t>
        </is>
      </c>
      <c r="B747" s="1" t="n">
        <v>44676</v>
      </c>
      <c r="C747" s="1" t="n">
        <v>45364</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17253-2022</t>
        </is>
      </c>
      <c r="B748" s="1" t="n">
        <v>44678</v>
      </c>
      <c r="C748" s="1" t="n">
        <v>45364</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19535-2022</t>
        </is>
      </c>
      <c r="B749" s="1" t="n">
        <v>44693</v>
      </c>
      <c r="C749" s="1" t="n">
        <v>45364</v>
      </c>
      <c r="D749" t="inlineStr">
        <is>
          <t>KALMAR LÄN</t>
        </is>
      </c>
      <c r="E749" t="inlineStr">
        <is>
          <t>VIMMERBY</t>
        </is>
      </c>
      <c r="F749" t="inlineStr">
        <is>
          <t>Sveaskog</t>
        </is>
      </c>
      <c r="G749" t="n">
        <v>7.1</v>
      </c>
      <c r="H749" t="n">
        <v>0</v>
      </c>
      <c r="I749" t="n">
        <v>0</v>
      </c>
      <c r="J749" t="n">
        <v>0</v>
      </c>
      <c r="K749" t="n">
        <v>0</v>
      </c>
      <c r="L749" t="n">
        <v>0</v>
      </c>
      <c r="M749" t="n">
        <v>0</v>
      </c>
      <c r="N749" t="n">
        <v>0</v>
      </c>
      <c r="O749" t="n">
        <v>0</v>
      </c>
      <c r="P749" t="n">
        <v>0</v>
      </c>
      <c r="Q749" t="n">
        <v>0</v>
      </c>
      <c r="R749" s="2" t="inlineStr"/>
    </row>
    <row r="750" ht="15" customHeight="1">
      <c r="A750" t="inlineStr">
        <is>
          <t>A 19537-2022</t>
        </is>
      </c>
      <c r="B750" s="1" t="n">
        <v>44693</v>
      </c>
      <c r="C750" s="1" t="n">
        <v>45364</v>
      </c>
      <c r="D750" t="inlineStr">
        <is>
          <t>KALMAR LÄN</t>
        </is>
      </c>
      <c r="E750" t="inlineStr">
        <is>
          <t>VIMMERBY</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23341-2022</t>
        </is>
      </c>
      <c r="B751" s="1" t="n">
        <v>44720</v>
      </c>
      <c r="C751" s="1" t="n">
        <v>45364</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23825-2022</t>
        </is>
      </c>
      <c r="B752" s="1" t="n">
        <v>44722</v>
      </c>
      <c r="C752" s="1" t="n">
        <v>45364</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25049-2022</t>
        </is>
      </c>
      <c r="B753" s="1" t="n">
        <v>44729</v>
      </c>
      <c r="C753" s="1" t="n">
        <v>45364</v>
      </c>
      <c r="D753" t="inlineStr">
        <is>
          <t>KALMAR LÄN</t>
        </is>
      </c>
      <c r="E753" t="inlineStr">
        <is>
          <t>VIMMERBY</t>
        </is>
      </c>
      <c r="G753" t="n">
        <v>0.5</v>
      </c>
      <c r="H753" t="n">
        <v>0</v>
      </c>
      <c r="I753" t="n">
        <v>0</v>
      </c>
      <c r="J753" t="n">
        <v>0</v>
      </c>
      <c r="K753" t="n">
        <v>0</v>
      </c>
      <c r="L753" t="n">
        <v>0</v>
      </c>
      <c r="M753" t="n">
        <v>0</v>
      </c>
      <c r="N753" t="n">
        <v>0</v>
      </c>
      <c r="O753" t="n">
        <v>0</v>
      </c>
      <c r="P753" t="n">
        <v>0</v>
      </c>
      <c r="Q753" t="n">
        <v>0</v>
      </c>
      <c r="R753" s="2" t="inlineStr"/>
    </row>
    <row r="754" ht="15" customHeight="1">
      <c r="A754" t="inlineStr">
        <is>
          <t>A 25370-2022</t>
        </is>
      </c>
      <c r="B754" s="1" t="n">
        <v>44732</v>
      </c>
      <c r="C754" s="1" t="n">
        <v>45364</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25738-2022</t>
        </is>
      </c>
      <c r="B755" s="1" t="n">
        <v>44733</v>
      </c>
      <c r="C755" s="1" t="n">
        <v>45364</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25859-2022</t>
        </is>
      </c>
      <c r="B756" s="1" t="n">
        <v>44733</v>
      </c>
      <c r="C756" s="1" t="n">
        <v>45364</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25868-2022</t>
        </is>
      </c>
      <c r="B757" s="1" t="n">
        <v>44733</v>
      </c>
      <c r="C757" s="1" t="n">
        <v>45364</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27455-2022</t>
        </is>
      </c>
      <c r="B758" s="1" t="n">
        <v>44742</v>
      </c>
      <c r="C758" s="1" t="n">
        <v>45364</v>
      </c>
      <c r="D758" t="inlineStr">
        <is>
          <t>KALMAR LÄN</t>
        </is>
      </c>
      <c r="E758" t="inlineStr">
        <is>
          <t>VIMMERBY</t>
        </is>
      </c>
      <c r="G758" t="n">
        <v>1.6</v>
      </c>
      <c r="H758" t="n">
        <v>0</v>
      </c>
      <c r="I758" t="n">
        <v>0</v>
      </c>
      <c r="J758" t="n">
        <v>0</v>
      </c>
      <c r="K758" t="n">
        <v>0</v>
      </c>
      <c r="L758" t="n">
        <v>0</v>
      </c>
      <c r="M758" t="n">
        <v>0</v>
      </c>
      <c r="N758" t="n">
        <v>0</v>
      </c>
      <c r="O758" t="n">
        <v>0</v>
      </c>
      <c r="P758" t="n">
        <v>0</v>
      </c>
      <c r="Q758" t="n">
        <v>0</v>
      </c>
      <c r="R758" s="2" t="inlineStr"/>
    </row>
    <row r="759" ht="15" customHeight="1">
      <c r="A759" t="inlineStr">
        <is>
          <t>A 27993-2022</t>
        </is>
      </c>
      <c r="B759" s="1" t="n">
        <v>44745</v>
      </c>
      <c r="C759" s="1" t="n">
        <v>45364</v>
      </c>
      <c r="D759" t="inlineStr">
        <is>
          <t>KALMAR LÄN</t>
        </is>
      </c>
      <c r="E759" t="inlineStr">
        <is>
          <t>VIMMERBY</t>
        </is>
      </c>
      <c r="G759" t="n">
        <v>2.8</v>
      </c>
      <c r="H759" t="n">
        <v>0</v>
      </c>
      <c r="I759" t="n">
        <v>0</v>
      </c>
      <c r="J759" t="n">
        <v>0</v>
      </c>
      <c r="K759" t="n">
        <v>0</v>
      </c>
      <c r="L759" t="n">
        <v>0</v>
      </c>
      <c r="M759" t="n">
        <v>0</v>
      </c>
      <c r="N759" t="n">
        <v>0</v>
      </c>
      <c r="O759" t="n">
        <v>0</v>
      </c>
      <c r="P759" t="n">
        <v>0</v>
      </c>
      <c r="Q759" t="n">
        <v>0</v>
      </c>
      <c r="R759" s="2" t="inlineStr"/>
    </row>
    <row r="760" ht="15" customHeight="1">
      <c r="A760" t="inlineStr">
        <is>
          <t>A 28034-2022</t>
        </is>
      </c>
      <c r="B760" s="1" t="n">
        <v>44746</v>
      </c>
      <c r="C760" s="1" t="n">
        <v>45364</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28406-2022</t>
        </is>
      </c>
      <c r="B761" s="1" t="n">
        <v>44747</v>
      </c>
      <c r="C761" s="1" t="n">
        <v>45364</v>
      </c>
      <c r="D761" t="inlineStr">
        <is>
          <t>KALMAR LÄN</t>
        </is>
      </c>
      <c r="E761" t="inlineStr">
        <is>
          <t>VIMMERBY</t>
        </is>
      </c>
      <c r="G761" t="n">
        <v>3.1</v>
      </c>
      <c r="H761" t="n">
        <v>0</v>
      </c>
      <c r="I761" t="n">
        <v>0</v>
      </c>
      <c r="J761" t="n">
        <v>0</v>
      </c>
      <c r="K761" t="n">
        <v>0</v>
      </c>
      <c r="L761" t="n">
        <v>0</v>
      </c>
      <c r="M761" t="n">
        <v>0</v>
      </c>
      <c r="N761" t="n">
        <v>0</v>
      </c>
      <c r="O761" t="n">
        <v>0</v>
      </c>
      <c r="P761" t="n">
        <v>0</v>
      </c>
      <c r="Q761" t="n">
        <v>0</v>
      </c>
      <c r="R761" s="2" t="inlineStr"/>
    </row>
    <row r="762" ht="15" customHeight="1">
      <c r="A762" t="inlineStr">
        <is>
          <t>A 28646-2022</t>
        </is>
      </c>
      <c r="B762" s="1" t="n">
        <v>44748</v>
      </c>
      <c r="C762" s="1" t="n">
        <v>45364</v>
      </c>
      <c r="D762" t="inlineStr">
        <is>
          <t>KALMAR LÄN</t>
        </is>
      </c>
      <c r="E762" t="inlineStr">
        <is>
          <t>VIMMERBY</t>
        </is>
      </c>
      <c r="G762" t="n">
        <v>4.4</v>
      </c>
      <c r="H762" t="n">
        <v>0</v>
      </c>
      <c r="I762" t="n">
        <v>0</v>
      </c>
      <c r="J762" t="n">
        <v>0</v>
      </c>
      <c r="K762" t="n">
        <v>0</v>
      </c>
      <c r="L762" t="n">
        <v>0</v>
      </c>
      <c r="M762" t="n">
        <v>0</v>
      </c>
      <c r="N762" t="n">
        <v>0</v>
      </c>
      <c r="O762" t="n">
        <v>0</v>
      </c>
      <c r="P762" t="n">
        <v>0</v>
      </c>
      <c r="Q762" t="n">
        <v>0</v>
      </c>
      <c r="R762" s="2" t="inlineStr"/>
    </row>
    <row r="763" ht="15" customHeight="1">
      <c r="A763" t="inlineStr">
        <is>
          <t>A 29616-2022</t>
        </is>
      </c>
      <c r="B763" s="1" t="n">
        <v>44754</v>
      </c>
      <c r="C763" s="1" t="n">
        <v>45364</v>
      </c>
      <c r="D763" t="inlineStr">
        <is>
          <t>KALMAR LÄN</t>
        </is>
      </c>
      <c r="E763" t="inlineStr">
        <is>
          <t>VIMMERBY</t>
        </is>
      </c>
      <c r="G763" t="n">
        <v>1.1</v>
      </c>
      <c r="H763" t="n">
        <v>0</v>
      </c>
      <c r="I763" t="n">
        <v>0</v>
      </c>
      <c r="J763" t="n">
        <v>0</v>
      </c>
      <c r="K763" t="n">
        <v>0</v>
      </c>
      <c r="L763" t="n">
        <v>0</v>
      </c>
      <c r="M763" t="n">
        <v>0</v>
      </c>
      <c r="N763" t="n">
        <v>0</v>
      </c>
      <c r="O763" t="n">
        <v>0</v>
      </c>
      <c r="P763" t="n">
        <v>0</v>
      </c>
      <c r="Q763" t="n">
        <v>0</v>
      </c>
      <c r="R763" s="2" t="inlineStr"/>
    </row>
    <row r="764" ht="15" customHeight="1">
      <c r="A764" t="inlineStr">
        <is>
          <t>A 29910-2022</t>
        </is>
      </c>
      <c r="B764" s="1" t="n">
        <v>44756</v>
      </c>
      <c r="C764" s="1" t="n">
        <v>45364</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31053-2022</t>
        </is>
      </c>
      <c r="B765" s="1" t="n">
        <v>44769</v>
      </c>
      <c r="C765" s="1" t="n">
        <v>45364</v>
      </c>
      <c r="D765" t="inlineStr">
        <is>
          <t>KALMAR LÄN</t>
        </is>
      </c>
      <c r="E765" t="inlineStr">
        <is>
          <t>VIMMERBY</t>
        </is>
      </c>
      <c r="G765" t="n">
        <v>1.9</v>
      </c>
      <c r="H765" t="n">
        <v>0</v>
      </c>
      <c r="I765" t="n">
        <v>0</v>
      </c>
      <c r="J765" t="n">
        <v>0</v>
      </c>
      <c r="K765" t="n">
        <v>0</v>
      </c>
      <c r="L765" t="n">
        <v>0</v>
      </c>
      <c r="M765" t="n">
        <v>0</v>
      </c>
      <c r="N765" t="n">
        <v>0</v>
      </c>
      <c r="O765" t="n">
        <v>0</v>
      </c>
      <c r="P765" t="n">
        <v>0</v>
      </c>
      <c r="Q765" t="n">
        <v>0</v>
      </c>
      <c r="R765" s="2" t="inlineStr"/>
    </row>
    <row r="766" ht="15" customHeight="1">
      <c r="A766" t="inlineStr">
        <is>
          <t>A 31056-2022</t>
        </is>
      </c>
      <c r="B766" s="1" t="n">
        <v>44769</v>
      </c>
      <c r="C766" s="1" t="n">
        <v>45364</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31533-2022</t>
        </is>
      </c>
      <c r="B767" s="1" t="n">
        <v>44774</v>
      </c>
      <c r="C767" s="1" t="n">
        <v>45364</v>
      </c>
      <c r="D767" t="inlineStr">
        <is>
          <t>KALMAR LÄN</t>
        </is>
      </c>
      <c r="E767" t="inlineStr">
        <is>
          <t>VIMMERBY</t>
        </is>
      </c>
      <c r="G767" t="n">
        <v>2.5</v>
      </c>
      <c r="H767" t="n">
        <v>0</v>
      </c>
      <c r="I767" t="n">
        <v>0</v>
      </c>
      <c r="J767" t="n">
        <v>0</v>
      </c>
      <c r="K767" t="n">
        <v>0</v>
      </c>
      <c r="L767" t="n">
        <v>0</v>
      </c>
      <c r="M767" t="n">
        <v>0</v>
      </c>
      <c r="N767" t="n">
        <v>0</v>
      </c>
      <c r="O767" t="n">
        <v>0</v>
      </c>
      <c r="P767" t="n">
        <v>0</v>
      </c>
      <c r="Q767" t="n">
        <v>0</v>
      </c>
      <c r="R767" s="2" t="inlineStr"/>
    </row>
    <row r="768" ht="15" customHeight="1">
      <c r="A768" t="inlineStr">
        <is>
          <t>A 31824-2022</t>
        </is>
      </c>
      <c r="B768" s="1" t="n">
        <v>44776</v>
      </c>
      <c r="C768" s="1" t="n">
        <v>45364</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32835-2022</t>
        </is>
      </c>
      <c r="B769" s="1" t="n">
        <v>44784</v>
      </c>
      <c r="C769" s="1" t="n">
        <v>45364</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32919-2022</t>
        </is>
      </c>
      <c r="B770" s="1" t="n">
        <v>44784</v>
      </c>
      <c r="C770" s="1" t="n">
        <v>45364</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33051-2022</t>
        </is>
      </c>
      <c r="B771" s="1" t="n">
        <v>44785</v>
      </c>
      <c r="C771" s="1" t="n">
        <v>45364</v>
      </c>
      <c r="D771" t="inlineStr">
        <is>
          <t>KALMAR LÄN</t>
        </is>
      </c>
      <c r="E771" t="inlineStr">
        <is>
          <t>VIMMERBY</t>
        </is>
      </c>
      <c r="G771" t="n">
        <v>0.3</v>
      </c>
      <c r="H771" t="n">
        <v>0</v>
      </c>
      <c r="I771" t="n">
        <v>0</v>
      </c>
      <c r="J771" t="n">
        <v>0</v>
      </c>
      <c r="K771" t="n">
        <v>0</v>
      </c>
      <c r="L771" t="n">
        <v>0</v>
      </c>
      <c r="M771" t="n">
        <v>0</v>
      </c>
      <c r="N771" t="n">
        <v>0</v>
      </c>
      <c r="O771" t="n">
        <v>0</v>
      </c>
      <c r="P771" t="n">
        <v>0</v>
      </c>
      <c r="Q771" t="n">
        <v>0</v>
      </c>
      <c r="R771" s="2" t="inlineStr"/>
    </row>
    <row r="772" ht="15" customHeight="1">
      <c r="A772" t="inlineStr">
        <is>
          <t>A 33352-2022</t>
        </is>
      </c>
      <c r="B772" s="1" t="n">
        <v>44788</v>
      </c>
      <c r="C772" s="1" t="n">
        <v>45364</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33681-2022</t>
        </is>
      </c>
      <c r="B773" s="1" t="n">
        <v>44789</v>
      </c>
      <c r="C773" s="1" t="n">
        <v>45364</v>
      </c>
      <c r="D773" t="inlineStr">
        <is>
          <t>KALMAR LÄN</t>
        </is>
      </c>
      <c r="E773" t="inlineStr">
        <is>
          <t>VIMMERBY</t>
        </is>
      </c>
      <c r="G773" t="n">
        <v>3.2</v>
      </c>
      <c r="H773" t="n">
        <v>0</v>
      </c>
      <c r="I773" t="n">
        <v>0</v>
      </c>
      <c r="J773" t="n">
        <v>0</v>
      </c>
      <c r="K773" t="n">
        <v>0</v>
      </c>
      <c r="L773" t="n">
        <v>0</v>
      </c>
      <c r="M773" t="n">
        <v>0</v>
      </c>
      <c r="N773" t="n">
        <v>0</v>
      </c>
      <c r="O773" t="n">
        <v>0</v>
      </c>
      <c r="P773" t="n">
        <v>0</v>
      </c>
      <c r="Q773" t="n">
        <v>0</v>
      </c>
      <c r="R773" s="2" t="inlineStr"/>
    </row>
    <row r="774" ht="15" customHeight="1">
      <c r="A774" t="inlineStr">
        <is>
          <t>A 33690-2022</t>
        </is>
      </c>
      <c r="B774" s="1" t="n">
        <v>44789</v>
      </c>
      <c r="C774" s="1" t="n">
        <v>45364</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33815-2022</t>
        </is>
      </c>
      <c r="B775" s="1" t="n">
        <v>44790</v>
      </c>
      <c r="C775" s="1" t="n">
        <v>45364</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33829-2022</t>
        </is>
      </c>
      <c r="B776" s="1" t="n">
        <v>44790</v>
      </c>
      <c r="C776" s="1" t="n">
        <v>45364</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33838-2022</t>
        </is>
      </c>
      <c r="B777" s="1" t="n">
        <v>44790</v>
      </c>
      <c r="C777" s="1" t="n">
        <v>45364</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33820-2022</t>
        </is>
      </c>
      <c r="B778" s="1" t="n">
        <v>44790</v>
      </c>
      <c r="C778" s="1" t="n">
        <v>45364</v>
      </c>
      <c r="D778" t="inlineStr">
        <is>
          <t>KALMAR LÄN</t>
        </is>
      </c>
      <c r="E778" t="inlineStr">
        <is>
          <t>VIMMERBY</t>
        </is>
      </c>
      <c r="G778" t="n">
        <v>3</v>
      </c>
      <c r="H778" t="n">
        <v>0</v>
      </c>
      <c r="I778" t="n">
        <v>0</v>
      </c>
      <c r="J778" t="n">
        <v>0</v>
      </c>
      <c r="K778" t="n">
        <v>0</v>
      </c>
      <c r="L778" t="n">
        <v>0</v>
      </c>
      <c r="M778" t="n">
        <v>0</v>
      </c>
      <c r="N778" t="n">
        <v>0</v>
      </c>
      <c r="O778" t="n">
        <v>0</v>
      </c>
      <c r="P778" t="n">
        <v>0</v>
      </c>
      <c r="Q778" t="n">
        <v>0</v>
      </c>
      <c r="R778" s="2" t="inlineStr"/>
    </row>
    <row r="779" ht="15" customHeight="1">
      <c r="A779" t="inlineStr">
        <is>
          <t>A 33831-2022</t>
        </is>
      </c>
      <c r="B779" s="1" t="n">
        <v>44790</v>
      </c>
      <c r="C779" s="1" t="n">
        <v>45364</v>
      </c>
      <c r="D779" t="inlineStr">
        <is>
          <t>KALMAR LÄN</t>
        </is>
      </c>
      <c r="E779" t="inlineStr">
        <is>
          <t>VIMMERBY</t>
        </is>
      </c>
      <c r="G779" t="n">
        <v>1.1</v>
      </c>
      <c r="H779" t="n">
        <v>0</v>
      </c>
      <c r="I779" t="n">
        <v>0</v>
      </c>
      <c r="J779" t="n">
        <v>0</v>
      </c>
      <c r="K779" t="n">
        <v>0</v>
      </c>
      <c r="L779" t="n">
        <v>0</v>
      </c>
      <c r="M779" t="n">
        <v>0</v>
      </c>
      <c r="N779" t="n">
        <v>0</v>
      </c>
      <c r="O779" t="n">
        <v>0</v>
      </c>
      <c r="P779" t="n">
        <v>0</v>
      </c>
      <c r="Q779" t="n">
        <v>0</v>
      </c>
      <c r="R779" s="2" t="inlineStr"/>
    </row>
    <row r="780" ht="15" customHeight="1">
      <c r="A780" t="inlineStr">
        <is>
          <t>A 33842-2022</t>
        </is>
      </c>
      <c r="B780" s="1" t="n">
        <v>44790</v>
      </c>
      <c r="C780" s="1" t="n">
        <v>45364</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33824-2022</t>
        </is>
      </c>
      <c r="B781" s="1" t="n">
        <v>44790</v>
      </c>
      <c r="C781" s="1" t="n">
        <v>45364</v>
      </c>
      <c r="D781" t="inlineStr">
        <is>
          <t>KALMAR LÄN</t>
        </is>
      </c>
      <c r="E781" t="inlineStr">
        <is>
          <t>VIMMERBY</t>
        </is>
      </c>
      <c r="G781" t="n">
        <v>2.3</v>
      </c>
      <c r="H781" t="n">
        <v>0</v>
      </c>
      <c r="I781" t="n">
        <v>0</v>
      </c>
      <c r="J781" t="n">
        <v>0</v>
      </c>
      <c r="K781" t="n">
        <v>0</v>
      </c>
      <c r="L781" t="n">
        <v>0</v>
      </c>
      <c r="M781" t="n">
        <v>0</v>
      </c>
      <c r="N781" t="n">
        <v>0</v>
      </c>
      <c r="O781" t="n">
        <v>0</v>
      </c>
      <c r="P781" t="n">
        <v>0</v>
      </c>
      <c r="Q781" t="n">
        <v>0</v>
      </c>
      <c r="R781" s="2" t="inlineStr"/>
    </row>
    <row r="782" ht="15" customHeight="1">
      <c r="A782" t="inlineStr">
        <is>
          <t>A 33840-2022</t>
        </is>
      </c>
      <c r="B782" s="1" t="n">
        <v>44790</v>
      </c>
      <c r="C782" s="1" t="n">
        <v>45364</v>
      </c>
      <c r="D782" t="inlineStr">
        <is>
          <t>KALMAR LÄN</t>
        </is>
      </c>
      <c r="E782" t="inlineStr">
        <is>
          <t>VIMMERBY</t>
        </is>
      </c>
      <c r="G782" t="n">
        <v>1.7</v>
      </c>
      <c r="H782" t="n">
        <v>0</v>
      </c>
      <c r="I782" t="n">
        <v>0</v>
      </c>
      <c r="J782" t="n">
        <v>0</v>
      </c>
      <c r="K782" t="n">
        <v>0</v>
      </c>
      <c r="L782" t="n">
        <v>0</v>
      </c>
      <c r="M782" t="n">
        <v>0</v>
      </c>
      <c r="N782" t="n">
        <v>0</v>
      </c>
      <c r="O782" t="n">
        <v>0</v>
      </c>
      <c r="P782" t="n">
        <v>0</v>
      </c>
      <c r="Q782" t="n">
        <v>0</v>
      </c>
      <c r="R782" s="2" t="inlineStr"/>
    </row>
    <row r="783" ht="15" customHeight="1">
      <c r="A783" t="inlineStr">
        <is>
          <t>A 34376-2022</t>
        </is>
      </c>
      <c r="B783" s="1" t="n">
        <v>44792</v>
      </c>
      <c r="C783" s="1" t="n">
        <v>45364</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34329-2022</t>
        </is>
      </c>
      <c r="B784" s="1" t="n">
        <v>44792</v>
      </c>
      <c r="C784" s="1" t="n">
        <v>45364</v>
      </c>
      <c r="D784" t="inlineStr">
        <is>
          <t>KALMAR LÄN</t>
        </is>
      </c>
      <c r="E784" t="inlineStr">
        <is>
          <t>VIMMERBY</t>
        </is>
      </c>
      <c r="F784" t="inlineStr">
        <is>
          <t>Sveaskog</t>
        </is>
      </c>
      <c r="G784" t="n">
        <v>5.5</v>
      </c>
      <c r="H784" t="n">
        <v>0</v>
      </c>
      <c r="I784" t="n">
        <v>0</v>
      </c>
      <c r="J784" t="n">
        <v>0</v>
      </c>
      <c r="K784" t="n">
        <v>0</v>
      </c>
      <c r="L784" t="n">
        <v>0</v>
      </c>
      <c r="M784" t="n">
        <v>0</v>
      </c>
      <c r="N784" t="n">
        <v>0</v>
      </c>
      <c r="O784" t="n">
        <v>0</v>
      </c>
      <c r="P784" t="n">
        <v>0</v>
      </c>
      <c r="Q784" t="n">
        <v>0</v>
      </c>
      <c r="R784" s="2" t="inlineStr"/>
    </row>
    <row r="785" ht="15" customHeight="1">
      <c r="A785" t="inlineStr">
        <is>
          <t>A 34597-2022</t>
        </is>
      </c>
      <c r="B785" s="1" t="n">
        <v>44795</v>
      </c>
      <c r="C785" s="1" t="n">
        <v>45364</v>
      </c>
      <c r="D785" t="inlineStr">
        <is>
          <t>KALMAR LÄN</t>
        </is>
      </c>
      <c r="E785" t="inlineStr">
        <is>
          <t>VIMMERBY</t>
        </is>
      </c>
      <c r="G785" t="n">
        <v>2.2</v>
      </c>
      <c r="H785" t="n">
        <v>0</v>
      </c>
      <c r="I785" t="n">
        <v>0</v>
      </c>
      <c r="J785" t="n">
        <v>0</v>
      </c>
      <c r="K785" t="n">
        <v>0</v>
      </c>
      <c r="L785" t="n">
        <v>0</v>
      </c>
      <c r="M785" t="n">
        <v>0</v>
      </c>
      <c r="N785" t="n">
        <v>0</v>
      </c>
      <c r="O785" t="n">
        <v>0</v>
      </c>
      <c r="P785" t="n">
        <v>0</v>
      </c>
      <c r="Q785" t="n">
        <v>0</v>
      </c>
      <c r="R785" s="2" t="inlineStr"/>
    </row>
    <row r="786" ht="15" customHeight="1">
      <c r="A786" t="inlineStr">
        <is>
          <t>A 35429-2022</t>
        </is>
      </c>
      <c r="B786" s="1" t="n">
        <v>44798</v>
      </c>
      <c r="C786" s="1" t="n">
        <v>45364</v>
      </c>
      <c r="D786" t="inlineStr">
        <is>
          <t>KALMAR LÄN</t>
        </is>
      </c>
      <c r="E786" t="inlineStr">
        <is>
          <t>VIMMERBY</t>
        </is>
      </c>
      <c r="G786" t="n">
        <v>4.9</v>
      </c>
      <c r="H786" t="n">
        <v>0</v>
      </c>
      <c r="I786" t="n">
        <v>0</v>
      </c>
      <c r="J786" t="n">
        <v>0</v>
      </c>
      <c r="K786" t="n">
        <v>0</v>
      </c>
      <c r="L786" t="n">
        <v>0</v>
      </c>
      <c r="M786" t="n">
        <v>0</v>
      </c>
      <c r="N786" t="n">
        <v>0</v>
      </c>
      <c r="O786" t="n">
        <v>0</v>
      </c>
      <c r="P786" t="n">
        <v>0</v>
      </c>
      <c r="Q786" t="n">
        <v>0</v>
      </c>
      <c r="R786" s="2" t="inlineStr"/>
    </row>
    <row r="787" ht="15" customHeight="1">
      <c r="A787" t="inlineStr">
        <is>
          <t>A 35615-2022</t>
        </is>
      </c>
      <c r="B787" s="1" t="n">
        <v>44799</v>
      </c>
      <c r="C787" s="1" t="n">
        <v>45364</v>
      </c>
      <c r="D787" t="inlineStr">
        <is>
          <t>KALMAR LÄN</t>
        </is>
      </c>
      <c r="E787" t="inlineStr">
        <is>
          <t>VIMMERBY</t>
        </is>
      </c>
      <c r="G787" t="n">
        <v>3.8</v>
      </c>
      <c r="H787" t="n">
        <v>0</v>
      </c>
      <c r="I787" t="n">
        <v>0</v>
      </c>
      <c r="J787" t="n">
        <v>0</v>
      </c>
      <c r="K787" t="n">
        <v>0</v>
      </c>
      <c r="L787" t="n">
        <v>0</v>
      </c>
      <c r="M787" t="n">
        <v>0</v>
      </c>
      <c r="N787" t="n">
        <v>0</v>
      </c>
      <c r="O787" t="n">
        <v>0</v>
      </c>
      <c r="P787" t="n">
        <v>0</v>
      </c>
      <c r="Q787" t="n">
        <v>0</v>
      </c>
      <c r="R787" s="2" t="inlineStr"/>
    </row>
    <row r="788" ht="15" customHeight="1">
      <c r="A788" t="inlineStr">
        <is>
          <t>A 36259-2022</t>
        </is>
      </c>
      <c r="B788" s="1" t="n">
        <v>44803</v>
      </c>
      <c r="C788" s="1" t="n">
        <v>45364</v>
      </c>
      <c r="D788" t="inlineStr">
        <is>
          <t>KALMAR LÄN</t>
        </is>
      </c>
      <c r="E788" t="inlineStr">
        <is>
          <t>VIMMERBY</t>
        </is>
      </c>
      <c r="G788" t="n">
        <v>3.9</v>
      </c>
      <c r="H788" t="n">
        <v>0</v>
      </c>
      <c r="I788" t="n">
        <v>0</v>
      </c>
      <c r="J788" t="n">
        <v>0</v>
      </c>
      <c r="K788" t="n">
        <v>0</v>
      </c>
      <c r="L788" t="n">
        <v>0</v>
      </c>
      <c r="M788" t="n">
        <v>0</v>
      </c>
      <c r="N788" t="n">
        <v>0</v>
      </c>
      <c r="O788" t="n">
        <v>0</v>
      </c>
      <c r="P788" t="n">
        <v>0</v>
      </c>
      <c r="Q788" t="n">
        <v>0</v>
      </c>
      <c r="R788" s="2" t="inlineStr"/>
    </row>
    <row r="789" ht="15" customHeight="1">
      <c r="A789" t="inlineStr">
        <is>
          <t>A 36268-2022</t>
        </is>
      </c>
      <c r="B789" s="1" t="n">
        <v>44803</v>
      </c>
      <c r="C789" s="1" t="n">
        <v>45364</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36320-2022</t>
        </is>
      </c>
      <c r="B790" s="1" t="n">
        <v>44803</v>
      </c>
      <c r="C790" s="1" t="n">
        <v>45364</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39225-2022</t>
        </is>
      </c>
      <c r="B791" s="1" t="n">
        <v>44817</v>
      </c>
      <c r="C791" s="1" t="n">
        <v>45364</v>
      </c>
      <c r="D791" t="inlineStr">
        <is>
          <t>KALMAR LÄN</t>
        </is>
      </c>
      <c r="E791" t="inlineStr">
        <is>
          <t>VIMMERBY</t>
        </is>
      </c>
      <c r="G791" t="n">
        <v>2.2</v>
      </c>
      <c r="H791" t="n">
        <v>0</v>
      </c>
      <c r="I791" t="n">
        <v>0</v>
      </c>
      <c r="J791" t="n">
        <v>0</v>
      </c>
      <c r="K791" t="n">
        <v>0</v>
      </c>
      <c r="L791" t="n">
        <v>0</v>
      </c>
      <c r="M791" t="n">
        <v>0</v>
      </c>
      <c r="N791" t="n">
        <v>0</v>
      </c>
      <c r="O791" t="n">
        <v>0</v>
      </c>
      <c r="P791" t="n">
        <v>0</v>
      </c>
      <c r="Q791" t="n">
        <v>0</v>
      </c>
      <c r="R791" s="2" t="inlineStr"/>
    </row>
    <row r="792" ht="15" customHeight="1">
      <c r="A792" t="inlineStr">
        <is>
          <t>A 39042-2022</t>
        </is>
      </c>
      <c r="B792" s="1" t="n">
        <v>44817</v>
      </c>
      <c r="C792" s="1" t="n">
        <v>45364</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39959-2022</t>
        </is>
      </c>
      <c r="B793" s="1" t="n">
        <v>44819</v>
      </c>
      <c r="C793" s="1" t="n">
        <v>45364</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40095-2022</t>
        </is>
      </c>
      <c r="B794" s="1" t="n">
        <v>44820</v>
      </c>
      <c r="C794" s="1" t="n">
        <v>45364</v>
      </c>
      <c r="D794" t="inlineStr">
        <is>
          <t>KALMAR LÄN</t>
        </is>
      </c>
      <c r="E794" t="inlineStr">
        <is>
          <t>VIMMERBY</t>
        </is>
      </c>
      <c r="G794" t="n">
        <v>2.4</v>
      </c>
      <c r="H794" t="n">
        <v>0</v>
      </c>
      <c r="I794" t="n">
        <v>0</v>
      </c>
      <c r="J794" t="n">
        <v>0</v>
      </c>
      <c r="K794" t="n">
        <v>0</v>
      </c>
      <c r="L794" t="n">
        <v>0</v>
      </c>
      <c r="M794" t="n">
        <v>0</v>
      </c>
      <c r="N794" t="n">
        <v>0</v>
      </c>
      <c r="O794" t="n">
        <v>0</v>
      </c>
      <c r="P794" t="n">
        <v>0</v>
      </c>
      <c r="Q794" t="n">
        <v>0</v>
      </c>
      <c r="R794" s="2" t="inlineStr"/>
    </row>
    <row r="795" ht="15" customHeight="1">
      <c r="A795" t="inlineStr">
        <is>
          <t>A 40026-2022</t>
        </is>
      </c>
      <c r="B795" s="1" t="n">
        <v>44820</v>
      </c>
      <c r="C795" s="1" t="n">
        <v>45364</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40916-2022</t>
        </is>
      </c>
      <c r="B796" s="1" t="n">
        <v>44820</v>
      </c>
      <c r="C796" s="1" t="n">
        <v>45364</v>
      </c>
      <c r="D796" t="inlineStr">
        <is>
          <t>KALMAR LÄN</t>
        </is>
      </c>
      <c r="E796" t="inlineStr">
        <is>
          <t>VIMMERBY</t>
        </is>
      </c>
      <c r="G796" t="n">
        <v>0.8</v>
      </c>
      <c r="H796" t="n">
        <v>0</v>
      </c>
      <c r="I796" t="n">
        <v>0</v>
      </c>
      <c r="J796" t="n">
        <v>0</v>
      </c>
      <c r="K796" t="n">
        <v>0</v>
      </c>
      <c r="L796" t="n">
        <v>0</v>
      </c>
      <c r="M796" t="n">
        <v>0</v>
      </c>
      <c r="N796" t="n">
        <v>0</v>
      </c>
      <c r="O796" t="n">
        <v>0</v>
      </c>
      <c r="P796" t="n">
        <v>0</v>
      </c>
      <c r="Q796" t="n">
        <v>0</v>
      </c>
      <c r="R796" s="2" t="inlineStr"/>
    </row>
    <row r="797" ht="15" customHeight="1">
      <c r="A797" t="inlineStr">
        <is>
          <t>A 40472-2022</t>
        </is>
      </c>
      <c r="B797" s="1" t="n">
        <v>44823</v>
      </c>
      <c r="C797" s="1" t="n">
        <v>45364</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40728-2022</t>
        </is>
      </c>
      <c r="B798" s="1" t="n">
        <v>44824</v>
      </c>
      <c r="C798" s="1" t="n">
        <v>45364</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41056-2022</t>
        </is>
      </c>
      <c r="B799" s="1" t="n">
        <v>44824</v>
      </c>
      <c r="C799" s="1" t="n">
        <v>45364</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40929-2022</t>
        </is>
      </c>
      <c r="B800" s="1" t="n">
        <v>44825</v>
      </c>
      <c r="C800" s="1" t="n">
        <v>45364</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40927-2022</t>
        </is>
      </c>
      <c r="B801" s="1" t="n">
        <v>44825</v>
      </c>
      <c r="C801" s="1" t="n">
        <v>45364</v>
      </c>
      <c r="D801" t="inlineStr">
        <is>
          <t>KALMAR LÄN</t>
        </is>
      </c>
      <c r="E801" t="inlineStr">
        <is>
          <t>VIMMERBY</t>
        </is>
      </c>
      <c r="G801" t="n">
        <v>3.2</v>
      </c>
      <c r="H801" t="n">
        <v>0</v>
      </c>
      <c r="I801" t="n">
        <v>0</v>
      </c>
      <c r="J801" t="n">
        <v>0</v>
      </c>
      <c r="K801" t="n">
        <v>0</v>
      </c>
      <c r="L801" t="n">
        <v>0</v>
      </c>
      <c r="M801" t="n">
        <v>0</v>
      </c>
      <c r="N801" t="n">
        <v>0</v>
      </c>
      <c r="O801" t="n">
        <v>0</v>
      </c>
      <c r="P801" t="n">
        <v>0</v>
      </c>
      <c r="Q801" t="n">
        <v>0</v>
      </c>
      <c r="R801" s="2" t="inlineStr"/>
    </row>
    <row r="802" ht="15" customHeight="1">
      <c r="A802" t="inlineStr">
        <is>
          <t>A 41424-2022</t>
        </is>
      </c>
      <c r="B802" s="1" t="n">
        <v>44826</v>
      </c>
      <c r="C802" s="1" t="n">
        <v>45364</v>
      </c>
      <c r="D802" t="inlineStr">
        <is>
          <t>KALMAR LÄN</t>
        </is>
      </c>
      <c r="E802" t="inlineStr">
        <is>
          <t>VIMMERBY</t>
        </is>
      </c>
      <c r="G802" t="n">
        <v>4.8</v>
      </c>
      <c r="H802" t="n">
        <v>0</v>
      </c>
      <c r="I802" t="n">
        <v>0</v>
      </c>
      <c r="J802" t="n">
        <v>0</v>
      </c>
      <c r="K802" t="n">
        <v>0</v>
      </c>
      <c r="L802" t="n">
        <v>0</v>
      </c>
      <c r="M802" t="n">
        <v>0</v>
      </c>
      <c r="N802" t="n">
        <v>0</v>
      </c>
      <c r="O802" t="n">
        <v>0</v>
      </c>
      <c r="P802" t="n">
        <v>0</v>
      </c>
      <c r="Q802" t="n">
        <v>0</v>
      </c>
      <c r="R802" s="2" t="inlineStr"/>
    </row>
    <row r="803" ht="15" customHeight="1">
      <c r="A803" t="inlineStr">
        <is>
          <t>A 41438-2022</t>
        </is>
      </c>
      <c r="B803" s="1" t="n">
        <v>44826</v>
      </c>
      <c r="C803" s="1" t="n">
        <v>45364</v>
      </c>
      <c r="D803" t="inlineStr">
        <is>
          <t>KALMAR LÄN</t>
        </is>
      </c>
      <c r="E803" t="inlineStr">
        <is>
          <t>VIMMERBY</t>
        </is>
      </c>
      <c r="G803" t="n">
        <v>3.1</v>
      </c>
      <c r="H803" t="n">
        <v>0</v>
      </c>
      <c r="I803" t="n">
        <v>0</v>
      </c>
      <c r="J803" t="n">
        <v>0</v>
      </c>
      <c r="K803" t="n">
        <v>0</v>
      </c>
      <c r="L803" t="n">
        <v>0</v>
      </c>
      <c r="M803" t="n">
        <v>0</v>
      </c>
      <c r="N803" t="n">
        <v>0</v>
      </c>
      <c r="O803" t="n">
        <v>0</v>
      </c>
      <c r="P803" t="n">
        <v>0</v>
      </c>
      <c r="Q803" t="n">
        <v>0</v>
      </c>
      <c r="R803" s="2" t="inlineStr"/>
    </row>
    <row r="804" ht="15" customHeight="1">
      <c r="A804" t="inlineStr">
        <is>
          <t>A 42850-2022</t>
        </is>
      </c>
      <c r="B804" s="1" t="n">
        <v>44832</v>
      </c>
      <c r="C804" s="1" t="n">
        <v>45364</v>
      </c>
      <c r="D804" t="inlineStr">
        <is>
          <t>KALMAR LÄN</t>
        </is>
      </c>
      <c r="E804" t="inlineStr">
        <is>
          <t>VIMMERBY</t>
        </is>
      </c>
      <c r="G804" t="n">
        <v>5.9</v>
      </c>
      <c r="H804" t="n">
        <v>0</v>
      </c>
      <c r="I804" t="n">
        <v>0</v>
      </c>
      <c r="J804" t="n">
        <v>0</v>
      </c>
      <c r="K804" t="n">
        <v>0</v>
      </c>
      <c r="L804" t="n">
        <v>0</v>
      </c>
      <c r="M804" t="n">
        <v>0</v>
      </c>
      <c r="N804" t="n">
        <v>0</v>
      </c>
      <c r="O804" t="n">
        <v>0</v>
      </c>
      <c r="P804" t="n">
        <v>0</v>
      </c>
      <c r="Q804" t="n">
        <v>0</v>
      </c>
      <c r="R804" s="2" t="inlineStr"/>
    </row>
    <row r="805" ht="15" customHeight="1">
      <c r="A805" t="inlineStr">
        <is>
          <t>A 43038-2022</t>
        </is>
      </c>
      <c r="B805" s="1" t="n">
        <v>44833</v>
      </c>
      <c r="C805" s="1" t="n">
        <v>45364</v>
      </c>
      <c r="D805" t="inlineStr">
        <is>
          <t>KALMAR LÄN</t>
        </is>
      </c>
      <c r="E805" t="inlineStr">
        <is>
          <t>VIMMERBY</t>
        </is>
      </c>
      <c r="G805" t="n">
        <v>4.2</v>
      </c>
      <c r="H805" t="n">
        <v>0</v>
      </c>
      <c r="I805" t="n">
        <v>0</v>
      </c>
      <c r="J805" t="n">
        <v>0</v>
      </c>
      <c r="K805" t="n">
        <v>0</v>
      </c>
      <c r="L805" t="n">
        <v>0</v>
      </c>
      <c r="M805" t="n">
        <v>0</v>
      </c>
      <c r="N805" t="n">
        <v>0</v>
      </c>
      <c r="O805" t="n">
        <v>0</v>
      </c>
      <c r="P805" t="n">
        <v>0</v>
      </c>
      <c r="Q805" t="n">
        <v>0</v>
      </c>
      <c r="R805" s="2" t="inlineStr"/>
    </row>
    <row r="806" ht="15" customHeight="1">
      <c r="A806" t="inlineStr">
        <is>
          <t>A 43272-2022</t>
        </is>
      </c>
      <c r="B806" s="1" t="n">
        <v>44834</v>
      </c>
      <c r="C806" s="1" t="n">
        <v>45364</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43553-2022</t>
        </is>
      </c>
      <c r="B807" s="1" t="n">
        <v>44837</v>
      </c>
      <c r="C807" s="1" t="n">
        <v>45364</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44179-2022</t>
        </is>
      </c>
      <c r="B808" s="1" t="n">
        <v>44839</v>
      </c>
      <c r="C808" s="1" t="n">
        <v>45364</v>
      </c>
      <c r="D808" t="inlineStr">
        <is>
          <t>KALMAR LÄN</t>
        </is>
      </c>
      <c r="E808" t="inlineStr">
        <is>
          <t>VIMMERBY</t>
        </is>
      </c>
      <c r="G808" t="n">
        <v>2.8</v>
      </c>
      <c r="H808" t="n">
        <v>0</v>
      </c>
      <c r="I808" t="n">
        <v>0</v>
      </c>
      <c r="J808" t="n">
        <v>0</v>
      </c>
      <c r="K808" t="n">
        <v>0</v>
      </c>
      <c r="L808" t="n">
        <v>0</v>
      </c>
      <c r="M808" t="n">
        <v>0</v>
      </c>
      <c r="N808" t="n">
        <v>0</v>
      </c>
      <c r="O808" t="n">
        <v>0</v>
      </c>
      <c r="P808" t="n">
        <v>0</v>
      </c>
      <c r="Q808" t="n">
        <v>0</v>
      </c>
      <c r="R808" s="2" t="inlineStr"/>
    </row>
    <row r="809" ht="15" customHeight="1">
      <c r="A809" t="inlineStr">
        <is>
          <t>A 44654-2022</t>
        </is>
      </c>
      <c r="B809" s="1" t="n">
        <v>44840</v>
      </c>
      <c r="C809" s="1" t="n">
        <v>45364</v>
      </c>
      <c r="D809" t="inlineStr">
        <is>
          <t>KALMAR LÄN</t>
        </is>
      </c>
      <c r="E809" t="inlineStr">
        <is>
          <t>VIMMERBY</t>
        </is>
      </c>
      <c r="G809" t="n">
        <v>3.1</v>
      </c>
      <c r="H809" t="n">
        <v>0</v>
      </c>
      <c r="I809" t="n">
        <v>0</v>
      </c>
      <c r="J809" t="n">
        <v>0</v>
      </c>
      <c r="K809" t="n">
        <v>0</v>
      </c>
      <c r="L809" t="n">
        <v>0</v>
      </c>
      <c r="M809" t="n">
        <v>0</v>
      </c>
      <c r="N809" t="n">
        <v>0</v>
      </c>
      <c r="O809" t="n">
        <v>0</v>
      </c>
      <c r="P809" t="n">
        <v>0</v>
      </c>
      <c r="Q809" t="n">
        <v>0</v>
      </c>
      <c r="R809" s="2" t="inlineStr"/>
    </row>
    <row r="810" ht="15" customHeight="1">
      <c r="A810" t="inlineStr">
        <is>
          <t>A 44651-2022</t>
        </is>
      </c>
      <c r="B810" s="1" t="n">
        <v>44840</v>
      </c>
      <c r="C810" s="1" t="n">
        <v>45364</v>
      </c>
      <c r="D810" t="inlineStr">
        <is>
          <t>KALMAR LÄN</t>
        </is>
      </c>
      <c r="E810" t="inlineStr">
        <is>
          <t>VIMMERBY</t>
        </is>
      </c>
      <c r="G810" t="n">
        <v>5.3</v>
      </c>
      <c r="H810" t="n">
        <v>0</v>
      </c>
      <c r="I810" t="n">
        <v>0</v>
      </c>
      <c r="J810" t="n">
        <v>0</v>
      </c>
      <c r="K810" t="n">
        <v>0</v>
      </c>
      <c r="L810" t="n">
        <v>0</v>
      </c>
      <c r="M810" t="n">
        <v>0</v>
      </c>
      <c r="N810" t="n">
        <v>0</v>
      </c>
      <c r="O810" t="n">
        <v>0</v>
      </c>
      <c r="P810" t="n">
        <v>0</v>
      </c>
      <c r="Q810" t="n">
        <v>0</v>
      </c>
      <c r="R810" s="2" t="inlineStr"/>
    </row>
    <row r="811" ht="15" customHeight="1">
      <c r="A811" t="inlineStr">
        <is>
          <t>A 44656-2022</t>
        </is>
      </c>
      <c r="B811" s="1" t="n">
        <v>44840</v>
      </c>
      <c r="C811" s="1" t="n">
        <v>45364</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45861-2022</t>
        </is>
      </c>
      <c r="B812" s="1" t="n">
        <v>44846</v>
      </c>
      <c r="C812" s="1" t="n">
        <v>45364</v>
      </c>
      <c r="D812" t="inlineStr">
        <is>
          <t>KALMAR LÄN</t>
        </is>
      </c>
      <c r="E812" t="inlineStr">
        <is>
          <t>VIMMERBY</t>
        </is>
      </c>
      <c r="G812" t="n">
        <v>3.5</v>
      </c>
      <c r="H812" t="n">
        <v>0</v>
      </c>
      <c r="I812" t="n">
        <v>0</v>
      </c>
      <c r="J812" t="n">
        <v>0</v>
      </c>
      <c r="K812" t="n">
        <v>0</v>
      </c>
      <c r="L812" t="n">
        <v>0</v>
      </c>
      <c r="M812" t="n">
        <v>0</v>
      </c>
      <c r="N812" t="n">
        <v>0</v>
      </c>
      <c r="O812" t="n">
        <v>0</v>
      </c>
      <c r="P812" t="n">
        <v>0</v>
      </c>
      <c r="Q812" t="n">
        <v>0</v>
      </c>
      <c r="R812" s="2" t="inlineStr"/>
    </row>
    <row r="813" ht="15" customHeight="1">
      <c r="A813" t="inlineStr">
        <is>
          <t>A 45858-2022</t>
        </is>
      </c>
      <c r="B813" s="1" t="n">
        <v>44846</v>
      </c>
      <c r="C813" s="1" t="n">
        <v>45364</v>
      </c>
      <c r="D813" t="inlineStr">
        <is>
          <t>KALMAR LÄN</t>
        </is>
      </c>
      <c r="E813" t="inlineStr">
        <is>
          <t>VIMMERBY</t>
        </is>
      </c>
      <c r="G813" t="n">
        <v>5.9</v>
      </c>
      <c r="H813" t="n">
        <v>0</v>
      </c>
      <c r="I813" t="n">
        <v>0</v>
      </c>
      <c r="J813" t="n">
        <v>0</v>
      </c>
      <c r="K813" t="n">
        <v>0</v>
      </c>
      <c r="L813" t="n">
        <v>0</v>
      </c>
      <c r="M813" t="n">
        <v>0</v>
      </c>
      <c r="N813" t="n">
        <v>0</v>
      </c>
      <c r="O813" t="n">
        <v>0</v>
      </c>
      <c r="P813" t="n">
        <v>0</v>
      </c>
      <c r="Q813" t="n">
        <v>0</v>
      </c>
      <c r="R813" s="2" t="inlineStr"/>
    </row>
    <row r="814" ht="15" customHeight="1">
      <c r="A814" t="inlineStr">
        <is>
          <t>A 46522-2022</t>
        </is>
      </c>
      <c r="B814" s="1" t="n">
        <v>44848</v>
      </c>
      <c r="C814" s="1" t="n">
        <v>45364</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46964-2022</t>
        </is>
      </c>
      <c r="B815" s="1" t="n">
        <v>44852</v>
      </c>
      <c r="C815" s="1" t="n">
        <v>45364</v>
      </c>
      <c r="D815" t="inlineStr">
        <is>
          <t>KALMAR LÄN</t>
        </is>
      </c>
      <c r="E815" t="inlineStr">
        <is>
          <t>VIMMERBY</t>
        </is>
      </c>
      <c r="G815" t="n">
        <v>0.2</v>
      </c>
      <c r="H815" t="n">
        <v>0</v>
      </c>
      <c r="I815" t="n">
        <v>0</v>
      </c>
      <c r="J815" t="n">
        <v>0</v>
      </c>
      <c r="K815" t="n">
        <v>0</v>
      </c>
      <c r="L815" t="n">
        <v>0</v>
      </c>
      <c r="M815" t="n">
        <v>0</v>
      </c>
      <c r="N815" t="n">
        <v>0</v>
      </c>
      <c r="O815" t="n">
        <v>0</v>
      </c>
      <c r="P815" t="n">
        <v>0</v>
      </c>
      <c r="Q815" t="n">
        <v>0</v>
      </c>
      <c r="R815" s="2" t="inlineStr"/>
    </row>
    <row r="816" ht="15" customHeight="1">
      <c r="A816" t="inlineStr">
        <is>
          <t>A 47214-2022</t>
        </is>
      </c>
      <c r="B816" s="1" t="n">
        <v>44852</v>
      </c>
      <c r="C816" s="1" t="n">
        <v>45364</v>
      </c>
      <c r="D816" t="inlineStr">
        <is>
          <t>KALMAR LÄN</t>
        </is>
      </c>
      <c r="E816" t="inlineStr">
        <is>
          <t>VIMMERBY</t>
        </is>
      </c>
      <c r="G816" t="n">
        <v>1.9</v>
      </c>
      <c r="H816" t="n">
        <v>0</v>
      </c>
      <c r="I816" t="n">
        <v>0</v>
      </c>
      <c r="J816" t="n">
        <v>0</v>
      </c>
      <c r="K816" t="n">
        <v>0</v>
      </c>
      <c r="L816" t="n">
        <v>0</v>
      </c>
      <c r="M816" t="n">
        <v>0</v>
      </c>
      <c r="N816" t="n">
        <v>0</v>
      </c>
      <c r="O816" t="n">
        <v>0</v>
      </c>
      <c r="P816" t="n">
        <v>0</v>
      </c>
      <c r="Q816" t="n">
        <v>0</v>
      </c>
      <c r="R816" s="2" t="inlineStr"/>
    </row>
    <row r="817" ht="15" customHeight="1">
      <c r="A817" t="inlineStr">
        <is>
          <t>A 47063-2022</t>
        </is>
      </c>
      <c r="B817" s="1" t="n">
        <v>44852</v>
      </c>
      <c r="C817" s="1" t="n">
        <v>45364</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47708-2022</t>
        </is>
      </c>
      <c r="B818" s="1" t="n">
        <v>44854</v>
      </c>
      <c r="C818" s="1" t="n">
        <v>45364</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47769-2022</t>
        </is>
      </c>
      <c r="B819" s="1" t="n">
        <v>44854</v>
      </c>
      <c r="C819" s="1" t="n">
        <v>45364</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48120-2022</t>
        </is>
      </c>
      <c r="B820" s="1" t="n">
        <v>44857</v>
      </c>
      <c r="C820" s="1" t="n">
        <v>45364</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49313-2022</t>
        </is>
      </c>
      <c r="B821" s="1" t="n">
        <v>44861</v>
      </c>
      <c r="C821" s="1" t="n">
        <v>45364</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49461-2022</t>
        </is>
      </c>
      <c r="B822" s="1" t="n">
        <v>44861</v>
      </c>
      <c r="C822" s="1" t="n">
        <v>45364</v>
      </c>
      <c r="D822" t="inlineStr">
        <is>
          <t>KALMAR LÄN</t>
        </is>
      </c>
      <c r="E822" t="inlineStr">
        <is>
          <t>VIMMERBY</t>
        </is>
      </c>
      <c r="G822" t="n">
        <v>3.2</v>
      </c>
      <c r="H822" t="n">
        <v>0</v>
      </c>
      <c r="I822" t="n">
        <v>0</v>
      </c>
      <c r="J822" t="n">
        <v>0</v>
      </c>
      <c r="K822" t="n">
        <v>0</v>
      </c>
      <c r="L822" t="n">
        <v>0</v>
      </c>
      <c r="M822" t="n">
        <v>0</v>
      </c>
      <c r="N822" t="n">
        <v>0</v>
      </c>
      <c r="O822" t="n">
        <v>0</v>
      </c>
      <c r="P822" t="n">
        <v>0</v>
      </c>
      <c r="Q822" t="n">
        <v>0</v>
      </c>
      <c r="R822" s="2" t="inlineStr"/>
    </row>
    <row r="823" ht="15" customHeight="1">
      <c r="A823" t="inlineStr">
        <is>
          <t>A 50809-2022</t>
        </is>
      </c>
      <c r="B823" s="1" t="n">
        <v>44862</v>
      </c>
      <c r="C823" s="1" t="n">
        <v>45364</v>
      </c>
      <c r="D823" t="inlineStr">
        <is>
          <t>KALMAR LÄN</t>
        </is>
      </c>
      <c r="E823" t="inlineStr">
        <is>
          <t>VIMMERBY</t>
        </is>
      </c>
      <c r="G823" t="n">
        <v>3.7</v>
      </c>
      <c r="H823" t="n">
        <v>0</v>
      </c>
      <c r="I823" t="n">
        <v>0</v>
      </c>
      <c r="J823" t="n">
        <v>0</v>
      </c>
      <c r="K823" t="n">
        <v>0</v>
      </c>
      <c r="L823" t="n">
        <v>0</v>
      </c>
      <c r="M823" t="n">
        <v>0</v>
      </c>
      <c r="N823" t="n">
        <v>0</v>
      </c>
      <c r="O823" t="n">
        <v>0</v>
      </c>
      <c r="P823" t="n">
        <v>0</v>
      </c>
      <c r="Q823" t="n">
        <v>0</v>
      </c>
      <c r="R823" s="2" t="inlineStr"/>
    </row>
    <row r="824" ht="15" customHeight="1">
      <c r="A824" t="inlineStr">
        <is>
          <t>A 50804-2022</t>
        </is>
      </c>
      <c r="B824" s="1" t="n">
        <v>44862</v>
      </c>
      <c r="C824" s="1" t="n">
        <v>45364</v>
      </c>
      <c r="D824" t="inlineStr">
        <is>
          <t>KALMAR LÄN</t>
        </is>
      </c>
      <c r="E824" t="inlineStr">
        <is>
          <t>VIMMERBY</t>
        </is>
      </c>
      <c r="G824" t="n">
        <v>0.5</v>
      </c>
      <c r="H824" t="n">
        <v>0</v>
      </c>
      <c r="I824" t="n">
        <v>0</v>
      </c>
      <c r="J824" t="n">
        <v>0</v>
      </c>
      <c r="K824" t="n">
        <v>0</v>
      </c>
      <c r="L824" t="n">
        <v>0</v>
      </c>
      <c r="M824" t="n">
        <v>0</v>
      </c>
      <c r="N824" t="n">
        <v>0</v>
      </c>
      <c r="O824" t="n">
        <v>0</v>
      </c>
      <c r="P824" t="n">
        <v>0</v>
      </c>
      <c r="Q824" t="n">
        <v>0</v>
      </c>
      <c r="R824" s="2" t="inlineStr"/>
    </row>
    <row r="825" ht="15" customHeight="1">
      <c r="A825" t="inlineStr">
        <is>
          <t>A 50535-2022</t>
        </is>
      </c>
      <c r="B825" s="1" t="n">
        <v>44866</v>
      </c>
      <c r="C825" s="1" t="n">
        <v>45364</v>
      </c>
      <c r="D825" t="inlineStr">
        <is>
          <t>KALMAR LÄN</t>
        </is>
      </c>
      <c r="E825" t="inlineStr">
        <is>
          <t>VIMMERBY</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50621-2022</t>
        </is>
      </c>
      <c r="B826" s="1" t="n">
        <v>44866</v>
      </c>
      <c r="C826" s="1" t="n">
        <v>45364</v>
      </c>
      <c r="D826" t="inlineStr">
        <is>
          <t>KALMAR LÄN</t>
        </is>
      </c>
      <c r="E826" t="inlineStr">
        <is>
          <t>VIMMERBY</t>
        </is>
      </c>
      <c r="F826" t="inlineStr">
        <is>
          <t>Övriga Aktiebolag</t>
        </is>
      </c>
      <c r="G826" t="n">
        <v>5.1</v>
      </c>
      <c r="H826" t="n">
        <v>0</v>
      </c>
      <c r="I826" t="n">
        <v>0</v>
      </c>
      <c r="J826" t="n">
        <v>0</v>
      </c>
      <c r="K826" t="n">
        <v>0</v>
      </c>
      <c r="L826" t="n">
        <v>0</v>
      </c>
      <c r="M826" t="n">
        <v>0</v>
      </c>
      <c r="N826" t="n">
        <v>0</v>
      </c>
      <c r="O826" t="n">
        <v>0</v>
      </c>
      <c r="P826" t="n">
        <v>0</v>
      </c>
      <c r="Q826" t="n">
        <v>0</v>
      </c>
      <c r="R826" s="2" t="inlineStr"/>
    </row>
    <row r="827" ht="15" customHeight="1">
      <c r="A827" t="inlineStr">
        <is>
          <t>A 50860-2022</t>
        </is>
      </c>
      <c r="B827" s="1" t="n">
        <v>44867</v>
      </c>
      <c r="C827" s="1" t="n">
        <v>45364</v>
      </c>
      <c r="D827" t="inlineStr">
        <is>
          <t>KALMAR LÄN</t>
        </is>
      </c>
      <c r="E827" t="inlineStr">
        <is>
          <t>VIMMERBY</t>
        </is>
      </c>
      <c r="G827" t="n">
        <v>0.6</v>
      </c>
      <c r="H827" t="n">
        <v>0</v>
      </c>
      <c r="I827" t="n">
        <v>0</v>
      </c>
      <c r="J827" t="n">
        <v>0</v>
      </c>
      <c r="K827" t="n">
        <v>0</v>
      </c>
      <c r="L827" t="n">
        <v>0</v>
      </c>
      <c r="M827" t="n">
        <v>0</v>
      </c>
      <c r="N827" t="n">
        <v>0</v>
      </c>
      <c r="O827" t="n">
        <v>0</v>
      </c>
      <c r="P827" t="n">
        <v>0</v>
      </c>
      <c r="Q827" t="n">
        <v>0</v>
      </c>
      <c r="R827" s="2" t="inlineStr"/>
    </row>
    <row r="828" ht="15" customHeight="1">
      <c r="A828" t="inlineStr">
        <is>
          <t>A 50995-2022</t>
        </is>
      </c>
      <c r="B828" s="1" t="n">
        <v>44867</v>
      </c>
      <c r="C828" s="1" t="n">
        <v>45364</v>
      </c>
      <c r="D828" t="inlineStr">
        <is>
          <t>KALMAR LÄN</t>
        </is>
      </c>
      <c r="E828" t="inlineStr">
        <is>
          <t>VIMMERBY</t>
        </is>
      </c>
      <c r="G828" t="n">
        <v>2.4</v>
      </c>
      <c r="H828" t="n">
        <v>0</v>
      </c>
      <c r="I828" t="n">
        <v>0</v>
      </c>
      <c r="J828" t="n">
        <v>0</v>
      </c>
      <c r="K828" t="n">
        <v>0</v>
      </c>
      <c r="L828" t="n">
        <v>0</v>
      </c>
      <c r="M828" t="n">
        <v>0</v>
      </c>
      <c r="N828" t="n">
        <v>0</v>
      </c>
      <c r="O828" t="n">
        <v>0</v>
      </c>
      <c r="P828" t="n">
        <v>0</v>
      </c>
      <c r="Q828" t="n">
        <v>0</v>
      </c>
      <c r="R828" s="2" t="inlineStr"/>
    </row>
    <row r="829" ht="15" customHeight="1">
      <c r="A829" t="inlineStr">
        <is>
          <t>A 50993-2022</t>
        </is>
      </c>
      <c r="B829" s="1" t="n">
        <v>44867</v>
      </c>
      <c r="C829" s="1" t="n">
        <v>45364</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52753-2022</t>
        </is>
      </c>
      <c r="B830" s="1" t="n">
        <v>44875</v>
      </c>
      <c r="C830" s="1" t="n">
        <v>45364</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52755-2022</t>
        </is>
      </c>
      <c r="B831" s="1" t="n">
        <v>44875</v>
      </c>
      <c r="C831" s="1" t="n">
        <v>45364</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53145-2022</t>
        </is>
      </c>
      <c r="B832" s="1" t="n">
        <v>44876</v>
      </c>
      <c r="C832" s="1" t="n">
        <v>45364</v>
      </c>
      <c r="D832" t="inlineStr">
        <is>
          <t>KALMAR LÄN</t>
        </is>
      </c>
      <c r="E832" t="inlineStr">
        <is>
          <t>VIMMERBY</t>
        </is>
      </c>
      <c r="G832" t="n">
        <v>0.4</v>
      </c>
      <c r="H832" t="n">
        <v>0</v>
      </c>
      <c r="I832" t="n">
        <v>0</v>
      </c>
      <c r="J832" t="n">
        <v>0</v>
      </c>
      <c r="K832" t="n">
        <v>0</v>
      </c>
      <c r="L832" t="n">
        <v>0</v>
      </c>
      <c r="M832" t="n">
        <v>0</v>
      </c>
      <c r="N832" t="n">
        <v>0</v>
      </c>
      <c r="O832" t="n">
        <v>0</v>
      </c>
      <c r="P832" t="n">
        <v>0</v>
      </c>
      <c r="Q832" t="n">
        <v>0</v>
      </c>
      <c r="R832" s="2" t="inlineStr"/>
    </row>
    <row r="833" ht="15" customHeight="1">
      <c r="A833" t="inlineStr">
        <is>
          <t>A 53247-2022</t>
        </is>
      </c>
      <c r="B833" s="1" t="n">
        <v>44876</v>
      </c>
      <c r="C833" s="1" t="n">
        <v>45364</v>
      </c>
      <c r="D833" t="inlineStr">
        <is>
          <t>KALMAR LÄN</t>
        </is>
      </c>
      <c r="E833" t="inlineStr">
        <is>
          <t>VIMMERBY</t>
        </is>
      </c>
      <c r="G833" t="n">
        <v>3.3</v>
      </c>
      <c r="H833" t="n">
        <v>0</v>
      </c>
      <c r="I833" t="n">
        <v>0</v>
      </c>
      <c r="J833" t="n">
        <v>0</v>
      </c>
      <c r="K833" t="n">
        <v>0</v>
      </c>
      <c r="L833" t="n">
        <v>0</v>
      </c>
      <c r="M833" t="n">
        <v>0</v>
      </c>
      <c r="N833" t="n">
        <v>0</v>
      </c>
      <c r="O833" t="n">
        <v>0</v>
      </c>
      <c r="P833" t="n">
        <v>0</v>
      </c>
      <c r="Q833" t="n">
        <v>0</v>
      </c>
      <c r="R833" s="2" t="inlineStr"/>
    </row>
    <row r="834" ht="15" customHeight="1">
      <c r="A834" t="inlineStr">
        <is>
          <t>A 53482-2022</t>
        </is>
      </c>
      <c r="B834" s="1" t="n">
        <v>44879</v>
      </c>
      <c r="C834" s="1" t="n">
        <v>45364</v>
      </c>
      <c r="D834" t="inlineStr">
        <is>
          <t>KALMAR LÄN</t>
        </is>
      </c>
      <c r="E834" t="inlineStr">
        <is>
          <t>VIMMERBY</t>
        </is>
      </c>
      <c r="G834" t="n">
        <v>10.1</v>
      </c>
      <c r="H834" t="n">
        <v>0</v>
      </c>
      <c r="I834" t="n">
        <v>0</v>
      </c>
      <c r="J834" t="n">
        <v>0</v>
      </c>
      <c r="K834" t="n">
        <v>0</v>
      </c>
      <c r="L834" t="n">
        <v>0</v>
      </c>
      <c r="M834" t="n">
        <v>0</v>
      </c>
      <c r="N834" t="n">
        <v>0</v>
      </c>
      <c r="O834" t="n">
        <v>0</v>
      </c>
      <c r="P834" t="n">
        <v>0</v>
      </c>
      <c r="Q834" t="n">
        <v>0</v>
      </c>
      <c r="R834" s="2" t="inlineStr"/>
    </row>
    <row r="835" ht="15" customHeight="1">
      <c r="A835" t="inlineStr">
        <is>
          <t>A 53542-2022</t>
        </is>
      </c>
      <c r="B835" s="1" t="n">
        <v>44879</v>
      </c>
      <c r="C835" s="1" t="n">
        <v>45364</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53483-2022</t>
        </is>
      </c>
      <c r="B836" s="1" t="n">
        <v>44879</v>
      </c>
      <c r="C836" s="1" t="n">
        <v>45364</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54020-2022</t>
        </is>
      </c>
      <c r="B837" s="1" t="n">
        <v>44881</v>
      </c>
      <c r="C837" s="1" t="n">
        <v>45364</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54749-2022</t>
        </is>
      </c>
      <c r="B838" s="1" t="n">
        <v>44883</v>
      </c>
      <c r="C838" s="1" t="n">
        <v>45364</v>
      </c>
      <c r="D838" t="inlineStr">
        <is>
          <t>KALMAR LÄN</t>
        </is>
      </c>
      <c r="E838" t="inlineStr">
        <is>
          <t>VIMMERBY</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54745-2022</t>
        </is>
      </c>
      <c r="B839" s="1" t="n">
        <v>44883</v>
      </c>
      <c r="C839" s="1" t="n">
        <v>45364</v>
      </c>
      <c r="D839" t="inlineStr">
        <is>
          <t>KALMAR LÄN</t>
        </is>
      </c>
      <c r="E839" t="inlineStr">
        <is>
          <t>VIMMERBY</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54877-2022</t>
        </is>
      </c>
      <c r="B840" s="1" t="n">
        <v>44886</v>
      </c>
      <c r="C840" s="1" t="n">
        <v>45364</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55333-2022</t>
        </is>
      </c>
      <c r="B841" s="1" t="n">
        <v>44887</v>
      </c>
      <c r="C841" s="1" t="n">
        <v>45364</v>
      </c>
      <c r="D841" t="inlineStr">
        <is>
          <t>KALMAR LÄN</t>
        </is>
      </c>
      <c r="E841" t="inlineStr">
        <is>
          <t>VIMMERBY</t>
        </is>
      </c>
      <c r="G841" t="n">
        <v>3.4</v>
      </c>
      <c r="H841" t="n">
        <v>0</v>
      </c>
      <c r="I841" t="n">
        <v>0</v>
      </c>
      <c r="J841" t="n">
        <v>0</v>
      </c>
      <c r="K841" t="n">
        <v>0</v>
      </c>
      <c r="L841" t="n">
        <v>0</v>
      </c>
      <c r="M841" t="n">
        <v>0</v>
      </c>
      <c r="N841" t="n">
        <v>0</v>
      </c>
      <c r="O841" t="n">
        <v>0</v>
      </c>
      <c r="P841" t="n">
        <v>0</v>
      </c>
      <c r="Q841" t="n">
        <v>0</v>
      </c>
      <c r="R841" s="2" t="inlineStr"/>
    </row>
    <row r="842" ht="15" customHeight="1">
      <c r="A842" t="inlineStr">
        <is>
          <t>A 57682-2022</t>
        </is>
      </c>
      <c r="B842" s="1" t="n">
        <v>44890</v>
      </c>
      <c r="C842" s="1" t="n">
        <v>45364</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56582-2022</t>
        </is>
      </c>
      <c r="B843" s="1" t="n">
        <v>44893</v>
      </c>
      <c r="C843" s="1" t="n">
        <v>45364</v>
      </c>
      <c r="D843" t="inlineStr">
        <is>
          <t>KALMAR LÄN</t>
        </is>
      </c>
      <c r="E843" t="inlineStr">
        <is>
          <t>VIMMERBY</t>
        </is>
      </c>
      <c r="G843" t="n">
        <v>2.2</v>
      </c>
      <c r="H843" t="n">
        <v>0</v>
      </c>
      <c r="I843" t="n">
        <v>0</v>
      </c>
      <c r="J843" t="n">
        <v>0</v>
      </c>
      <c r="K843" t="n">
        <v>0</v>
      </c>
      <c r="L843" t="n">
        <v>0</v>
      </c>
      <c r="M843" t="n">
        <v>0</v>
      </c>
      <c r="N843" t="n">
        <v>0</v>
      </c>
      <c r="O843" t="n">
        <v>0</v>
      </c>
      <c r="P843" t="n">
        <v>0</v>
      </c>
      <c r="Q843" t="n">
        <v>0</v>
      </c>
      <c r="R843" s="2" t="inlineStr"/>
    </row>
    <row r="844" ht="15" customHeight="1">
      <c r="A844" t="inlineStr">
        <is>
          <t>A 56536-2022</t>
        </is>
      </c>
      <c r="B844" s="1" t="n">
        <v>44893</v>
      </c>
      <c r="C844" s="1" t="n">
        <v>45364</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56853-2022</t>
        </is>
      </c>
      <c r="B845" s="1" t="n">
        <v>44894</v>
      </c>
      <c r="C845" s="1" t="n">
        <v>45364</v>
      </c>
      <c r="D845" t="inlineStr">
        <is>
          <t>KALMAR LÄN</t>
        </is>
      </c>
      <c r="E845" t="inlineStr">
        <is>
          <t>VIMMERBY</t>
        </is>
      </c>
      <c r="G845" t="n">
        <v>4.3</v>
      </c>
      <c r="H845" t="n">
        <v>0</v>
      </c>
      <c r="I845" t="n">
        <v>0</v>
      </c>
      <c r="J845" t="n">
        <v>0</v>
      </c>
      <c r="K845" t="n">
        <v>0</v>
      </c>
      <c r="L845" t="n">
        <v>0</v>
      </c>
      <c r="M845" t="n">
        <v>0</v>
      </c>
      <c r="N845" t="n">
        <v>0</v>
      </c>
      <c r="O845" t="n">
        <v>0</v>
      </c>
      <c r="P845" t="n">
        <v>0</v>
      </c>
      <c r="Q845" t="n">
        <v>0</v>
      </c>
      <c r="R845" s="2" t="inlineStr"/>
    </row>
    <row r="846" ht="15" customHeight="1">
      <c r="A846" t="inlineStr">
        <is>
          <t>A 57091-2022</t>
        </is>
      </c>
      <c r="B846" s="1" t="n">
        <v>44895</v>
      </c>
      <c r="C846" s="1" t="n">
        <v>45364</v>
      </c>
      <c r="D846" t="inlineStr">
        <is>
          <t>KALMAR LÄN</t>
        </is>
      </c>
      <c r="E846" t="inlineStr">
        <is>
          <t>VIMMERBY</t>
        </is>
      </c>
      <c r="G846" t="n">
        <v>2.6</v>
      </c>
      <c r="H846" t="n">
        <v>0</v>
      </c>
      <c r="I846" t="n">
        <v>0</v>
      </c>
      <c r="J846" t="n">
        <v>0</v>
      </c>
      <c r="K846" t="n">
        <v>0</v>
      </c>
      <c r="L846" t="n">
        <v>0</v>
      </c>
      <c r="M846" t="n">
        <v>0</v>
      </c>
      <c r="N846" t="n">
        <v>0</v>
      </c>
      <c r="O846" t="n">
        <v>0</v>
      </c>
      <c r="P846" t="n">
        <v>0</v>
      </c>
      <c r="Q846" t="n">
        <v>0</v>
      </c>
      <c r="R846" s="2" t="inlineStr"/>
    </row>
    <row r="847" ht="15" customHeight="1">
      <c r="A847" t="inlineStr">
        <is>
          <t>A 57189-2022</t>
        </is>
      </c>
      <c r="B847" s="1" t="n">
        <v>44895</v>
      </c>
      <c r="C847" s="1" t="n">
        <v>45364</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57190-2022</t>
        </is>
      </c>
      <c r="B848" s="1" t="n">
        <v>44895</v>
      </c>
      <c r="C848" s="1" t="n">
        <v>45364</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58967-2022</t>
        </is>
      </c>
      <c r="B849" s="1" t="n">
        <v>44896</v>
      </c>
      <c r="C849" s="1" t="n">
        <v>45364</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57799-2022</t>
        </is>
      </c>
      <c r="B850" s="1" t="n">
        <v>44897</v>
      </c>
      <c r="C850" s="1" t="n">
        <v>45364</v>
      </c>
      <c r="D850" t="inlineStr">
        <is>
          <t>KALMAR LÄN</t>
        </is>
      </c>
      <c r="E850" t="inlineStr">
        <is>
          <t>VIMMERBY</t>
        </is>
      </c>
      <c r="G850" t="n">
        <v>1.4</v>
      </c>
      <c r="H850" t="n">
        <v>0</v>
      </c>
      <c r="I850" t="n">
        <v>0</v>
      </c>
      <c r="J850" t="n">
        <v>0</v>
      </c>
      <c r="K850" t="n">
        <v>0</v>
      </c>
      <c r="L850" t="n">
        <v>0</v>
      </c>
      <c r="M850" t="n">
        <v>0</v>
      </c>
      <c r="N850" t="n">
        <v>0</v>
      </c>
      <c r="O850" t="n">
        <v>0</v>
      </c>
      <c r="P850" t="n">
        <v>0</v>
      </c>
      <c r="Q850" t="n">
        <v>0</v>
      </c>
      <c r="R850" s="2" t="inlineStr"/>
    </row>
    <row r="851" ht="15" customHeight="1">
      <c r="A851" t="inlineStr">
        <is>
          <t>A 58046-2022</t>
        </is>
      </c>
      <c r="B851" s="1" t="n">
        <v>44900</v>
      </c>
      <c r="C851" s="1" t="n">
        <v>45364</v>
      </c>
      <c r="D851" t="inlineStr">
        <is>
          <t>KALMAR LÄN</t>
        </is>
      </c>
      <c r="E851" t="inlineStr">
        <is>
          <t>VIMMERBY</t>
        </is>
      </c>
      <c r="G851" t="n">
        <v>2.5</v>
      </c>
      <c r="H851" t="n">
        <v>0</v>
      </c>
      <c r="I851" t="n">
        <v>0</v>
      </c>
      <c r="J851" t="n">
        <v>0</v>
      </c>
      <c r="K851" t="n">
        <v>0</v>
      </c>
      <c r="L851" t="n">
        <v>0</v>
      </c>
      <c r="M851" t="n">
        <v>0</v>
      </c>
      <c r="N851" t="n">
        <v>0</v>
      </c>
      <c r="O851" t="n">
        <v>0</v>
      </c>
      <c r="P851" t="n">
        <v>0</v>
      </c>
      <c r="Q851" t="n">
        <v>0</v>
      </c>
      <c r="R851" s="2" t="inlineStr"/>
    </row>
    <row r="852" ht="15" customHeight="1">
      <c r="A852" t="inlineStr">
        <is>
          <t>A 58750-2022</t>
        </is>
      </c>
      <c r="B852" s="1" t="n">
        <v>44903</v>
      </c>
      <c r="C852" s="1" t="n">
        <v>45364</v>
      </c>
      <c r="D852" t="inlineStr">
        <is>
          <t>KALMAR LÄN</t>
        </is>
      </c>
      <c r="E852" t="inlineStr">
        <is>
          <t>VIMMERBY</t>
        </is>
      </c>
      <c r="G852" t="n">
        <v>3.3</v>
      </c>
      <c r="H852" t="n">
        <v>0</v>
      </c>
      <c r="I852" t="n">
        <v>0</v>
      </c>
      <c r="J852" t="n">
        <v>0</v>
      </c>
      <c r="K852" t="n">
        <v>0</v>
      </c>
      <c r="L852" t="n">
        <v>0</v>
      </c>
      <c r="M852" t="n">
        <v>0</v>
      </c>
      <c r="N852" t="n">
        <v>0</v>
      </c>
      <c r="O852" t="n">
        <v>0</v>
      </c>
      <c r="P852" t="n">
        <v>0</v>
      </c>
      <c r="Q852" t="n">
        <v>0</v>
      </c>
      <c r="R852" s="2" t="inlineStr"/>
    </row>
    <row r="853" ht="15" customHeight="1">
      <c r="A853" t="inlineStr">
        <is>
          <t>A 58962-2022</t>
        </is>
      </c>
      <c r="B853" s="1" t="n">
        <v>44903</v>
      </c>
      <c r="C853" s="1" t="n">
        <v>45364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60110-2022</t>
        </is>
      </c>
      <c r="B854" s="1" t="n">
        <v>44909</v>
      </c>
      <c r="C854" s="1" t="n">
        <v>45364</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60230-2022</t>
        </is>
      </c>
      <c r="B855" s="1" t="n">
        <v>44910</v>
      </c>
      <c r="C855" s="1" t="n">
        <v>45364</v>
      </c>
      <c r="D855" t="inlineStr">
        <is>
          <t>KALMAR LÄN</t>
        </is>
      </c>
      <c r="E855" t="inlineStr">
        <is>
          <t>VIMMERBY</t>
        </is>
      </c>
      <c r="G855" t="n">
        <v>11.3</v>
      </c>
      <c r="H855" t="n">
        <v>0</v>
      </c>
      <c r="I855" t="n">
        <v>0</v>
      </c>
      <c r="J855" t="n">
        <v>0</v>
      </c>
      <c r="K855" t="n">
        <v>0</v>
      </c>
      <c r="L855" t="n">
        <v>0</v>
      </c>
      <c r="M855" t="n">
        <v>0</v>
      </c>
      <c r="N855" t="n">
        <v>0</v>
      </c>
      <c r="O855" t="n">
        <v>0</v>
      </c>
      <c r="P855" t="n">
        <v>0</v>
      </c>
      <c r="Q855" t="n">
        <v>0</v>
      </c>
      <c r="R855" s="2" t="inlineStr"/>
    </row>
    <row r="856" ht="15" customHeight="1">
      <c r="A856" t="inlineStr">
        <is>
          <t>A 60215-2022</t>
        </is>
      </c>
      <c r="B856" s="1" t="n">
        <v>44910</v>
      </c>
      <c r="C856" s="1" t="n">
        <v>45364</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60292-2022</t>
        </is>
      </c>
      <c r="B857" s="1" t="n">
        <v>44910</v>
      </c>
      <c r="C857" s="1" t="n">
        <v>45364</v>
      </c>
      <c r="D857" t="inlineStr">
        <is>
          <t>KALMAR LÄN</t>
        </is>
      </c>
      <c r="E857" t="inlineStr">
        <is>
          <t>VIMMERBY</t>
        </is>
      </c>
      <c r="G857" t="n">
        <v>4.4</v>
      </c>
      <c r="H857" t="n">
        <v>0</v>
      </c>
      <c r="I857" t="n">
        <v>0</v>
      </c>
      <c r="J857" t="n">
        <v>0</v>
      </c>
      <c r="K857" t="n">
        <v>0</v>
      </c>
      <c r="L857" t="n">
        <v>0</v>
      </c>
      <c r="M857" t="n">
        <v>0</v>
      </c>
      <c r="N857" t="n">
        <v>0</v>
      </c>
      <c r="O857" t="n">
        <v>0</v>
      </c>
      <c r="P857" t="n">
        <v>0</v>
      </c>
      <c r="Q857" t="n">
        <v>0</v>
      </c>
      <c r="R857" s="2" t="inlineStr"/>
    </row>
    <row r="858" ht="15" customHeight="1">
      <c r="A858" t="inlineStr">
        <is>
          <t>A 60339-2022</t>
        </is>
      </c>
      <c r="B858" s="1" t="n">
        <v>44910</v>
      </c>
      <c r="C858" s="1" t="n">
        <v>45364</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61538-2022</t>
        </is>
      </c>
      <c r="B859" s="1" t="n">
        <v>44916</v>
      </c>
      <c r="C859" s="1" t="n">
        <v>45364</v>
      </c>
      <c r="D859" t="inlineStr">
        <is>
          <t>KALMAR LÄN</t>
        </is>
      </c>
      <c r="E859" t="inlineStr">
        <is>
          <t>VIMMERBY</t>
        </is>
      </c>
      <c r="G859" t="n">
        <v>1.5</v>
      </c>
      <c r="H859" t="n">
        <v>0</v>
      </c>
      <c r="I859" t="n">
        <v>0</v>
      </c>
      <c r="J859" t="n">
        <v>0</v>
      </c>
      <c r="K859" t="n">
        <v>0</v>
      </c>
      <c r="L859" t="n">
        <v>0</v>
      </c>
      <c r="M859" t="n">
        <v>0</v>
      </c>
      <c r="N859" t="n">
        <v>0</v>
      </c>
      <c r="O859" t="n">
        <v>0</v>
      </c>
      <c r="P859" t="n">
        <v>0</v>
      </c>
      <c r="Q859" t="n">
        <v>0</v>
      </c>
      <c r="R859" s="2" t="inlineStr"/>
    </row>
    <row r="860" ht="15" customHeight="1">
      <c r="A860" t="inlineStr">
        <is>
          <t>A 62075-2022</t>
        </is>
      </c>
      <c r="B860" s="1" t="n">
        <v>44918</v>
      </c>
      <c r="C860" s="1" t="n">
        <v>45364</v>
      </c>
      <c r="D860" t="inlineStr">
        <is>
          <t>KALMAR LÄN</t>
        </is>
      </c>
      <c r="E860" t="inlineStr">
        <is>
          <t>VIMMERBY</t>
        </is>
      </c>
      <c r="G860" t="n">
        <v>1.4</v>
      </c>
      <c r="H860" t="n">
        <v>0</v>
      </c>
      <c r="I860" t="n">
        <v>0</v>
      </c>
      <c r="J860" t="n">
        <v>0</v>
      </c>
      <c r="K860" t="n">
        <v>0</v>
      </c>
      <c r="L860" t="n">
        <v>0</v>
      </c>
      <c r="M860" t="n">
        <v>0</v>
      </c>
      <c r="N860" t="n">
        <v>0</v>
      </c>
      <c r="O860" t="n">
        <v>0</v>
      </c>
      <c r="P860" t="n">
        <v>0</v>
      </c>
      <c r="Q860" t="n">
        <v>0</v>
      </c>
      <c r="R860" s="2" t="inlineStr"/>
    </row>
    <row r="861" ht="15" customHeight="1">
      <c r="A861" t="inlineStr">
        <is>
          <t>A 62023-2022</t>
        </is>
      </c>
      <c r="B861" s="1" t="n">
        <v>44918</v>
      </c>
      <c r="C861" s="1" t="n">
        <v>45364</v>
      </c>
      <c r="D861" t="inlineStr">
        <is>
          <t>KALMAR LÄN</t>
        </is>
      </c>
      <c r="E861" t="inlineStr">
        <is>
          <t>VIMMERBY</t>
        </is>
      </c>
      <c r="G861" t="n">
        <v>0.3</v>
      </c>
      <c r="H861" t="n">
        <v>0</v>
      </c>
      <c r="I861" t="n">
        <v>0</v>
      </c>
      <c r="J861" t="n">
        <v>0</v>
      </c>
      <c r="K861" t="n">
        <v>0</v>
      </c>
      <c r="L861" t="n">
        <v>0</v>
      </c>
      <c r="M861" t="n">
        <v>0</v>
      </c>
      <c r="N861" t="n">
        <v>0</v>
      </c>
      <c r="O861" t="n">
        <v>0</v>
      </c>
      <c r="P861" t="n">
        <v>0</v>
      </c>
      <c r="Q861" t="n">
        <v>0</v>
      </c>
      <c r="R861" s="2" t="inlineStr"/>
    </row>
    <row r="862" ht="15" customHeight="1">
      <c r="A862" t="inlineStr">
        <is>
          <t>A 89-2023</t>
        </is>
      </c>
      <c r="B862" s="1" t="n">
        <v>44918</v>
      </c>
      <c r="C862" s="1" t="n">
        <v>45364</v>
      </c>
      <c r="D862" t="inlineStr">
        <is>
          <t>KALMAR LÄN</t>
        </is>
      </c>
      <c r="E862" t="inlineStr">
        <is>
          <t>VIMMERBY</t>
        </is>
      </c>
      <c r="G862" t="n">
        <v>16.1</v>
      </c>
      <c r="H862" t="n">
        <v>0</v>
      </c>
      <c r="I862" t="n">
        <v>0</v>
      </c>
      <c r="J862" t="n">
        <v>0</v>
      </c>
      <c r="K862" t="n">
        <v>0</v>
      </c>
      <c r="L862" t="n">
        <v>0</v>
      </c>
      <c r="M862" t="n">
        <v>0</v>
      </c>
      <c r="N862" t="n">
        <v>0</v>
      </c>
      <c r="O862" t="n">
        <v>0</v>
      </c>
      <c r="P862" t="n">
        <v>0</v>
      </c>
      <c r="Q862" t="n">
        <v>0</v>
      </c>
      <c r="R862" s="2" t="inlineStr"/>
    </row>
    <row r="863" ht="15" customHeight="1">
      <c r="A863" t="inlineStr">
        <is>
          <t>A 346-2023</t>
        </is>
      </c>
      <c r="B863" s="1" t="n">
        <v>44929</v>
      </c>
      <c r="C863" s="1" t="n">
        <v>45364</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343-2023</t>
        </is>
      </c>
      <c r="B864" s="1" t="n">
        <v>44929</v>
      </c>
      <c r="C864" s="1" t="n">
        <v>45364</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502-2023</t>
        </is>
      </c>
      <c r="B865" s="1" t="n">
        <v>44930</v>
      </c>
      <c r="C865" s="1" t="n">
        <v>45364</v>
      </c>
      <c r="D865" t="inlineStr">
        <is>
          <t>KALMAR LÄN</t>
        </is>
      </c>
      <c r="E865" t="inlineStr">
        <is>
          <t>VIMMERBY</t>
        </is>
      </c>
      <c r="G865" t="n">
        <v>5</v>
      </c>
      <c r="H865" t="n">
        <v>0</v>
      </c>
      <c r="I865" t="n">
        <v>0</v>
      </c>
      <c r="J865" t="n">
        <v>0</v>
      </c>
      <c r="K865" t="n">
        <v>0</v>
      </c>
      <c r="L865" t="n">
        <v>0</v>
      </c>
      <c r="M865" t="n">
        <v>0</v>
      </c>
      <c r="N865" t="n">
        <v>0</v>
      </c>
      <c r="O865" t="n">
        <v>0</v>
      </c>
      <c r="P865" t="n">
        <v>0</v>
      </c>
      <c r="Q865" t="n">
        <v>0</v>
      </c>
      <c r="R865" s="2" t="inlineStr"/>
    </row>
    <row r="866" ht="15" customHeight="1">
      <c r="A866" t="inlineStr">
        <is>
          <t>A 508-2023</t>
        </is>
      </c>
      <c r="B866" s="1" t="n">
        <v>44930</v>
      </c>
      <c r="C866" s="1" t="n">
        <v>45364</v>
      </c>
      <c r="D866" t="inlineStr">
        <is>
          <t>KALMAR LÄN</t>
        </is>
      </c>
      <c r="E866" t="inlineStr">
        <is>
          <t>VIMMERBY</t>
        </is>
      </c>
      <c r="G866" t="n">
        <v>2.3</v>
      </c>
      <c r="H866" t="n">
        <v>0</v>
      </c>
      <c r="I866" t="n">
        <v>0</v>
      </c>
      <c r="J866" t="n">
        <v>0</v>
      </c>
      <c r="K866" t="n">
        <v>0</v>
      </c>
      <c r="L866" t="n">
        <v>0</v>
      </c>
      <c r="M866" t="n">
        <v>0</v>
      </c>
      <c r="N866" t="n">
        <v>0</v>
      </c>
      <c r="O866" t="n">
        <v>0</v>
      </c>
      <c r="P866" t="n">
        <v>0</v>
      </c>
      <c r="Q866" t="n">
        <v>0</v>
      </c>
      <c r="R866" s="2" t="inlineStr"/>
    </row>
    <row r="867" ht="15" customHeight="1">
      <c r="A867" t="inlineStr">
        <is>
          <t>A 845-2023</t>
        </is>
      </c>
      <c r="B867" s="1" t="n">
        <v>44931</v>
      </c>
      <c r="C867" s="1" t="n">
        <v>45364</v>
      </c>
      <c r="D867" t="inlineStr">
        <is>
          <t>KALMAR LÄN</t>
        </is>
      </c>
      <c r="E867" t="inlineStr">
        <is>
          <t>VIMMERBY</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1086-2023</t>
        </is>
      </c>
      <c r="B868" s="1" t="n">
        <v>44935</v>
      </c>
      <c r="C868" s="1" t="n">
        <v>45364</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1081-2023</t>
        </is>
      </c>
      <c r="B869" s="1" t="n">
        <v>44935</v>
      </c>
      <c r="C869" s="1" t="n">
        <v>45364</v>
      </c>
      <c r="D869" t="inlineStr">
        <is>
          <t>KALMAR LÄN</t>
        </is>
      </c>
      <c r="E869" t="inlineStr">
        <is>
          <t>VIMMERBY</t>
        </is>
      </c>
      <c r="G869" t="n">
        <v>1.3</v>
      </c>
      <c r="H869" t="n">
        <v>0</v>
      </c>
      <c r="I869" t="n">
        <v>0</v>
      </c>
      <c r="J869" t="n">
        <v>0</v>
      </c>
      <c r="K869" t="n">
        <v>0</v>
      </c>
      <c r="L869" t="n">
        <v>0</v>
      </c>
      <c r="M869" t="n">
        <v>0</v>
      </c>
      <c r="N869" t="n">
        <v>0</v>
      </c>
      <c r="O869" t="n">
        <v>0</v>
      </c>
      <c r="P869" t="n">
        <v>0</v>
      </c>
      <c r="Q869" t="n">
        <v>0</v>
      </c>
      <c r="R869" s="2" t="inlineStr"/>
    </row>
    <row r="870" ht="15" customHeight="1">
      <c r="A870" t="inlineStr">
        <is>
          <t>A 1687-2023</t>
        </is>
      </c>
      <c r="B870" s="1" t="n">
        <v>44938</v>
      </c>
      <c r="C870" s="1" t="n">
        <v>45364</v>
      </c>
      <c r="D870" t="inlineStr">
        <is>
          <t>KALMAR LÄN</t>
        </is>
      </c>
      <c r="E870" t="inlineStr">
        <is>
          <t>VIMMERBY</t>
        </is>
      </c>
      <c r="F870" t="inlineStr">
        <is>
          <t>Kommuner</t>
        </is>
      </c>
      <c r="G870" t="n">
        <v>2.5</v>
      </c>
      <c r="H870" t="n">
        <v>0</v>
      </c>
      <c r="I870" t="n">
        <v>0</v>
      </c>
      <c r="J870" t="n">
        <v>0</v>
      </c>
      <c r="K870" t="n">
        <v>0</v>
      </c>
      <c r="L870" t="n">
        <v>0</v>
      </c>
      <c r="M870" t="n">
        <v>0</v>
      </c>
      <c r="N870" t="n">
        <v>0</v>
      </c>
      <c r="O870" t="n">
        <v>0</v>
      </c>
      <c r="P870" t="n">
        <v>0</v>
      </c>
      <c r="Q870" t="n">
        <v>0</v>
      </c>
      <c r="R870" s="2" t="inlineStr"/>
    </row>
    <row r="871" ht="15" customHeight="1">
      <c r="A871" t="inlineStr">
        <is>
          <t>A 1667-2023</t>
        </is>
      </c>
      <c r="B871" s="1" t="n">
        <v>44938</v>
      </c>
      <c r="C871" s="1" t="n">
        <v>45364</v>
      </c>
      <c r="D871" t="inlineStr">
        <is>
          <t>KALMAR LÄN</t>
        </is>
      </c>
      <c r="E871" t="inlineStr">
        <is>
          <t>VIMMERBY</t>
        </is>
      </c>
      <c r="G871" t="n">
        <v>3.4</v>
      </c>
      <c r="H871" t="n">
        <v>0</v>
      </c>
      <c r="I871" t="n">
        <v>0</v>
      </c>
      <c r="J871" t="n">
        <v>0</v>
      </c>
      <c r="K871" t="n">
        <v>0</v>
      </c>
      <c r="L871" t="n">
        <v>0</v>
      </c>
      <c r="M871" t="n">
        <v>0</v>
      </c>
      <c r="N871" t="n">
        <v>0</v>
      </c>
      <c r="O871" t="n">
        <v>0</v>
      </c>
      <c r="P871" t="n">
        <v>0</v>
      </c>
      <c r="Q871" t="n">
        <v>0</v>
      </c>
      <c r="R871" s="2" t="inlineStr"/>
    </row>
    <row r="872" ht="15" customHeight="1">
      <c r="A872" t="inlineStr">
        <is>
          <t>A 1955-2023</t>
        </is>
      </c>
      <c r="B872" s="1" t="n">
        <v>44939</v>
      </c>
      <c r="C872" s="1" t="n">
        <v>45364</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2510-2023</t>
        </is>
      </c>
      <c r="B873" s="1" t="n">
        <v>44943</v>
      </c>
      <c r="C873" s="1" t="n">
        <v>45364</v>
      </c>
      <c r="D873" t="inlineStr">
        <is>
          <t>KALMAR LÄN</t>
        </is>
      </c>
      <c r="E873" t="inlineStr">
        <is>
          <t>VIMMERBY</t>
        </is>
      </c>
      <c r="G873" t="n">
        <v>8.6</v>
      </c>
      <c r="H873" t="n">
        <v>0</v>
      </c>
      <c r="I873" t="n">
        <v>0</v>
      </c>
      <c r="J873" t="n">
        <v>0</v>
      </c>
      <c r="K873" t="n">
        <v>0</v>
      </c>
      <c r="L873" t="n">
        <v>0</v>
      </c>
      <c r="M873" t="n">
        <v>0</v>
      </c>
      <c r="N873" t="n">
        <v>0</v>
      </c>
      <c r="O873" t="n">
        <v>0</v>
      </c>
      <c r="P873" t="n">
        <v>0</v>
      </c>
      <c r="Q873" t="n">
        <v>0</v>
      </c>
      <c r="R873" s="2" t="inlineStr"/>
    </row>
    <row r="874" ht="15" customHeight="1">
      <c r="A874" t="inlineStr">
        <is>
          <t>A 2536-2023</t>
        </is>
      </c>
      <c r="B874" s="1" t="n">
        <v>44943</v>
      </c>
      <c r="C874" s="1" t="n">
        <v>45364</v>
      </c>
      <c r="D874" t="inlineStr">
        <is>
          <t>KALMAR LÄN</t>
        </is>
      </c>
      <c r="E874" t="inlineStr">
        <is>
          <t>VIMMERBY</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2799-2023</t>
        </is>
      </c>
      <c r="B875" s="1" t="n">
        <v>44944</v>
      </c>
      <c r="C875" s="1" t="n">
        <v>45364</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2797-2023</t>
        </is>
      </c>
      <c r="B876" s="1" t="n">
        <v>44944</v>
      </c>
      <c r="C876" s="1" t="n">
        <v>45364</v>
      </c>
      <c r="D876" t="inlineStr">
        <is>
          <t>KALMAR LÄN</t>
        </is>
      </c>
      <c r="E876" t="inlineStr">
        <is>
          <t>VIMMERBY</t>
        </is>
      </c>
      <c r="G876" t="n">
        <v>3.4</v>
      </c>
      <c r="H876" t="n">
        <v>0</v>
      </c>
      <c r="I876" t="n">
        <v>0</v>
      </c>
      <c r="J876" t="n">
        <v>0</v>
      </c>
      <c r="K876" t="n">
        <v>0</v>
      </c>
      <c r="L876" t="n">
        <v>0</v>
      </c>
      <c r="M876" t="n">
        <v>0</v>
      </c>
      <c r="N876" t="n">
        <v>0</v>
      </c>
      <c r="O876" t="n">
        <v>0</v>
      </c>
      <c r="P876" t="n">
        <v>0</v>
      </c>
      <c r="Q876" t="n">
        <v>0</v>
      </c>
      <c r="R876" s="2" t="inlineStr"/>
    </row>
    <row r="877" ht="15" customHeight="1">
      <c r="A877" t="inlineStr">
        <is>
          <t>A 2801-2023</t>
        </is>
      </c>
      <c r="B877" s="1" t="n">
        <v>44944</v>
      </c>
      <c r="C877" s="1" t="n">
        <v>45364</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3331-2023</t>
        </is>
      </c>
      <c r="B878" s="1" t="n">
        <v>44949</v>
      </c>
      <c r="C878" s="1" t="n">
        <v>45364</v>
      </c>
      <c r="D878" t="inlineStr">
        <is>
          <t>KALMAR LÄN</t>
        </is>
      </c>
      <c r="E878" t="inlineStr">
        <is>
          <t>VIMMERBY</t>
        </is>
      </c>
      <c r="G878" t="n">
        <v>6.2</v>
      </c>
      <c r="H878" t="n">
        <v>0</v>
      </c>
      <c r="I878" t="n">
        <v>0</v>
      </c>
      <c r="J878" t="n">
        <v>0</v>
      </c>
      <c r="K878" t="n">
        <v>0</v>
      </c>
      <c r="L878" t="n">
        <v>0</v>
      </c>
      <c r="M878" t="n">
        <v>0</v>
      </c>
      <c r="N878" t="n">
        <v>0</v>
      </c>
      <c r="O878" t="n">
        <v>0</v>
      </c>
      <c r="P878" t="n">
        <v>0</v>
      </c>
      <c r="Q878" t="n">
        <v>0</v>
      </c>
      <c r="R878" s="2" t="inlineStr"/>
    </row>
    <row r="879" ht="15" customHeight="1">
      <c r="A879" t="inlineStr">
        <is>
          <t>A 3494-2023</t>
        </is>
      </c>
      <c r="B879" s="1" t="n">
        <v>44949</v>
      </c>
      <c r="C879" s="1" t="n">
        <v>45364</v>
      </c>
      <c r="D879" t="inlineStr">
        <is>
          <t>KALMAR LÄN</t>
        </is>
      </c>
      <c r="E879" t="inlineStr">
        <is>
          <t>VIMMERBY</t>
        </is>
      </c>
      <c r="F879" t="inlineStr">
        <is>
          <t>Kyrkan</t>
        </is>
      </c>
      <c r="G879" t="n">
        <v>0.8</v>
      </c>
      <c r="H879" t="n">
        <v>0</v>
      </c>
      <c r="I879" t="n">
        <v>0</v>
      </c>
      <c r="J879" t="n">
        <v>0</v>
      </c>
      <c r="K879" t="n">
        <v>0</v>
      </c>
      <c r="L879" t="n">
        <v>0</v>
      </c>
      <c r="M879" t="n">
        <v>0</v>
      </c>
      <c r="N879" t="n">
        <v>0</v>
      </c>
      <c r="O879" t="n">
        <v>0</v>
      </c>
      <c r="P879" t="n">
        <v>0</v>
      </c>
      <c r="Q879" t="n">
        <v>0</v>
      </c>
      <c r="R879" s="2" t="inlineStr"/>
    </row>
    <row r="880" ht="15" customHeight="1">
      <c r="A880" t="inlineStr">
        <is>
          <t>A 3587-2023</t>
        </is>
      </c>
      <c r="B880" s="1" t="n">
        <v>44950</v>
      </c>
      <c r="C880" s="1" t="n">
        <v>45364</v>
      </c>
      <c r="D880" t="inlineStr">
        <is>
          <t>KALMAR LÄN</t>
        </is>
      </c>
      <c r="E880" t="inlineStr">
        <is>
          <t>VIMMERBY</t>
        </is>
      </c>
      <c r="G880" t="n">
        <v>6.9</v>
      </c>
      <c r="H880" t="n">
        <v>0</v>
      </c>
      <c r="I880" t="n">
        <v>0</v>
      </c>
      <c r="J880" t="n">
        <v>0</v>
      </c>
      <c r="K880" t="n">
        <v>0</v>
      </c>
      <c r="L880" t="n">
        <v>0</v>
      </c>
      <c r="M880" t="n">
        <v>0</v>
      </c>
      <c r="N880" t="n">
        <v>0</v>
      </c>
      <c r="O880" t="n">
        <v>0</v>
      </c>
      <c r="P880" t="n">
        <v>0</v>
      </c>
      <c r="Q880" t="n">
        <v>0</v>
      </c>
      <c r="R880" s="2" t="inlineStr"/>
    </row>
    <row r="881" ht="15" customHeight="1">
      <c r="A881" t="inlineStr">
        <is>
          <t>A 3938-2023</t>
        </is>
      </c>
      <c r="B881" s="1" t="n">
        <v>44952</v>
      </c>
      <c r="C881" s="1" t="n">
        <v>45364</v>
      </c>
      <c r="D881" t="inlineStr">
        <is>
          <t>KALMAR LÄN</t>
        </is>
      </c>
      <c r="E881" t="inlineStr">
        <is>
          <t>VIMMERBY</t>
        </is>
      </c>
      <c r="G881" t="n">
        <v>0.9</v>
      </c>
      <c r="H881" t="n">
        <v>0</v>
      </c>
      <c r="I881" t="n">
        <v>0</v>
      </c>
      <c r="J881" t="n">
        <v>0</v>
      </c>
      <c r="K881" t="n">
        <v>0</v>
      </c>
      <c r="L881" t="n">
        <v>0</v>
      </c>
      <c r="M881" t="n">
        <v>0</v>
      </c>
      <c r="N881" t="n">
        <v>0</v>
      </c>
      <c r="O881" t="n">
        <v>0</v>
      </c>
      <c r="P881" t="n">
        <v>0</v>
      </c>
      <c r="Q881" t="n">
        <v>0</v>
      </c>
      <c r="R881" s="2" t="inlineStr"/>
    </row>
    <row r="882" ht="15" customHeight="1">
      <c r="A882" t="inlineStr">
        <is>
          <t>A 3924-2023</t>
        </is>
      </c>
      <c r="B882" s="1" t="n">
        <v>44952</v>
      </c>
      <c r="C882" s="1" t="n">
        <v>45364</v>
      </c>
      <c r="D882" t="inlineStr">
        <is>
          <t>KALMAR LÄN</t>
        </is>
      </c>
      <c r="E882" t="inlineStr">
        <is>
          <t>VIMMERBY</t>
        </is>
      </c>
      <c r="G882" t="n">
        <v>4.7</v>
      </c>
      <c r="H882" t="n">
        <v>0</v>
      </c>
      <c r="I882" t="n">
        <v>0</v>
      </c>
      <c r="J882" t="n">
        <v>0</v>
      </c>
      <c r="K882" t="n">
        <v>0</v>
      </c>
      <c r="L882" t="n">
        <v>0</v>
      </c>
      <c r="M882" t="n">
        <v>0</v>
      </c>
      <c r="N882" t="n">
        <v>0</v>
      </c>
      <c r="O882" t="n">
        <v>0</v>
      </c>
      <c r="P882" t="n">
        <v>0</v>
      </c>
      <c r="Q882" t="n">
        <v>0</v>
      </c>
      <c r="R882" s="2" t="inlineStr"/>
    </row>
    <row r="883" ht="15" customHeight="1">
      <c r="A883" t="inlineStr">
        <is>
          <t>A 4527-2023</t>
        </is>
      </c>
      <c r="B883" s="1" t="n">
        <v>44956</v>
      </c>
      <c r="C883" s="1" t="n">
        <v>45364</v>
      </c>
      <c r="D883" t="inlineStr">
        <is>
          <t>KALMAR LÄN</t>
        </is>
      </c>
      <c r="E883" t="inlineStr">
        <is>
          <t>VIMMERBY</t>
        </is>
      </c>
      <c r="F883" t="inlineStr">
        <is>
          <t>Kommuner</t>
        </is>
      </c>
      <c r="G883" t="n">
        <v>8.5</v>
      </c>
      <c r="H883" t="n">
        <v>0</v>
      </c>
      <c r="I883" t="n">
        <v>0</v>
      </c>
      <c r="J883" t="n">
        <v>0</v>
      </c>
      <c r="K883" t="n">
        <v>0</v>
      </c>
      <c r="L883" t="n">
        <v>0</v>
      </c>
      <c r="M883" t="n">
        <v>0</v>
      </c>
      <c r="N883" t="n">
        <v>0</v>
      </c>
      <c r="O883" t="n">
        <v>0</v>
      </c>
      <c r="P883" t="n">
        <v>0</v>
      </c>
      <c r="Q883" t="n">
        <v>0</v>
      </c>
      <c r="R883" s="2" t="inlineStr"/>
    </row>
    <row r="884" ht="15" customHeight="1">
      <c r="A884" t="inlineStr">
        <is>
          <t>A 5074-2023</t>
        </is>
      </c>
      <c r="B884" s="1" t="n">
        <v>44958</v>
      </c>
      <c r="C884" s="1" t="n">
        <v>45364</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5342-2023</t>
        </is>
      </c>
      <c r="B885" s="1" t="n">
        <v>44959</v>
      </c>
      <c r="C885" s="1" t="n">
        <v>45364</v>
      </c>
      <c r="D885" t="inlineStr">
        <is>
          <t>KALMAR LÄN</t>
        </is>
      </c>
      <c r="E885" t="inlineStr">
        <is>
          <t>VIMMERBY</t>
        </is>
      </c>
      <c r="G885" t="n">
        <v>1.5</v>
      </c>
      <c r="H885" t="n">
        <v>0</v>
      </c>
      <c r="I885" t="n">
        <v>0</v>
      </c>
      <c r="J885" t="n">
        <v>0</v>
      </c>
      <c r="K885" t="n">
        <v>0</v>
      </c>
      <c r="L885" t="n">
        <v>0</v>
      </c>
      <c r="M885" t="n">
        <v>0</v>
      </c>
      <c r="N885" t="n">
        <v>0</v>
      </c>
      <c r="O885" t="n">
        <v>0</v>
      </c>
      <c r="P885" t="n">
        <v>0</v>
      </c>
      <c r="Q885" t="n">
        <v>0</v>
      </c>
      <c r="R885" s="2" t="inlineStr"/>
    </row>
    <row r="886" ht="15" customHeight="1">
      <c r="A886" t="inlineStr">
        <is>
          <t>A 5382-2023</t>
        </is>
      </c>
      <c r="B886" s="1" t="n">
        <v>44959</v>
      </c>
      <c r="C886" s="1" t="n">
        <v>45364</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5720-2023</t>
        </is>
      </c>
      <c r="B887" s="1" t="n">
        <v>44961</v>
      </c>
      <c r="C887" s="1" t="n">
        <v>45364</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ht="15" customHeight="1">
      <c r="A888" t="inlineStr">
        <is>
          <t>A 5792-2023</t>
        </is>
      </c>
      <c r="B888" s="1" t="n">
        <v>44963</v>
      </c>
      <c r="C888" s="1" t="n">
        <v>45364</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6028-2023</t>
        </is>
      </c>
      <c r="B889" s="1" t="n">
        <v>44964</v>
      </c>
      <c r="C889" s="1" t="n">
        <v>45364</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6066-2023</t>
        </is>
      </c>
      <c r="B890" s="1" t="n">
        <v>44964</v>
      </c>
      <c r="C890" s="1" t="n">
        <v>45364</v>
      </c>
      <c r="D890" t="inlineStr">
        <is>
          <t>KALMAR LÄN</t>
        </is>
      </c>
      <c r="E890" t="inlineStr">
        <is>
          <t>VIMMERBY</t>
        </is>
      </c>
      <c r="G890" t="n">
        <v>2.8</v>
      </c>
      <c r="H890" t="n">
        <v>0</v>
      </c>
      <c r="I890" t="n">
        <v>0</v>
      </c>
      <c r="J890" t="n">
        <v>0</v>
      </c>
      <c r="K890" t="n">
        <v>0</v>
      </c>
      <c r="L890" t="n">
        <v>0</v>
      </c>
      <c r="M890" t="n">
        <v>0</v>
      </c>
      <c r="N890" t="n">
        <v>0</v>
      </c>
      <c r="O890" t="n">
        <v>0</v>
      </c>
      <c r="P890" t="n">
        <v>0</v>
      </c>
      <c r="Q890" t="n">
        <v>0</v>
      </c>
      <c r="R890" s="2" t="inlineStr"/>
    </row>
    <row r="891" ht="15" customHeight="1">
      <c r="A891" t="inlineStr">
        <is>
          <t>A 6017-2023</t>
        </is>
      </c>
      <c r="B891" s="1" t="n">
        <v>44964</v>
      </c>
      <c r="C891" s="1" t="n">
        <v>45364</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6368-2023</t>
        </is>
      </c>
      <c r="B892" s="1" t="n">
        <v>44965</v>
      </c>
      <c r="C892" s="1" t="n">
        <v>45364</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6321-2023</t>
        </is>
      </c>
      <c r="B893" s="1" t="n">
        <v>44965</v>
      </c>
      <c r="C893" s="1" t="n">
        <v>45364</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6660-2023</t>
        </is>
      </c>
      <c r="B894" s="1" t="n">
        <v>44966</v>
      </c>
      <c r="C894" s="1" t="n">
        <v>45364</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6574-2023</t>
        </is>
      </c>
      <c r="B895" s="1" t="n">
        <v>44966</v>
      </c>
      <c r="C895" s="1" t="n">
        <v>45364</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6662-2023</t>
        </is>
      </c>
      <c r="B896" s="1" t="n">
        <v>44966</v>
      </c>
      <c r="C896" s="1" t="n">
        <v>45364</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6668-2023</t>
        </is>
      </c>
      <c r="B897" s="1" t="n">
        <v>44966</v>
      </c>
      <c r="C897" s="1" t="n">
        <v>45364</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6538-2023</t>
        </is>
      </c>
      <c r="B898" s="1" t="n">
        <v>44966</v>
      </c>
      <c r="C898" s="1" t="n">
        <v>45364</v>
      </c>
      <c r="D898" t="inlineStr">
        <is>
          <t>KALMAR LÄN</t>
        </is>
      </c>
      <c r="E898" t="inlineStr">
        <is>
          <t>VIMMERBY</t>
        </is>
      </c>
      <c r="G898" t="n">
        <v>4.5</v>
      </c>
      <c r="H898" t="n">
        <v>0</v>
      </c>
      <c r="I898" t="n">
        <v>0</v>
      </c>
      <c r="J898" t="n">
        <v>0</v>
      </c>
      <c r="K898" t="n">
        <v>0</v>
      </c>
      <c r="L898" t="n">
        <v>0</v>
      </c>
      <c r="M898" t="n">
        <v>0</v>
      </c>
      <c r="N898" t="n">
        <v>0</v>
      </c>
      <c r="O898" t="n">
        <v>0</v>
      </c>
      <c r="P898" t="n">
        <v>0</v>
      </c>
      <c r="Q898" t="n">
        <v>0</v>
      </c>
      <c r="R898" s="2" t="inlineStr"/>
    </row>
    <row r="899" ht="15" customHeight="1">
      <c r="A899" t="inlineStr">
        <is>
          <t>A 6857-2023</t>
        </is>
      </c>
      <c r="B899" s="1" t="n">
        <v>44967</v>
      </c>
      <c r="C899" s="1" t="n">
        <v>45364</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6850-2023</t>
        </is>
      </c>
      <c r="B900" s="1" t="n">
        <v>44967</v>
      </c>
      <c r="C900" s="1" t="n">
        <v>45364</v>
      </c>
      <c r="D900" t="inlineStr">
        <is>
          <t>KALMAR LÄN</t>
        </is>
      </c>
      <c r="E900" t="inlineStr">
        <is>
          <t>VIMMERBY</t>
        </is>
      </c>
      <c r="G900" t="n">
        <v>0.6</v>
      </c>
      <c r="H900" t="n">
        <v>0</v>
      </c>
      <c r="I900" t="n">
        <v>0</v>
      </c>
      <c r="J900" t="n">
        <v>0</v>
      </c>
      <c r="K900" t="n">
        <v>0</v>
      </c>
      <c r="L900" t="n">
        <v>0</v>
      </c>
      <c r="M900" t="n">
        <v>0</v>
      </c>
      <c r="N900" t="n">
        <v>0</v>
      </c>
      <c r="O900" t="n">
        <v>0</v>
      </c>
      <c r="P900" t="n">
        <v>0</v>
      </c>
      <c r="Q900" t="n">
        <v>0</v>
      </c>
      <c r="R900" s="2" t="inlineStr"/>
    </row>
    <row r="901" ht="15" customHeight="1">
      <c r="A901" t="inlineStr">
        <is>
          <t>A 7454-2023</t>
        </is>
      </c>
      <c r="B901" s="1" t="n">
        <v>44971</v>
      </c>
      <c r="C901" s="1" t="n">
        <v>45364</v>
      </c>
      <c r="D901" t="inlineStr">
        <is>
          <t>KALMAR LÄN</t>
        </is>
      </c>
      <c r="E901" t="inlineStr">
        <is>
          <t>VIMMERBY</t>
        </is>
      </c>
      <c r="G901" t="n">
        <v>1.1</v>
      </c>
      <c r="H901" t="n">
        <v>0</v>
      </c>
      <c r="I901" t="n">
        <v>0</v>
      </c>
      <c r="J901" t="n">
        <v>0</v>
      </c>
      <c r="K901" t="n">
        <v>0</v>
      </c>
      <c r="L901" t="n">
        <v>0</v>
      </c>
      <c r="M901" t="n">
        <v>0</v>
      </c>
      <c r="N901" t="n">
        <v>0</v>
      </c>
      <c r="O901" t="n">
        <v>0</v>
      </c>
      <c r="P901" t="n">
        <v>0</v>
      </c>
      <c r="Q901" t="n">
        <v>0</v>
      </c>
      <c r="R901" s="2" t="inlineStr"/>
    </row>
    <row r="902" ht="15" customHeight="1">
      <c r="A902" t="inlineStr">
        <is>
          <t>A 7557-2023</t>
        </is>
      </c>
      <c r="B902" s="1" t="n">
        <v>44972</v>
      </c>
      <c r="C902" s="1" t="n">
        <v>45364</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7594-2023</t>
        </is>
      </c>
      <c r="B903" s="1" t="n">
        <v>44972</v>
      </c>
      <c r="C903" s="1" t="n">
        <v>45364</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7797-2023</t>
        </is>
      </c>
      <c r="B904" s="1" t="n">
        <v>44973</v>
      </c>
      <c r="C904" s="1" t="n">
        <v>45364</v>
      </c>
      <c r="D904" t="inlineStr">
        <is>
          <t>KALMAR LÄN</t>
        </is>
      </c>
      <c r="E904" t="inlineStr">
        <is>
          <t>VIMMERBY</t>
        </is>
      </c>
      <c r="G904" t="n">
        <v>0.6</v>
      </c>
      <c r="H904" t="n">
        <v>0</v>
      </c>
      <c r="I904" t="n">
        <v>0</v>
      </c>
      <c r="J904" t="n">
        <v>0</v>
      </c>
      <c r="K904" t="n">
        <v>0</v>
      </c>
      <c r="L904" t="n">
        <v>0</v>
      </c>
      <c r="M904" t="n">
        <v>0</v>
      </c>
      <c r="N904" t="n">
        <v>0</v>
      </c>
      <c r="O904" t="n">
        <v>0</v>
      </c>
      <c r="P904" t="n">
        <v>0</v>
      </c>
      <c r="Q904" t="n">
        <v>0</v>
      </c>
      <c r="R904" s="2" t="inlineStr"/>
    </row>
    <row r="905" ht="15" customHeight="1">
      <c r="A905" t="inlineStr">
        <is>
          <t>A 7883-2023</t>
        </is>
      </c>
      <c r="B905" s="1" t="n">
        <v>44973</v>
      </c>
      <c r="C905" s="1" t="n">
        <v>45364</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7885-2023</t>
        </is>
      </c>
      <c r="B906" s="1" t="n">
        <v>44973</v>
      </c>
      <c r="C906" s="1" t="n">
        <v>45364</v>
      </c>
      <c r="D906" t="inlineStr">
        <is>
          <t>KALMAR LÄN</t>
        </is>
      </c>
      <c r="E906" t="inlineStr">
        <is>
          <t>VIMMERBY</t>
        </is>
      </c>
      <c r="G906" t="n">
        <v>2.8</v>
      </c>
      <c r="H906" t="n">
        <v>0</v>
      </c>
      <c r="I906" t="n">
        <v>0</v>
      </c>
      <c r="J906" t="n">
        <v>0</v>
      </c>
      <c r="K906" t="n">
        <v>0</v>
      </c>
      <c r="L906" t="n">
        <v>0</v>
      </c>
      <c r="M906" t="n">
        <v>0</v>
      </c>
      <c r="N906" t="n">
        <v>0</v>
      </c>
      <c r="O906" t="n">
        <v>0</v>
      </c>
      <c r="P906" t="n">
        <v>0</v>
      </c>
      <c r="Q906" t="n">
        <v>0</v>
      </c>
      <c r="R906" s="2" t="inlineStr"/>
    </row>
    <row r="907" ht="15" customHeight="1">
      <c r="A907" t="inlineStr">
        <is>
          <t>A 8219-2023</t>
        </is>
      </c>
      <c r="B907" s="1" t="n">
        <v>44974</v>
      </c>
      <c r="C907" s="1" t="n">
        <v>45364</v>
      </c>
      <c r="D907" t="inlineStr">
        <is>
          <t>KALMAR LÄN</t>
        </is>
      </c>
      <c r="E907" t="inlineStr">
        <is>
          <t>VIMMERBY</t>
        </is>
      </c>
      <c r="F907" t="inlineStr">
        <is>
          <t>Sveaskog</t>
        </is>
      </c>
      <c r="G907" t="n">
        <v>6.1</v>
      </c>
      <c r="H907" t="n">
        <v>0</v>
      </c>
      <c r="I907" t="n">
        <v>0</v>
      </c>
      <c r="J907" t="n">
        <v>0</v>
      </c>
      <c r="K907" t="n">
        <v>0</v>
      </c>
      <c r="L907" t="n">
        <v>0</v>
      </c>
      <c r="M907" t="n">
        <v>0</v>
      </c>
      <c r="N907" t="n">
        <v>0</v>
      </c>
      <c r="O907" t="n">
        <v>0</v>
      </c>
      <c r="P907" t="n">
        <v>0</v>
      </c>
      <c r="Q907" t="n">
        <v>0</v>
      </c>
      <c r="R907" s="2" t="inlineStr"/>
    </row>
    <row r="908" ht="15" customHeight="1">
      <c r="A908" t="inlineStr">
        <is>
          <t>A 8410-2023</t>
        </is>
      </c>
      <c r="B908" s="1" t="n">
        <v>44977</v>
      </c>
      <c r="C908" s="1" t="n">
        <v>45364</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9024-2023</t>
        </is>
      </c>
      <c r="B909" s="1" t="n">
        <v>44979</v>
      </c>
      <c r="C909" s="1" t="n">
        <v>45364</v>
      </c>
      <c r="D909" t="inlineStr">
        <is>
          <t>KALMAR LÄN</t>
        </is>
      </c>
      <c r="E909" t="inlineStr">
        <is>
          <t>VIMMERBY</t>
        </is>
      </c>
      <c r="G909" t="n">
        <v>5.2</v>
      </c>
      <c r="H909" t="n">
        <v>0</v>
      </c>
      <c r="I909" t="n">
        <v>0</v>
      </c>
      <c r="J909" t="n">
        <v>0</v>
      </c>
      <c r="K909" t="n">
        <v>0</v>
      </c>
      <c r="L909" t="n">
        <v>0</v>
      </c>
      <c r="M909" t="n">
        <v>0</v>
      </c>
      <c r="N909" t="n">
        <v>0</v>
      </c>
      <c r="O909" t="n">
        <v>0</v>
      </c>
      <c r="P909" t="n">
        <v>0</v>
      </c>
      <c r="Q909" t="n">
        <v>0</v>
      </c>
      <c r="R909" s="2" t="inlineStr"/>
    </row>
    <row r="910" ht="15" customHeight="1">
      <c r="A910" t="inlineStr">
        <is>
          <t>A 9113-2023</t>
        </is>
      </c>
      <c r="B910" s="1" t="n">
        <v>44979</v>
      </c>
      <c r="C910" s="1" t="n">
        <v>45364</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9475-2023</t>
        </is>
      </c>
      <c r="B911" s="1" t="n">
        <v>44981</v>
      </c>
      <c r="C911" s="1" t="n">
        <v>45364</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9511-2023</t>
        </is>
      </c>
      <c r="B912" s="1" t="n">
        <v>44981</v>
      </c>
      <c r="C912" s="1" t="n">
        <v>45364</v>
      </c>
      <c r="D912" t="inlineStr">
        <is>
          <t>KALMAR LÄN</t>
        </is>
      </c>
      <c r="E912" t="inlineStr">
        <is>
          <t>VIMMERBY</t>
        </is>
      </c>
      <c r="G912" t="n">
        <v>3.5</v>
      </c>
      <c r="H912" t="n">
        <v>0</v>
      </c>
      <c r="I912" t="n">
        <v>0</v>
      </c>
      <c r="J912" t="n">
        <v>0</v>
      </c>
      <c r="K912" t="n">
        <v>0</v>
      </c>
      <c r="L912" t="n">
        <v>0</v>
      </c>
      <c r="M912" t="n">
        <v>0</v>
      </c>
      <c r="N912" t="n">
        <v>0</v>
      </c>
      <c r="O912" t="n">
        <v>0</v>
      </c>
      <c r="P912" t="n">
        <v>0</v>
      </c>
      <c r="Q912" t="n">
        <v>0</v>
      </c>
      <c r="R912" s="2" t="inlineStr"/>
    </row>
    <row r="913" ht="15" customHeight="1">
      <c r="A913" t="inlineStr">
        <is>
          <t>A 9644-2023</t>
        </is>
      </c>
      <c r="B913" s="1" t="n">
        <v>44984</v>
      </c>
      <c r="C913" s="1" t="n">
        <v>45364</v>
      </c>
      <c r="D913" t="inlineStr">
        <is>
          <t>KALMAR LÄN</t>
        </is>
      </c>
      <c r="E913" t="inlineStr">
        <is>
          <t>VIMMERBY</t>
        </is>
      </c>
      <c r="G913" t="n">
        <v>1.8</v>
      </c>
      <c r="H913" t="n">
        <v>0</v>
      </c>
      <c r="I913" t="n">
        <v>0</v>
      </c>
      <c r="J913" t="n">
        <v>0</v>
      </c>
      <c r="K913" t="n">
        <v>0</v>
      </c>
      <c r="L913" t="n">
        <v>0</v>
      </c>
      <c r="M913" t="n">
        <v>0</v>
      </c>
      <c r="N913" t="n">
        <v>0</v>
      </c>
      <c r="O913" t="n">
        <v>0</v>
      </c>
      <c r="P913" t="n">
        <v>0</v>
      </c>
      <c r="Q913" t="n">
        <v>0</v>
      </c>
      <c r="R913" s="2" t="inlineStr"/>
    </row>
    <row r="914" ht="15" customHeight="1">
      <c r="A914" t="inlineStr">
        <is>
          <t>A 9694-2023</t>
        </is>
      </c>
      <c r="B914" s="1" t="n">
        <v>44984</v>
      </c>
      <c r="C914" s="1" t="n">
        <v>45364</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9710-2023</t>
        </is>
      </c>
      <c r="B915" s="1" t="n">
        <v>44984</v>
      </c>
      <c r="C915" s="1" t="n">
        <v>45364</v>
      </c>
      <c r="D915" t="inlineStr">
        <is>
          <t>KALMAR LÄN</t>
        </is>
      </c>
      <c r="E915" t="inlineStr">
        <is>
          <t>VIMMERBY</t>
        </is>
      </c>
      <c r="G915" t="n">
        <v>3.7</v>
      </c>
      <c r="H915" t="n">
        <v>0</v>
      </c>
      <c r="I915" t="n">
        <v>0</v>
      </c>
      <c r="J915" t="n">
        <v>0</v>
      </c>
      <c r="K915" t="n">
        <v>0</v>
      </c>
      <c r="L915" t="n">
        <v>0</v>
      </c>
      <c r="M915" t="n">
        <v>0</v>
      </c>
      <c r="N915" t="n">
        <v>0</v>
      </c>
      <c r="O915" t="n">
        <v>0</v>
      </c>
      <c r="P915" t="n">
        <v>0</v>
      </c>
      <c r="Q915" t="n">
        <v>0</v>
      </c>
      <c r="R915" s="2" t="inlineStr"/>
    </row>
    <row r="916" ht="15" customHeight="1">
      <c r="A916" t="inlineStr">
        <is>
          <t>A 9720-2023</t>
        </is>
      </c>
      <c r="B916" s="1" t="n">
        <v>44984</v>
      </c>
      <c r="C916" s="1" t="n">
        <v>45364</v>
      </c>
      <c r="D916" t="inlineStr">
        <is>
          <t>KALMAR LÄN</t>
        </is>
      </c>
      <c r="E916" t="inlineStr">
        <is>
          <t>VIMMERBY</t>
        </is>
      </c>
      <c r="G916" t="n">
        <v>4.4</v>
      </c>
      <c r="H916" t="n">
        <v>0</v>
      </c>
      <c r="I916" t="n">
        <v>0</v>
      </c>
      <c r="J916" t="n">
        <v>0</v>
      </c>
      <c r="K916" t="n">
        <v>0</v>
      </c>
      <c r="L916" t="n">
        <v>0</v>
      </c>
      <c r="M916" t="n">
        <v>0</v>
      </c>
      <c r="N916" t="n">
        <v>0</v>
      </c>
      <c r="O916" t="n">
        <v>0</v>
      </c>
      <c r="P916" t="n">
        <v>0</v>
      </c>
      <c r="Q916" t="n">
        <v>0</v>
      </c>
      <c r="R916" s="2" t="inlineStr"/>
    </row>
    <row r="917" ht="15" customHeight="1">
      <c r="A917" t="inlineStr">
        <is>
          <t>A 9643-2023</t>
        </is>
      </c>
      <c r="B917" s="1" t="n">
        <v>44984</v>
      </c>
      <c r="C917" s="1" t="n">
        <v>45364</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10444-2023</t>
        </is>
      </c>
      <c r="B918" s="1" t="n">
        <v>44987</v>
      </c>
      <c r="C918" s="1" t="n">
        <v>45364</v>
      </c>
      <c r="D918" t="inlineStr">
        <is>
          <t>KALMAR LÄN</t>
        </is>
      </c>
      <c r="E918" t="inlineStr">
        <is>
          <t>VIMMERBY</t>
        </is>
      </c>
      <c r="G918" t="n">
        <v>7.4</v>
      </c>
      <c r="H918" t="n">
        <v>0</v>
      </c>
      <c r="I918" t="n">
        <v>0</v>
      </c>
      <c r="J918" t="n">
        <v>0</v>
      </c>
      <c r="K918" t="n">
        <v>0</v>
      </c>
      <c r="L918" t="n">
        <v>0</v>
      </c>
      <c r="M918" t="n">
        <v>0</v>
      </c>
      <c r="N918" t="n">
        <v>0</v>
      </c>
      <c r="O918" t="n">
        <v>0</v>
      </c>
      <c r="P918" t="n">
        <v>0</v>
      </c>
      <c r="Q918" t="n">
        <v>0</v>
      </c>
      <c r="R918" s="2" t="inlineStr"/>
    </row>
    <row r="919" ht="15" customHeight="1">
      <c r="A919" t="inlineStr">
        <is>
          <t>A 10424-2023</t>
        </is>
      </c>
      <c r="B919" s="1" t="n">
        <v>44987</v>
      </c>
      <c r="C919" s="1" t="n">
        <v>45364</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10439-2023</t>
        </is>
      </c>
      <c r="B920" s="1" t="n">
        <v>44987</v>
      </c>
      <c r="C920" s="1" t="n">
        <v>45364</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10759-2023</t>
        </is>
      </c>
      <c r="B921" s="1" t="n">
        <v>44988</v>
      </c>
      <c r="C921" s="1" t="n">
        <v>45364</v>
      </c>
      <c r="D921" t="inlineStr">
        <is>
          <t>KALMAR LÄN</t>
        </is>
      </c>
      <c r="E921" t="inlineStr">
        <is>
          <t>VIMMERBY</t>
        </is>
      </c>
      <c r="G921" t="n">
        <v>0.4</v>
      </c>
      <c r="H921" t="n">
        <v>0</v>
      </c>
      <c r="I921" t="n">
        <v>0</v>
      </c>
      <c r="J921" t="n">
        <v>0</v>
      </c>
      <c r="K921" t="n">
        <v>0</v>
      </c>
      <c r="L921" t="n">
        <v>0</v>
      </c>
      <c r="M921" t="n">
        <v>0</v>
      </c>
      <c r="N921" t="n">
        <v>0</v>
      </c>
      <c r="O921" t="n">
        <v>0</v>
      </c>
      <c r="P921" t="n">
        <v>0</v>
      </c>
      <c r="Q921" t="n">
        <v>0</v>
      </c>
      <c r="R921" s="2" t="inlineStr"/>
    </row>
    <row r="922" ht="15" customHeight="1">
      <c r="A922" t="inlineStr">
        <is>
          <t>A 10800-2023</t>
        </is>
      </c>
      <c r="B922" s="1" t="n">
        <v>44989</v>
      </c>
      <c r="C922" s="1" t="n">
        <v>45364</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10821-2023</t>
        </is>
      </c>
      <c r="B923" s="1" t="n">
        <v>44990</v>
      </c>
      <c r="C923" s="1" t="n">
        <v>45364</v>
      </c>
      <c r="D923" t="inlineStr">
        <is>
          <t>KALMAR LÄN</t>
        </is>
      </c>
      <c r="E923" t="inlineStr">
        <is>
          <t>VIMMERBY</t>
        </is>
      </c>
      <c r="G923" t="n">
        <v>4.3</v>
      </c>
      <c r="H923" t="n">
        <v>0</v>
      </c>
      <c r="I923" t="n">
        <v>0</v>
      </c>
      <c r="J923" t="n">
        <v>0</v>
      </c>
      <c r="K923" t="n">
        <v>0</v>
      </c>
      <c r="L923" t="n">
        <v>0</v>
      </c>
      <c r="M923" t="n">
        <v>0</v>
      </c>
      <c r="N923" t="n">
        <v>0</v>
      </c>
      <c r="O923" t="n">
        <v>0</v>
      </c>
      <c r="P923" t="n">
        <v>0</v>
      </c>
      <c r="Q923" t="n">
        <v>0</v>
      </c>
      <c r="R923" s="2" t="inlineStr"/>
    </row>
    <row r="924" ht="15" customHeight="1">
      <c r="A924" t="inlineStr">
        <is>
          <t>A 10837-2023</t>
        </is>
      </c>
      <c r="B924" s="1" t="n">
        <v>44991</v>
      </c>
      <c r="C924" s="1" t="n">
        <v>45364</v>
      </c>
      <c r="D924" t="inlineStr">
        <is>
          <t>KALMAR LÄN</t>
        </is>
      </c>
      <c r="E924" t="inlineStr">
        <is>
          <t>VIMMERBY</t>
        </is>
      </c>
      <c r="G924" t="n">
        <v>7.3</v>
      </c>
      <c r="H924" t="n">
        <v>0</v>
      </c>
      <c r="I924" t="n">
        <v>0</v>
      </c>
      <c r="J924" t="n">
        <v>0</v>
      </c>
      <c r="K924" t="n">
        <v>0</v>
      </c>
      <c r="L924" t="n">
        <v>0</v>
      </c>
      <c r="M924" t="n">
        <v>0</v>
      </c>
      <c r="N924" t="n">
        <v>0</v>
      </c>
      <c r="O924" t="n">
        <v>0</v>
      </c>
      <c r="P924" t="n">
        <v>0</v>
      </c>
      <c r="Q924" t="n">
        <v>0</v>
      </c>
      <c r="R924" s="2" t="inlineStr"/>
    </row>
    <row r="925" ht="15" customHeight="1">
      <c r="A925" t="inlineStr">
        <is>
          <t>A 10835-2023</t>
        </is>
      </c>
      <c r="B925" s="1" t="n">
        <v>44991</v>
      </c>
      <c r="C925" s="1" t="n">
        <v>45364</v>
      </c>
      <c r="D925" t="inlineStr">
        <is>
          <t>KALMAR LÄN</t>
        </is>
      </c>
      <c r="E925" t="inlineStr">
        <is>
          <t>VIMMERBY</t>
        </is>
      </c>
      <c r="G925" t="n">
        <v>1</v>
      </c>
      <c r="H925" t="n">
        <v>0</v>
      </c>
      <c r="I925" t="n">
        <v>0</v>
      </c>
      <c r="J925" t="n">
        <v>0</v>
      </c>
      <c r="K925" t="n">
        <v>0</v>
      </c>
      <c r="L925" t="n">
        <v>0</v>
      </c>
      <c r="M925" t="n">
        <v>0</v>
      </c>
      <c r="N925" t="n">
        <v>0</v>
      </c>
      <c r="O925" t="n">
        <v>0</v>
      </c>
      <c r="P925" t="n">
        <v>0</v>
      </c>
      <c r="Q925" t="n">
        <v>0</v>
      </c>
      <c r="R925" s="2" t="inlineStr"/>
    </row>
    <row r="926" ht="15" customHeight="1">
      <c r="A926" t="inlineStr">
        <is>
          <t>A 10838-2023</t>
        </is>
      </c>
      <c r="B926" s="1" t="n">
        <v>44991</v>
      </c>
      <c r="C926" s="1" t="n">
        <v>45364</v>
      </c>
      <c r="D926" t="inlineStr">
        <is>
          <t>KALMAR LÄN</t>
        </is>
      </c>
      <c r="E926" t="inlineStr">
        <is>
          <t>VIMMERBY</t>
        </is>
      </c>
      <c r="G926" t="n">
        <v>5.1</v>
      </c>
      <c r="H926" t="n">
        <v>0</v>
      </c>
      <c r="I926" t="n">
        <v>0</v>
      </c>
      <c r="J926" t="n">
        <v>0</v>
      </c>
      <c r="K926" t="n">
        <v>0</v>
      </c>
      <c r="L926" t="n">
        <v>0</v>
      </c>
      <c r="M926" t="n">
        <v>0</v>
      </c>
      <c r="N926" t="n">
        <v>0</v>
      </c>
      <c r="O926" t="n">
        <v>0</v>
      </c>
      <c r="P926" t="n">
        <v>0</v>
      </c>
      <c r="Q926" t="n">
        <v>0</v>
      </c>
      <c r="R926" s="2" t="inlineStr"/>
    </row>
    <row r="927" ht="15" customHeight="1">
      <c r="A927" t="inlineStr">
        <is>
          <t>A 11027-2023</t>
        </is>
      </c>
      <c r="B927" s="1" t="n">
        <v>44991</v>
      </c>
      <c r="C927" s="1" t="n">
        <v>45364</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11076-2023</t>
        </is>
      </c>
      <c r="B928" s="1" t="n">
        <v>44992</v>
      </c>
      <c r="C928" s="1" t="n">
        <v>45364</v>
      </c>
      <c r="D928" t="inlineStr">
        <is>
          <t>KALMAR LÄN</t>
        </is>
      </c>
      <c r="E928" t="inlineStr">
        <is>
          <t>VIMMERBY</t>
        </is>
      </c>
      <c r="G928" t="n">
        <v>6.1</v>
      </c>
      <c r="H928" t="n">
        <v>0</v>
      </c>
      <c r="I928" t="n">
        <v>0</v>
      </c>
      <c r="J928" t="n">
        <v>0</v>
      </c>
      <c r="K928" t="n">
        <v>0</v>
      </c>
      <c r="L928" t="n">
        <v>0</v>
      </c>
      <c r="M928" t="n">
        <v>0</v>
      </c>
      <c r="N928" t="n">
        <v>0</v>
      </c>
      <c r="O928" t="n">
        <v>0</v>
      </c>
      <c r="P928" t="n">
        <v>0</v>
      </c>
      <c r="Q928" t="n">
        <v>0</v>
      </c>
      <c r="R928" s="2" t="inlineStr"/>
    </row>
    <row r="929" ht="15" customHeight="1">
      <c r="A929" t="inlineStr">
        <is>
          <t>A 11073-2023</t>
        </is>
      </c>
      <c r="B929" s="1" t="n">
        <v>44992</v>
      </c>
      <c r="C929" s="1" t="n">
        <v>45364</v>
      </c>
      <c r="D929" t="inlineStr">
        <is>
          <t>KALMAR LÄN</t>
        </is>
      </c>
      <c r="E929" t="inlineStr">
        <is>
          <t>VIMMERBY</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11147-2023</t>
        </is>
      </c>
      <c r="B930" s="1" t="n">
        <v>44992</v>
      </c>
      <c r="C930" s="1" t="n">
        <v>45364</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11111-2023</t>
        </is>
      </c>
      <c r="B931" s="1" t="n">
        <v>44992</v>
      </c>
      <c r="C931" s="1" t="n">
        <v>45364</v>
      </c>
      <c r="D931" t="inlineStr">
        <is>
          <t>KALMAR LÄN</t>
        </is>
      </c>
      <c r="E931" t="inlineStr">
        <is>
          <t>VIMMERBY</t>
        </is>
      </c>
      <c r="G931" t="n">
        <v>0.8</v>
      </c>
      <c r="H931" t="n">
        <v>0</v>
      </c>
      <c r="I931" t="n">
        <v>0</v>
      </c>
      <c r="J931" t="n">
        <v>0</v>
      </c>
      <c r="K931" t="n">
        <v>0</v>
      </c>
      <c r="L931" t="n">
        <v>0</v>
      </c>
      <c r="M931" t="n">
        <v>0</v>
      </c>
      <c r="N931" t="n">
        <v>0</v>
      </c>
      <c r="O931" t="n">
        <v>0</v>
      </c>
      <c r="P931" t="n">
        <v>0</v>
      </c>
      <c r="Q931" t="n">
        <v>0</v>
      </c>
      <c r="R931" s="2" t="inlineStr"/>
    </row>
    <row r="932" ht="15" customHeight="1">
      <c r="A932" t="inlineStr">
        <is>
          <t>A 11152-2023</t>
        </is>
      </c>
      <c r="B932" s="1" t="n">
        <v>44992</v>
      </c>
      <c r="C932" s="1" t="n">
        <v>45364</v>
      </c>
      <c r="D932" t="inlineStr">
        <is>
          <t>KALMAR LÄN</t>
        </is>
      </c>
      <c r="E932" t="inlineStr">
        <is>
          <t>VIMMERBY</t>
        </is>
      </c>
      <c r="G932" t="n">
        <v>10.6</v>
      </c>
      <c r="H932" t="n">
        <v>0</v>
      </c>
      <c r="I932" t="n">
        <v>0</v>
      </c>
      <c r="J932" t="n">
        <v>0</v>
      </c>
      <c r="K932" t="n">
        <v>0</v>
      </c>
      <c r="L932" t="n">
        <v>0</v>
      </c>
      <c r="M932" t="n">
        <v>0</v>
      </c>
      <c r="N932" t="n">
        <v>0</v>
      </c>
      <c r="O932" t="n">
        <v>0</v>
      </c>
      <c r="P932" t="n">
        <v>0</v>
      </c>
      <c r="Q932" t="n">
        <v>0</v>
      </c>
      <c r="R932" s="2" t="inlineStr"/>
    </row>
    <row r="933" ht="15" customHeight="1">
      <c r="A933" t="inlineStr">
        <is>
          <t>A 11074-2023</t>
        </is>
      </c>
      <c r="B933" s="1" t="n">
        <v>44992</v>
      </c>
      <c r="C933" s="1" t="n">
        <v>45364</v>
      </c>
      <c r="D933" t="inlineStr">
        <is>
          <t>KALMAR LÄN</t>
        </is>
      </c>
      <c r="E933" t="inlineStr">
        <is>
          <t>VIMMERBY</t>
        </is>
      </c>
      <c r="F933" t="inlineStr">
        <is>
          <t>Sveaskog</t>
        </is>
      </c>
      <c r="G933" t="n">
        <v>3.1</v>
      </c>
      <c r="H933" t="n">
        <v>0</v>
      </c>
      <c r="I933" t="n">
        <v>0</v>
      </c>
      <c r="J933" t="n">
        <v>0</v>
      </c>
      <c r="K933" t="n">
        <v>0</v>
      </c>
      <c r="L933" t="n">
        <v>0</v>
      </c>
      <c r="M933" t="n">
        <v>0</v>
      </c>
      <c r="N933" t="n">
        <v>0</v>
      </c>
      <c r="O933" t="n">
        <v>0</v>
      </c>
      <c r="P933" t="n">
        <v>0</v>
      </c>
      <c r="Q933" t="n">
        <v>0</v>
      </c>
      <c r="R933" s="2" t="inlineStr"/>
    </row>
    <row r="934" ht="15" customHeight="1">
      <c r="A934" t="inlineStr">
        <is>
          <t>A 11219-2023</t>
        </is>
      </c>
      <c r="B934" s="1" t="n">
        <v>44992</v>
      </c>
      <c r="C934" s="1" t="n">
        <v>45364</v>
      </c>
      <c r="D934" t="inlineStr">
        <is>
          <t>KALMAR LÄN</t>
        </is>
      </c>
      <c r="E934" t="inlineStr">
        <is>
          <t>VIMMERBY</t>
        </is>
      </c>
      <c r="G934" t="n">
        <v>2.5</v>
      </c>
      <c r="H934" t="n">
        <v>0</v>
      </c>
      <c r="I934" t="n">
        <v>0</v>
      </c>
      <c r="J934" t="n">
        <v>0</v>
      </c>
      <c r="K934" t="n">
        <v>0</v>
      </c>
      <c r="L934" t="n">
        <v>0</v>
      </c>
      <c r="M934" t="n">
        <v>0</v>
      </c>
      <c r="N934" t="n">
        <v>0</v>
      </c>
      <c r="O934" t="n">
        <v>0</v>
      </c>
      <c r="P934" t="n">
        <v>0</v>
      </c>
      <c r="Q934" t="n">
        <v>0</v>
      </c>
      <c r="R934" s="2" t="inlineStr"/>
    </row>
    <row r="935" ht="15" customHeight="1">
      <c r="A935" t="inlineStr">
        <is>
          <t>A 11416-2023</t>
        </is>
      </c>
      <c r="B935" s="1" t="n">
        <v>44993</v>
      </c>
      <c r="C935" s="1" t="n">
        <v>45364</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11619-2023</t>
        </is>
      </c>
      <c r="B936" s="1" t="n">
        <v>44994</v>
      </c>
      <c r="C936" s="1" t="n">
        <v>45364</v>
      </c>
      <c r="D936" t="inlineStr">
        <is>
          <t>KALMAR LÄN</t>
        </is>
      </c>
      <c r="E936" t="inlineStr">
        <is>
          <t>VIMMERBY</t>
        </is>
      </c>
      <c r="G936" t="n">
        <v>2.5</v>
      </c>
      <c r="H936" t="n">
        <v>0</v>
      </c>
      <c r="I936" t="n">
        <v>0</v>
      </c>
      <c r="J936" t="n">
        <v>0</v>
      </c>
      <c r="K936" t="n">
        <v>0</v>
      </c>
      <c r="L936" t="n">
        <v>0</v>
      </c>
      <c r="M936" t="n">
        <v>0</v>
      </c>
      <c r="N936" t="n">
        <v>0</v>
      </c>
      <c r="O936" t="n">
        <v>0</v>
      </c>
      <c r="P936" t="n">
        <v>0</v>
      </c>
      <c r="Q936" t="n">
        <v>0</v>
      </c>
      <c r="R936" s="2" t="inlineStr"/>
    </row>
    <row r="937" ht="15" customHeight="1">
      <c r="A937" t="inlineStr">
        <is>
          <t>A 11609-2023</t>
        </is>
      </c>
      <c r="B937" s="1" t="n">
        <v>44994</v>
      </c>
      <c r="C937" s="1" t="n">
        <v>45364</v>
      </c>
      <c r="D937" t="inlineStr">
        <is>
          <t>KALMAR LÄN</t>
        </is>
      </c>
      <c r="E937" t="inlineStr">
        <is>
          <t>VIMMERBY</t>
        </is>
      </c>
      <c r="G937" t="n">
        <v>4.9</v>
      </c>
      <c r="H937" t="n">
        <v>0</v>
      </c>
      <c r="I937" t="n">
        <v>0</v>
      </c>
      <c r="J937" t="n">
        <v>0</v>
      </c>
      <c r="K937" t="n">
        <v>0</v>
      </c>
      <c r="L937" t="n">
        <v>0</v>
      </c>
      <c r="M937" t="n">
        <v>0</v>
      </c>
      <c r="N937" t="n">
        <v>0</v>
      </c>
      <c r="O937" t="n">
        <v>0</v>
      </c>
      <c r="P937" t="n">
        <v>0</v>
      </c>
      <c r="Q937" t="n">
        <v>0</v>
      </c>
      <c r="R937" s="2" t="inlineStr"/>
    </row>
    <row r="938" ht="15" customHeight="1">
      <c r="A938" t="inlineStr">
        <is>
          <t>A 11661-2023</t>
        </is>
      </c>
      <c r="B938" s="1" t="n">
        <v>44994</v>
      </c>
      <c r="C938" s="1" t="n">
        <v>45364</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12008-2023</t>
        </is>
      </c>
      <c r="B939" s="1" t="n">
        <v>44995</v>
      </c>
      <c r="C939" s="1" t="n">
        <v>45364</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11999-2023</t>
        </is>
      </c>
      <c r="B940" s="1" t="n">
        <v>44995</v>
      </c>
      <c r="C940" s="1" t="n">
        <v>45364</v>
      </c>
      <c r="D940" t="inlineStr">
        <is>
          <t>KALMAR LÄN</t>
        </is>
      </c>
      <c r="E940" t="inlineStr">
        <is>
          <t>VIMMERBY</t>
        </is>
      </c>
      <c r="G940" t="n">
        <v>2.2</v>
      </c>
      <c r="H940" t="n">
        <v>0</v>
      </c>
      <c r="I940" t="n">
        <v>0</v>
      </c>
      <c r="J940" t="n">
        <v>0</v>
      </c>
      <c r="K940" t="n">
        <v>0</v>
      </c>
      <c r="L940" t="n">
        <v>0</v>
      </c>
      <c r="M940" t="n">
        <v>0</v>
      </c>
      <c r="N940" t="n">
        <v>0</v>
      </c>
      <c r="O940" t="n">
        <v>0</v>
      </c>
      <c r="P940" t="n">
        <v>0</v>
      </c>
      <c r="Q940" t="n">
        <v>0</v>
      </c>
      <c r="R940" s="2" t="inlineStr"/>
    </row>
    <row r="941" ht="15" customHeight="1">
      <c r="A941" t="inlineStr">
        <is>
          <t>A 12012-2023</t>
        </is>
      </c>
      <c r="B941" s="1" t="n">
        <v>44995</v>
      </c>
      <c r="C941" s="1" t="n">
        <v>45364</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12010-2023</t>
        </is>
      </c>
      <c r="B942" s="1" t="n">
        <v>44995</v>
      </c>
      <c r="C942" s="1" t="n">
        <v>45364</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12325-2023</t>
        </is>
      </c>
      <c r="B943" s="1" t="n">
        <v>44999</v>
      </c>
      <c r="C943" s="1" t="n">
        <v>45364</v>
      </c>
      <c r="D943" t="inlineStr">
        <is>
          <t>KALMAR LÄN</t>
        </is>
      </c>
      <c r="E943" t="inlineStr">
        <is>
          <t>VIMMERBY</t>
        </is>
      </c>
      <c r="G943" t="n">
        <v>3.4</v>
      </c>
      <c r="H943" t="n">
        <v>0</v>
      </c>
      <c r="I943" t="n">
        <v>0</v>
      </c>
      <c r="J943" t="n">
        <v>0</v>
      </c>
      <c r="K943" t="n">
        <v>0</v>
      </c>
      <c r="L943" t="n">
        <v>0</v>
      </c>
      <c r="M943" t="n">
        <v>0</v>
      </c>
      <c r="N943" t="n">
        <v>0</v>
      </c>
      <c r="O943" t="n">
        <v>0</v>
      </c>
      <c r="P943" t="n">
        <v>0</v>
      </c>
      <c r="Q943" t="n">
        <v>0</v>
      </c>
      <c r="R943" s="2" t="inlineStr"/>
    </row>
    <row r="944" ht="15" customHeight="1">
      <c r="A944" t="inlineStr">
        <is>
          <t>A 12327-2023</t>
        </is>
      </c>
      <c r="B944" s="1" t="n">
        <v>44999</v>
      </c>
      <c r="C944" s="1" t="n">
        <v>45364</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12499-2023</t>
        </is>
      </c>
      <c r="B945" s="1" t="n">
        <v>44999</v>
      </c>
      <c r="C945" s="1" t="n">
        <v>45364</v>
      </c>
      <c r="D945" t="inlineStr">
        <is>
          <t>KALMAR LÄN</t>
        </is>
      </c>
      <c r="E945" t="inlineStr">
        <is>
          <t>VIMMERBY</t>
        </is>
      </c>
      <c r="G945" t="n">
        <v>0.8</v>
      </c>
      <c r="H945" t="n">
        <v>0</v>
      </c>
      <c r="I945" t="n">
        <v>0</v>
      </c>
      <c r="J945" t="n">
        <v>0</v>
      </c>
      <c r="K945" t="n">
        <v>0</v>
      </c>
      <c r="L945" t="n">
        <v>0</v>
      </c>
      <c r="M945" t="n">
        <v>0</v>
      </c>
      <c r="N945" t="n">
        <v>0</v>
      </c>
      <c r="O945" t="n">
        <v>0</v>
      </c>
      <c r="P945" t="n">
        <v>0</v>
      </c>
      <c r="Q945" t="n">
        <v>0</v>
      </c>
      <c r="R945" s="2" t="inlineStr"/>
    </row>
    <row r="946" ht="15" customHeight="1">
      <c r="A946" t="inlineStr">
        <is>
          <t>A 12500-2023</t>
        </is>
      </c>
      <c r="B946" s="1" t="n">
        <v>44999</v>
      </c>
      <c r="C946" s="1" t="n">
        <v>45364</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12630-2023</t>
        </is>
      </c>
      <c r="B947" s="1" t="n">
        <v>45000</v>
      </c>
      <c r="C947" s="1" t="n">
        <v>45364</v>
      </c>
      <c r="D947" t="inlineStr">
        <is>
          <t>KALMAR LÄN</t>
        </is>
      </c>
      <c r="E947" t="inlineStr">
        <is>
          <t>VIMMERBY</t>
        </is>
      </c>
      <c r="G947" t="n">
        <v>2.1</v>
      </c>
      <c r="H947" t="n">
        <v>0</v>
      </c>
      <c r="I947" t="n">
        <v>0</v>
      </c>
      <c r="J947" t="n">
        <v>0</v>
      </c>
      <c r="K947" t="n">
        <v>0</v>
      </c>
      <c r="L947" t="n">
        <v>0</v>
      </c>
      <c r="M947" t="n">
        <v>0</v>
      </c>
      <c r="N947" t="n">
        <v>0</v>
      </c>
      <c r="O947" t="n">
        <v>0</v>
      </c>
      <c r="P947" t="n">
        <v>0</v>
      </c>
      <c r="Q947" t="n">
        <v>0</v>
      </c>
      <c r="R947" s="2" t="inlineStr"/>
    </row>
    <row r="948" ht="15" customHeight="1">
      <c r="A948" t="inlineStr">
        <is>
          <t>A 12692-2023</t>
        </is>
      </c>
      <c r="B948" s="1" t="n">
        <v>45000</v>
      </c>
      <c r="C948" s="1" t="n">
        <v>45364</v>
      </c>
      <c r="D948" t="inlineStr">
        <is>
          <t>KALMAR LÄN</t>
        </is>
      </c>
      <c r="E948" t="inlineStr">
        <is>
          <t>VIMMERBY</t>
        </is>
      </c>
      <c r="G948" t="n">
        <v>0.9</v>
      </c>
      <c r="H948" t="n">
        <v>0</v>
      </c>
      <c r="I948" t="n">
        <v>0</v>
      </c>
      <c r="J948" t="n">
        <v>0</v>
      </c>
      <c r="K948" t="n">
        <v>0</v>
      </c>
      <c r="L948" t="n">
        <v>0</v>
      </c>
      <c r="M948" t="n">
        <v>0</v>
      </c>
      <c r="N948" t="n">
        <v>0</v>
      </c>
      <c r="O948" t="n">
        <v>0</v>
      </c>
      <c r="P948" t="n">
        <v>0</v>
      </c>
      <c r="Q948" t="n">
        <v>0</v>
      </c>
      <c r="R948" s="2" t="inlineStr"/>
    </row>
    <row r="949" ht="15" customHeight="1">
      <c r="A949" t="inlineStr">
        <is>
          <t>A 12810-2023</t>
        </is>
      </c>
      <c r="B949" s="1" t="n">
        <v>45001</v>
      </c>
      <c r="C949" s="1" t="n">
        <v>45364</v>
      </c>
      <c r="D949" t="inlineStr">
        <is>
          <t>KALMAR LÄN</t>
        </is>
      </c>
      <c r="E949" t="inlineStr">
        <is>
          <t>VIMMERBY</t>
        </is>
      </c>
      <c r="G949" t="n">
        <v>1.5</v>
      </c>
      <c r="H949" t="n">
        <v>0</v>
      </c>
      <c r="I949" t="n">
        <v>0</v>
      </c>
      <c r="J949" t="n">
        <v>0</v>
      </c>
      <c r="K949" t="n">
        <v>0</v>
      </c>
      <c r="L949" t="n">
        <v>0</v>
      </c>
      <c r="M949" t="n">
        <v>0</v>
      </c>
      <c r="N949" t="n">
        <v>0</v>
      </c>
      <c r="O949" t="n">
        <v>0</v>
      </c>
      <c r="P949" t="n">
        <v>0</v>
      </c>
      <c r="Q949" t="n">
        <v>0</v>
      </c>
      <c r="R949" s="2" t="inlineStr"/>
    </row>
    <row r="950" ht="15" customHeight="1">
      <c r="A950" t="inlineStr">
        <is>
          <t>A 12890-2023</t>
        </is>
      </c>
      <c r="B950" s="1" t="n">
        <v>45001</v>
      </c>
      <c r="C950" s="1" t="n">
        <v>45364</v>
      </c>
      <c r="D950" t="inlineStr">
        <is>
          <t>KALMAR LÄN</t>
        </is>
      </c>
      <c r="E950" t="inlineStr">
        <is>
          <t>VIMMERBY</t>
        </is>
      </c>
      <c r="G950" t="n">
        <v>2.8</v>
      </c>
      <c r="H950" t="n">
        <v>0</v>
      </c>
      <c r="I950" t="n">
        <v>0</v>
      </c>
      <c r="J950" t="n">
        <v>0</v>
      </c>
      <c r="K950" t="n">
        <v>0</v>
      </c>
      <c r="L950" t="n">
        <v>0</v>
      </c>
      <c r="M950" t="n">
        <v>0</v>
      </c>
      <c r="N950" t="n">
        <v>0</v>
      </c>
      <c r="O950" t="n">
        <v>0</v>
      </c>
      <c r="P950" t="n">
        <v>0</v>
      </c>
      <c r="Q950" t="n">
        <v>0</v>
      </c>
      <c r="R950" s="2" t="inlineStr"/>
    </row>
    <row r="951" ht="15" customHeight="1">
      <c r="A951" t="inlineStr">
        <is>
          <t>A 13015-2023</t>
        </is>
      </c>
      <c r="B951" s="1" t="n">
        <v>45002</v>
      </c>
      <c r="C951" s="1" t="n">
        <v>45364</v>
      </c>
      <c r="D951" t="inlineStr">
        <is>
          <t>KALMAR LÄN</t>
        </is>
      </c>
      <c r="E951" t="inlineStr">
        <is>
          <t>VIMMERBY</t>
        </is>
      </c>
      <c r="G951" t="n">
        <v>3.2</v>
      </c>
      <c r="H951" t="n">
        <v>0</v>
      </c>
      <c r="I951" t="n">
        <v>0</v>
      </c>
      <c r="J951" t="n">
        <v>0</v>
      </c>
      <c r="K951" t="n">
        <v>0</v>
      </c>
      <c r="L951" t="n">
        <v>0</v>
      </c>
      <c r="M951" t="n">
        <v>0</v>
      </c>
      <c r="N951" t="n">
        <v>0</v>
      </c>
      <c r="O951" t="n">
        <v>0</v>
      </c>
      <c r="P951" t="n">
        <v>0</v>
      </c>
      <c r="Q951" t="n">
        <v>0</v>
      </c>
      <c r="R951" s="2" t="inlineStr"/>
    </row>
    <row r="952" ht="15" customHeight="1">
      <c r="A952" t="inlineStr">
        <is>
          <t>A 13462-2023</t>
        </is>
      </c>
      <c r="B952" s="1" t="n">
        <v>45005</v>
      </c>
      <c r="C952" s="1" t="n">
        <v>45364</v>
      </c>
      <c r="D952" t="inlineStr">
        <is>
          <t>KALMAR LÄN</t>
        </is>
      </c>
      <c r="E952" t="inlineStr">
        <is>
          <t>VIMMERBY</t>
        </is>
      </c>
      <c r="G952" t="n">
        <v>1.9</v>
      </c>
      <c r="H952" t="n">
        <v>0</v>
      </c>
      <c r="I952" t="n">
        <v>0</v>
      </c>
      <c r="J952" t="n">
        <v>0</v>
      </c>
      <c r="K952" t="n">
        <v>0</v>
      </c>
      <c r="L952" t="n">
        <v>0</v>
      </c>
      <c r="M952" t="n">
        <v>0</v>
      </c>
      <c r="N952" t="n">
        <v>0</v>
      </c>
      <c r="O952" t="n">
        <v>0</v>
      </c>
      <c r="P952" t="n">
        <v>0</v>
      </c>
      <c r="Q952" t="n">
        <v>0</v>
      </c>
      <c r="R952" s="2" t="inlineStr"/>
    </row>
    <row r="953" ht="15" customHeight="1">
      <c r="A953" t="inlineStr">
        <is>
          <t>A 13797-2023</t>
        </is>
      </c>
      <c r="B953" s="1" t="n">
        <v>45007</v>
      </c>
      <c r="C953" s="1" t="n">
        <v>45364</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14025-2023</t>
        </is>
      </c>
      <c r="B954" s="1" t="n">
        <v>45008</v>
      </c>
      <c r="C954" s="1" t="n">
        <v>45364</v>
      </c>
      <c r="D954" t="inlineStr">
        <is>
          <t>KALMAR LÄN</t>
        </is>
      </c>
      <c r="E954" t="inlineStr">
        <is>
          <t>VIMMERBY</t>
        </is>
      </c>
      <c r="G954" t="n">
        <v>1.1</v>
      </c>
      <c r="H954" t="n">
        <v>0</v>
      </c>
      <c r="I954" t="n">
        <v>0</v>
      </c>
      <c r="J954" t="n">
        <v>0</v>
      </c>
      <c r="K954" t="n">
        <v>0</v>
      </c>
      <c r="L954" t="n">
        <v>0</v>
      </c>
      <c r="M954" t="n">
        <v>0</v>
      </c>
      <c r="N954" t="n">
        <v>0</v>
      </c>
      <c r="O954" t="n">
        <v>0</v>
      </c>
      <c r="P954" t="n">
        <v>0</v>
      </c>
      <c r="Q954" t="n">
        <v>0</v>
      </c>
      <c r="R954" s="2" t="inlineStr"/>
    </row>
    <row r="955" ht="15" customHeight="1">
      <c r="A955" t="inlineStr">
        <is>
          <t>A 14132-2023</t>
        </is>
      </c>
      <c r="B955" s="1" t="n">
        <v>45009</v>
      </c>
      <c r="C955" s="1" t="n">
        <v>45364</v>
      </c>
      <c r="D955" t="inlineStr">
        <is>
          <t>KALMAR LÄN</t>
        </is>
      </c>
      <c r="E955" t="inlineStr">
        <is>
          <t>VIMMERBY</t>
        </is>
      </c>
      <c r="G955" t="n">
        <v>1.6</v>
      </c>
      <c r="H955" t="n">
        <v>0</v>
      </c>
      <c r="I955" t="n">
        <v>0</v>
      </c>
      <c r="J955" t="n">
        <v>0</v>
      </c>
      <c r="K955" t="n">
        <v>0</v>
      </c>
      <c r="L955" t="n">
        <v>0</v>
      </c>
      <c r="M955" t="n">
        <v>0</v>
      </c>
      <c r="N955" t="n">
        <v>0</v>
      </c>
      <c r="O955" t="n">
        <v>0</v>
      </c>
      <c r="P955" t="n">
        <v>0</v>
      </c>
      <c r="Q955" t="n">
        <v>0</v>
      </c>
      <c r="R955" s="2" t="inlineStr"/>
    </row>
    <row r="956" ht="15" customHeight="1">
      <c r="A956" t="inlineStr">
        <is>
          <t>A 14137-2023</t>
        </is>
      </c>
      <c r="B956" s="1" t="n">
        <v>45009</v>
      </c>
      <c r="C956" s="1" t="n">
        <v>45364</v>
      </c>
      <c r="D956" t="inlineStr">
        <is>
          <t>KALMAR LÄN</t>
        </is>
      </c>
      <c r="E956" t="inlineStr">
        <is>
          <t>VIMMERBY</t>
        </is>
      </c>
      <c r="G956" t="n">
        <v>1.3</v>
      </c>
      <c r="H956" t="n">
        <v>0</v>
      </c>
      <c r="I956" t="n">
        <v>0</v>
      </c>
      <c r="J956" t="n">
        <v>0</v>
      </c>
      <c r="K956" t="n">
        <v>0</v>
      </c>
      <c r="L956" t="n">
        <v>0</v>
      </c>
      <c r="M956" t="n">
        <v>0</v>
      </c>
      <c r="N956" t="n">
        <v>0</v>
      </c>
      <c r="O956" t="n">
        <v>0</v>
      </c>
      <c r="P956" t="n">
        <v>0</v>
      </c>
      <c r="Q956" t="n">
        <v>0</v>
      </c>
      <c r="R956" s="2" t="inlineStr"/>
    </row>
    <row r="957" ht="15" customHeight="1">
      <c r="A957" t="inlineStr">
        <is>
          <t>A 14142-2023</t>
        </is>
      </c>
      <c r="B957" s="1" t="n">
        <v>45009</v>
      </c>
      <c r="C957" s="1" t="n">
        <v>45364</v>
      </c>
      <c r="D957" t="inlineStr">
        <is>
          <t>KALMAR LÄN</t>
        </is>
      </c>
      <c r="E957" t="inlineStr">
        <is>
          <t>VIMMERBY</t>
        </is>
      </c>
      <c r="G957" t="n">
        <v>3</v>
      </c>
      <c r="H957" t="n">
        <v>0</v>
      </c>
      <c r="I957" t="n">
        <v>0</v>
      </c>
      <c r="J957" t="n">
        <v>0</v>
      </c>
      <c r="K957" t="n">
        <v>0</v>
      </c>
      <c r="L957" t="n">
        <v>0</v>
      </c>
      <c r="M957" t="n">
        <v>0</v>
      </c>
      <c r="N957" t="n">
        <v>0</v>
      </c>
      <c r="O957" t="n">
        <v>0</v>
      </c>
      <c r="P957" t="n">
        <v>0</v>
      </c>
      <c r="Q957" t="n">
        <v>0</v>
      </c>
      <c r="R957" s="2" t="inlineStr"/>
    </row>
    <row r="958" ht="15" customHeight="1">
      <c r="A958" t="inlineStr">
        <is>
          <t>A 14248-2023</t>
        </is>
      </c>
      <c r="B958" s="1" t="n">
        <v>45009</v>
      </c>
      <c r="C958" s="1" t="n">
        <v>45364</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14440-2023</t>
        </is>
      </c>
      <c r="B959" s="1" t="n">
        <v>45012</v>
      </c>
      <c r="C959" s="1" t="n">
        <v>45364</v>
      </c>
      <c r="D959" t="inlineStr">
        <is>
          <t>KALMAR LÄN</t>
        </is>
      </c>
      <c r="E959" t="inlineStr">
        <is>
          <t>VIMMERBY</t>
        </is>
      </c>
      <c r="G959" t="n">
        <v>3</v>
      </c>
      <c r="H959" t="n">
        <v>0</v>
      </c>
      <c r="I959" t="n">
        <v>0</v>
      </c>
      <c r="J959" t="n">
        <v>0</v>
      </c>
      <c r="K959" t="n">
        <v>0</v>
      </c>
      <c r="L959" t="n">
        <v>0</v>
      </c>
      <c r="M959" t="n">
        <v>0</v>
      </c>
      <c r="N959" t="n">
        <v>0</v>
      </c>
      <c r="O959" t="n">
        <v>0</v>
      </c>
      <c r="P959" t="n">
        <v>0</v>
      </c>
      <c r="Q959" t="n">
        <v>0</v>
      </c>
      <c r="R959" s="2" t="inlineStr"/>
    </row>
    <row r="960" ht="15" customHeight="1">
      <c r="A960" t="inlineStr">
        <is>
          <t>A 14438-2023</t>
        </is>
      </c>
      <c r="B960" s="1" t="n">
        <v>45012</v>
      </c>
      <c r="C960" s="1" t="n">
        <v>45364</v>
      </c>
      <c r="D960" t="inlineStr">
        <is>
          <t>KALMAR LÄN</t>
        </is>
      </c>
      <c r="E960" t="inlineStr">
        <is>
          <t>VIMMERBY</t>
        </is>
      </c>
      <c r="G960" t="n">
        <v>1.5</v>
      </c>
      <c r="H960" t="n">
        <v>0</v>
      </c>
      <c r="I960" t="n">
        <v>0</v>
      </c>
      <c r="J960" t="n">
        <v>0</v>
      </c>
      <c r="K960" t="n">
        <v>0</v>
      </c>
      <c r="L960" t="n">
        <v>0</v>
      </c>
      <c r="M960" t="n">
        <v>0</v>
      </c>
      <c r="N960" t="n">
        <v>0</v>
      </c>
      <c r="O960" t="n">
        <v>0</v>
      </c>
      <c r="P960" t="n">
        <v>0</v>
      </c>
      <c r="Q960" t="n">
        <v>0</v>
      </c>
      <c r="R960" s="2" t="inlineStr"/>
    </row>
    <row r="961" ht="15" customHeight="1">
      <c r="A961" t="inlineStr">
        <is>
          <t>A 14996-2023</t>
        </is>
      </c>
      <c r="B961" s="1" t="n">
        <v>45014</v>
      </c>
      <c r="C961" s="1" t="n">
        <v>45364</v>
      </c>
      <c r="D961" t="inlineStr">
        <is>
          <t>KALMAR LÄN</t>
        </is>
      </c>
      <c r="E961" t="inlineStr">
        <is>
          <t>VIMMERBY</t>
        </is>
      </c>
      <c r="G961" t="n">
        <v>6.9</v>
      </c>
      <c r="H961" t="n">
        <v>0</v>
      </c>
      <c r="I961" t="n">
        <v>0</v>
      </c>
      <c r="J961" t="n">
        <v>0</v>
      </c>
      <c r="K961" t="n">
        <v>0</v>
      </c>
      <c r="L961" t="n">
        <v>0</v>
      </c>
      <c r="M961" t="n">
        <v>0</v>
      </c>
      <c r="N961" t="n">
        <v>0</v>
      </c>
      <c r="O961" t="n">
        <v>0</v>
      </c>
      <c r="P961" t="n">
        <v>0</v>
      </c>
      <c r="Q961" t="n">
        <v>0</v>
      </c>
      <c r="R961" s="2" t="inlineStr"/>
    </row>
    <row r="962" ht="15" customHeight="1">
      <c r="A962" t="inlineStr">
        <is>
          <t>A 15493-2023</t>
        </is>
      </c>
      <c r="B962" s="1" t="n">
        <v>45018</v>
      </c>
      <c r="C962" s="1" t="n">
        <v>45364</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15550-2023</t>
        </is>
      </c>
      <c r="B963" s="1" t="n">
        <v>45020</v>
      </c>
      <c r="C963" s="1" t="n">
        <v>45364</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15449-2023</t>
        </is>
      </c>
      <c r="B964" s="1" t="n">
        <v>45020</v>
      </c>
      <c r="C964" s="1" t="n">
        <v>45364</v>
      </c>
      <c r="D964" t="inlineStr">
        <is>
          <t>KALMAR LÄN</t>
        </is>
      </c>
      <c r="E964" t="inlineStr">
        <is>
          <t>VIMMERBY</t>
        </is>
      </c>
      <c r="G964" t="n">
        <v>0.5</v>
      </c>
      <c r="H964" t="n">
        <v>0</v>
      </c>
      <c r="I964" t="n">
        <v>0</v>
      </c>
      <c r="J964" t="n">
        <v>0</v>
      </c>
      <c r="K964" t="n">
        <v>0</v>
      </c>
      <c r="L964" t="n">
        <v>0</v>
      </c>
      <c r="M964" t="n">
        <v>0</v>
      </c>
      <c r="N964" t="n">
        <v>0</v>
      </c>
      <c r="O964" t="n">
        <v>0</v>
      </c>
      <c r="P964" t="n">
        <v>0</v>
      </c>
      <c r="Q964" t="n">
        <v>0</v>
      </c>
      <c r="R964" s="2" t="inlineStr"/>
    </row>
    <row r="965" ht="15" customHeight="1">
      <c r="A965" t="inlineStr">
        <is>
          <t>A 15486-2023</t>
        </is>
      </c>
      <c r="B965" s="1" t="n">
        <v>45020</v>
      </c>
      <c r="C965" s="1" t="n">
        <v>45364</v>
      </c>
      <c r="D965" t="inlineStr">
        <is>
          <t>KALMAR LÄN</t>
        </is>
      </c>
      <c r="E965" t="inlineStr">
        <is>
          <t>VIMMERBY</t>
        </is>
      </c>
      <c r="G965" t="n">
        <v>1.2</v>
      </c>
      <c r="H965" t="n">
        <v>0</v>
      </c>
      <c r="I965" t="n">
        <v>0</v>
      </c>
      <c r="J965" t="n">
        <v>0</v>
      </c>
      <c r="K965" t="n">
        <v>0</v>
      </c>
      <c r="L965" t="n">
        <v>0</v>
      </c>
      <c r="M965" t="n">
        <v>0</v>
      </c>
      <c r="N965" t="n">
        <v>0</v>
      </c>
      <c r="O965" t="n">
        <v>0</v>
      </c>
      <c r="P965" t="n">
        <v>0</v>
      </c>
      <c r="Q965" t="n">
        <v>0</v>
      </c>
      <c r="R965" s="2" t="inlineStr"/>
    </row>
    <row r="966" ht="15" customHeight="1">
      <c r="A966" t="inlineStr">
        <is>
          <t>A 15490-2023</t>
        </is>
      </c>
      <c r="B966" s="1" t="n">
        <v>45020</v>
      </c>
      <c r="C966" s="1" t="n">
        <v>45364</v>
      </c>
      <c r="D966" t="inlineStr">
        <is>
          <t>KALMAR LÄN</t>
        </is>
      </c>
      <c r="E966" t="inlineStr">
        <is>
          <t>VIMMERBY</t>
        </is>
      </c>
      <c r="G966" t="n">
        <v>1.6</v>
      </c>
      <c r="H966" t="n">
        <v>0</v>
      </c>
      <c r="I966" t="n">
        <v>0</v>
      </c>
      <c r="J966" t="n">
        <v>0</v>
      </c>
      <c r="K966" t="n">
        <v>0</v>
      </c>
      <c r="L966" t="n">
        <v>0</v>
      </c>
      <c r="M966" t="n">
        <v>0</v>
      </c>
      <c r="N966" t="n">
        <v>0</v>
      </c>
      <c r="O966" t="n">
        <v>0</v>
      </c>
      <c r="P966" t="n">
        <v>0</v>
      </c>
      <c r="Q966" t="n">
        <v>0</v>
      </c>
      <c r="R966" s="2" t="inlineStr"/>
    </row>
    <row r="967" ht="15" customHeight="1">
      <c r="A967" t="inlineStr">
        <is>
          <t>A 15740-2023</t>
        </is>
      </c>
      <c r="B967" s="1" t="n">
        <v>45021</v>
      </c>
      <c r="C967" s="1" t="n">
        <v>45364</v>
      </c>
      <c r="D967" t="inlineStr">
        <is>
          <t>KALMAR LÄN</t>
        </is>
      </c>
      <c r="E967" t="inlineStr">
        <is>
          <t>VIMMERBY</t>
        </is>
      </c>
      <c r="G967" t="n">
        <v>1.9</v>
      </c>
      <c r="H967" t="n">
        <v>0</v>
      </c>
      <c r="I967" t="n">
        <v>0</v>
      </c>
      <c r="J967" t="n">
        <v>0</v>
      </c>
      <c r="K967" t="n">
        <v>0</v>
      </c>
      <c r="L967" t="n">
        <v>0</v>
      </c>
      <c r="M967" t="n">
        <v>0</v>
      </c>
      <c r="N967" t="n">
        <v>0</v>
      </c>
      <c r="O967" t="n">
        <v>0</v>
      </c>
      <c r="P967" t="n">
        <v>0</v>
      </c>
      <c r="Q967" t="n">
        <v>0</v>
      </c>
      <c r="R967" s="2" t="inlineStr"/>
    </row>
    <row r="968" ht="15" customHeight="1">
      <c r="A968" t="inlineStr">
        <is>
          <t>A 15993-2023</t>
        </is>
      </c>
      <c r="B968" s="1" t="n">
        <v>45023</v>
      </c>
      <c r="C968" s="1" t="n">
        <v>45364</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16020-2023</t>
        </is>
      </c>
      <c r="B969" s="1" t="n">
        <v>45026</v>
      </c>
      <c r="C969" s="1" t="n">
        <v>45364</v>
      </c>
      <c r="D969" t="inlineStr">
        <is>
          <t>KALMAR LÄN</t>
        </is>
      </c>
      <c r="E969" t="inlineStr">
        <is>
          <t>VIMMERBY</t>
        </is>
      </c>
      <c r="G969" t="n">
        <v>1.1</v>
      </c>
      <c r="H969" t="n">
        <v>0</v>
      </c>
      <c r="I969" t="n">
        <v>0</v>
      </c>
      <c r="J969" t="n">
        <v>0</v>
      </c>
      <c r="K969" t="n">
        <v>0</v>
      </c>
      <c r="L969" t="n">
        <v>0</v>
      </c>
      <c r="M969" t="n">
        <v>0</v>
      </c>
      <c r="N969" t="n">
        <v>0</v>
      </c>
      <c r="O969" t="n">
        <v>0</v>
      </c>
      <c r="P969" t="n">
        <v>0</v>
      </c>
      <c r="Q969" t="n">
        <v>0</v>
      </c>
      <c r="R969" s="2" t="inlineStr"/>
    </row>
    <row r="970" ht="15" customHeight="1">
      <c r="A970" t="inlineStr">
        <is>
          <t>A 16119-2023</t>
        </is>
      </c>
      <c r="B970" s="1" t="n">
        <v>45027</v>
      </c>
      <c r="C970" s="1" t="n">
        <v>45364</v>
      </c>
      <c r="D970" t="inlineStr">
        <is>
          <t>KALMAR LÄN</t>
        </is>
      </c>
      <c r="E970" t="inlineStr">
        <is>
          <t>VIMMERBY</t>
        </is>
      </c>
      <c r="F970" t="inlineStr">
        <is>
          <t>Kommuner</t>
        </is>
      </c>
      <c r="G970" t="n">
        <v>4.4</v>
      </c>
      <c r="H970" t="n">
        <v>0</v>
      </c>
      <c r="I970" t="n">
        <v>0</v>
      </c>
      <c r="J970" t="n">
        <v>0</v>
      </c>
      <c r="K970" t="n">
        <v>0</v>
      </c>
      <c r="L970" t="n">
        <v>0</v>
      </c>
      <c r="M970" t="n">
        <v>0</v>
      </c>
      <c r="N970" t="n">
        <v>0</v>
      </c>
      <c r="O970" t="n">
        <v>0</v>
      </c>
      <c r="P970" t="n">
        <v>0</v>
      </c>
      <c r="Q970" t="n">
        <v>0</v>
      </c>
      <c r="R970" s="2" t="inlineStr"/>
    </row>
    <row r="971" ht="15" customHeight="1">
      <c r="A971" t="inlineStr">
        <is>
          <t>A 16676-2023</t>
        </is>
      </c>
      <c r="B971" s="1" t="n">
        <v>45028</v>
      </c>
      <c r="C971" s="1" t="n">
        <v>45364</v>
      </c>
      <c r="D971" t="inlineStr">
        <is>
          <t>KALMAR LÄN</t>
        </is>
      </c>
      <c r="E971" t="inlineStr">
        <is>
          <t>VIMMERBY</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16516-2023</t>
        </is>
      </c>
      <c r="B972" s="1" t="n">
        <v>45029</v>
      </c>
      <c r="C972" s="1" t="n">
        <v>45364</v>
      </c>
      <c r="D972" t="inlineStr">
        <is>
          <t>KALMAR LÄN</t>
        </is>
      </c>
      <c r="E972" t="inlineStr">
        <is>
          <t>VIMMERBY</t>
        </is>
      </c>
      <c r="G972" t="n">
        <v>4.3</v>
      </c>
      <c r="H972" t="n">
        <v>0</v>
      </c>
      <c r="I972" t="n">
        <v>0</v>
      </c>
      <c r="J972" t="n">
        <v>0</v>
      </c>
      <c r="K972" t="n">
        <v>0</v>
      </c>
      <c r="L972" t="n">
        <v>0</v>
      </c>
      <c r="M972" t="n">
        <v>0</v>
      </c>
      <c r="N972" t="n">
        <v>0</v>
      </c>
      <c r="O972" t="n">
        <v>0</v>
      </c>
      <c r="P972" t="n">
        <v>0</v>
      </c>
      <c r="Q972" t="n">
        <v>0</v>
      </c>
      <c r="R972" s="2" t="inlineStr"/>
    </row>
    <row r="973" ht="15" customHeight="1">
      <c r="A973" t="inlineStr">
        <is>
          <t>A 16734-2023</t>
        </is>
      </c>
      <c r="B973" s="1" t="n">
        <v>45030</v>
      </c>
      <c r="C973" s="1" t="n">
        <v>45364</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16750-2023</t>
        </is>
      </c>
      <c r="B974" s="1" t="n">
        <v>45030</v>
      </c>
      <c r="C974" s="1" t="n">
        <v>45364</v>
      </c>
      <c r="D974" t="inlineStr">
        <is>
          <t>KALMAR LÄN</t>
        </is>
      </c>
      <c r="E974" t="inlineStr">
        <is>
          <t>VIMMERBY</t>
        </is>
      </c>
      <c r="G974" t="n">
        <v>1.2</v>
      </c>
      <c r="H974" t="n">
        <v>0</v>
      </c>
      <c r="I974" t="n">
        <v>0</v>
      </c>
      <c r="J974" t="n">
        <v>0</v>
      </c>
      <c r="K974" t="n">
        <v>0</v>
      </c>
      <c r="L974" t="n">
        <v>0</v>
      </c>
      <c r="M974" t="n">
        <v>0</v>
      </c>
      <c r="N974" t="n">
        <v>0</v>
      </c>
      <c r="O974" t="n">
        <v>0</v>
      </c>
      <c r="P974" t="n">
        <v>0</v>
      </c>
      <c r="Q974" t="n">
        <v>0</v>
      </c>
      <c r="R974" s="2" t="inlineStr"/>
    </row>
    <row r="975" ht="15" customHeight="1">
      <c r="A975" t="inlineStr">
        <is>
          <t>A 16927-2023</t>
        </is>
      </c>
      <c r="B975" s="1" t="n">
        <v>45033</v>
      </c>
      <c r="C975" s="1" t="n">
        <v>45364</v>
      </c>
      <c r="D975" t="inlineStr">
        <is>
          <t>KALMAR LÄN</t>
        </is>
      </c>
      <c r="E975" t="inlineStr">
        <is>
          <t>VIMMERBY</t>
        </is>
      </c>
      <c r="G975" t="n">
        <v>0.7</v>
      </c>
      <c r="H975" t="n">
        <v>0</v>
      </c>
      <c r="I975" t="n">
        <v>0</v>
      </c>
      <c r="J975" t="n">
        <v>0</v>
      </c>
      <c r="K975" t="n">
        <v>0</v>
      </c>
      <c r="L975" t="n">
        <v>0</v>
      </c>
      <c r="M975" t="n">
        <v>0</v>
      </c>
      <c r="N975" t="n">
        <v>0</v>
      </c>
      <c r="O975" t="n">
        <v>0</v>
      </c>
      <c r="P975" t="n">
        <v>0</v>
      </c>
      <c r="Q975" t="n">
        <v>0</v>
      </c>
      <c r="R975" s="2" t="inlineStr"/>
    </row>
    <row r="976" ht="15" customHeight="1">
      <c r="A976" t="inlineStr">
        <is>
          <t>A 16983-2023</t>
        </is>
      </c>
      <c r="B976" s="1" t="n">
        <v>45033</v>
      </c>
      <c r="C976" s="1" t="n">
        <v>45364</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17758-2023</t>
        </is>
      </c>
      <c r="B977" s="1" t="n">
        <v>45037</v>
      </c>
      <c r="C977" s="1" t="n">
        <v>45364</v>
      </c>
      <c r="D977" t="inlineStr">
        <is>
          <t>KALMAR LÄN</t>
        </is>
      </c>
      <c r="E977" t="inlineStr">
        <is>
          <t>VIMMERBY</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17964-2023</t>
        </is>
      </c>
      <c r="B978" s="1" t="n">
        <v>45040</v>
      </c>
      <c r="C978" s="1" t="n">
        <v>45364</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18209-2023</t>
        </is>
      </c>
      <c r="B979" s="1" t="n">
        <v>45041</v>
      </c>
      <c r="C979" s="1" t="n">
        <v>45364</v>
      </c>
      <c r="D979" t="inlineStr">
        <is>
          <t>KALMAR LÄN</t>
        </is>
      </c>
      <c r="E979" t="inlineStr">
        <is>
          <t>VIMMERBY</t>
        </is>
      </c>
      <c r="G979" t="n">
        <v>2.6</v>
      </c>
      <c r="H979" t="n">
        <v>0</v>
      </c>
      <c r="I979" t="n">
        <v>0</v>
      </c>
      <c r="J979" t="n">
        <v>0</v>
      </c>
      <c r="K979" t="n">
        <v>0</v>
      </c>
      <c r="L979" t="n">
        <v>0</v>
      </c>
      <c r="M979" t="n">
        <v>0</v>
      </c>
      <c r="N979" t="n">
        <v>0</v>
      </c>
      <c r="O979" t="n">
        <v>0</v>
      </c>
      <c r="P979" t="n">
        <v>0</v>
      </c>
      <c r="Q979" t="n">
        <v>0</v>
      </c>
      <c r="R979" s="2" t="inlineStr"/>
    </row>
    <row r="980" ht="15" customHeight="1">
      <c r="A980" t="inlineStr">
        <is>
          <t>A 18330-2023</t>
        </is>
      </c>
      <c r="B980" s="1" t="n">
        <v>45041</v>
      </c>
      <c r="C980" s="1" t="n">
        <v>45364</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18329-2023</t>
        </is>
      </c>
      <c r="B981" s="1" t="n">
        <v>45041</v>
      </c>
      <c r="C981" s="1" t="n">
        <v>45364</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18328-2023</t>
        </is>
      </c>
      <c r="B982" s="1" t="n">
        <v>45041</v>
      </c>
      <c r="C982" s="1" t="n">
        <v>45364</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18609-2023</t>
        </is>
      </c>
      <c r="B983" s="1" t="n">
        <v>45041</v>
      </c>
      <c r="C983" s="1" t="n">
        <v>45364</v>
      </c>
      <c r="D983" t="inlineStr">
        <is>
          <t>KALMAR LÄN</t>
        </is>
      </c>
      <c r="E983" t="inlineStr">
        <is>
          <t>VIMMERBY</t>
        </is>
      </c>
      <c r="G983" t="n">
        <v>3</v>
      </c>
      <c r="H983" t="n">
        <v>0</v>
      </c>
      <c r="I983" t="n">
        <v>0</v>
      </c>
      <c r="J983" t="n">
        <v>0</v>
      </c>
      <c r="K983" t="n">
        <v>0</v>
      </c>
      <c r="L983" t="n">
        <v>0</v>
      </c>
      <c r="M983" t="n">
        <v>0</v>
      </c>
      <c r="N983" t="n">
        <v>0</v>
      </c>
      <c r="O983" t="n">
        <v>0</v>
      </c>
      <c r="P983" t="n">
        <v>0</v>
      </c>
      <c r="Q983" t="n">
        <v>0</v>
      </c>
      <c r="R983" s="2" t="inlineStr"/>
    </row>
    <row r="984" ht="15" customHeight="1">
      <c r="A984" t="inlineStr">
        <is>
          <t>A 18731-2023</t>
        </is>
      </c>
      <c r="B984" s="1" t="n">
        <v>45043</v>
      </c>
      <c r="C984" s="1" t="n">
        <v>45364</v>
      </c>
      <c r="D984" t="inlineStr">
        <is>
          <t>KALMAR LÄN</t>
        </is>
      </c>
      <c r="E984" t="inlineStr">
        <is>
          <t>VIMMERBY</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19013-2023</t>
        </is>
      </c>
      <c r="B985" s="1" t="n">
        <v>45045</v>
      </c>
      <c r="C985" s="1" t="n">
        <v>45364</v>
      </c>
      <c r="D985" t="inlineStr">
        <is>
          <t>KALMAR LÄN</t>
        </is>
      </c>
      <c r="E985" t="inlineStr">
        <is>
          <t>VIMMERBY</t>
        </is>
      </c>
      <c r="G985" t="n">
        <v>2.5</v>
      </c>
      <c r="H985" t="n">
        <v>0</v>
      </c>
      <c r="I985" t="n">
        <v>0</v>
      </c>
      <c r="J985" t="n">
        <v>0</v>
      </c>
      <c r="K985" t="n">
        <v>0</v>
      </c>
      <c r="L985" t="n">
        <v>0</v>
      </c>
      <c r="M985" t="n">
        <v>0</v>
      </c>
      <c r="N985" t="n">
        <v>0</v>
      </c>
      <c r="O985" t="n">
        <v>0</v>
      </c>
      <c r="P985" t="n">
        <v>0</v>
      </c>
      <c r="Q985" t="n">
        <v>0</v>
      </c>
      <c r="R985" s="2" t="inlineStr"/>
    </row>
    <row r="986" ht="15" customHeight="1">
      <c r="A986" t="inlineStr">
        <is>
          <t>A 19162-2023</t>
        </is>
      </c>
      <c r="B986" s="1" t="n">
        <v>45048</v>
      </c>
      <c r="C986" s="1" t="n">
        <v>45364</v>
      </c>
      <c r="D986" t="inlineStr">
        <is>
          <t>KALMAR LÄN</t>
        </is>
      </c>
      <c r="E986" t="inlineStr">
        <is>
          <t>VIMMERBY</t>
        </is>
      </c>
      <c r="G986" t="n">
        <v>0.6</v>
      </c>
      <c r="H986" t="n">
        <v>0</v>
      </c>
      <c r="I986" t="n">
        <v>0</v>
      </c>
      <c r="J986" t="n">
        <v>0</v>
      </c>
      <c r="K986" t="n">
        <v>0</v>
      </c>
      <c r="L986" t="n">
        <v>0</v>
      </c>
      <c r="M986" t="n">
        <v>0</v>
      </c>
      <c r="N986" t="n">
        <v>0</v>
      </c>
      <c r="O986" t="n">
        <v>0</v>
      </c>
      <c r="P986" t="n">
        <v>0</v>
      </c>
      <c r="Q986" t="n">
        <v>0</v>
      </c>
      <c r="R986" s="2" t="inlineStr"/>
    </row>
    <row r="987" ht="15" customHeight="1">
      <c r="A987" t="inlineStr">
        <is>
          <t>A 19158-2023</t>
        </is>
      </c>
      <c r="B987" s="1" t="n">
        <v>45048</v>
      </c>
      <c r="C987" s="1" t="n">
        <v>45364</v>
      </c>
      <c r="D987" t="inlineStr">
        <is>
          <t>KALMAR LÄN</t>
        </is>
      </c>
      <c r="E987" t="inlineStr">
        <is>
          <t>VIMMERBY</t>
        </is>
      </c>
      <c r="G987" t="n">
        <v>2.2</v>
      </c>
      <c r="H987" t="n">
        <v>0</v>
      </c>
      <c r="I987" t="n">
        <v>0</v>
      </c>
      <c r="J987" t="n">
        <v>0</v>
      </c>
      <c r="K987" t="n">
        <v>0</v>
      </c>
      <c r="L987" t="n">
        <v>0</v>
      </c>
      <c r="M987" t="n">
        <v>0</v>
      </c>
      <c r="N987" t="n">
        <v>0</v>
      </c>
      <c r="O987" t="n">
        <v>0</v>
      </c>
      <c r="P987" t="n">
        <v>0</v>
      </c>
      <c r="Q987" t="n">
        <v>0</v>
      </c>
      <c r="R987" s="2" t="inlineStr"/>
    </row>
    <row r="988" ht="15" customHeight="1">
      <c r="A988" t="inlineStr">
        <is>
          <t>A 19833-2023</t>
        </is>
      </c>
      <c r="B988" s="1" t="n">
        <v>45052</v>
      </c>
      <c r="C988" s="1" t="n">
        <v>45364</v>
      </c>
      <c r="D988" t="inlineStr">
        <is>
          <t>KALMAR LÄN</t>
        </is>
      </c>
      <c r="E988" t="inlineStr">
        <is>
          <t>VIMMERBY</t>
        </is>
      </c>
      <c r="G988" t="n">
        <v>6.7</v>
      </c>
      <c r="H988" t="n">
        <v>0</v>
      </c>
      <c r="I988" t="n">
        <v>0</v>
      </c>
      <c r="J988" t="n">
        <v>0</v>
      </c>
      <c r="K988" t="n">
        <v>0</v>
      </c>
      <c r="L988" t="n">
        <v>0</v>
      </c>
      <c r="M988" t="n">
        <v>0</v>
      </c>
      <c r="N988" t="n">
        <v>0</v>
      </c>
      <c r="O988" t="n">
        <v>0</v>
      </c>
      <c r="P988" t="n">
        <v>0</v>
      </c>
      <c r="Q988" t="n">
        <v>0</v>
      </c>
      <c r="R988" s="2" t="inlineStr"/>
    </row>
    <row r="989" ht="15" customHeight="1">
      <c r="A989" t="inlineStr">
        <is>
          <t>A 20054-2023</t>
        </is>
      </c>
      <c r="B989" s="1" t="n">
        <v>45054</v>
      </c>
      <c r="C989" s="1" t="n">
        <v>45364</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20218-2023</t>
        </is>
      </c>
      <c r="B990" s="1" t="n">
        <v>45055</v>
      </c>
      <c r="C990" s="1" t="n">
        <v>45364</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20117-2023</t>
        </is>
      </c>
      <c r="B991" s="1" t="n">
        <v>45055</v>
      </c>
      <c r="C991" s="1" t="n">
        <v>45364</v>
      </c>
      <c r="D991" t="inlineStr">
        <is>
          <t>KALMAR LÄN</t>
        </is>
      </c>
      <c r="E991" t="inlineStr">
        <is>
          <t>VIMMERBY</t>
        </is>
      </c>
      <c r="G991" t="n">
        <v>1.7</v>
      </c>
      <c r="H991" t="n">
        <v>0</v>
      </c>
      <c r="I991" t="n">
        <v>0</v>
      </c>
      <c r="J991" t="n">
        <v>0</v>
      </c>
      <c r="K991" t="n">
        <v>0</v>
      </c>
      <c r="L991" t="n">
        <v>0</v>
      </c>
      <c r="M991" t="n">
        <v>0</v>
      </c>
      <c r="N991" t="n">
        <v>0</v>
      </c>
      <c r="O991" t="n">
        <v>0</v>
      </c>
      <c r="P991" t="n">
        <v>0</v>
      </c>
      <c r="Q991" t="n">
        <v>0</v>
      </c>
      <c r="R991" s="2" t="inlineStr"/>
    </row>
    <row r="992" ht="15" customHeight="1">
      <c r="A992" t="inlineStr">
        <is>
          <t>A 20215-2023</t>
        </is>
      </c>
      <c r="B992" s="1" t="n">
        <v>45055</v>
      </c>
      <c r="C992" s="1" t="n">
        <v>45364</v>
      </c>
      <c r="D992" t="inlineStr">
        <is>
          <t>KALMAR LÄN</t>
        </is>
      </c>
      <c r="E992" t="inlineStr">
        <is>
          <t>VIMMERBY</t>
        </is>
      </c>
      <c r="G992" t="n">
        <v>1.3</v>
      </c>
      <c r="H992" t="n">
        <v>0</v>
      </c>
      <c r="I992" t="n">
        <v>0</v>
      </c>
      <c r="J992" t="n">
        <v>0</v>
      </c>
      <c r="K992" t="n">
        <v>0</v>
      </c>
      <c r="L992" t="n">
        <v>0</v>
      </c>
      <c r="M992" t="n">
        <v>0</v>
      </c>
      <c r="N992" t="n">
        <v>0</v>
      </c>
      <c r="O992" t="n">
        <v>0</v>
      </c>
      <c r="P992" t="n">
        <v>0</v>
      </c>
      <c r="Q992" t="n">
        <v>0</v>
      </c>
      <c r="R992" s="2" t="inlineStr"/>
    </row>
    <row r="993" ht="15" customHeight="1">
      <c r="A993" t="inlineStr">
        <is>
          <t>A 20216-2023</t>
        </is>
      </c>
      <c r="B993" s="1" t="n">
        <v>45055</v>
      </c>
      <c r="C993" s="1" t="n">
        <v>45364</v>
      </c>
      <c r="D993" t="inlineStr">
        <is>
          <t>KALMAR LÄN</t>
        </is>
      </c>
      <c r="E993" t="inlineStr">
        <is>
          <t>VIMMERBY</t>
        </is>
      </c>
      <c r="G993" t="n">
        <v>3.1</v>
      </c>
      <c r="H993" t="n">
        <v>0</v>
      </c>
      <c r="I993" t="n">
        <v>0</v>
      </c>
      <c r="J993" t="n">
        <v>0</v>
      </c>
      <c r="K993" t="n">
        <v>0</v>
      </c>
      <c r="L993" t="n">
        <v>0</v>
      </c>
      <c r="M993" t="n">
        <v>0</v>
      </c>
      <c r="N993" t="n">
        <v>0</v>
      </c>
      <c r="O993" t="n">
        <v>0</v>
      </c>
      <c r="P993" t="n">
        <v>0</v>
      </c>
      <c r="Q993" t="n">
        <v>0</v>
      </c>
      <c r="R993" s="2" t="inlineStr"/>
    </row>
    <row r="994" ht="15" customHeight="1">
      <c r="A994" t="inlineStr">
        <is>
          <t>A 20421-2023</t>
        </is>
      </c>
      <c r="B994" s="1" t="n">
        <v>45056</v>
      </c>
      <c r="C994" s="1" t="n">
        <v>45364</v>
      </c>
      <c r="D994" t="inlineStr">
        <is>
          <t>KALMAR LÄN</t>
        </is>
      </c>
      <c r="E994" t="inlineStr">
        <is>
          <t>VIMMERBY</t>
        </is>
      </c>
      <c r="G994" t="n">
        <v>5.2</v>
      </c>
      <c r="H994" t="n">
        <v>0</v>
      </c>
      <c r="I994" t="n">
        <v>0</v>
      </c>
      <c r="J994" t="n">
        <v>0</v>
      </c>
      <c r="K994" t="n">
        <v>0</v>
      </c>
      <c r="L994" t="n">
        <v>0</v>
      </c>
      <c r="M994" t="n">
        <v>0</v>
      </c>
      <c r="N994" t="n">
        <v>0</v>
      </c>
      <c r="O994" t="n">
        <v>0</v>
      </c>
      <c r="P994" t="n">
        <v>0</v>
      </c>
      <c r="Q994" t="n">
        <v>0</v>
      </c>
      <c r="R994" s="2" t="inlineStr"/>
    </row>
    <row r="995" ht="15" customHeight="1">
      <c r="A995" t="inlineStr">
        <is>
          <t>A 20542-2023</t>
        </is>
      </c>
      <c r="B995" s="1" t="n">
        <v>45057</v>
      </c>
      <c r="C995" s="1" t="n">
        <v>45364</v>
      </c>
      <c r="D995" t="inlineStr">
        <is>
          <t>KALMAR LÄN</t>
        </is>
      </c>
      <c r="E995" t="inlineStr">
        <is>
          <t>VIMMERBY</t>
        </is>
      </c>
      <c r="G995" t="n">
        <v>4.4</v>
      </c>
      <c r="H995" t="n">
        <v>0</v>
      </c>
      <c r="I995" t="n">
        <v>0</v>
      </c>
      <c r="J995" t="n">
        <v>0</v>
      </c>
      <c r="K995" t="n">
        <v>0</v>
      </c>
      <c r="L995" t="n">
        <v>0</v>
      </c>
      <c r="M995" t="n">
        <v>0</v>
      </c>
      <c r="N995" t="n">
        <v>0</v>
      </c>
      <c r="O995" t="n">
        <v>0</v>
      </c>
      <c r="P995" t="n">
        <v>0</v>
      </c>
      <c r="Q995" t="n">
        <v>0</v>
      </c>
      <c r="R995" s="2" t="inlineStr"/>
    </row>
    <row r="996" ht="15" customHeight="1">
      <c r="A996" t="inlineStr">
        <is>
          <t>A 20699-2023</t>
        </is>
      </c>
      <c r="B996" s="1" t="n">
        <v>45058</v>
      </c>
      <c r="C996" s="1" t="n">
        <v>45364</v>
      </c>
      <c r="D996" t="inlineStr">
        <is>
          <t>KALMAR LÄN</t>
        </is>
      </c>
      <c r="E996" t="inlineStr">
        <is>
          <t>VIMMERBY</t>
        </is>
      </c>
      <c r="G996" t="n">
        <v>1</v>
      </c>
      <c r="H996" t="n">
        <v>0</v>
      </c>
      <c r="I996" t="n">
        <v>0</v>
      </c>
      <c r="J996" t="n">
        <v>0</v>
      </c>
      <c r="K996" t="n">
        <v>0</v>
      </c>
      <c r="L996" t="n">
        <v>0</v>
      </c>
      <c r="M996" t="n">
        <v>0</v>
      </c>
      <c r="N996" t="n">
        <v>0</v>
      </c>
      <c r="O996" t="n">
        <v>0</v>
      </c>
      <c r="P996" t="n">
        <v>0</v>
      </c>
      <c r="Q996" t="n">
        <v>0</v>
      </c>
      <c r="R996" s="2" t="inlineStr"/>
    </row>
    <row r="997" ht="15" customHeight="1">
      <c r="A997" t="inlineStr">
        <is>
          <t>A 20736-2023</t>
        </is>
      </c>
      <c r="B997" s="1" t="n">
        <v>45058</v>
      </c>
      <c r="C997" s="1" t="n">
        <v>45364</v>
      </c>
      <c r="D997" t="inlineStr">
        <is>
          <t>KALMAR LÄN</t>
        </is>
      </c>
      <c r="E997" t="inlineStr">
        <is>
          <t>VIMMERBY</t>
        </is>
      </c>
      <c r="G997" t="n">
        <v>1.9</v>
      </c>
      <c r="H997" t="n">
        <v>0</v>
      </c>
      <c r="I997" t="n">
        <v>0</v>
      </c>
      <c r="J997" t="n">
        <v>0</v>
      </c>
      <c r="K997" t="n">
        <v>0</v>
      </c>
      <c r="L997" t="n">
        <v>0</v>
      </c>
      <c r="M997" t="n">
        <v>0</v>
      </c>
      <c r="N997" t="n">
        <v>0</v>
      </c>
      <c r="O997" t="n">
        <v>0</v>
      </c>
      <c r="P997" t="n">
        <v>0</v>
      </c>
      <c r="Q997" t="n">
        <v>0</v>
      </c>
      <c r="R997" s="2" t="inlineStr"/>
    </row>
    <row r="998" ht="15" customHeight="1">
      <c r="A998" t="inlineStr">
        <is>
          <t>A 21025-2023</t>
        </is>
      </c>
      <c r="B998" s="1" t="n">
        <v>45061</v>
      </c>
      <c r="C998" s="1" t="n">
        <v>45364</v>
      </c>
      <c r="D998" t="inlineStr">
        <is>
          <t>KALMAR LÄN</t>
        </is>
      </c>
      <c r="E998" t="inlineStr">
        <is>
          <t>VIMMERBY</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21028-2023</t>
        </is>
      </c>
      <c r="B999" s="1" t="n">
        <v>45061</v>
      </c>
      <c r="C999" s="1" t="n">
        <v>45364</v>
      </c>
      <c r="D999" t="inlineStr">
        <is>
          <t>KALMAR LÄN</t>
        </is>
      </c>
      <c r="E999" t="inlineStr">
        <is>
          <t>VIMMERBY</t>
        </is>
      </c>
      <c r="F999" t="inlineStr">
        <is>
          <t>Övriga Aktiebolag</t>
        </is>
      </c>
      <c r="G999" t="n">
        <v>0.7</v>
      </c>
      <c r="H999" t="n">
        <v>0</v>
      </c>
      <c r="I999" t="n">
        <v>0</v>
      </c>
      <c r="J999" t="n">
        <v>0</v>
      </c>
      <c r="K999" t="n">
        <v>0</v>
      </c>
      <c r="L999" t="n">
        <v>0</v>
      </c>
      <c r="M999" t="n">
        <v>0</v>
      </c>
      <c r="N999" t="n">
        <v>0</v>
      </c>
      <c r="O999" t="n">
        <v>0</v>
      </c>
      <c r="P999" t="n">
        <v>0</v>
      </c>
      <c r="Q999" t="n">
        <v>0</v>
      </c>
      <c r="R999" s="2" t="inlineStr"/>
    </row>
    <row r="1000" ht="15" customHeight="1">
      <c r="A1000" t="inlineStr">
        <is>
          <t>A 21496-2023</t>
        </is>
      </c>
      <c r="B1000" s="1" t="n">
        <v>45063</v>
      </c>
      <c r="C1000" s="1" t="n">
        <v>45364</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21507-2023</t>
        </is>
      </c>
      <c r="B1001" s="1" t="n">
        <v>45063</v>
      </c>
      <c r="C1001" s="1" t="n">
        <v>45364</v>
      </c>
      <c r="D1001" t="inlineStr">
        <is>
          <t>KALMAR LÄN</t>
        </is>
      </c>
      <c r="E1001" t="inlineStr">
        <is>
          <t>VIMMERBY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21911-2023</t>
        </is>
      </c>
      <c r="B1002" s="1" t="n">
        <v>45068</v>
      </c>
      <c r="C1002" s="1" t="n">
        <v>45364</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22415-2023</t>
        </is>
      </c>
      <c r="B1003" s="1" t="n">
        <v>45070</v>
      </c>
      <c r="C1003" s="1" t="n">
        <v>45364</v>
      </c>
      <c r="D1003" t="inlineStr">
        <is>
          <t>KALMAR LÄN</t>
        </is>
      </c>
      <c r="E1003" t="inlineStr">
        <is>
          <t>VIMMERBY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22264-2023</t>
        </is>
      </c>
      <c r="B1004" s="1" t="n">
        <v>45070</v>
      </c>
      <c r="C1004" s="1" t="n">
        <v>45364</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22421-2023</t>
        </is>
      </c>
      <c r="B1005" s="1" t="n">
        <v>45070</v>
      </c>
      <c r="C1005" s="1" t="n">
        <v>45364</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22266-2023</t>
        </is>
      </c>
      <c r="B1006" s="1" t="n">
        <v>45070</v>
      </c>
      <c r="C1006" s="1" t="n">
        <v>45364</v>
      </c>
      <c r="D1006" t="inlineStr">
        <is>
          <t>KALMAR LÄN</t>
        </is>
      </c>
      <c r="E1006" t="inlineStr">
        <is>
          <t>VIMMERBY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22418-2023</t>
        </is>
      </c>
      <c r="B1007" s="1" t="n">
        <v>45070</v>
      </c>
      <c r="C1007" s="1" t="n">
        <v>45364</v>
      </c>
      <c r="D1007" t="inlineStr">
        <is>
          <t>KALMAR LÄN</t>
        </is>
      </c>
      <c r="E1007" t="inlineStr">
        <is>
          <t>VIMMERBY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22426-2023</t>
        </is>
      </c>
      <c r="B1008" s="1" t="n">
        <v>45070</v>
      </c>
      <c r="C1008" s="1" t="n">
        <v>45364</v>
      </c>
      <c r="D1008" t="inlineStr">
        <is>
          <t>KALMAR LÄN</t>
        </is>
      </c>
      <c r="E1008" t="inlineStr">
        <is>
          <t>VIMMERBY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22423-2023</t>
        </is>
      </c>
      <c r="B1009" s="1" t="n">
        <v>45070</v>
      </c>
      <c r="C1009" s="1" t="n">
        <v>45364</v>
      </c>
      <c r="D1009" t="inlineStr">
        <is>
          <t>KALMAR LÄN</t>
        </is>
      </c>
      <c r="E1009" t="inlineStr">
        <is>
          <t>VIMMERBY</t>
        </is>
      </c>
      <c r="G1009" t="n">
        <v>2.4</v>
      </c>
      <c r="H1009" t="n">
        <v>0</v>
      </c>
      <c r="I1009" t="n">
        <v>0</v>
      </c>
      <c r="J1009" t="n">
        <v>0</v>
      </c>
      <c r="K1009" t="n">
        <v>0</v>
      </c>
      <c r="L1009" t="n">
        <v>0</v>
      </c>
      <c r="M1009" t="n">
        <v>0</v>
      </c>
      <c r="N1009" t="n">
        <v>0</v>
      </c>
      <c r="O1009" t="n">
        <v>0</v>
      </c>
      <c r="P1009" t="n">
        <v>0</v>
      </c>
      <c r="Q1009" t="n">
        <v>0</v>
      </c>
      <c r="R1009" s="2" t="inlineStr"/>
      <c r="U1009">
        <f>HYPERLINK("https://klasma.github.io/Logging_0884/knärot/A 22423-2023 karta knärot.png", "A 22423-2023")</f>
        <v/>
      </c>
      <c r="V1009">
        <f>HYPERLINK("https://klasma.github.io/Logging_0884/klagomål/A 22423-2023 FSC-klagomål.docx", "A 22423-2023")</f>
        <v/>
      </c>
      <c r="W1009">
        <f>HYPERLINK("https://klasma.github.io/Logging_0884/klagomålsmail/A 22423-2023 FSC-klagomål mail.docx", "A 22423-2023")</f>
        <v/>
      </c>
      <c r="X1009">
        <f>HYPERLINK("https://klasma.github.io/Logging_0884/tillsyn/A 22423-2023 tillsynsbegäran.docx", "A 22423-2023")</f>
        <v/>
      </c>
      <c r="Y1009">
        <f>HYPERLINK("https://klasma.github.io/Logging_0884/tillsynsmail/A 22423-2023 tillsynsbegäran mail.docx", "A 22423-2023")</f>
        <v/>
      </c>
    </row>
    <row r="1010" ht="15" customHeight="1">
      <c r="A1010" t="inlineStr">
        <is>
          <t>A 22643-2023</t>
        </is>
      </c>
      <c r="B1010" s="1" t="n">
        <v>45071</v>
      </c>
      <c r="C1010" s="1" t="n">
        <v>45364</v>
      </c>
      <c r="D1010" t="inlineStr">
        <is>
          <t>KALMAR LÄN</t>
        </is>
      </c>
      <c r="E1010" t="inlineStr">
        <is>
          <t>VIMMERBY</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22760-2023</t>
        </is>
      </c>
      <c r="B1011" s="1" t="n">
        <v>45072</v>
      </c>
      <c r="C1011" s="1" t="n">
        <v>45364</v>
      </c>
      <c r="D1011" t="inlineStr">
        <is>
          <t>KALMAR LÄN</t>
        </is>
      </c>
      <c r="E1011" t="inlineStr">
        <is>
          <t>VIMMERBY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23032-2023</t>
        </is>
      </c>
      <c r="B1012" s="1" t="n">
        <v>45074</v>
      </c>
      <c r="C1012" s="1" t="n">
        <v>45364</v>
      </c>
      <c r="D1012" t="inlineStr">
        <is>
          <t>KALMAR LÄN</t>
        </is>
      </c>
      <c r="E1012" t="inlineStr">
        <is>
          <t>VIMMERBY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23095-2023</t>
        </is>
      </c>
      <c r="B1013" s="1" t="n">
        <v>45075</v>
      </c>
      <c r="C1013" s="1" t="n">
        <v>45364</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23425-2023</t>
        </is>
      </c>
      <c r="B1014" s="1" t="n">
        <v>45076</v>
      </c>
      <c r="C1014" s="1" t="n">
        <v>45364</v>
      </c>
      <c r="D1014" t="inlineStr">
        <is>
          <t>KALMAR LÄN</t>
        </is>
      </c>
      <c r="E1014" t="inlineStr">
        <is>
          <t>VIMMERBY</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23539-2023</t>
        </is>
      </c>
      <c r="B1015" s="1" t="n">
        <v>45077</v>
      </c>
      <c r="C1015" s="1" t="n">
        <v>45364</v>
      </c>
      <c r="D1015" t="inlineStr">
        <is>
          <t>KALMAR LÄN</t>
        </is>
      </c>
      <c r="E1015" t="inlineStr">
        <is>
          <t>VIMMERBY</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23695-2023</t>
        </is>
      </c>
      <c r="B1016" s="1" t="n">
        <v>45077</v>
      </c>
      <c r="C1016" s="1" t="n">
        <v>45364</v>
      </c>
      <c r="D1016" t="inlineStr">
        <is>
          <t>KALMAR LÄN</t>
        </is>
      </c>
      <c r="E1016" t="inlineStr">
        <is>
          <t>VIMMERBY</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24283-2023</t>
        </is>
      </c>
      <c r="B1017" s="1" t="n">
        <v>45079</v>
      </c>
      <c r="C1017" s="1" t="n">
        <v>45364</v>
      </c>
      <c r="D1017" t="inlineStr">
        <is>
          <t>KALMAR LÄN</t>
        </is>
      </c>
      <c r="E1017" t="inlineStr">
        <is>
          <t>VIMMERBY</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24285-2023</t>
        </is>
      </c>
      <c r="B1018" s="1" t="n">
        <v>45079</v>
      </c>
      <c r="C1018" s="1" t="n">
        <v>45364</v>
      </c>
      <c r="D1018" t="inlineStr">
        <is>
          <t>KALMAR LÄN</t>
        </is>
      </c>
      <c r="E1018" t="inlineStr">
        <is>
          <t>VIMMERBY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24288-2023</t>
        </is>
      </c>
      <c r="B1019" s="1" t="n">
        <v>45080</v>
      </c>
      <c r="C1019" s="1" t="n">
        <v>45364</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25109-2023</t>
        </is>
      </c>
      <c r="B1020" s="1" t="n">
        <v>45086</v>
      </c>
      <c r="C1020" s="1" t="n">
        <v>45364</v>
      </c>
      <c r="D1020" t="inlineStr">
        <is>
          <t>KALMAR LÄN</t>
        </is>
      </c>
      <c r="E1020" t="inlineStr">
        <is>
          <t>VIMMERBY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25236-2023</t>
        </is>
      </c>
      <c r="B1021" s="1" t="n">
        <v>45086</v>
      </c>
      <c r="C1021" s="1" t="n">
        <v>45364</v>
      </c>
      <c r="D1021" t="inlineStr">
        <is>
          <t>KALMAR LÄN</t>
        </is>
      </c>
      <c r="E1021" t="inlineStr">
        <is>
          <t>VIMMERBY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25244-2023</t>
        </is>
      </c>
      <c r="B1022" s="1" t="n">
        <v>45086</v>
      </c>
      <c r="C1022" s="1" t="n">
        <v>45364</v>
      </c>
      <c r="D1022" t="inlineStr">
        <is>
          <t>KALMAR LÄN</t>
        </is>
      </c>
      <c r="E1022" t="inlineStr">
        <is>
          <t>VIMMERBY</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25234-2023</t>
        </is>
      </c>
      <c r="B1023" s="1" t="n">
        <v>45086</v>
      </c>
      <c r="C1023" s="1" t="n">
        <v>45364</v>
      </c>
      <c r="D1023" t="inlineStr">
        <is>
          <t>KALMAR LÄN</t>
        </is>
      </c>
      <c r="E1023" t="inlineStr">
        <is>
          <t>VIMMERBY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25885-2023</t>
        </is>
      </c>
      <c r="B1024" s="1" t="n">
        <v>45090</v>
      </c>
      <c r="C1024" s="1" t="n">
        <v>45364</v>
      </c>
      <c r="D1024" t="inlineStr">
        <is>
          <t>KALMAR LÄN</t>
        </is>
      </c>
      <c r="E1024" t="inlineStr">
        <is>
          <t>VIMMERBY</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25799-2023</t>
        </is>
      </c>
      <c r="B1025" s="1" t="n">
        <v>45090</v>
      </c>
      <c r="C1025" s="1" t="n">
        <v>45364</v>
      </c>
      <c r="D1025" t="inlineStr">
        <is>
          <t>KALMAR LÄN</t>
        </is>
      </c>
      <c r="E1025" t="inlineStr">
        <is>
          <t>VIMMERBY</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25979-2023</t>
        </is>
      </c>
      <c r="B1026" s="1" t="n">
        <v>45090</v>
      </c>
      <c r="C1026" s="1" t="n">
        <v>45364</v>
      </c>
      <c r="D1026" t="inlineStr">
        <is>
          <t>KALMAR LÄN</t>
        </is>
      </c>
      <c r="E1026" t="inlineStr">
        <is>
          <t>VIMMERBY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25976-2023</t>
        </is>
      </c>
      <c r="B1027" s="1" t="n">
        <v>45090</v>
      </c>
      <c r="C1027" s="1" t="n">
        <v>45364</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25980-2023</t>
        </is>
      </c>
      <c r="B1028" s="1" t="n">
        <v>45090</v>
      </c>
      <c r="C1028" s="1" t="n">
        <v>45364</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25977-2023</t>
        </is>
      </c>
      <c r="B1029" s="1" t="n">
        <v>45090</v>
      </c>
      <c r="C1029" s="1" t="n">
        <v>45364</v>
      </c>
      <c r="D1029" t="inlineStr">
        <is>
          <t>KALMAR LÄN</t>
        </is>
      </c>
      <c r="E1029" t="inlineStr">
        <is>
          <t>VIMMERBY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26318-2023</t>
        </is>
      </c>
      <c r="B1030" s="1" t="n">
        <v>45091</v>
      </c>
      <c r="C1030" s="1" t="n">
        <v>45364</v>
      </c>
      <c r="D1030" t="inlineStr">
        <is>
          <t>KALMAR LÄN</t>
        </is>
      </c>
      <c r="E1030" t="inlineStr">
        <is>
          <t>VIMMERBY</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26626-2023</t>
        </is>
      </c>
      <c r="B1031" s="1" t="n">
        <v>45092</v>
      </c>
      <c r="C1031" s="1" t="n">
        <v>45364</v>
      </c>
      <c r="D1031" t="inlineStr">
        <is>
          <t>KALMAR LÄN</t>
        </is>
      </c>
      <c r="E1031" t="inlineStr">
        <is>
          <t>VIMMERBY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26937-2023</t>
        </is>
      </c>
      <c r="B1032" s="1" t="n">
        <v>45093</v>
      </c>
      <c r="C1032" s="1" t="n">
        <v>45364</v>
      </c>
      <c r="D1032" t="inlineStr">
        <is>
          <t>KALMAR LÄN</t>
        </is>
      </c>
      <c r="E1032" t="inlineStr">
        <is>
          <t>VIMMERBY</t>
        </is>
      </c>
      <c r="F1032" t="inlineStr">
        <is>
          <t>Sveaskog</t>
        </is>
      </c>
      <c r="G1032" t="n">
        <v>14.5</v>
      </c>
      <c r="H1032" t="n">
        <v>0</v>
      </c>
      <c r="I1032" t="n">
        <v>0</v>
      </c>
      <c r="J1032" t="n">
        <v>0</v>
      </c>
      <c r="K1032" t="n">
        <v>0</v>
      </c>
      <c r="L1032" t="n">
        <v>0</v>
      </c>
      <c r="M1032" t="n">
        <v>0</v>
      </c>
      <c r="N1032" t="n">
        <v>0</v>
      </c>
      <c r="O1032" t="n">
        <v>0</v>
      </c>
      <c r="P1032" t="n">
        <v>0</v>
      </c>
      <c r="Q1032" t="n">
        <v>0</v>
      </c>
      <c r="R1032" s="2" t="inlineStr"/>
    </row>
    <row r="1033" ht="15" customHeight="1">
      <c r="A1033" t="inlineStr">
        <is>
          <t>A 27122-2023</t>
        </is>
      </c>
      <c r="B1033" s="1" t="n">
        <v>45096</v>
      </c>
      <c r="C1033" s="1" t="n">
        <v>45364</v>
      </c>
      <c r="D1033" t="inlineStr">
        <is>
          <t>KALMAR LÄN</t>
        </is>
      </c>
      <c r="E1033" t="inlineStr">
        <is>
          <t>VIMMERBY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27138-2023</t>
        </is>
      </c>
      <c r="B1034" s="1" t="n">
        <v>45096</v>
      </c>
      <c r="C1034" s="1" t="n">
        <v>45364</v>
      </c>
      <c r="D1034" t="inlineStr">
        <is>
          <t>KALMAR LÄN</t>
        </is>
      </c>
      <c r="E1034" t="inlineStr">
        <is>
          <t>VIMMERBY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28988-2023</t>
        </is>
      </c>
      <c r="B1035" s="1" t="n">
        <v>45096</v>
      </c>
      <c r="C1035" s="1" t="n">
        <v>45364</v>
      </c>
      <c r="D1035" t="inlineStr">
        <is>
          <t>KALMAR LÄN</t>
        </is>
      </c>
      <c r="E1035" t="inlineStr">
        <is>
          <t>VIMMERBY</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27443-2023</t>
        </is>
      </c>
      <c r="B1036" s="1" t="n">
        <v>45097</v>
      </c>
      <c r="C1036" s="1" t="n">
        <v>45364</v>
      </c>
      <c r="D1036" t="inlineStr">
        <is>
          <t>KALMAR LÄN</t>
        </is>
      </c>
      <c r="E1036" t="inlineStr">
        <is>
          <t>VIMMERBY</t>
        </is>
      </c>
      <c r="F1036" t="inlineStr">
        <is>
          <t>Övriga Aktiebolag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27705-2023</t>
        </is>
      </c>
      <c r="B1037" s="1" t="n">
        <v>45098</v>
      </c>
      <c r="C1037" s="1" t="n">
        <v>45364</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28123-2023</t>
        </is>
      </c>
      <c r="B1038" s="1" t="n">
        <v>45099</v>
      </c>
      <c r="C1038" s="1" t="n">
        <v>45364</v>
      </c>
      <c r="D1038" t="inlineStr">
        <is>
          <t>KALMAR LÄN</t>
        </is>
      </c>
      <c r="E1038" t="inlineStr">
        <is>
          <t>VIMMERBY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28129-2023</t>
        </is>
      </c>
      <c r="B1039" s="1" t="n">
        <v>45099</v>
      </c>
      <c r="C1039" s="1" t="n">
        <v>45364</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28395-2023</t>
        </is>
      </c>
      <c r="B1040" s="1" t="n">
        <v>45100</v>
      </c>
      <c r="C1040" s="1" t="n">
        <v>45364</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28403-2023</t>
        </is>
      </c>
      <c r="B1041" s="1" t="n">
        <v>45100</v>
      </c>
      <c r="C1041" s="1" t="n">
        <v>45364</v>
      </c>
      <c r="D1041" t="inlineStr">
        <is>
          <t>KALMAR LÄN</t>
        </is>
      </c>
      <c r="E1041" t="inlineStr">
        <is>
          <t>VIMMERBY</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29093-2023</t>
        </is>
      </c>
      <c r="B1042" s="1" t="n">
        <v>45105</v>
      </c>
      <c r="C1042" s="1" t="n">
        <v>45364</v>
      </c>
      <c r="D1042" t="inlineStr">
        <is>
          <t>KALMAR LÄN</t>
        </is>
      </c>
      <c r="E1042" t="inlineStr">
        <is>
          <t>VIMMERBY</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29196-2023</t>
        </is>
      </c>
      <c r="B1043" s="1" t="n">
        <v>45105</v>
      </c>
      <c r="C1043" s="1" t="n">
        <v>45364</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29351-2023</t>
        </is>
      </c>
      <c r="B1044" s="1" t="n">
        <v>45106</v>
      </c>
      <c r="C1044" s="1" t="n">
        <v>45364</v>
      </c>
      <c r="D1044" t="inlineStr">
        <is>
          <t>KALMAR LÄN</t>
        </is>
      </c>
      <c r="E1044" t="inlineStr">
        <is>
          <t>VIMMERBY</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29350-2023</t>
        </is>
      </c>
      <c r="B1045" s="1" t="n">
        <v>45106</v>
      </c>
      <c r="C1045" s="1" t="n">
        <v>45364</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29348-2023</t>
        </is>
      </c>
      <c r="B1046" s="1" t="n">
        <v>45106</v>
      </c>
      <c r="C1046" s="1" t="n">
        <v>45364</v>
      </c>
      <c r="D1046" t="inlineStr">
        <is>
          <t>KALMAR LÄN</t>
        </is>
      </c>
      <c r="E1046" t="inlineStr">
        <is>
          <t>VIMMERBY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29349-2023</t>
        </is>
      </c>
      <c r="B1047" s="1" t="n">
        <v>45106</v>
      </c>
      <c r="C1047" s="1" t="n">
        <v>45364</v>
      </c>
      <c r="D1047" t="inlineStr">
        <is>
          <t>KALMAR LÄN</t>
        </is>
      </c>
      <c r="E1047" t="inlineStr">
        <is>
          <t>VIMMERBY</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29973-2023</t>
        </is>
      </c>
      <c r="B1048" s="1" t="n">
        <v>45108</v>
      </c>
      <c r="C1048" s="1" t="n">
        <v>45364</v>
      </c>
      <c r="D1048" t="inlineStr">
        <is>
          <t>KALMAR LÄN</t>
        </is>
      </c>
      <c r="E1048" t="inlineStr">
        <is>
          <t>VIMMERBY</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30070-2023</t>
        </is>
      </c>
      <c r="B1049" s="1" t="n">
        <v>45110</v>
      </c>
      <c r="C1049" s="1" t="n">
        <v>45364</v>
      </c>
      <c r="D1049" t="inlineStr">
        <is>
          <t>KALMAR LÄN</t>
        </is>
      </c>
      <c r="E1049" t="inlineStr">
        <is>
          <t>VIMMERBY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30063-2023</t>
        </is>
      </c>
      <c r="B1050" s="1" t="n">
        <v>45110</v>
      </c>
      <c r="C1050" s="1" t="n">
        <v>45364</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30090-2023</t>
        </is>
      </c>
      <c r="B1051" s="1" t="n">
        <v>45110</v>
      </c>
      <c r="C1051" s="1" t="n">
        <v>45364</v>
      </c>
      <c r="D1051" t="inlineStr">
        <is>
          <t>KALMAR LÄN</t>
        </is>
      </c>
      <c r="E1051" t="inlineStr">
        <is>
          <t>VIMMERBY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30503-2023</t>
        </is>
      </c>
      <c r="B1052" s="1" t="n">
        <v>45111</v>
      </c>
      <c r="C1052" s="1" t="n">
        <v>45364</v>
      </c>
      <c r="D1052" t="inlineStr">
        <is>
          <t>KALMAR LÄN</t>
        </is>
      </c>
      <c r="E1052" t="inlineStr">
        <is>
          <t>VIMMERBY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30380-2023</t>
        </is>
      </c>
      <c r="B1053" s="1" t="n">
        <v>45111</v>
      </c>
      <c r="C1053" s="1" t="n">
        <v>45364</v>
      </c>
      <c r="D1053" t="inlineStr">
        <is>
          <t>KALMAR LÄN</t>
        </is>
      </c>
      <c r="E1053" t="inlineStr">
        <is>
          <t>VIMMERBY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30400-2023</t>
        </is>
      </c>
      <c r="B1054" s="1" t="n">
        <v>45111</v>
      </c>
      <c r="C1054" s="1" t="n">
        <v>45364</v>
      </c>
      <c r="D1054" t="inlineStr">
        <is>
          <t>KALMAR LÄN</t>
        </is>
      </c>
      <c r="E1054" t="inlineStr">
        <is>
          <t>VIMMERBY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30318-2023</t>
        </is>
      </c>
      <c r="B1055" s="1" t="n">
        <v>45111</v>
      </c>
      <c r="C1055" s="1" t="n">
        <v>45364</v>
      </c>
      <c r="D1055" t="inlineStr">
        <is>
          <t>KALMAR LÄN</t>
        </is>
      </c>
      <c r="E1055" t="inlineStr">
        <is>
          <t>VIMMERBY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30402-2023</t>
        </is>
      </c>
      <c r="B1056" s="1" t="n">
        <v>45111</v>
      </c>
      <c r="C1056" s="1" t="n">
        <v>45364</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30406-2023</t>
        </is>
      </c>
      <c r="B1057" s="1" t="n">
        <v>45111</v>
      </c>
      <c r="C1057" s="1" t="n">
        <v>45364</v>
      </c>
      <c r="D1057" t="inlineStr">
        <is>
          <t>KALMAR LÄN</t>
        </is>
      </c>
      <c r="E1057" t="inlineStr">
        <is>
          <t>VIMMERBY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30404-2023</t>
        </is>
      </c>
      <c r="B1058" s="1" t="n">
        <v>45111</v>
      </c>
      <c r="C1058" s="1" t="n">
        <v>45364</v>
      </c>
      <c r="D1058" t="inlineStr">
        <is>
          <t>KALMAR LÄN</t>
        </is>
      </c>
      <c r="E1058" t="inlineStr">
        <is>
          <t>VIMMERBY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30408-2023</t>
        </is>
      </c>
      <c r="B1059" s="1" t="n">
        <v>45111</v>
      </c>
      <c r="C1059" s="1" t="n">
        <v>45364</v>
      </c>
      <c r="D1059" t="inlineStr">
        <is>
          <t>KALMAR LÄN</t>
        </is>
      </c>
      <c r="E1059" t="inlineStr">
        <is>
          <t>VIMMERBY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30586-2023</t>
        </is>
      </c>
      <c r="B1060" s="1" t="n">
        <v>45112</v>
      </c>
      <c r="C1060" s="1" t="n">
        <v>45364</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30588-2023</t>
        </is>
      </c>
      <c r="B1061" s="1" t="n">
        <v>45112</v>
      </c>
      <c r="C1061" s="1" t="n">
        <v>45364</v>
      </c>
      <c r="D1061" t="inlineStr">
        <is>
          <t>KALMAR LÄN</t>
        </is>
      </c>
      <c r="E1061" t="inlineStr">
        <is>
          <t>VIMMERBY</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30896-2023</t>
        </is>
      </c>
      <c r="B1062" s="1" t="n">
        <v>45113</v>
      </c>
      <c r="C1062" s="1" t="n">
        <v>45364</v>
      </c>
      <c r="D1062" t="inlineStr">
        <is>
          <t>KALMAR LÄN</t>
        </is>
      </c>
      <c r="E1062" t="inlineStr">
        <is>
          <t>VIMMERBY</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30899-2023</t>
        </is>
      </c>
      <c r="B1063" s="1" t="n">
        <v>45113</v>
      </c>
      <c r="C1063" s="1" t="n">
        <v>45364</v>
      </c>
      <c r="D1063" t="inlineStr">
        <is>
          <t>KALMAR LÄN</t>
        </is>
      </c>
      <c r="E1063" t="inlineStr">
        <is>
          <t>VIMMERBY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30912-2023</t>
        </is>
      </c>
      <c r="B1064" s="1" t="n">
        <v>45113</v>
      </c>
      <c r="C1064" s="1" t="n">
        <v>45364</v>
      </c>
      <c r="D1064" t="inlineStr">
        <is>
          <t>KALMAR LÄN</t>
        </is>
      </c>
      <c r="E1064" t="inlineStr">
        <is>
          <t>VIMMERBY</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30920-2023</t>
        </is>
      </c>
      <c r="B1065" s="1" t="n">
        <v>45113</v>
      </c>
      <c r="C1065" s="1" t="n">
        <v>45364</v>
      </c>
      <c r="D1065" t="inlineStr">
        <is>
          <t>KALMAR LÄN</t>
        </is>
      </c>
      <c r="E1065" t="inlineStr">
        <is>
          <t>VIMMERBY</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30894-2023</t>
        </is>
      </c>
      <c r="B1066" s="1" t="n">
        <v>45113</v>
      </c>
      <c r="C1066" s="1" t="n">
        <v>45364</v>
      </c>
      <c r="D1066" t="inlineStr">
        <is>
          <t>KALMAR LÄN</t>
        </is>
      </c>
      <c r="E1066" t="inlineStr">
        <is>
          <t>VIMMERBY</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30898-2023</t>
        </is>
      </c>
      <c r="B1067" s="1" t="n">
        <v>45113</v>
      </c>
      <c r="C1067" s="1" t="n">
        <v>45364</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31013-2023</t>
        </is>
      </c>
      <c r="B1068" s="1" t="n">
        <v>45113</v>
      </c>
      <c r="C1068" s="1" t="n">
        <v>45364</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31017-2023</t>
        </is>
      </c>
      <c r="B1069" s="1" t="n">
        <v>45113</v>
      </c>
      <c r="C1069" s="1" t="n">
        <v>45364</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31340-2023</t>
        </is>
      </c>
      <c r="B1070" s="1" t="n">
        <v>45114</v>
      </c>
      <c r="C1070" s="1" t="n">
        <v>45364</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31369-2023</t>
        </is>
      </c>
      <c r="B1071" s="1" t="n">
        <v>45114</v>
      </c>
      <c r="C1071" s="1" t="n">
        <v>45364</v>
      </c>
      <c r="D1071" t="inlineStr">
        <is>
          <t>KALMAR LÄN</t>
        </is>
      </c>
      <c r="E1071" t="inlineStr">
        <is>
          <t>VIMMERBY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31377-2023</t>
        </is>
      </c>
      <c r="B1072" s="1" t="n">
        <v>45114</v>
      </c>
      <c r="C1072" s="1" t="n">
        <v>45364</v>
      </c>
      <c r="D1072" t="inlineStr">
        <is>
          <t>KALMAR LÄN</t>
        </is>
      </c>
      <c r="E1072" t="inlineStr">
        <is>
          <t>VIMMERBY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31382-2023</t>
        </is>
      </c>
      <c r="B1073" s="1" t="n">
        <v>45114</v>
      </c>
      <c r="C1073" s="1" t="n">
        <v>45364</v>
      </c>
      <c r="D1073" t="inlineStr">
        <is>
          <t>KALMAR LÄN</t>
        </is>
      </c>
      <c r="E1073" t="inlineStr">
        <is>
          <t>VIMMERBY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31405-2023</t>
        </is>
      </c>
      <c r="B1074" s="1" t="n">
        <v>45114</v>
      </c>
      <c r="C1074" s="1" t="n">
        <v>45364</v>
      </c>
      <c r="D1074" t="inlineStr">
        <is>
          <t>KALMAR LÄN</t>
        </is>
      </c>
      <c r="E1074" t="inlineStr">
        <is>
          <t>VIMMERBY</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31336-2023</t>
        </is>
      </c>
      <c r="B1075" s="1" t="n">
        <v>45114</v>
      </c>
      <c r="C1075" s="1" t="n">
        <v>45364</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31355-2023</t>
        </is>
      </c>
      <c r="B1076" s="1" t="n">
        <v>45114</v>
      </c>
      <c r="C1076" s="1" t="n">
        <v>45364</v>
      </c>
      <c r="D1076" t="inlineStr">
        <is>
          <t>KALMAR LÄN</t>
        </is>
      </c>
      <c r="E1076" t="inlineStr">
        <is>
          <t>VIMMERBY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31390-2023</t>
        </is>
      </c>
      <c r="B1077" s="1" t="n">
        <v>45114</v>
      </c>
      <c r="C1077" s="1" t="n">
        <v>45364</v>
      </c>
      <c r="D1077" t="inlineStr">
        <is>
          <t>KALMAR LÄN</t>
        </is>
      </c>
      <c r="E1077" t="inlineStr">
        <is>
          <t>VIMMERBY</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31408-2023</t>
        </is>
      </c>
      <c r="B1078" s="1" t="n">
        <v>45114</v>
      </c>
      <c r="C1078" s="1" t="n">
        <v>45364</v>
      </c>
      <c r="D1078" t="inlineStr">
        <is>
          <t>KALMAR LÄN</t>
        </is>
      </c>
      <c r="E1078" t="inlineStr">
        <is>
          <t>VIMMERBY</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31682-2023</t>
        </is>
      </c>
      <c r="B1079" s="1" t="n">
        <v>45117</v>
      </c>
      <c r="C1079" s="1" t="n">
        <v>45364</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32633-2023</t>
        </is>
      </c>
      <c r="B1080" s="1" t="n">
        <v>45121</v>
      </c>
      <c r="C1080" s="1" t="n">
        <v>45364</v>
      </c>
      <c r="D1080" t="inlineStr">
        <is>
          <t>KALMAR LÄN</t>
        </is>
      </c>
      <c r="E1080" t="inlineStr">
        <is>
          <t>VIMMERBY</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32651-2023</t>
        </is>
      </c>
      <c r="B1081" s="1" t="n">
        <v>45121</v>
      </c>
      <c r="C1081" s="1" t="n">
        <v>45364</v>
      </c>
      <c r="D1081" t="inlineStr">
        <is>
          <t>KALMAR LÄN</t>
        </is>
      </c>
      <c r="E1081" t="inlineStr">
        <is>
          <t>VIMMERBY</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32655-2023</t>
        </is>
      </c>
      <c r="B1082" s="1" t="n">
        <v>45121</v>
      </c>
      <c r="C1082" s="1" t="n">
        <v>45364</v>
      </c>
      <c r="D1082" t="inlineStr">
        <is>
          <t>KALMAR LÄN</t>
        </is>
      </c>
      <c r="E1082" t="inlineStr">
        <is>
          <t>VIMMERBY</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32669-2023</t>
        </is>
      </c>
      <c r="B1083" s="1" t="n">
        <v>45121</v>
      </c>
      <c r="C1083" s="1" t="n">
        <v>45364</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32614-2023</t>
        </is>
      </c>
      <c r="B1084" s="1" t="n">
        <v>45121</v>
      </c>
      <c r="C1084" s="1" t="n">
        <v>45364</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32642-2023</t>
        </is>
      </c>
      <c r="B1085" s="1" t="n">
        <v>45121</v>
      </c>
      <c r="C1085" s="1" t="n">
        <v>45364</v>
      </c>
      <c r="D1085" t="inlineStr">
        <is>
          <t>KALMAR LÄN</t>
        </is>
      </c>
      <c r="E1085" t="inlineStr">
        <is>
          <t>VIMMERBY</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32639-2023</t>
        </is>
      </c>
      <c r="B1086" s="1" t="n">
        <v>45121</v>
      </c>
      <c r="C1086" s="1" t="n">
        <v>45364</v>
      </c>
      <c r="D1086" t="inlineStr">
        <is>
          <t>KALMAR LÄN</t>
        </is>
      </c>
      <c r="E1086" t="inlineStr">
        <is>
          <t>VIMMERBY</t>
        </is>
      </c>
      <c r="F1086" t="inlineStr">
        <is>
          <t>Sveaskog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32645-2023</t>
        </is>
      </c>
      <c r="B1087" s="1" t="n">
        <v>45121</v>
      </c>
      <c r="C1087" s="1" t="n">
        <v>45364</v>
      </c>
      <c r="D1087" t="inlineStr">
        <is>
          <t>KALMAR LÄN</t>
        </is>
      </c>
      <c r="E1087" t="inlineStr">
        <is>
          <t>VIMMERBY</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32865-2023</t>
        </is>
      </c>
      <c r="B1088" s="1" t="n">
        <v>45124</v>
      </c>
      <c r="C1088" s="1" t="n">
        <v>45364</v>
      </c>
      <c r="D1088" t="inlineStr">
        <is>
          <t>KALMAR LÄN</t>
        </is>
      </c>
      <c r="E1088" t="inlineStr">
        <is>
          <t>VIMMERBY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32984-2023</t>
        </is>
      </c>
      <c r="B1089" s="1" t="n">
        <v>45125</v>
      </c>
      <c r="C1089" s="1" t="n">
        <v>45364</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33236-2023</t>
        </is>
      </c>
      <c r="B1090" s="1" t="n">
        <v>45127</v>
      </c>
      <c r="C1090" s="1" t="n">
        <v>45364</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33340-2023</t>
        </is>
      </c>
      <c r="B1091" s="1" t="n">
        <v>45128</v>
      </c>
      <c r="C1091" s="1" t="n">
        <v>45364</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33383-2023</t>
        </is>
      </c>
      <c r="B1092" s="1" t="n">
        <v>45128</v>
      </c>
      <c r="C1092" s="1" t="n">
        <v>45364</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33380-2023</t>
        </is>
      </c>
      <c r="B1093" s="1" t="n">
        <v>45128</v>
      </c>
      <c r="C1093" s="1" t="n">
        <v>45364</v>
      </c>
      <c r="D1093" t="inlineStr">
        <is>
          <t>KALMAR LÄN</t>
        </is>
      </c>
      <c r="E1093" t="inlineStr">
        <is>
          <t>VIMMERBY</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33417-2023</t>
        </is>
      </c>
      <c r="B1094" s="1" t="n">
        <v>45128</v>
      </c>
      <c r="C1094" s="1" t="n">
        <v>45364</v>
      </c>
      <c r="D1094" t="inlineStr">
        <is>
          <t>KALMAR LÄN</t>
        </is>
      </c>
      <c r="E1094" t="inlineStr">
        <is>
          <t>VIMMERBY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33425-2023</t>
        </is>
      </c>
      <c r="B1095" s="1" t="n">
        <v>45129</v>
      </c>
      <c r="C1095" s="1" t="n">
        <v>45364</v>
      </c>
      <c r="D1095" t="inlineStr">
        <is>
          <t>KALMAR LÄN</t>
        </is>
      </c>
      <c r="E1095" t="inlineStr">
        <is>
          <t>VIMMERBY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33424-2023</t>
        </is>
      </c>
      <c r="B1096" s="1" t="n">
        <v>45129</v>
      </c>
      <c r="C1096" s="1" t="n">
        <v>45364</v>
      </c>
      <c r="D1096" t="inlineStr">
        <is>
          <t>KALMAR LÄN</t>
        </is>
      </c>
      <c r="E1096" t="inlineStr">
        <is>
          <t>VIMMERBY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33649-2023</t>
        </is>
      </c>
      <c r="B1097" s="1" t="n">
        <v>45132</v>
      </c>
      <c r="C1097" s="1" t="n">
        <v>45364</v>
      </c>
      <c r="D1097" t="inlineStr">
        <is>
          <t>KALMAR LÄN</t>
        </is>
      </c>
      <c r="E1097" t="inlineStr">
        <is>
          <t>VIMMERBY</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34205-2023</t>
        </is>
      </c>
      <c r="B1098" s="1" t="n">
        <v>45138</v>
      </c>
      <c r="C1098" s="1" t="n">
        <v>45364</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34300-2023</t>
        </is>
      </c>
      <c r="B1099" s="1" t="n">
        <v>45138</v>
      </c>
      <c r="C1099" s="1" t="n">
        <v>45364</v>
      </c>
      <c r="D1099" t="inlineStr">
        <is>
          <t>KALMAR LÄN</t>
        </is>
      </c>
      <c r="E1099" t="inlineStr">
        <is>
          <t>VIMMERBY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34956-2023</t>
        </is>
      </c>
      <c r="B1100" s="1" t="n">
        <v>45142</v>
      </c>
      <c r="C1100" s="1" t="n">
        <v>45364</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35190-2023</t>
        </is>
      </c>
      <c r="B1101" s="1" t="n">
        <v>45145</v>
      </c>
      <c r="C1101" s="1" t="n">
        <v>45364</v>
      </c>
      <c r="D1101" t="inlineStr">
        <is>
          <t>KALMAR LÄN</t>
        </is>
      </c>
      <c r="E1101" t="inlineStr">
        <is>
          <t>VIMMERBY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35198-2023</t>
        </is>
      </c>
      <c r="B1102" s="1" t="n">
        <v>45145</v>
      </c>
      <c r="C1102" s="1" t="n">
        <v>45364</v>
      </c>
      <c r="D1102" t="inlineStr">
        <is>
          <t>KALMAR LÄN</t>
        </is>
      </c>
      <c r="E1102" t="inlineStr">
        <is>
          <t>VIMMERBY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35372-2023</t>
        </is>
      </c>
      <c r="B1103" s="1" t="n">
        <v>45146</v>
      </c>
      <c r="C1103" s="1" t="n">
        <v>45364</v>
      </c>
      <c r="D1103" t="inlineStr">
        <is>
          <t>KALMAR LÄN</t>
        </is>
      </c>
      <c r="E1103" t="inlineStr">
        <is>
          <t>VIMMERBY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35670-2023</t>
        </is>
      </c>
      <c r="B1104" s="1" t="n">
        <v>45147</v>
      </c>
      <c r="C1104" s="1" t="n">
        <v>45364</v>
      </c>
      <c r="D1104" t="inlineStr">
        <is>
          <t>KALMAR LÄN</t>
        </is>
      </c>
      <c r="E1104" t="inlineStr">
        <is>
          <t>VIMMERBY</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35678-2023</t>
        </is>
      </c>
      <c r="B1105" s="1" t="n">
        <v>45147</v>
      </c>
      <c r="C1105" s="1" t="n">
        <v>45364</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35710-2023</t>
        </is>
      </c>
      <c r="B1106" s="1" t="n">
        <v>45147</v>
      </c>
      <c r="C1106" s="1" t="n">
        <v>45364</v>
      </c>
      <c r="D1106" t="inlineStr">
        <is>
          <t>KALMAR LÄN</t>
        </is>
      </c>
      <c r="E1106" t="inlineStr">
        <is>
          <t>VIMMERBY</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35671-2023</t>
        </is>
      </c>
      <c r="B1107" s="1" t="n">
        <v>45147</v>
      </c>
      <c r="C1107" s="1" t="n">
        <v>45364</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35711-2023</t>
        </is>
      </c>
      <c r="B1108" s="1" t="n">
        <v>45147</v>
      </c>
      <c r="C1108" s="1" t="n">
        <v>45364</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35672-2023</t>
        </is>
      </c>
      <c r="B1109" s="1" t="n">
        <v>45147</v>
      </c>
      <c r="C1109" s="1" t="n">
        <v>45364</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35713-2023</t>
        </is>
      </c>
      <c r="B1110" s="1" t="n">
        <v>45147</v>
      </c>
      <c r="C1110" s="1" t="n">
        <v>45364</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35839-2023</t>
        </is>
      </c>
      <c r="B1111" s="1" t="n">
        <v>45148</v>
      </c>
      <c r="C1111" s="1" t="n">
        <v>45364</v>
      </c>
      <c r="D1111" t="inlineStr">
        <is>
          <t>KALMAR LÄN</t>
        </is>
      </c>
      <c r="E1111" t="inlineStr">
        <is>
          <t>VIMMERBY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35846-2023</t>
        </is>
      </c>
      <c r="B1112" s="1" t="n">
        <v>45148</v>
      </c>
      <c r="C1112" s="1" t="n">
        <v>45364</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35913-2023</t>
        </is>
      </c>
      <c r="B1113" s="1" t="n">
        <v>45148</v>
      </c>
      <c r="C1113" s="1" t="n">
        <v>45364</v>
      </c>
      <c r="D1113" t="inlineStr">
        <is>
          <t>KALMAR LÄN</t>
        </is>
      </c>
      <c r="E1113" t="inlineStr">
        <is>
          <t>VIMMERBY</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36155-2023</t>
        </is>
      </c>
      <c r="B1114" s="1" t="n">
        <v>45149</v>
      </c>
      <c r="C1114" s="1" t="n">
        <v>45364</v>
      </c>
      <c r="D1114" t="inlineStr">
        <is>
          <t>KALMAR LÄN</t>
        </is>
      </c>
      <c r="E1114" t="inlineStr">
        <is>
          <t>VIMMERBY</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36385-2023</t>
        </is>
      </c>
      <c r="B1115" s="1" t="n">
        <v>45152</v>
      </c>
      <c r="C1115" s="1" t="n">
        <v>45364</v>
      </c>
      <c r="D1115" t="inlineStr">
        <is>
          <t>KALMAR LÄN</t>
        </is>
      </c>
      <c r="E1115" t="inlineStr">
        <is>
          <t>VIMMERBY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36526-2023</t>
        </is>
      </c>
      <c r="B1116" s="1" t="n">
        <v>45153</v>
      </c>
      <c r="C1116" s="1" t="n">
        <v>45364</v>
      </c>
      <c r="D1116" t="inlineStr">
        <is>
          <t>KALMAR LÄN</t>
        </is>
      </c>
      <c r="E1116" t="inlineStr">
        <is>
          <t>VIMMERBY</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36843-2023</t>
        </is>
      </c>
      <c r="B1117" s="1" t="n">
        <v>45154</v>
      </c>
      <c r="C1117" s="1" t="n">
        <v>45364</v>
      </c>
      <c r="D1117" t="inlineStr">
        <is>
          <t>KALMAR LÄN</t>
        </is>
      </c>
      <c r="E1117" t="inlineStr">
        <is>
          <t>VIMMERBY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37373-2023</t>
        </is>
      </c>
      <c r="B1118" s="1" t="n">
        <v>45156</v>
      </c>
      <c r="C1118" s="1" t="n">
        <v>45364</v>
      </c>
      <c r="D1118" t="inlineStr">
        <is>
          <t>KALMAR LÄN</t>
        </is>
      </c>
      <c r="E1118" t="inlineStr">
        <is>
          <t>VIMMERBY</t>
        </is>
      </c>
      <c r="F1118" t="inlineStr">
        <is>
          <t>Övriga Aktiebolag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38254-2023</t>
        </is>
      </c>
      <c r="B1119" s="1" t="n">
        <v>45160</v>
      </c>
      <c r="C1119" s="1" t="n">
        <v>45364</v>
      </c>
      <c r="D1119" t="inlineStr">
        <is>
          <t>KALMAR LÄN</t>
        </is>
      </c>
      <c r="E1119" t="inlineStr">
        <is>
          <t>VIMMERBY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38261-2023</t>
        </is>
      </c>
      <c r="B1120" s="1" t="n">
        <v>45160</v>
      </c>
      <c r="C1120" s="1" t="n">
        <v>45364</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38274-2023</t>
        </is>
      </c>
      <c r="B1121" s="1" t="n">
        <v>45161</v>
      </c>
      <c r="C1121" s="1" t="n">
        <v>45364</v>
      </c>
      <c r="D1121" t="inlineStr">
        <is>
          <t>KALMAR LÄN</t>
        </is>
      </c>
      <c r="E1121" t="inlineStr">
        <is>
          <t>VIMMERBY</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38969-2023</t>
        </is>
      </c>
      <c r="B1122" s="1" t="n">
        <v>45163</v>
      </c>
      <c r="C1122" s="1" t="n">
        <v>45364</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38993-2023</t>
        </is>
      </c>
      <c r="B1123" s="1" t="n">
        <v>45163</v>
      </c>
      <c r="C1123" s="1" t="n">
        <v>45364</v>
      </c>
      <c r="D1123" t="inlineStr">
        <is>
          <t>KALMAR LÄN</t>
        </is>
      </c>
      <c r="E1123" t="inlineStr">
        <is>
          <t>VIMMERBY</t>
        </is>
      </c>
      <c r="F1123" t="inlineStr">
        <is>
          <t>Sveaskog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38851-2023</t>
        </is>
      </c>
      <c r="B1124" s="1" t="n">
        <v>45163</v>
      </c>
      <c r="C1124" s="1" t="n">
        <v>45364</v>
      </c>
      <c r="D1124" t="inlineStr">
        <is>
          <t>KALMAR LÄN</t>
        </is>
      </c>
      <c r="E1124" t="inlineStr">
        <is>
          <t>VIMMERBY</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38995-2023</t>
        </is>
      </c>
      <c r="B1125" s="1" t="n">
        <v>45163</v>
      </c>
      <c r="C1125" s="1" t="n">
        <v>45364</v>
      </c>
      <c r="D1125" t="inlineStr">
        <is>
          <t>KALMAR LÄN</t>
        </is>
      </c>
      <c r="E1125" t="inlineStr">
        <is>
          <t>VIMMERBY</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38992-2023</t>
        </is>
      </c>
      <c r="B1126" s="1" t="n">
        <v>45163</v>
      </c>
      <c r="C1126" s="1" t="n">
        <v>45364</v>
      </c>
      <c r="D1126" t="inlineStr">
        <is>
          <t>KALMAR LÄN</t>
        </is>
      </c>
      <c r="E1126" t="inlineStr">
        <is>
          <t>VIMMERBY</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38779-2023</t>
        </is>
      </c>
      <c r="B1127" s="1" t="n">
        <v>45163</v>
      </c>
      <c r="C1127" s="1" t="n">
        <v>45364</v>
      </c>
      <c r="D1127" t="inlineStr">
        <is>
          <t>KALMAR LÄN</t>
        </is>
      </c>
      <c r="E1127" t="inlineStr">
        <is>
          <t>VIMMERBY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38757-2023</t>
        </is>
      </c>
      <c r="B1128" s="1" t="n">
        <v>45163</v>
      </c>
      <c r="C1128" s="1" t="n">
        <v>45364</v>
      </c>
      <c r="D1128" t="inlineStr">
        <is>
          <t>KALMAR LÄN</t>
        </is>
      </c>
      <c r="E1128" t="inlineStr">
        <is>
          <t>VIMMERBY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38799-2023</t>
        </is>
      </c>
      <c r="B1129" s="1" t="n">
        <v>45163</v>
      </c>
      <c r="C1129" s="1" t="n">
        <v>45364</v>
      </c>
      <c r="D1129" t="inlineStr">
        <is>
          <t>KALMAR LÄN</t>
        </is>
      </c>
      <c r="E1129" t="inlineStr">
        <is>
          <t>VIMMERBY</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38803-2023</t>
        </is>
      </c>
      <c r="B1130" s="1" t="n">
        <v>45163</v>
      </c>
      <c r="C1130" s="1" t="n">
        <v>45364</v>
      </c>
      <c r="D1130" t="inlineStr">
        <is>
          <t>KALMAR LÄN</t>
        </is>
      </c>
      <c r="E1130" t="inlineStr">
        <is>
          <t>VIMMERBY</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39129-2023</t>
        </is>
      </c>
      <c r="B1131" s="1" t="n">
        <v>45165</v>
      </c>
      <c r="C1131" s="1" t="n">
        <v>45364</v>
      </c>
      <c r="D1131" t="inlineStr">
        <is>
          <t>KALMAR LÄN</t>
        </is>
      </c>
      <c r="E1131" t="inlineStr">
        <is>
          <t>VIMMERBY</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39401-2023</t>
        </is>
      </c>
      <c r="B1132" s="1" t="n">
        <v>45166</v>
      </c>
      <c r="C1132" s="1" t="n">
        <v>45364</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40079-2023</t>
        </is>
      </c>
      <c r="B1133" s="1" t="n">
        <v>45168</v>
      </c>
      <c r="C1133" s="1" t="n">
        <v>45364</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40083-2023</t>
        </is>
      </c>
      <c r="B1134" s="1" t="n">
        <v>45168</v>
      </c>
      <c r="C1134" s="1" t="n">
        <v>45364</v>
      </c>
      <c r="D1134" t="inlineStr">
        <is>
          <t>KALMAR LÄN</t>
        </is>
      </c>
      <c r="E1134" t="inlineStr">
        <is>
          <t>VIMMERBY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39912-2023</t>
        </is>
      </c>
      <c r="B1135" s="1" t="n">
        <v>45168</v>
      </c>
      <c r="C1135" s="1" t="n">
        <v>45364</v>
      </c>
      <c r="D1135" t="inlineStr">
        <is>
          <t>KALMAR LÄN</t>
        </is>
      </c>
      <c r="E1135" t="inlineStr">
        <is>
          <t>VIMMERBY</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40084-2023</t>
        </is>
      </c>
      <c r="B1136" s="1" t="n">
        <v>45168</v>
      </c>
      <c r="C1136" s="1" t="n">
        <v>45364</v>
      </c>
      <c r="D1136" t="inlineStr">
        <is>
          <t>KALMAR LÄN</t>
        </is>
      </c>
      <c r="E1136" t="inlineStr">
        <is>
          <t>VIMMERBY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40147-2023</t>
        </is>
      </c>
      <c r="B1137" s="1" t="n">
        <v>45169</v>
      </c>
      <c r="C1137" s="1" t="n">
        <v>45364</v>
      </c>
      <c r="D1137" t="inlineStr">
        <is>
          <t>KALMAR LÄN</t>
        </is>
      </c>
      <c r="E1137" t="inlineStr">
        <is>
          <t>VIMMERBY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40151-2023</t>
        </is>
      </c>
      <c r="B1138" s="1" t="n">
        <v>45169</v>
      </c>
      <c r="C1138" s="1" t="n">
        <v>45364</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40380-2023</t>
        </is>
      </c>
      <c r="B1139" s="1" t="n">
        <v>45169</v>
      </c>
      <c r="C1139" s="1" t="n">
        <v>45364</v>
      </c>
      <c r="D1139" t="inlineStr">
        <is>
          <t>KALMAR LÄN</t>
        </is>
      </c>
      <c r="E1139" t="inlineStr">
        <is>
          <t>VIMMERBY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40472-2023</t>
        </is>
      </c>
      <c r="B1140" s="1" t="n">
        <v>45170</v>
      </c>
      <c r="C1140" s="1" t="n">
        <v>45364</v>
      </c>
      <c r="D1140" t="inlineStr">
        <is>
          <t>KALMAR LÄN</t>
        </is>
      </c>
      <c r="E1140" t="inlineStr">
        <is>
          <t>VIMMERBY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40477-2023</t>
        </is>
      </c>
      <c r="B1141" s="1" t="n">
        <v>45170</v>
      </c>
      <c r="C1141" s="1" t="n">
        <v>45364</v>
      </c>
      <c r="D1141" t="inlineStr">
        <is>
          <t>KALMAR LÄN</t>
        </is>
      </c>
      <c r="E1141" t="inlineStr">
        <is>
          <t>VIMMERBY</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40665-2023</t>
        </is>
      </c>
      <c r="B1142" s="1" t="n">
        <v>45170</v>
      </c>
      <c r="C1142" s="1" t="n">
        <v>45364</v>
      </c>
      <c r="D1142" t="inlineStr">
        <is>
          <t>KALMAR LÄN</t>
        </is>
      </c>
      <c r="E1142" t="inlineStr">
        <is>
          <t>VIMMERBY</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40828-2023</t>
        </is>
      </c>
      <c r="B1143" s="1" t="n">
        <v>45172</v>
      </c>
      <c r="C1143" s="1" t="n">
        <v>45364</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40823-2023</t>
        </is>
      </c>
      <c r="B1144" s="1" t="n">
        <v>45171</v>
      </c>
      <c r="C1144" s="1" t="n">
        <v>45364</v>
      </c>
      <c r="D1144" t="inlineStr">
        <is>
          <t>KALMAR LÄN</t>
        </is>
      </c>
      <c r="E1144" t="inlineStr">
        <is>
          <t>VIMMERBY</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41084-2023</t>
        </is>
      </c>
      <c r="B1145" s="1" t="n">
        <v>45173</v>
      </c>
      <c r="C1145" s="1" t="n">
        <v>45364</v>
      </c>
      <c r="D1145" t="inlineStr">
        <is>
          <t>KALMAR LÄN</t>
        </is>
      </c>
      <c r="E1145" t="inlineStr">
        <is>
          <t>VIMMERBY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41088-2023</t>
        </is>
      </c>
      <c r="B1146" s="1" t="n">
        <v>45173</v>
      </c>
      <c r="C1146" s="1" t="n">
        <v>45364</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41199-2023</t>
        </is>
      </c>
      <c r="B1147" s="1" t="n">
        <v>45174</v>
      </c>
      <c r="C1147" s="1" t="n">
        <v>45364</v>
      </c>
      <c r="D1147" t="inlineStr">
        <is>
          <t>KALMAR LÄN</t>
        </is>
      </c>
      <c r="E1147" t="inlineStr">
        <is>
          <t>VIMMERBY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41311-2023</t>
        </is>
      </c>
      <c r="B1148" s="1" t="n">
        <v>45174</v>
      </c>
      <c r="C1148" s="1" t="n">
        <v>45364</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41158-2023</t>
        </is>
      </c>
      <c r="B1149" s="1" t="n">
        <v>45174</v>
      </c>
      <c r="C1149" s="1" t="n">
        <v>45364</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41202-2023</t>
        </is>
      </c>
      <c r="B1150" s="1" t="n">
        <v>45174</v>
      </c>
      <c r="C1150" s="1" t="n">
        <v>45364</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41894-2023</t>
        </is>
      </c>
      <c r="B1151" s="1" t="n">
        <v>45176</v>
      </c>
      <c r="C1151" s="1" t="n">
        <v>45364</v>
      </c>
      <c r="D1151" t="inlineStr">
        <is>
          <t>KALMAR LÄN</t>
        </is>
      </c>
      <c r="E1151" t="inlineStr">
        <is>
          <t>VIMMERBY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41896-2023</t>
        </is>
      </c>
      <c r="B1152" s="1" t="n">
        <v>45176</v>
      </c>
      <c r="C1152" s="1" t="n">
        <v>45364</v>
      </c>
      <c r="D1152" t="inlineStr">
        <is>
          <t>KALMAR LÄN</t>
        </is>
      </c>
      <c r="E1152" t="inlineStr">
        <is>
          <t>VIMMERBY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42241-2023</t>
        </is>
      </c>
      <c r="B1153" s="1" t="n">
        <v>45180</v>
      </c>
      <c r="C1153" s="1" t="n">
        <v>45364</v>
      </c>
      <c r="D1153" t="inlineStr">
        <is>
          <t>KALMAR LÄN</t>
        </is>
      </c>
      <c r="E1153" t="inlineStr">
        <is>
          <t>VIMMERBY</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42689-2023</t>
        </is>
      </c>
      <c r="B1154" s="1" t="n">
        <v>45181</v>
      </c>
      <c r="C1154" s="1" t="n">
        <v>45364</v>
      </c>
      <c r="D1154" t="inlineStr">
        <is>
          <t>KALMAR LÄN</t>
        </is>
      </c>
      <c r="E1154" t="inlineStr">
        <is>
          <t>VIMMERBY</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42644-2023</t>
        </is>
      </c>
      <c r="B1155" s="1" t="n">
        <v>45181</v>
      </c>
      <c r="C1155" s="1" t="n">
        <v>45364</v>
      </c>
      <c r="D1155" t="inlineStr">
        <is>
          <t>KALMAR LÄN</t>
        </is>
      </c>
      <c r="E1155" t="inlineStr">
        <is>
          <t>VIMMERBY</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43068-2023</t>
        </is>
      </c>
      <c r="B1156" s="1" t="n">
        <v>45182</v>
      </c>
      <c r="C1156" s="1" t="n">
        <v>45364</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43705-2023</t>
        </is>
      </c>
      <c r="B1157" s="1" t="n">
        <v>45187</v>
      </c>
      <c r="C1157" s="1" t="n">
        <v>45364</v>
      </c>
      <c r="D1157" t="inlineStr">
        <is>
          <t>KALMAR LÄN</t>
        </is>
      </c>
      <c r="E1157" t="inlineStr">
        <is>
          <t>VIMMERBY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43853-2023</t>
        </is>
      </c>
      <c r="B1158" s="1" t="n">
        <v>45187</v>
      </c>
      <c r="C1158" s="1" t="n">
        <v>45364</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43706-2023</t>
        </is>
      </c>
      <c r="B1159" s="1" t="n">
        <v>45187</v>
      </c>
      <c r="C1159" s="1" t="n">
        <v>45364</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43774-2023</t>
        </is>
      </c>
      <c r="B1160" s="1" t="n">
        <v>45187</v>
      </c>
      <c r="C1160" s="1" t="n">
        <v>45364</v>
      </c>
      <c r="D1160" t="inlineStr">
        <is>
          <t>KALMAR LÄN</t>
        </is>
      </c>
      <c r="E1160" t="inlineStr">
        <is>
          <t>VIMMERBY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44660-2023</t>
        </is>
      </c>
      <c r="B1161" s="1" t="n">
        <v>45189</v>
      </c>
      <c r="C1161" s="1" t="n">
        <v>45364</v>
      </c>
      <c r="D1161" t="inlineStr">
        <is>
          <t>KALMAR LÄN</t>
        </is>
      </c>
      <c r="E1161" t="inlineStr">
        <is>
          <t>VIMMERBY</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44423-2023</t>
        </is>
      </c>
      <c r="B1162" s="1" t="n">
        <v>45189</v>
      </c>
      <c r="C1162" s="1" t="n">
        <v>45364</v>
      </c>
      <c r="D1162" t="inlineStr">
        <is>
          <t>KALMAR LÄN</t>
        </is>
      </c>
      <c r="E1162" t="inlineStr">
        <is>
          <t>VIMMERBY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44833-2023</t>
        </is>
      </c>
      <c r="B1163" s="1" t="n">
        <v>45190</v>
      </c>
      <c r="C1163" s="1" t="n">
        <v>45364</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44962-2023</t>
        </is>
      </c>
      <c r="B1164" s="1" t="n">
        <v>45190</v>
      </c>
      <c r="C1164" s="1" t="n">
        <v>45364</v>
      </c>
      <c r="D1164" t="inlineStr">
        <is>
          <t>KALMAR LÄN</t>
        </is>
      </c>
      <c r="E1164" t="inlineStr">
        <is>
          <t>VIMMERBY</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44887-2023</t>
        </is>
      </c>
      <c r="B1165" s="1" t="n">
        <v>45190</v>
      </c>
      <c r="C1165" s="1" t="n">
        <v>45364</v>
      </c>
      <c r="D1165" t="inlineStr">
        <is>
          <t>KALMAR LÄN</t>
        </is>
      </c>
      <c r="E1165" t="inlineStr">
        <is>
          <t>VIMMERBY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44884-2023</t>
        </is>
      </c>
      <c r="B1166" s="1" t="n">
        <v>45190</v>
      </c>
      <c r="C1166" s="1" t="n">
        <v>45364</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45838-2023</t>
        </is>
      </c>
      <c r="B1167" s="1" t="n">
        <v>45195</v>
      </c>
      <c r="C1167" s="1" t="n">
        <v>45364</v>
      </c>
      <c r="D1167" t="inlineStr">
        <is>
          <t>KALMAR LÄN</t>
        </is>
      </c>
      <c r="E1167" t="inlineStr">
        <is>
          <t>VIMMERBY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45846-2023</t>
        </is>
      </c>
      <c r="B1168" s="1" t="n">
        <v>45195</v>
      </c>
      <c r="C1168" s="1" t="n">
        <v>45364</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45731-2023</t>
        </is>
      </c>
      <c r="B1169" s="1" t="n">
        <v>45195</v>
      </c>
      <c r="C1169" s="1" t="n">
        <v>45364</v>
      </c>
      <c r="D1169" t="inlineStr">
        <is>
          <t>KALMAR LÄN</t>
        </is>
      </c>
      <c r="E1169" t="inlineStr">
        <is>
          <t>VIMMERBY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45808-2023</t>
        </is>
      </c>
      <c r="B1170" s="1" t="n">
        <v>45195</v>
      </c>
      <c r="C1170" s="1" t="n">
        <v>45364</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45839-2023</t>
        </is>
      </c>
      <c r="B1171" s="1" t="n">
        <v>45195</v>
      </c>
      <c r="C1171" s="1" t="n">
        <v>45364</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46116-2023</t>
        </is>
      </c>
      <c r="B1172" s="1" t="n">
        <v>45196</v>
      </c>
      <c r="C1172" s="1" t="n">
        <v>45364</v>
      </c>
      <c r="D1172" t="inlineStr">
        <is>
          <t>KALMAR LÄN</t>
        </is>
      </c>
      <c r="E1172" t="inlineStr">
        <is>
          <t>VIMMERBY</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46078-2023</t>
        </is>
      </c>
      <c r="B1173" s="1" t="n">
        <v>45196</v>
      </c>
      <c r="C1173" s="1" t="n">
        <v>45364</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46144-2023</t>
        </is>
      </c>
      <c r="B1174" s="1" t="n">
        <v>45196</v>
      </c>
      <c r="C1174" s="1" t="n">
        <v>45364</v>
      </c>
      <c r="D1174" t="inlineStr">
        <is>
          <t>KALMAR LÄN</t>
        </is>
      </c>
      <c r="E1174" t="inlineStr">
        <is>
          <t>VIMMERBY</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46697-2023</t>
        </is>
      </c>
      <c r="B1175" s="1" t="n">
        <v>45198</v>
      </c>
      <c r="C1175" s="1" t="n">
        <v>45364</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46695-2023</t>
        </is>
      </c>
      <c r="B1176" s="1" t="n">
        <v>45198</v>
      </c>
      <c r="C1176" s="1" t="n">
        <v>45364</v>
      </c>
      <c r="D1176" t="inlineStr">
        <is>
          <t>KALMAR LÄN</t>
        </is>
      </c>
      <c r="E1176" t="inlineStr">
        <is>
          <t>VIMMERBY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46916-2023</t>
        </is>
      </c>
      <c r="B1177" s="1" t="n">
        <v>45201</v>
      </c>
      <c r="C1177" s="1" t="n">
        <v>45364</v>
      </c>
      <c r="D1177" t="inlineStr">
        <is>
          <t>KALMAR LÄN</t>
        </is>
      </c>
      <c r="E1177" t="inlineStr">
        <is>
          <t>VIMMERBY</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46921-2023</t>
        </is>
      </c>
      <c r="B1178" s="1" t="n">
        <v>45201</v>
      </c>
      <c r="C1178" s="1" t="n">
        <v>45364</v>
      </c>
      <c r="D1178" t="inlineStr">
        <is>
          <t>KALMAR LÄN</t>
        </is>
      </c>
      <c r="E1178" t="inlineStr">
        <is>
          <t>VIMMERBY</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46941-2023</t>
        </is>
      </c>
      <c r="B1179" s="1" t="n">
        <v>45201</v>
      </c>
      <c r="C1179" s="1" t="n">
        <v>45364</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46979-2023</t>
        </is>
      </c>
      <c r="B1180" s="1" t="n">
        <v>45201</v>
      </c>
      <c r="C1180" s="1" t="n">
        <v>45364</v>
      </c>
      <c r="D1180" t="inlineStr">
        <is>
          <t>KALMAR LÄN</t>
        </is>
      </c>
      <c r="E1180" t="inlineStr">
        <is>
          <t>VIMMERBY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47084-2023</t>
        </is>
      </c>
      <c r="B1181" s="1" t="n">
        <v>45201</v>
      </c>
      <c r="C1181" s="1" t="n">
        <v>45364</v>
      </c>
      <c r="D1181" t="inlineStr">
        <is>
          <t>KALMAR LÄN</t>
        </is>
      </c>
      <c r="E1181" t="inlineStr">
        <is>
          <t>VIMMERBY</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47247-2023</t>
        </is>
      </c>
      <c r="B1182" s="1" t="n">
        <v>45202</v>
      </c>
      <c r="C1182" s="1" t="n">
        <v>45364</v>
      </c>
      <c r="D1182" t="inlineStr">
        <is>
          <t>KALMAR LÄN</t>
        </is>
      </c>
      <c r="E1182" t="inlineStr">
        <is>
          <t>VIMMERBY</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47256-2023</t>
        </is>
      </c>
      <c r="B1183" s="1" t="n">
        <v>45202</v>
      </c>
      <c r="C1183" s="1" t="n">
        <v>45364</v>
      </c>
      <c r="D1183" t="inlineStr">
        <is>
          <t>KALMAR LÄN</t>
        </is>
      </c>
      <c r="E1183" t="inlineStr">
        <is>
          <t>VIMMERBY</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47263-2023</t>
        </is>
      </c>
      <c r="B1184" s="1" t="n">
        <v>45202</v>
      </c>
      <c r="C1184" s="1" t="n">
        <v>45364</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47524-2023</t>
        </is>
      </c>
      <c r="B1185" s="1" t="n">
        <v>45203</v>
      </c>
      <c r="C1185" s="1" t="n">
        <v>45364</v>
      </c>
      <c r="D1185" t="inlineStr">
        <is>
          <t>KALMAR LÄN</t>
        </is>
      </c>
      <c r="E1185" t="inlineStr">
        <is>
          <t>VIMMERBY</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47515-2023</t>
        </is>
      </c>
      <c r="B1186" s="1" t="n">
        <v>45203</v>
      </c>
      <c r="C1186" s="1" t="n">
        <v>45364</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47517-2023</t>
        </is>
      </c>
      <c r="B1187" s="1" t="n">
        <v>45203</v>
      </c>
      <c r="C1187" s="1" t="n">
        <v>45364</v>
      </c>
      <c r="D1187" t="inlineStr">
        <is>
          <t>KALMAR LÄN</t>
        </is>
      </c>
      <c r="E1187" t="inlineStr">
        <is>
          <t>VIMMERBY</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47521-2023</t>
        </is>
      </c>
      <c r="B1188" s="1" t="n">
        <v>45203</v>
      </c>
      <c r="C1188" s="1" t="n">
        <v>45364</v>
      </c>
      <c r="D1188" t="inlineStr">
        <is>
          <t>KALMAR LÄN</t>
        </is>
      </c>
      <c r="E1188" t="inlineStr">
        <is>
          <t>VIMMERBY</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48346-2023</t>
        </is>
      </c>
      <c r="B1189" s="1" t="n">
        <v>45205</v>
      </c>
      <c r="C1189" s="1" t="n">
        <v>45364</v>
      </c>
      <c r="D1189" t="inlineStr">
        <is>
          <t>KALMAR LÄN</t>
        </is>
      </c>
      <c r="E1189" t="inlineStr">
        <is>
          <t>VIMMERBY</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49382-2023</t>
        </is>
      </c>
      <c r="B1190" s="1" t="n">
        <v>45208</v>
      </c>
      <c r="C1190" s="1" t="n">
        <v>45364</v>
      </c>
      <c r="D1190" t="inlineStr">
        <is>
          <t>KALMAR LÄN</t>
        </is>
      </c>
      <c r="E1190" t="inlineStr">
        <is>
          <t>VIMMERBY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49261-2023</t>
        </is>
      </c>
      <c r="B1191" s="1" t="n">
        <v>45210</v>
      </c>
      <c r="C1191" s="1" t="n">
        <v>45364</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49254-2023</t>
        </is>
      </c>
      <c r="B1192" s="1" t="n">
        <v>45210</v>
      </c>
      <c r="C1192" s="1" t="n">
        <v>45364</v>
      </c>
      <c r="D1192" t="inlineStr">
        <is>
          <t>KALMAR LÄN</t>
        </is>
      </c>
      <c r="E1192" t="inlineStr">
        <is>
          <t>VIMMERBY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49246-2023</t>
        </is>
      </c>
      <c r="B1193" s="1" t="n">
        <v>45210</v>
      </c>
      <c r="C1193" s="1" t="n">
        <v>45364</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49408-2023</t>
        </is>
      </c>
      <c r="B1194" s="1" t="n">
        <v>45211</v>
      </c>
      <c r="C1194" s="1" t="n">
        <v>45364</v>
      </c>
      <c r="D1194" t="inlineStr">
        <is>
          <t>KALMAR LÄN</t>
        </is>
      </c>
      <c r="E1194" t="inlineStr">
        <is>
          <t>VIMMERBY</t>
        </is>
      </c>
      <c r="G1194" t="n">
        <v>13.1</v>
      </c>
      <c r="H1194" t="n">
        <v>0</v>
      </c>
      <c r="I1194" t="n">
        <v>0</v>
      </c>
      <c r="J1194" t="n">
        <v>0</v>
      </c>
      <c r="K1194" t="n">
        <v>0</v>
      </c>
      <c r="L1194" t="n">
        <v>0</v>
      </c>
      <c r="M1194" t="n">
        <v>0</v>
      </c>
      <c r="N1194" t="n">
        <v>0</v>
      </c>
      <c r="O1194" t="n">
        <v>0</v>
      </c>
      <c r="P1194" t="n">
        <v>0</v>
      </c>
      <c r="Q1194" t="n">
        <v>0</v>
      </c>
      <c r="R1194" s="2" t="inlineStr"/>
    </row>
    <row r="1195" ht="15" customHeight="1">
      <c r="A1195" t="inlineStr">
        <is>
          <t>A 49458-2023</t>
        </is>
      </c>
      <c r="B1195" s="1" t="n">
        <v>45211</v>
      </c>
      <c r="C1195" s="1" t="n">
        <v>45364</v>
      </c>
      <c r="D1195" t="inlineStr">
        <is>
          <t>KALMAR LÄN</t>
        </is>
      </c>
      <c r="E1195" t="inlineStr">
        <is>
          <t>VIMMERBY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49461-2023</t>
        </is>
      </c>
      <c r="B1196" s="1" t="n">
        <v>45211</v>
      </c>
      <c r="C1196" s="1" t="n">
        <v>45364</v>
      </c>
      <c r="D1196" t="inlineStr">
        <is>
          <t>KALMAR LÄN</t>
        </is>
      </c>
      <c r="E1196" t="inlineStr">
        <is>
          <t>VIMMERBY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49474-2023</t>
        </is>
      </c>
      <c r="B1197" s="1" t="n">
        <v>45211</v>
      </c>
      <c r="C1197" s="1" t="n">
        <v>45364</v>
      </c>
      <c r="D1197" t="inlineStr">
        <is>
          <t>KALMAR LÄN</t>
        </is>
      </c>
      <c r="E1197" t="inlineStr">
        <is>
          <t>VIMMERBY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49488-2023</t>
        </is>
      </c>
      <c r="B1198" s="1" t="n">
        <v>45211</v>
      </c>
      <c r="C1198" s="1" t="n">
        <v>45364</v>
      </c>
      <c r="D1198" t="inlineStr">
        <is>
          <t>KALMAR LÄN</t>
        </is>
      </c>
      <c r="E1198" t="inlineStr">
        <is>
          <t>VIMMERBY</t>
        </is>
      </c>
      <c r="F1198" t="inlineStr">
        <is>
          <t>Sveaskog</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49756-2023</t>
        </is>
      </c>
      <c r="B1199" s="1" t="n">
        <v>45212</v>
      </c>
      <c r="C1199" s="1" t="n">
        <v>45364</v>
      </c>
      <c r="D1199" t="inlineStr">
        <is>
          <t>KALMAR LÄN</t>
        </is>
      </c>
      <c r="E1199" t="inlineStr">
        <is>
          <t>VIMMERBY</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50087-2023</t>
        </is>
      </c>
      <c r="B1200" s="1" t="n">
        <v>45215</v>
      </c>
      <c r="C1200" s="1" t="n">
        <v>45364</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50088-2023</t>
        </is>
      </c>
      <c r="B1201" s="1" t="n">
        <v>45215</v>
      </c>
      <c r="C1201" s="1" t="n">
        <v>45364</v>
      </c>
      <c r="D1201" t="inlineStr">
        <is>
          <t>KALMAR LÄN</t>
        </is>
      </c>
      <c r="E1201" t="inlineStr">
        <is>
          <t>VIMMERBY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50093-2023</t>
        </is>
      </c>
      <c r="B1202" s="1" t="n">
        <v>45215</v>
      </c>
      <c r="C1202" s="1" t="n">
        <v>45364</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50091-2023</t>
        </is>
      </c>
      <c r="B1203" s="1" t="n">
        <v>45215</v>
      </c>
      <c r="C1203" s="1" t="n">
        <v>45364</v>
      </c>
      <c r="D1203" t="inlineStr">
        <is>
          <t>KALMAR LÄN</t>
        </is>
      </c>
      <c r="E1203" t="inlineStr">
        <is>
          <t>VIMMERBY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50085-2023</t>
        </is>
      </c>
      <c r="B1204" s="1" t="n">
        <v>45215</v>
      </c>
      <c r="C1204" s="1" t="n">
        <v>45364</v>
      </c>
      <c r="D1204" t="inlineStr">
        <is>
          <t>KALMAR LÄN</t>
        </is>
      </c>
      <c r="E1204" t="inlineStr">
        <is>
          <t>VIMMERBY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50648-2023</t>
        </is>
      </c>
      <c r="B1205" s="1" t="n">
        <v>45217</v>
      </c>
      <c r="C1205" s="1" t="n">
        <v>45364</v>
      </c>
      <c r="D1205" t="inlineStr">
        <is>
          <t>KALMAR LÄN</t>
        </is>
      </c>
      <c r="E1205" t="inlineStr">
        <is>
          <t>VIMMERBY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52371-2023</t>
        </is>
      </c>
      <c r="B1206" s="1" t="n">
        <v>45217</v>
      </c>
      <c r="C1206" s="1" t="n">
        <v>45364</v>
      </c>
      <c r="D1206" t="inlineStr">
        <is>
          <t>KALMAR LÄN</t>
        </is>
      </c>
      <c r="E1206" t="inlineStr">
        <is>
          <t>VIMMERBY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52257-2023</t>
        </is>
      </c>
      <c r="B1207" s="1" t="n">
        <v>45217</v>
      </c>
      <c r="C1207" s="1" t="n">
        <v>45364</v>
      </c>
      <c r="D1207" t="inlineStr">
        <is>
          <t>KALMAR LÄN</t>
        </is>
      </c>
      <c r="E1207" t="inlineStr">
        <is>
          <t>VIMMERBY</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50934-2023</t>
        </is>
      </c>
      <c r="B1208" s="1" t="n">
        <v>45218</v>
      </c>
      <c r="C1208" s="1" t="n">
        <v>45364</v>
      </c>
      <c r="D1208" t="inlineStr">
        <is>
          <t>KALMAR LÄN</t>
        </is>
      </c>
      <c r="E1208" t="inlineStr">
        <is>
          <t>VIMMERBY</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51408-2023</t>
        </is>
      </c>
      <c r="B1209" s="1" t="n">
        <v>45219</v>
      </c>
      <c r="C1209" s="1" t="n">
        <v>45364</v>
      </c>
      <c r="D1209" t="inlineStr">
        <is>
          <t>KALMAR LÄN</t>
        </is>
      </c>
      <c r="E1209" t="inlineStr">
        <is>
          <t>VIMMERBY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51187-2023</t>
        </is>
      </c>
      <c r="B1210" s="1" t="n">
        <v>45219</v>
      </c>
      <c r="C1210" s="1" t="n">
        <v>45364</v>
      </c>
      <c r="D1210" t="inlineStr">
        <is>
          <t>KALMAR LÄN</t>
        </is>
      </c>
      <c r="E1210" t="inlineStr">
        <is>
          <t>VIMMERBY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51775-2023</t>
        </is>
      </c>
      <c r="B1211" s="1" t="n">
        <v>45222</v>
      </c>
      <c r="C1211" s="1" t="n">
        <v>45364</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51552-2023</t>
        </is>
      </c>
      <c r="B1212" s="1" t="n">
        <v>45222</v>
      </c>
      <c r="C1212" s="1" t="n">
        <v>45364</v>
      </c>
      <c r="D1212" t="inlineStr">
        <is>
          <t>KALMAR LÄN</t>
        </is>
      </c>
      <c r="E1212" t="inlineStr">
        <is>
          <t>VIMMERBY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52279-2023</t>
        </is>
      </c>
      <c r="B1213" s="1" t="n">
        <v>45224</v>
      </c>
      <c r="C1213" s="1" t="n">
        <v>45364</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52294-2023</t>
        </is>
      </c>
      <c r="B1214" s="1" t="n">
        <v>45224</v>
      </c>
      <c r="C1214" s="1" t="n">
        <v>45364</v>
      </c>
      <c r="D1214" t="inlineStr">
        <is>
          <t>KALMAR LÄN</t>
        </is>
      </c>
      <c r="E1214" t="inlineStr">
        <is>
          <t>VIMMERBY</t>
        </is>
      </c>
      <c r="F1214" t="inlineStr">
        <is>
          <t>Sveaskog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52327-2023</t>
        </is>
      </c>
      <c r="B1215" s="1" t="n">
        <v>45224</v>
      </c>
      <c r="C1215" s="1" t="n">
        <v>45364</v>
      </c>
      <c r="D1215" t="inlineStr">
        <is>
          <t>KALMAR LÄN</t>
        </is>
      </c>
      <c r="E1215" t="inlineStr">
        <is>
          <t>VIMMERBY</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52208-2023</t>
        </is>
      </c>
      <c r="B1216" s="1" t="n">
        <v>45224</v>
      </c>
      <c r="C1216" s="1" t="n">
        <v>45364</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52324-2023</t>
        </is>
      </c>
      <c r="B1217" s="1" t="n">
        <v>45224</v>
      </c>
      <c r="C1217" s="1" t="n">
        <v>45364</v>
      </c>
      <c r="D1217" t="inlineStr">
        <is>
          <t>KALMAR LÄN</t>
        </is>
      </c>
      <c r="E1217" t="inlineStr">
        <is>
          <t>VIMMERBY</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52411-2023</t>
        </is>
      </c>
      <c r="B1218" s="1" t="n">
        <v>45225</v>
      </c>
      <c r="C1218" s="1" t="n">
        <v>45364</v>
      </c>
      <c r="D1218" t="inlineStr">
        <is>
          <t>KALMAR LÄN</t>
        </is>
      </c>
      <c r="E1218" t="inlineStr">
        <is>
          <t>VIMMERBY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52588-2023</t>
        </is>
      </c>
      <c r="B1219" s="1" t="n">
        <v>45225</v>
      </c>
      <c r="C1219" s="1" t="n">
        <v>45364</v>
      </c>
      <c r="D1219" t="inlineStr">
        <is>
          <t>KALMAR LÄN</t>
        </is>
      </c>
      <c r="E1219" t="inlineStr">
        <is>
          <t>VIMMERBY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52616-2023</t>
        </is>
      </c>
      <c r="B1220" s="1" t="n">
        <v>45225</v>
      </c>
      <c r="C1220" s="1" t="n">
        <v>45364</v>
      </c>
      <c r="D1220" t="inlineStr">
        <is>
          <t>KALMAR LÄN</t>
        </is>
      </c>
      <c r="E1220" t="inlineStr">
        <is>
          <t>VIMMERBY</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52623-2023</t>
        </is>
      </c>
      <c r="B1221" s="1" t="n">
        <v>45225</v>
      </c>
      <c r="C1221" s="1" t="n">
        <v>45364</v>
      </c>
      <c r="D1221" t="inlineStr">
        <is>
          <t>KALMAR LÄN</t>
        </is>
      </c>
      <c r="E1221" t="inlineStr">
        <is>
          <t>VIMMERBY</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52703-2023</t>
        </is>
      </c>
      <c r="B1222" s="1" t="n">
        <v>45225</v>
      </c>
      <c r="C1222" s="1" t="n">
        <v>45364</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53220-2023</t>
        </is>
      </c>
      <c r="B1223" s="1" t="n">
        <v>45229</v>
      </c>
      <c r="C1223" s="1" t="n">
        <v>45364</v>
      </c>
      <c r="D1223" t="inlineStr">
        <is>
          <t>KALMAR LÄN</t>
        </is>
      </c>
      <c r="E1223" t="inlineStr">
        <is>
          <t>VIMMERBY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54084-2023</t>
        </is>
      </c>
      <c r="B1224" s="1" t="n">
        <v>45232</v>
      </c>
      <c r="C1224" s="1" t="n">
        <v>45364</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54086-2023</t>
        </is>
      </c>
      <c r="B1225" s="1" t="n">
        <v>45232</v>
      </c>
      <c r="C1225" s="1" t="n">
        <v>45364</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55716-2023</t>
        </is>
      </c>
      <c r="B1226" s="1" t="n">
        <v>45232</v>
      </c>
      <c r="C1226" s="1" t="n">
        <v>45364</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54785-2023</t>
        </is>
      </c>
      <c r="B1227" s="1" t="n">
        <v>45236</v>
      </c>
      <c r="C1227" s="1" t="n">
        <v>45364</v>
      </c>
      <c r="D1227" t="inlineStr">
        <is>
          <t>KALMAR LÄN</t>
        </is>
      </c>
      <c r="E1227" t="inlineStr">
        <is>
          <t>VIMMERBY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54787-2023</t>
        </is>
      </c>
      <c r="B1228" s="1" t="n">
        <v>45236</v>
      </c>
      <c r="C1228" s="1" t="n">
        <v>45364</v>
      </c>
      <c r="D1228" t="inlineStr">
        <is>
          <t>KALMAR LÄN</t>
        </is>
      </c>
      <c r="E1228" t="inlineStr">
        <is>
          <t>VIMMERBY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55236-2023</t>
        </is>
      </c>
      <c r="B1229" s="1" t="n">
        <v>45237</v>
      </c>
      <c r="C1229" s="1" t="n">
        <v>45364</v>
      </c>
      <c r="D1229" t="inlineStr">
        <is>
          <t>KALMAR LÄN</t>
        </is>
      </c>
      <c r="E1229" t="inlineStr">
        <is>
          <t>VIMMERBY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55245-2023</t>
        </is>
      </c>
      <c r="B1230" s="1" t="n">
        <v>45237</v>
      </c>
      <c r="C1230" s="1" t="n">
        <v>45364</v>
      </c>
      <c r="D1230" t="inlineStr">
        <is>
          <t>KALMAR LÄN</t>
        </is>
      </c>
      <c r="E1230" t="inlineStr">
        <is>
          <t>VIMMERBY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55279-2023</t>
        </is>
      </c>
      <c r="B1231" s="1" t="n">
        <v>45237</v>
      </c>
      <c r="C1231" s="1" t="n">
        <v>45364</v>
      </c>
      <c r="D1231" t="inlineStr">
        <is>
          <t>KALMAR LÄN</t>
        </is>
      </c>
      <c r="E1231" t="inlineStr">
        <is>
          <t>VIMMERBY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55457-2023</t>
        </is>
      </c>
      <c r="B1232" s="1" t="n">
        <v>45238</v>
      </c>
      <c r="C1232" s="1" t="n">
        <v>45364</v>
      </c>
      <c r="D1232" t="inlineStr">
        <is>
          <t>KALMAR LÄN</t>
        </is>
      </c>
      <c r="E1232" t="inlineStr">
        <is>
          <t>VIMMERBY</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55470-2023</t>
        </is>
      </c>
      <c r="B1233" s="1" t="n">
        <v>45238</v>
      </c>
      <c r="C1233" s="1" t="n">
        <v>45364</v>
      </c>
      <c r="D1233" t="inlineStr">
        <is>
          <t>KALMAR LÄN</t>
        </is>
      </c>
      <c r="E1233" t="inlineStr">
        <is>
          <t>VIMMERBY</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55436-2023</t>
        </is>
      </c>
      <c r="B1234" s="1" t="n">
        <v>45238</v>
      </c>
      <c r="C1234" s="1" t="n">
        <v>45364</v>
      </c>
      <c r="D1234" t="inlineStr">
        <is>
          <t>KALMAR LÄN</t>
        </is>
      </c>
      <c r="E1234" t="inlineStr">
        <is>
          <t>VIMMERBY</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55510-2023</t>
        </is>
      </c>
      <c r="B1235" s="1" t="n">
        <v>45238</v>
      </c>
      <c r="C1235" s="1" t="n">
        <v>45364</v>
      </c>
      <c r="D1235" t="inlineStr">
        <is>
          <t>KALMAR LÄN</t>
        </is>
      </c>
      <c r="E1235" t="inlineStr">
        <is>
          <t>VIMMERBY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55442-2023</t>
        </is>
      </c>
      <c r="B1236" s="1" t="n">
        <v>45238</v>
      </c>
      <c r="C1236" s="1" t="n">
        <v>45364</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56657-2023</t>
        </is>
      </c>
      <c r="B1237" s="1" t="n">
        <v>45243</v>
      </c>
      <c r="C1237" s="1" t="n">
        <v>45364</v>
      </c>
      <c r="D1237" t="inlineStr">
        <is>
          <t>KALMAR LÄN</t>
        </is>
      </c>
      <c r="E1237" t="inlineStr">
        <is>
          <t>VIMMERBY</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56659-2023</t>
        </is>
      </c>
      <c r="B1238" s="1" t="n">
        <v>45243</v>
      </c>
      <c r="C1238" s="1" t="n">
        <v>45364</v>
      </c>
      <c r="D1238" t="inlineStr">
        <is>
          <t>KALMAR LÄN</t>
        </is>
      </c>
      <c r="E1238" t="inlineStr">
        <is>
          <t>VIMMERBY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57036-2023</t>
        </is>
      </c>
      <c r="B1239" s="1" t="n">
        <v>45244</v>
      </c>
      <c r="C1239" s="1" t="n">
        <v>45364</v>
      </c>
      <c r="D1239" t="inlineStr">
        <is>
          <t>KALMAR LÄN</t>
        </is>
      </c>
      <c r="E1239" t="inlineStr">
        <is>
          <t>VIMMERBY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57040-2023</t>
        </is>
      </c>
      <c r="B1240" s="1" t="n">
        <v>45244</v>
      </c>
      <c r="C1240" s="1" t="n">
        <v>45364</v>
      </c>
      <c r="D1240" t="inlineStr">
        <is>
          <t>KALMAR LÄN</t>
        </is>
      </c>
      <c r="E1240" t="inlineStr">
        <is>
          <t>VIMMERBY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57254-2023</t>
        </is>
      </c>
      <c r="B1241" s="1" t="n">
        <v>45245</v>
      </c>
      <c r="C1241" s="1" t="n">
        <v>45364</v>
      </c>
      <c r="D1241" t="inlineStr">
        <is>
          <t>KALMAR LÄN</t>
        </is>
      </c>
      <c r="E1241" t="inlineStr">
        <is>
          <t>VIMMERBY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57114-2023</t>
        </is>
      </c>
      <c r="B1242" s="1" t="n">
        <v>45245</v>
      </c>
      <c r="C1242" s="1" t="n">
        <v>45364</v>
      </c>
      <c r="D1242" t="inlineStr">
        <is>
          <t>KALMAR LÄN</t>
        </is>
      </c>
      <c r="E1242" t="inlineStr">
        <is>
          <t>VIMMERBY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57264-2023</t>
        </is>
      </c>
      <c r="B1243" s="1" t="n">
        <v>45245</v>
      </c>
      <c r="C1243" s="1" t="n">
        <v>45364</v>
      </c>
      <c r="D1243" t="inlineStr">
        <is>
          <t>KALMAR LÄN</t>
        </is>
      </c>
      <c r="E1243" t="inlineStr">
        <is>
          <t>VIMMERBY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57311-2023</t>
        </is>
      </c>
      <c r="B1244" s="1" t="n">
        <v>45245</v>
      </c>
      <c r="C1244" s="1" t="n">
        <v>45364</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57256-2023</t>
        </is>
      </c>
      <c r="B1245" s="1" t="n">
        <v>45245</v>
      </c>
      <c r="C1245" s="1" t="n">
        <v>45364</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57269-2023</t>
        </is>
      </c>
      <c r="B1246" s="1" t="n">
        <v>45245</v>
      </c>
      <c r="C1246" s="1" t="n">
        <v>45364</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57317-2023</t>
        </is>
      </c>
      <c r="B1247" s="1" t="n">
        <v>45245</v>
      </c>
      <c r="C1247" s="1" t="n">
        <v>45364</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57329-2023</t>
        </is>
      </c>
      <c r="B1248" s="1" t="n">
        <v>45245</v>
      </c>
      <c r="C1248" s="1" t="n">
        <v>45364</v>
      </c>
      <c r="D1248" t="inlineStr">
        <is>
          <t>KALMAR LÄN</t>
        </is>
      </c>
      <c r="E1248" t="inlineStr">
        <is>
          <t>VIMMERBY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58278-2023</t>
        </is>
      </c>
      <c r="B1249" s="1" t="n">
        <v>45250</v>
      </c>
      <c r="C1249" s="1" t="n">
        <v>45364</v>
      </c>
      <c r="D1249" t="inlineStr">
        <is>
          <t>KALMAR LÄN</t>
        </is>
      </c>
      <c r="E1249" t="inlineStr">
        <is>
          <t>VIMMERBY</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59598-2023</t>
        </is>
      </c>
      <c r="B1250" s="1" t="n">
        <v>45254</v>
      </c>
      <c r="C1250" s="1" t="n">
        <v>45364</v>
      </c>
      <c r="D1250" t="inlineStr">
        <is>
          <t>KALMAR LÄN</t>
        </is>
      </c>
      <c r="E1250" t="inlineStr">
        <is>
          <t>VIMMERBY</t>
        </is>
      </c>
      <c r="F1250" t="inlineStr">
        <is>
          <t>Övriga Aktiebolag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59943-2023</t>
        </is>
      </c>
      <c r="B1251" s="1" t="n">
        <v>45257</v>
      </c>
      <c r="C1251" s="1" t="n">
        <v>45364</v>
      </c>
      <c r="D1251" t="inlineStr">
        <is>
          <t>KALMAR LÄN</t>
        </is>
      </c>
      <c r="E1251" t="inlineStr">
        <is>
          <t>VIMMERBY</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59955-2023</t>
        </is>
      </c>
      <c r="B1252" s="1" t="n">
        <v>45257</v>
      </c>
      <c r="C1252" s="1" t="n">
        <v>45364</v>
      </c>
      <c r="D1252" t="inlineStr">
        <is>
          <t>KALMAR LÄN</t>
        </is>
      </c>
      <c r="E1252" t="inlineStr">
        <is>
          <t>VIMMERBY</t>
        </is>
      </c>
      <c r="G1252" t="n">
        <v>13.8</v>
      </c>
      <c r="H1252" t="n">
        <v>0</v>
      </c>
      <c r="I1252" t="n">
        <v>0</v>
      </c>
      <c r="J1252" t="n">
        <v>0</v>
      </c>
      <c r="K1252" t="n">
        <v>0</v>
      </c>
      <c r="L1252" t="n">
        <v>0</v>
      </c>
      <c r="M1252" t="n">
        <v>0</v>
      </c>
      <c r="N1252" t="n">
        <v>0</v>
      </c>
      <c r="O1252" t="n">
        <v>0</v>
      </c>
      <c r="P1252" t="n">
        <v>0</v>
      </c>
      <c r="Q1252" t="n">
        <v>0</v>
      </c>
      <c r="R1252" s="2" t="inlineStr"/>
    </row>
    <row r="1253" ht="15" customHeight="1">
      <c r="A1253" t="inlineStr">
        <is>
          <t>A 60437-2023</t>
        </is>
      </c>
      <c r="B1253" s="1" t="n">
        <v>45259</v>
      </c>
      <c r="C1253" s="1" t="n">
        <v>45364</v>
      </c>
      <c r="D1253" t="inlineStr">
        <is>
          <t>KALMAR LÄN</t>
        </is>
      </c>
      <c r="E1253" t="inlineStr">
        <is>
          <t>VIMMERBY</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60438-2023</t>
        </is>
      </c>
      <c r="B1254" s="1" t="n">
        <v>45259</v>
      </c>
      <c r="C1254" s="1" t="n">
        <v>45364</v>
      </c>
      <c r="D1254" t="inlineStr">
        <is>
          <t>KALMAR LÄN</t>
        </is>
      </c>
      <c r="E1254" t="inlineStr">
        <is>
          <t>VIMMERBY</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60675-2023</t>
        </is>
      </c>
      <c r="B1255" s="1" t="n">
        <v>45260</v>
      </c>
      <c r="C1255" s="1" t="n">
        <v>45364</v>
      </c>
      <c r="D1255" t="inlineStr">
        <is>
          <t>KALMAR LÄN</t>
        </is>
      </c>
      <c r="E1255" t="inlineStr">
        <is>
          <t>VIMMERBY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60951-2023</t>
        </is>
      </c>
      <c r="B1256" s="1" t="n">
        <v>45261</v>
      </c>
      <c r="C1256" s="1" t="n">
        <v>45364</v>
      </c>
      <c r="D1256" t="inlineStr">
        <is>
          <t>KALMAR LÄN</t>
        </is>
      </c>
      <c r="E1256" t="inlineStr">
        <is>
          <t>VIMMERBY</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61189-2023</t>
        </is>
      </c>
      <c r="B1257" s="1" t="n">
        <v>45264</v>
      </c>
      <c r="C1257" s="1" t="n">
        <v>45364</v>
      </c>
      <c r="D1257" t="inlineStr">
        <is>
          <t>KALMAR LÄN</t>
        </is>
      </c>
      <c r="E1257" t="inlineStr">
        <is>
          <t>VIMMERBY</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61221-2023</t>
        </is>
      </c>
      <c r="B1258" s="1" t="n">
        <v>45264</v>
      </c>
      <c r="C1258" s="1" t="n">
        <v>45364</v>
      </c>
      <c r="D1258" t="inlineStr">
        <is>
          <t>KALMAR LÄN</t>
        </is>
      </c>
      <c r="E1258" t="inlineStr">
        <is>
          <t>VIMMERBY</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61224-2023</t>
        </is>
      </c>
      <c r="B1259" s="1" t="n">
        <v>45264</v>
      </c>
      <c r="C1259" s="1" t="n">
        <v>45364</v>
      </c>
      <c r="D1259" t="inlineStr">
        <is>
          <t>KALMAR LÄN</t>
        </is>
      </c>
      <c r="E1259" t="inlineStr">
        <is>
          <t>VIMMERBY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61227-2023</t>
        </is>
      </c>
      <c r="B1260" s="1" t="n">
        <v>45264</v>
      </c>
      <c r="C1260" s="1" t="n">
        <v>45364</v>
      </c>
      <c r="D1260" t="inlineStr">
        <is>
          <t>KALMAR LÄN</t>
        </is>
      </c>
      <c r="E1260" t="inlineStr">
        <is>
          <t>VIMMERBY</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61820-2023</t>
        </is>
      </c>
      <c r="B1261" s="1" t="n">
        <v>45266</v>
      </c>
      <c r="C1261" s="1" t="n">
        <v>45364</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61817-2023</t>
        </is>
      </c>
      <c r="B1262" s="1" t="n">
        <v>45266</v>
      </c>
      <c r="C1262" s="1" t="n">
        <v>45364</v>
      </c>
      <c r="D1262" t="inlineStr">
        <is>
          <t>KALMAR LÄN</t>
        </is>
      </c>
      <c r="E1262" t="inlineStr">
        <is>
          <t>VIMMERBY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61825-2023</t>
        </is>
      </c>
      <c r="B1263" s="1" t="n">
        <v>45266</v>
      </c>
      <c r="C1263" s="1" t="n">
        <v>45364</v>
      </c>
      <c r="D1263" t="inlineStr">
        <is>
          <t>KALMAR LÄN</t>
        </is>
      </c>
      <c r="E1263" t="inlineStr">
        <is>
          <t>VIMMERBY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62615-2023</t>
        </is>
      </c>
      <c r="B1264" s="1" t="n">
        <v>45271</v>
      </c>
      <c r="C1264" s="1" t="n">
        <v>45364</v>
      </c>
      <c r="D1264" t="inlineStr">
        <is>
          <t>KALMAR LÄN</t>
        </is>
      </c>
      <c r="E1264" t="inlineStr">
        <is>
          <t>VIMMERBY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62779-2023</t>
        </is>
      </c>
      <c r="B1265" s="1" t="n">
        <v>45271</v>
      </c>
      <c r="C1265" s="1" t="n">
        <v>45364</v>
      </c>
      <c r="D1265" t="inlineStr">
        <is>
          <t>KALMAR LÄN</t>
        </is>
      </c>
      <c r="E1265" t="inlineStr">
        <is>
          <t>VIMMERBY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62997-2023</t>
        </is>
      </c>
      <c r="B1266" s="1" t="n">
        <v>45272</v>
      </c>
      <c r="C1266" s="1" t="n">
        <v>45364</v>
      </c>
      <c r="D1266" t="inlineStr">
        <is>
          <t>KALMAR LÄN</t>
        </is>
      </c>
      <c r="E1266" t="inlineStr">
        <is>
          <t>VIMMERBY</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62852-2023</t>
        </is>
      </c>
      <c r="B1267" s="1" t="n">
        <v>45272</v>
      </c>
      <c r="C1267" s="1" t="n">
        <v>45364</v>
      </c>
      <c r="D1267" t="inlineStr">
        <is>
          <t>KALMAR LÄN</t>
        </is>
      </c>
      <c r="E1267" t="inlineStr">
        <is>
          <t>VIMMERBY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63284-2023</t>
        </is>
      </c>
      <c r="B1268" s="1" t="n">
        <v>45273</v>
      </c>
      <c r="C1268" s="1" t="n">
        <v>45364</v>
      </c>
      <c r="D1268" t="inlineStr">
        <is>
          <t>KALMAR LÄN</t>
        </is>
      </c>
      <c r="E1268" t="inlineStr">
        <is>
          <t>VIMMERBY</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63583-2023</t>
        </is>
      </c>
      <c r="B1269" s="1" t="n">
        <v>45275</v>
      </c>
      <c r="C1269" s="1" t="n">
        <v>45364</v>
      </c>
      <c r="D1269" t="inlineStr">
        <is>
          <t>KALMAR LÄN</t>
        </is>
      </c>
      <c r="E1269" t="inlineStr">
        <is>
          <t>VIMMERBY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63541-2023</t>
        </is>
      </c>
      <c r="B1270" s="1" t="n">
        <v>45275</v>
      </c>
      <c r="C1270" s="1" t="n">
        <v>45364</v>
      </c>
      <c r="D1270" t="inlineStr">
        <is>
          <t>KALMAR LÄN</t>
        </is>
      </c>
      <c r="E1270" t="inlineStr">
        <is>
          <t>VIMMERBY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63969-2023</t>
        </is>
      </c>
      <c r="B1271" s="1" t="n">
        <v>45278</v>
      </c>
      <c r="C1271" s="1" t="n">
        <v>45364</v>
      </c>
      <c r="D1271" t="inlineStr">
        <is>
          <t>KALMAR LÄN</t>
        </is>
      </c>
      <c r="E1271" t="inlineStr">
        <is>
          <t>VIMMERBY</t>
        </is>
      </c>
      <c r="F1271" t="inlineStr">
        <is>
          <t>Kyrkan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63950-2023</t>
        </is>
      </c>
      <c r="B1272" s="1" t="n">
        <v>45278</v>
      </c>
      <c r="C1272" s="1" t="n">
        <v>45364</v>
      </c>
      <c r="D1272" t="inlineStr">
        <is>
          <t>KALMAR LÄN</t>
        </is>
      </c>
      <c r="E1272" t="inlineStr">
        <is>
          <t>VIMMERBY</t>
        </is>
      </c>
      <c r="F1272" t="inlineStr">
        <is>
          <t>Kyrkan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64428-2023</t>
        </is>
      </c>
      <c r="B1273" s="1" t="n">
        <v>45280</v>
      </c>
      <c r="C1273" s="1" t="n">
        <v>45364</v>
      </c>
      <c r="D1273" t="inlineStr">
        <is>
          <t>KALMAR LÄN</t>
        </is>
      </c>
      <c r="E1273" t="inlineStr">
        <is>
          <t>VIMMERBY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65238-2023</t>
        </is>
      </c>
      <c r="B1274" s="1" t="n">
        <v>45289</v>
      </c>
      <c r="C1274" s="1" t="n">
        <v>45364</v>
      </c>
      <c r="D1274" t="inlineStr">
        <is>
          <t>KALMAR LÄN</t>
        </is>
      </c>
      <c r="E1274" t="inlineStr">
        <is>
          <t>VIMMERBY</t>
        </is>
      </c>
      <c r="F1274" t="inlineStr">
        <is>
          <t>Kyrkan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65237-2023</t>
        </is>
      </c>
      <c r="B1275" s="1" t="n">
        <v>45289</v>
      </c>
      <c r="C1275" s="1" t="n">
        <v>45364</v>
      </c>
      <c r="D1275" t="inlineStr">
        <is>
          <t>KALMAR LÄN</t>
        </is>
      </c>
      <c r="E1275" t="inlineStr">
        <is>
          <t>VIMMERBY</t>
        </is>
      </c>
      <c r="F1275" t="inlineStr">
        <is>
          <t>Kyrkan</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205-2024</t>
        </is>
      </c>
      <c r="B1276" s="1" t="n">
        <v>45294</v>
      </c>
      <c r="C1276" s="1" t="n">
        <v>45364</v>
      </c>
      <c r="D1276" t="inlineStr">
        <is>
          <t>KALMAR LÄN</t>
        </is>
      </c>
      <c r="E1276" t="inlineStr">
        <is>
          <t>VIMMERBY</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526-2024</t>
        </is>
      </c>
      <c r="B1277" s="1" t="n">
        <v>45299</v>
      </c>
      <c r="C1277" s="1" t="n">
        <v>45364</v>
      </c>
      <c r="D1277" t="inlineStr">
        <is>
          <t>KALMAR LÄN</t>
        </is>
      </c>
      <c r="E1277" t="inlineStr">
        <is>
          <t>VIMMERBY</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585-2024</t>
        </is>
      </c>
      <c r="B1278" s="1" t="n">
        <v>45299</v>
      </c>
      <c r="C1278" s="1" t="n">
        <v>45364</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627-2024</t>
        </is>
      </c>
      <c r="B1279" s="1" t="n">
        <v>45299</v>
      </c>
      <c r="C1279" s="1" t="n">
        <v>45364</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527-2024</t>
        </is>
      </c>
      <c r="B1280" s="1" t="n">
        <v>45299</v>
      </c>
      <c r="C1280" s="1" t="n">
        <v>45364</v>
      </c>
      <c r="D1280" t="inlineStr">
        <is>
          <t>KALMAR LÄN</t>
        </is>
      </c>
      <c r="E1280" t="inlineStr">
        <is>
          <t>VIMMERBY</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529-2024</t>
        </is>
      </c>
      <c r="B1281" s="1" t="n">
        <v>45299</v>
      </c>
      <c r="C1281" s="1" t="n">
        <v>45364</v>
      </c>
      <c r="D1281" t="inlineStr">
        <is>
          <t>KALMAR LÄN</t>
        </is>
      </c>
      <c r="E1281" t="inlineStr">
        <is>
          <t>VIMMERBY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690-2024</t>
        </is>
      </c>
      <c r="B1282" s="1" t="n">
        <v>45300</v>
      </c>
      <c r="C1282" s="1" t="n">
        <v>45364</v>
      </c>
      <c r="D1282" t="inlineStr">
        <is>
          <t>KALMAR LÄN</t>
        </is>
      </c>
      <c r="E1282" t="inlineStr">
        <is>
          <t>VIMMERBY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694-2024</t>
        </is>
      </c>
      <c r="B1283" s="1" t="n">
        <v>45300</v>
      </c>
      <c r="C1283" s="1" t="n">
        <v>45364</v>
      </c>
      <c r="D1283" t="inlineStr">
        <is>
          <t>KALMAR LÄN</t>
        </is>
      </c>
      <c r="E1283" t="inlineStr">
        <is>
          <t>VIMMERBY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1018-2024</t>
        </is>
      </c>
      <c r="B1284" s="1" t="n">
        <v>45301</v>
      </c>
      <c r="C1284" s="1" t="n">
        <v>45364</v>
      </c>
      <c r="D1284" t="inlineStr">
        <is>
          <t>KALMAR LÄN</t>
        </is>
      </c>
      <c r="E1284" t="inlineStr">
        <is>
          <t>VIMMERBY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1017-2024</t>
        </is>
      </c>
      <c r="B1285" s="1" t="n">
        <v>45301</v>
      </c>
      <c r="C1285" s="1" t="n">
        <v>45364</v>
      </c>
      <c r="D1285" t="inlineStr">
        <is>
          <t>KALMAR LÄN</t>
        </is>
      </c>
      <c r="E1285" t="inlineStr">
        <is>
          <t>VIMMERBY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1021-2024</t>
        </is>
      </c>
      <c r="B1286" s="1" t="n">
        <v>45301</v>
      </c>
      <c r="C1286" s="1" t="n">
        <v>45364</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1016-2024</t>
        </is>
      </c>
      <c r="B1287" s="1" t="n">
        <v>45301</v>
      </c>
      <c r="C1287" s="1" t="n">
        <v>45364</v>
      </c>
      <c r="D1287" t="inlineStr">
        <is>
          <t>KALMAR LÄN</t>
        </is>
      </c>
      <c r="E1287" t="inlineStr">
        <is>
          <t>VIMMERBY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1024-2024</t>
        </is>
      </c>
      <c r="B1288" s="1" t="n">
        <v>45301</v>
      </c>
      <c r="C1288" s="1" t="n">
        <v>45364</v>
      </c>
      <c r="D1288" t="inlineStr">
        <is>
          <t>KALMAR LÄN</t>
        </is>
      </c>
      <c r="E1288" t="inlineStr">
        <is>
          <t>VIMMERBY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1015-2024</t>
        </is>
      </c>
      <c r="B1289" s="1" t="n">
        <v>45301</v>
      </c>
      <c r="C1289" s="1" t="n">
        <v>45364</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1023-2024</t>
        </is>
      </c>
      <c r="B1290" s="1" t="n">
        <v>45301</v>
      </c>
      <c r="C1290" s="1" t="n">
        <v>45364</v>
      </c>
      <c r="D1290" t="inlineStr">
        <is>
          <t>KALMAR LÄN</t>
        </is>
      </c>
      <c r="E1290" t="inlineStr">
        <is>
          <t>VIMMERBY</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1225-2024</t>
        </is>
      </c>
      <c r="B1291" s="1" t="n">
        <v>45302</v>
      </c>
      <c r="C1291" s="1" t="n">
        <v>45364</v>
      </c>
      <c r="D1291" t="inlineStr">
        <is>
          <t>KALMAR LÄN</t>
        </is>
      </c>
      <c r="E1291" t="inlineStr">
        <is>
          <t>VIMMERBY</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1417-2024</t>
        </is>
      </c>
      <c r="B1292" s="1" t="n">
        <v>45303</v>
      </c>
      <c r="C1292" s="1" t="n">
        <v>45364</v>
      </c>
      <c r="D1292" t="inlineStr">
        <is>
          <t>KALMAR LÄN</t>
        </is>
      </c>
      <c r="E1292" t="inlineStr">
        <is>
          <t>VIMMERBY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1626-2024</t>
        </is>
      </c>
      <c r="B1293" s="1" t="n">
        <v>45306</v>
      </c>
      <c r="C1293" s="1" t="n">
        <v>45364</v>
      </c>
      <c r="D1293" t="inlineStr">
        <is>
          <t>KALMAR LÄN</t>
        </is>
      </c>
      <c r="E1293" t="inlineStr">
        <is>
          <t>VIMMERBY</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1628-2024</t>
        </is>
      </c>
      <c r="B1294" s="1" t="n">
        <v>45306</v>
      </c>
      <c r="C1294" s="1" t="n">
        <v>45364</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1987-2024</t>
        </is>
      </c>
      <c r="B1295" s="1" t="n">
        <v>45308</v>
      </c>
      <c r="C1295" s="1" t="n">
        <v>45364</v>
      </c>
      <c r="D1295" t="inlineStr">
        <is>
          <t>KALMAR LÄN</t>
        </is>
      </c>
      <c r="E1295" t="inlineStr">
        <is>
          <t>VIMMERBY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1985-2024</t>
        </is>
      </c>
      <c r="B1296" s="1" t="n">
        <v>45308</v>
      </c>
      <c r="C1296" s="1" t="n">
        <v>45364</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1986-2024</t>
        </is>
      </c>
      <c r="B1297" s="1" t="n">
        <v>45308</v>
      </c>
      <c r="C1297" s="1" t="n">
        <v>45364</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1978-2024</t>
        </is>
      </c>
      <c r="B1298" s="1" t="n">
        <v>45308</v>
      </c>
      <c r="C1298" s="1" t="n">
        <v>45364</v>
      </c>
      <c r="D1298" t="inlineStr">
        <is>
          <t>KALMAR LÄN</t>
        </is>
      </c>
      <c r="E1298" t="inlineStr">
        <is>
          <t>VIMMERBY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2157-2024</t>
        </is>
      </c>
      <c r="B1299" s="1" t="n">
        <v>45309</v>
      </c>
      <c r="C1299" s="1" t="n">
        <v>45364</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2213-2024</t>
        </is>
      </c>
      <c r="B1300" s="1" t="n">
        <v>45309</v>
      </c>
      <c r="C1300" s="1" t="n">
        <v>45364</v>
      </c>
      <c r="D1300" t="inlineStr">
        <is>
          <t>KALMAR LÄN</t>
        </is>
      </c>
      <c r="E1300" t="inlineStr">
        <is>
          <t>VIMMERBY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2330-2024</t>
        </is>
      </c>
      <c r="B1301" s="1" t="n">
        <v>45310</v>
      </c>
      <c r="C1301" s="1" t="n">
        <v>45364</v>
      </c>
      <c r="D1301" t="inlineStr">
        <is>
          <t>KALMAR LÄN</t>
        </is>
      </c>
      <c r="E1301" t="inlineStr">
        <is>
          <t>VIMMERBY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2331-2024</t>
        </is>
      </c>
      <c r="B1302" s="1" t="n">
        <v>45310</v>
      </c>
      <c r="C1302" s="1" t="n">
        <v>45364</v>
      </c>
      <c r="D1302" t="inlineStr">
        <is>
          <t>KALMAR LÄN</t>
        </is>
      </c>
      <c r="E1302" t="inlineStr">
        <is>
          <t>VIMMERBY</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3028-2024</t>
        </is>
      </c>
      <c r="B1303" s="1" t="n">
        <v>45316</v>
      </c>
      <c r="C1303" s="1" t="n">
        <v>45364</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3029-2024</t>
        </is>
      </c>
      <c r="B1304" s="1" t="n">
        <v>45316</v>
      </c>
      <c r="C1304" s="1" t="n">
        <v>45364</v>
      </c>
      <c r="D1304" t="inlineStr">
        <is>
          <t>KALMAR LÄN</t>
        </is>
      </c>
      <c r="E1304" t="inlineStr">
        <is>
          <t>VIMMERBY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3031-2024</t>
        </is>
      </c>
      <c r="B1305" s="1" t="n">
        <v>45316</v>
      </c>
      <c r="C1305" s="1" t="n">
        <v>45364</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3156-2024</t>
        </is>
      </c>
      <c r="B1306" s="1" t="n">
        <v>45316</v>
      </c>
      <c r="C1306" s="1" t="n">
        <v>45364</v>
      </c>
      <c r="D1306" t="inlineStr">
        <is>
          <t>KALMAR LÄN</t>
        </is>
      </c>
      <c r="E1306" t="inlineStr">
        <is>
          <t>VIMMERBY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3269-2024</t>
        </is>
      </c>
      <c r="B1307" s="1" t="n">
        <v>45317</v>
      </c>
      <c r="C1307" s="1" t="n">
        <v>45364</v>
      </c>
      <c r="D1307" t="inlineStr">
        <is>
          <t>KALMAR LÄN</t>
        </is>
      </c>
      <c r="E1307" t="inlineStr">
        <is>
          <t>VIMMERBY</t>
        </is>
      </c>
      <c r="F1307" t="inlineStr">
        <is>
          <t>Övriga Aktiebolag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3268-2024</t>
        </is>
      </c>
      <c r="B1308" s="1" t="n">
        <v>45317</v>
      </c>
      <c r="C1308" s="1" t="n">
        <v>45364</v>
      </c>
      <c r="D1308" t="inlineStr">
        <is>
          <t>KALMAR LÄN</t>
        </is>
      </c>
      <c r="E1308" t="inlineStr">
        <is>
          <t>VIMMERBY</t>
        </is>
      </c>
      <c r="F1308" t="inlineStr">
        <is>
          <t>Övriga Aktiebolag</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3373-2024</t>
        </is>
      </c>
      <c r="B1309" s="1" t="n">
        <v>45317</v>
      </c>
      <c r="C1309" s="1" t="n">
        <v>45364</v>
      </c>
      <c r="D1309" t="inlineStr">
        <is>
          <t>KALMAR LÄN</t>
        </is>
      </c>
      <c r="E1309" t="inlineStr">
        <is>
          <t>VIMMERBY</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3609-2024</t>
        </is>
      </c>
      <c r="B1310" s="1" t="n">
        <v>45320</v>
      </c>
      <c r="C1310" s="1" t="n">
        <v>45364</v>
      </c>
      <c r="D1310" t="inlineStr">
        <is>
          <t>KALMAR LÄN</t>
        </is>
      </c>
      <c r="E1310" t="inlineStr">
        <is>
          <t>VIMMERBY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4058-2024</t>
        </is>
      </c>
      <c r="B1311" s="1" t="n">
        <v>45323</v>
      </c>
      <c r="C1311" s="1" t="n">
        <v>45364</v>
      </c>
      <c r="D1311" t="inlineStr">
        <is>
          <t>KALMAR LÄN</t>
        </is>
      </c>
      <c r="E1311" t="inlineStr">
        <is>
          <t>VIMMERBY</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4359-2024</t>
        </is>
      </c>
      <c r="B1312" s="1" t="n">
        <v>45325</v>
      </c>
      <c r="C1312" s="1" t="n">
        <v>45364</v>
      </c>
      <c r="D1312" t="inlineStr">
        <is>
          <t>KALMAR LÄN</t>
        </is>
      </c>
      <c r="E1312" t="inlineStr">
        <is>
          <t>VIMMERBY</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4622-2024</t>
        </is>
      </c>
      <c r="B1313" s="1" t="n">
        <v>45328</v>
      </c>
      <c r="C1313" s="1" t="n">
        <v>45364</v>
      </c>
      <c r="D1313" t="inlineStr">
        <is>
          <t>KALMAR LÄN</t>
        </is>
      </c>
      <c r="E1313" t="inlineStr">
        <is>
          <t>VIMMERBY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4624-2024</t>
        </is>
      </c>
      <c r="B1314" s="1" t="n">
        <v>45328</v>
      </c>
      <c r="C1314" s="1" t="n">
        <v>45364</v>
      </c>
      <c r="D1314" t="inlineStr">
        <is>
          <t>KALMAR LÄN</t>
        </is>
      </c>
      <c r="E1314" t="inlineStr">
        <is>
          <t>VIMMERBY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4861-2024</t>
        </is>
      </c>
      <c r="B1315" s="1" t="n">
        <v>45329</v>
      </c>
      <c r="C1315" s="1" t="n">
        <v>45364</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45364</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4867-2024</t>
        </is>
      </c>
      <c r="B1317" s="1" t="n">
        <v>45329</v>
      </c>
      <c r="C1317" s="1" t="n">
        <v>45364</v>
      </c>
      <c r="D1317" t="inlineStr">
        <is>
          <t>KALMAR LÄN</t>
        </is>
      </c>
      <c r="E1317" t="inlineStr">
        <is>
          <t>VIMMERBY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5148-2024</t>
        </is>
      </c>
      <c r="B1318" s="1" t="n">
        <v>45330</v>
      </c>
      <c r="C1318" s="1" t="n">
        <v>45364</v>
      </c>
      <c r="D1318" t="inlineStr">
        <is>
          <t>KALMAR LÄN</t>
        </is>
      </c>
      <c r="E1318" t="inlineStr">
        <is>
          <t>VIMMERBY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5206-2024</t>
        </is>
      </c>
      <c r="B1319" s="1" t="n">
        <v>45330</v>
      </c>
      <c r="C1319" s="1" t="n">
        <v>45364</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5146-2024</t>
        </is>
      </c>
      <c r="B1320" s="1" t="n">
        <v>45330</v>
      </c>
      <c r="C1320" s="1" t="n">
        <v>45364</v>
      </c>
      <c r="D1320" t="inlineStr">
        <is>
          <t>KALMAR LÄN</t>
        </is>
      </c>
      <c r="E1320" t="inlineStr">
        <is>
          <t>VIMMERBY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5200-2024</t>
        </is>
      </c>
      <c r="B1321" s="1" t="n">
        <v>45330</v>
      </c>
      <c r="C1321" s="1" t="n">
        <v>45364</v>
      </c>
      <c r="D1321" t="inlineStr">
        <is>
          <t>KALMAR LÄN</t>
        </is>
      </c>
      <c r="E1321" t="inlineStr">
        <is>
          <t>VIMMERBY</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5701-2024</t>
        </is>
      </c>
      <c r="B1322" s="1" t="n">
        <v>45334</v>
      </c>
      <c r="C1322" s="1" t="n">
        <v>45364</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5703-2024</t>
        </is>
      </c>
      <c r="B1323" s="1" t="n">
        <v>45334</v>
      </c>
      <c r="C1323" s="1" t="n">
        <v>45364</v>
      </c>
      <c r="D1323" t="inlineStr">
        <is>
          <t>KALMAR LÄN</t>
        </is>
      </c>
      <c r="E1323" t="inlineStr">
        <is>
          <t>VIMMERBY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5708-2024</t>
        </is>
      </c>
      <c r="B1324" s="1" t="n">
        <v>45334</v>
      </c>
      <c r="C1324" s="1" t="n">
        <v>45364</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5704-2024</t>
        </is>
      </c>
      <c r="B1325" s="1" t="n">
        <v>45334</v>
      </c>
      <c r="C1325" s="1" t="n">
        <v>45364</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6212-2024</t>
        </is>
      </c>
      <c r="B1326" s="1" t="n">
        <v>45337</v>
      </c>
      <c r="C1326" s="1" t="n">
        <v>45364</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6373-2024</t>
        </is>
      </c>
      <c r="B1327" s="1" t="n">
        <v>45338</v>
      </c>
      <c r="C1327" s="1" t="n">
        <v>45364</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6491-2024</t>
        </is>
      </c>
      <c r="B1328" s="1" t="n">
        <v>45339</v>
      </c>
      <c r="C1328" s="1" t="n">
        <v>45364</v>
      </c>
      <c r="D1328" t="inlineStr">
        <is>
          <t>KALMAR LÄN</t>
        </is>
      </c>
      <c r="E1328" t="inlineStr">
        <is>
          <t>VIMMERBY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6508-2024</t>
        </is>
      </c>
      <c r="B1329" s="1" t="n">
        <v>45340</v>
      </c>
      <c r="C1329" s="1" t="n">
        <v>45364</v>
      </c>
      <c r="D1329" t="inlineStr">
        <is>
          <t>KALMAR LÄN</t>
        </is>
      </c>
      <c r="E1329" t="inlineStr">
        <is>
          <t>VIMMERBY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45364</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7068-2024</t>
        </is>
      </c>
      <c r="B1331" s="1" t="n">
        <v>45343</v>
      </c>
      <c r="C1331" s="1" t="n">
        <v>45364</v>
      </c>
      <c r="D1331" t="inlineStr">
        <is>
          <t>KALMAR LÄN</t>
        </is>
      </c>
      <c r="E1331" t="inlineStr">
        <is>
          <t>VIMMERBY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7456-2024</t>
        </is>
      </c>
      <c r="B1332" s="1" t="n">
        <v>45345</v>
      </c>
      <c r="C1332" s="1" t="n">
        <v>45364</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7450-2024</t>
        </is>
      </c>
      <c r="B1333" s="1" t="n">
        <v>45345</v>
      </c>
      <c r="C1333" s="1" t="n">
        <v>45364</v>
      </c>
      <c r="D1333" t="inlineStr">
        <is>
          <t>KALMAR LÄN</t>
        </is>
      </c>
      <c r="E1333" t="inlineStr">
        <is>
          <t>VIMMERBY</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7485-2024</t>
        </is>
      </c>
      <c r="B1334" s="1" t="n">
        <v>45346</v>
      </c>
      <c r="C1334" s="1" t="n">
        <v>45364</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7758-2024</t>
        </is>
      </c>
      <c r="B1335" s="1" t="n">
        <v>45349</v>
      </c>
      <c r="C1335" s="1" t="n">
        <v>45364</v>
      </c>
      <c r="D1335" t="inlineStr">
        <is>
          <t>KALMAR LÄN</t>
        </is>
      </c>
      <c r="E1335" t="inlineStr">
        <is>
          <t>VIMMERBY</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7830-2024</t>
        </is>
      </c>
      <c r="B1336" s="1" t="n">
        <v>45349</v>
      </c>
      <c r="C1336" s="1" t="n">
        <v>45364</v>
      </c>
      <c r="D1336" t="inlineStr">
        <is>
          <t>KALMAR LÄN</t>
        </is>
      </c>
      <c r="E1336" t="inlineStr">
        <is>
          <t>VIMMERBY</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7759-2024</t>
        </is>
      </c>
      <c r="B1337" s="1" t="n">
        <v>45349</v>
      </c>
      <c r="C1337" s="1" t="n">
        <v>45364</v>
      </c>
      <c r="D1337" t="inlineStr">
        <is>
          <t>KALMAR LÄN</t>
        </is>
      </c>
      <c r="E1337" t="inlineStr">
        <is>
          <t>VIMMERBY</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7829-2024</t>
        </is>
      </c>
      <c r="B1338" s="1" t="n">
        <v>45349</v>
      </c>
      <c r="C1338" s="1" t="n">
        <v>45364</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7944-2024</t>
        </is>
      </c>
      <c r="B1339" s="1" t="n">
        <v>45350</v>
      </c>
      <c r="C1339" s="1" t="n">
        <v>45364</v>
      </c>
      <c r="D1339" t="inlineStr">
        <is>
          <t>KALMAR LÄN</t>
        </is>
      </c>
      <c r="E1339" t="inlineStr">
        <is>
          <t>VIMMERBY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8043-2024</t>
        </is>
      </c>
      <c r="B1340" s="1" t="n">
        <v>45351</v>
      </c>
      <c r="C1340" s="1" t="n">
        <v>45364</v>
      </c>
      <c r="D1340" t="inlineStr">
        <is>
          <t>KALMAR LÄN</t>
        </is>
      </c>
      <c r="E1340" t="inlineStr">
        <is>
          <t>VIMMERBY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8167-2024</t>
        </is>
      </c>
      <c r="B1341" s="1" t="n">
        <v>45351</v>
      </c>
      <c r="C1341" s="1" t="n">
        <v>45364</v>
      </c>
      <c r="D1341" t="inlineStr">
        <is>
          <t>KALMAR LÄN</t>
        </is>
      </c>
      <c r="E1341" t="inlineStr">
        <is>
          <t>VIMMERBY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8214-2024</t>
        </is>
      </c>
      <c r="B1342" s="1" t="n">
        <v>45351</v>
      </c>
      <c r="C1342" s="1" t="n">
        <v>45364</v>
      </c>
      <c r="D1342" t="inlineStr">
        <is>
          <t>KALMAR LÄN</t>
        </is>
      </c>
      <c r="E1342" t="inlineStr">
        <is>
          <t>VIMMERBY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8213-2024</t>
        </is>
      </c>
      <c r="B1343" s="1" t="n">
        <v>45351</v>
      </c>
      <c r="C1343" s="1" t="n">
        <v>45364</v>
      </c>
      <c r="D1343" t="inlineStr">
        <is>
          <t>KALMAR LÄN</t>
        </is>
      </c>
      <c r="E1343" t="inlineStr">
        <is>
          <t>VIMMERBY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8540-2024</t>
        </is>
      </c>
      <c r="B1344" s="1" t="n">
        <v>45355</v>
      </c>
      <c r="C1344" s="1" t="n">
        <v>45364</v>
      </c>
      <c r="D1344" t="inlineStr">
        <is>
          <t>KALMAR LÄN</t>
        </is>
      </c>
      <c r="E1344" t="inlineStr">
        <is>
          <t>VIMMERBY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8770-2024</t>
        </is>
      </c>
      <c r="B1345" s="1" t="n">
        <v>45356</v>
      </c>
      <c r="C1345" s="1" t="n">
        <v>45364</v>
      </c>
      <c r="D1345" t="inlineStr">
        <is>
          <t>KALMAR LÄN</t>
        </is>
      </c>
      <c r="E1345" t="inlineStr">
        <is>
          <t>VIMMERBY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9418-2024</t>
        </is>
      </c>
      <c r="B1346" s="1" t="n">
        <v>45359</v>
      </c>
      <c r="C1346" s="1" t="n">
        <v>45364</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9416-2024</t>
        </is>
      </c>
      <c r="B1347" s="1" t="n">
        <v>45359</v>
      </c>
      <c r="C1347" s="1" t="n">
        <v>45364</v>
      </c>
      <c r="D1347" t="inlineStr">
        <is>
          <t>KALMAR LÄN</t>
        </is>
      </c>
      <c r="E1347" t="inlineStr">
        <is>
          <t>VIMMERBY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9624-2024</t>
        </is>
      </c>
      <c r="B1348" s="1" t="n">
        <v>45361</v>
      </c>
      <c r="C1348" s="1" t="n">
        <v>45364</v>
      </c>
      <c r="D1348" t="inlineStr">
        <is>
          <t>KALMAR LÄN</t>
        </is>
      </c>
      <c r="E1348" t="inlineStr">
        <is>
          <t>VIMMERBY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9623-2024</t>
        </is>
      </c>
      <c r="B1349" s="1" t="n">
        <v>45361</v>
      </c>
      <c r="C1349" s="1" t="n">
        <v>45364</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c r="A1350" t="inlineStr">
        <is>
          <t>A 9657-2024</t>
        </is>
      </c>
      <c r="B1350" s="1" t="n">
        <v>45362</v>
      </c>
      <c r="C1350" s="1" t="n">
        <v>45364</v>
      </c>
      <c r="D1350" t="inlineStr">
        <is>
          <t>KALMAR LÄN</t>
        </is>
      </c>
      <c r="E1350" t="inlineStr">
        <is>
          <t>VIMMERBY</t>
        </is>
      </c>
      <c r="G1350" t="n">
        <v>2.1</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2024-03-13T13:54:54Z</dcterms:created>
  <dcterms:modified xmlns:dcterms="http://purl.org/dc/terms/" xmlns:xsi="http://www.w3.org/2001/XMLSchema-instance" xsi:type="dcterms:W3CDTF">2024-03-13T13:54:55Z</dcterms:modified>
</cp:coreProperties>
</file>