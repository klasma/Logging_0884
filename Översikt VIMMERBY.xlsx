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45577</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45577</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45577</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45577</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45577</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45577</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45577</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45577</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45577</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45577</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45577</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45577</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45577</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45577</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45577</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45577</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45577</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45577</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45577</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44651-2024</t>
        </is>
      </c>
      <c r="B73" s="1" t="n">
        <v>45574</v>
      </c>
      <c r="C73" s="1" t="n">
        <v>45577</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44515-2024</t>
        </is>
      </c>
      <c r="B74" s="1" t="n">
        <v>45574</v>
      </c>
      <c r="C74" s="1" t="n">
        <v>45577</v>
      </c>
      <c r="D74" t="inlineStr">
        <is>
          <t>KALMAR LÄN</t>
        </is>
      </c>
      <c r="E74" t="inlineStr">
        <is>
          <t>VIMMERBY</t>
        </is>
      </c>
      <c r="G74" t="n">
        <v>1.4</v>
      </c>
      <c r="H74" t="n">
        <v>1</v>
      </c>
      <c r="I74" t="n">
        <v>0</v>
      </c>
      <c r="J74" t="n">
        <v>0</v>
      </c>
      <c r="K74" t="n">
        <v>1</v>
      </c>
      <c r="L74" t="n">
        <v>0</v>
      </c>
      <c r="M74" t="n">
        <v>0</v>
      </c>
      <c r="N74" t="n">
        <v>0</v>
      </c>
      <c r="O74" t="n">
        <v>1</v>
      </c>
      <c r="P74" t="n">
        <v>1</v>
      </c>
      <c r="Q74" t="n">
        <v>1</v>
      </c>
      <c r="R74" s="2" t="inlineStr">
        <is>
          <t>Knärot</t>
        </is>
      </c>
      <c r="S74">
        <f>HYPERLINK("https://klasma.github.io/Logging_0884/artfynd/A 44515-2024 artfynd.xlsx", "A 44515-2024")</f>
        <v/>
      </c>
      <c r="T74">
        <f>HYPERLINK("https://klasma.github.io/Logging_0884/kartor/A 44515-2024 karta.png", "A 44515-2024")</f>
        <v/>
      </c>
      <c r="U74">
        <f>HYPERLINK("https://klasma.github.io/Logging_0884/knärot/A 44515-2024 karta knärot.png", "A 44515-2024")</f>
        <v/>
      </c>
      <c r="V74">
        <f>HYPERLINK("https://klasma.github.io/Logging_0884/klagomål/A 44515-2024 FSC-klagomål.docx", "A 44515-2024")</f>
        <v/>
      </c>
      <c r="W74">
        <f>HYPERLINK("https://klasma.github.io/Logging_0884/klagomålsmail/A 44515-2024 FSC-klagomål mail.docx", "A 44515-2024")</f>
        <v/>
      </c>
      <c r="X74">
        <f>HYPERLINK("https://klasma.github.io/Logging_0884/tillsyn/A 44515-2024 tillsynsbegäran.docx", "A 44515-2024")</f>
        <v/>
      </c>
      <c r="Y74">
        <f>HYPERLINK("https://klasma.github.io/Logging_0884/tillsynsmail/A 44515-2024 tillsynsbegäran mail.docx", "A 44515-2024")</f>
        <v/>
      </c>
    </row>
    <row r="75" ht="15" customHeight="1">
      <c r="A75" t="inlineStr">
        <is>
          <t>A 44723-2024</t>
        </is>
      </c>
      <c r="B75" s="1" t="n">
        <v>45574</v>
      </c>
      <c r="C75" s="1" t="n">
        <v>45577</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45577</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45577</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45577</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45577</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45577</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45577</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45577</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45577</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45577</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45577</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45577</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45577</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45577</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45577</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45577</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45577</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45577</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45577</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45577</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45577</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45577</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45577</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45577</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45577</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45577</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45577</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45577</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45577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45577</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45577</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45577</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45577</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45577</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45577</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45577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45577</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45577</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45577</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45577</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45577</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45577</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45577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45577</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45577</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45577</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45577</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45577</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45577</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45577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45577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45577</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45577</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45577</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45577</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45577</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45577</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45577</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45577</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45577</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45577</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45577</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45577</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45577</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45577</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45577</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45577</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45577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45577</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45577</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45577</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45577</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45577</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45577</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45577</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45577</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45577</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45577</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45577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45577</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45577</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45577</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45577</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45577</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45577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45577</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45577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45577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45577</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45577</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45577</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45577</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45577</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45577</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45577</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45577</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45577</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45577</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45577</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45577</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45577</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45577</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45577</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45577</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45577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45577</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45577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45577</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45577</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45577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45577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45577</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45577</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45577</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45577</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45577</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45577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45577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45577</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45577</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45577</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45577</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45577</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45577</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45577</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45577</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45577</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45577</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45577</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45577</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45577</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45577</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45577</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45577</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45577</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45577</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45577</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45577</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45577</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45577</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45577</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45577</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45577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45577</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45577</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45577</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45577</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45577</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45577</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45577</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45577</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45577</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45577</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45577</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45577</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45577</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45577</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45577</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45577</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45577</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45577</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45577</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45577</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45577</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45577</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45577</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45577</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45577</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45577</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45577</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45577</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45577</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45577</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45577</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45577</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45577</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45577</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45577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45577</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45577</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45577</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45577</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45577</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45577</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45577</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45577</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45577</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45577</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45577</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45577</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45577</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45577</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45577</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45577</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45577</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45577</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45577</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45577</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45577</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45577</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45577</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45577</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45577</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45577</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45577</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45577</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45577</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45577</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45577</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45577</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45577</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45577</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45577</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45577</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45577</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45577</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45577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45577</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45577</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45577</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45577</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45577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45577</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45577</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45577</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45577</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45577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45577</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45577</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45577</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45577</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45577</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45577</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45577</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45577</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45577</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45577</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45577</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45577</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45577</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45577</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45577</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45577</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45577</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45577</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45577</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45577</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45577</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45577</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45577</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45577</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45577</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45577</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45577</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45577</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45577</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45577</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45577</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45577</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45577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45577</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45577</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45577</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45577</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45577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45577</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45577</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45577</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45577</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45577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45577</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45577</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45577</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45577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45577</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45577</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45577</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45577</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45577</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45577</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45577</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45577</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45577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45577</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45577</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45577</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45577</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45577</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45577</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45577</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45577</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45577</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45577</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45577</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45577</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45577</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45577</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45577</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45577</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45577</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45577</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45577</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45577</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45577</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45577</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45577</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45577</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45577</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45577</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45577</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45577</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45577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45577</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45577</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45577</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45577</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45577</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45577</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45577</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45577</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45577</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45577</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45577</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45577</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45577</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45577</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45577</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45577</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45577</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45577</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45577</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45577</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45577</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45577</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45577</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45577</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45577</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45577</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45577</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45577</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45577</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45577</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45577</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45577</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45577</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45577</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45577</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45577</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45577</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45577</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45577</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45577</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45577</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45577</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45577</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45577</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45577</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45577</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45577</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45577</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45577</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45577</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45577</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45577</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45577</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45577</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45577</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45577</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45577</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45577</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45577</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45577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45577</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45577</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45577</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45577</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45577</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45577</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45577</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45577</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45577</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45577</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45577</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45577</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45577</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45577</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45577</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45577</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45577</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45577</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45577</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45577</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45577</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45577</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45577</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45577</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45577</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45577</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45577</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45577</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45577</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45577</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45577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45577</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45577</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45577</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45577</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45577</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45577</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45577</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45577</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45577</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45577</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45577</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45577</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45577</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45577</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45577</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45577</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45577</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45577</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45577</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45577</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45577</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45577</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45577</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45577</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45577</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45577</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45577</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45577</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45577</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45577</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45577</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45577</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45577</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45577</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45577</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45577</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45577</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45577</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45577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45577</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45577</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45577</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45577</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45577</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45577</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45577</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45577</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45577</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45577</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45577</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45577</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45577</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45577</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45577</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45577</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45577</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45577</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45577</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45577</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45577</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45577</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45577</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45577</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45577</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45577</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45577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45577</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45577</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45577</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45577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45577</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45577</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45577</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45577</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45577</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45577</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45577</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45577</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45577</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45577</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45577</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45577</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45577</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45577</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45577</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45577</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45577</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45577</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45577</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45577</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45577</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45577</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45577</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45577</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45577</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45577</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45577</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45577</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45577</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45577</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45577</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45577</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45577</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45577</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45577</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45577</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45577</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45577</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45577</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45577</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45577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45577</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45577</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45577</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45577</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45577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45577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45577</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45577</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45577</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45577</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45577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45577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45577</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45577</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45577</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45577</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45577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45577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45577</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45577</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45577</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45577</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45577</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45577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45577</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45577</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45577</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45577</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45577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45577</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45577</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45577</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45577</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45577</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45577</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45577</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45577</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45577</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45577</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45577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45577</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45577</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45577</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45577</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45577</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45577</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45577</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45577</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45577</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45577</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45577</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45577</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45577</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45577</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45577</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45577</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45577</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45577</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45577</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45577</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45577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45577</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45577</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45577</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45577</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45577</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45577</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45577</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45577</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45577</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45577</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45577</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45577</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45577</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45577</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45577</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45577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45577</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45577</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45577</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45577</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45577</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45577</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45577</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45577</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45577</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45577</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45577</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45577</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45577</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45577</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45577</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45577</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45577</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45577</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45577</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45577</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45577</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45577</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45577</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45577</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45577</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45577</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45577</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45577</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45577</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45577</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45577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45577</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45577</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45577</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45577</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45577</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45577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45577</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45577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45577</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45577</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45577</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45577</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45577</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45577</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45577</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45577</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45577</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45577</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45577</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45577</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45577</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45577</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45577</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45577</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45577</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45577</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45577</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45577</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45577</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45577</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45577</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45577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45577</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45577</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45577</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45577</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45577</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45577</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45577</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45577</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45577</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45577</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45577</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45577</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45577</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45577</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45577</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45577</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45577</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45577</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45577</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45577</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45577</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45577</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45577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45577</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45577</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45577</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45577</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45577</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45577</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45577</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45577</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45577</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45577</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45577</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45577</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45577</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45577</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45577</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45577</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45577</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45577</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45577</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45577</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45577</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45577</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45577</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45577</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45577</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45577</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45577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45577</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45577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45577</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45577</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45577</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45577</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45577</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45577</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45577</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45577</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45577</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45577</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45577</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45577</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45577</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45577</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45577</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45577</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45577</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45577</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45577</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45577</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45577</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45577</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45577</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45577</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45577</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45577</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45577</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45577</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45577</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45577</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45577</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45577</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45577</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45577</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45577</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45577</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45577</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45577</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45577</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45577</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45577</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45577</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45577</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45577</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45577</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45577</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45577</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45577</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45577</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45577</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45577</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45577</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45577</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45577</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45577</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45577</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45577</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45577</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45577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45577</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45577</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45577</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45577</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45577</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45577</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45577</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45577</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45577</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45577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45577</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45577</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45577</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45577</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45577</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45577</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45577</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45577</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45577</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45577</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45577</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45577</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45577</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45577</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45577</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45577</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45577</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45577</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45577</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45577</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45577</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45577</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45577</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45577</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45577</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45577</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45577</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45577</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45577</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45577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45577</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45577</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45577</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45577</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45577</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45577</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45577</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45577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45577</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45577</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45577</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45577</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45577</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45577</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45577</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45577</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45577</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45577</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45577</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45577</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45577</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45577</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45577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45577</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45577</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45577</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45577</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45577</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45577</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45577</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45577</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45577</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45577</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45577</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45577</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45577</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45577</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45577</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45577</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45577</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45577</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45577</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45577</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45577</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45577</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45577</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45577</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45577</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45577</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45577</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45577</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45577</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45577</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45577</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45577</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45577</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45577</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45577</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45577</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45577</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45577</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45577</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45577</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45577</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45577</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45577</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45577</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45577</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45577</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45577</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45577</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45577</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45577</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45577</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45577</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45577</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45577</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45577</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45577</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45577</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45577</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45577</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45577</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45577</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45577</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45577</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45577</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45577</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45577</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45577</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45577</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45577</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45577</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45577</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45577</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45577</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45577</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45577</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45577</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45577</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45577</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45577</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45577</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45577</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45577</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45577</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45577</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45577</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45577</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45577</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45577</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45577</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45577</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45577</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45577</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45577</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45577</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45577</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45577</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45577</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45577</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45577</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45577</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45577</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45577</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45577</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45577</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45577</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45577</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45577</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45577</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45577</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45577</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45577</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45577</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45577</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45577</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45577</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45577</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45577</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45577</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45577</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45577</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45577</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45577</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45577</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45577</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45577</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45577</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45577</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45577</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45577</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45577</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45577</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45577</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45577</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45577</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45577</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45577</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45577</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45577</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45577</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45577</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45577</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45577</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45577</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45577</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45577</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45577</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45577</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45577</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45577</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45577</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45577</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45577</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45577</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45577</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45577</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45577</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45577</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45577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45577</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45577</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45577</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45577</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45577</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45577</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45577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45577</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45577</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45577</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45577</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45577</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45577</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45577</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45577</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45577</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45577</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45577</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45577</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45577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45577</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45577</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45577</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45577</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45577</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45577</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45577</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45577</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45577</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45577</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45577</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45577</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45577</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45577</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45577</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45577</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45577</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45577</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45577</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45577</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45577</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45577</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45577</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45577</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45577</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45577</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45577</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45577</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45577</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45577</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45577</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45577</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45577</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45577</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45577</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45577</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45577</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45577</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45577</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45577</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45577</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45577</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45577</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45577</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45577</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45577</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45577</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45577</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45577</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45577</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45577</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45577</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45577</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45577</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45577</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45577</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45577</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45577</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45577</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45577</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45577</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45577</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45577</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45577</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45577</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45577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45577</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45577</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45577</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45577</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45577</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45577</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45577</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45577</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45577</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45577</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45577</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45577</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45577</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45577</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45577</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45577</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45577</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45577</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45577</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45577</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45577</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45577</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45577</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45577</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45577</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45577</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45577</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45577</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45577</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45577</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45577</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45577</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45577</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45577</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45577</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45577</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45577</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45577</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45577</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45577</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45577</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45577</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45577</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45577</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45577</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45577</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45577</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45577</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45577</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45577</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45577</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45577</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45577</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45577</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45577</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45577</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45577</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45577</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45577</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45577</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45577</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45577</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45577</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45577</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45577</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45577</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45577</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45577</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45577</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45577</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45577</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45577</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45577</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45577</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45577</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45577</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45577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45577</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45577</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45577</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45577</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45577</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45577</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45577</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45577</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45577</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45577</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45577</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45577</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45577</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45577</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45577</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45577</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45577</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45577</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45577</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45577</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45577</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45577</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45577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45577</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45577</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45577</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45577</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45577</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45577</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45577</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45577</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45577</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45577</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45577</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45577</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45577</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45577</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45577</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45577</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45577</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45577</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45577</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45577</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45577</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45577</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45577</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45577</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45577</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45577</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45577</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45577</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45577</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45577</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45577</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45577</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45577</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45577</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45577</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45577</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45577</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45577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45577</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45577</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45577</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45577</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45577</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45577</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45577</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45577</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45577</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45577</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45577</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45577</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45577</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45577</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45577</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45577</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45577</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45577</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45577</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45577</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45577</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45577</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45577</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45577</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45577</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45577</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45577</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45577</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45577</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45577</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45577</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45577</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45577</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45577</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45577</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45577</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45577</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45577</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45577</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45577</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45577</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45577</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45577</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45577</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45577</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45577</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45577</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45577</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45577</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45577</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45577</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45577</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45577</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45577</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45577</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45577</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45577</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45577</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45577</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45577</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45577</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45577</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45577</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45577</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45577</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45577</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45577</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45577</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45577</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45577</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45577</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45577</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45577</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45577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45577</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45577</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45577</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45577</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45577</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45577</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45577</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45577</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45577</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45577</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45577</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45577</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45577</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45577</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45577</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45577</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45577</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45577</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45577</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45577</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45577</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45577</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45577</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45577</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45577</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45577</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45577</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45577</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45577</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40256-2024</t>
        </is>
      </c>
      <c r="B1388" s="1" t="n">
        <v>45554</v>
      </c>
      <c r="C1388" s="1" t="n">
        <v>45577</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40255-2024</t>
        </is>
      </c>
      <c r="B1389" s="1" t="n">
        <v>45554</v>
      </c>
      <c r="C1389" s="1" t="n">
        <v>45577</v>
      </c>
      <c r="D1389" t="inlineStr">
        <is>
          <t>KALMAR LÄN</t>
        </is>
      </c>
      <c r="E1389" t="inlineStr">
        <is>
          <t>VIMMERBY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40260-2024</t>
        </is>
      </c>
      <c r="B1390" s="1" t="n">
        <v>45554</v>
      </c>
      <c r="C1390" s="1" t="n">
        <v>45577</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45577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45577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45577</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45577</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40782-2024</t>
        </is>
      </c>
      <c r="B1395" s="1" t="n">
        <v>45558</v>
      </c>
      <c r="C1395" s="1" t="n">
        <v>45577</v>
      </c>
      <c r="D1395" t="inlineStr">
        <is>
          <t>KALMAR LÄN</t>
        </is>
      </c>
      <c r="E1395" t="inlineStr">
        <is>
          <t>VIMMERBY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45577</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45577</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45577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45577</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45577</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45577</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45577</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45577</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45577</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45577</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45577</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45577</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45577</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43084-2024</t>
        </is>
      </c>
      <c r="B1409" s="1" t="n">
        <v>45567</v>
      </c>
      <c r="C1409" s="1" t="n">
        <v>45577</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43088-2024</t>
        </is>
      </c>
      <c r="B1410" s="1" t="n">
        <v>45567</v>
      </c>
      <c r="C1410" s="1" t="n">
        <v>45577</v>
      </c>
      <c r="D1410" t="inlineStr">
        <is>
          <t>KALMAR LÄN</t>
        </is>
      </c>
      <c r="E1410" t="inlineStr">
        <is>
          <t>VIMMERBY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43093-2024</t>
        </is>
      </c>
      <c r="B1411" s="1" t="n">
        <v>45567</v>
      </c>
      <c r="C1411" s="1" t="n">
        <v>45577</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45577</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45577</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43122-2024</t>
        </is>
      </c>
      <c r="B1414" s="1" t="n">
        <v>45567</v>
      </c>
      <c r="C1414" s="1" t="n">
        <v>45577</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45577</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45577</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45577</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45577</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45577</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45577</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45577</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45577</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43594-2024</t>
        </is>
      </c>
      <c r="B1423" s="1" t="n">
        <v>45569</v>
      </c>
      <c r="C1423" s="1" t="n">
        <v>45577</v>
      </c>
      <c r="D1423" t="inlineStr">
        <is>
          <t>KALMAR LÄN</t>
        </is>
      </c>
      <c r="E1423" t="inlineStr">
        <is>
          <t>VIMMERBY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45577</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45577</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45577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45577</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43822-2024</t>
        </is>
      </c>
      <c r="B1428" s="1" t="n">
        <v>45571</v>
      </c>
      <c r="C1428" s="1" t="n">
        <v>45577</v>
      </c>
      <c r="D1428" t="inlineStr">
        <is>
          <t>KALMAR LÄN</t>
        </is>
      </c>
      <c r="E1428" t="inlineStr">
        <is>
          <t>VIMMERBY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45577</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45577</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45577</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45577</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45577</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45577</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45577</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c r="A1436" t="inlineStr">
        <is>
          <t>A 45253-2024</t>
        </is>
      </c>
      <c r="B1436" s="1" t="n">
        <v>45576</v>
      </c>
      <c r="C1436" s="1" t="n">
        <v>45577</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2024-10-12T13:11:11Z</dcterms:created>
  <dcterms:modified xmlns:dcterms="http://purl.org/dc/terms/" xmlns:xsi="http://www.w3.org/2001/XMLSchema-instance" xsi:type="dcterms:W3CDTF">2024-10-12T13:11:12Z</dcterms:modified>
</cp:coreProperties>
</file>