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46205</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46205</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46205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46205</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46205</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46205</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1023-2024</t>
        </is>
      </c>
      <c r="B8" s="1" t="n">
        <v>45301</v>
      </c>
      <c r="C8" s="1" t="n">
        <v>46205</v>
      </c>
      <c r="D8" t="inlineStr">
        <is>
          <t>KALMAR LÄN</t>
        </is>
      </c>
      <c r="E8" t="inlineStr">
        <is>
          <t>VIMMERBY</t>
        </is>
      </c>
      <c r="G8" t="n">
        <v>4.4</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32645-2023</t>
        </is>
      </c>
      <c r="B9" s="1" t="n">
        <v>45121</v>
      </c>
      <c r="C9" s="1" t="n">
        <v>46205</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16954-2025</t>
        </is>
      </c>
      <c r="B10" s="1" t="n">
        <v>45755</v>
      </c>
      <c r="C10" s="1" t="n">
        <v>46205</v>
      </c>
      <c r="D10" t="inlineStr">
        <is>
          <t>KALMAR LÄN</t>
        </is>
      </c>
      <c r="E10" t="inlineStr">
        <is>
          <t>VIMMERBY</t>
        </is>
      </c>
      <c r="G10" t="n">
        <v>3.5</v>
      </c>
      <c r="H10" t="n">
        <v>4</v>
      </c>
      <c r="I10" t="n">
        <v>0</v>
      </c>
      <c r="J10" t="n">
        <v>2</v>
      </c>
      <c r="K10" t="n">
        <v>1</v>
      </c>
      <c r="L10" t="n">
        <v>0</v>
      </c>
      <c r="M10" t="n">
        <v>0</v>
      </c>
      <c r="N10" t="n">
        <v>0</v>
      </c>
      <c r="O10" t="n">
        <v>3</v>
      </c>
      <c r="P10" t="n">
        <v>1</v>
      </c>
      <c r="Q10" t="n">
        <v>5</v>
      </c>
      <c r="R10" s="2" t="inlineStr">
        <is>
          <t>Knärot
Talltita
Ullticka
Spillkråka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v>
      </c>
      <c r="C11" s="1" t="n">
        <v>46205</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25192-2026</t>
        </is>
      </c>
      <c r="B12" s="1" t="n">
        <v>46175</v>
      </c>
      <c r="C12" s="1" t="n">
        <v>46205</v>
      </c>
      <c r="D12" t="inlineStr">
        <is>
          <t>KALMAR LÄN</t>
        </is>
      </c>
      <c r="E12" t="inlineStr">
        <is>
          <t>VIMMERBY</t>
        </is>
      </c>
      <c r="G12" t="n">
        <v>3.2</v>
      </c>
      <c r="H12" t="n">
        <v>4</v>
      </c>
      <c r="I12" t="n">
        <v>0</v>
      </c>
      <c r="J12" t="n">
        <v>2</v>
      </c>
      <c r="K12" t="n">
        <v>1</v>
      </c>
      <c r="L12" t="n">
        <v>0</v>
      </c>
      <c r="M12" t="n">
        <v>0</v>
      </c>
      <c r="N12" t="n">
        <v>0</v>
      </c>
      <c r="O12" t="n">
        <v>3</v>
      </c>
      <c r="P12" t="n">
        <v>1</v>
      </c>
      <c r="Q12" t="n">
        <v>5</v>
      </c>
      <c r="R12" s="2" t="inlineStr">
        <is>
          <t>Knärot
Grönsångare
Tallticka
Fläcknycklar
Revlummer</t>
        </is>
      </c>
      <c r="S12">
        <f>HYPERLINK("https://klasma.github.io/Logging_0884/artfynd/A 25192-2026 artfynd.xlsx", "A 25192-2026")</f>
        <v/>
      </c>
      <c r="T12">
        <f>HYPERLINK("https://klasma.github.io/Logging_0884/kartor/A 25192-2026 karta.png", "A 25192-2026")</f>
        <v/>
      </c>
      <c r="U12">
        <f>HYPERLINK("https://klasma.github.io/Logging_0884/knärot/A 25192-2026 karta knärot.png", "A 25192-2026")</f>
        <v/>
      </c>
      <c r="V12">
        <f>HYPERLINK("https://klasma.github.io/Logging_0884/klagomål/A 25192-2026 FSC-klagomål.docx", "A 25192-2026")</f>
        <v/>
      </c>
      <c r="W12">
        <f>HYPERLINK("https://klasma.github.io/Logging_0884/klagomålsmail/A 25192-2026 FSC-klagomål mail.docx", "A 25192-2026")</f>
        <v/>
      </c>
      <c r="X12">
        <f>HYPERLINK("https://klasma.github.io/Logging_0884/tillsyn/A 25192-2026 tillsynsbegäran.docx", "A 25192-2026")</f>
        <v/>
      </c>
      <c r="Y12">
        <f>HYPERLINK("https://klasma.github.io/Logging_0884/tillsynsmail/A 25192-2026 tillsynsbegäran mail.docx", "A 25192-2026")</f>
        <v/>
      </c>
      <c r="Z12">
        <f>HYPERLINK("https://klasma.github.io/Logging_0884/fåglar/A 25192-2026 prioriterade fågelarter.docx", "A 25192-2026")</f>
        <v/>
      </c>
    </row>
    <row r="13" ht="15" customHeight="1">
      <c r="A13" t="inlineStr">
        <is>
          <t>A 3075-2025</t>
        </is>
      </c>
      <c r="B13" s="1" t="n">
        <v>45678</v>
      </c>
      <c r="C13" s="1" t="n">
        <v>46205</v>
      </c>
      <c r="D13" t="inlineStr">
        <is>
          <t>KALMAR LÄN</t>
        </is>
      </c>
      <c r="E13" t="inlineStr">
        <is>
          <t>VIMMERBY</t>
        </is>
      </c>
      <c r="G13" t="n">
        <v>4.5</v>
      </c>
      <c r="H13" t="n">
        <v>4</v>
      </c>
      <c r="I13" t="n">
        <v>0</v>
      </c>
      <c r="J13" t="n">
        <v>1</v>
      </c>
      <c r="K13" t="n">
        <v>1</v>
      </c>
      <c r="L13" t="n">
        <v>0</v>
      </c>
      <c r="M13" t="n">
        <v>0</v>
      </c>
      <c r="N13" t="n">
        <v>0</v>
      </c>
      <c r="O13" t="n">
        <v>2</v>
      </c>
      <c r="P13" t="n">
        <v>1</v>
      </c>
      <c r="Q13" t="n">
        <v>4</v>
      </c>
      <c r="R13" s="2" t="inlineStr">
        <is>
          <t>Knärot
Talltita
Spillkråka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57053-2025</t>
        </is>
      </c>
      <c r="B14" s="1" t="n">
        <v>45979</v>
      </c>
      <c r="C14" s="1" t="n">
        <v>46205</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23602-2023</t>
        </is>
      </c>
      <c r="B15" s="1" t="n">
        <v>45077</v>
      </c>
      <c r="C15" s="1" t="n">
        <v>46205</v>
      </c>
      <c r="D15" t="inlineStr">
        <is>
          <t>KALMAR LÄN</t>
        </is>
      </c>
      <c r="E15" t="inlineStr">
        <is>
          <t>VIMMERBY</t>
        </is>
      </c>
      <c r="G15" t="n">
        <v>1.6</v>
      </c>
      <c r="H15" t="n">
        <v>0</v>
      </c>
      <c r="I15" t="n">
        <v>2</v>
      </c>
      <c r="J15" t="n">
        <v>1</v>
      </c>
      <c r="K15" t="n">
        <v>0</v>
      </c>
      <c r="L15" t="n">
        <v>0</v>
      </c>
      <c r="M15" t="n">
        <v>0</v>
      </c>
      <c r="N15" t="n">
        <v>0</v>
      </c>
      <c r="O15" t="n">
        <v>1</v>
      </c>
      <c r="P15" t="n">
        <v>0</v>
      </c>
      <c r="Q15" t="n">
        <v>3</v>
      </c>
      <c r="R15" s="2" t="inlineStr">
        <is>
          <t>Vedtrappmossa
Terpentinmossa
Vanlig rörsvepemossa</t>
        </is>
      </c>
      <c r="S15">
        <f>HYPERLINK("https://klasma.github.io/Logging_0884/artfynd/A 23602-2023 artfynd.xlsx", "A 23602-2023")</f>
        <v/>
      </c>
      <c r="T15">
        <f>HYPERLINK("https://klasma.github.io/Logging_0884/kartor/A 23602-2023 karta.png", "A 23602-2023")</f>
        <v/>
      </c>
      <c r="V15">
        <f>HYPERLINK("https://klasma.github.io/Logging_0884/klagomål/A 23602-2023 FSC-klagomål.docx", "A 23602-2023")</f>
        <v/>
      </c>
      <c r="W15">
        <f>HYPERLINK("https://klasma.github.io/Logging_0884/klagomålsmail/A 23602-2023 FSC-klagomål mail.docx", "A 23602-2023")</f>
        <v/>
      </c>
      <c r="X15">
        <f>HYPERLINK("https://klasma.github.io/Logging_0884/tillsyn/A 23602-2023 tillsynsbegäran.docx", "A 23602-2023")</f>
        <v/>
      </c>
      <c r="Y15">
        <f>HYPERLINK("https://klasma.github.io/Logging_0884/tillsynsmail/A 23602-2023 tillsynsbegäran mail.docx", "A 23602-2023")</f>
        <v/>
      </c>
    </row>
    <row r="16" ht="15" customHeight="1">
      <c r="A16" t="inlineStr">
        <is>
          <t>A 14426-2026</t>
        </is>
      </c>
      <c r="B16" s="1" t="n">
        <v>46100</v>
      </c>
      <c r="C16" s="1" t="n">
        <v>46205</v>
      </c>
      <c r="D16" t="inlineStr">
        <is>
          <t>KALMAR LÄN</t>
        </is>
      </c>
      <c r="E16" t="inlineStr">
        <is>
          <t>VIMMERBY</t>
        </is>
      </c>
      <c r="F16" t="inlineStr">
        <is>
          <t>Kyrkan</t>
        </is>
      </c>
      <c r="G16" t="n">
        <v>8.6</v>
      </c>
      <c r="H16" t="n">
        <v>1</v>
      </c>
      <c r="I16" t="n">
        <v>0</v>
      </c>
      <c r="J16" t="n">
        <v>1</v>
      </c>
      <c r="K16" t="n">
        <v>1</v>
      </c>
      <c r="L16" t="n">
        <v>0</v>
      </c>
      <c r="M16" t="n">
        <v>0</v>
      </c>
      <c r="N16" t="n">
        <v>0</v>
      </c>
      <c r="O16" t="n">
        <v>2</v>
      </c>
      <c r="P16" t="n">
        <v>1</v>
      </c>
      <c r="Q16" t="n">
        <v>3</v>
      </c>
      <c r="R16" s="2" t="inlineStr">
        <is>
          <t>Knärot
Tallticka
Linnea</t>
        </is>
      </c>
      <c r="S16">
        <f>HYPERLINK("https://klasma.github.io/Logging_0884/artfynd/A 14426-2026 artfynd.xlsx", "A 14426-2026")</f>
        <v/>
      </c>
      <c r="T16">
        <f>HYPERLINK("https://klasma.github.io/Logging_0884/kartor/A 14426-2026 karta.png", "A 14426-2026")</f>
        <v/>
      </c>
      <c r="U16">
        <f>HYPERLINK("https://klasma.github.io/Logging_0884/knärot/A 14426-2026 karta knärot.png", "A 14426-2026")</f>
        <v/>
      </c>
      <c r="V16">
        <f>HYPERLINK("https://klasma.github.io/Logging_0884/klagomål/A 14426-2026 FSC-klagomål.docx", "A 14426-2026")</f>
        <v/>
      </c>
      <c r="W16">
        <f>HYPERLINK("https://klasma.github.io/Logging_0884/klagomålsmail/A 14426-2026 FSC-klagomål mail.docx", "A 14426-2026")</f>
        <v/>
      </c>
      <c r="X16">
        <f>HYPERLINK("https://klasma.github.io/Logging_0884/tillsyn/A 14426-2026 tillsynsbegäran.docx", "A 14426-2026")</f>
        <v/>
      </c>
      <c r="Y16">
        <f>HYPERLINK("https://klasma.github.io/Logging_0884/tillsynsmail/A 14426-2026 tillsynsbegäran mail.docx", "A 14426-2026")</f>
        <v/>
      </c>
    </row>
    <row r="17" ht="15" customHeight="1">
      <c r="A17" t="inlineStr">
        <is>
          <t>A 14584-2025</t>
        </is>
      </c>
      <c r="B17" s="1" t="n">
        <v>45742</v>
      </c>
      <c r="C17" s="1" t="n">
        <v>46205</v>
      </c>
      <c r="D17" t="inlineStr">
        <is>
          <t>KALMAR LÄN</t>
        </is>
      </c>
      <c r="E17" t="inlineStr">
        <is>
          <t>VIMMERBY</t>
        </is>
      </c>
      <c r="G17" t="n">
        <v>5.4</v>
      </c>
      <c r="H17" t="n">
        <v>2</v>
      </c>
      <c r="I17" t="n">
        <v>1</v>
      </c>
      <c r="J17" t="n">
        <v>0</v>
      </c>
      <c r="K17" t="n">
        <v>1</v>
      </c>
      <c r="L17" t="n">
        <v>0</v>
      </c>
      <c r="M17" t="n">
        <v>0</v>
      </c>
      <c r="N17" t="n">
        <v>0</v>
      </c>
      <c r="O17" t="n">
        <v>1</v>
      </c>
      <c r="P17" t="n">
        <v>1</v>
      </c>
      <c r="Q17" t="n">
        <v>3</v>
      </c>
      <c r="R17" s="2" t="inlineStr">
        <is>
          <t>Knärot
Blåmossa
Spillkråka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46824-2025</t>
        </is>
      </c>
      <c r="B18" s="1" t="n">
        <v>45926</v>
      </c>
      <c r="C18" s="1" t="n">
        <v>46205</v>
      </c>
      <c r="D18" t="inlineStr">
        <is>
          <t>KALMAR LÄN</t>
        </is>
      </c>
      <c r="E18" t="inlineStr">
        <is>
          <t>VIMMERBY</t>
        </is>
      </c>
      <c r="G18" t="n">
        <v>2.8</v>
      </c>
      <c r="H18" t="n">
        <v>1</v>
      </c>
      <c r="I18" t="n">
        <v>0</v>
      </c>
      <c r="J18" t="n">
        <v>2</v>
      </c>
      <c r="K18" t="n">
        <v>1</v>
      </c>
      <c r="L18" t="n">
        <v>0</v>
      </c>
      <c r="M18" t="n">
        <v>0</v>
      </c>
      <c r="N18" t="n">
        <v>0</v>
      </c>
      <c r="O18" t="n">
        <v>3</v>
      </c>
      <c r="P18" t="n">
        <v>1</v>
      </c>
      <c r="Q18" t="n">
        <v>3</v>
      </c>
      <c r="R18" s="2" t="inlineStr">
        <is>
          <t>Knärot
Dropptaggsvamp
Fjällig taggsvamp s.str.</t>
        </is>
      </c>
      <c r="S18">
        <f>HYPERLINK("https://klasma.github.io/Logging_0884/artfynd/A 46824-2025 artfynd.xlsx", "A 46824-2025")</f>
        <v/>
      </c>
      <c r="T18">
        <f>HYPERLINK("https://klasma.github.io/Logging_0884/kartor/A 46824-2025 karta.png", "A 46824-2025")</f>
        <v/>
      </c>
      <c r="U18">
        <f>HYPERLINK("https://klasma.github.io/Logging_0884/knärot/A 46824-2025 karta knärot.png", "A 46824-2025")</f>
        <v/>
      </c>
      <c r="V18">
        <f>HYPERLINK("https://klasma.github.io/Logging_0884/klagomål/A 46824-2025 FSC-klagomål.docx", "A 46824-2025")</f>
        <v/>
      </c>
      <c r="W18">
        <f>HYPERLINK("https://klasma.github.io/Logging_0884/klagomålsmail/A 46824-2025 FSC-klagomål mail.docx", "A 46824-2025")</f>
        <v/>
      </c>
      <c r="X18">
        <f>HYPERLINK("https://klasma.github.io/Logging_0884/tillsyn/A 46824-2025 tillsynsbegäran.docx", "A 46824-2025")</f>
        <v/>
      </c>
      <c r="Y18">
        <f>HYPERLINK("https://klasma.github.io/Logging_0884/tillsynsmail/A 46824-2025 tillsynsbegäran mail.docx", "A 46824-2025")</f>
        <v/>
      </c>
    </row>
    <row r="19" ht="15" customHeight="1">
      <c r="A19" t="inlineStr">
        <is>
          <t>A 15427-2023</t>
        </is>
      </c>
      <c r="B19" s="1" t="n">
        <v>45020</v>
      </c>
      <c r="C19" s="1" t="n">
        <v>46205</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46205</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v>
      </c>
      <c r="C21" s="1" t="n">
        <v>46205</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46205</v>
      </c>
      <c r="D22" t="inlineStr">
        <is>
          <t>KALMAR LÄN</t>
        </is>
      </c>
      <c r="E22" t="inlineStr">
        <is>
          <t>VIMMERBY</t>
        </is>
      </c>
      <c r="G22" t="n">
        <v>2</v>
      </c>
      <c r="H22" t="n">
        <v>1</v>
      </c>
      <c r="I22" t="n">
        <v>0</v>
      </c>
      <c r="J22" t="n">
        <v>1</v>
      </c>
      <c r="K22" t="n">
        <v>1</v>
      </c>
      <c r="L22" t="n">
        <v>0</v>
      </c>
      <c r="M22" t="n">
        <v>0</v>
      </c>
      <c r="N22" t="n">
        <v>0</v>
      </c>
      <c r="O22" t="n">
        <v>2</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37930-2021</t>
        </is>
      </c>
      <c r="B23" s="1" t="n">
        <v>44403</v>
      </c>
      <c r="C23" s="1" t="n">
        <v>46205</v>
      </c>
      <c r="D23" t="inlineStr">
        <is>
          <t>KALMAR LÄN</t>
        </is>
      </c>
      <c r="E23" t="inlineStr">
        <is>
          <t>VIMMERBY</t>
        </is>
      </c>
      <c r="G23" t="n">
        <v>4.4</v>
      </c>
      <c r="H23" t="n">
        <v>1</v>
      </c>
      <c r="I23" t="n">
        <v>1</v>
      </c>
      <c r="J23" t="n">
        <v>1</v>
      </c>
      <c r="K23" t="n">
        <v>0</v>
      </c>
      <c r="L23" t="n">
        <v>0</v>
      </c>
      <c r="M23" t="n">
        <v>0</v>
      </c>
      <c r="N23" t="n">
        <v>0</v>
      </c>
      <c r="O23" t="n">
        <v>1</v>
      </c>
      <c r="P23" t="n">
        <v>0</v>
      </c>
      <c r="Q23" t="n">
        <v>2</v>
      </c>
      <c r="R23" s="2" t="inlineStr">
        <is>
          <t>Spindelört
Grön sköldmossa</t>
        </is>
      </c>
      <c r="S23">
        <f>HYPERLINK("https://klasma.github.io/Logging_0884/artfynd/A 37930-2021 artfynd.xlsx", "A 37930-2021")</f>
        <v/>
      </c>
      <c r="T23">
        <f>HYPERLINK("https://klasma.github.io/Logging_0884/kartor/A 37930-2021 karta.png", "A 37930-2021")</f>
        <v/>
      </c>
      <c r="V23">
        <f>HYPERLINK("https://klasma.github.io/Logging_0884/klagomål/A 37930-2021 FSC-klagomål.docx", "A 37930-2021")</f>
        <v/>
      </c>
      <c r="W23">
        <f>HYPERLINK("https://klasma.github.io/Logging_0884/klagomålsmail/A 37930-2021 FSC-klagomål mail.docx", "A 37930-2021")</f>
        <v/>
      </c>
      <c r="X23">
        <f>HYPERLINK("https://klasma.github.io/Logging_0884/tillsyn/A 37930-2021 tillsynsbegäran.docx", "A 37930-2021")</f>
        <v/>
      </c>
      <c r="Y23">
        <f>HYPERLINK("https://klasma.github.io/Logging_0884/tillsynsmail/A 37930-2021 tillsynsbegäran mail.docx", "A 37930-2021")</f>
        <v/>
      </c>
    </row>
    <row r="24" ht="15" customHeight="1">
      <c r="A24" t="inlineStr">
        <is>
          <t>A 42802-2025</t>
        </is>
      </c>
      <c r="B24" s="1" t="n">
        <v>45908</v>
      </c>
      <c r="C24" s="1" t="n">
        <v>46205</v>
      </c>
      <c r="D24" t="inlineStr">
        <is>
          <t>KALMAR LÄN</t>
        </is>
      </c>
      <c r="E24" t="inlineStr">
        <is>
          <t>VIMMERBY</t>
        </is>
      </c>
      <c r="G24" t="n">
        <v>2.8</v>
      </c>
      <c r="H24" t="n">
        <v>1</v>
      </c>
      <c r="I24" t="n">
        <v>1</v>
      </c>
      <c r="J24" t="n">
        <v>0</v>
      </c>
      <c r="K24" t="n">
        <v>0</v>
      </c>
      <c r="L24" t="n">
        <v>0</v>
      </c>
      <c r="M24" t="n">
        <v>0</v>
      </c>
      <c r="N24" t="n">
        <v>0</v>
      </c>
      <c r="O24" t="n">
        <v>0</v>
      </c>
      <c r="P24" t="n">
        <v>0</v>
      </c>
      <c r="Q24" t="n">
        <v>2</v>
      </c>
      <c r="R24" s="2" t="inlineStr">
        <is>
          <t>Tibast
Fläcknycklar</t>
        </is>
      </c>
      <c r="S24">
        <f>HYPERLINK("https://klasma.github.io/Logging_0884/artfynd/A 42802-2025 artfynd.xlsx", "A 42802-2025")</f>
        <v/>
      </c>
      <c r="T24">
        <f>HYPERLINK("https://klasma.github.io/Logging_0884/kartor/A 42802-2025 karta.png", "A 42802-2025")</f>
        <v/>
      </c>
      <c r="V24">
        <f>HYPERLINK("https://klasma.github.io/Logging_0884/klagomål/A 42802-2025 FSC-klagomål.docx", "A 42802-2025")</f>
        <v/>
      </c>
      <c r="W24">
        <f>HYPERLINK("https://klasma.github.io/Logging_0884/klagomålsmail/A 42802-2025 FSC-klagomål mail.docx", "A 42802-2025")</f>
        <v/>
      </c>
      <c r="X24">
        <f>HYPERLINK("https://klasma.github.io/Logging_0884/tillsyn/A 42802-2025 tillsynsbegäran.docx", "A 42802-2025")</f>
        <v/>
      </c>
      <c r="Y24">
        <f>HYPERLINK("https://klasma.github.io/Logging_0884/tillsynsmail/A 42802-2025 tillsynsbegäran mail.docx", "A 42802-2025")</f>
        <v/>
      </c>
    </row>
    <row r="25" ht="15" customHeight="1">
      <c r="A25" t="inlineStr">
        <is>
          <t>A 2518-2023</t>
        </is>
      </c>
      <c r="B25" s="1" t="n">
        <v>44943</v>
      </c>
      <c r="C25" s="1" t="n">
        <v>46205</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v>
      </c>
      <c r="C26" s="1" t="n">
        <v>46205</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40083-2023</t>
        </is>
      </c>
      <c r="B27" s="1" t="n">
        <v>45168</v>
      </c>
      <c r="C27" s="1" t="n">
        <v>46205</v>
      </c>
      <c r="D27" t="inlineStr">
        <is>
          <t>KALMAR LÄN</t>
        </is>
      </c>
      <c r="E27" t="inlineStr">
        <is>
          <t>VIMMERBY</t>
        </is>
      </c>
      <c r="G27" t="n">
        <v>2.2</v>
      </c>
      <c r="H27" t="n">
        <v>2</v>
      </c>
      <c r="I27" t="n">
        <v>0</v>
      </c>
      <c r="J27" t="n">
        <v>1</v>
      </c>
      <c r="K27" t="n">
        <v>0</v>
      </c>
      <c r="L27" t="n">
        <v>0</v>
      </c>
      <c r="M27" t="n">
        <v>0</v>
      </c>
      <c r="N27" t="n">
        <v>0</v>
      </c>
      <c r="O27" t="n">
        <v>1</v>
      </c>
      <c r="P27" t="n">
        <v>0</v>
      </c>
      <c r="Q27" t="n">
        <v>2</v>
      </c>
      <c r="R27" s="2" t="inlineStr">
        <is>
          <t>Grönsångare
Revlummer</t>
        </is>
      </c>
      <c r="S27">
        <f>HYPERLINK("https://klasma.github.io/Logging_0884/artfynd/A 40083-2023 artfynd.xlsx", "A 40083-2023")</f>
        <v/>
      </c>
      <c r="T27">
        <f>HYPERLINK("https://klasma.github.io/Logging_0884/kartor/A 40083-2023 karta.png", "A 40083-2023")</f>
        <v/>
      </c>
      <c r="V27">
        <f>HYPERLINK("https://klasma.github.io/Logging_0884/klagomål/A 40083-2023 FSC-klagomål.docx", "A 40083-2023")</f>
        <v/>
      </c>
      <c r="W27">
        <f>HYPERLINK("https://klasma.github.io/Logging_0884/klagomålsmail/A 40083-2023 FSC-klagomål mail.docx", "A 40083-2023")</f>
        <v/>
      </c>
      <c r="X27">
        <f>HYPERLINK("https://klasma.github.io/Logging_0884/tillsyn/A 40083-2023 tillsynsbegäran.docx", "A 40083-2023")</f>
        <v/>
      </c>
      <c r="Y27">
        <f>HYPERLINK("https://klasma.github.io/Logging_0884/tillsynsmail/A 40083-2023 tillsynsbegäran mail.docx", "A 40083-2023")</f>
        <v/>
      </c>
      <c r="Z27">
        <f>HYPERLINK("https://klasma.github.io/Logging_0884/fåglar/A 40083-2023 prioriterade fågelarter.docx", "A 40083-2023")</f>
        <v/>
      </c>
    </row>
    <row r="28" ht="15" customHeight="1">
      <c r="A28" t="inlineStr">
        <is>
          <t>A 40084-2023</t>
        </is>
      </c>
      <c r="B28" s="1" t="n">
        <v>45168</v>
      </c>
      <c r="C28" s="1" t="n">
        <v>46205</v>
      </c>
      <c r="D28" t="inlineStr">
        <is>
          <t>KALMAR LÄN</t>
        </is>
      </c>
      <c r="E28" t="inlineStr">
        <is>
          <t>VIMMERBY</t>
        </is>
      </c>
      <c r="G28" t="n">
        <v>1.3</v>
      </c>
      <c r="H28" t="n">
        <v>2</v>
      </c>
      <c r="I28" t="n">
        <v>0</v>
      </c>
      <c r="J28" t="n">
        <v>2</v>
      </c>
      <c r="K28" t="n">
        <v>0</v>
      </c>
      <c r="L28" t="n">
        <v>0</v>
      </c>
      <c r="M28" t="n">
        <v>0</v>
      </c>
      <c r="N28" t="n">
        <v>0</v>
      </c>
      <c r="O28" t="n">
        <v>2</v>
      </c>
      <c r="P28" t="n">
        <v>0</v>
      </c>
      <c r="Q28" t="n">
        <v>2</v>
      </c>
      <c r="R28" s="2" t="inlineStr">
        <is>
          <t>Entita
Rödvingetrast</t>
        </is>
      </c>
      <c r="S28">
        <f>HYPERLINK("https://klasma.github.io/Logging_0884/artfynd/A 40084-2023 artfynd.xlsx", "A 40084-2023")</f>
        <v/>
      </c>
      <c r="T28">
        <f>HYPERLINK("https://klasma.github.io/Logging_0884/kartor/A 40084-2023 karta.png", "A 40084-2023")</f>
        <v/>
      </c>
      <c r="V28">
        <f>HYPERLINK("https://klasma.github.io/Logging_0884/klagomål/A 40084-2023 FSC-klagomål.docx", "A 40084-2023")</f>
        <v/>
      </c>
      <c r="W28">
        <f>HYPERLINK("https://klasma.github.io/Logging_0884/klagomålsmail/A 40084-2023 FSC-klagomål mail.docx", "A 40084-2023")</f>
        <v/>
      </c>
      <c r="X28">
        <f>HYPERLINK("https://klasma.github.io/Logging_0884/tillsyn/A 40084-2023 tillsynsbegäran.docx", "A 40084-2023")</f>
        <v/>
      </c>
      <c r="Y28">
        <f>HYPERLINK("https://klasma.github.io/Logging_0884/tillsynsmail/A 40084-2023 tillsynsbegäran mail.docx", "A 40084-2023")</f>
        <v/>
      </c>
      <c r="Z28">
        <f>HYPERLINK("https://klasma.github.io/Logging_0884/fåglar/A 40084-2023 prioriterade fågelarter.docx", "A 40084-2023")</f>
        <v/>
      </c>
    </row>
    <row r="29" ht="15" customHeight="1">
      <c r="A29" t="inlineStr">
        <is>
          <t>A 22825-2023</t>
        </is>
      </c>
      <c r="B29" s="1" t="n">
        <v>45072</v>
      </c>
      <c r="C29" s="1" t="n">
        <v>46205</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46205</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v>
      </c>
      <c r="C31" s="1" t="n">
        <v>46205</v>
      </c>
      <c r="D31" t="inlineStr">
        <is>
          <t>KALMAR LÄN</t>
        </is>
      </c>
      <c r="E31" t="inlineStr">
        <is>
          <t>VIMMERBY</t>
        </is>
      </c>
      <c r="G31" t="n">
        <v>3.2</v>
      </c>
      <c r="H31" t="n">
        <v>1</v>
      </c>
      <c r="I31" t="n">
        <v>1</v>
      </c>
      <c r="J31" t="n">
        <v>0</v>
      </c>
      <c r="K31" t="n">
        <v>1</v>
      </c>
      <c r="L31" t="n">
        <v>0</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25155-2026</t>
        </is>
      </c>
      <c r="B32" s="1" t="n">
        <v>46175</v>
      </c>
      <c r="C32" s="1" t="n">
        <v>46205</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22396-2025</t>
        </is>
      </c>
      <c r="B33" s="1" t="n">
        <v>45786</v>
      </c>
      <c r="C33" s="1" t="n">
        <v>46205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row>
    <row r="34" ht="15" customHeight="1">
      <c r="A34" t="inlineStr">
        <is>
          <t>A 2604-2025</t>
        </is>
      </c>
      <c r="B34" s="1" t="n">
        <v>45674</v>
      </c>
      <c r="C34" s="1" t="n">
        <v>46205</v>
      </c>
      <c r="D34" t="inlineStr">
        <is>
          <t>KALMAR LÄN</t>
        </is>
      </c>
      <c r="E34" t="inlineStr">
        <is>
          <t>VIMMERBY</t>
        </is>
      </c>
      <c r="G34" t="n">
        <v>7.6</v>
      </c>
      <c r="H34" t="n">
        <v>0</v>
      </c>
      <c r="I34" t="n">
        <v>0</v>
      </c>
      <c r="J34" t="n">
        <v>2</v>
      </c>
      <c r="K34" t="n">
        <v>0</v>
      </c>
      <c r="L34" t="n">
        <v>0</v>
      </c>
      <c r="M34" t="n">
        <v>0</v>
      </c>
      <c r="N34" t="n">
        <v>0</v>
      </c>
      <c r="O34" t="n">
        <v>2</v>
      </c>
      <c r="P34" t="n">
        <v>0</v>
      </c>
      <c r="Q34" t="n">
        <v>2</v>
      </c>
      <c r="R34" s="2" t="inlineStr">
        <is>
          <t>Långfibbla
Spretfibbla</t>
        </is>
      </c>
      <c r="S34">
        <f>HYPERLINK("https://klasma.github.io/Logging_0884/artfynd/A 2604-2025 artfynd.xlsx", "A 2604-2025")</f>
        <v/>
      </c>
      <c r="T34">
        <f>HYPERLINK("https://klasma.github.io/Logging_0884/kartor/A 2604-2025 karta.png", "A 2604-2025")</f>
        <v/>
      </c>
      <c r="V34">
        <f>HYPERLINK("https://klasma.github.io/Logging_0884/klagomål/A 2604-2025 FSC-klagomål.docx", "A 2604-2025")</f>
        <v/>
      </c>
      <c r="W34">
        <f>HYPERLINK("https://klasma.github.io/Logging_0884/klagomålsmail/A 2604-2025 FSC-klagomål mail.docx", "A 2604-2025")</f>
        <v/>
      </c>
      <c r="X34">
        <f>HYPERLINK("https://klasma.github.io/Logging_0884/tillsyn/A 2604-2025 tillsynsbegäran.docx", "A 2604-2025")</f>
        <v/>
      </c>
      <c r="Y34">
        <f>HYPERLINK("https://klasma.github.io/Logging_0884/tillsynsmail/A 2604-2025 tillsynsbegäran mail.docx", "A 2604-2025")</f>
        <v/>
      </c>
    </row>
    <row r="35" ht="15" customHeight="1">
      <c r="A35" t="inlineStr">
        <is>
          <t>A 16288-2022</t>
        </is>
      </c>
      <c r="B35" s="1" t="n">
        <v>44670</v>
      </c>
      <c r="C35" s="1" t="n">
        <v>46205</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46205</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53404-2025</t>
        </is>
      </c>
      <c r="B37" s="1" t="n">
        <v>45959</v>
      </c>
      <c r="C37" s="1" t="n">
        <v>46205</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57062-2025</t>
        </is>
      </c>
      <c r="B38" s="1" t="n">
        <v>45979</v>
      </c>
      <c r="C38" s="1" t="n">
        <v>46205</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17511-2024</t>
        </is>
      </c>
      <c r="B39" s="1" t="n">
        <v>45415</v>
      </c>
      <c r="C39" s="1" t="n">
        <v>46205</v>
      </c>
      <c r="D39" t="inlineStr">
        <is>
          <t>KALMAR LÄN</t>
        </is>
      </c>
      <c r="E39" t="inlineStr">
        <is>
          <t>VIMMERBY</t>
        </is>
      </c>
      <c r="G39" t="n">
        <v>5.3</v>
      </c>
      <c r="H39" t="n">
        <v>0</v>
      </c>
      <c r="I39" t="n">
        <v>0</v>
      </c>
      <c r="J39" t="n">
        <v>1</v>
      </c>
      <c r="K39" t="n">
        <v>0</v>
      </c>
      <c r="L39" t="n">
        <v>0</v>
      </c>
      <c r="M39" t="n">
        <v>0</v>
      </c>
      <c r="N39" t="n">
        <v>0</v>
      </c>
      <c r="O39" t="n">
        <v>1</v>
      </c>
      <c r="P39" t="n">
        <v>0</v>
      </c>
      <c r="Q39" t="n">
        <v>1</v>
      </c>
      <c r="R39" s="2" t="inlineStr">
        <is>
          <t>Sydspärgel</t>
        </is>
      </c>
      <c r="S39">
        <f>HYPERLINK("https://klasma.github.io/Logging_0884/artfynd/A 17511-2024 artfynd.xlsx", "A 17511-2024")</f>
        <v/>
      </c>
      <c r="T39">
        <f>HYPERLINK("https://klasma.github.io/Logging_0884/kartor/A 17511-2024 karta.png", "A 17511-2024")</f>
        <v/>
      </c>
      <c r="V39">
        <f>HYPERLINK("https://klasma.github.io/Logging_0884/klagomål/A 17511-2024 FSC-klagomål.docx", "A 17511-2024")</f>
        <v/>
      </c>
      <c r="W39">
        <f>HYPERLINK("https://klasma.github.io/Logging_0884/klagomålsmail/A 17511-2024 FSC-klagomål mail.docx", "A 17511-2024")</f>
        <v/>
      </c>
      <c r="X39">
        <f>HYPERLINK("https://klasma.github.io/Logging_0884/tillsyn/A 17511-2024 tillsynsbegäran.docx", "A 17511-2024")</f>
        <v/>
      </c>
      <c r="Y39">
        <f>HYPERLINK("https://klasma.github.io/Logging_0884/tillsynsmail/A 17511-2024 tillsynsbegäran mail.docx", "A 17511-2024")</f>
        <v/>
      </c>
    </row>
    <row r="40" ht="15" customHeight="1">
      <c r="A40" t="inlineStr">
        <is>
          <t>A 61860-2024</t>
        </is>
      </c>
      <c r="B40" s="1" t="n">
        <v>45649</v>
      </c>
      <c r="C40" s="1" t="n">
        <v>46205</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15122-2024</t>
        </is>
      </c>
      <c r="B41" s="1" t="n">
        <v>45399</v>
      </c>
      <c r="C41" s="1" t="n">
        <v>46205</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46205</v>
      </c>
      <c r="D42" t="inlineStr">
        <is>
          <t>KALMAR LÄN</t>
        </is>
      </c>
      <c r="E42" t="inlineStr">
        <is>
          <t>VIMMERBY</t>
        </is>
      </c>
      <c r="G42" t="n">
        <v>1.9</v>
      </c>
      <c r="H42" t="n">
        <v>0</v>
      </c>
      <c r="I42" t="n">
        <v>0</v>
      </c>
      <c r="J42" t="n">
        <v>0</v>
      </c>
      <c r="K42" t="n">
        <v>1</v>
      </c>
      <c r="L42" t="n">
        <v>0</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46205</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44515-2024</t>
        </is>
      </c>
      <c r="B44" s="1" t="n">
        <v>45574</v>
      </c>
      <c r="C44" s="1" t="n">
        <v>46205</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5527-2022</t>
        </is>
      </c>
      <c r="B45" s="1" t="n">
        <v>44595</v>
      </c>
      <c r="C45" s="1" t="n">
        <v>46205</v>
      </c>
      <c r="D45" t="inlineStr">
        <is>
          <t>KALMAR LÄN</t>
        </is>
      </c>
      <c r="E45" t="inlineStr">
        <is>
          <t>VIMMERBY</t>
        </is>
      </c>
      <c r="G45" t="n">
        <v>3.6</v>
      </c>
      <c r="H45" t="n">
        <v>0</v>
      </c>
      <c r="I45" t="n">
        <v>0</v>
      </c>
      <c r="J45" t="n">
        <v>1</v>
      </c>
      <c r="K45" t="n">
        <v>0</v>
      </c>
      <c r="L45" t="n">
        <v>0</v>
      </c>
      <c r="M45" t="n">
        <v>0</v>
      </c>
      <c r="N45" t="n">
        <v>0</v>
      </c>
      <c r="O45" t="n">
        <v>1</v>
      </c>
      <c r="P45" t="n">
        <v>0</v>
      </c>
      <c r="Q45" t="n">
        <v>1</v>
      </c>
      <c r="R45" s="2" t="inlineStr">
        <is>
          <t>Koralltaggsvamp</t>
        </is>
      </c>
      <c r="S45">
        <f>HYPERLINK("https://klasma.github.io/Logging_0884/artfynd/A 5527-2022 artfynd.xlsx", "A 5527-2022")</f>
        <v/>
      </c>
      <c r="T45">
        <f>HYPERLINK("https://klasma.github.io/Logging_0884/kartor/A 5527-2022 karta.png", "A 5527-2022")</f>
        <v/>
      </c>
      <c r="V45">
        <f>HYPERLINK("https://klasma.github.io/Logging_0884/klagomål/A 5527-2022 FSC-klagomål.docx", "A 5527-2022")</f>
        <v/>
      </c>
      <c r="W45">
        <f>HYPERLINK("https://klasma.github.io/Logging_0884/klagomålsmail/A 5527-2022 FSC-klagomål mail.docx", "A 5527-2022")</f>
        <v/>
      </c>
      <c r="X45">
        <f>HYPERLINK("https://klasma.github.io/Logging_0884/tillsyn/A 5527-2022 tillsynsbegäran.docx", "A 5527-2022")</f>
        <v/>
      </c>
      <c r="Y45">
        <f>HYPERLINK("https://klasma.github.io/Logging_0884/tillsynsmail/A 5527-2022 tillsynsbegäran mail.docx", "A 5527-2022")</f>
        <v/>
      </c>
    </row>
    <row r="46" ht="15" customHeight="1">
      <c r="A46" t="inlineStr">
        <is>
          <t>A 1201-2025</t>
        </is>
      </c>
      <c r="B46" s="1" t="n">
        <v>45667</v>
      </c>
      <c r="C46" s="1" t="n">
        <v>46205</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6358-2022</t>
        </is>
      </c>
      <c r="B47" s="1" t="n">
        <v>44600</v>
      </c>
      <c r="C47" s="1" t="n">
        <v>46205</v>
      </c>
      <c r="D47" t="inlineStr">
        <is>
          <t>KALMAR LÄN</t>
        </is>
      </c>
      <c r="E47" t="inlineStr">
        <is>
          <t>VIMMERBY</t>
        </is>
      </c>
      <c r="G47" t="n">
        <v>1.7</v>
      </c>
      <c r="H47" t="n">
        <v>1</v>
      </c>
      <c r="I47" t="n">
        <v>1</v>
      </c>
      <c r="J47" t="n">
        <v>0</v>
      </c>
      <c r="K47" t="n">
        <v>0</v>
      </c>
      <c r="L47" t="n">
        <v>0</v>
      </c>
      <c r="M47" t="n">
        <v>0</v>
      </c>
      <c r="N47" t="n">
        <v>0</v>
      </c>
      <c r="O47" t="n">
        <v>0</v>
      </c>
      <c r="P47" t="n">
        <v>0</v>
      </c>
      <c r="Q47" t="n">
        <v>1</v>
      </c>
      <c r="R47" s="2" t="inlineStr">
        <is>
          <t>Ekoxe</t>
        </is>
      </c>
      <c r="S47">
        <f>HYPERLINK("https://klasma.github.io/Logging_0884/artfynd/A 6358-2022 artfynd.xlsx", "A 6358-2022")</f>
        <v/>
      </c>
      <c r="T47">
        <f>HYPERLINK("https://klasma.github.io/Logging_0884/kartor/A 6358-2022 karta.png", "A 6358-2022")</f>
        <v/>
      </c>
      <c r="V47">
        <f>HYPERLINK("https://klasma.github.io/Logging_0884/klagomål/A 6358-2022 FSC-klagomål.docx", "A 6358-2022")</f>
        <v/>
      </c>
      <c r="W47">
        <f>HYPERLINK("https://klasma.github.io/Logging_0884/klagomålsmail/A 6358-2022 FSC-klagomål mail.docx", "A 6358-2022")</f>
        <v/>
      </c>
      <c r="X47">
        <f>HYPERLINK("https://klasma.github.io/Logging_0884/tillsyn/A 6358-2022 tillsynsbegäran.docx", "A 6358-2022")</f>
        <v/>
      </c>
      <c r="Y47">
        <f>HYPERLINK("https://klasma.github.io/Logging_0884/tillsynsmail/A 6358-2022 tillsynsbegäran mail.docx", "A 6358-2022")</f>
        <v/>
      </c>
    </row>
    <row r="48" ht="15" customHeight="1">
      <c r="A48" t="inlineStr">
        <is>
          <t>A 29238-2026</t>
        </is>
      </c>
      <c r="B48" s="1" t="n">
        <v>46202</v>
      </c>
      <c r="C48" s="1" t="n">
        <v>46205</v>
      </c>
      <c r="D48" t="inlineStr">
        <is>
          <t>KALMAR LÄN</t>
        </is>
      </c>
      <c r="E48" t="inlineStr">
        <is>
          <t>VIMMERBY</t>
        </is>
      </c>
      <c r="G48" t="n">
        <v>2.2</v>
      </c>
      <c r="H48" t="n">
        <v>0</v>
      </c>
      <c r="I48" t="n">
        <v>1</v>
      </c>
      <c r="J48" t="n">
        <v>0</v>
      </c>
      <c r="K48" t="n">
        <v>0</v>
      </c>
      <c r="L48" t="n">
        <v>0</v>
      </c>
      <c r="M48" t="n">
        <v>0</v>
      </c>
      <c r="N48" t="n">
        <v>0</v>
      </c>
      <c r="O48" t="n">
        <v>0</v>
      </c>
      <c r="P48" t="n">
        <v>0</v>
      </c>
      <c r="Q48" t="n">
        <v>1</v>
      </c>
      <c r="R48" s="2" t="inlineStr">
        <is>
          <t>Springkorn</t>
        </is>
      </c>
      <c r="S48">
        <f>HYPERLINK("https://klasma.github.io/Logging_0884/artfynd/A 29238-2026 artfynd.xlsx", "A 29238-2026")</f>
        <v/>
      </c>
      <c r="T48">
        <f>HYPERLINK("https://klasma.github.io/Logging_0884/kartor/A 29238-2026 karta.png", "A 29238-2026")</f>
        <v/>
      </c>
      <c r="V48">
        <f>HYPERLINK("https://klasma.github.io/Logging_0884/klagomål/A 29238-2026 FSC-klagomål.docx", "A 29238-2026")</f>
        <v/>
      </c>
      <c r="W48">
        <f>HYPERLINK("https://klasma.github.io/Logging_0884/klagomålsmail/A 29238-2026 FSC-klagomål mail.docx", "A 29238-2026")</f>
        <v/>
      </c>
      <c r="X48">
        <f>HYPERLINK("https://klasma.github.io/Logging_0884/tillsyn/A 29238-2026 tillsynsbegäran.docx", "A 29238-2026")</f>
        <v/>
      </c>
      <c r="Y48">
        <f>HYPERLINK("https://klasma.github.io/Logging_0884/tillsynsmail/A 29238-2026 tillsynsbegäran mail.docx", "A 29238-2026")</f>
        <v/>
      </c>
    </row>
    <row r="49" ht="15" customHeight="1">
      <c r="A49" t="inlineStr">
        <is>
          <t>A 52301-2023</t>
        </is>
      </c>
      <c r="B49" s="1" t="n">
        <v>45224</v>
      </c>
      <c r="C49" s="1" t="n">
        <v>46205</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22266-2023</t>
        </is>
      </c>
      <c r="B50" s="1" t="n">
        <v>45070</v>
      </c>
      <c r="C50" s="1" t="n">
        <v>46205</v>
      </c>
      <c r="D50" t="inlineStr">
        <is>
          <t>KALMAR LÄN</t>
        </is>
      </c>
      <c r="E50" t="inlineStr">
        <is>
          <t>VIMMERBY</t>
        </is>
      </c>
      <c r="G50" t="n">
        <v>0.5</v>
      </c>
      <c r="H50" t="n">
        <v>0</v>
      </c>
      <c r="I50" t="n">
        <v>1</v>
      </c>
      <c r="J50" t="n">
        <v>0</v>
      </c>
      <c r="K50" t="n">
        <v>0</v>
      </c>
      <c r="L50" t="n">
        <v>0</v>
      </c>
      <c r="M50" t="n">
        <v>0</v>
      </c>
      <c r="N50" t="n">
        <v>0</v>
      </c>
      <c r="O50" t="n">
        <v>0</v>
      </c>
      <c r="P50" t="n">
        <v>0</v>
      </c>
      <c r="Q50" t="n">
        <v>1</v>
      </c>
      <c r="R50" s="2" t="inlineStr">
        <is>
          <t>Vätteros</t>
        </is>
      </c>
      <c r="S50">
        <f>HYPERLINK("https://klasma.github.io/Logging_0884/artfynd/A 22266-2023 artfynd.xlsx", "A 22266-2023")</f>
        <v/>
      </c>
      <c r="T50">
        <f>HYPERLINK("https://klasma.github.io/Logging_0884/kartor/A 22266-2023 karta.png", "A 22266-2023")</f>
        <v/>
      </c>
      <c r="V50">
        <f>HYPERLINK("https://klasma.github.io/Logging_0884/klagomål/A 22266-2023 FSC-klagomål.docx", "A 22266-2023")</f>
        <v/>
      </c>
      <c r="W50">
        <f>HYPERLINK("https://klasma.github.io/Logging_0884/klagomålsmail/A 22266-2023 FSC-klagomål mail.docx", "A 22266-2023")</f>
        <v/>
      </c>
      <c r="X50">
        <f>HYPERLINK("https://klasma.github.io/Logging_0884/tillsyn/A 22266-2023 tillsynsbegäran.docx", "A 22266-2023")</f>
        <v/>
      </c>
      <c r="Y50">
        <f>HYPERLINK("https://klasma.github.io/Logging_0884/tillsynsmail/A 22266-2023 tillsynsbegäran mail.docx", "A 22266-2023")</f>
        <v/>
      </c>
    </row>
    <row r="51" ht="15" customHeight="1">
      <c r="A51" t="inlineStr">
        <is>
          <t>A 13015-2023</t>
        </is>
      </c>
      <c r="B51" s="1" t="n">
        <v>45002</v>
      </c>
      <c r="C51" s="1" t="n">
        <v>46205</v>
      </c>
      <c r="D51" t="inlineStr">
        <is>
          <t>KALMAR LÄN</t>
        </is>
      </c>
      <c r="E51" t="inlineStr">
        <is>
          <t>VIMMERBY</t>
        </is>
      </c>
      <c r="G51" t="n">
        <v>3.2</v>
      </c>
      <c r="H51" t="n">
        <v>0</v>
      </c>
      <c r="I51" t="n">
        <v>0</v>
      </c>
      <c r="J51" t="n">
        <v>0</v>
      </c>
      <c r="K51" t="n">
        <v>1</v>
      </c>
      <c r="L51" t="n">
        <v>0</v>
      </c>
      <c r="M51" t="n">
        <v>0</v>
      </c>
      <c r="N51" t="n">
        <v>0</v>
      </c>
      <c r="O51" t="n">
        <v>1</v>
      </c>
      <c r="P51" t="n">
        <v>1</v>
      </c>
      <c r="Q51" t="n">
        <v>1</v>
      </c>
      <c r="R51" s="2" t="inlineStr">
        <is>
          <t>Bredbrämad bastardsvärmare</t>
        </is>
      </c>
      <c r="S51">
        <f>HYPERLINK("https://klasma.github.io/Logging_0884/artfynd/A 13015-2023 artfynd.xlsx", "A 13015-2023")</f>
        <v/>
      </c>
      <c r="T51">
        <f>HYPERLINK("https://klasma.github.io/Logging_0884/kartor/A 13015-2023 karta.png", "A 13015-2023")</f>
        <v/>
      </c>
      <c r="V51">
        <f>HYPERLINK("https://klasma.github.io/Logging_0884/klagomål/A 13015-2023 FSC-klagomål.docx", "A 13015-2023")</f>
        <v/>
      </c>
      <c r="W51">
        <f>HYPERLINK("https://klasma.github.io/Logging_0884/klagomålsmail/A 13015-2023 FSC-klagomål mail.docx", "A 13015-2023")</f>
        <v/>
      </c>
      <c r="X51">
        <f>HYPERLINK("https://klasma.github.io/Logging_0884/tillsyn/A 13015-2023 tillsynsbegäran.docx", "A 13015-2023")</f>
        <v/>
      </c>
      <c r="Y51">
        <f>HYPERLINK("https://klasma.github.io/Logging_0884/tillsynsmail/A 13015-2023 tillsynsbegäran mail.docx", "A 13015-2023")</f>
        <v/>
      </c>
    </row>
    <row r="52" ht="15" customHeight="1">
      <c r="A52" t="inlineStr">
        <is>
          <t>A 47205-2021</t>
        </is>
      </c>
      <c r="B52" s="1" t="n">
        <v>44447</v>
      </c>
      <c r="C52" s="1" t="n">
        <v>46205</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v>
      </c>
      <c r="C53" s="1" t="n">
        <v>46205</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v>
      </c>
      <c r="C54" s="1" t="n">
        <v>46205</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46205</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16283-2022</t>
        </is>
      </c>
      <c r="B56" s="1" t="n">
        <v>44670</v>
      </c>
      <c r="C56" s="1" t="n">
        <v>46205</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63926-2021</t>
        </is>
      </c>
      <c r="B57" s="1" t="n">
        <v>44509</v>
      </c>
      <c r="C57" s="1" t="n">
        <v>46205</v>
      </c>
      <c r="D57" t="inlineStr">
        <is>
          <t>KALMAR LÄN</t>
        </is>
      </c>
      <c r="E57" t="inlineStr">
        <is>
          <t>VIMMERBY</t>
        </is>
      </c>
      <c r="G57" t="n">
        <v>0.7</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46205</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46205</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40728-2022</t>
        </is>
      </c>
      <c r="B60" s="1" t="n">
        <v>44824</v>
      </c>
      <c r="C60" s="1" t="n">
        <v>46205</v>
      </c>
      <c r="D60" t="inlineStr">
        <is>
          <t>KALMAR LÄN</t>
        </is>
      </c>
      <c r="E60" t="inlineStr">
        <is>
          <t>VIMMERBY</t>
        </is>
      </c>
      <c r="G60" t="n">
        <v>1.1</v>
      </c>
      <c r="H60" t="n">
        <v>0</v>
      </c>
      <c r="I60" t="n">
        <v>0</v>
      </c>
      <c r="J60" t="n">
        <v>0</v>
      </c>
      <c r="K60" t="n">
        <v>0</v>
      </c>
      <c r="L60" t="n">
        <v>0</v>
      </c>
      <c r="M60" t="n">
        <v>0</v>
      </c>
      <c r="N60" t="n">
        <v>0</v>
      </c>
      <c r="O60" t="n">
        <v>0</v>
      </c>
      <c r="P60" t="n">
        <v>0</v>
      </c>
      <c r="Q60" t="n">
        <v>0</v>
      </c>
      <c r="R60" s="2" t="inlineStr"/>
    </row>
    <row r="61" ht="15" customHeight="1">
      <c r="A61" t="inlineStr">
        <is>
          <t>A 3426-2022</t>
        </is>
      </c>
      <c r="B61" s="1" t="n">
        <v>44585</v>
      </c>
      <c r="C61" s="1" t="n">
        <v>46205</v>
      </c>
      <c r="D61" t="inlineStr">
        <is>
          <t>KALMAR LÄN</t>
        </is>
      </c>
      <c r="E61" t="inlineStr">
        <is>
          <t>VIMMERBY</t>
        </is>
      </c>
      <c r="G61" t="n">
        <v>1.8</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46205</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v>
      </c>
      <c r="C63" s="1" t="n">
        <v>46205</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41438-2022</t>
        </is>
      </c>
      <c r="B64" s="1" t="n">
        <v>44826</v>
      </c>
      <c r="C64" s="1" t="n">
        <v>46205</v>
      </c>
      <c r="D64" t="inlineStr">
        <is>
          <t>KALMAR LÄN</t>
        </is>
      </c>
      <c r="E64" t="inlineStr">
        <is>
          <t>VIMMERBY</t>
        </is>
      </c>
      <c r="G64" t="n">
        <v>3.1</v>
      </c>
      <c r="H64" t="n">
        <v>0</v>
      </c>
      <c r="I64" t="n">
        <v>0</v>
      </c>
      <c r="J64" t="n">
        <v>0</v>
      </c>
      <c r="K64" t="n">
        <v>0</v>
      </c>
      <c r="L64" t="n">
        <v>0</v>
      </c>
      <c r="M64" t="n">
        <v>0</v>
      </c>
      <c r="N64" t="n">
        <v>0</v>
      </c>
      <c r="O64" t="n">
        <v>0</v>
      </c>
      <c r="P64" t="n">
        <v>0</v>
      </c>
      <c r="Q64" t="n">
        <v>0</v>
      </c>
      <c r="R64" s="2" t="inlineStr"/>
    </row>
    <row r="65" ht="15" customHeight="1">
      <c r="A65" t="inlineStr">
        <is>
          <t>A 50809-2022</t>
        </is>
      </c>
      <c r="B65" s="1" t="n">
        <v>44862</v>
      </c>
      <c r="C65" s="1" t="n">
        <v>46205</v>
      </c>
      <c r="D65" t="inlineStr">
        <is>
          <t>KALMAR LÄN</t>
        </is>
      </c>
      <c r="E65" t="inlineStr">
        <is>
          <t>VIMMERBY</t>
        </is>
      </c>
      <c r="G65" t="n">
        <v>3.7</v>
      </c>
      <c r="H65" t="n">
        <v>0</v>
      </c>
      <c r="I65" t="n">
        <v>0</v>
      </c>
      <c r="J65" t="n">
        <v>0</v>
      </c>
      <c r="K65" t="n">
        <v>0</v>
      </c>
      <c r="L65" t="n">
        <v>0</v>
      </c>
      <c r="M65" t="n">
        <v>0</v>
      </c>
      <c r="N65" t="n">
        <v>0</v>
      </c>
      <c r="O65" t="n">
        <v>0</v>
      </c>
      <c r="P65" t="n">
        <v>0</v>
      </c>
      <c r="Q65" t="n">
        <v>0</v>
      </c>
      <c r="R65" s="2" t="inlineStr"/>
    </row>
    <row r="66" ht="15" customHeight="1">
      <c r="A66" t="inlineStr">
        <is>
          <t>A 2183-2022</t>
        </is>
      </c>
      <c r="B66" s="1" t="n">
        <v>44578</v>
      </c>
      <c r="C66" s="1" t="n">
        <v>46205</v>
      </c>
      <c r="D66" t="inlineStr">
        <is>
          <t>KALMAR LÄN</t>
        </is>
      </c>
      <c r="E66" t="inlineStr">
        <is>
          <t>VIMMERBY</t>
        </is>
      </c>
      <c r="G66" t="n">
        <v>4.8</v>
      </c>
      <c r="H66" t="n">
        <v>0</v>
      </c>
      <c r="I66" t="n">
        <v>0</v>
      </c>
      <c r="J66" t="n">
        <v>0</v>
      </c>
      <c r="K66" t="n">
        <v>0</v>
      </c>
      <c r="L66" t="n">
        <v>0</v>
      </c>
      <c r="M66" t="n">
        <v>0</v>
      </c>
      <c r="N66" t="n">
        <v>0</v>
      </c>
      <c r="O66" t="n">
        <v>0</v>
      </c>
      <c r="P66" t="n">
        <v>0</v>
      </c>
      <c r="Q66" t="n">
        <v>0</v>
      </c>
      <c r="R66" s="2" t="inlineStr"/>
    </row>
    <row r="67" ht="15" customHeight="1">
      <c r="A67" t="inlineStr">
        <is>
          <t>A 65670-2021</t>
        </is>
      </c>
      <c r="B67" s="1" t="n">
        <v>44516</v>
      </c>
      <c r="C67" s="1" t="n">
        <v>46205</v>
      </c>
      <c r="D67" t="inlineStr">
        <is>
          <t>KALMAR LÄN</t>
        </is>
      </c>
      <c r="E67" t="inlineStr">
        <is>
          <t>VIMMERBY</t>
        </is>
      </c>
      <c r="G67" t="n">
        <v>1.9</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46205</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46205</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v>
      </c>
      <c r="C70" s="1" t="n">
        <v>46205</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v>
      </c>
      <c r="C71" s="1" t="n">
        <v>46205</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46205</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v>
      </c>
      <c r="C73" s="1" t="n">
        <v>46205</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64923-2021</t>
        </is>
      </c>
      <c r="B74" s="1" t="n">
        <v>44512</v>
      </c>
      <c r="C74" s="1" t="n">
        <v>46205</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46205</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46205</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4118-2022</t>
        </is>
      </c>
      <c r="B77" s="1" t="n">
        <v>44588</v>
      </c>
      <c r="C77" s="1" t="n">
        <v>46205</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4126-2022</t>
        </is>
      </c>
      <c r="B78" s="1" t="n">
        <v>44588</v>
      </c>
      <c r="C78" s="1" t="n">
        <v>46205</v>
      </c>
      <c r="D78" t="inlineStr">
        <is>
          <t>KALMAR LÄN</t>
        </is>
      </c>
      <c r="E78" t="inlineStr">
        <is>
          <t>VIMMERBY</t>
        </is>
      </c>
      <c r="G78" t="n">
        <v>0.6</v>
      </c>
      <c r="H78" t="n">
        <v>0</v>
      </c>
      <c r="I78" t="n">
        <v>0</v>
      </c>
      <c r="J78" t="n">
        <v>0</v>
      </c>
      <c r="K78" t="n">
        <v>0</v>
      </c>
      <c r="L78" t="n">
        <v>0</v>
      </c>
      <c r="M78" t="n">
        <v>0</v>
      </c>
      <c r="N78" t="n">
        <v>0</v>
      </c>
      <c r="O78" t="n">
        <v>0</v>
      </c>
      <c r="P78" t="n">
        <v>0</v>
      </c>
      <c r="Q78" t="n">
        <v>0</v>
      </c>
      <c r="R78" s="2" t="inlineStr"/>
    </row>
    <row r="79" ht="15" customHeight="1">
      <c r="A79" t="inlineStr">
        <is>
          <t>A 33820-2022</t>
        </is>
      </c>
      <c r="B79" s="1" t="n">
        <v>44790</v>
      </c>
      <c r="C79" s="1" t="n">
        <v>46205</v>
      </c>
      <c r="D79" t="inlineStr">
        <is>
          <t>KALMAR LÄN</t>
        </is>
      </c>
      <c r="E79" t="inlineStr">
        <is>
          <t>VIMMERBY</t>
        </is>
      </c>
      <c r="G79" t="n">
        <v>3</v>
      </c>
      <c r="H79" t="n">
        <v>0</v>
      </c>
      <c r="I79" t="n">
        <v>0</v>
      </c>
      <c r="J79" t="n">
        <v>0</v>
      </c>
      <c r="K79" t="n">
        <v>0</v>
      </c>
      <c r="L79" t="n">
        <v>0</v>
      </c>
      <c r="M79" t="n">
        <v>0</v>
      </c>
      <c r="N79" t="n">
        <v>0</v>
      </c>
      <c r="O79" t="n">
        <v>0</v>
      </c>
      <c r="P79" t="n">
        <v>0</v>
      </c>
      <c r="Q79" t="n">
        <v>0</v>
      </c>
      <c r="R79" s="2" t="inlineStr"/>
    </row>
    <row r="80" ht="15" customHeight="1">
      <c r="A80" t="inlineStr">
        <is>
          <t>A 33824-2022</t>
        </is>
      </c>
      <c r="B80" s="1" t="n">
        <v>44790</v>
      </c>
      <c r="C80" s="1" t="n">
        <v>46205</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55297-2021</t>
        </is>
      </c>
      <c r="B81" s="1" t="n">
        <v>44475</v>
      </c>
      <c r="C81" s="1" t="n">
        <v>46205</v>
      </c>
      <c r="D81" t="inlineStr">
        <is>
          <t>KALMAR LÄN</t>
        </is>
      </c>
      <c r="E81" t="inlineStr">
        <is>
          <t>VIMMERBY</t>
        </is>
      </c>
      <c r="G81" t="n">
        <v>4.1</v>
      </c>
      <c r="H81" t="n">
        <v>0</v>
      </c>
      <c r="I81" t="n">
        <v>0</v>
      </c>
      <c r="J81" t="n">
        <v>0</v>
      </c>
      <c r="K81" t="n">
        <v>0</v>
      </c>
      <c r="L81" t="n">
        <v>0</v>
      </c>
      <c r="M81" t="n">
        <v>0</v>
      </c>
      <c r="N81" t="n">
        <v>0</v>
      </c>
      <c r="O81" t="n">
        <v>0</v>
      </c>
      <c r="P81" t="n">
        <v>0</v>
      </c>
      <c r="Q81" t="n">
        <v>0</v>
      </c>
      <c r="R81" s="2" t="inlineStr"/>
    </row>
    <row r="82" ht="15" customHeight="1">
      <c r="A82" t="inlineStr">
        <is>
          <t>A 35531-2021</t>
        </is>
      </c>
      <c r="B82" s="1" t="n">
        <v>44385</v>
      </c>
      <c r="C82" s="1" t="n">
        <v>46205</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38789-2021</t>
        </is>
      </c>
      <c r="B83" s="1" t="n">
        <v>44410</v>
      </c>
      <c r="C83" s="1" t="n">
        <v>46205</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16290-2022</t>
        </is>
      </c>
      <c r="B84" s="1" t="n">
        <v>44670</v>
      </c>
      <c r="C84" s="1" t="n">
        <v>46205</v>
      </c>
      <c r="D84" t="inlineStr">
        <is>
          <t>KALMAR LÄN</t>
        </is>
      </c>
      <c r="E84" t="inlineStr">
        <is>
          <t>VIMMERBY</t>
        </is>
      </c>
      <c r="G84" t="n">
        <v>1.2</v>
      </c>
      <c r="H84" t="n">
        <v>0</v>
      </c>
      <c r="I84" t="n">
        <v>0</v>
      </c>
      <c r="J84" t="n">
        <v>0</v>
      </c>
      <c r="K84" t="n">
        <v>0</v>
      </c>
      <c r="L84" t="n">
        <v>0</v>
      </c>
      <c r="M84" t="n">
        <v>0</v>
      </c>
      <c r="N84" t="n">
        <v>0</v>
      </c>
      <c r="O84" t="n">
        <v>0</v>
      </c>
      <c r="P84" t="n">
        <v>0</v>
      </c>
      <c r="Q84" t="n">
        <v>0</v>
      </c>
      <c r="R84" s="2" t="inlineStr"/>
    </row>
    <row r="85" ht="15" customHeight="1">
      <c r="A85" t="inlineStr">
        <is>
          <t>A 25049-2022</t>
        </is>
      </c>
      <c r="B85" s="1" t="n">
        <v>44729</v>
      </c>
      <c r="C85" s="1" t="n">
        <v>46205</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31533-2022</t>
        </is>
      </c>
      <c r="B86" s="1" t="n">
        <v>44774</v>
      </c>
      <c r="C86" s="1" t="n">
        <v>46205</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25859-2022</t>
        </is>
      </c>
      <c r="B87" s="1" t="n">
        <v>44733</v>
      </c>
      <c r="C87" s="1" t="n">
        <v>46205</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25868-2022</t>
        </is>
      </c>
      <c r="B88" s="1" t="n">
        <v>44733</v>
      </c>
      <c r="C88" s="1" t="n">
        <v>46205</v>
      </c>
      <c r="D88" t="inlineStr">
        <is>
          <t>KALMAR LÄN</t>
        </is>
      </c>
      <c r="E88" t="inlineStr">
        <is>
          <t>VIMMERBY</t>
        </is>
      </c>
      <c r="G88" t="n">
        <v>1.7</v>
      </c>
      <c r="H88" t="n">
        <v>0</v>
      </c>
      <c r="I88" t="n">
        <v>0</v>
      </c>
      <c r="J88" t="n">
        <v>0</v>
      </c>
      <c r="K88" t="n">
        <v>0</v>
      </c>
      <c r="L88" t="n">
        <v>0</v>
      </c>
      <c r="M88" t="n">
        <v>0</v>
      </c>
      <c r="N88" t="n">
        <v>0</v>
      </c>
      <c r="O88" t="n">
        <v>0</v>
      </c>
      <c r="P88" t="n">
        <v>0</v>
      </c>
      <c r="Q88" t="n">
        <v>0</v>
      </c>
      <c r="R88" s="2" t="inlineStr"/>
    </row>
    <row r="89" ht="15" customHeight="1">
      <c r="A89" t="inlineStr">
        <is>
          <t>A 35633-2021</t>
        </is>
      </c>
      <c r="B89" s="1" t="n">
        <v>44386</v>
      </c>
      <c r="C89" s="1" t="n">
        <v>46205</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56343-2021</t>
        </is>
      </c>
      <c r="B90" s="1" t="n">
        <v>44480</v>
      </c>
      <c r="C90" s="1" t="n">
        <v>46205</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51972-2021</t>
        </is>
      </c>
      <c r="B91" s="1" t="n">
        <v>44463</v>
      </c>
      <c r="C91" s="1" t="n">
        <v>46205</v>
      </c>
      <c r="D91" t="inlineStr">
        <is>
          <t>KALMAR LÄN</t>
        </is>
      </c>
      <c r="E91" t="inlineStr">
        <is>
          <t>VIMMERBY</t>
        </is>
      </c>
      <c r="G91" t="n">
        <v>4.5</v>
      </c>
      <c r="H91" t="n">
        <v>0</v>
      </c>
      <c r="I91" t="n">
        <v>0</v>
      </c>
      <c r="J91" t="n">
        <v>0</v>
      </c>
      <c r="K91" t="n">
        <v>0</v>
      </c>
      <c r="L91" t="n">
        <v>0</v>
      </c>
      <c r="M91" t="n">
        <v>0</v>
      </c>
      <c r="N91" t="n">
        <v>0</v>
      </c>
      <c r="O91" t="n">
        <v>0</v>
      </c>
      <c r="P91" t="n">
        <v>0</v>
      </c>
      <c r="Q91" t="n">
        <v>0</v>
      </c>
      <c r="R91" s="2" t="inlineStr"/>
    </row>
    <row r="92" ht="15" customHeight="1">
      <c r="A92" t="inlineStr">
        <is>
          <t>A 4042-2022</t>
        </is>
      </c>
      <c r="B92" s="1" t="n">
        <v>44588</v>
      </c>
      <c r="C92" s="1" t="n">
        <v>46205</v>
      </c>
      <c r="D92" t="inlineStr">
        <is>
          <t>KALMAR LÄN</t>
        </is>
      </c>
      <c r="E92" t="inlineStr">
        <is>
          <t>VIMMERBY</t>
        </is>
      </c>
      <c r="G92" t="n">
        <v>4.7</v>
      </c>
      <c r="H92" t="n">
        <v>0</v>
      </c>
      <c r="I92" t="n">
        <v>0</v>
      </c>
      <c r="J92" t="n">
        <v>0</v>
      </c>
      <c r="K92" t="n">
        <v>0</v>
      </c>
      <c r="L92" t="n">
        <v>0</v>
      </c>
      <c r="M92" t="n">
        <v>0</v>
      </c>
      <c r="N92" t="n">
        <v>0</v>
      </c>
      <c r="O92" t="n">
        <v>0</v>
      </c>
      <c r="P92" t="n">
        <v>0</v>
      </c>
      <c r="Q92" t="n">
        <v>0</v>
      </c>
      <c r="R92" s="2" t="inlineStr"/>
    </row>
    <row r="93" ht="15" customHeight="1">
      <c r="A93" t="inlineStr">
        <is>
          <t>A 33690-2022</t>
        </is>
      </c>
      <c r="B93" s="1" t="n">
        <v>44789</v>
      </c>
      <c r="C93" s="1" t="n">
        <v>46205</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63244-2021</t>
        </is>
      </c>
      <c r="B94" s="1" t="n">
        <v>44508</v>
      </c>
      <c r="C94" s="1" t="n">
        <v>46205</v>
      </c>
      <c r="D94" t="inlineStr">
        <is>
          <t>KALMAR LÄN</t>
        </is>
      </c>
      <c r="E94" t="inlineStr">
        <is>
          <t>VIMMERBY</t>
        </is>
      </c>
      <c r="F94" t="inlineStr">
        <is>
          <t>Övriga statliga verk och myndigheter</t>
        </is>
      </c>
      <c r="G94" t="n">
        <v>0.6</v>
      </c>
      <c r="H94" t="n">
        <v>0</v>
      </c>
      <c r="I94" t="n">
        <v>0</v>
      </c>
      <c r="J94" t="n">
        <v>0</v>
      </c>
      <c r="K94" t="n">
        <v>0</v>
      </c>
      <c r="L94" t="n">
        <v>0</v>
      </c>
      <c r="M94" t="n">
        <v>0</v>
      </c>
      <c r="N94" t="n">
        <v>0</v>
      </c>
      <c r="O94" t="n">
        <v>0</v>
      </c>
      <c r="P94" t="n">
        <v>0</v>
      </c>
      <c r="Q94" t="n">
        <v>0</v>
      </c>
      <c r="R94" s="2" t="inlineStr"/>
    </row>
    <row r="95" ht="15" customHeight="1">
      <c r="A95" t="inlineStr">
        <is>
          <t>A 56385-2021</t>
        </is>
      </c>
      <c r="B95" s="1" t="n">
        <v>44480</v>
      </c>
      <c r="C95" s="1" t="n">
        <v>46205</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11814-2022</t>
        </is>
      </c>
      <c r="B96" s="1" t="n">
        <v>44634</v>
      </c>
      <c r="C96" s="1" t="n">
        <v>46205</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31053-2022</t>
        </is>
      </c>
      <c r="B97" s="1" t="n">
        <v>44769</v>
      </c>
      <c r="C97" s="1" t="n">
        <v>46205</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8454-2022</t>
        </is>
      </c>
      <c r="B98" s="1" t="n">
        <v>44612</v>
      </c>
      <c r="C98" s="1" t="n">
        <v>46205</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65887-2021</t>
        </is>
      </c>
      <c r="B99" s="1" t="n">
        <v>44517</v>
      </c>
      <c r="C99" s="1" t="n">
        <v>46205</v>
      </c>
      <c r="D99" t="inlineStr">
        <is>
          <t>KALMAR LÄN</t>
        </is>
      </c>
      <c r="E99" t="inlineStr">
        <is>
          <t>VIMMERBY</t>
        </is>
      </c>
      <c r="G99" t="n">
        <v>1.4</v>
      </c>
      <c r="H99" t="n">
        <v>0</v>
      </c>
      <c r="I99" t="n">
        <v>0</v>
      </c>
      <c r="J99" t="n">
        <v>0</v>
      </c>
      <c r="K99" t="n">
        <v>0</v>
      </c>
      <c r="L99" t="n">
        <v>0</v>
      </c>
      <c r="M99" t="n">
        <v>0</v>
      </c>
      <c r="N99" t="n">
        <v>0</v>
      </c>
      <c r="O99" t="n">
        <v>0</v>
      </c>
      <c r="P99" t="n">
        <v>0</v>
      </c>
      <c r="Q99" t="n">
        <v>0</v>
      </c>
      <c r="R99" s="2" t="inlineStr"/>
    </row>
    <row r="100" ht="15" customHeight="1">
      <c r="A100" t="inlineStr">
        <is>
          <t>A 39959-2022</t>
        </is>
      </c>
      <c r="B100" s="1" t="n">
        <v>44819</v>
      </c>
      <c r="C100" s="1" t="n">
        <v>46205</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47208-2021</t>
        </is>
      </c>
      <c r="B101" s="1" t="n">
        <v>44447</v>
      </c>
      <c r="C101" s="1" t="n">
        <v>46205</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7917-2022</t>
        </is>
      </c>
      <c r="B102" s="1" t="n">
        <v>44608</v>
      </c>
      <c r="C102" s="1" t="n">
        <v>46205</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56389-2021</t>
        </is>
      </c>
      <c r="B103" s="1" t="n">
        <v>44480</v>
      </c>
      <c r="C103" s="1" t="n">
        <v>46205</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67952-2021</t>
        </is>
      </c>
      <c r="B104" s="1" t="n">
        <v>44525</v>
      </c>
      <c r="C104" s="1" t="n">
        <v>46205</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15533-2022</t>
        </is>
      </c>
      <c r="B105" s="1" t="n">
        <v>44662</v>
      </c>
      <c r="C105" s="1" t="n">
        <v>46205</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165-2022</t>
        </is>
      </c>
      <c r="B106" s="1" t="n">
        <v>44564</v>
      </c>
      <c r="C106" s="1" t="n">
        <v>46205</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34040-2021</t>
        </is>
      </c>
      <c r="B107" s="1" t="n">
        <v>44379</v>
      </c>
      <c r="C107" s="1" t="n">
        <v>46205</v>
      </c>
      <c r="D107" t="inlineStr">
        <is>
          <t>KALMAR LÄN</t>
        </is>
      </c>
      <c r="E107" t="inlineStr">
        <is>
          <t>VIMMERBY</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12107-2022</t>
        </is>
      </c>
      <c r="B108" s="1" t="n">
        <v>44636</v>
      </c>
      <c r="C108" s="1" t="n">
        <v>46205</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39225-2022</t>
        </is>
      </c>
      <c r="B109" s="1" t="n">
        <v>44817</v>
      </c>
      <c r="C109" s="1" t="n">
        <v>46205</v>
      </c>
      <c r="D109" t="inlineStr">
        <is>
          <t>KALMAR LÄN</t>
        </is>
      </c>
      <c r="E109" t="inlineStr">
        <is>
          <t>VIMMERBY</t>
        </is>
      </c>
      <c r="G109" t="n">
        <v>2.2</v>
      </c>
      <c r="H109" t="n">
        <v>0</v>
      </c>
      <c r="I109" t="n">
        <v>0</v>
      </c>
      <c r="J109" t="n">
        <v>0</v>
      </c>
      <c r="K109" t="n">
        <v>0</v>
      </c>
      <c r="L109" t="n">
        <v>0</v>
      </c>
      <c r="M109" t="n">
        <v>0</v>
      </c>
      <c r="N109" t="n">
        <v>0</v>
      </c>
      <c r="O109" t="n">
        <v>0</v>
      </c>
      <c r="P109" t="n">
        <v>0</v>
      </c>
      <c r="Q109" t="n">
        <v>0</v>
      </c>
      <c r="R109" s="2" t="inlineStr"/>
    </row>
    <row r="110" ht="15" customHeight="1">
      <c r="A110" t="inlineStr">
        <is>
          <t>A 17029-2022</t>
        </is>
      </c>
      <c r="B110" s="1" t="n">
        <v>44676</v>
      </c>
      <c r="C110" s="1" t="n">
        <v>46205</v>
      </c>
      <c r="D110" t="inlineStr">
        <is>
          <t>KALMAR LÄN</t>
        </is>
      </c>
      <c r="E110" t="inlineStr">
        <is>
          <t>VIMMERBY</t>
        </is>
      </c>
      <c r="G110" t="n">
        <v>0.6</v>
      </c>
      <c r="H110" t="n">
        <v>0</v>
      </c>
      <c r="I110" t="n">
        <v>0</v>
      </c>
      <c r="J110" t="n">
        <v>0</v>
      </c>
      <c r="K110" t="n">
        <v>0</v>
      </c>
      <c r="L110" t="n">
        <v>0</v>
      </c>
      <c r="M110" t="n">
        <v>0</v>
      </c>
      <c r="N110" t="n">
        <v>0</v>
      </c>
      <c r="O110" t="n">
        <v>0</v>
      </c>
      <c r="P110" t="n">
        <v>0</v>
      </c>
      <c r="Q110" t="n">
        <v>0</v>
      </c>
      <c r="R110" s="2" t="inlineStr"/>
    </row>
    <row r="111" ht="15" customHeight="1">
      <c r="A111" t="inlineStr">
        <is>
          <t>A 7167-2022</t>
        </is>
      </c>
      <c r="B111" s="1" t="n">
        <v>44604</v>
      </c>
      <c r="C111" s="1" t="n">
        <v>46205</v>
      </c>
      <c r="D111" t="inlineStr">
        <is>
          <t>KALMAR LÄN</t>
        </is>
      </c>
      <c r="E111" t="inlineStr">
        <is>
          <t>VIMMERBY</t>
        </is>
      </c>
      <c r="G111" t="n">
        <v>1.7</v>
      </c>
      <c r="H111" t="n">
        <v>0</v>
      </c>
      <c r="I111" t="n">
        <v>0</v>
      </c>
      <c r="J111" t="n">
        <v>0</v>
      </c>
      <c r="K111" t="n">
        <v>0</v>
      </c>
      <c r="L111" t="n">
        <v>0</v>
      </c>
      <c r="M111" t="n">
        <v>0</v>
      </c>
      <c r="N111" t="n">
        <v>0</v>
      </c>
      <c r="O111" t="n">
        <v>0</v>
      </c>
      <c r="P111" t="n">
        <v>0</v>
      </c>
      <c r="Q111" t="n">
        <v>0</v>
      </c>
      <c r="R111" s="2" t="inlineStr"/>
    </row>
    <row r="112" ht="15" customHeight="1">
      <c r="A112" t="inlineStr">
        <is>
          <t>A 35001-2021</t>
        </is>
      </c>
      <c r="B112" s="1" t="n">
        <v>44383</v>
      </c>
      <c r="C112" s="1" t="n">
        <v>46205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55674-2021</t>
        </is>
      </c>
      <c r="B113" s="1" t="n">
        <v>44476</v>
      </c>
      <c r="C113" s="1" t="n">
        <v>46205</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40077-2021</t>
        </is>
      </c>
      <c r="B114" s="1" t="n">
        <v>44418</v>
      </c>
      <c r="C114" s="1" t="n">
        <v>46205</v>
      </c>
      <c r="D114" t="inlineStr">
        <is>
          <t>KALMAR LÄN</t>
        </is>
      </c>
      <c r="E114" t="inlineStr">
        <is>
          <t>VIMMERBY</t>
        </is>
      </c>
      <c r="G114" t="n">
        <v>2.9</v>
      </c>
      <c r="H114" t="n">
        <v>0</v>
      </c>
      <c r="I114" t="n">
        <v>0</v>
      </c>
      <c r="J114" t="n">
        <v>0</v>
      </c>
      <c r="K114" t="n">
        <v>0</v>
      </c>
      <c r="L114" t="n">
        <v>0</v>
      </c>
      <c r="M114" t="n">
        <v>0</v>
      </c>
      <c r="N114" t="n">
        <v>0</v>
      </c>
      <c r="O114" t="n">
        <v>0</v>
      </c>
      <c r="P114" t="n">
        <v>0</v>
      </c>
      <c r="Q114" t="n">
        <v>0</v>
      </c>
      <c r="R114" s="2" t="inlineStr"/>
    </row>
    <row r="115" ht="15" customHeight="1">
      <c r="A115" t="inlineStr">
        <is>
          <t>A 47769-2022</t>
        </is>
      </c>
      <c r="B115" s="1" t="n">
        <v>44854</v>
      </c>
      <c r="C115" s="1" t="n">
        <v>46205</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48377-2021</t>
        </is>
      </c>
      <c r="B116" s="1" t="n">
        <v>44451</v>
      </c>
      <c r="C116" s="1" t="n">
        <v>46205</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40472-2022</t>
        </is>
      </c>
      <c r="B117" s="1" t="n">
        <v>44823</v>
      </c>
      <c r="C117" s="1" t="n">
        <v>46205</v>
      </c>
      <c r="D117" t="inlineStr">
        <is>
          <t>KALMAR LÄN</t>
        </is>
      </c>
      <c r="E117" t="inlineStr">
        <is>
          <t>VIMMERBY</t>
        </is>
      </c>
      <c r="G117" t="n">
        <v>2</v>
      </c>
      <c r="H117" t="n">
        <v>0</v>
      </c>
      <c r="I117" t="n">
        <v>0</v>
      </c>
      <c r="J117" t="n">
        <v>0</v>
      </c>
      <c r="K117" t="n">
        <v>0</v>
      </c>
      <c r="L117" t="n">
        <v>0</v>
      </c>
      <c r="M117" t="n">
        <v>0</v>
      </c>
      <c r="N117" t="n">
        <v>0</v>
      </c>
      <c r="O117" t="n">
        <v>0</v>
      </c>
      <c r="P117" t="n">
        <v>0</v>
      </c>
      <c r="Q117" t="n">
        <v>0</v>
      </c>
      <c r="R117" s="2" t="inlineStr"/>
    </row>
    <row r="118" ht="15" customHeight="1">
      <c r="A118" t="inlineStr">
        <is>
          <t>A 35316-2021</t>
        </is>
      </c>
      <c r="B118" s="1" t="n">
        <v>44384</v>
      </c>
      <c r="C118" s="1" t="n">
        <v>46205</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33831-2022</t>
        </is>
      </c>
      <c r="B119" s="1" t="n">
        <v>44790</v>
      </c>
      <c r="C119" s="1" t="n">
        <v>46205</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47708-2022</t>
        </is>
      </c>
      <c r="B120" s="1" t="n">
        <v>44854</v>
      </c>
      <c r="C120" s="1" t="n">
        <v>46205</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9918-2022</t>
        </is>
      </c>
      <c r="B121" s="1" t="n">
        <v>44620</v>
      </c>
      <c r="C121" s="1" t="n">
        <v>46205</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23825-2022</t>
        </is>
      </c>
      <c r="B122" s="1" t="n">
        <v>44722</v>
      </c>
      <c r="C122" s="1" t="n">
        <v>46205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41056-2022</t>
        </is>
      </c>
      <c r="B123" s="1" t="n">
        <v>44824</v>
      </c>
      <c r="C123" s="1" t="n">
        <v>46205</v>
      </c>
      <c r="D123" t="inlineStr">
        <is>
          <t>KALMAR LÄN</t>
        </is>
      </c>
      <c r="E123" t="inlineStr">
        <is>
          <t>VIMMERBY</t>
        </is>
      </c>
      <c r="G123" t="n">
        <v>0.8</v>
      </c>
      <c r="H123" t="n">
        <v>0</v>
      </c>
      <c r="I123" t="n">
        <v>0</v>
      </c>
      <c r="J123" t="n">
        <v>0</v>
      </c>
      <c r="K123" t="n">
        <v>0</v>
      </c>
      <c r="L123" t="n">
        <v>0</v>
      </c>
      <c r="M123" t="n">
        <v>0</v>
      </c>
      <c r="N123" t="n">
        <v>0</v>
      </c>
      <c r="O123" t="n">
        <v>0</v>
      </c>
      <c r="P123" t="n">
        <v>0</v>
      </c>
      <c r="Q123" t="n">
        <v>0</v>
      </c>
      <c r="R123" s="2" t="inlineStr"/>
    </row>
    <row r="124" ht="15" customHeight="1">
      <c r="A124" t="inlineStr">
        <is>
          <t>A 27455-2022</t>
        </is>
      </c>
      <c r="B124" s="1" t="n">
        <v>44742</v>
      </c>
      <c r="C124" s="1" t="n">
        <v>46205</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36117-2021</t>
        </is>
      </c>
      <c r="B125" s="1" t="n">
        <v>44386</v>
      </c>
      <c r="C125" s="1" t="n">
        <v>46205</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42521-2021</t>
        </is>
      </c>
      <c r="B126" s="1" t="n">
        <v>44427</v>
      </c>
      <c r="C126" s="1" t="n">
        <v>46205</v>
      </c>
      <c r="D126" t="inlineStr">
        <is>
          <t>KALMAR LÄN</t>
        </is>
      </c>
      <c r="E126" t="inlineStr">
        <is>
          <t>VIMMERBY</t>
        </is>
      </c>
      <c r="G126" t="n">
        <v>5.4</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v>
      </c>
      <c r="C127" s="1" t="n">
        <v>46205</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46205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10086-2022</t>
        </is>
      </c>
      <c r="B129" s="1" t="n">
        <v>44621</v>
      </c>
      <c r="C129" s="1" t="n">
        <v>46205</v>
      </c>
      <c r="D129" t="inlineStr">
        <is>
          <t>KALMAR LÄN</t>
        </is>
      </c>
      <c r="E129" t="inlineStr">
        <is>
          <t>VIMMERBY</t>
        </is>
      </c>
      <c r="G129" t="n">
        <v>1.2</v>
      </c>
      <c r="H129" t="n">
        <v>0</v>
      </c>
      <c r="I129" t="n">
        <v>0</v>
      </c>
      <c r="J129" t="n">
        <v>0</v>
      </c>
      <c r="K129" t="n">
        <v>0</v>
      </c>
      <c r="L129" t="n">
        <v>0</v>
      </c>
      <c r="M129" t="n">
        <v>0</v>
      </c>
      <c r="N129" t="n">
        <v>0</v>
      </c>
      <c r="O129" t="n">
        <v>0</v>
      </c>
      <c r="P129" t="n">
        <v>0</v>
      </c>
      <c r="Q129" t="n">
        <v>0</v>
      </c>
      <c r="R129" s="2" t="inlineStr"/>
    </row>
    <row r="130" ht="15" customHeight="1">
      <c r="A130" t="inlineStr">
        <is>
          <t>A 53145-2022</t>
        </is>
      </c>
      <c r="B130" s="1" t="n">
        <v>44876</v>
      </c>
      <c r="C130" s="1" t="n">
        <v>46205</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25738-2022</t>
        </is>
      </c>
      <c r="B131" s="1" t="n">
        <v>44733</v>
      </c>
      <c r="C131" s="1" t="n">
        <v>46205</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8194-2022</t>
        </is>
      </c>
      <c r="B132" s="1" t="n">
        <v>44609</v>
      </c>
      <c r="C132" s="1" t="n">
        <v>46205</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40971-2021</t>
        </is>
      </c>
      <c r="B133" s="1" t="n">
        <v>44421</v>
      </c>
      <c r="C133" s="1" t="n">
        <v>46205</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8453-2022</t>
        </is>
      </c>
      <c r="B134" s="1" t="n">
        <v>44612</v>
      </c>
      <c r="C134" s="1" t="n">
        <v>46205</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52433-2021</t>
        </is>
      </c>
      <c r="B135" s="1" t="n">
        <v>44466</v>
      </c>
      <c r="C135" s="1" t="n">
        <v>46205</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54065-2021</t>
        </is>
      </c>
      <c r="B136" s="1" t="n">
        <v>44470</v>
      </c>
      <c r="C136" s="1" t="n">
        <v>46205</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50621-2022</t>
        </is>
      </c>
      <c r="B137" s="1" t="n">
        <v>44866</v>
      </c>
      <c r="C137" s="1" t="n">
        <v>46205</v>
      </c>
      <c r="D137" t="inlineStr">
        <is>
          <t>KALMAR LÄN</t>
        </is>
      </c>
      <c r="E137" t="inlineStr">
        <is>
          <t>VIMMERBY</t>
        </is>
      </c>
      <c r="F137" t="inlineStr">
        <is>
          <t>Övriga Aktiebolag</t>
        </is>
      </c>
      <c r="G137" t="n">
        <v>5.1</v>
      </c>
      <c r="H137" t="n">
        <v>0</v>
      </c>
      <c r="I137" t="n">
        <v>0</v>
      </c>
      <c r="J137" t="n">
        <v>0</v>
      </c>
      <c r="K137" t="n">
        <v>0</v>
      </c>
      <c r="L137" t="n">
        <v>0</v>
      </c>
      <c r="M137" t="n">
        <v>0</v>
      </c>
      <c r="N137" t="n">
        <v>0</v>
      </c>
      <c r="O137" t="n">
        <v>0</v>
      </c>
      <c r="P137" t="n">
        <v>0</v>
      </c>
      <c r="Q137" t="n">
        <v>0</v>
      </c>
      <c r="R137" s="2" t="inlineStr"/>
    </row>
    <row r="138" ht="15" customHeight="1">
      <c r="A138" t="inlineStr">
        <is>
          <t>A 31824-2022</t>
        </is>
      </c>
      <c r="B138" s="1" t="n">
        <v>44776</v>
      </c>
      <c r="C138" s="1" t="n">
        <v>46205</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7804-2022</t>
        </is>
      </c>
      <c r="B139" s="1" t="n">
        <v>44608</v>
      </c>
      <c r="C139" s="1" t="n">
        <v>46205</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39042-2022</t>
        </is>
      </c>
      <c r="B140" s="1" t="n">
        <v>44817</v>
      </c>
      <c r="C140" s="1" t="n">
        <v>46205</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29441-2024</t>
        </is>
      </c>
      <c r="B141" s="1" t="n">
        <v>45483</v>
      </c>
      <c r="C141" s="1" t="n">
        <v>46205</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11733-2022</t>
        </is>
      </c>
      <c r="B142" s="1" t="n">
        <v>44634</v>
      </c>
      <c r="C142" s="1" t="n">
        <v>46205</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25728-2023</t>
        </is>
      </c>
      <c r="B143" s="1" t="n">
        <v>45090</v>
      </c>
      <c r="C143" s="1" t="n">
        <v>46205</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43038-2022</t>
        </is>
      </c>
      <c r="B144" s="1" t="n">
        <v>44833</v>
      </c>
      <c r="C144" s="1" t="n">
        <v>46205</v>
      </c>
      <c r="D144" t="inlineStr">
        <is>
          <t>KALMAR LÄN</t>
        </is>
      </c>
      <c r="E144" t="inlineStr">
        <is>
          <t>VIMMERBY</t>
        </is>
      </c>
      <c r="G144" t="n">
        <v>4.2</v>
      </c>
      <c r="H144" t="n">
        <v>0</v>
      </c>
      <c r="I144" t="n">
        <v>0</v>
      </c>
      <c r="J144" t="n">
        <v>0</v>
      </c>
      <c r="K144" t="n">
        <v>0</v>
      </c>
      <c r="L144" t="n">
        <v>0</v>
      </c>
      <c r="M144" t="n">
        <v>0</v>
      </c>
      <c r="N144" t="n">
        <v>0</v>
      </c>
      <c r="O144" t="n">
        <v>0</v>
      </c>
      <c r="P144" t="n">
        <v>0</v>
      </c>
      <c r="Q144" t="n">
        <v>0</v>
      </c>
      <c r="R144" s="2" t="inlineStr"/>
    </row>
    <row r="145" ht="15" customHeight="1">
      <c r="A145" t="inlineStr">
        <is>
          <t>A 50087-2023</t>
        </is>
      </c>
      <c r="B145" s="1" t="n">
        <v>45215</v>
      </c>
      <c r="C145" s="1" t="n">
        <v>46205</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52435-2021</t>
        </is>
      </c>
      <c r="B146" s="1" t="n">
        <v>44466</v>
      </c>
      <c r="C146" s="1" t="n">
        <v>46205</v>
      </c>
      <c r="D146" t="inlineStr">
        <is>
          <t>KALMAR LÄN</t>
        </is>
      </c>
      <c r="E146" t="inlineStr">
        <is>
          <t>VIMMERBY</t>
        </is>
      </c>
      <c r="G146" t="n">
        <v>2.8</v>
      </c>
      <c r="H146" t="n">
        <v>0</v>
      </c>
      <c r="I146" t="n">
        <v>0</v>
      </c>
      <c r="J146" t="n">
        <v>0</v>
      </c>
      <c r="K146" t="n">
        <v>0</v>
      </c>
      <c r="L146" t="n">
        <v>0</v>
      </c>
      <c r="M146" t="n">
        <v>0</v>
      </c>
      <c r="N146" t="n">
        <v>0</v>
      </c>
      <c r="O146" t="n">
        <v>0</v>
      </c>
      <c r="P146" t="n">
        <v>0</v>
      </c>
      <c r="Q146" t="n">
        <v>0</v>
      </c>
      <c r="R146" s="2" t="inlineStr"/>
    </row>
    <row r="147" ht="15" customHeight="1">
      <c r="A147" t="inlineStr">
        <is>
          <t>A 33681-2022</t>
        </is>
      </c>
      <c r="B147" s="1" t="n">
        <v>44789</v>
      </c>
      <c r="C147" s="1" t="n">
        <v>46205</v>
      </c>
      <c r="D147" t="inlineStr">
        <is>
          <t>KALMAR LÄN</t>
        </is>
      </c>
      <c r="E147" t="inlineStr">
        <is>
          <t>VIMMERBY</t>
        </is>
      </c>
      <c r="G147" t="n">
        <v>3.2</v>
      </c>
      <c r="H147" t="n">
        <v>0</v>
      </c>
      <c r="I147" t="n">
        <v>0</v>
      </c>
      <c r="J147" t="n">
        <v>0</v>
      </c>
      <c r="K147" t="n">
        <v>0</v>
      </c>
      <c r="L147" t="n">
        <v>0</v>
      </c>
      <c r="M147" t="n">
        <v>0</v>
      </c>
      <c r="N147" t="n">
        <v>0</v>
      </c>
      <c r="O147" t="n">
        <v>0</v>
      </c>
      <c r="P147" t="n">
        <v>0</v>
      </c>
      <c r="Q147" t="n">
        <v>0</v>
      </c>
      <c r="R147" s="2" t="inlineStr"/>
    </row>
    <row r="148" ht="15" customHeight="1">
      <c r="A148" t="inlineStr">
        <is>
          <t>A 29093-2023</t>
        </is>
      </c>
      <c r="B148" s="1" t="n">
        <v>45105</v>
      </c>
      <c r="C148" s="1" t="n">
        <v>46205</v>
      </c>
      <c r="D148" t="inlineStr">
        <is>
          <t>KALMAR LÄN</t>
        </is>
      </c>
      <c r="E148" t="inlineStr">
        <is>
          <t>VIMMERBY</t>
        </is>
      </c>
      <c r="G148" t="n">
        <v>2.9</v>
      </c>
      <c r="H148" t="n">
        <v>0</v>
      </c>
      <c r="I148" t="n">
        <v>0</v>
      </c>
      <c r="J148" t="n">
        <v>0</v>
      </c>
      <c r="K148" t="n">
        <v>0</v>
      </c>
      <c r="L148" t="n">
        <v>0</v>
      </c>
      <c r="M148" t="n">
        <v>0</v>
      </c>
      <c r="N148" t="n">
        <v>0</v>
      </c>
      <c r="O148" t="n">
        <v>0</v>
      </c>
      <c r="P148" t="n">
        <v>0</v>
      </c>
      <c r="Q148" t="n">
        <v>0</v>
      </c>
      <c r="R148" s="2" t="inlineStr"/>
    </row>
    <row r="149" ht="15" customHeight="1">
      <c r="A149" t="inlineStr">
        <is>
          <t>A 16825-2024</t>
        </is>
      </c>
      <c r="B149" s="1" t="n">
        <v>45411</v>
      </c>
      <c r="C149" s="1" t="n">
        <v>46205</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12033-2024</t>
        </is>
      </c>
      <c r="B150" s="1" t="n">
        <v>45377</v>
      </c>
      <c r="C150" s="1" t="n">
        <v>46205</v>
      </c>
      <c r="D150" t="inlineStr">
        <is>
          <t>KALMAR LÄN</t>
        </is>
      </c>
      <c r="E150" t="inlineStr">
        <is>
          <t>VIMMERBY</t>
        </is>
      </c>
      <c r="G150" t="n">
        <v>1.6</v>
      </c>
      <c r="H150" t="n">
        <v>0</v>
      </c>
      <c r="I150" t="n">
        <v>0</v>
      </c>
      <c r="J150" t="n">
        <v>0</v>
      </c>
      <c r="K150" t="n">
        <v>0</v>
      </c>
      <c r="L150" t="n">
        <v>0</v>
      </c>
      <c r="M150" t="n">
        <v>0</v>
      </c>
      <c r="N150" t="n">
        <v>0</v>
      </c>
      <c r="O150" t="n">
        <v>0</v>
      </c>
      <c r="P150" t="n">
        <v>0</v>
      </c>
      <c r="Q150" t="n">
        <v>0</v>
      </c>
      <c r="R150" s="2" t="inlineStr"/>
    </row>
    <row r="151" ht="15" customHeight="1">
      <c r="A151" t="inlineStr">
        <is>
          <t>A 18501-2024</t>
        </is>
      </c>
      <c r="B151" s="1" t="n">
        <v>45425</v>
      </c>
      <c r="C151" s="1" t="n">
        <v>46205</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28395-2023</t>
        </is>
      </c>
      <c r="B152" s="1" t="n">
        <v>45100</v>
      </c>
      <c r="C152" s="1" t="n">
        <v>46205</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49408-2023</t>
        </is>
      </c>
      <c r="B153" s="1" t="n">
        <v>45211</v>
      </c>
      <c r="C153" s="1" t="n">
        <v>46205</v>
      </c>
      <c r="D153" t="inlineStr">
        <is>
          <t>KALMAR LÄN</t>
        </is>
      </c>
      <c r="E153" t="inlineStr">
        <is>
          <t>VIMMERBY</t>
        </is>
      </c>
      <c r="G153" t="n">
        <v>13.1</v>
      </c>
      <c r="H153" t="n">
        <v>0</v>
      </c>
      <c r="I153" t="n">
        <v>0</v>
      </c>
      <c r="J153" t="n">
        <v>0</v>
      </c>
      <c r="K153" t="n">
        <v>0</v>
      </c>
      <c r="L153" t="n">
        <v>0</v>
      </c>
      <c r="M153" t="n">
        <v>0</v>
      </c>
      <c r="N153" t="n">
        <v>0</v>
      </c>
      <c r="O153" t="n">
        <v>0</v>
      </c>
      <c r="P153" t="n">
        <v>0</v>
      </c>
      <c r="Q153" t="n">
        <v>0</v>
      </c>
      <c r="R153" s="2" t="inlineStr"/>
    </row>
    <row r="154" ht="15" customHeight="1">
      <c r="A154" t="inlineStr">
        <is>
          <t>A 27443-2023</t>
        </is>
      </c>
      <c r="B154" s="1" t="n">
        <v>45097</v>
      </c>
      <c r="C154" s="1" t="n">
        <v>46205</v>
      </c>
      <c r="D154" t="inlineStr">
        <is>
          <t>KALMAR LÄN</t>
        </is>
      </c>
      <c r="E154" t="inlineStr">
        <is>
          <t>VIMMERBY</t>
        </is>
      </c>
      <c r="F154" t="inlineStr">
        <is>
          <t>Övriga Aktiebolag</t>
        </is>
      </c>
      <c r="G154" t="n">
        <v>2.3</v>
      </c>
      <c r="H154" t="n">
        <v>0</v>
      </c>
      <c r="I154" t="n">
        <v>0</v>
      </c>
      <c r="J154" t="n">
        <v>0</v>
      </c>
      <c r="K154" t="n">
        <v>0</v>
      </c>
      <c r="L154" t="n">
        <v>0</v>
      </c>
      <c r="M154" t="n">
        <v>0</v>
      </c>
      <c r="N154" t="n">
        <v>0</v>
      </c>
      <c r="O154" t="n">
        <v>0</v>
      </c>
      <c r="P154" t="n">
        <v>0</v>
      </c>
      <c r="Q154" t="n">
        <v>0</v>
      </c>
      <c r="R154" s="2" t="inlineStr"/>
    </row>
    <row r="155" ht="15" customHeight="1">
      <c r="A155" t="inlineStr">
        <is>
          <t>A 57256-2023</t>
        </is>
      </c>
      <c r="B155" s="1" t="n">
        <v>45245</v>
      </c>
      <c r="C155" s="1" t="n">
        <v>46205</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23088-2024</t>
        </is>
      </c>
      <c r="B156" s="1" t="n">
        <v>45450</v>
      </c>
      <c r="C156" s="1" t="n">
        <v>46205</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25799-2023</t>
        </is>
      </c>
      <c r="B157" s="1" t="n">
        <v>45090</v>
      </c>
      <c r="C157" s="1" t="n">
        <v>46205</v>
      </c>
      <c r="D157" t="inlineStr">
        <is>
          <t>KALMAR LÄN</t>
        </is>
      </c>
      <c r="E157" t="inlineStr">
        <is>
          <t>VIMMERBY</t>
        </is>
      </c>
      <c r="G157" t="n">
        <v>7.7</v>
      </c>
      <c r="H157" t="n">
        <v>0</v>
      </c>
      <c r="I157" t="n">
        <v>0</v>
      </c>
      <c r="J157" t="n">
        <v>0</v>
      </c>
      <c r="K157" t="n">
        <v>0</v>
      </c>
      <c r="L157" t="n">
        <v>0</v>
      </c>
      <c r="M157" t="n">
        <v>0</v>
      </c>
      <c r="N157" t="n">
        <v>0</v>
      </c>
      <c r="O157" t="n">
        <v>0</v>
      </c>
      <c r="P157" t="n">
        <v>0</v>
      </c>
      <c r="Q157" t="n">
        <v>0</v>
      </c>
      <c r="R157" s="2" t="inlineStr"/>
    </row>
    <row r="158" ht="15" customHeight="1">
      <c r="A158" t="inlineStr">
        <is>
          <t>A 1987-2024</t>
        </is>
      </c>
      <c r="B158" s="1" t="n">
        <v>45308</v>
      </c>
      <c r="C158" s="1" t="n">
        <v>46205</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527-2024</t>
        </is>
      </c>
      <c r="B159" s="1" t="n">
        <v>45299</v>
      </c>
      <c r="C159" s="1" t="n">
        <v>46205</v>
      </c>
      <c r="D159" t="inlineStr">
        <is>
          <t>KALMAR LÄN</t>
        </is>
      </c>
      <c r="E159" t="inlineStr">
        <is>
          <t>VIMMERBY</t>
        </is>
      </c>
      <c r="G159" t="n">
        <v>2.2</v>
      </c>
      <c r="H159" t="n">
        <v>0</v>
      </c>
      <c r="I159" t="n">
        <v>0</v>
      </c>
      <c r="J159" t="n">
        <v>0</v>
      </c>
      <c r="K159" t="n">
        <v>0</v>
      </c>
      <c r="L159" t="n">
        <v>0</v>
      </c>
      <c r="M159" t="n">
        <v>0</v>
      </c>
      <c r="N159" t="n">
        <v>0</v>
      </c>
      <c r="O159" t="n">
        <v>0</v>
      </c>
      <c r="P159" t="n">
        <v>0</v>
      </c>
      <c r="Q159" t="n">
        <v>0</v>
      </c>
      <c r="R159" s="2" t="inlineStr"/>
    </row>
    <row r="160" ht="15" customHeight="1">
      <c r="A160" t="inlineStr">
        <is>
          <t>A 57189-2022</t>
        </is>
      </c>
      <c r="B160" s="1" t="n">
        <v>44895</v>
      </c>
      <c r="C160" s="1" t="n">
        <v>46205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37192-2024</t>
        </is>
      </c>
      <c r="B161" s="1" t="n">
        <v>45539</v>
      </c>
      <c r="C161" s="1" t="n">
        <v>46205</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47063-2022</t>
        </is>
      </c>
      <c r="B162" s="1" t="n">
        <v>44852</v>
      </c>
      <c r="C162" s="1" t="n">
        <v>46205</v>
      </c>
      <c r="D162" t="inlineStr">
        <is>
          <t>KALMAR LÄN</t>
        </is>
      </c>
      <c r="E162" t="inlineStr">
        <is>
          <t>VIMMERBY</t>
        </is>
      </c>
      <c r="G162" t="n">
        <v>2.5</v>
      </c>
      <c r="H162" t="n">
        <v>0</v>
      </c>
      <c r="I162" t="n">
        <v>0</v>
      </c>
      <c r="J162" t="n">
        <v>0</v>
      </c>
      <c r="K162" t="n">
        <v>0</v>
      </c>
      <c r="L162" t="n">
        <v>0</v>
      </c>
      <c r="M162" t="n">
        <v>0</v>
      </c>
      <c r="N162" t="n">
        <v>0</v>
      </c>
      <c r="O162" t="n">
        <v>0</v>
      </c>
      <c r="P162" t="n">
        <v>0</v>
      </c>
      <c r="Q162" t="n">
        <v>0</v>
      </c>
      <c r="R162" s="2" t="inlineStr"/>
    </row>
    <row r="163" ht="15" customHeight="1">
      <c r="A163" t="inlineStr">
        <is>
          <t>A 12819-2024</t>
        </is>
      </c>
      <c r="B163" s="1" t="n">
        <v>45384</v>
      </c>
      <c r="C163" s="1" t="n">
        <v>46205</v>
      </c>
      <c r="D163" t="inlineStr">
        <is>
          <t>KALMAR LÄN</t>
        </is>
      </c>
      <c r="E163" t="inlineStr">
        <is>
          <t>VIMMERBY</t>
        </is>
      </c>
      <c r="G163" t="n">
        <v>5.1</v>
      </c>
      <c r="H163" t="n">
        <v>0</v>
      </c>
      <c r="I163" t="n">
        <v>0</v>
      </c>
      <c r="J163" t="n">
        <v>0</v>
      </c>
      <c r="K163" t="n">
        <v>0</v>
      </c>
      <c r="L163" t="n">
        <v>0</v>
      </c>
      <c r="M163" t="n">
        <v>0</v>
      </c>
      <c r="N163" t="n">
        <v>0</v>
      </c>
      <c r="O163" t="n">
        <v>0</v>
      </c>
      <c r="P163" t="n">
        <v>0</v>
      </c>
      <c r="Q163" t="n">
        <v>0</v>
      </c>
      <c r="R163" s="2" t="inlineStr"/>
    </row>
    <row r="164" ht="15" customHeight="1">
      <c r="A164" t="inlineStr">
        <is>
          <t>A 31382-2023</t>
        </is>
      </c>
      <c r="B164" s="1" t="n">
        <v>45114</v>
      </c>
      <c r="C164" s="1" t="n">
        <v>46205</v>
      </c>
      <c r="D164" t="inlineStr">
        <is>
          <t>KALMAR LÄN</t>
        </is>
      </c>
      <c r="E164" t="inlineStr">
        <is>
          <t>VIMMERBY</t>
        </is>
      </c>
      <c r="G164" t="n">
        <v>3.7</v>
      </c>
      <c r="H164" t="n">
        <v>0</v>
      </c>
      <c r="I164" t="n">
        <v>0</v>
      </c>
      <c r="J164" t="n">
        <v>0</v>
      </c>
      <c r="K164" t="n">
        <v>0</v>
      </c>
      <c r="L164" t="n">
        <v>0</v>
      </c>
      <c r="M164" t="n">
        <v>0</v>
      </c>
      <c r="N164" t="n">
        <v>0</v>
      </c>
      <c r="O164" t="n">
        <v>0</v>
      </c>
      <c r="P164" t="n">
        <v>0</v>
      </c>
      <c r="Q164" t="n">
        <v>0</v>
      </c>
      <c r="R164" s="2" t="inlineStr"/>
    </row>
    <row r="165" ht="15" customHeight="1">
      <c r="A165" t="inlineStr">
        <is>
          <t>A 11073-2023</t>
        </is>
      </c>
      <c r="B165" s="1" t="n">
        <v>44992</v>
      </c>
      <c r="C165" s="1" t="n">
        <v>46205</v>
      </c>
      <c r="D165" t="inlineStr">
        <is>
          <t>KALMAR LÄN</t>
        </is>
      </c>
      <c r="E165" t="inlineStr">
        <is>
          <t>VIMMERBY</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61820-2023</t>
        </is>
      </c>
      <c r="B166" s="1" t="n">
        <v>45266</v>
      </c>
      <c r="C166" s="1" t="n">
        <v>46205</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3269-2024</t>
        </is>
      </c>
      <c r="B167" s="1" t="n">
        <v>45317</v>
      </c>
      <c r="C167" s="1" t="n">
        <v>46205</v>
      </c>
      <c r="D167" t="inlineStr">
        <is>
          <t>KALMAR LÄN</t>
        </is>
      </c>
      <c r="E167" t="inlineStr">
        <is>
          <t>VIMMERBY</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59955-2023</t>
        </is>
      </c>
      <c r="B168" s="1" t="n">
        <v>45257</v>
      </c>
      <c r="C168" s="1" t="n">
        <v>46205</v>
      </c>
      <c r="D168" t="inlineStr">
        <is>
          <t>KALMAR LÄN</t>
        </is>
      </c>
      <c r="E168" t="inlineStr">
        <is>
          <t>VIMMERBY</t>
        </is>
      </c>
      <c r="G168" t="n">
        <v>13.8</v>
      </c>
      <c r="H168" t="n">
        <v>0</v>
      </c>
      <c r="I168" t="n">
        <v>0</v>
      </c>
      <c r="J168" t="n">
        <v>0</v>
      </c>
      <c r="K168" t="n">
        <v>0</v>
      </c>
      <c r="L168" t="n">
        <v>0</v>
      </c>
      <c r="M168" t="n">
        <v>0</v>
      </c>
      <c r="N168" t="n">
        <v>0</v>
      </c>
      <c r="O168" t="n">
        <v>0</v>
      </c>
      <c r="P168" t="n">
        <v>0</v>
      </c>
      <c r="Q168" t="n">
        <v>0</v>
      </c>
      <c r="R168" s="2" t="inlineStr"/>
    </row>
    <row r="169" ht="15" customHeight="1">
      <c r="A169" t="inlineStr">
        <is>
          <t>A 9418-2024</t>
        </is>
      </c>
      <c r="B169" s="1" t="n">
        <v>45359</v>
      </c>
      <c r="C169" s="1" t="n">
        <v>46205</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2157-2024</t>
        </is>
      </c>
      <c r="B170" s="1" t="n">
        <v>45309</v>
      </c>
      <c r="C170" s="1" t="n">
        <v>46205</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36802-2021</t>
        </is>
      </c>
      <c r="B171" s="1" t="n">
        <v>44392</v>
      </c>
      <c r="C171" s="1" t="n">
        <v>46205</v>
      </c>
      <c r="D171" t="inlineStr">
        <is>
          <t>KALMAR LÄN</t>
        </is>
      </c>
      <c r="E171" t="inlineStr">
        <is>
          <t>VIMMERBY</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9416-2024</t>
        </is>
      </c>
      <c r="B172" s="1" t="n">
        <v>45359</v>
      </c>
      <c r="C172" s="1" t="n">
        <v>46205</v>
      </c>
      <c r="D172" t="inlineStr">
        <is>
          <t>KALMAR LÄN</t>
        </is>
      </c>
      <c r="E172" t="inlineStr">
        <is>
          <t>VIMMERBY</t>
        </is>
      </c>
      <c r="G172" t="n">
        <v>3.2</v>
      </c>
      <c r="H172" t="n">
        <v>0</v>
      </c>
      <c r="I172" t="n">
        <v>0</v>
      </c>
      <c r="J172" t="n">
        <v>0</v>
      </c>
      <c r="K172" t="n">
        <v>0</v>
      </c>
      <c r="L172" t="n">
        <v>0</v>
      </c>
      <c r="M172" t="n">
        <v>0</v>
      </c>
      <c r="N172" t="n">
        <v>0</v>
      </c>
      <c r="O172" t="n">
        <v>0</v>
      </c>
      <c r="P172" t="n">
        <v>0</v>
      </c>
      <c r="Q172" t="n">
        <v>0</v>
      </c>
      <c r="R172" s="2" t="inlineStr"/>
    </row>
    <row r="173" ht="15" customHeight="1">
      <c r="A173" t="inlineStr">
        <is>
          <t>A 58318-2021</t>
        </is>
      </c>
      <c r="B173" s="1" t="n">
        <v>44488</v>
      </c>
      <c r="C173" s="1" t="n">
        <v>46205</v>
      </c>
      <c r="D173" t="inlineStr">
        <is>
          <t>KALMAR LÄN</t>
        </is>
      </c>
      <c r="E173" t="inlineStr">
        <is>
          <t>VIMMERBY</t>
        </is>
      </c>
      <c r="G173" t="n">
        <v>4</v>
      </c>
      <c r="H173" t="n">
        <v>0</v>
      </c>
      <c r="I173" t="n">
        <v>0</v>
      </c>
      <c r="J173" t="n">
        <v>0</v>
      </c>
      <c r="K173" t="n">
        <v>0</v>
      </c>
      <c r="L173" t="n">
        <v>0</v>
      </c>
      <c r="M173" t="n">
        <v>0</v>
      </c>
      <c r="N173" t="n">
        <v>0</v>
      </c>
      <c r="O173" t="n">
        <v>0</v>
      </c>
      <c r="P173" t="n">
        <v>0</v>
      </c>
      <c r="Q173" t="n">
        <v>0</v>
      </c>
      <c r="R173" s="2" t="inlineStr"/>
    </row>
    <row r="174" ht="15" customHeight="1">
      <c r="A174" t="inlineStr">
        <is>
          <t>A 53083-2021</t>
        </is>
      </c>
      <c r="B174" s="1" t="n">
        <v>44467</v>
      </c>
      <c r="C174" s="1" t="n">
        <v>46205</v>
      </c>
      <c r="D174" t="inlineStr">
        <is>
          <t>KALMAR LÄN</t>
        </is>
      </c>
      <c r="E174" t="inlineStr">
        <is>
          <t>VIMMERBY</t>
        </is>
      </c>
      <c r="G174" t="n">
        <v>6.8</v>
      </c>
      <c r="H174" t="n">
        <v>0</v>
      </c>
      <c r="I174" t="n">
        <v>0</v>
      </c>
      <c r="J174" t="n">
        <v>0</v>
      </c>
      <c r="K174" t="n">
        <v>0</v>
      </c>
      <c r="L174" t="n">
        <v>0</v>
      </c>
      <c r="M174" t="n">
        <v>0</v>
      </c>
      <c r="N174" t="n">
        <v>0</v>
      </c>
      <c r="O174" t="n">
        <v>0</v>
      </c>
      <c r="P174" t="n">
        <v>0</v>
      </c>
      <c r="Q174" t="n">
        <v>0</v>
      </c>
      <c r="R174" s="2" t="inlineStr"/>
    </row>
    <row r="175" ht="15" customHeight="1">
      <c r="A175" t="inlineStr">
        <is>
          <t>A 29173-2024</t>
        </is>
      </c>
      <c r="B175" s="1" t="n">
        <v>45482</v>
      </c>
      <c r="C175" s="1" t="n">
        <v>46205</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49313-2022</t>
        </is>
      </c>
      <c r="B176" s="1" t="n">
        <v>44861</v>
      </c>
      <c r="C176" s="1" t="n">
        <v>46205</v>
      </c>
      <c r="D176" t="inlineStr">
        <is>
          <t>KALMAR LÄN</t>
        </is>
      </c>
      <c r="E176" t="inlineStr">
        <is>
          <t>VIMMERBY</t>
        </is>
      </c>
      <c r="G176" t="n">
        <v>1.9</v>
      </c>
      <c r="H176" t="n">
        <v>0</v>
      </c>
      <c r="I176" t="n">
        <v>0</v>
      </c>
      <c r="J176" t="n">
        <v>0</v>
      </c>
      <c r="K176" t="n">
        <v>0</v>
      </c>
      <c r="L176" t="n">
        <v>0</v>
      </c>
      <c r="M176" t="n">
        <v>0</v>
      </c>
      <c r="N176" t="n">
        <v>0</v>
      </c>
      <c r="O176" t="n">
        <v>0</v>
      </c>
      <c r="P176" t="n">
        <v>0</v>
      </c>
      <c r="Q176" t="n">
        <v>0</v>
      </c>
      <c r="R176" s="2" t="inlineStr"/>
    </row>
    <row r="177" ht="15" customHeight="1">
      <c r="A177" t="inlineStr">
        <is>
          <t>A 11111-2024</t>
        </is>
      </c>
      <c r="B177" s="1" t="n">
        <v>45371</v>
      </c>
      <c r="C177" s="1" t="n">
        <v>46205</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11141-2024</t>
        </is>
      </c>
      <c r="B178" s="1" t="n">
        <v>45371</v>
      </c>
      <c r="C178" s="1" t="n">
        <v>46205</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35998-2024</t>
        </is>
      </c>
      <c r="B179" s="1" t="n">
        <v>45533</v>
      </c>
      <c r="C179" s="1" t="n">
        <v>46205</v>
      </c>
      <c r="D179" t="inlineStr">
        <is>
          <t>KALMAR LÄN</t>
        </is>
      </c>
      <c r="E179" t="inlineStr">
        <is>
          <t>VIMMERBY</t>
        </is>
      </c>
      <c r="G179" t="n">
        <v>8.6</v>
      </c>
      <c r="H179" t="n">
        <v>0</v>
      </c>
      <c r="I179" t="n">
        <v>0</v>
      </c>
      <c r="J179" t="n">
        <v>0</v>
      </c>
      <c r="K179" t="n">
        <v>0</v>
      </c>
      <c r="L179" t="n">
        <v>0</v>
      </c>
      <c r="M179" t="n">
        <v>0</v>
      </c>
      <c r="N179" t="n">
        <v>0</v>
      </c>
      <c r="O179" t="n">
        <v>0</v>
      </c>
      <c r="P179" t="n">
        <v>0</v>
      </c>
      <c r="Q179" t="n">
        <v>0</v>
      </c>
      <c r="R179" s="2" t="inlineStr"/>
    </row>
    <row r="180" ht="15" customHeight="1">
      <c r="A180" t="inlineStr">
        <is>
          <t>A 36040-2024</t>
        </is>
      </c>
      <c r="B180" s="1" t="n">
        <v>45533</v>
      </c>
      <c r="C180" s="1" t="n">
        <v>46205</v>
      </c>
      <c r="D180" t="inlineStr">
        <is>
          <t>KALMAR LÄN</t>
        </is>
      </c>
      <c r="E180" t="inlineStr">
        <is>
          <t>VIMMERBY</t>
        </is>
      </c>
      <c r="F180" t="inlineStr">
        <is>
          <t>Kommuner</t>
        </is>
      </c>
      <c r="G180" t="n">
        <v>3.6</v>
      </c>
      <c r="H180" t="n">
        <v>0</v>
      </c>
      <c r="I180" t="n">
        <v>0</v>
      </c>
      <c r="J180" t="n">
        <v>0</v>
      </c>
      <c r="K180" t="n">
        <v>0</v>
      </c>
      <c r="L180" t="n">
        <v>0</v>
      </c>
      <c r="M180" t="n">
        <v>0</v>
      </c>
      <c r="N180" t="n">
        <v>0</v>
      </c>
      <c r="O180" t="n">
        <v>0</v>
      </c>
      <c r="P180" t="n">
        <v>0</v>
      </c>
      <c r="Q180" t="n">
        <v>0</v>
      </c>
      <c r="R180" s="2" t="inlineStr"/>
    </row>
    <row r="181" ht="15" customHeight="1">
      <c r="A181" t="inlineStr">
        <is>
          <t>A 36043-2024</t>
        </is>
      </c>
      <c r="B181" s="1" t="n">
        <v>45533</v>
      </c>
      <c r="C181" s="1" t="n">
        <v>46205</v>
      </c>
      <c r="D181" t="inlineStr">
        <is>
          <t>KALMAR LÄN</t>
        </is>
      </c>
      <c r="E181" t="inlineStr">
        <is>
          <t>VIMMERBY</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34588-2024</t>
        </is>
      </c>
      <c r="B182" s="1" t="n">
        <v>45526</v>
      </c>
      <c r="C182" s="1" t="n">
        <v>46205</v>
      </c>
      <c r="D182" t="inlineStr">
        <is>
          <t>KALMAR LÄN</t>
        </is>
      </c>
      <c r="E182" t="inlineStr">
        <is>
          <t>VIMMERBY</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56659-2023</t>
        </is>
      </c>
      <c r="B183" s="1" t="n">
        <v>45243</v>
      </c>
      <c r="C183" s="1" t="n">
        <v>46205</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3331-2023</t>
        </is>
      </c>
      <c r="B184" s="1" t="n">
        <v>44949</v>
      </c>
      <c r="C184" s="1" t="n">
        <v>46205</v>
      </c>
      <c r="D184" t="inlineStr">
        <is>
          <t>KALMAR LÄN</t>
        </is>
      </c>
      <c r="E184" t="inlineStr">
        <is>
          <t>VIMMERBY</t>
        </is>
      </c>
      <c r="G184" t="n">
        <v>6.2</v>
      </c>
      <c r="H184" t="n">
        <v>0</v>
      </c>
      <c r="I184" t="n">
        <v>0</v>
      </c>
      <c r="J184" t="n">
        <v>0</v>
      </c>
      <c r="K184" t="n">
        <v>0</v>
      </c>
      <c r="L184" t="n">
        <v>0</v>
      </c>
      <c r="M184" t="n">
        <v>0</v>
      </c>
      <c r="N184" t="n">
        <v>0</v>
      </c>
      <c r="O184" t="n">
        <v>0</v>
      </c>
      <c r="P184" t="n">
        <v>0</v>
      </c>
      <c r="Q184" t="n">
        <v>0</v>
      </c>
      <c r="R184" s="2" t="inlineStr"/>
    </row>
    <row r="185" ht="15" customHeight="1">
      <c r="A185" t="inlineStr">
        <is>
          <t>A 35710-2023</t>
        </is>
      </c>
      <c r="B185" s="1" t="n">
        <v>45147</v>
      </c>
      <c r="C185" s="1" t="n">
        <v>46205</v>
      </c>
      <c r="D185" t="inlineStr">
        <is>
          <t>KALMAR LÄN</t>
        </is>
      </c>
      <c r="E185" t="inlineStr">
        <is>
          <t>VIMMERBY</t>
        </is>
      </c>
      <c r="G185" t="n">
        <v>3.1</v>
      </c>
      <c r="H185" t="n">
        <v>0</v>
      </c>
      <c r="I185" t="n">
        <v>0</v>
      </c>
      <c r="J185" t="n">
        <v>0</v>
      </c>
      <c r="K185" t="n">
        <v>0</v>
      </c>
      <c r="L185" t="n">
        <v>0</v>
      </c>
      <c r="M185" t="n">
        <v>0</v>
      </c>
      <c r="N185" t="n">
        <v>0</v>
      </c>
      <c r="O185" t="n">
        <v>0</v>
      </c>
      <c r="P185" t="n">
        <v>0</v>
      </c>
      <c r="Q185" t="n">
        <v>0</v>
      </c>
      <c r="R185" s="2" t="inlineStr"/>
    </row>
    <row r="186" ht="15" customHeight="1">
      <c r="A186" t="inlineStr">
        <is>
          <t>A 35711-2023</t>
        </is>
      </c>
      <c r="B186" s="1" t="n">
        <v>45147</v>
      </c>
      <c r="C186" s="1" t="n">
        <v>46205</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40828-2023</t>
        </is>
      </c>
      <c r="B187" s="1" t="n">
        <v>45171</v>
      </c>
      <c r="C187" s="1" t="n">
        <v>46205</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51278-2024</t>
        </is>
      </c>
      <c r="B188" s="1" t="n">
        <v>45603</v>
      </c>
      <c r="C188" s="1" t="n">
        <v>46205</v>
      </c>
      <c r="D188" t="inlineStr">
        <is>
          <t>KALMAR LÄN</t>
        </is>
      </c>
      <c r="E188" t="inlineStr">
        <is>
          <t>VIMMERBY</t>
        </is>
      </c>
      <c r="G188" t="n">
        <v>3.4</v>
      </c>
      <c r="H188" t="n">
        <v>0</v>
      </c>
      <c r="I188" t="n">
        <v>0</v>
      </c>
      <c r="J188" t="n">
        <v>0</v>
      </c>
      <c r="K188" t="n">
        <v>0</v>
      </c>
      <c r="L188" t="n">
        <v>0</v>
      </c>
      <c r="M188" t="n">
        <v>0</v>
      </c>
      <c r="N188" t="n">
        <v>0</v>
      </c>
      <c r="O188" t="n">
        <v>0</v>
      </c>
      <c r="P188" t="n">
        <v>0</v>
      </c>
      <c r="Q188" t="n">
        <v>0</v>
      </c>
      <c r="R188" s="2" t="inlineStr"/>
    </row>
    <row r="189" ht="15" customHeight="1">
      <c r="A189" t="inlineStr">
        <is>
          <t>A 409-2026</t>
        </is>
      </c>
      <c r="B189" s="1" t="n">
        <v>46028</v>
      </c>
      <c r="C189" s="1" t="n">
        <v>46205</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35082-2024</t>
        </is>
      </c>
      <c r="B190" s="1" t="n">
        <v>45527</v>
      </c>
      <c r="C190" s="1" t="n">
        <v>46205</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16734-2023</t>
        </is>
      </c>
      <c r="B191" s="1" t="n">
        <v>45030</v>
      </c>
      <c r="C191" s="1" t="n">
        <v>46205</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44582-2024</t>
        </is>
      </c>
      <c r="B192" s="1" t="n">
        <v>45574</v>
      </c>
      <c r="C192" s="1" t="n">
        <v>46205</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9456-2025</t>
        </is>
      </c>
      <c r="B193" s="1" t="n">
        <v>45715</v>
      </c>
      <c r="C193" s="1" t="n">
        <v>46205</v>
      </c>
      <c r="D193" t="inlineStr">
        <is>
          <t>KALMAR LÄN</t>
        </is>
      </c>
      <c r="E193" t="inlineStr">
        <is>
          <t>VIMMERBY</t>
        </is>
      </c>
      <c r="G193" t="n">
        <v>1.5</v>
      </c>
      <c r="H193" t="n">
        <v>0</v>
      </c>
      <c r="I193" t="n">
        <v>0</v>
      </c>
      <c r="J193" t="n">
        <v>0</v>
      </c>
      <c r="K193" t="n">
        <v>0</v>
      </c>
      <c r="L193" t="n">
        <v>0</v>
      </c>
      <c r="M193" t="n">
        <v>0</v>
      </c>
      <c r="N193" t="n">
        <v>0</v>
      </c>
      <c r="O193" t="n">
        <v>0</v>
      </c>
      <c r="P193" t="n">
        <v>0</v>
      </c>
      <c r="Q193" t="n">
        <v>0</v>
      </c>
      <c r="R193" s="2" t="inlineStr"/>
    </row>
    <row r="194" ht="15" customHeight="1">
      <c r="A194" t="inlineStr">
        <is>
          <t>A 11111-2023</t>
        </is>
      </c>
      <c r="B194" s="1" t="n">
        <v>44992</v>
      </c>
      <c r="C194" s="1" t="n">
        <v>46205</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406-2026</t>
        </is>
      </c>
      <c r="B195" s="1" t="n">
        <v>46028</v>
      </c>
      <c r="C195" s="1" t="n">
        <v>46205</v>
      </c>
      <c r="D195" t="inlineStr">
        <is>
          <t>KALMAR LÄN</t>
        </is>
      </c>
      <c r="E195" t="inlineStr">
        <is>
          <t>VIMMERBY</t>
        </is>
      </c>
      <c r="G195" t="n">
        <v>1.8</v>
      </c>
      <c r="H195" t="n">
        <v>0</v>
      </c>
      <c r="I195" t="n">
        <v>0</v>
      </c>
      <c r="J195" t="n">
        <v>0</v>
      </c>
      <c r="K195" t="n">
        <v>0</v>
      </c>
      <c r="L195" t="n">
        <v>0</v>
      </c>
      <c r="M195" t="n">
        <v>0</v>
      </c>
      <c r="N195" t="n">
        <v>0</v>
      </c>
      <c r="O195" t="n">
        <v>0</v>
      </c>
      <c r="P195" t="n">
        <v>0</v>
      </c>
      <c r="Q195" t="n">
        <v>0</v>
      </c>
      <c r="R195" s="2" t="inlineStr"/>
    </row>
    <row r="196" ht="15" customHeight="1">
      <c r="A196" t="inlineStr">
        <is>
          <t>A 64143-2021</t>
        </is>
      </c>
      <c r="B196" s="1" t="n">
        <v>44510</v>
      </c>
      <c r="C196" s="1" t="n">
        <v>46205</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58724-2024</t>
        </is>
      </c>
      <c r="B197" s="1" t="n">
        <v>45635</v>
      </c>
      <c r="C197" s="1" t="n">
        <v>46205</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9720-2023</t>
        </is>
      </c>
      <c r="B198" s="1" t="n">
        <v>44984</v>
      </c>
      <c r="C198" s="1" t="n">
        <v>46205</v>
      </c>
      <c r="D198" t="inlineStr">
        <is>
          <t>KALMAR LÄN</t>
        </is>
      </c>
      <c r="E198" t="inlineStr">
        <is>
          <t>VIMMERBY</t>
        </is>
      </c>
      <c r="G198" t="n">
        <v>4.4</v>
      </c>
      <c r="H198" t="n">
        <v>0</v>
      </c>
      <c r="I198" t="n">
        <v>0</v>
      </c>
      <c r="J198" t="n">
        <v>0</v>
      </c>
      <c r="K198" t="n">
        <v>0</v>
      </c>
      <c r="L198" t="n">
        <v>0</v>
      </c>
      <c r="M198" t="n">
        <v>0</v>
      </c>
      <c r="N198" t="n">
        <v>0</v>
      </c>
      <c r="O198" t="n">
        <v>0</v>
      </c>
      <c r="P198" t="n">
        <v>0</v>
      </c>
      <c r="Q198" t="n">
        <v>0</v>
      </c>
      <c r="R198" s="2" t="inlineStr"/>
    </row>
    <row r="199" ht="15" customHeight="1">
      <c r="A199" t="inlineStr">
        <is>
          <t>A 5938-2022</t>
        </is>
      </c>
      <c r="B199" s="1" t="n">
        <v>44598</v>
      </c>
      <c r="C199" s="1" t="n">
        <v>46205</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38604-2025</t>
        </is>
      </c>
      <c r="B200" s="1" t="n">
        <v>45884</v>
      </c>
      <c r="C200" s="1" t="n">
        <v>46205</v>
      </c>
      <c r="D200" t="inlineStr">
        <is>
          <t>KALMAR LÄN</t>
        </is>
      </c>
      <c r="E200" t="inlineStr">
        <is>
          <t>VIMMERBY</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1687-2023</t>
        </is>
      </c>
      <c r="B201" s="1" t="n">
        <v>44938</v>
      </c>
      <c r="C201" s="1" t="n">
        <v>46205</v>
      </c>
      <c r="D201" t="inlineStr">
        <is>
          <t>KALMAR LÄN</t>
        </is>
      </c>
      <c r="E201" t="inlineStr">
        <is>
          <t>VIMMERBY</t>
        </is>
      </c>
      <c r="F201" t="inlineStr">
        <is>
          <t>Kommuner</t>
        </is>
      </c>
      <c r="G201" t="n">
        <v>2.5</v>
      </c>
      <c r="H201" t="n">
        <v>0</v>
      </c>
      <c r="I201" t="n">
        <v>0</v>
      </c>
      <c r="J201" t="n">
        <v>0</v>
      </c>
      <c r="K201" t="n">
        <v>0</v>
      </c>
      <c r="L201" t="n">
        <v>0</v>
      </c>
      <c r="M201" t="n">
        <v>0</v>
      </c>
      <c r="N201" t="n">
        <v>0</v>
      </c>
      <c r="O201" t="n">
        <v>0</v>
      </c>
      <c r="P201" t="n">
        <v>0</v>
      </c>
      <c r="Q201" t="n">
        <v>0</v>
      </c>
      <c r="R201" s="2" t="inlineStr"/>
    </row>
    <row r="202" ht="15" customHeight="1">
      <c r="A202" t="inlineStr">
        <is>
          <t>A 15494-2024</t>
        </is>
      </c>
      <c r="B202" s="1" t="n">
        <v>45401</v>
      </c>
      <c r="C202" s="1" t="n">
        <v>46205</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29440-2024</t>
        </is>
      </c>
      <c r="B203" s="1" t="n">
        <v>45483</v>
      </c>
      <c r="C203" s="1" t="n">
        <v>46205</v>
      </c>
      <c r="D203" t="inlineStr">
        <is>
          <t>KALMAR LÄN</t>
        </is>
      </c>
      <c r="E203" t="inlineStr">
        <is>
          <t>VIMMERBY</t>
        </is>
      </c>
      <c r="G203" t="n">
        <v>4.5</v>
      </c>
      <c r="H203" t="n">
        <v>0</v>
      </c>
      <c r="I203" t="n">
        <v>0</v>
      </c>
      <c r="J203" t="n">
        <v>0</v>
      </c>
      <c r="K203" t="n">
        <v>0</v>
      </c>
      <c r="L203" t="n">
        <v>0</v>
      </c>
      <c r="M203" t="n">
        <v>0</v>
      </c>
      <c r="N203" t="n">
        <v>0</v>
      </c>
      <c r="O203" t="n">
        <v>0</v>
      </c>
      <c r="P203" t="n">
        <v>0</v>
      </c>
      <c r="Q203" t="n">
        <v>0</v>
      </c>
      <c r="R203" s="2" t="inlineStr"/>
    </row>
    <row r="204" ht="15" customHeight="1">
      <c r="A204" t="inlineStr">
        <is>
          <t>A 30921-2024</t>
        </is>
      </c>
      <c r="B204" s="1" t="n">
        <v>45498</v>
      </c>
      <c r="C204" s="1" t="n">
        <v>46205</v>
      </c>
      <c r="D204" t="inlineStr">
        <is>
          <t>KALMAR LÄN</t>
        </is>
      </c>
      <c r="E204" t="inlineStr">
        <is>
          <t>VIMMERBY</t>
        </is>
      </c>
      <c r="G204" t="n">
        <v>1.6</v>
      </c>
      <c r="H204" t="n">
        <v>0</v>
      </c>
      <c r="I204" t="n">
        <v>0</v>
      </c>
      <c r="J204" t="n">
        <v>0</v>
      </c>
      <c r="K204" t="n">
        <v>0</v>
      </c>
      <c r="L204" t="n">
        <v>0</v>
      </c>
      <c r="M204" t="n">
        <v>0</v>
      </c>
      <c r="N204" t="n">
        <v>0</v>
      </c>
      <c r="O204" t="n">
        <v>0</v>
      </c>
      <c r="P204" t="n">
        <v>0</v>
      </c>
      <c r="Q204" t="n">
        <v>0</v>
      </c>
      <c r="R204" s="2" t="inlineStr"/>
    </row>
    <row r="205" ht="15" customHeight="1">
      <c r="A205" t="inlineStr">
        <is>
          <t>A 53482-2022</t>
        </is>
      </c>
      <c r="B205" s="1" t="n">
        <v>44879</v>
      </c>
      <c r="C205" s="1" t="n">
        <v>46205</v>
      </c>
      <c r="D205" t="inlineStr">
        <is>
          <t>KALMAR LÄN</t>
        </is>
      </c>
      <c r="E205" t="inlineStr">
        <is>
          <t>VIMMERBY</t>
        </is>
      </c>
      <c r="G205" t="n">
        <v>10.1</v>
      </c>
      <c r="H205" t="n">
        <v>0</v>
      </c>
      <c r="I205" t="n">
        <v>0</v>
      </c>
      <c r="J205" t="n">
        <v>0</v>
      </c>
      <c r="K205" t="n">
        <v>0</v>
      </c>
      <c r="L205" t="n">
        <v>0</v>
      </c>
      <c r="M205" t="n">
        <v>0</v>
      </c>
      <c r="N205" t="n">
        <v>0</v>
      </c>
      <c r="O205" t="n">
        <v>0</v>
      </c>
      <c r="P205" t="n">
        <v>0</v>
      </c>
      <c r="Q205" t="n">
        <v>0</v>
      </c>
      <c r="R205" s="2" t="inlineStr"/>
    </row>
    <row r="206" ht="15" customHeight="1">
      <c r="A206" t="inlineStr">
        <is>
          <t>A 26046-2025</t>
        </is>
      </c>
      <c r="B206" s="1" t="n">
        <v>45804</v>
      </c>
      <c r="C206" s="1" t="n">
        <v>46205</v>
      </c>
      <c r="D206" t="inlineStr">
        <is>
          <t>KALMAR LÄN</t>
        </is>
      </c>
      <c r="E206" t="inlineStr">
        <is>
          <t>VIMMERBY</t>
        </is>
      </c>
      <c r="F206" t="inlineStr">
        <is>
          <t>Sveaskog</t>
        </is>
      </c>
      <c r="G206" t="n">
        <v>5.1</v>
      </c>
      <c r="H206" t="n">
        <v>0</v>
      </c>
      <c r="I206" t="n">
        <v>0</v>
      </c>
      <c r="J206" t="n">
        <v>0</v>
      </c>
      <c r="K206" t="n">
        <v>0</v>
      </c>
      <c r="L206" t="n">
        <v>0</v>
      </c>
      <c r="M206" t="n">
        <v>0</v>
      </c>
      <c r="N206" t="n">
        <v>0</v>
      </c>
      <c r="O206" t="n">
        <v>0</v>
      </c>
      <c r="P206" t="n">
        <v>0</v>
      </c>
      <c r="Q206" t="n">
        <v>0</v>
      </c>
      <c r="R206" s="2" t="inlineStr"/>
    </row>
    <row r="207" ht="15" customHeight="1">
      <c r="A207" t="inlineStr">
        <is>
          <t>A 579-2026</t>
        </is>
      </c>
      <c r="B207" s="1" t="n">
        <v>46029</v>
      </c>
      <c r="C207" s="1" t="n">
        <v>46205</v>
      </c>
      <c r="D207" t="inlineStr">
        <is>
          <t>KALMAR LÄN</t>
        </is>
      </c>
      <c r="E207" t="inlineStr">
        <is>
          <t>VIMMERBY</t>
        </is>
      </c>
      <c r="G207" t="n">
        <v>3</v>
      </c>
      <c r="H207" t="n">
        <v>0</v>
      </c>
      <c r="I207" t="n">
        <v>0</v>
      </c>
      <c r="J207" t="n">
        <v>0</v>
      </c>
      <c r="K207" t="n">
        <v>0</v>
      </c>
      <c r="L207" t="n">
        <v>0</v>
      </c>
      <c r="M207" t="n">
        <v>0</v>
      </c>
      <c r="N207" t="n">
        <v>0</v>
      </c>
      <c r="O207" t="n">
        <v>0</v>
      </c>
      <c r="P207" t="n">
        <v>0</v>
      </c>
      <c r="Q207" t="n">
        <v>0</v>
      </c>
      <c r="R207" s="2" t="inlineStr"/>
    </row>
    <row r="208" ht="15" customHeight="1">
      <c r="A208" t="inlineStr">
        <is>
          <t>A 25792-2025</t>
        </is>
      </c>
      <c r="B208" s="1" t="n">
        <v>45804</v>
      </c>
      <c r="C208" s="1" t="n">
        <v>46205</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842-2026</t>
        </is>
      </c>
      <c r="B209" s="1" t="n">
        <v>46030</v>
      </c>
      <c r="C209" s="1" t="n">
        <v>46205</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1069-2026</t>
        </is>
      </c>
      <c r="B210" s="1" t="n">
        <v>46030</v>
      </c>
      <c r="C210" s="1" t="n">
        <v>46205</v>
      </c>
      <c r="D210" t="inlineStr">
        <is>
          <t>KALMAR LÄN</t>
        </is>
      </c>
      <c r="E210" t="inlineStr">
        <is>
          <t>VIMMERBY</t>
        </is>
      </c>
      <c r="G210" t="n">
        <v>3.3</v>
      </c>
      <c r="H210" t="n">
        <v>0</v>
      </c>
      <c r="I210" t="n">
        <v>0</v>
      </c>
      <c r="J210" t="n">
        <v>0</v>
      </c>
      <c r="K210" t="n">
        <v>0</v>
      </c>
      <c r="L210" t="n">
        <v>0</v>
      </c>
      <c r="M210" t="n">
        <v>0</v>
      </c>
      <c r="N210" t="n">
        <v>0</v>
      </c>
      <c r="O210" t="n">
        <v>0</v>
      </c>
      <c r="P210" t="n">
        <v>0</v>
      </c>
      <c r="Q210" t="n">
        <v>0</v>
      </c>
      <c r="R210" s="2" t="inlineStr"/>
    </row>
    <row r="211" ht="15" customHeight="1">
      <c r="A211" t="inlineStr">
        <is>
          <t>A 26207-2025</t>
        </is>
      </c>
      <c r="B211" s="1" t="n">
        <v>45805</v>
      </c>
      <c r="C211" s="1" t="n">
        <v>46205</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29180-2024</t>
        </is>
      </c>
      <c r="B212" s="1" t="n">
        <v>45482</v>
      </c>
      <c r="C212" s="1" t="n">
        <v>46205</v>
      </c>
      <c r="D212" t="inlineStr">
        <is>
          <t>KALMAR LÄN</t>
        </is>
      </c>
      <c r="E212" t="inlineStr">
        <is>
          <t>VIMMERBY</t>
        </is>
      </c>
      <c r="G212" t="n">
        <v>3.8</v>
      </c>
      <c r="H212" t="n">
        <v>0</v>
      </c>
      <c r="I212" t="n">
        <v>0</v>
      </c>
      <c r="J212" t="n">
        <v>0</v>
      </c>
      <c r="K212" t="n">
        <v>0</v>
      </c>
      <c r="L212" t="n">
        <v>0</v>
      </c>
      <c r="M212" t="n">
        <v>0</v>
      </c>
      <c r="N212" t="n">
        <v>0</v>
      </c>
      <c r="O212" t="n">
        <v>0</v>
      </c>
      <c r="P212" t="n">
        <v>0</v>
      </c>
      <c r="Q212" t="n">
        <v>0</v>
      </c>
      <c r="R212" s="2" t="inlineStr"/>
    </row>
    <row r="213" ht="15" customHeight="1">
      <c r="A213" t="inlineStr">
        <is>
          <t>A 54838-2024</t>
        </is>
      </c>
      <c r="B213" s="1" t="n">
        <v>45618</v>
      </c>
      <c r="C213" s="1" t="n">
        <v>46205</v>
      </c>
      <c r="D213" t="inlineStr">
        <is>
          <t>KALMAR LÄN</t>
        </is>
      </c>
      <c r="E213" t="inlineStr">
        <is>
          <t>VIMMERBY</t>
        </is>
      </c>
      <c r="G213" t="n">
        <v>3.3</v>
      </c>
      <c r="H213" t="n">
        <v>0</v>
      </c>
      <c r="I213" t="n">
        <v>0</v>
      </c>
      <c r="J213" t="n">
        <v>0</v>
      </c>
      <c r="K213" t="n">
        <v>0</v>
      </c>
      <c r="L213" t="n">
        <v>0</v>
      </c>
      <c r="M213" t="n">
        <v>0</v>
      </c>
      <c r="N213" t="n">
        <v>0</v>
      </c>
      <c r="O213" t="n">
        <v>0</v>
      </c>
      <c r="P213" t="n">
        <v>0</v>
      </c>
      <c r="Q213" t="n">
        <v>0</v>
      </c>
      <c r="R213" s="2" t="inlineStr"/>
    </row>
    <row r="214" ht="15" customHeight="1">
      <c r="A214" t="inlineStr">
        <is>
          <t>A 25987-2024</t>
        </is>
      </c>
      <c r="B214" s="1" t="n">
        <v>45467</v>
      </c>
      <c r="C214" s="1" t="n">
        <v>46205</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25109-2023</t>
        </is>
      </c>
      <c r="B215" s="1" t="n">
        <v>45086</v>
      </c>
      <c r="C215" s="1" t="n">
        <v>46205</v>
      </c>
      <c r="D215" t="inlineStr">
        <is>
          <t>KALMAR LÄN</t>
        </is>
      </c>
      <c r="E215" t="inlineStr">
        <is>
          <t>VIMMERBY</t>
        </is>
      </c>
      <c r="G215" t="n">
        <v>1.5</v>
      </c>
      <c r="H215" t="n">
        <v>0</v>
      </c>
      <c r="I215" t="n">
        <v>0</v>
      </c>
      <c r="J215" t="n">
        <v>0</v>
      </c>
      <c r="K215" t="n">
        <v>0</v>
      </c>
      <c r="L215" t="n">
        <v>0</v>
      </c>
      <c r="M215" t="n">
        <v>0</v>
      </c>
      <c r="N215" t="n">
        <v>0</v>
      </c>
      <c r="O215" t="n">
        <v>0</v>
      </c>
      <c r="P215" t="n">
        <v>0</v>
      </c>
      <c r="Q215" t="n">
        <v>0</v>
      </c>
      <c r="R215" s="2" t="inlineStr"/>
    </row>
    <row r="216" ht="15" customHeight="1">
      <c r="A216" t="inlineStr">
        <is>
          <t>A 1743-2026</t>
        </is>
      </c>
      <c r="B216" s="1" t="n">
        <v>46034</v>
      </c>
      <c r="C216" s="1" t="n">
        <v>46205</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62023-2022</t>
        </is>
      </c>
      <c r="B217" s="1" t="n">
        <v>44918</v>
      </c>
      <c r="C217" s="1" t="n">
        <v>46205</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58104-2024</t>
        </is>
      </c>
      <c r="B218" s="1" t="n">
        <v>45632</v>
      </c>
      <c r="C218" s="1" t="n">
        <v>46205</v>
      </c>
      <c r="D218" t="inlineStr">
        <is>
          <t>KALMAR LÄN</t>
        </is>
      </c>
      <c r="E218" t="inlineStr">
        <is>
          <t>VIMMERBY</t>
        </is>
      </c>
      <c r="G218" t="n">
        <v>5</v>
      </c>
      <c r="H218" t="n">
        <v>0</v>
      </c>
      <c r="I218" t="n">
        <v>0</v>
      </c>
      <c r="J218" t="n">
        <v>0</v>
      </c>
      <c r="K218" t="n">
        <v>0</v>
      </c>
      <c r="L218" t="n">
        <v>0</v>
      </c>
      <c r="M218" t="n">
        <v>0</v>
      </c>
      <c r="N218" t="n">
        <v>0</v>
      </c>
      <c r="O218" t="n">
        <v>0</v>
      </c>
      <c r="P218" t="n">
        <v>0</v>
      </c>
      <c r="Q218" t="n">
        <v>0</v>
      </c>
      <c r="R218" s="2" t="inlineStr"/>
    </row>
    <row r="219" ht="15" customHeight="1">
      <c r="A219" t="inlineStr">
        <is>
          <t>A 12215-2024</t>
        </is>
      </c>
      <c r="B219" s="1" t="n">
        <v>45378</v>
      </c>
      <c r="C219" s="1" t="n">
        <v>46205</v>
      </c>
      <c r="D219" t="inlineStr">
        <is>
          <t>KALMAR LÄN</t>
        </is>
      </c>
      <c r="E219" t="inlineStr">
        <is>
          <t>VIMMERBY</t>
        </is>
      </c>
      <c r="G219" t="n">
        <v>1.6</v>
      </c>
      <c r="H219" t="n">
        <v>0</v>
      </c>
      <c r="I219" t="n">
        <v>0</v>
      </c>
      <c r="J219" t="n">
        <v>0</v>
      </c>
      <c r="K219" t="n">
        <v>0</v>
      </c>
      <c r="L219" t="n">
        <v>0</v>
      </c>
      <c r="M219" t="n">
        <v>0</v>
      </c>
      <c r="N219" t="n">
        <v>0</v>
      </c>
      <c r="O219" t="n">
        <v>0</v>
      </c>
      <c r="P219" t="n">
        <v>0</v>
      </c>
      <c r="Q219" t="n">
        <v>0</v>
      </c>
      <c r="R219" s="2" t="inlineStr"/>
    </row>
    <row r="220" ht="15" customHeight="1">
      <c r="A220" t="inlineStr">
        <is>
          <t>A 30920-2024</t>
        </is>
      </c>
      <c r="B220" s="1" t="n">
        <v>45498</v>
      </c>
      <c r="C220" s="1" t="n">
        <v>46205</v>
      </c>
      <c r="D220" t="inlineStr">
        <is>
          <t>KALMAR LÄN</t>
        </is>
      </c>
      <c r="E220" t="inlineStr">
        <is>
          <t>VIMMERBY</t>
        </is>
      </c>
      <c r="G220" t="n">
        <v>1.3</v>
      </c>
      <c r="H220" t="n">
        <v>0</v>
      </c>
      <c r="I220" t="n">
        <v>0</v>
      </c>
      <c r="J220" t="n">
        <v>0</v>
      </c>
      <c r="K220" t="n">
        <v>0</v>
      </c>
      <c r="L220" t="n">
        <v>0</v>
      </c>
      <c r="M220" t="n">
        <v>0</v>
      </c>
      <c r="N220" t="n">
        <v>0</v>
      </c>
      <c r="O220" t="n">
        <v>0</v>
      </c>
      <c r="P220" t="n">
        <v>0</v>
      </c>
      <c r="Q220" t="n">
        <v>0</v>
      </c>
      <c r="R220" s="2" t="inlineStr"/>
    </row>
    <row r="221" ht="15" customHeight="1">
      <c r="A221" t="inlineStr">
        <is>
          <t>A 56536-2022</t>
        </is>
      </c>
      <c r="B221" s="1" t="n">
        <v>44893</v>
      </c>
      <c r="C221" s="1" t="n">
        <v>46205</v>
      </c>
      <c r="D221" t="inlineStr">
        <is>
          <t>KALMAR LÄN</t>
        </is>
      </c>
      <c r="E221" t="inlineStr">
        <is>
          <t>VIMMERBY</t>
        </is>
      </c>
      <c r="G221" t="n">
        <v>3.2</v>
      </c>
      <c r="H221" t="n">
        <v>0</v>
      </c>
      <c r="I221" t="n">
        <v>0</v>
      </c>
      <c r="J221" t="n">
        <v>0</v>
      </c>
      <c r="K221" t="n">
        <v>0</v>
      </c>
      <c r="L221" t="n">
        <v>0</v>
      </c>
      <c r="M221" t="n">
        <v>0</v>
      </c>
      <c r="N221" t="n">
        <v>0</v>
      </c>
      <c r="O221" t="n">
        <v>0</v>
      </c>
      <c r="P221" t="n">
        <v>0</v>
      </c>
      <c r="Q221" t="n">
        <v>0</v>
      </c>
      <c r="R221" s="2" t="inlineStr"/>
    </row>
    <row r="222" ht="15" customHeight="1">
      <c r="A222" t="inlineStr">
        <is>
          <t>A 63541-2023</t>
        </is>
      </c>
      <c r="B222" s="1" t="n">
        <v>45275</v>
      </c>
      <c r="C222" s="1" t="n">
        <v>46205</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37323-2024</t>
        </is>
      </c>
      <c r="B223" s="1" t="n">
        <v>45540</v>
      </c>
      <c r="C223" s="1" t="n">
        <v>46205</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28290-2025</t>
        </is>
      </c>
      <c r="B224" s="1" t="n">
        <v>45818</v>
      </c>
      <c r="C224" s="1" t="n">
        <v>46205</v>
      </c>
      <c r="D224" t="inlineStr">
        <is>
          <t>KALMAR LÄN</t>
        </is>
      </c>
      <c r="E224" t="inlineStr">
        <is>
          <t>VIMMERBY</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28294-2025</t>
        </is>
      </c>
      <c r="B225" s="1" t="n">
        <v>45818</v>
      </c>
      <c r="C225" s="1" t="n">
        <v>46205</v>
      </c>
      <c r="D225" t="inlineStr">
        <is>
          <t>KALMAR LÄN</t>
        </is>
      </c>
      <c r="E225" t="inlineStr">
        <is>
          <t>VIMMERBY</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11429-2022</t>
        </is>
      </c>
      <c r="B226" s="1" t="n">
        <v>44630</v>
      </c>
      <c r="C226" s="1" t="n">
        <v>46205</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39807-2025</t>
        </is>
      </c>
      <c r="B227" s="1" t="n">
        <v>45891</v>
      </c>
      <c r="C227" s="1" t="n">
        <v>46205</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28713-2025</t>
        </is>
      </c>
      <c r="B228" s="1" t="n">
        <v>45820</v>
      </c>
      <c r="C228" s="1" t="n">
        <v>46205</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56582-2022</t>
        </is>
      </c>
      <c r="B229" s="1" t="n">
        <v>44893</v>
      </c>
      <c r="C229" s="1" t="n">
        <v>46205</v>
      </c>
      <c r="D229" t="inlineStr">
        <is>
          <t>KALMAR LÄN</t>
        </is>
      </c>
      <c r="E229" t="inlineStr">
        <is>
          <t>VIMMERBY</t>
        </is>
      </c>
      <c r="G229" t="n">
        <v>2.2</v>
      </c>
      <c r="H229" t="n">
        <v>0</v>
      </c>
      <c r="I229" t="n">
        <v>0</v>
      </c>
      <c r="J229" t="n">
        <v>0</v>
      </c>
      <c r="K229" t="n">
        <v>0</v>
      </c>
      <c r="L229" t="n">
        <v>0</v>
      </c>
      <c r="M229" t="n">
        <v>0</v>
      </c>
      <c r="N229" t="n">
        <v>0</v>
      </c>
      <c r="O229" t="n">
        <v>0</v>
      </c>
      <c r="P229" t="n">
        <v>0</v>
      </c>
      <c r="Q229" t="n">
        <v>0</v>
      </c>
      <c r="R229" s="2" t="inlineStr"/>
    </row>
    <row r="230" ht="15" customHeight="1">
      <c r="A230" t="inlineStr">
        <is>
          <t>A 39736-2025</t>
        </is>
      </c>
      <c r="B230" s="1" t="n">
        <v>45891</v>
      </c>
      <c r="C230" s="1" t="n">
        <v>46205</v>
      </c>
      <c r="D230" t="inlineStr">
        <is>
          <t>KALMAR LÄN</t>
        </is>
      </c>
      <c r="E230" t="inlineStr">
        <is>
          <t>VIMMERBY</t>
        </is>
      </c>
      <c r="G230" t="n">
        <v>12.8</v>
      </c>
      <c r="H230" t="n">
        <v>0</v>
      </c>
      <c r="I230" t="n">
        <v>0</v>
      </c>
      <c r="J230" t="n">
        <v>0</v>
      </c>
      <c r="K230" t="n">
        <v>0</v>
      </c>
      <c r="L230" t="n">
        <v>0</v>
      </c>
      <c r="M230" t="n">
        <v>0</v>
      </c>
      <c r="N230" t="n">
        <v>0</v>
      </c>
      <c r="O230" t="n">
        <v>0</v>
      </c>
      <c r="P230" t="n">
        <v>0</v>
      </c>
      <c r="Q230" t="n">
        <v>0</v>
      </c>
      <c r="R230" s="2" t="inlineStr"/>
    </row>
    <row r="231" ht="15" customHeight="1">
      <c r="A231" t="inlineStr">
        <is>
          <t>A 39803-2025</t>
        </is>
      </c>
      <c r="B231" s="1" t="n">
        <v>45891</v>
      </c>
      <c r="C231" s="1" t="n">
        <v>46205</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1748-2026</t>
        </is>
      </c>
      <c r="B232" s="1" t="n">
        <v>46034</v>
      </c>
      <c r="C232" s="1" t="n">
        <v>46205</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6408-2025</t>
        </is>
      </c>
      <c r="B233" s="1" t="n">
        <v>45699</v>
      </c>
      <c r="C233" s="1" t="n">
        <v>46205</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11609-2023</t>
        </is>
      </c>
      <c r="B234" s="1" t="n">
        <v>44994</v>
      </c>
      <c r="C234" s="1" t="n">
        <v>46205</v>
      </c>
      <c r="D234" t="inlineStr">
        <is>
          <t>KALMAR LÄN</t>
        </is>
      </c>
      <c r="E234" t="inlineStr">
        <is>
          <t>VIMMERBY</t>
        </is>
      </c>
      <c r="G234" t="n">
        <v>4.9</v>
      </c>
      <c r="H234" t="n">
        <v>0</v>
      </c>
      <c r="I234" t="n">
        <v>0</v>
      </c>
      <c r="J234" t="n">
        <v>0</v>
      </c>
      <c r="K234" t="n">
        <v>0</v>
      </c>
      <c r="L234" t="n">
        <v>0</v>
      </c>
      <c r="M234" t="n">
        <v>0</v>
      </c>
      <c r="N234" t="n">
        <v>0</v>
      </c>
      <c r="O234" t="n">
        <v>0</v>
      </c>
      <c r="P234" t="n">
        <v>0</v>
      </c>
      <c r="Q234" t="n">
        <v>0</v>
      </c>
      <c r="R234" s="2" t="inlineStr"/>
    </row>
    <row r="235" ht="15" customHeight="1">
      <c r="A235" t="inlineStr">
        <is>
          <t>A 29737-2025</t>
        </is>
      </c>
      <c r="B235" s="1" t="n">
        <v>45825</v>
      </c>
      <c r="C235" s="1" t="n">
        <v>46205</v>
      </c>
      <c r="D235" t="inlineStr">
        <is>
          <t>KALMAR LÄN</t>
        </is>
      </c>
      <c r="E235" t="inlineStr">
        <is>
          <t>VIMMERBY</t>
        </is>
      </c>
      <c r="G235" t="n">
        <v>1.2</v>
      </c>
      <c r="H235" t="n">
        <v>0</v>
      </c>
      <c r="I235" t="n">
        <v>0</v>
      </c>
      <c r="J235" t="n">
        <v>0</v>
      </c>
      <c r="K235" t="n">
        <v>0</v>
      </c>
      <c r="L235" t="n">
        <v>0</v>
      </c>
      <c r="M235" t="n">
        <v>0</v>
      </c>
      <c r="N235" t="n">
        <v>0</v>
      </c>
      <c r="O235" t="n">
        <v>0</v>
      </c>
      <c r="P235" t="n">
        <v>0</v>
      </c>
      <c r="Q235" t="n">
        <v>0</v>
      </c>
      <c r="R235" s="2" t="inlineStr"/>
    </row>
    <row r="236" ht="15" customHeight="1">
      <c r="A236" t="inlineStr">
        <is>
          <t>A 44464-2024</t>
        </is>
      </c>
      <c r="B236" s="1" t="n">
        <v>45574</v>
      </c>
      <c r="C236" s="1" t="n">
        <v>46205</v>
      </c>
      <c r="D236" t="inlineStr">
        <is>
          <t>KALMAR LÄN</t>
        </is>
      </c>
      <c r="E236" t="inlineStr">
        <is>
          <t>VIMMERBY</t>
        </is>
      </c>
      <c r="G236" t="n">
        <v>0.7</v>
      </c>
      <c r="H236" t="n">
        <v>0</v>
      </c>
      <c r="I236" t="n">
        <v>0</v>
      </c>
      <c r="J236" t="n">
        <v>0</v>
      </c>
      <c r="K236" t="n">
        <v>0</v>
      </c>
      <c r="L236" t="n">
        <v>0</v>
      </c>
      <c r="M236" t="n">
        <v>0</v>
      </c>
      <c r="N236" t="n">
        <v>0</v>
      </c>
      <c r="O236" t="n">
        <v>0</v>
      </c>
      <c r="P236" t="n">
        <v>0</v>
      </c>
      <c r="Q236" t="n">
        <v>0</v>
      </c>
      <c r="R236" s="2" t="inlineStr"/>
    </row>
    <row r="237" ht="15" customHeight="1">
      <c r="A237" t="inlineStr">
        <is>
          <t>A 40970-2025</t>
        </is>
      </c>
      <c r="B237" s="1" t="n">
        <v>45897</v>
      </c>
      <c r="C237" s="1" t="n">
        <v>46205</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40973-2025</t>
        </is>
      </c>
      <c r="B238" s="1" t="n">
        <v>45897</v>
      </c>
      <c r="C238" s="1" t="n">
        <v>46205</v>
      </c>
      <c r="D238" t="inlineStr">
        <is>
          <t>KALMAR LÄN</t>
        </is>
      </c>
      <c r="E238" t="inlineStr">
        <is>
          <t>VIMMERBY</t>
        </is>
      </c>
      <c r="G238" t="n">
        <v>1.8</v>
      </c>
      <c r="H238" t="n">
        <v>0</v>
      </c>
      <c r="I238" t="n">
        <v>0</v>
      </c>
      <c r="J238" t="n">
        <v>0</v>
      </c>
      <c r="K238" t="n">
        <v>0</v>
      </c>
      <c r="L238" t="n">
        <v>0</v>
      </c>
      <c r="M238" t="n">
        <v>0</v>
      </c>
      <c r="N238" t="n">
        <v>0</v>
      </c>
      <c r="O238" t="n">
        <v>0</v>
      </c>
      <c r="P238" t="n">
        <v>0</v>
      </c>
      <c r="Q238" t="n">
        <v>0</v>
      </c>
      <c r="R238" s="2" t="inlineStr"/>
    </row>
    <row r="239" ht="15" customHeight="1">
      <c r="A239" t="inlineStr">
        <is>
          <t>A 1862-2026</t>
        </is>
      </c>
      <c r="B239" s="1" t="n">
        <v>46035</v>
      </c>
      <c r="C239" s="1" t="n">
        <v>46205</v>
      </c>
      <c r="D239" t="inlineStr">
        <is>
          <t>KALMAR LÄN</t>
        </is>
      </c>
      <c r="E239" t="inlineStr">
        <is>
          <t>VIMMERBY</t>
        </is>
      </c>
      <c r="G239" t="n">
        <v>3.1</v>
      </c>
      <c r="H239" t="n">
        <v>0</v>
      </c>
      <c r="I239" t="n">
        <v>0</v>
      </c>
      <c r="J239" t="n">
        <v>0</v>
      </c>
      <c r="K239" t="n">
        <v>0</v>
      </c>
      <c r="L239" t="n">
        <v>0</v>
      </c>
      <c r="M239" t="n">
        <v>0</v>
      </c>
      <c r="N239" t="n">
        <v>0</v>
      </c>
      <c r="O239" t="n">
        <v>0</v>
      </c>
      <c r="P239" t="n">
        <v>0</v>
      </c>
      <c r="Q239" t="n">
        <v>0</v>
      </c>
      <c r="R239" s="2" t="inlineStr"/>
    </row>
    <row r="240" ht="15" customHeight="1">
      <c r="A240" t="inlineStr">
        <is>
          <t>A 41066-2024</t>
        </is>
      </c>
      <c r="B240" s="1" t="n">
        <v>45559</v>
      </c>
      <c r="C240" s="1" t="n">
        <v>46205</v>
      </c>
      <c r="D240" t="inlineStr">
        <is>
          <t>KALMAR LÄN</t>
        </is>
      </c>
      <c r="E240" t="inlineStr">
        <is>
          <t>VIMMERBY</t>
        </is>
      </c>
      <c r="G240" t="n">
        <v>2.4</v>
      </c>
      <c r="H240" t="n">
        <v>0</v>
      </c>
      <c r="I240" t="n">
        <v>0</v>
      </c>
      <c r="J240" t="n">
        <v>0</v>
      </c>
      <c r="K240" t="n">
        <v>0</v>
      </c>
      <c r="L240" t="n">
        <v>0</v>
      </c>
      <c r="M240" t="n">
        <v>0</v>
      </c>
      <c r="N240" t="n">
        <v>0</v>
      </c>
      <c r="O240" t="n">
        <v>0</v>
      </c>
      <c r="P240" t="n">
        <v>0</v>
      </c>
      <c r="Q240" t="n">
        <v>0</v>
      </c>
      <c r="R240" s="2" t="inlineStr"/>
    </row>
    <row r="241" ht="15" customHeight="1">
      <c r="A241" t="inlineStr">
        <is>
          <t>A 3816-2022</t>
        </is>
      </c>
      <c r="B241" s="1" t="n">
        <v>44587</v>
      </c>
      <c r="C241" s="1" t="n">
        <v>46205</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40971-2025</t>
        </is>
      </c>
      <c r="B242" s="1" t="n">
        <v>45897</v>
      </c>
      <c r="C242" s="1" t="n">
        <v>46205</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41591-2025</t>
        </is>
      </c>
      <c r="B243" s="1" t="n">
        <v>45901</v>
      </c>
      <c r="C243" s="1" t="n">
        <v>46205</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41589-2025</t>
        </is>
      </c>
      <c r="B244" s="1" t="n">
        <v>45901</v>
      </c>
      <c r="C244" s="1" t="n">
        <v>46205</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1081-2023</t>
        </is>
      </c>
      <c r="B245" s="1" t="n">
        <v>44935</v>
      </c>
      <c r="C245" s="1" t="n">
        <v>46205</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7047-2022</t>
        </is>
      </c>
      <c r="B246" s="1" t="n">
        <v>44603</v>
      </c>
      <c r="C246" s="1" t="n">
        <v>46205</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12499-2023</t>
        </is>
      </c>
      <c r="B247" s="1" t="n">
        <v>44999</v>
      </c>
      <c r="C247" s="1" t="n">
        <v>46205</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12500-2023</t>
        </is>
      </c>
      <c r="B248" s="1" t="n">
        <v>44999</v>
      </c>
      <c r="C248" s="1" t="n">
        <v>46205</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6066-2023</t>
        </is>
      </c>
      <c r="B249" s="1" t="n">
        <v>44964</v>
      </c>
      <c r="C249" s="1" t="n">
        <v>46205</v>
      </c>
      <c r="D249" t="inlineStr">
        <is>
          <t>KALMAR LÄN</t>
        </is>
      </c>
      <c r="E249" t="inlineStr">
        <is>
          <t>VIMMERBY</t>
        </is>
      </c>
      <c r="G249" t="n">
        <v>2.8</v>
      </c>
      <c r="H249" t="n">
        <v>0</v>
      </c>
      <c r="I249" t="n">
        <v>0</v>
      </c>
      <c r="J249" t="n">
        <v>0</v>
      </c>
      <c r="K249" t="n">
        <v>0</v>
      </c>
      <c r="L249" t="n">
        <v>0</v>
      </c>
      <c r="M249" t="n">
        <v>0</v>
      </c>
      <c r="N249" t="n">
        <v>0</v>
      </c>
      <c r="O249" t="n">
        <v>0</v>
      </c>
      <c r="P249" t="n">
        <v>0</v>
      </c>
      <c r="Q249" t="n">
        <v>0</v>
      </c>
      <c r="R249" s="2" t="inlineStr"/>
    </row>
    <row r="250" ht="15" customHeight="1">
      <c r="A250" t="inlineStr">
        <is>
          <t>A 33103-2024</t>
        </is>
      </c>
      <c r="B250" s="1" t="n">
        <v>45517</v>
      </c>
      <c r="C250" s="1" t="n">
        <v>46205</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12510-2022</t>
        </is>
      </c>
      <c r="B251" s="1" t="n">
        <v>44638</v>
      </c>
      <c r="C251" s="1" t="n">
        <v>46205</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30293-2025</t>
        </is>
      </c>
      <c r="B252" s="1" t="n">
        <v>45827</v>
      </c>
      <c r="C252" s="1" t="n">
        <v>46205</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1146-2025</t>
        </is>
      </c>
      <c r="B253" s="1" t="n">
        <v>45666</v>
      </c>
      <c r="C253" s="1" t="n">
        <v>46205</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30882-2025</t>
        </is>
      </c>
      <c r="B254" s="1" t="n">
        <v>45832</v>
      </c>
      <c r="C254" s="1" t="n">
        <v>46205</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30971-2025</t>
        </is>
      </c>
      <c r="B255" s="1" t="n">
        <v>45832</v>
      </c>
      <c r="C255" s="1" t="n">
        <v>46205</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12890-2023</t>
        </is>
      </c>
      <c r="B256" s="1" t="n">
        <v>45001</v>
      </c>
      <c r="C256" s="1" t="n">
        <v>46205</v>
      </c>
      <c r="D256" t="inlineStr">
        <is>
          <t>KALMAR LÄN</t>
        </is>
      </c>
      <c r="E256" t="inlineStr">
        <is>
          <t>VIMMERBY</t>
        </is>
      </c>
      <c r="G256" t="n">
        <v>2.8</v>
      </c>
      <c r="H256" t="n">
        <v>0</v>
      </c>
      <c r="I256" t="n">
        <v>0</v>
      </c>
      <c r="J256" t="n">
        <v>0</v>
      </c>
      <c r="K256" t="n">
        <v>0</v>
      </c>
      <c r="L256" t="n">
        <v>0</v>
      </c>
      <c r="M256" t="n">
        <v>0</v>
      </c>
      <c r="N256" t="n">
        <v>0</v>
      </c>
      <c r="O256" t="n">
        <v>0</v>
      </c>
      <c r="P256" t="n">
        <v>0</v>
      </c>
      <c r="Q256" t="n">
        <v>0</v>
      </c>
      <c r="R256" s="2" t="inlineStr"/>
    </row>
    <row r="257" ht="15" customHeight="1">
      <c r="A257" t="inlineStr">
        <is>
          <t>A 3902-2022</t>
        </is>
      </c>
      <c r="B257" s="1" t="n">
        <v>44587</v>
      </c>
      <c r="C257" s="1" t="n">
        <v>46205</v>
      </c>
      <c r="D257" t="inlineStr">
        <is>
          <t>KALMAR LÄN</t>
        </is>
      </c>
      <c r="E257" t="inlineStr">
        <is>
          <t>VIMMERBY</t>
        </is>
      </c>
      <c r="G257" t="n">
        <v>2.6</v>
      </c>
      <c r="H257" t="n">
        <v>0</v>
      </c>
      <c r="I257" t="n">
        <v>0</v>
      </c>
      <c r="J257" t="n">
        <v>0</v>
      </c>
      <c r="K257" t="n">
        <v>0</v>
      </c>
      <c r="L257" t="n">
        <v>0</v>
      </c>
      <c r="M257" t="n">
        <v>0</v>
      </c>
      <c r="N257" t="n">
        <v>0</v>
      </c>
      <c r="O257" t="n">
        <v>0</v>
      </c>
      <c r="P257" t="n">
        <v>0</v>
      </c>
      <c r="Q257" t="n">
        <v>0</v>
      </c>
      <c r="R257" s="2" t="inlineStr"/>
    </row>
    <row r="258" ht="15" customHeight="1">
      <c r="A258" t="inlineStr">
        <is>
          <t>A 89-2023</t>
        </is>
      </c>
      <c r="B258" s="1" t="n">
        <v>44918</v>
      </c>
      <c r="C258" s="1" t="n">
        <v>46205</v>
      </c>
      <c r="D258" t="inlineStr">
        <is>
          <t>KALMAR LÄN</t>
        </is>
      </c>
      <c r="E258" t="inlineStr">
        <is>
          <t>VIMMERBY</t>
        </is>
      </c>
      <c r="G258" t="n">
        <v>16.1</v>
      </c>
      <c r="H258" t="n">
        <v>0</v>
      </c>
      <c r="I258" t="n">
        <v>0</v>
      </c>
      <c r="J258" t="n">
        <v>0</v>
      </c>
      <c r="K258" t="n">
        <v>0</v>
      </c>
      <c r="L258" t="n">
        <v>0</v>
      </c>
      <c r="M258" t="n">
        <v>0</v>
      </c>
      <c r="N258" t="n">
        <v>0</v>
      </c>
      <c r="O258" t="n">
        <v>0</v>
      </c>
      <c r="P258" t="n">
        <v>0</v>
      </c>
      <c r="Q258" t="n">
        <v>0</v>
      </c>
      <c r="R258" s="2" t="inlineStr"/>
    </row>
    <row r="259" ht="15" customHeight="1">
      <c r="A259" t="inlineStr">
        <is>
          <t>A 5382-2023</t>
        </is>
      </c>
      <c r="B259" s="1" t="n">
        <v>44959</v>
      </c>
      <c r="C259" s="1" t="n">
        <v>46205</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6668-2023</t>
        </is>
      </c>
      <c r="B260" s="1" t="n">
        <v>44966</v>
      </c>
      <c r="C260" s="1" t="n">
        <v>46205</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8559-2025</t>
        </is>
      </c>
      <c r="B261" s="1" t="n">
        <v>45709</v>
      </c>
      <c r="C261" s="1" t="n">
        <v>46205</v>
      </c>
      <c r="D261" t="inlineStr">
        <is>
          <t>KALMAR LÄN</t>
        </is>
      </c>
      <c r="E261" t="inlineStr">
        <is>
          <t>VIMMERBY</t>
        </is>
      </c>
      <c r="G261" t="n">
        <v>8.9</v>
      </c>
      <c r="H261" t="n">
        <v>0</v>
      </c>
      <c r="I261" t="n">
        <v>0</v>
      </c>
      <c r="J261" t="n">
        <v>0</v>
      </c>
      <c r="K261" t="n">
        <v>0</v>
      </c>
      <c r="L261" t="n">
        <v>0</v>
      </c>
      <c r="M261" t="n">
        <v>0</v>
      </c>
      <c r="N261" t="n">
        <v>0</v>
      </c>
      <c r="O261" t="n">
        <v>0</v>
      </c>
      <c r="P261" t="n">
        <v>0</v>
      </c>
      <c r="Q261" t="n">
        <v>0</v>
      </c>
      <c r="R261" s="2" t="inlineStr"/>
    </row>
    <row r="262" ht="15" customHeight="1">
      <c r="A262" t="inlineStr">
        <is>
          <t>A 31551-2025</t>
        </is>
      </c>
      <c r="B262" s="1" t="n">
        <v>45833</v>
      </c>
      <c r="C262" s="1" t="n">
        <v>46205</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30634-2024</t>
        </is>
      </c>
      <c r="B263" s="1" t="n">
        <v>45495</v>
      </c>
      <c r="C263" s="1" t="n">
        <v>46205</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6355-2022</t>
        </is>
      </c>
      <c r="B264" s="1" t="n">
        <v>44600</v>
      </c>
      <c r="C264" s="1" t="n">
        <v>46205</v>
      </c>
      <c r="D264" t="inlineStr">
        <is>
          <t>KALMAR LÄN</t>
        </is>
      </c>
      <c r="E264" t="inlineStr">
        <is>
          <t>VIMMERBY</t>
        </is>
      </c>
      <c r="G264" t="n">
        <v>4.9</v>
      </c>
      <c r="H264" t="n">
        <v>0</v>
      </c>
      <c r="I264" t="n">
        <v>0</v>
      </c>
      <c r="J264" t="n">
        <v>0</v>
      </c>
      <c r="K264" t="n">
        <v>0</v>
      </c>
      <c r="L264" t="n">
        <v>0</v>
      </c>
      <c r="M264" t="n">
        <v>0</v>
      </c>
      <c r="N264" t="n">
        <v>0</v>
      </c>
      <c r="O264" t="n">
        <v>0</v>
      </c>
      <c r="P264" t="n">
        <v>0</v>
      </c>
      <c r="Q264" t="n">
        <v>0</v>
      </c>
      <c r="R264" s="2" t="inlineStr"/>
    </row>
    <row r="265" ht="15" customHeight="1">
      <c r="A265" t="inlineStr">
        <is>
          <t>A 32116-2025</t>
        </is>
      </c>
      <c r="B265" s="1" t="n">
        <v>45835</v>
      </c>
      <c r="C265" s="1" t="n">
        <v>46205</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16020-2023</t>
        </is>
      </c>
      <c r="B266" s="1" t="n">
        <v>45026</v>
      </c>
      <c r="C266" s="1" t="n">
        <v>46205</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32380-2025</t>
        </is>
      </c>
      <c r="B267" s="1" t="n">
        <v>45837</v>
      </c>
      <c r="C267" s="1" t="n">
        <v>46205</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60292-2022</t>
        </is>
      </c>
      <c r="B268" s="1" t="n">
        <v>44910</v>
      </c>
      <c r="C268" s="1" t="n">
        <v>46205</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43034-2024</t>
        </is>
      </c>
      <c r="B269" s="1" t="n">
        <v>45567</v>
      </c>
      <c r="C269" s="1" t="n">
        <v>46205</v>
      </c>
      <c r="D269" t="inlineStr">
        <is>
          <t>KALMAR LÄN</t>
        </is>
      </c>
      <c r="E269" t="inlineStr">
        <is>
          <t>VIMMERBY</t>
        </is>
      </c>
      <c r="G269" t="n">
        <v>1.8</v>
      </c>
      <c r="H269" t="n">
        <v>0</v>
      </c>
      <c r="I269" t="n">
        <v>0</v>
      </c>
      <c r="J269" t="n">
        <v>0</v>
      </c>
      <c r="K269" t="n">
        <v>0</v>
      </c>
      <c r="L269" t="n">
        <v>0</v>
      </c>
      <c r="M269" t="n">
        <v>0</v>
      </c>
      <c r="N269" t="n">
        <v>0</v>
      </c>
      <c r="O269" t="n">
        <v>0</v>
      </c>
      <c r="P269" t="n">
        <v>0</v>
      </c>
      <c r="Q269" t="n">
        <v>0</v>
      </c>
      <c r="R269" s="2" t="inlineStr"/>
    </row>
    <row r="270" ht="15" customHeight="1">
      <c r="A270" t="inlineStr">
        <is>
          <t>A 40256-2024</t>
        </is>
      </c>
      <c r="B270" s="1" t="n">
        <v>45554</v>
      </c>
      <c r="C270" s="1" t="n">
        <v>46205</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33186-2025</t>
        </is>
      </c>
      <c r="B271" s="1" t="n">
        <v>45840</v>
      </c>
      <c r="C271" s="1" t="n">
        <v>46205</v>
      </c>
      <c r="D271" t="inlineStr">
        <is>
          <t>KALMAR LÄN</t>
        </is>
      </c>
      <c r="E271" t="inlineStr">
        <is>
          <t>VIMMERBY</t>
        </is>
      </c>
      <c r="G271" t="n">
        <v>2.6</v>
      </c>
      <c r="H271" t="n">
        <v>0</v>
      </c>
      <c r="I271" t="n">
        <v>0</v>
      </c>
      <c r="J271" t="n">
        <v>0</v>
      </c>
      <c r="K271" t="n">
        <v>0</v>
      </c>
      <c r="L271" t="n">
        <v>0</v>
      </c>
      <c r="M271" t="n">
        <v>0</v>
      </c>
      <c r="N271" t="n">
        <v>0</v>
      </c>
      <c r="O271" t="n">
        <v>0</v>
      </c>
      <c r="P271" t="n">
        <v>0</v>
      </c>
      <c r="Q271" t="n">
        <v>0</v>
      </c>
      <c r="R271" s="2" t="inlineStr"/>
    </row>
    <row r="272" ht="15" customHeight="1">
      <c r="A272" t="inlineStr">
        <is>
          <t>A 44091-2025</t>
        </is>
      </c>
      <c r="B272" s="1" t="n">
        <v>45915</v>
      </c>
      <c r="C272" s="1" t="n">
        <v>46205</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30977-2025</t>
        </is>
      </c>
      <c r="B273" s="1" t="n">
        <v>45832</v>
      </c>
      <c r="C273" s="1" t="n">
        <v>46205</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44095-2025</t>
        </is>
      </c>
      <c r="B274" s="1" t="n">
        <v>45915</v>
      </c>
      <c r="C274" s="1" t="n">
        <v>46205</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43093-2024</t>
        </is>
      </c>
      <c r="B275" s="1" t="n">
        <v>45567</v>
      </c>
      <c r="C275" s="1" t="n">
        <v>46205</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2523-2026</t>
        </is>
      </c>
      <c r="B276" s="1" t="n">
        <v>46037</v>
      </c>
      <c r="C276" s="1" t="n">
        <v>46205</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28702-2025</t>
        </is>
      </c>
      <c r="B277" s="1" t="n">
        <v>45820</v>
      </c>
      <c r="C277" s="1" t="n">
        <v>46205</v>
      </c>
      <c r="D277" t="inlineStr">
        <is>
          <t>KALMAR LÄN</t>
        </is>
      </c>
      <c r="E277" t="inlineStr">
        <is>
          <t>VIMMERBY</t>
        </is>
      </c>
      <c r="G277" t="n">
        <v>2.1</v>
      </c>
      <c r="H277" t="n">
        <v>0</v>
      </c>
      <c r="I277" t="n">
        <v>0</v>
      </c>
      <c r="J277" t="n">
        <v>0</v>
      </c>
      <c r="K277" t="n">
        <v>0</v>
      </c>
      <c r="L277" t="n">
        <v>0</v>
      </c>
      <c r="M277" t="n">
        <v>0</v>
      </c>
      <c r="N277" t="n">
        <v>0</v>
      </c>
      <c r="O277" t="n">
        <v>0</v>
      </c>
      <c r="P277" t="n">
        <v>0</v>
      </c>
      <c r="Q277" t="n">
        <v>0</v>
      </c>
      <c r="R277" s="2" t="inlineStr"/>
    </row>
    <row r="278" ht="15" customHeight="1">
      <c r="A278" t="inlineStr">
        <is>
          <t>A 35198-2023</t>
        </is>
      </c>
      <c r="B278" s="1" t="n">
        <v>45145</v>
      </c>
      <c r="C278" s="1" t="n">
        <v>46205</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2514-2026</t>
        </is>
      </c>
      <c r="B279" s="1" t="n">
        <v>46037</v>
      </c>
      <c r="C279" s="1" t="n">
        <v>46205</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2518-2026</t>
        </is>
      </c>
      <c r="B280" s="1" t="n">
        <v>46037</v>
      </c>
      <c r="C280" s="1" t="n">
        <v>46205</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26956-2025</t>
        </is>
      </c>
      <c r="B281" s="1" t="n">
        <v>45811</v>
      </c>
      <c r="C281" s="1" t="n">
        <v>46205</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55300-2021</t>
        </is>
      </c>
      <c r="B282" s="1" t="n">
        <v>44475</v>
      </c>
      <c r="C282" s="1" t="n">
        <v>46205</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34628-2025</t>
        </is>
      </c>
      <c r="B283" s="1" t="n">
        <v>45847</v>
      </c>
      <c r="C283" s="1" t="n">
        <v>46205</v>
      </c>
      <c r="D283" t="inlineStr">
        <is>
          <t>KALMAR LÄN</t>
        </is>
      </c>
      <c r="E283" t="inlineStr">
        <is>
          <t>VIMMERBY</t>
        </is>
      </c>
      <c r="G283" t="n">
        <v>4.2</v>
      </c>
      <c r="H283" t="n">
        <v>0</v>
      </c>
      <c r="I283" t="n">
        <v>0</v>
      </c>
      <c r="J283" t="n">
        <v>0</v>
      </c>
      <c r="K283" t="n">
        <v>0</v>
      </c>
      <c r="L283" t="n">
        <v>0</v>
      </c>
      <c r="M283" t="n">
        <v>0</v>
      </c>
      <c r="N283" t="n">
        <v>0</v>
      </c>
      <c r="O283" t="n">
        <v>0</v>
      </c>
      <c r="P283" t="n">
        <v>0</v>
      </c>
      <c r="Q283" t="n">
        <v>0</v>
      </c>
      <c r="R283" s="2" t="inlineStr"/>
    </row>
    <row r="284" ht="15" customHeight="1">
      <c r="A284" t="inlineStr">
        <is>
          <t>A 47263-2023</t>
        </is>
      </c>
      <c r="B284" s="1" t="n">
        <v>45202</v>
      </c>
      <c r="C284" s="1" t="n">
        <v>46205</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2536-2023</t>
        </is>
      </c>
      <c r="B285" s="1" t="n">
        <v>44943</v>
      </c>
      <c r="C285" s="1" t="n">
        <v>46205</v>
      </c>
      <c r="D285" t="inlineStr">
        <is>
          <t>KALMAR LÄN</t>
        </is>
      </c>
      <c r="E285" t="inlineStr">
        <is>
          <t>VIMMERBY</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2801-2023</t>
        </is>
      </c>
      <c r="B286" s="1" t="n">
        <v>44944</v>
      </c>
      <c r="C286" s="1" t="n">
        <v>46205</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35271-2025</t>
        </is>
      </c>
      <c r="B287" s="1" t="n">
        <v>45853</v>
      </c>
      <c r="C287" s="1" t="n">
        <v>46205</v>
      </c>
      <c r="D287" t="inlineStr">
        <is>
          <t>KALMAR LÄN</t>
        </is>
      </c>
      <c r="E287" t="inlineStr">
        <is>
          <t>VIMMERBY</t>
        </is>
      </c>
      <c r="G287" t="n">
        <v>0.4</v>
      </c>
      <c r="H287" t="n">
        <v>0</v>
      </c>
      <c r="I287" t="n">
        <v>0</v>
      </c>
      <c r="J287" t="n">
        <v>0</v>
      </c>
      <c r="K287" t="n">
        <v>0</v>
      </c>
      <c r="L287" t="n">
        <v>0</v>
      </c>
      <c r="M287" t="n">
        <v>0</v>
      </c>
      <c r="N287" t="n">
        <v>0</v>
      </c>
      <c r="O287" t="n">
        <v>0</v>
      </c>
      <c r="P287" t="n">
        <v>0</v>
      </c>
      <c r="Q287" t="n">
        <v>0</v>
      </c>
      <c r="R287" s="2" t="inlineStr"/>
    </row>
    <row r="288" ht="15" customHeight="1">
      <c r="A288" t="inlineStr">
        <is>
          <t>A 16953-2025</t>
        </is>
      </c>
      <c r="B288" s="1" t="n">
        <v>45755</v>
      </c>
      <c r="C288" s="1" t="n">
        <v>46205</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47227-2025</t>
        </is>
      </c>
      <c r="B289" s="1" t="n">
        <v>45930</v>
      </c>
      <c r="C289" s="1" t="n">
        <v>46205</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14451-2024</t>
        </is>
      </c>
      <c r="B290" s="1" t="n">
        <v>45394</v>
      </c>
      <c r="C290" s="1" t="n">
        <v>46205</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50993-2022</t>
        </is>
      </c>
      <c r="B291" s="1" t="n">
        <v>44867</v>
      </c>
      <c r="C291" s="1" t="n">
        <v>46205</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46225-2024</t>
        </is>
      </c>
      <c r="B292" s="1" t="n">
        <v>45581</v>
      </c>
      <c r="C292" s="1" t="n">
        <v>46205</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36055-2024</t>
        </is>
      </c>
      <c r="B293" s="1" t="n">
        <v>45533</v>
      </c>
      <c r="C293" s="1" t="n">
        <v>46205</v>
      </c>
      <c r="D293" t="inlineStr">
        <is>
          <t>KALMAR LÄN</t>
        </is>
      </c>
      <c r="E293" t="inlineStr">
        <is>
          <t>VIMMERBY</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19502-2025</t>
        </is>
      </c>
      <c r="B294" s="1" t="n">
        <v>45769</v>
      </c>
      <c r="C294" s="1" t="n">
        <v>46205</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47859-2024</t>
        </is>
      </c>
      <c r="B295" s="1" t="n">
        <v>45588</v>
      </c>
      <c r="C295" s="1" t="n">
        <v>46205</v>
      </c>
      <c r="D295" t="inlineStr">
        <is>
          <t>KALMAR LÄN</t>
        </is>
      </c>
      <c r="E295" t="inlineStr">
        <is>
          <t>VIMMERBY</t>
        </is>
      </c>
      <c r="G295" t="n">
        <v>1.7</v>
      </c>
      <c r="H295" t="n">
        <v>0</v>
      </c>
      <c r="I295" t="n">
        <v>0</v>
      </c>
      <c r="J295" t="n">
        <v>0</v>
      </c>
      <c r="K295" t="n">
        <v>0</v>
      </c>
      <c r="L295" t="n">
        <v>0</v>
      </c>
      <c r="M295" t="n">
        <v>0</v>
      </c>
      <c r="N295" t="n">
        <v>0</v>
      </c>
      <c r="O295" t="n">
        <v>0</v>
      </c>
      <c r="P295" t="n">
        <v>0</v>
      </c>
      <c r="Q295" t="n">
        <v>0</v>
      </c>
      <c r="R295" s="2" t="inlineStr"/>
    </row>
    <row r="296" ht="15" customHeight="1">
      <c r="A296" t="inlineStr">
        <is>
          <t>A 36299-2025</t>
        </is>
      </c>
      <c r="B296" s="1" t="n">
        <v>45867</v>
      </c>
      <c r="C296" s="1" t="n">
        <v>46205</v>
      </c>
      <c r="D296" t="inlineStr">
        <is>
          <t>KALMAR LÄN</t>
        </is>
      </c>
      <c r="E296" t="inlineStr">
        <is>
          <t>VIMMERBY</t>
        </is>
      </c>
      <c r="G296" t="n">
        <v>7.6</v>
      </c>
      <c r="H296" t="n">
        <v>0</v>
      </c>
      <c r="I296" t="n">
        <v>0</v>
      </c>
      <c r="J296" t="n">
        <v>0</v>
      </c>
      <c r="K296" t="n">
        <v>0</v>
      </c>
      <c r="L296" t="n">
        <v>0</v>
      </c>
      <c r="M296" t="n">
        <v>0</v>
      </c>
      <c r="N296" t="n">
        <v>0</v>
      </c>
      <c r="O296" t="n">
        <v>0</v>
      </c>
      <c r="P296" t="n">
        <v>0</v>
      </c>
      <c r="Q296" t="n">
        <v>0</v>
      </c>
      <c r="R296" s="2" t="inlineStr"/>
    </row>
    <row r="297" ht="15" customHeight="1">
      <c r="A297" t="inlineStr">
        <is>
          <t>A 32835-2022</t>
        </is>
      </c>
      <c r="B297" s="1" t="n">
        <v>44784</v>
      </c>
      <c r="C297" s="1" t="n">
        <v>46205</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36297-2025</t>
        </is>
      </c>
      <c r="B298" s="1" t="n">
        <v>45867</v>
      </c>
      <c r="C298" s="1" t="n">
        <v>46205</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36538-2025</t>
        </is>
      </c>
      <c r="B299" s="1" t="n">
        <v>45869</v>
      </c>
      <c r="C299" s="1" t="n">
        <v>46205</v>
      </c>
      <c r="D299" t="inlineStr">
        <is>
          <t>KALMAR LÄN</t>
        </is>
      </c>
      <c r="E299" t="inlineStr">
        <is>
          <t>VIMMERBY</t>
        </is>
      </c>
      <c r="G299" t="n">
        <v>2.6</v>
      </c>
      <c r="H299" t="n">
        <v>0</v>
      </c>
      <c r="I299" t="n">
        <v>0</v>
      </c>
      <c r="J299" t="n">
        <v>0</v>
      </c>
      <c r="K299" t="n">
        <v>0</v>
      </c>
      <c r="L299" t="n">
        <v>0</v>
      </c>
      <c r="M299" t="n">
        <v>0</v>
      </c>
      <c r="N299" t="n">
        <v>0</v>
      </c>
      <c r="O299" t="n">
        <v>0</v>
      </c>
      <c r="P299" t="n">
        <v>0</v>
      </c>
      <c r="Q299" t="n">
        <v>0</v>
      </c>
      <c r="R299" s="2" t="inlineStr"/>
    </row>
    <row r="300" ht="15" customHeight="1">
      <c r="A300" t="inlineStr">
        <is>
          <t>A 48408-2025</t>
        </is>
      </c>
      <c r="B300" s="1" t="n">
        <v>45934</v>
      </c>
      <c r="C300" s="1" t="n">
        <v>46205</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36601-2025</t>
        </is>
      </c>
      <c r="B301" s="1" t="n">
        <v>45870</v>
      </c>
      <c r="C301" s="1" t="n">
        <v>46205</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36603-2025</t>
        </is>
      </c>
      <c r="B302" s="1" t="n">
        <v>45870</v>
      </c>
      <c r="C302" s="1" t="n">
        <v>46205</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41896-2023</t>
        </is>
      </c>
      <c r="B303" s="1" t="n">
        <v>45176</v>
      </c>
      <c r="C303" s="1" t="n">
        <v>46205</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43606-2024</t>
        </is>
      </c>
      <c r="B304" s="1" t="n">
        <v>45569</v>
      </c>
      <c r="C304" s="1" t="n">
        <v>46205</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12325-2023</t>
        </is>
      </c>
      <c r="B305" s="1" t="n">
        <v>44999</v>
      </c>
      <c r="C305" s="1" t="n">
        <v>46205</v>
      </c>
      <c r="D305" t="inlineStr">
        <is>
          <t>KALMAR LÄN</t>
        </is>
      </c>
      <c r="E305" t="inlineStr">
        <is>
          <t>VIMMERBY</t>
        </is>
      </c>
      <c r="G305" t="n">
        <v>3.4</v>
      </c>
      <c r="H305" t="n">
        <v>0</v>
      </c>
      <c r="I305" t="n">
        <v>0</v>
      </c>
      <c r="J305" t="n">
        <v>0</v>
      </c>
      <c r="K305" t="n">
        <v>0</v>
      </c>
      <c r="L305" t="n">
        <v>0</v>
      </c>
      <c r="M305" t="n">
        <v>0</v>
      </c>
      <c r="N305" t="n">
        <v>0</v>
      </c>
      <c r="O305" t="n">
        <v>0</v>
      </c>
      <c r="P305" t="n">
        <v>0</v>
      </c>
      <c r="Q305" t="n">
        <v>0</v>
      </c>
      <c r="R305" s="2" t="inlineStr"/>
    </row>
    <row r="306" ht="15" customHeight="1">
      <c r="A306" t="inlineStr">
        <is>
          <t>A 40665-2023</t>
        </is>
      </c>
      <c r="B306" s="1" t="n">
        <v>45170</v>
      </c>
      <c r="C306" s="1" t="n">
        <v>46205</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28034-2022</t>
        </is>
      </c>
      <c r="B307" s="1" t="n">
        <v>44746</v>
      </c>
      <c r="C307" s="1" t="n">
        <v>46205</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55605-2024</t>
        </is>
      </c>
      <c r="B308" s="1" t="n">
        <v>45622</v>
      </c>
      <c r="C308" s="1" t="n">
        <v>46205</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42165-2024</t>
        </is>
      </c>
      <c r="B309" s="1" t="n">
        <v>45562</v>
      </c>
      <c r="C309" s="1" t="n">
        <v>46205</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37668-2025</t>
        </is>
      </c>
      <c r="B310" s="1" t="n">
        <v>45880</v>
      </c>
      <c r="C310" s="1" t="n">
        <v>46205</v>
      </c>
      <c r="D310" t="inlineStr">
        <is>
          <t>KALMAR LÄN</t>
        </is>
      </c>
      <c r="E310" t="inlineStr">
        <is>
          <t>VIMMERBY</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37578-2025</t>
        </is>
      </c>
      <c r="B311" s="1" t="n">
        <v>45880</v>
      </c>
      <c r="C311" s="1" t="n">
        <v>46205</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23095-2023</t>
        </is>
      </c>
      <c r="B312" s="1" t="n">
        <v>45075</v>
      </c>
      <c r="C312" s="1" t="n">
        <v>46205</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32919-2022</t>
        </is>
      </c>
      <c r="B313" s="1" t="n">
        <v>44784</v>
      </c>
      <c r="C313" s="1" t="n">
        <v>46205</v>
      </c>
      <c r="D313" t="inlineStr">
        <is>
          <t>KALMAR LÄN</t>
        </is>
      </c>
      <c r="E313" t="inlineStr">
        <is>
          <t>VIMMERBY</t>
        </is>
      </c>
      <c r="G313" t="n">
        <v>1.7</v>
      </c>
      <c r="H313" t="n">
        <v>0</v>
      </c>
      <c r="I313" t="n">
        <v>0</v>
      </c>
      <c r="J313" t="n">
        <v>0</v>
      </c>
      <c r="K313" t="n">
        <v>0</v>
      </c>
      <c r="L313" t="n">
        <v>0</v>
      </c>
      <c r="M313" t="n">
        <v>0</v>
      </c>
      <c r="N313" t="n">
        <v>0</v>
      </c>
      <c r="O313" t="n">
        <v>0</v>
      </c>
      <c r="P313" t="n">
        <v>0</v>
      </c>
      <c r="Q313" t="n">
        <v>0</v>
      </c>
      <c r="R313" s="2" t="inlineStr"/>
    </row>
    <row r="314" ht="15" customHeight="1">
      <c r="A314" t="inlineStr">
        <is>
          <t>A 7068-2024</t>
        </is>
      </c>
      <c r="B314" s="1" t="n">
        <v>45343</v>
      </c>
      <c r="C314" s="1" t="n">
        <v>46205</v>
      </c>
      <c r="D314" t="inlineStr">
        <is>
          <t>KALMAR LÄN</t>
        </is>
      </c>
      <c r="E314" t="inlineStr">
        <is>
          <t>VIMMERBY</t>
        </is>
      </c>
      <c r="G314" t="n">
        <v>2.5</v>
      </c>
      <c r="H314" t="n">
        <v>0</v>
      </c>
      <c r="I314" t="n">
        <v>0</v>
      </c>
      <c r="J314" t="n">
        <v>0</v>
      </c>
      <c r="K314" t="n">
        <v>0</v>
      </c>
      <c r="L314" t="n">
        <v>0</v>
      </c>
      <c r="M314" t="n">
        <v>0</v>
      </c>
      <c r="N314" t="n">
        <v>0</v>
      </c>
      <c r="O314" t="n">
        <v>0</v>
      </c>
      <c r="P314" t="n">
        <v>0</v>
      </c>
      <c r="Q314" t="n">
        <v>0</v>
      </c>
      <c r="R314" s="2" t="inlineStr"/>
    </row>
    <row r="315" ht="15" customHeight="1">
      <c r="A315" t="inlineStr">
        <is>
          <t>A 3965-2026</t>
        </is>
      </c>
      <c r="B315" s="1" t="n">
        <v>46044</v>
      </c>
      <c r="C315" s="1" t="n">
        <v>46205</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3868-2026</t>
        </is>
      </c>
      <c r="B316" s="1" t="n">
        <v>46043</v>
      </c>
      <c r="C316" s="1" t="n">
        <v>46205</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3869-2026</t>
        </is>
      </c>
      <c r="B317" s="1" t="n">
        <v>46043</v>
      </c>
      <c r="C317" s="1" t="n">
        <v>46205</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51062-2025</t>
        </is>
      </c>
      <c r="B318" s="1" t="n">
        <v>45947</v>
      </c>
      <c r="C318" s="1" t="n">
        <v>46205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32655-2023</t>
        </is>
      </c>
      <c r="B319" s="1" t="n">
        <v>45121</v>
      </c>
      <c r="C319" s="1" t="n">
        <v>46205</v>
      </c>
      <c r="D319" t="inlineStr">
        <is>
          <t>KALMAR LÄN</t>
        </is>
      </c>
      <c r="E319" t="inlineStr">
        <is>
          <t>VIMMERBY</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54409-2024</t>
        </is>
      </c>
      <c r="B320" s="1" t="n">
        <v>45617</v>
      </c>
      <c r="C320" s="1" t="n">
        <v>46205</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9475-2023</t>
        </is>
      </c>
      <c r="B321" s="1" t="n">
        <v>44981</v>
      </c>
      <c r="C321" s="1" t="n">
        <v>46205</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51990-2025</t>
        </is>
      </c>
      <c r="B322" s="1" t="n">
        <v>45952</v>
      </c>
      <c r="C322" s="1" t="n">
        <v>46205</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52466-2025</t>
        </is>
      </c>
      <c r="B323" s="1" t="n">
        <v>45954</v>
      </c>
      <c r="C323" s="1" t="n">
        <v>46205</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11619-2023</t>
        </is>
      </c>
      <c r="B324" s="1" t="n">
        <v>44994</v>
      </c>
      <c r="C324" s="1" t="n">
        <v>46205</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5074-2023</t>
        </is>
      </c>
      <c r="B325" s="1" t="n">
        <v>44958</v>
      </c>
      <c r="C325" s="1" t="n">
        <v>46205</v>
      </c>
      <c r="D325" t="inlineStr">
        <is>
          <t>KALMAR LÄN</t>
        </is>
      </c>
      <c r="E325" t="inlineStr">
        <is>
          <t>VIMMERBY</t>
        </is>
      </c>
      <c r="G325" t="n">
        <v>1.6</v>
      </c>
      <c r="H325" t="n">
        <v>0</v>
      </c>
      <c r="I325" t="n">
        <v>0</v>
      </c>
      <c r="J325" t="n">
        <v>0</v>
      </c>
      <c r="K325" t="n">
        <v>0</v>
      </c>
      <c r="L325" t="n">
        <v>0</v>
      </c>
      <c r="M325" t="n">
        <v>0</v>
      </c>
      <c r="N325" t="n">
        <v>0</v>
      </c>
      <c r="O325" t="n">
        <v>0</v>
      </c>
      <c r="P325" t="n">
        <v>0</v>
      </c>
      <c r="Q325" t="n">
        <v>0</v>
      </c>
      <c r="R325" s="2" t="inlineStr"/>
    </row>
    <row r="326" ht="15" customHeight="1">
      <c r="A326" t="inlineStr">
        <is>
          <t>A 6368-2023</t>
        </is>
      </c>
      <c r="B326" s="1" t="n">
        <v>44965</v>
      </c>
      <c r="C326" s="1" t="n">
        <v>46205</v>
      </c>
      <c r="D326" t="inlineStr">
        <is>
          <t>KALMAR LÄN</t>
        </is>
      </c>
      <c r="E326" t="inlineStr">
        <is>
          <t>VIMMERBY</t>
        </is>
      </c>
      <c r="G326" t="n">
        <v>1.3</v>
      </c>
      <c r="H326" t="n">
        <v>0</v>
      </c>
      <c r="I326" t="n">
        <v>0</v>
      </c>
      <c r="J326" t="n">
        <v>0</v>
      </c>
      <c r="K326" t="n">
        <v>0</v>
      </c>
      <c r="L326" t="n">
        <v>0</v>
      </c>
      <c r="M326" t="n">
        <v>0</v>
      </c>
      <c r="N326" t="n">
        <v>0</v>
      </c>
      <c r="O326" t="n">
        <v>0</v>
      </c>
      <c r="P326" t="n">
        <v>0</v>
      </c>
      <c r="Q326" t="n">
        <v>0</v>
      </c>
      <c r="R326" s="2" t="inlineStr"/>
    </row>
    <row r="327" ht="15" customHeight="1">
      <c r="A327" t="inlineStr">
        <is>
          <t>A 5701-2024</t>
        </is>
      </c>
      <c r="B327" s="1" t="n">
        <v>45334</v>
      </c>
      <c r="C327" s="1" t="n">
        <v>46205</v>
      </c>
      <c r="D327" t="inlineStr">
        <is>
          <t>KALMAR LÄN</t>
        </is>
      </c>
      <c r="E327" t="inlineStr">
        <is>
          <t>VIMMERBY</t>
        </is>
      </c>
      <c r="G327" t="n">
        <v>2.3</v>
      </c>
      <c r="H327" t="n">
        <v>0</v>
      </c>
      <c r="I327" t="n">
        <v>0</v>
      </c>
      <c r="J327" t="n">
        <v>0</v>
      </c>
      <c r="K327" t="n">
        <v>0</v>
      </c>
      <c r="L327" t="n">
        <v>0</v>
      </c>
      <c r="M327" t="n">
        <v>0</v>
      </c>
      <c r="N327" t="n">
        <v>0</v>
      </c>
      <c r="O327" t="n">
        <v>0</v>
      </c>
      <c r="P327" t="n">
        <v>0</v>
      </c>
      <c r="Q327" t="n">
        <v>0</v>
      </c>
      <c r="R327" s="2" t="inlineStr"/>
    </row>
    <row r="328" ht="15" customHeight="1">
      <c r="A328" t="inlineStr">
        <is>
          <t>A 7797-2023</t>
        </is>
      </c>
      <c r="B328" s="1" t="n">
        <v>44973</v>
      </c>
      <c r="C328" s="1" t="n">
        <v>46205</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53398-2025</t>
        </is>
      </c>
      <c r="B329" s="1" t="n">
        <v>45959</v>
      </c>
      <c r="C329" s="1" t="n">
        <v>46205</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53397-2025</t>
        </is>
      </c>
      <c r="B330" s="1" t="n">
        <v>45959</v>
      </c>
      <c r="C330" s="1" t="n">
        <v>46205</v>
      </c>
      <c r="D330" t="inlineStr">
        <is>
          <t>KALMAR LÄN</t>
        </is>
      </c>
      <c r="E330" t="inlineStr">
        <is>
          <t>VIMMERBY</t>
        </is>
      </c>
      <c r="G330" t="n">
        <v>1.6</v>
      </c>
      <c r="H330" t="n">
        <v>0</v>
      </c>
      <c r="I330" t="n">
        <v>0</v>
      </c>
      <c r="J330" t="n">
        <v>0</v>
      </c>
      <c r="K330" t="n">
        <v>0</v>
      </c>
      <c r="L330" t="n">
        <v>0</v>
      </c>
      <c r="M330" t="n">
        <v>0</v>
      </c>
      <c r="N330" t="n">
        <v>0</v>
      </c>
      <c r="O330" t="n">
        <v>0</v>
      </c>
      <c r="P330" t="n">
        <v>0</v>
      </c>
      <c r="Q330" t="n">
        <v>0</v>
      </c>
      <c r="R330" s="2" t="inlineStr"/>
    </row>
    <row r="331" ht="15" customHeight="1">
      <c r="A331" t="inlineStr">
        <is>
          <t>A 8410-2023</t>
        </is>
      </c>
      <c r="B331" s="1" t="n">
        <v>44977</v>
      </c>
      <c r="C331" s="1" t="n">
        <v>46205</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53396-2025</t>
        </is>
      </c>
      <c r="B332" s="1" t="n">
        <v>45959</v>
      </c>
      <c r="C332" s="1" t="n">
        <v>46205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53933-2025</t>
        </is>
      </c>
      <c r="B333" s="1" t="n">
        <v>45961</v>
      </c>
      <c r="C333" s="1" t="n">
        <v>46205</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52823-2024</t>
        </is>
      </c>
      <c r="B334" s="1" t="n">
        <v>45610</v>
      </c>
      <c r="C334" s="1" t="n">
        <v>46205</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56853-2022</t>
        </is>
      </c>
      <c r="B335" s="1" t="n">
        <v>44894</v>
      </c>
      <c r="C335" s="1" t="n">
        <v>46205</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11152-2023</t>
        </is>
      </c>
      <c r="B336" s="1" t="n">
        <v>44992</v>
      </c>
      <c r="C336" s="1" t="n">
        <v>46205</v>
      </c>
      <c r="D336" t="inlineStr">
        <is>
          <t>KALMAR LÄN</t>
        </is>
      </c>
      <c r="E336" t="inlineStr">
        <is>
          <t>VIMMERBY</t>
        </is>
      </c>
      <c r="G336" t="n">
        <v>10.6</v>
      </c>
      <c r="H336" t="n">
        <v>0</v>
      </c>
      <c r="I336" t="n">
        <v>0</v>
      </c>
      <c r="J336" t="n">
        <v>0</v>
      </c>
      <c r="K336" t="n">
        <v>0</v>
      </c>
      <c r="L336" t="n">
        <v>0</v>
      </c>
      <c r="M336" t="n">
        <v>0</v>
      </c>
      <c r="N336" t="n">
        <v>0</v>
      </c>
      <c r="O336" t="n">
        <v>0</v>
      </c>
      <c r="P336" t="n">
        <v>0</v>
      </c>
      <c r="Q336" t="n">
        <v>0</v>
      </c>
      <c r="R336" s="2" t="inlineStr"/>
    </row>
    <row r="337" ht="15" customHeight="1">
      <c r="A337" t="inlineStr">
        <is>
          <t>A 15550-2023</t>
        </is>
      </c>
      <c r="B337" s="1" t="n">
        <v>45020</v>
      </c>
      <c r="C337" s="1" t="n">
        <v>46205</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31355-2023</t>
        </is>
      </c>
      <c r="B338" s="1" t="n">
        <v>45114</v>
      </c>
      <c r="C338" s="1" t="n">
        <v>46205</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18330-2023</t>
        </is>
      </c>
      <c r="B339" s="1" t="n">
        <v>45041</v>
      </c>
      <c r="C339" s="1" t="n">
        <v>46205</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58100-2024</t>
        </is>
      </c>
      <c r="B340" s="1" t="n">
        <v>45632</v>
      </c>
      <c r="C340" s="1" t="n">
        <v>46205</v>
      </c>
      <c r="D340" t="inlineStr">
        <is>
          <t>KALMAR LÄN</t>
        </is>
      </c>
      <c r="E340" t="inlineStr">
        <is>
          <t>VIMMERBY</t>
        </is>
      </c>
      <c r="G340" t="n">
        <v>0.9</v>
      </c>
      <c r="H340" t="n">
        <v>0</v>
      </c>
      <c r="I340" t="n">
        <v>0</v>
      </c>
      <c r="J340" t="n">
        <v>0</v>
      </c>
      <c r="K340" t="n">
        <v>0</v>
      </c>
      <c r="L340" t="n">
        <v>0</v>
      </c>
      <c r="M340" t="n">
        <v>0</v>
      </c>
      <c r="N340" t="n">
        <v>0</v>
      </c>
      <c r="O340" t="n">
        <v>0</v>
      </c>
      <c r="P340" t="n">
        <v>0</v>
      </c>
      <c r="Q340" t="n">
        <v>0</v>
      </c>
      <c r="R340" s="2" t="inlineStr"/>
    </row>
    <row r="341" ht="15" customHeight="1">
      <c r="A341" t="inlineStr">
        <is>
          <t>A 27993-2022</t>
        </is>
      </c>
      <c r="B341" s="1" t="n">
        <v>44745</v>
      </c>
      <c r="C341" s="1" t="n">
        <v>46205</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55385-2025</t>
        </is>
      </c>
      <c r="B342" s="1" t="n">
        <v>45971</v>
      </c>
      <c r="C342" s="1" t="n">
        <v>46205</v>
      </c>
      <c r="D342" t="inlineStr">
        <is>
          <t>KALMAR LÄN</t>
        </is>
      </c>
      <c r="E342" t="inlineStr">
        <is>
          <t>VIMMERBY</t>
        </is>
      </c>
      <c r="G342" t="n">
        <v>5</v>
      </c>
      <c r="H342" t="n">
        <v>0</v>
      </c>
      <c r="I342" t="n">
        <v>0</v>
      </c>
      <c r="J342" t="n">
        <v>0</v>
      </c>
      <c r="K342" t="n">
        <v>0</v>
      </c>
      <c r="L342" t="n">
        <v>0</v>
      </c>
      <c r="M342" t="n">
        <v>0</v>
      </c>
      <c r="N342" t="n">
        <v>0</v>
      </c>
      <c r="O342" t="n">
        <v>0</v>
      </c>
      <c r="P342" t="n">
        <v>0</v>
      </c>
      <c r="Q342" t="n">
        <v>0</v>
      </c>
      <c r="R342" s="2" t="inlineStr"/>
    </row>
    <row r="343" ht="15" customHeight="1">
      <c r="A343" t="inlineStr">
        <is>
          <t>A 53752-2024</t>
        </is>
      </c>
      <c r="B343" s="1" t="n">
        <v>45615</v>
      </c>
      <c r="C343" s="1" t="n">
        <v>46205</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55603-2025</t>
        </is>
      </c>
      <c r="B344" s="1" t="n">
        <v>45971</v>
      </c>
      <c r="C344" s="1" t="n">
        <v>46205</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58728-2024</t>
        </is>
      </c>
      <c r="B345" s="1" t="n">
        <v>45635</v>
      </c>
      <c r="C345" s="1" t="n">
        <v>46205</v>
      </c>
      <c r="D345" t="inlineStr">
        <is>
          <t>KALMAR LÄN</t>
        </is>
      </c>
      <c r="E345" t="inlineStr">
        <is>
          <t>VIMMERBY</t>
        </is>
      </c>
      <c r="G345" t="n">
        <v>0.4</v>
      </c>
      <c r="H345" t="n">
        <v>0</v>
      </c>
      <c r="I345" t="n">
        <v>0</v>
      </c>
      <c r="J345" t="n">
        <v>0</v>
      </c>
      <c r="K345" t="n">
        <v>0</v>
      </c>
      <c r="L345" t="n">
        <v>0</v>
      </c>
      <c r="M345" t="n">
        <v>0</v>
      </c>
      <c r="N345" t="n">
        <v>0</v>
      </c>
      <c r="O345" t="n">
        <v>0</v>
      </c>
      <c r="P345" t="n">
        <v>0</v>
      </c>
      <c r="Q345" t="n">
        <v>0</v>
      </c>
      <c r="R345" s="2" t="inlineStr"/>
    </row>
    <row r="346" ht="15" customHeight="1">
      <c r="A346" t="inlineStr">
        <is>
          <t>A 43242-2024</t>
        </is>
      </c>
      <c r="B346" s="1" t="n">
        <v>45568</v>
      </c>
      <c r="C346" s="1" t="n">
        <v>46205</v>
      </c>
      <c r="D346" t="inlineStr">
        <is>
          <t>KALMAR LÄN</t>
        </is>
      </c>
      <c r="E346" t="inlineStr">
        <is>
          <t>VIMMERBY</t>
        </is>
      </c>
      <c r="G346" t="n">
        <v>2.6</v>
      </c>
      <c r="H346" t="n">
        <v>0</v>
      </c>
      <c r="I346" t="n">
        <v>0</v>
      </c>
      <c r="J346" t="n">
        <v>0</v>
      </c>
      <c r="K346" t="n">
        <v>0</v>
      </c>
      <c r="L346" t="n">
        <v>0</v>
      </c>
      <c r="M346" t="n">
        <v>0</v>
      </c>
      <c r="N346" t="n">
        <v>0</v>
      </c>
      <c r="O346" t="n">
        <v>0</v>
      </c>
      <c r="P346" t="n">
        <v>0</v>
      </c>
      <c r="Q346" t="n">
        <v>0</v>
      </c>
      <c r="R346" s="2" t="inlineStr"/>
    </row>
    <row r="347" ht="15" customHeight="1">
      <c r="A347" t="inlineStr">
        <is>
          <t>A 16983-2023</t>
        </is>
      </c>
      <c r="B347" s="1" t="n">
        <v>45033</v>
      </c>
      <c r="C347" s="1" t="n">
        <v>46205</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6405-2025</t>
        </is>
      </c>
      <c r="B348" s="1" t="n">
        <v>45699</v>
      </c>
      <c r="C348" s="1" t="n">
        <v>46205</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36843-2023</t>
        </is>
      </c>
      <c r="B349" s="1" t="n">
        <v>45154</v>
      </c>
      <c r="C349" s="1" t="n">
        <v>46205</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57486-2024</t>
        </is>
      </c>
      <c r="B350" s="1" t="n">
        <v>45630</v>
      </c>
      <c r="C350" s="1" t="n">
        <v>46205</v>
      </c>
      <c r="D350" t="inlineStr">
        <is>
          <t>KALMAR LÄN</t>
        </is>
      </c>
      <c r="E350" t="inlineStr">
        <is>
          <t>VIMMERBY</t>
        </is>
      </c>
      <c r="G350" t="n">
        <v>0.4</v>
      </c>
      <c r="H350" t="n">
        <v>0</v>
      </c>
      <c r="I350" t="n">
        <v>0</v>
      </c>
      <c r="J350" t="n">
        <v>0</v>
      </c>
      <c r="K350" t="n">
        <v>0</v>
      </c>
      <c r="L350" t="n">
        <v>0</v>
      </c>
      <c r="M350" t="n">
        <v>0</v>
      </c>
      <c r="N350" t="n">
        <v>0</v>
      </c>
      <c r="O350" t="n">
        <v>0</v>
      </c>
      <c r="P350" t="n">
        <v>0</v>
      </c>
      <c r="Q350" t="n">
        <v>0</v>
      </c>
      <c r="R350" s="2" t="inlineStr"/>
    </row>
    <row r="351" ht="15" customHeight="1">
      <c r="A351" t="inlineStr">
        <is>
          <t>A 44423-2023</t>
        </is>
      </c>
      <c r="B351" s="1" t="n">
        <v>45189</v>
      </c>
      <c r="C351" s="1" t="n">
        <v>46205</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21496-2023</t>
        </is>
      </c>
      <c r="B352" s="1" t="n">
        <v>45063</v>
      </c>
      <c r="C352" s="1" t="n">
        <v>46205</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31056-2022</t>
        </is>
      </c>
      <c r="B353" s="1" t="n">
        <v>44769</v>
      </c>
      <c r="C353" s="1" t="n">
        <v>46205</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72701-2021</t>
        </is>
      </c>
      <c r="B354" s="1" t="n">
        <v>44546</v>
      </c>
      <c r="C354" s="1" t="n">
        <v>46205</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61355-2024</t>
        </is>
      </c>
      <c r="B355" s="1" t="n">
        <v>45646</v>
      </c>
      <c r="C355" s="1" t="n">
        <v>46205</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10759-2023</t>
        </is>
      </c>
      <c r="B356" s="1" t="n">
        <v>44988</v>
      </c>
      <c r="C356" s="1" t="n">
        <v>46205</v>
      </c>
      <c r="D356" t="inlineStr">
        <is>
          <t>KALMAR LÄN</t>
        </is>
      </c>
      <c r="E356" t="inlineStr">
        <is>
          <t>VIMMERBY</t>
        </is>
      </c>
      <c r="G356" t="n">
        <v>0.4</v>
      </c>
      <c r="H356" t="n">
        <v>0</v>
      </c>
      <c r="I356" t="n">
        <v>0</v>
      </c>
      <c r="J356" t="n">
        <v>0</v>
      </c>
      <c r="K356" t="n">
        <v>0</v>
      </c>
      <c r="L356" t="n">
        <v>0</v>
      </c>
      <c r="M356" t="n">
        <v>0</v>
      </c>
      <c r="N356" t="n">
        <v>0</v>
      </c>
      <c r="O356" t="n">
        <v>0</v>
      </c>
      <c r="P356" t="n">
        <v>0</v>
      </c>
      <c r="Q356" t="n">
        <v>0</v>
      </c>
      <c r="R356" s="2" t="inlineStr"/>
    </row>
    <row r="357" ht="15" customHeight="1">
      <c r="A357" t="inlineStr">
        <is>
          <t>A 58498-2025</t>
        </is>
      </c>
      <c r="B357" s="1" t="n">
        <v>45985</v>
      </c>
      <c r="C357" s="1" t="n">
        <v>46205</v>
      </c>
      <c r="D357" t="inlineStr">
        <is>
          <t>KALMAR LÄN</t>
        </is>
      </c>
      <c r="E357" t="inlineStr">
        <is>
          <t>VIMMERBY</t>
        </is>
      </c>
      <c r="G357" t="n">
        <v>2.1</v>
      </c>
      <c r="H357" t="n">
        <v>0</v>
      </c>
      <c r="I357" t="n">
        <v>0</v>
      </c>
      <c r="J357" t="n">
        <v>0</v>
      </c>
      <c r="K357" t="n">
        <v>0</v>
      </c>
      <c r="L357" t="n">
        <v>0</v>
      </c>
      <c r="M357" t="n">
        <v>0</v>
      </c>
      <c r="N357" t="n">
        <v>0</v>
      </c>
      <c r="O357" t="n">
        <v>0</v>
      </c>
      <c r="P357" t="n">
        <v>0</v>
      </c>
      <c r="Q357" t="n">
        <v>0</v>
      </c>
      <c r="R357" s="2" t="inlineStr"/>
    </row>
    <row r="358" ht="15" customHeight="1">
      <c r="A358" t="inlineStr">
        <is>
          <t>A 58501-2025</t>
        </is>
      </c>
      <c r="B358" s="1" t="n">
        <v>45985</v>
      </c>
      <c r="C358" s="1" t="n">
        <v>46205</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32614-2023</t>
        </is>
      </c>
      <c r="B359" s="1" t="n">
        <v>45121</v>
      </c>
      <c r="C359" s="1" t="n">
        <v>46205</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61939-2021</t>
        </is>
      </c>
      <c r="B360" s="1" t="n">
        <v>44502</v>
      </c>
      <c r="C360" s="1" t="n">
        <v>46205</v>
      </c>
      <c r="D360" t="inlineStr">
        <is>
          <t>KALMAR LÄN</t>
        </is>
      </c>
      <c r="E360" t="inlineStr">
        <is>
          <t>VIMMERBY</t>
        </is>
      </c>
      <c r="G360" t="n">
        <v>2.7</v>
      </c>
      <c r="H360" t="n">
        <v>0</v>
      </c>
      <c r="I360" t="n">
        <v>0</v>
      </c>
      <c r="J360" t="n">
        <v>0</v>
      </c>
      <c r="K360" t="n">
        <v>0</v>
      </c>
      <c r="L360" t="n">
        <v>0</v>
      </c>
      <c r="M360" t="n">
        <v>0</v>
      </c>
      <c r="N360" t="n">
        <v>0</v>
      </c>
      <c r="O360" t="n">
        <v>0</v>
      </c>
      <c r="P360" t="n">
        <v>0</v>
      </c>
      <c r="Q360" t="n">
        <v>0</v>
      </c>
      <c r="R360" s="2" t="inlineStr"/>
    </row>
    <row r="361" ht="15" customHeight="1">
      <c r="A361" t="inlineStr">
        <is>
          <t>A 58503-2025</t>
        </is>
      </c>
      <c r="B361" s="1" t="n">
        <v>45985</v>
      </c>
      <c r="C361" s="1" t="n">
        <v>46205</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58446-2025</t>
        </is>
      </c>
      <c r="B362" s="1" t="n">
        <v>45985</v>
      </c>
      <c r="C362" s="1" t="n">
        <v>46205</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58500-2025</t>
        </is>
      </c>
      <c r="B363" s="1" t="n">
        <v>45985</v>
      </c>
      <c r="C363" s="1" t="n">
        <v>46205</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59037-2025</t>
        </is>
      </c>
      <c r="B364" s="1" t="n">
        <v>45988</v>
      </c>
      <c r="C364" s="1" t="n">
        <v>46205</v>
      </c>
      <c r="D364" t="inlineStr">
        <is>
          <t>KALMAR LÄN</t>
        </is>
      </c>
      <c r="E364" t="inlineStr">
        <is>
          <t>VIMMERBY</t>
        </is>
      </c>
      <c r="F364" t="inlineStr">
        <is>
          <t>Sveaskog</t>
        </is>
      </c>
      <c r="G364" t="n">
        <v>4</v>
      </c>
      <c r="H364" t="n">
        <v>0</v>
      </c>
      <c r="I364" t="n">
        <v>0</v>
      </c>
      <c r="J364" t="n">
        <v>0</v>
      </c>
      <c r="K364" t="n">
        <v>0</v>
      </c>
      <c r="L364" t="n">
        <v>0</v>
      </c>
      <c r="M364" t="n">
        <v>0</v>
      </c>
      <c r="N364" t="n">
        <v>0</v>
      </c>
      <c r="O364" t="n">
        <v>0</v>
      </c>
      <c r="P364" t="n">
        <v>0</v>
      </c>
      <c r="Q364" t="n">
        <v>0</v>
      </c>
      <c r="R364" s="2" t="inlineStr"/>
    </row>
    <row r="365" ht="15" customHeight="1">
      <c r="A365" t="inlineStr">
        <is>
          <t>A 6817-2026</t>
        </is>
      </c>
      <c r="B365" s="1" t="n">
        <v>46057</v>
      </c>
      <c r="C365" s="1" t="n">
        <v>46205</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59034-2025</t>
        </is>
      </c>
      <c r="B366" s="1" t="n">
        <v>45988</v>
      </c>
      <c r="C366" s="1" t="n">
        <v>46205</v>
      </c>
      <c r="D366" t="inlineStr">
        <is>
          <t>KALMAR LÄN</t>
        </is>
      </c>
      <c r="E366" t="inlineStr">
        <is>
          <t>VIMMERBY</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59039-2025</t>
        </is>
      </c>
      <c r="B367" s="1" t="n">
        <v>45988</v>
      </c>
      <c r="C367" s="1" t="n">
        <v>46205</v>
      </c>
      <c r="D367" t="inlineStr">
        <is>
          <t>KALMAR LÄN</t>
        </is>
      </c>
      <c r="E367" t="inlineStr">
        <is>
          <t>VIMMERBY</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58841-2025</t>
        </is>
      </c>
      <c r="B368" s="1" t="n">
        <v>45987</v>
      </c>
      <c r="C368" s="1" t="n">
        <v>46205</v>
      </c>
      <c r="D368" t="inlineStr">
        <is>
          <t>KALMAR LÄN</t>
        </is>
      </c>
      <c r="E368" t="inlineStr">
        <is>
          <t>VIMMERBY</t>
        </is>
      </c>
      <c r="G368" t="n">
        <v>3.5</v>
      </c>
      <c r="H368" t="n">
        <v>0</v>
      </c>
      <c r="I368" t="n">
        <v>0</v>
      </c>
      <c r="J368" t="n">
        <v>0</v>
      </c>
      <c r="K368" t="n">
        <v>0</v>
      </c>
      <c r="L368" t="n">
        <v>0</v>
      </c>
      <c r="M368" t="n">
        <v>0</v>
      </c>
      <c r="N368" t="n">
        <v>0</v>
      </c>
      <c r="O368" t="n">
        <v>0</v>
      </c>
      <c r="P368" t="n">
        <v>0</v>
      </c>
      <c r="Q368" t="n">
        <v>0</v>
      </c>
      <c r="R368" s="2" t="inlineStr"/>
    </row>
    <row r="369" ht="15" customHeight="1">
      <c r="A369" t="inlineStr">
        <is>
          <t>A 40076-2021</t>
        </is>
      </c>
      <c r="B369" s="1" t="n">
        <v>44418</v>
      </c>
      <c r="C369" s="1" t="n">
        <v>46205</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60180-2025</t>
        </is>
      </c>
      <c r="B370" s="1" t="n">
        <v>45994</v>
      </c>
      <c r="C370" s="1" t="n">
        <v>46205</v>
      </c>
      <c r="D370" t="inlineStr">
        <is>
          <t>KALMAR LÄN</t>
        </is>
      </c>
      <c r="E370" t="inlineStr">
        <is>
          <t>VIMMERBY</t>
        </is>
      </c>
      <c r="G370" t="n">
        <v>6.8</v>
      </c>
      <c r="H370" t="n">
        <v>0</v>
      </c>
      <c r="I370" t="n">
        <v>0</v>
      </c>
      <c r="J370" t="n">
        <v>0</v>
      </c>
      <c r="K370" t="n">
        <v>0</v>
      </c>
      <c r="L370" t="n">
        <v>0</v>
      </c>
      <c r="M370" t="n">
        <v>0</v>
      </c>
      <c r="N370" t="n">
        <v>0</v>
      </c>
      <c r="O370" t="n">
        <v>0</v>
      </c>
      <c r="P370" t="n">
        <v>0</v>
      </c>
      <c r="Q370" t="n">
        <v>0</v>
      </c>
      <c r="R370" s="2" t="inlineStr"/>
    </row>
    <row r="371" ht="15" customHeight="1">
      <c r="A371" t="inlineStr">
        <is>
          <t>A 12588-2025</t>
        </is>
      </c>
      <c r="B371" s="1" t="n">
        <v>45732</v>
      </c>
      <c r="C371" s="1" t="n">
        <v>46205</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25979-2023</t>
        </is>
      </c>
      <c r="B372" s="1" t="n">
        <v>45090</v>
      </c>
      <c r="C372" s="1" t="n">
        <v>46205</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25980-2023</t>
        </is>
      </c>
      <c r="B373" s="1" t="n">
        <v>45090</v>
      </c>
      <c r="C373" s="1" t="n">
        <v>46205</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8595-2026</t>
        </is>
      </c>
      <c r="B374" s="1" t="n">
        <v>46065</v>
      </c>
      <c r="C374" s="1" t="n">
        <v>46205</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46921-2023</t>
        </is>
      </c>
      <c r="B375" s="1" t="n">
        <v>45201</v>
      </c>
      <c r="C375" s="1" t="n">
        <v>46205</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10837-2023</t>
        </is>
      </c>
      <c r="B376" s="1" t="n">
        <v>44991</v>
      </c>
      <c r="C376" s="1" t="n">
        <v>46205</v>
      </c>
      <c r="D376" t="inlineStr">
        <is>
          <t>KALMAR LÄN</t>
        </is>
      </c>
      <c r="E376" t="inlineStr">
        <is>
          <t>VIMMERBY</t>
        </is>
      </c>
      <c r="G376" t="n">
        <v>7.3</v>
      </c>
      <c r="H376" t="n">
        <v>0</v>
      </c>
      <c r="I376" t="n">
        <v>0</v>
      </c>
      <c r="J376" t="n">
        <v>0</v>
      </c>
      <c r="K376" t="n">
        <v>0</v>
      </c>
      <c r="L376" t="n">
        <v>0</v>
      </c>
      <c r="M376" t="n">
        <v>0</v>
      </c>
      <c r="N376" t="n">
        <v>0</v>
      </c>
      <c r="O376" t="n">
        <v>0</v>
      </c>
      <c r="P376" t="n">
        <v>0</v>
      </c>
      <c r="Q376" t="n">
        <v>0</v>
      </c>
      <c r="R376" s="2" t="inlineStr"/>
    </row>
    <row r="377" ht="15" customHeight="1">
      <c r="A377" t="inlineStr">
        <is>
          <t>A 10838-2023</t>
        </is>
      </c>
      <c r="B377" s="1" t="n">
        <v>44991</v>
      </c>
      <c r="C377" s="1" t="n">
        <v>46205</v>
      </c>
      <c r="D377" t="inlineStr">
        <is>
          <t>KALMAR LÄN</t>
        </is>
      </c>
      <c r="E377" t="inlineStr">
        <is>
          <t>VIMMERBY</t>
        </is>
      </c>
      <c r="G377" t="n">
        <v>5.1</v>
      </c>
      <c r="H377" t="n">
        <v>0</v>
      </c>
      <c r="I377" t="n">
        <v>0</v>
      </c>
      <c r="J377" t="n">
        <v>0</v>
      </c>
      <c r="K377" t="n">
        <v>0</v>
      </c>
      <c r="L377" t="n">
        <v>0</v>
      </c>
      <c r="M377" t="n">
        <v>0</v>
      </c>
      <c r="N377" t="n">
        <v>0</v>
      </c>
      <c r="O377" t="n">
        <v>0</v>
      </c>
      <c r="P377" t="n">
        <v>0</v>
      </c>
      <c r="Q377" t="n">
        <v>0</v>
      </c>
      <c r="R377" s="2" t="inlineStr"/>
    </row>
    <row r="378" ht="15" customHeight="1">
      <c r="A378" t="inlineStr">
        <is>
          <t>A 30912-2023</t>
        </is>
      </c>
      <c r="B378" s="1" t="n">
        <v>45113</v>
      </c>
      <c r="C378" s="1" t="n">
        <v>46205</v>
      </c>
      <c r="D378" t="inlineStr">
        <is>
          <t>KALMAR LÄN</t>
        </is>
      </c>
      <c r="E378" t="inlineStr">
        <is>
          <t>VIMMERBY</t>
        </is>
      </c>
      <c r="G378" t="n">
        <v>5</v>
      </c>
      <c r="H378" t="n">
        <v>0</v>
      </c>
      <c r="I378" t="n">
        <v>0</v>
      </c>
      <c r="J378" t="n">
        <v>0</v>
      </c>
      <c r="K378" t="n">
        <v>0</v>
      </c>
      <c r="L378" t="n">
        <v>0</v>
      </c>
      <c r="M378" t="n">
        <v>0</v>
      </c>
      <c r="N378" t="n">
        <v>0</v>
      </c>
      <c r="O378" t="n">
        <v>0</v>
      </c>
      <c r="P378" t="n">
        <v>0</v>
      </c>
      <c r="Q378" t="n">
        <v>0</v>
      </c>
      <c r="R378" s="2" t="inlineStr"/>
    </row>
    <row r="379" ht="15" customHeight="1">
      <c r="A379" t="inlineStr">
        <is>
          <t>A 55436-2023</t>
        </is>
      </c>
      <c r="B379" s="1" t="n">
        <v>45238</v>
      </c>
      <c r="C379" s="1" t="n">
        <v>46205</v>
      </c>
      <c r="D379" t="inlineStr">
        <is>
          <t>KALMAR LÄN</t>
        </is>
      </c>
      <c r="E379" t="inlineStr">
        <is>
          <t>VIMMERBY</t>
        </is>
      </c>
      <c r="G379" t="n">
        <v>5.6</v>
      </c>
      <c r="H379" t="n">
        <v>0</v>
      </c>
      <c r="I379" t="n">
        <v>0</v>
      </c>
      <c r="J379" t="n">
        <v>0</v>
      </c>
      <c r="K379" t="n">
        <v>0</v>
      </c>
      <c r="L379" t="n">
        <v>0</v>
      </c>
      <c r="M379" t="n">
        <v>0</v>
      </c>
      <c r="N379" t="n">
        <v>0</v>
      </c>
      <c r="O379" t="n">
        <v>0</v>
      </c>
      <c r="P379" t="n">
        <v>0</v>
      </c>
      <c r="Q379" t="n">
        <v>0</v>
      </c>
      <c r="R379" s="2" t="inlineStr"/>
    </row>
    <row r="380" ht="15" customHeight="1">
      <c r="A380" t="inlineStr">
        <is>
          <t>A 21507-2023</t>
        </is>
      </c>
      <c r="B380" s="1" t="n">
        <v>45063</v>
      </c>
      <c r="C380" s="1" t="n">
        <v>46205</v>
      </c>
      <c r="D380" t="inlineStr">
        <is>
          <t>KALMAR LÄN</t>
        </is>
      </c>
      <c r="E380" t="inlineStr">
        <is>
          <t>VIMMERBY</t>
        </is>
      </c>
      <c r="G380" t="n">
        <v>2.8</v>
      </c>
      <c r="H380" t="n">
        <v>0</v>
      </c>
      <c r="I380" t="n">
        <v>0</v>
      </c>
      <c r="J380" t="n">
        <v>0</v>
      </c>
      <c r="K380" t="n">
        <v>0</v>
      </c>
      <c r="L380" t="n">
        <v>0</v>
      </c>
      <c r="M380" t="n">
        <v>0</v>
      </c>
      <c r="N380" t="n">
        <v>0</v>
      </c>
      <c r="O380" t="n">
        <v>0</v>
      </c>
      <c r="P380" t="n">
        <v>0</v>
      </c>
      <c r="Q380" t="n">
        <v>0</v>
      </c>
      <c r="R380" s="2" t="inlineStr"/>
    </row>
    <row r="381" ht="15" customHeight="1">
      <c r="A381" t="inlineStr">
        <is>
          <t>A 51187-2023</t>
        </is>
      </c>
      <c r="B381" s="1" t="n">
        <v>45219</v>
      </c>
      <c r="C381" s="1" t="n">
        <v>46205</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45560-2021</t>
        </is>
      </c>
      <c r="B382" s="1" t="n">
        <v>44440</v>
      </c>
      <c r="C382" s="1" t="n">
        <v>46205</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61790-2025</t>
        </is>
      </c>
      <c r="B383" s="1" t="n">
        <v>46002</v>
      </c>
      <c r="C383" s="1" t="n">
        <v>46205</v>
      </c>
      <c r="D383" t="inlineStr">
        <is>
          <t>KALMAR LÄN</t>
        </is>
      </c>
      <c r="E383" t="inlineStr">
        <is>
          <t>VIMMERBY</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61726-2025</t>
        </is>
      </c>
      <c r="B384" s="1" t="n">
        <v>46002</v>
      </c>
      <c r="C384" s="1" t="n">
        <v>46205</v>
      </c>
      <c r="D384" t="inlineStr">
        <is>
          <t>KALMAR LÄN</t>
        </is>
      </c>
      <c r="E384" t="inlineStr">
        <is>
          <t>VIMMERBY</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16622-2025</t>
        </is>
      </c>
      <c r="B385" s="1" t="n">
        <v>45754</v>
      </c>
      <c r="C385" s="1" t="n">
        <v>46205</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61725-2025</t>
        </is>
      </c>
      <c r="B386" s="1" t="n">
        <v>46002</v>
      </c>
      <c r="C386" s="1" t="n">
        <v>46205</v>
      </c>
      <c r="D386" t="inlineStr">
        <is>
          <t>KALMAR LÄN</t>
        </is>
      </c>
      <c r="E386" t="inlineStr">
        <is>
          <t>VIMMERBY</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31340-2023</t>
        </is>
      </c>
      <c r="B387" s="1" t="n">
        <v>45114</v>
      </c>
      <c r="C387" s="1" t="n">
        <v>46205</v>
      </c>
      <c r="D387" t="inlineStr">
        <is>
          <t>KALMAR LÄN</t>
        </is>
      </c>
      <c r="E387" t="inlineStr">
        <is>
          <t>VIMMERBY</t>
        </is>
      </c>
      <c r="G387" t="n">
        <v>1.8</v>
      </c>
      <c r="H387" t="n">
        <v>0</v>
      </c>
      <c r="I387" t="n">
        <v>0</v>
      </c>
      <c r="J387" t="n">
        <v>0</v>
      </c>
      <c r="K387" t="n">
        <v>0</v>
      </c>
      <c r="L387" t="n">
        <v>0</v>
      </c>
      <c r="M387" t="n">
        <v>0</v>
      </c>
      <c r="N387" t="n">
        <v>0</v>
      </c>
      <c r="O387" t="n">
        <v>0</v>
      </c>
      <c r="P387" t="n">
        <v>0</v>
      </c>
      <c r="Q387" t="n">
        <v>0</v>
      </c>
      <c r="R387" s="2" t="inlineStr"/>
    </row>
    <row r="388" ht="15" customHeight="1">
      <c r="A388" t="inlineStr">
        <is>
          <t>A 29168-2024</t>
        </is>
      </c>
      <c r="B388" s="1" t="n">
        <v>45482</v>
      </c>
      <c r="C388" s="1" t="n">
        <v>46205</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29186-2024</t>
        </is>
      </c>
      <c r="B389" s="1" t="n">
        <v>45482</v>
      </c>
      <c r="C389" s="1" t="n">
        <v>46205</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35895-2024</t>
        </is>
      </c>
      <c r="B390" s="1" t="n">
        <v>45533</v>
      </c>
      <c r="C390" s="1" t="n">
        <v>46205</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12590-2025</t>
        </is>
      </c>
      <c r="B391" s="1" t="n">
        <v>45732</v>
      </c>
      <c r="C391" s="1" t="n">
        <v>46205</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30318-2023</t>
        </is>
      </c>
      <c r="B392" s="1" t="n">
        <v>45111</v>
      </c>
      <c r="C392" s="1" t="n">
        <v>46205</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43186-2021</t>
        </is>
      </c>
      <c r="B393" s="1" t="n">
        <v>44431</v>
      </c>
      <c r="C393" s="1" t="n">
        <v>46205</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60230-2022</t>
        </is>
      </c>
      <c r="B394" s="1" t="n">
        <v>44910</v>
      </c>
      <c r="C394" s="1" t="n">
        <v>46205</v>
      </c>
      <c r="D394" t="inlineStr">
        <is>
          <t>KALMAR LÄN</t>
        </is>
      </c>
      <c r="E394" t="inlineStr">
        <is>
          <t>VIMMERBY</t>
        </is>
      </c>
      <c r="G394" t="n">
        <v>11.3</v>
      </c>
      <c r="H394" t="n">
        <v>0</v>
      </c>
      <c r="I394" t="n">
        <v>0</v>
      </c>
      <c r="J394" t="n">
        <v>0</v>
      </c>
      <c r="K394" t="n">
        <v>0</v>
      </c>
      <c r="L394" t="n">
        <v>0</v>
      </c>
      <c r="M394" t="n">
        <v>0</v>
      </c>
      <c r="N394" t="n">
        <v>0</v>
      </c>
      <c r="O394" t="n">
        <v>0</v>
      </c>
      <c r="P394" t="n">
        <v>0</v>
      </c>
      <c r="Q394" t="n">
        <v>0</v>
      </c>
      <c r="R394" s="2" t="inlineStr"/>
    </row>
    <row r="395" ht="15" customHeight="1">
      <c r="A395" t="inlineStr">
        <is>
          <t>A 5925-2022</t>
        </is>
      </c>
      <c r="B395" s="1" t="n">
        <v>44598</v>
      </c>
      <c r="C395" s="1" t="n">
        <v>46205</v>
      </c>
      <c r="D395" t="inlineStr">
        <is>
          <t>KALMAR LÄN</t>
        </is>
      </c>
      <c r="E395" t="inlineStr">
        <is>
          <t>VIMMERBY</t>
        </is>
      </c>
      <c r="G395" t="n">
        <v>2.1</v>
      </c>
      <c r="H395" t="n">
        <v>0</v>
      </c>
      <c r="I395" t="n">
        <v>0</v>
      </c>
      <c r="J395" t="n">
        <v>0</v>
      </c>
      <c r="K395" t="n">
        <v>0</v>
      </c>
      <c r="L395" t="n">
        <v>0</v>
      </c>
      <c r="M395" t="n">
        <v>0</v>
      </c>
      <c r="N395" t="n">
        <v>0</v>
      </c>
      <c r="O395" t="n">
        <v>0</v>
      </c>
      <c r="P395" t="n">
        <v>0</v>
      </c>
      <c r="Q395" t="n">
        <v>0</v>
      </c>
      <c r="R395" s="2" t="inlineStr"/>
    </row>
    <row r="396" ht="15" customHeight="1">
      <c r="A396" t="inlineStr">
        <is>
          <t>A 845-2023</t>
        </is>
      </c>
      <c r="B396" s="1" t="n">
        <v>44931</v>
      </c>
      <c r="C396" s="1" t="n">
        <v>46205</v>
      </c>
      <c r="D396" t="inlineStr">
        <is>
          <t>KALMAR LÄN</t>
        </is>
      </c>
      <c r="E396" t="inlineStr">
        <is>
          <t>VIMMERBY</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16119-2023</t>
        </is>
      </c>
      <c r="B397" s="1" t="n">
        <v>45027</v>
      </c>
      <c r="C397" s="1" t="n">
        <v>46205</v>
      </c>
      <c r="D397" t="inlineStr">
        <is>
          <t>KALMAR LÄN</t>
        </is>
      </c>
      <c r="E397" t="inlineStr">
        <is>
          <t>VIMMERBY</t>
        </is>
      </c>
      <c r="F397" t="inlineStr">
        <is>
          <t>Kommuner</t>
        </is>
      </c>
      <c r="G397" t="n">
        <v>4.4</v>
      </c>
      <c r="H397" t="n">
        <v>0</v>
      </c>
      <c r="I397" t="n">
        <v>0</v>
      </c>
      <c r="J397" t="n">
        <v>0</v>
      </c>
      <c r="K397" t="n">
        <v>0</v>
      </c>
      <c r="L397" t="n">
        <v>0</v>
      </c>
      <c r="M397" t="n">
        <v>0</v>
      </c>
      <c r="N397" t="n">
        <v>0</v>
      </c>
      <c r="O397" t="n">
        <v>0</v>
      </c>
      <c r="P397" t="n">
        <v>0</v>
      </c>
      <c r="Q397" t="n">
        <v>0</v>
      </c>
      <c r="R397" s="2" t="inlineStr"/>
    </row>
    <row r="398" ht="15" customHeight="1">
      <c r="A398" t="inlineStr">
        <is>
          <t>A 30588-2023</t>
        </is>
      </c>
      <c r="B398" s="1" t="n">
        <v>45112</v>
      </c>
      <c r="C398" s="1" t="n">
        <v>46205</v>
      </c>
      <c r="D398" t="inlineStr">
        <is>
          <t>KALMAR LÄN</t>
        </is>
      </c>
      <c r="E398" t="inlineStr">
        <is>
          <t>VIMMERBY</t>
        </is>
      </c>
      <c r="G398" t="n">
        <v>2.7</v>
      </c>
      <c r="H398" t="n">
        <v>0</v>
      </c>
      <c r="I398" t="n">
        <v>0</v>
      </c>
      <c r="J398" t="n">
        <v>0</v>
      </c>
      <c r="K398" t="n">
        <v>0</v>
      </c>
      <c r="L398" t="n">
        <v>0</v>
      </c>
      <c r="M398" t="n">
        <v>0</v>
      </c>
      <c r="N398" t="n">
        <v>0</v>
      </c>
      <c r="O398" t="n">
        <v>0</v>
      </c>
      <c r="P398" t="n">
        <v>0</v>
      </c>
      <c r="Q398" t="n">
        <v>0</v>
      </c>
      <c r="R398" s="2" t="inlineStr"/>
    </row>
    <row r="399" ht="15" customHeight="1">
      <c r="A399" t="inlineStr">
        <is>
          <t>A 45528-2021</t>
        </is>
      </c>
      <c r="B399" s="1" t="n">
        <v>44440</v>
      </c>
      <c r="C399" s="1" t="n">
        <v>46205</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16516-2023</t>
        </is>
      </c>
      <c r="B400" s="1" t="n">
        <v>45029</v>
      </c>
      <c r="C400" s="1" t="n">
        <v>46205</v>
      </c>
      <c r="D400" t="inlineStr">
        <is>
          <t>KALMAR LÄN</t>
        </is>
      </c>
      <c r="E400" t="inlineStr">
        <is>
          <t>VIMMERBY</t>
        </is>
      </c>
      <c r="G400" t="n">
        <v>4.3</v>
      </c>
      <c r="H400" t="n">
        <v>0</v>
      </c>
      <c r="I400" t="n">
        <v>0</v>
      </c>
      <c r="J400" t="n">
        <v>0</v>
      </c>
      <c r="K400" t="n">
        <v>0</v>
      </c>
      <c r="L400" t="n">
        <v>0</v>
      </c>
      <c r="M400" t="n">
        <v>0</v>
      </c>
      <c r="N400" t="n">
        <v>0</v>
      </c>
      <c r="O400" t="n">
        <v>0</v>
      </c>
      <c r="P400" t="n">
        <v>0</v>
      </c>
      <c r="Q400" t="n">
        <v>0</v>
      </c>
      <c r="R400" s="2" t="inlineStr"/>
    </row>
    <row r="401" ht="15" customHeight="1">
      <c r="A401" t="inlineStr">
        <is>
          <t>A 11407-2026</t>
        </is>
      </c>
      <c r="B401" s="1" t="n">
        <v>46083</v>
      </c>
      <c r="C401" s="1" t="n">
        <v>46205</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48373-2021</t>
        </is>
      </c>
      <c r="B402" s="1" t="n">
        <v>44451</v>
      </c>
      <c r="C402" s="1" t="n">
        <v>46205</v>
      </c>
      <c r="D402" t="inlineStr">
        <is>
          <t>KALMAR LÄN</t>
        </is>
      </c>
      <c r="E402" t="inlineStr">
        <is>
          <t>VIMMERBY</t>
        </is>
      </c>
      <c r="G402" t="n">
        <v>2.2</v>
      </c>
      <c r="H402" t="n">
        <v>0</v>
      </c>
      <c r="I402" t="n">
        <v>0</v>
      </c>
      <c r="J402" t="n">
        <v>0</v>
      </c>
      <c r="K402" t="n">
        <v>0</v>
      </c>
      <c r="L402" t="n">
        <v>0</v>
      </c>
      <c r="M402" t="n">
        <v>0</v>
      </c>
      <c r="N402" t="n">
        <v>0</v>
      </c>
      <c r="O402" t="n">
        <v>0</v>
      </c>
      <c r="P402" t="n">
        <v>0</v>
      </c>
      <c r="Q402" t="n">
        <v>0</v>
      </c>
      <c r="R402" s="2" t="inlineStr"/>
    </row>
    <row r="403" ht="15" customHeight="1">
      <c r="A403" t="inlineStr">
        <is>
          <t>A 7485-2024</t>
        </is>
      </c>
      <c r="B403" s="1" t="n">
        <v>45346</v>
      </c>
      <c r="C403" s="1" t="n">
        <v>46205</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11415-2026</t>
        </is>
      </c>
      <c r="B404" s="1" t="n">
        <v>46083</v>
      </c>
      <c r="C404" s="1" t="n">
        <v>46205</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6574-2023</t>
        </is>
      </c>
      <c r="B405" s="1" t="n">
        <v>44966</v>
      </c>
      <c r="C405" s="1" t="n">
        <v>46205</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63848-2025</t>
        </is>
      </c>
      <c r="B406" s="1" t="n">
        <v>46020</v>
      </c>
      <c r="C406" s="1" t="n">
        <v>46205</v>
      </c>
      <c r="D406" t="inlineStr">
        <is>
          <t>KALMAR LÄN</t>
        </is>
      </c>
      <c r="E406" t="inlineStr">
        <is>
          <t>VIMMERBY</t>
        </is>
      </c>
      <c r="G406" t="n">
        <v>3.4</v>
      </c>
      <c r="H406" t="n">
        <v>0</v>
      </c>
      <c r="I406" t="n">
        <v>0</v>
      </c>
      <c r="J406" t="n">
        <v>0</v>
      </c>
      <c r="K406" t="n">
        <v>0</v>
      </c>
      <c r="L406" t="n">
        <v>0</v>
      </c>
      <c r="M406" t="n">
        <v>0</v>
      </c>
      <c r="N406" t="n">
        <v>0</v>
      </c>
      <c r="O406" t="n">
        <v>0</v>
      </c>
      <c r="P406" t="n">
        <v>0</v>
      </c>
      <c r="Q406" t="n">
        <v>0</v>
      </c>
      <c r="R406" s="2" t="inlineStr"/>
    </row>
    <row r="407" ht="15" customHeight="1">
      <c r="A407" t="inlineStr">
        <is>
          <t>A 63758-2025</t>
        </is>
      </c>
      <c r="B407" s="1" t="n">
        <v>46018</v>
      </c>
      <c r="C407" s="1" t="n">
        <v>46205</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58750-2022</t>
        </is>
      </c>
      <c r="B408" s="1" t="n">
        <v>44903</v>
      </c>
      <c r="C408" s="1" t="n">
        <v>46205</v>
      </c>
      <c r="D408" t="inlineStr">
        <is>
          <t>KALMAR LÄN</t>
        </is>
      </c>
      <c r="E408" t="inlineStr">
        <is>
          <t>VIMMERBY</t>
        </is>
      </c>
      <c r="G408" t="n">
        <v>3.3</v>
      </c>
      <c r="H408" t="n">
        <v>0</v>
      </c>
      <c r="I408" t="n">
        <v>0</v>
      </c>
      <c r="J408" t="n">
        <v>0</v>
      </c>
      <c r="K408" t="n">
        <v>0</v>
      </c>
      <c r="L408" t="n">
        <v>0</v>
      </c>
      <c r="M408" t="n">
        <v>0</v>
      </c>
      <c r="N408" t="n">
        <v>0</v>
      </c>
      <c r="O408" t="n">
        <v>0</v>
      </c>
      <c r="P408" t="n">
        <v>0</v>
      </c>
      <c r="Q408" t="n">
        <v>0</v>
      </c>
      <c r="R408" s="2" t="inlineStr"/>
    </row>
    <row r="409" ht="15" customHeight="1">
      <c r="A409" t="inlineStr">
        <is>
          <t>A 2260-2022</t>
        </is>
      </c>
      <c r="B409" s="1" t="n">
        <v>44578</v>
      </c>
      <c r="C409" s="1" t="n">
        <v>46205</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50860-2022</t>
        </is>
      </c>
      <c r="B410" s="1" t="n">
        <v>44867</v>
      </c>
      <c r="C410" s="1" t="n">
        <v>46205</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53483-2022</t>
        </is>
      </c>
      <c r="B411" s="1" t="n">
        <v>44879</v>
      </c>
      <c r="C411" s="1" t="n">
        <v>46205</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58962-2022</t>
        </is>
      </c>
      <c r="B412" s="1" t="n">
        <v>44903</v>
      </c>
      <c r="C412" s="1" t="n">
        <v>46205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58967-2022</t>
        </is>
      </c>
      <c r="B413" s="1" t="n">
        <v>44896</v>
      </c>
      <c r="C413" s="1" t="n">
        <v>46205</v>
      </c>
      <c r="D413" t="inlineStr">
        <is>
          <t>KALMAR LÄN</t>
        </is>
      </c>
      <c r="E413" t="inlineStr">
        <is>
          <t>VIMMERBY</t>
        </is>
      </c>
      <c r="G413" t="n">
        <v>5</v>
      </c>
      <c r="H413" t="n">
        <v>0</v>
      </c>
      <c r="I413" t="n">
        <v>0</v>
      </c>
      <c r="J413" t="n">
        <v>0</v>
      </c>
      <c r="K413" t="n">
        <v>0</v>
      </c>
      <c r="L413" t="n">
        <v>0</v>
      </c>
      <c r="M413" t="n">
        <v>0</v>
      </c>
      <c r="N413" t="n">
        <v>0</v>
      </c>
      <c r="O413" t="n">
        <v>0</v>
      </c>
      <c r="P413" t="n">
        <v>0</v>
      </c>
      <c r="Q413" t="n">
        <v>0</v>
      </c>
      <c r="R413" s="2" t="inlineStr"/>
    </row>
    <row r="414" ht="15" customHeight="1">
      <c r="A414" t="inlineStr">
        <is>
          <t>A 57682-2022</t>
        </is>
      </c>
      <c r="B414" s="1" t="n">
        <v>44890</v>
      </c>
      <c r="C414" s="1" t="n">
        <v>46205</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4076-2022</t>
        </is>
      </c>
      <c r="B415" s="1" t="n">
        <v>44588</v>
      </c>
      <c r="C415" s="1" t="n">
        <v>46205</v>
      </c>
      <c r="D415" t="inlineStr">
        <is>
          <t>KALMAR LÄN</t>
        </is>
      </c>
      <c r="E415" t="inlineStr">
        <is>
          <t>VIMMERBY</t>
        </is>
      </c>
      <c r="G415" t="n">
        <v>3</v>
      </c>
      <c r="H415" t="n">
        <v>0</v>
      </c>
      <c r="I415" t="n">
        <v>0</v>
      </c>
      <c r="J415" t="n">
        <v>0</v>
      </c>
      <c r="K415" t="n">
        <v>0</v>
      </c>
      <c r="L415" t="n">
        <v>0</v>
      </c>
      <c r="M415" t="n">
        <v>0</v>
      </c>
      <c r="N415" t="n">
        <v>0</v>
      </c>
      <c r="O415" t="n">
        <v>0</v>
      </c>
      <c r="P415" t="n">
        <v>0</v>
      </c>
      <c r="Q415" t="n">
        <v>0</v>
      </c>
      <c r="R415" s="2" t="inlineStr"/>
    </row>
    <row r="416" ht="15" customHeight="1">
      <c r="A416" t="inlineStr">
        <is>
          <t>A 4122-2022</t>
        </is>
      </c>
      <c r="B416" s="1" t="n">
        <v>44588</v>
      </c>
      <c r="C416" s="1" t="n">
        <v>46205</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9624-2024</t>
        </is>
      </c>
      <c r="B417" s="1" t="n">
        <v>45361</v>
      </c>
      <c r="C417" s="1" t="n">
        <v>46205</v>
      </c>
      <c r="D417" t="inlineStr">
        <is>
          <t>KALMAR LÄN</t>
        </is>
      </c>
      <c r="E417" t="inlineStr">
        <is>
          <t>VIMMERBY</t>
        </is>
      </c>
      <c r="G417" t="n">
        <v>3.8</v>
      </c>
      <c r="H417" t="n">
        <v>0</v>
      </c>
      <c r="I417" t="n">
        <v>0</v>
      </c>
      <c r="J417" t="n">
        <v>0</v>
      </c>
      <c r="K417" t="n">
        <v>0</v>
      </c>
      <c r="L417" t="n">
        <v>0</v>
      </c>
      <c r="M417" t="n">
        <v>0</v>
      </c>
      <c r="N417" t="n">
        <v>0</v>
      </c>
      <c r="O417" t="n">
        <v>0</v>
      </c>
      <c r="P417" t="n">
        <v>0</v>
      </c>
      <c r="Q417" t="n">
        <v>0</v>
      </c>
      <c r="R417" s="2" t="inlineStr"/>
    </row>
    <row r="418" ht="15" customHeight="1">
      <c r="A418" t="inlineStr">
        <is>
          <t>A 52327-2023</t>
        </is>
      </c>
      <c r="B418" s="1" t="n">
        <v>45224</v>
      </c>
      <c r="C418" s="1" t="n">
        <v>46205</v>
      </c>
      <c r="D418" t="inlineStr">
        <is>
          <t>KALMAR LÄN</t>
        </is>
      </c>
      <c r="E418" t="inlineStr">
        <is>
          <t>VIMMERBY</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29616-2022</t>
        </is>
      </c>
      <c r="B419" s="1" t="n">
        <v>44754</v>
      </c>
      <c r="C419" s="1" t="n">
        <v>46205</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12730-2026</t>
        </is>
      </c>
      <c r="B420" s="1" t="n">
        <v>46091</v>
      </c>
      <c r="C420" s="1" t="n">
        <v>46205</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28403-2023</t>
        </is>
      </c>
      <c r="B421" s="1" t="n">
        <v>45100</v>
      </c>
      <c r="C421" s="1" t="n">
        <v>46205</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66022-2021</t>
        </is>
      </c>
      <c r="B422" s="1" t="n">
        <v>44517</v>
      </c>
      <c r="C422" s="1" t="n">
        <v>46205</v>
      </c>
      <c r="D422" t="inlineStr">
        <is>
          <t>KALMAR LÄN</t>
        </is>
      </c>
      <c r="E422" t="inlineStr">
        <is>
          <t>VIMMERBY</t>
        </is>
      </c>
      <c r="G422" t="n">
        <v>0.5</v>
      </c>
      <c r="H422" t="n">
        <v>0</v>
      </c>
      <c r="I422" t="n">
        <v>0</v>
      </c>
      <c r="J422" t="n">
        <v>0</v>
      </c>
      <c r="K422" t="n">
        <v>0</v>
      </c>
      <c r="L422" t="n">
        <v>0</v>
      </c>
      <c r="M422" t="n">
        <v>0</v>
      </c>
      <c r="N422" t="n">
        <v>0</v>
      </c>
      <c r="O422" t="n">
        <v>0</v>
      </c>
      <c r="P422" t="n">
        <v>0</v>
      </c>
      <c r="Q422" t="n">
        <v>0</v>
      </c>
      <c r="R422" s="2" t="inlineStr"/>
    </row>
    <row r="423" ht="15" customHeight="1">
      <c r="A423" t="inlineStr">
        <is>
          <t>A 30070-2023</t>
        </is>
      </c>
      <c r="B423" s="1" t="n">
        <v>45110</v>
      </c>
      <c r="C423" s="1" t="n">
        <v>46205</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12820-2026</t>
        </is>
      </c>
      <c r="B424" s="1" t="n">
        <v>46092</v>
      </c>
      <c r="C424" s="1" t="n">
        <v>46205</v>
      </c>
      <c r="D424" t="inlineStr">
        <is>
          <t>KALMAR LÄN</t>
        </is>
      </c>
      <c r="E424" t="inlineStr">
        <is>
          <t>VIMMERBY</t>
        </is>
      </c>
      <c r="G424" t="n">
        <v>4.3</v>
      </c>
      <c r="H424" t="n">
        <v>0</v>
      </c>
      <c r="I424" t="n">
        <v>0</v>
      </c>
      <c r="J424" t="n">
        <v>0</v>
      </c>
      <c r="K424" t="n">
        <v>0</v>
      </c>
      <c r="L424" t="n">
        <v>0</v>
      </c>
      <c r="M424" t="n">
        <v>0</v>
      </c>
      <c r="N424" t="n">
        <v>0</v>
      </c>
      <c r="O424" t="n">
        <v>0</v>
      </c>
      <c r="P424" t="n">
        <v>0</v>
      </c>
      <c r="Q424" t="n">
        <v>0</v>
      </c>
      <c r="R424" s="2" t="inlineStr"/>
    </row>
    <row r="425" ht="15" customHeight="1">
      <c r="A425" t="inlineStr">
        <is>
          <t>A 12821-2026</t>
        </is>
      </c>
      <c r="B425" s="1" t="n">
        <v>46092</v>
      </c>
      <c r="C425" s="1" t="n">
        <v>46205</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12825-2026</t>
        </is>
      </c>
      <c r="B426" s="1" t="n">
        <v>46092</v>
      </c>
      <c r="C426" s="1" t="n">
        <v>46205</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46078-2023</t>
        </is>
      </c>
      <c r="B427" s="1" t="n">
        <v>45196</v>
      </c>
      <c r="C427" s="1" t="n">
        <v>46205</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7643-2022</t>
        </is>
      </c>
      <c r="B428" s="1" t="n">
        <v>44607</v>
      </c>
      <c r="C428" s="1" t="n">
        <v>46205</v>
      </c>
      <c r="D428" t="inlineStr">
        <is>
          <t>KALMAR LÄN</t>
        </is>
      </c>
      <c r="E428" t="inlineStr">
        <is>
          <t>VIMMERBY</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3494-2023</t>
        </is>
      </c>
      <c r="B429" s="1" t="n">
        <v>44949</v>
      </c>
      <c r="C429" s="1" t="n">
        <v>46205</v>
      </c>
      <c r="D429" t="inlineStr">
        <is>
          <t>KALMAR LÄN</t>
        </is>
      </c>
      <c r="E429" t="inlineStr">
        <is>
          <t>VIMMERBY</t>
        </is>
      </c>
      <c r="F429" t="inlineStr">
        <is>
          <t>Kyrkan</t>
        </is>
      </c>
      <c r="G429" t="n">
        <v>0.8</v>
      </c>
      <c r="H429" t="n">
        <v>0</v>
      </c>
      <c r="I429" t="n">
        <v>0</v>
      </c>
      <c r="J429" t="n">
        <v>0</v>
      </c>
      <c r="K429" t="n">
        <v>0</v>
      </c>
      <c r="L429" t="n">
        <v>0</v>
      </c>
      <c r="M429" t="n">
        <v>0</v>
      </c>
      <c r="N429" t="n">
        <v>0</v>
      </c>
      <c r="O429" t="n">
        <v>0</v>
      </c>
      <c r="P429" t="n">
        <v>0</v>
      </c>
      <c r="Q429" t="n">
        <v>0</v>
      </c>
      <c r="R429" s="2" t="inlineStr"/>
    </row>
    <row r="430" ht="15" customHeight="1">
      <c r="A430" t="inlineStr">
        <is>
          <t>A 32633-2023</t>
        </is>
      </c>
      <c r="B430" s="1" t="n">
        <v>45121</v>
      </c>
      <c r="C430" s="1" t="n">
        <v>46205</v>
      </c>
      <c r="D430" t="inlineStr">
        <is>
          <t>KALMAR LÄN</t>
        </is>
      </c>
      <c r="E430" t="inlineStr">
        <is>
          <t>VIMMERBY</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43601-2024</t>
        </is>
      </c>
      <c r="B431" s="1" t="n">
        <v>45569</v>
      </c>
      <c r="C431" s="1" t="n">
        <v>46205</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13813-2024</t>
        </is>
      </c>
      <c r="B432" s="1" t="n">
        <v>45391</v>
      </c>
      <c r="C432" s="1" t="n">
        <v>46205</v>
      </c>
      <c r="D432" t="inlineStr">
        <is>
          <t>KALMAR LÄN</t>
        </is>
      </c>
      <c r="E432" t="inlineStr">
        <is>
          <t>VIMMERBY</t>
        </is>
      </c>
      <c r="G432" t="n">
        <v>0.4</v>
      </c>
      <c r="H432" t="n">
        <v>0</v>
      </c>
      <c r="I432" t="n">
        <v>0</v>
      </c>
      <c r="J432" t="n">
        <v>0</v>
      </c>
      <c r="K432" t="n">
        <v>0</v>
      </c>
      <c r="L432" t="n">
        <v>0</v>
      </c>
      <c r="M432" t="n">
        <v>0</v>
      </c>
      <c r="N432" t="n">
        <v>0</v>
      </c>
      <c r="O432" t="n">
        <v>0</v>
      </c>
      <c r="P432" t="n">
        <v>0</v>
      </c>
      <c r="Q432" t="n">
        <v>0</v>
      </c>
      <c r="R432" s="2" t="inlineStr"/>
    </row>
    <row r="433" ht="15" customHeight="1">
      <c r="A433" t="inlineStr">
        <is>
          <t>A 13793-2026</t>
        </is>
      </c>
      <c r="B433" s="1" t="n">
        <v>46097</v>
      </c>
      <c r="C433" s="1" t="n">
        <v>46205</v>
      </c>
      <c r="D433" t="inlineStr">
        <is>
          <t>KALMAR LÄN</t>
        </is>
      </c>
      <c r="E433" t="inlineStr">
        <is>
          <t>VIMMERBY</t>
        </is>
      </c>
      <c r="G433" t="n">
        <v>2.9</v>
      </c>
      <c r="H433" t="n">
        <v>0</v>
      </c>
      <c r="I433" t="n">
        <v>0</v>
      </c>
      <c r="J433" t="n">
        <v>0</v>
      </c>
      <c r="K433" t="n">
        <v>0</v>
      </c>
      <c r="L433" t="n">
        <v>0</v>
      </c>
      <c r="M433" t="n">
        <v>0</v>
      </c>
      <c r="N433" t="n">
        <v>0</v>
      </c>
      <c r="O433" t="n">
        <v>0</v>
      </c>
      <c r="P433" t="n">
        <v>0</v>
      </c>
      <c r="Q433" t="n">
        <v>0</v>
      </c>
      <c r="R433" s="2" t="inlineStr"/>
    </row>
    <row r="434" ht="15" customHeight="1">
      <c r="A434" t="inlineStr">
        <is>
          <t>A 25234-2023</t>
        </is>
      </c>
      <c r="B434" s="1" t="n">
        <v>45086</v>
      </c>
      <c r="C434" s="1" t="n">
        <v>46205</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25236-2023</t>
        </is>
      </c>
      <c r="B435" s="1" t="n">
        <v>45086</v>
      </c>
      <c r="C435" s="1" t="n">
        <v>46205</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14279-2026</t>
        </is>
      </c>
      <c r="B436" s="1" t="n">
        <v>46099</v>
      </c>
      <c r="C436" s="1" t="n">
        <v>46205</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25244-2023</t>
        </is>
      </c>
      <c r="B437" s="1" t="n">
        <v>45086</v>
      </c>
      <c r="C437" s="1" t="n">
        <v>46205</v>
      </c>
      <c r="D437" t="inlineStr">
        <is>
          <t>KALMAR LÄN</t>
        </is>
      </c>
      <c r="E437" t="inlineStr">
        <is>
          <t>VIMMERBY</t>
        </is>
      </c>
      <c r="G437" t="n">
        <v>4.7</v>
      </c>
      <c r="H437" t="n">
        <v>0</v>
      </c>
      <c r="I437" t="n">
        <v>0</v>
      </c>
      <c r="J437" t="n">
        <v>0</v>
      </c>
      <c r="K437" t="n">
        <v>0</v>
      </c>
      <c r="L437" t="n">
        <v>0</v>
      </c>
      <c r="M437" t="n">
        <v>0</v>
      </c>
      <c r="N437" t="n">
        <v>0</v>
      </c>
      <c r="O437" t="n">
        <v>0</v>
      </c>
      <c r="P437" t="n">
        <v>0</v>
      </c>
      <c r="Q437" t="n">
        <v>0</v>
      </c>
      <c r="R437" s="2" t="inlineStr"/>
    </row>
    <row r="438" ht="15" customHeight="1">
      <c r="A438" t="inlineStr">
        <is>
          <t>A 23341-2022</t>
        </is>
      </c>
      <c r="B438" s="1" t="n">
        <v>44720</v>
      </c>
      <c r="C438" s="1" t="n">
        <v>46205</v>
      </c>
      <c r="D438" t="inlineStr">
        <is>
          <t>KALMAR LÄN</t>
        </is>
      </c>
      <c r="E438" t="inlineStr">
        <is>
          <t>VIMMERBY</t>
        </is>
      </c>
      <c r="G438" t="n">
        <v>0.8</v>
      </c>
      <c r="H438" t="n">
        <v>0</v>
      </c>
      <c r="I438" t="n">
        <v>0</v>
      </c>
      <c r="J438" t="n">
        <v>0</v>
      </c>
      <c r="K438" t="n">
        <v>0</v>
      </c>
      <c r="L438" t="n">
        <v>0</v>
      </c>
      <c r="M438" t="n">
        <v>0</v>
      </c>
      <c r="N438" t="n">
        <v>0</v>
      </c>
      <c r="O438" t="n">
        <v>0</v>
      </c>
      <c r="P438" t="n">
        <v>0</v>
      </c>
      <c r="Q438" t="n">
        <v>0</v>
      </c>
      <c r="R438" s="2" t="inlineStr"/>
    </row>
    <row r="439" ht="15" customHeight="1">
      <c r="A439" t="inlineStr">
        <is>
          <t>A 14320-2026</t>
        </is>
      </c>
      <c r="B439" s="1" t="n">
        <v>46099</v>
      </c>
      <c r="C439" s="1" t="n">
        <v>46205</v>
      </c>
      <c r="D439" t="inlineStr">
        <is>
          <t>KALMAR LÄN</t>
        </is>
      </c>
      <c r="E439" t="inlineStr">
        <is>
          <t>VIMMERBY</t>
        </is>
      </c>
      <c r="G439" t="n">
        <v>2.3</v>
      </c>
      <c r="H439" t="n">
        <v>0</v>
      </c>
      <c r="I439" t="n">
        <v>0</v>
      </c>
      <c r="J439" t="n">
        <v>0</v>
      </c>
      <c r="K439" t="n">
        <v>0</v>
      </c>
      <c r="L439" t="n">
        <v>0</v>
      </c>
      <c r="M439" t="n">
        <v>0</v>
      </c>
      <c r="N439" t="n">
        <v>0</v>
      </c>
      <c r="O439" t="n">
        <v>0</v>
      </c>
      <c r="P439" t="n">
        <v>0</v>
      </c>
      <c r="Q439" t="n">
        <v>0</v>
      </c>
      <c r="R439" s="2" t="inlineStr"/>
    </row>
    <row r="440" ht="15" customHeight="1">
      <c r="A440" t="inlineStr">
        <is>
          <t>A 71793-2021</t>
        </is>
      </c>
      <c r="B440" s="1" t="n">
        <v>44539</v>
      </c>
      <c r="C440" s="1" t="n">
        <v>46205</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73938-2021</t>
        </is>
      </c>
      <c r="B441" s="1" t="n">
        <v>44553</v>
      </c>
      <c r="C441" s="1" t="n">
        <v>46205</v>
      </c>
      <c r="D441" t="inlineStr">
        <is>
          <t>KALMAR LÄN</t>
        </is>
      </c>
      <c r="E441" t="inlineStr">
        <is>
          <t>VIMMERBY</t>
        </is>
      </c>
      <c r="G441" t="n">
        <v>3.2</v>
      </c>
      <c r="H441" t="n">
        <v>0</v>
      </c>
      <c r="I441" t="n">
        <v>0</v>
      </c>
      <c r="J441" t="n">
        <v>0</v>
      </c>
      <c r="K441" t="n">
        <v>0</v>
      </c>
      <c r="L441" t="n">
        <v>0</v>
      </c>
      <c r="M441" t="n">
        <v>0</v>
      </c>
      <c r="N441" t="n">
        <v>0</v>
      </c>
      <c r="O441" t="n">
        <v>0</v>
      </c>
      <c r="P441" t="n">
        <v>0</v>
      </c>
      <c r="Q441" t="n">
        <v>0</v>
      </c>
      <c r="R441" s="2" t="inlineStr"/>
    </row>
    <row r="442" ht="15" customHeight="1">
      <c r="A442" t="inlineStr">
        <is>
          <t>A 14318-2026</t>
        </is>
      </c>
      <c r="B442" s="1" t="n">
        <v>46099</v>
      </c>
      <c r="C442" s="1" t="n">
        <v>46205</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6069-2023</t>
        </is>
      </c>
      <c r="B443" s="1" t="n">
        <v>44964</v>
      </c>
      <c r="C443" s="1" t="n">
        <v>46205</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15205-2026</t>
        </is>
      </c>
      <c r="B444" s="1" t="n">
        <v>46105</v>
      </c>
      <c r="C444" s="1" t="n">
        <v>46205</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50995-2022</t>
        </is>
      </c>
      <c r="B445" s="1" t="n">
        <v>44867</v>
      </c>
      <c r="C445" s="1" t="n">
        <v>46205</v>
      </c>
      <c r="D445" t="inlineStr">
        <is>
          <t>KALMAR LÄN</t>
        </is>
      </c>
      <c r="E445" t="inlineStr">
        <is>
          <t>VIMMERBY</t>
        </is>
      </c>
      <c r="G445" t="n">
        <v>2.4</v>
      </c>
      <c r="H445" t="n">
        <v>0</v>
      </c>
      <c r="I445" t="n">
        <v>0</v>
      </c>
      <c r="J445" t="n">
        <v>0</v>
      </c>
      <c r="K445" t="n">
        <v>0</v>
      </c>
      <c r="L445" t="n">
        <v>0</v>
      </c>
      <c r="M445" t="n">
        <v>0</v>
      </c>
      <c r="N445" t="n">
        <v>0</v>
      </c>
      <c r="O445" t="n">
        <v>0</v>
      </c>
      <c r="P445" t="n">
        <v>0</v>
      </c>
      <c r="Q445" t="n">
        <v>0</v>
      </c>
      <c r="R445" s="2" t="inlineStr"/>
    </row>
    <row r="446" ht="15" customHeight="1">
      <c r="A446" t="inlineStr">
        <is>
          <t>A 14793-2026</t>
        </is>
      </c>
      <c r="B446" s="1" t="n">
        <v>46101</v>
      </c>
      <c r="C446" s="1" t="n">
        <v>46205</v>
      </c>
      <c r="D446" t="inlineStr">
        <is>
          <t>KALMAR LÄN</t>
        </is>
      </c>
      <c r="E446" t="inlineStr">
        <is>
          <t>VIMMERBY</t>
        </is>
      </c>
      <c r="G446" t="n">
        <v>5.7</v>
      </c>
      <c r="H446" t="n">
        <v>0</v>
      </c>
      <c r="I446" t="n">
        <v>0</v>
      </c>
      <c r="J446" t="n">
        <v>0</v>
      </c>
      <c r="K446" t="n">
        <v>0</v>
      </c>
      <c r="L446" t="n">
        <v>0</v>
      </c>
      <c r="M446" t="n">
        <v>0</v>
      </c>
      <c r="N446" t="n">
        <v>0</v>
      </c>
      <c r="O446" t="n">
        <v>0</v>
      </c>
      <c r="P446" t="n">
        <v>0</v>
      </c>
      <c r="Q446" t="n">
        <v>0</v>
      </c>
      <c r="R446" s="2" t="inlineStr"/>
    </row>
    <row r="447" ht="15" customHeight="1">
      <c r="A447" t="inlineStr">
        <is>
          <t>A 27122-2023</t>
        </is>
      </c>
      <c r="B447" s="1" t="n">
        <v>45096</v>
      </c>
      <c r="C447" s="1" t="n">
        <v>46205</v>
      </c>
      <c r="D447" t="inlineStr">
        <is>
          <t>KALMAR LÄN</t>
        </is>
      </c>
      <c r="E447" t="inlineStr">
        <is>
          <t>VIMMERBY</t>
        </is>
      </c>
      <c r="G447" t="n">
        <v>1.7</v>
      </c>
      <c r="H447" t="n">
        <v>0</v>
      </c>
      <c r="I447" t="n">
        <v>0</v>
      </c>
      <c r="J447" t="n">
        <v>0</v>
      </c>
      <c r="K447" t="n">
        <v>0</v>
      </c>
      <c r="L447" t="n">
        <v>0</v>
      </c>
      <c r="M447" t="n">
        <v>0</v>
      </c>
      <c r="N447" t="n">
        <v>0</v>
      </c>
      <c r="O447" t="n">
        <v>0</v>
      </c>
      <c r="P447" t="n">
        <v>0</v>
      </c>
      <c r="Q447" t="n">
        <v>0</v>
      </c>
      <c r="R447" s="2" t="inlineStr"/>
    </row>
    <row r="448" ht="15" customHeight="1">
      <c r="A448" t="inlineStr">
        <is>
          <t>A 30402-2023</t>
        </is>
      </c>
      <c r="B448" s="1" t="n">
        <v>45111</v>
      </c>
      <c r="C448" s="1" t="n">
        <v>46205</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14792-2026</t>
        </is>
      </c>
      <c r="B449" s="1" t="n">
        <v>46101</v>
      </c>
      <c r="C449" s="1" t="n">
        <v>46205</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47842-2024</t>
        </is>
      </c>
      <c r="B450" s="1" t="n">
        <v>45588</v>
      </c>
      <c r="C450" s="1" t="n">
        <v>46205</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6857-2023</t>
        </is>
      </c>
      <c r="B451" s="1" t="n">
        <v>44967</v>
      </c>
      <c r="C451" s="1" t="n">
        <v>46205</v>
      </c>
      <c r="D451" t="inlineStr">
        <is>
          <t>KALMAR LÄN</t>
        </is>
      </c>
      <c r="E451" t="inlineStr">
        <is>
          <t>VIMMERBY</t>
        </is>
      </c>
      <c r="G451" t="n">
        <v>2.1</v>
      </c>
      <c r="H451" t="n">
        <v>0</v>
      </c>
      <c r="I451" t="n">
        <v>0</v>
      </c>
      <c r="J451" t="n">
        <v>0</v>
      </c>
      <c r="K451" t="n">
        <v>0</v>
      </c>
      <c r="L451" t="n">
        <v>0</v>
      </c>
      <c r="M451" t="n">
        <v>0</v>
      </c>
      <c r="N451" t="n">
        <v>0</v>
      </c>
      <c r="O451" t="n">
        <v>0</v>
      </c>
      <c r="P451" t="n">
        <v>0</v>
      </c>
      <c r="Q451" t="n">
        <v>0</v>
      </c>
      <c r="R451" s="2" t="inlineStr"/>
    </row>
    <row r="452" ht="15" customHeight="1">
      <c r="A452" t="inlineStr">
        <is>
          <t>A 46224-2024</t>
        </is>
      </c>
      <c r="B452" s="1" t="n">
        <v>45581</v>
      </c>
      <c r="C452" s="1" t="n">
        <v>46205</v>
      </c>
      <c r="D452" t="inlineStr">
        <is>
          <t>KALMAR LÄN</t>
        </is>
      </c>
      <c r="E452" t="inlineStr">
        <is>
          <t>VIMMERBY</t>
        </is>
      </c>
      <c r="G452" t="n">
        <v>3.1</v>
      </c>
      <c r="H452" t="n">
        <v>0</v>
      </c>
      <c r="I452" t="n">
        <v>0</v>
      </c>
      <c r="J452" t="n">
        <v>0</v>
      </c>
      <c r="K452" t="n">
        <v>0</v>
      </c>
      <c r="L452" t="n">
        <v>0</v>
      </c>
      <c r="M452" t="n">
        <v>0</v>
      </c>
      <c r="N452" t="n">
        <v>0</v>
      </c>
      <c r="O452" t="n">
        <v>0</v>
      </c>
      <c r="P452" t="n">
        <v>0</v>
      </c>
      <c r="Q452" t="n">
        <v>0</v>
      </c>
      <c r="R452" s="2" t="inlineStr"/>
    </row>
    <row r="453" ht="15" customHeight="1">
      <c r="A453" t="inlineStr">
        <is>
          <t>A 29013-2024</t>
        </is>
      </c>
      <c r="B453" s="1" t="n">
        <v>45481</v>
      </c>
      <c r="C453" s="1" t="n">
        <v>46205</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16183-2026</t>
        </is>
      </c>
      <c r="B454" s="1" t="n">
        <v>46111</v>
      </c>
      <c r="C454" s="1" t="n">
        <v>46205</v>
      </c>
      <c r="D454" t="inlineStr">
        <is>
          <t>KALMAR LÄN</t>
        </is>
      </c>
      <c r="E454" t="inlineStr">
        <is>
          <t>VIMMERBY</t>
        </is>
      </c>
      <c r="G454" t="n">
        <v>1.7</v>
      </c>
      <c r="H454" t="n">
        <v>0</v>
      </c>
      <c r="I454" t="n">
        <v>0</v>
      </c>
      <c r="J454" t="n">
        <v>0</v>
      </c>
      <c r="K454" t="n">
        <v>0</v>
      </c>
      <c r="L454" t="n">
        <v>0</v>
      </c>
      <c r="M454" t="n">
        <v>0</v>
      </c>
      <c r="N454" t="n">
        <v>0</v>
      </c>
      <c r="O454" t="n">
        <v>0</v>
      </c>
      <c r="P454" t="n">
        <v>0</v>
      </c>
      <c r="Q454" t="n">
        <v>0</v>
      </c>
      <c r="R454" s="2" t="inlineStr"/>
    </row>
    <row r="455" ht="15" customHeight="1">
      <c r="A455" t="inlineStr">
        <is>
          <t>A 37028-2024</t>
        </is>
      </c>
      <c r="B455" s="1" t="n">
        <v>45539</v>
      </c>
      <c r="C455" s="1" t="n">
        <v>46205</v>
      </c>
      <c r="D455" t="inlineStr">
        <is>
          <t>KALMAR LÄN</t>
        </is>
      </c>
      <c r="E455" t="inlineStr">
        <is>
          <t>VIMMERBY</t>
        </is>
      </c>
      <c r="G455" t="n">
        <v>5.2</v>
      </c>
      <c r="H455" t="n">
        <v>0</v>
      </c>
      <c r="I455" t="n">
        <v>0</v>
      </c>
      <c r="J455" t="n">
        <v>0</v>
      </c>
      <c r="K455" t="n">
        <v>0</v>
      </c>
      <c r="L455" t="n">
        <v>0</v>
      </c>
      <c r="M455" t="n">
        <v>0</v>
      </c>
      <c r="N455" t="n">
        <v>0</v>
      </c>
      <c r="O455" t="n">
        <v>0</v>
      </c>
      <c r="P455" t="n">
        <v>0</v>
      </c>
      <c r="Q455" t="n">
        <v>0</v>
      </c>
      <c r="R455" s="2" t="inlineStr"/>
    </row>
    <row r="456" ht="15" customHeight="1">
      <c r="A456" t="inlineStr">
        <is>
          <t>A 37187-2024</t>
        </is>
      </c>
      <c r="B456" s="1" t="n">
        <v>45539</v>
      </c>
      <c r="C456" s="1" t="n">
        <v>46205</v>
      </c>
      <c r="D456" t="inlineStr">
        <is>
          <t>KALMAR LÄN</t>
        </is>
      </c>
      <c r="E456" t="inlineStr">
        <is>
          <t>VIMMERBY</t>
        </is>
      </c>
      <c r="G456" t="n">
        <v>2.7</v>
      </c>
      <c r="H456" t="n">
        <v>0</v>
      </c>
      <c r="I456" t="n">
        <v>0</v>
      </c>
      <c r="J456" t="n">
        <v>0</v>
      </c>
      <c r="K456" t="n">
        <v>0</v>
      </c>
      <c r="L456" t="n">
        <v>0</v>
      </c>
      <c r="M456" t="n">
        <v>0</v>
      </c>
      <c r="N456" t="n">
        <v>0</v>
      </c>
      <c r="O456" t="n">
        <v>0</v>
      </c>
      <c r="P456" t="n">
        <v>0</v>
      </c>
      <c r="Q456" t="n">
        <v>0</v>
      </c>
      <c r="R456" s="2" t="inlineStr"/>
    </row>
    <row r="457" ht="15" customHeight="1">
      <c r="A457" t="inlineStr">
        <is>
          <t>A 16632-2026</t>
        </is>
      </c>
      <c r="B457" s="1" t="n">
        <v>46112</v>
      </c>
      <c r="C457" s="1" t="n">
        <v>46205</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16653-2026</t>
        </is>
      </c>
      <c r="B458" s="1" t="n">
        <v>46112</v>
      </c>
      <c r="C458" s="1" t="n">
        <v>46205</v>
      </c>
      <c r="D458" t="inlineStr">
        <is>
          <t>KALMAR LÄN</t>
        </is>
      </c>
      <c r="E458" t="inlineStr">
        <is>
          <t>VIMMERBY</t>
        </is>
      </c>
      <c r="F458" t="inlineStr">
        <is>
          <t>Kommuner</t>
        </is>
      </c>
      <c r="G458" t="n">
        <v>4.4</v>
      </c>
      <c r="H458" t="n">
        <v>0</v>
      </c>
      <c r="I458" t="n">
        <v>0</v>
      </c>
      <c r="J458" t="n">
        <v>0</v>
      </c>
      <c r="K458" t="n">
        <v>0</v>
      </c>
      <c r="L458" t="n">
        <v>0</v>
      </c>
      <c r="M458" t="n">
        <v>0</v>
      </c>
      <c r="N458" t="n">
        <v>0</v>
      </c>
      <c r="O458" t="n">
        <v>0</v>
      </c>
      <c r="P458" t="n">
        <v>0</v>
      </c>
      <c r="Q458" t="n">
        <v>0</v>
      </c>
      <c r="R458" s="2" t="inlineStr"/>
    </row>
    <row r="459" ht="15" customHeight="1">
      <c r="A459" t="inlineStr">
        <is>
          <t>A 16672-2026</t>
        </is>
      </c>
      <c r="B459" s="1" t="n">
        <v>46112</v>
      </c>
      <c r="C459" s="1" t="n">
        <v>46205</v>
      </c>
      <c r="D459" t="inlineStr">
        <is>
          <t>KALMAR LÄN</t>
        </is>
      </c>
      <c r="E459" t="inlineStr">
        <is>
          <t>VIMMERBY</t>
        </is>
      </c>
      <c r="F459" t="inlineStr">
        <is>
          <t>Kommuner</t>
        </is>
      </c>
      <c r="G459" t="n">
        <v>1.4</v>
      </c>
      <c r="H459" t="n">
        <v>0</v>
      </c>
      <c r="I459" t="n">
        <v>0</v>
      </c>
      <c r="J459" t="n">
        <v>0</v>
      </c>
      <c r="K459" t="n">
        <v>0</v>
      </c>
      <c r="L459" t="n">
        <v>0</v>
      </c>
      <c r="M459" t="n">
        <v>0</v>
      </c>
      <c r="N459" t="n">
        <v>0</v>
      </c>
      <c r="O459" t="n">
        <v>0</v>
      </c>
      <c r="P459" t="n">
        <v>0</v>
      </c>
      <c r="Q459" t="n">
        <v>0</v>
      </c>
      <c r="R459" s="2" t="inlineStr"/>
    </row>
    <row r="460" ht="15" customHeight="1">
      <c r="A460" t="inlineStr">
        <is>
          <t>A 16870-2026</t>
        </is>
      </c>
      <c r="B460" s="1" t="n">
        <v>46113</v>
      </c>
      <c r="C460" s="1" t="n">
        <v>46205</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16795-2026</t>
        </is>
      </c>
      <c r="B461" s="1" t="n">
        <v>46113</v>
      </c>
      <c r="C461" s="1" t="n">
        <v>46205</v>
      </c>
      <c r="D461" t="inlineStr">
        <is>
          <t>KALMAR LÄN</t>
        </is>
      </c>
      <c r="E461" t="inlineStr">
        <is>
          <t>VIMMERBY</t>
        </is>
      </c>
      <c r="G461" t="n">
        <v>2.1</v>
      </c>
      <c r="H461" t="n">
        <v>0</v>
      </c>
      <c r="I461" t="n">
        <v>0</v>
      </c>
      <c r="J461" t="n">
        <v>0</v>
      </c>
      <c r="K461" t="n">
        <v>0</v>
      </c>
      <c r="L461" t="n">
        <v>0</v>
      </c>
      <c r="M461" t="n">
        <v>0</v>
      </c>
      <c r="N461" t="n">
        <v>0</v>
      </c>
      <c r="O461" t="n">
        <v>0</v>
      </c>
      <c r="P461" t="n">
        <v>0</v>
      </c>
      <c r="Q461" t="n">
        <v>0</v>
      </c>
      <c r="R461" s="2" t="inlineStr"/>
    </row>
    <row r="462" ht="15" customHeight="1">
      <c r="A462" t="inlineStr">
        <is>
          <t>A 16799-2026</t>
        </is>
      </c>
      <c r="B462" s="1" t="n">
        <v>46113</v>
      </c>
      <c r="C462" s="1" t="n">
        <v>46205</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16801-2026</t>
        </is>
      </c>
      <c r="B463" s="1" t="n">
        <v>46113</v>
      </c>
      <c r="C463" s="1" t="n">
        <v>46205</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16675-2026</t>
        </is>
      </c>
      <c r="B464" s="1" t="n">
        <v>46112</v>
      </c>
      <c r="C464" s="1" t="n">
        <v>46205</v>
      </c>
      <c r="D464" t="inlineStr">
        <is>
          <t>KALMAR LÄN</t>
        </is>
      </c>
      <c r="E464" t="inlineStr">
        <is>
          <t>VIMMERBY</t>
        </is>
      </c>
      <c r="F464" t="inlineStr">
        <is>
          <t>Kommuner</t>
        </is>
      </c>
      <c r="G464" t="n">
        <v>0.8</v>
      </c>
      <c r="H464" t="n">
        <v>0</v>
      </c>
      <c r="I464" t="n">
        <v>0</v>
      </c>
      <c r="J464" t="n">
        <v>0</v>
      </c>
      <c r="K464" t="n">
        <v>0</v>
      </c>
      <c r="L464" t="n">
        <v>0</v>
      </c>
      <c r="M464" t="n">
        <v>0</v>
      </c>
      <c r="N464" t="n">
        <v>0</v>
      </c>
      <c r="O464" t="n">
        <v>0</v>
      </c>
      <c r="P464" t="n">
        <v>0</v>
      </c>
      <c r="Q464" t="n">
        <v>0</v>
      </c>
      <c r="R464" s="2" t="inlineStr"/>
    </row>
    <row r="465" ht="15" customHeight="1">
      <c r="A465" t="inlineStr">
        <is>
          <t>A 16678-2026</t>
        </is>
      </c>
      <c r="B465" s="1" t="n">
        <v>46112</v>
      </c>
      <c r="C465" s="1" t="n">
        <v>46205</v>
      </c>
      <c r="D465" t="inlineStr">
        <is>
          <t>KALMAR LÄN</t>
        </is>
      </c>
      <c r="E465" t="inlineStr">
        <is>
          <t>VIMMERBY</t>
        </is>
      </c>
      <c r="F465" t="inlineStr">
        <is>
          <t>Kommuner</t>
        </is>
      </c>
      <c r="G465" t="n">
        <v>1.6</v>
      </c>
      <c r="H465" t="n">
        <v>0</v>
      </c>
      <c r="I465" t="n">
        <v>0</v>
      </c>
      <c r="J465" t="n">
        <v>0</v>
      </c>
      <c r="K465" t="n">
        <v>0</v>
      </c>
      <c r="L465" t="n">
        <v>0</v>
      </c>
      <c r="M465" t="n">
        <v>0</v>
      </c>
      <c r="N465" t="n">
        <v>0</v>
      </c>
      <c r="O465" t="n">
        <v>0</v>
      </c>
      <c r="P465" t="n">
        <v>0</v>
      </c>
      <c r="Q465" t="n">
        <v>0</v>
      </c>
      <c r="R465" s="2" t="inlineStr"/>
    </row>
    <row r="466" ht="15" customHeight="1">
      <c r="A466" t="inlineStr">
        <is>
          <t>A 12630-2023</t>
        </is>
      </c>
      <c r="B466" s="1" t="n">
        <v>45000</v>
      </c>
      <c r="C466" s="1" t="n">
        <v>46205</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16648-2026</t>
        </is>
      </c>
      <c r="B467" s="1" t="n">
        <v>46112</v>
      </c>
      <c r="C467" s="1" t="n">
        <v>46205</v>
      </c>
      <c r="D467" t="inlineStr">
        <is>
          <t>KALMAR LÄN</t>
        </is>
      </c>
      <c r="E467" t="inlineStr">
        <is>
          <t>VIMMERBY</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16656-2026</t>
        </is>
      </c>
      <c r="B468" s="1" t="n">
        <v>46112</v>
      </c>
      <c r="C468" s="1" t="n">
        <v>46205</v>
      </c>
      <c r="D468" t="inlineStr">
        <is>
          <t>KALMAR LÄN</t>
        </is>
      </c>
      <c r="E468" t="inlineStr">
        <is>
          <t>VIMMERBY</t>
        </is>
      </c>
      <c r="F468" t="inlineStr">
        <is>
          <t>Kommuner</t>
        </is>
      </c>
      <c r="G468" t="n">
        <v>5.5</v>
      </c>
      <c r="H468" t="n">
        <v>0</v>
      </c>
      <c r="I468" t="n">
        <v>0</v>
      </c>
      <c r="J468" t="n">
        <v>0</v>
      </c>
      <c r="K468" t="n">
        <v>0</v>
      </c>
      <c r="L468" t="n">
        <v>0</v>
      </c>
      <c r="M468" t="n">
        <v>0</v>
      </c>
      <c r="N468" t="n">
        <v>0</v>
      </c>
      <c r="O468" t="n">
        <v>0</v>
      </c>
      <c r="P468" t="n">
        <v>0</v>
      </c>
      <c r="Q468" t="n">
        <v>0</v>
      </c>
      <c r="R468" s="2" t="inlineStr"/>
    </row>
    <row r="469" ht="15" customHeight="1">
      <c r="A469" t="inlineStr">
        <is>
          <t>A 39584-2024</t>
        </is>
      </c>
      <c r="B469" s="1" t="n">
        <v>45552</v>
      </c>
      <c r="C469" s="1" t="n">
        <v>46205</v>
      </c>
      <c r="D469" t="inlineStr">
        <is>
          <t>KALMAR LÄN</t>
        </is>
      </c>
      <c r="E469" t="inlineStr">
        <is>
          <t>VIMMERBY</t>
        </is>
      </c>
      <c r="G469" t="n">
        <v>1.9</v>
      </c>
      <c r="H469" t="n">
        <v>0</v>
      </c>
      <c r="I469" t="n">
        <v>0</v>
      </c>
      <c r="J469" t="n">
        <v>0</v>
      </c>
      <c r="K469" t="n">
        <v>0</v>
      </c>
      <c r="L469" t="n">
        <v>0</v>
      </c>
      <c r="M469" t="n">
        <v>0</v>
      </c>
      <c r="N469" t="n">
        <v>0</v>
      </c>
      <c r="O469" t="n">
        <v>0</v>
      </c>
      <c r="P469" t="n">
        <v>0</v>
      </c>
      <c r="Q469" t="n">
        <v>0</v>
      </c>
      <c r="R469" s="2" t="inlineStr"/>
    </row>
    <row r="470" ht="15" customHeight="1">
      <c r="A470" t="inlineStr">
        <is>
          <t>A 16823-2026</t>
        </is>
      </c>
      <c r="B470" s="1" t="n">
        <v>46113</v>
      </c>
      <c r="C470" s="1" t="n">
        <v>46205</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16617-2026</t>
        </is>
      </c>
      <c r="B471" s="1" t="n">
        <v>46112</v>
      </c>
      <c r="C471" s="1" t="n">
        <v>46205</v>
      </c>
      <c r="D471" t="inlineStr">
        <is>
          <t>KALMAR LÄN</t>
        </is>
      </c>
      <c r="E471" t="inlineStr">
        <is>
          <t>VIMMERBY</t>
        </is>
      </c>
      <c r="F471" t="inlineStr">
        <is>
          <t>Kommuner</t>
        </is>
      </c>
      <c r="G471" t="n">
        <v>0.6</v>
      </c>
      <c r="H471" t="n">
        <v>0</v>
      </c>
      <c r="I471" t="n">
        <v>0</v>
      </c>
      <c r="J471" t="n">
        <v>0</v>
      </c>
      <c r="K471" t="n">
        <v>0</v>
      </c>
      <c r="L471" t="n">
        <v>0</v>
      </c>
      <c r="M471" t="n">
        <v>0</v>
      </c>
      <c r="N471" t="n">
        <v>0</v>
      </c>
      <c r="O471" t="n">
        <v>0</v>
      </c>
      <c r="P471" t="n">
        <v>0</v>
      </c>
      <c r="Q471" t="n">
        <v>0</v>
      </c>
      <c r="R471" s="2" t="inlineStr"/>
    </row>
    <row r="472" ht="15" customHeight="1">
      <c r="A472" t="inlineStr">
        <is>
          <t>A 27705-2023</t>
        </is>
      </c>
      <c r="B472" s="1" t="n">
        <v>45098</v>
      </c>
      <c r="C472" s="1" t="n">
        <v>46205</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31013-2023</t>
        </is>
      </c>
      <c r="B473" s="1" t="n">
        <v>45113</v>
      </c>
      <c r="C473" s="1" t="n">
        <v>46205</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33352-2022</t>
        </is>
      </c>
      <c r="B474" s="1" t="n">
        <v>44788</v>
      </c>
      <c r="C474" s="1" t="n">
        <v>46205</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46234-2024</t>
        </is>
      </c>
      <c r="B475" s="1" t="n">
        <v>45581</v>
      </c>
      <c r="C475" s="1" t="n">
        <v>46205</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39053-2024</t>
        </is>
      </c>
      <c r="B476" s="1" t="n">
        <v>45548</v>
      </c>
      <c r="C476" s="1" t="n">
        <v>46205</v>
      </c>
      <c r="D476" t="inlineStr">
        <is>
          <t>KALMAR LÄN</t>
        </is>
      </c>
      <c r="E476" t="inlineStr">
        <is>
          <t>VIMMERBY</t>
        </is>
      </c>
      <c r="G476" t="n">
        <v>5</v>
      </c>
      <c r="H476" t="n">
        <v>0</v>
      </c>
      <c r="I476" t="n">
        <v>0</v>
      </c>
      <c r="J476" t="n">
        <v>0</v>
      </c>
      <c r="K476" t="n">
        <v>0</v>
      </c>
      <c r="L476" t="n">
        <v>0</v>
      </c>
      <c r="M476" t="n">
        <v>0</v>
      </c>
      <c r="N476" t="n">
        <v>0</v>
      </c>
      <c r="O476" t="n">
        <v>0</v>
      </c>
      <c r="P476" t="n">
        <v>0</v>
      </c>
      <c r="Q476" t="n">
        <v>0</v>
      </c>
      <c r="R476" s="2" t="inlineStr"/>
    </row>
    <row r="477" ht="15" customHeight="1">
      <c r="A477" t="inlineStr">
        <is>
          <t>A 15449-2023</t>
        </is>
      </c>
      <c r="B477" s="1" t="n">
        <v>45020</v>
      </c>
      <c r="C477" s="1" t="n">
        <v>46205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43594-2024</t>
        </is>
      </c>
      <c r="B478" s="1" t="n">
        <v>45569</v>
      </c>
      <c r="C478" s="1" t="n">
        <v>46205</v>
      </c>
      <c r="D478" t="inlineStr">
        <is>
          <t>KALMAR LÄN</t>
        </is>
      </c>
      <c r="E478" t="inlineStr">
        <is>
          <t>VIMMERBY</t>
        </is>
      </c>
      <c r="G478" t="n">
        <v>3.9</v>
      </c>
      <c r="H478" t="n">
        <v>0</v>
      </c>
      <c r="I478" t="n">
        <v>0</v>
      </c>
      <c r="J478" t="n">
        <v>0</v>
      </c>
      <c r="K478" t="n">
        <v>0</v>
      </c>
      <c r="L478" t="n">
        <v>0</v>
      </c>
      <c r="M478" t="n">
        <v>0</v>
      </c>
      <c r="N478" t="n">
        <v>0</v>
      </c>
      <c r="O478" t="n">
        <v>0</v>
      </c>
      <c r="P478" t="n">
        <v>0</v>
      </c>
      <c r="Q478" t="n">
        <v>0</v>
      </c>
      <c r="R478" s="2" t="inlineStr"/>
    </row>
    <row r="479" ht="15" customHeight="1">
      <c r="A479" t="inlineStr">
        <is>
          <t>A 17486-2024</t>
        </is>
      </c>
      <c r="B479" s="1" t="n">
        <v>45415</v>
      </c>
      <c r="C479" s="1" t="n">
        <v>46205</v>
      </c>
      <c r="D479" t="inlineStr">
        <is>
          <t>KALMAR LÄN</t>
        </is>
      </c>
      <c r="E479" t="inlineStr">
        <is>
          <t>VIMMERBY</t>
        </is>
      </c>
      <c r="G479" t="n">
        <v>2.6</v>
      </c>
      <c r="H479" t="n">
        <v>0</v>
      </c>
      <c r="I479" t="n">
        <v>0</v>
      </c>
      <c r="J479" t="n">
        <v>0</v>
      </c>
      <c r="K479" t="n">
        <v>0</v>
      </c>
      <c r="L479" t="n">
        <v>0</v>
      </c>
      <c r="M479" t="n">
        <v>0</v>
      </c>
      <c r="N479" t="n">
        <v>0</v>
      </c>
      <c r="O479" t="n">
        <v>0</v>
      </c>
      <c r="P479" t="n">
        <v>0</v>
      </c>
      <c r="Q479" t="n">
        <v>0</v>
      </c>
      <c r="R479" s="2" t="inlineStr"/>
    </row>
    <row r="480" ht="15" customHeight="1">
      <c r="A480" t="inlineStr">
        <is>
          <t>A 14248-2023</t>
        </is>
      </c>
      <c r="B480" s="1" t="n">
        <v>45009</v>
      </c>
      <c r="C480" s="1" t="n">
        <v>46205</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17713-2026</t>
        </is>
      </c>
      <c r="B481" s="1" t="n">
        <v>46121</v>
      </c>
      <c r="C481" s="1" t="n">
        <v>46205</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30400-2023</t>
        </is>
      </c>
      <c r="B482" s="1" t="n">
        <v>45111</v>
      </c>
      <c r="C482" s="1" t="n">
        <v>46205</v>
      </c>
      <c r="D482" t="inlineStr">
        <is>
          <t>KALMAR LÄN</t>
        </is>
      </c>
      <c r="E482" t="inlineStr">
        <is>
          <t>VIMMERBY</t>
        </is>
      </c>
      <c r="G482" t="n">
        <v>2.7</v>
      </c>
      <c r="H482" t="n">
        <v>0</v>
      </c>
      <c r="I482" t="n">
        <v>0</v>
      </c>
      <c r="J482" t="n">
        <v>0</v>
      </c>
      <c r="K482" t="n">
        <v>0</v>
      </c>
      <c r="L482" t="n">
        <v>0</v>
      </c>
      <c r="M482" t="n">
        <v>0</v>
      </c>
      <c r="N482" t="n">
        <v>0</v>
      </c>
      <c r="O482" t="n">
        <v>0</v>
      </c>
      <c r="P482" t="n">
        <v>0</v>
      </c>
      <c r="Q482" t="n">
        <v>0</v>
      </c>
      <c r="R482" s="2" t="inlineStr"/>
    </row>
    <row r="483" ht="15" customHeight="1">
      <c r="A483" t="inlineStr">
        <is>
          <t>A 30404-2023</t>
        </is>
      </c>
      <c r="B483" s="1" t="n">
        <v>45111</v>
      </c>
      <c r="C483" s="1" t="n">
        <v>46205</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55123-2024</t>
        </is>
      </c>
      <c r="B484" s="1" t="n">
        <v>45621</v>
      </c>
      <c r="C484" s="1" t="n">
        <v>46205</v>
      </c>
      <c r="D484" t="inlineStr">
        <is>
          <t>KALMAR LÄN</t>
        </is>
      </c>
      <c r="E484" t="inlineStr">
        <is>
          <t>VIMMERBY</t>
        </is>
      </c>
      <c r="G484" t="n">
        <v>3.1</v>
      </c>
      <c r="H484" t="n">
        <v>0</v>
      </c>
      <c r="I484" t="n">
        <v>0</v>
      </c>
      <c r="J484" t="n">
        <v>0</v>
      </c>
      <c r="K484" t="n">
        <v>0</v>
      </c>
      <c r="L484" t="n">
        <v>0</v>
      </c>
      <c r="M484" t="n">
        <v>0</v>
      </c>
      <c r="N484" t="n">
        <v>0</v>
      </c>
      <c r="O484" t="n">
        <v>0</v>
      </c>
      <c r="P484" t="n">
        <v>0</v>
      </c>
      <c r="Q484" t="n">
        <v>0</v>
      </c>
      <c r="R484" s="2" t="inlineStr"/>
    </row>
    <row r="485" ht="15" customHeight="1">
      <c r="A485" t="inlineStr">
        <is>
          <t>A 31405-2023</t>
        </is>
      </c>
      <c r="B485" s="1" t="n">
        <v>45114</v>
      </c>
      <c r="C485" s="1" t="n">
        <v>46205</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24707-2024</t>
        </is>
      </c>
      <c r="B486" s="1" t="n">
        <v>45460</v>
      </c>
      <c r="C486" s="1" t="n">
        <v>46205</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18122-2026</t>
        </is>
      </c>
      <c r="B487" s="1" t="n">
        <v>46125</v>
      </c>
      <c r="C487" s="1" t="n">
        <v>46205</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36049-2024</t>
        </is>
      </c>
      <c r="B488" s="1" t="n">
        <v>45533</v>
      </c>
      <c r="C488" s="1" t="n">
        <v>46205</v>
      </c>
      <c r="D488" t="inlineStr">
        <is>
          <t>KALMAR LÄN</t>
        </is>
      </c>
      <c r="E488" t="inlineStr">
        <is>
          <t>VIMMERBY</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14359-2025</t>
        </is>
      </c>
      <c r="B489" s="1" t="n">
        <v>45741</v>
      </c>
      <c r="C489" s="1" t="n">
        <v>46205</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39578-2024</t>
        </is>
      </c>
      <c r="B490" s="1" t="n">
        <v>45552</v>
      </c>
      <c r="C490" s="1" t="n">
        <v>46205</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62779-2023</t>
        </is>
      </c>
      <c r="B491" s="1" t="n">
        <v>45271</v>
      </c>
      <c r="C491" s="1" t="n">
        <v>46205</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3425-2022</t>
        </is>
      </c>
      <c r="B492" s="1" t="n">
        <v>44585</v>
      </c>
      <c r="C492" s="1" t="n">
        <v>46205</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43962-2024</t>
        </is>
      </c>
      <c r="B493" s="1" t="n">
        <v>45572</v>
      </c>
      <c r="C493" s="1" t="n">
        <v>46205</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12810-2023</t>
        </is>
      </c>
      <c r="B494" s="1" t="n">
        <v>45001</v>
      </c>
      <c r="C494" s="1" t="n">
        <v>46205</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43068-2023</t>
        </is>
      </c>
      <c r="B495" s="1" t="n">
        <v>45182</v>
      </c>
      <c r="C495" s="1" t="n">
        <v>46205</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24932-2026</t>
        </is>
      </c>
      <c r="B496" s="1" t="n">
        <v>46174</v>
      </c>
      <c r="C496" s="1" t="n">
        <v>46205</v>
      </c>
      <c r="D496" t="inlineStr">
        <is>
          <t>KALMAR LÄN</t>
        </is>
      </c>
      <c r="E496" t="inlineStr">
        <is>
          <t>VIMMERBY</t>
        </is>
      </c>
      <c r="G496" t="n">
        <v>2.3</v>
      </c>
      <c r="H496" t="n">
        <v>0</v>
      </c>
      <c r="I496" t="n">
        <v>0</v>
      </c>
      <c r="J496" t="n">
        <v>0</v>
      </c>
      <c r="K496" t="n">
        <v>0</v>
      </c>
      <c r="L496" t="n">
        <v>0</v>
      </c>
      <c r="M496" t="n">
        <v>0</v>
      </c>
      <c r="N496" t="n">
        <v>0</v>
      </c>
      <c r="O496" t="n">
        <v>0</v>
      </c>
      <c r="P496" t="n">
        <v>0</v>
      </c>
      <c r="Q496" t="n">
        <v>0</v>
      </c>
      <c r="R496" s="2" t="inlineStr"/>
    </row>
    <row r="497" ht="15" customHeight="1">
      <c r="A497" t="inlineStr">
        <is>
          <t>A 12075-2024</t>
        </is>
      </c>
      <c r="B497" s="1" t="n">
        <v>45377</v>
      </c>
      <c r="C497" s="1" t="n">
        <v>46205</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18633-2026</t>
        </is>
      </c>
      <c r="B498" s="1" t="n">
        <v>46128</v>
      </c>
      <c r="C498" s="1" t="n">
        <v>46205</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2462-2022</t>
        </is>
      </c>
      <c r="B499" s="1" t="n">
        <v>44579</v>
      </c>
      <c r="C499" s="1" t="n">
        <v>46205</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13015-2022</t>
        </is>
      </c>
      <c r="B500" s="1" t="n">
        <v>44643</v>
      </c>
      <c r="C500" s="1" t="n">
        <v>46205</v>
      </c>
      <c r="D500" t="inlineStr">
        <is>
          <t>KALMAR LÄN</t>
        </is>
      </c>
      <c r="E500" t="inlineStr">
        <is>
          <t>VIMMERBY</t>
        </is>
      </c>
      <c r="G500" t="n">
        <v>2.4</v>
      </c>
      <c r="H500" t="n">
        <v>0</v>
      </c>
      <c r="I500" t="n">
        <v>0</v>
      </c>
      <c r="J500" t="n">
        <v>0</v>
      </c>
      <c r="K500" t="n">
        <v>0</v>
      </c>
      <c r="L500" t="n">
        <v>0</v>
      </c>
      <c r="M500" t="n">
        <v>0</v>
      </c>
      <c r="N500" t="n">
        <v>0</v>
      </c>
      <c r="O500" t="n">
        <v>0</v>
      </c>
      <c r="P500" t="n">
        <v>0</v>
      </c>
      <c r="Q500" t="n">
        <v>0</v>
      </c>
      <c r="R500" s="2" t="inlineStr"/>
    </row>
    <row r="501" ht="15" customHeight="1">
      <c r="A501" t="inlineStr">
        <is>
          <t>A 4624-2024</t>
        </is>
      </c>
      <c r="B501" s="1" t="n">
        <v>45328</v>
      </c>
      <c r="C501" s="1" t="n">
        <v>46205</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9129-2025</t>
        </is>
      </c>
      <c r="B502" s="1" t="n">
        <v>45713</v>
      </c>
      <c r="C502" s="1" t="n">
        <v>46205</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24930-2026</t>
        </is>
      </c>
      <c r="B503" s="1" t="n">
        <v>46174</v>
      </c>
      <c r="C503" s="1" t="n">
        <v>46205</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22643-2023</t>
        </is>
      </c>
      <c r="B504" s="1" t="n">
        <v>45071</v>
      </c>
      <c r="C504" s="1" t="n">
        <v>46205</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25194-2026</t>
        </is>
      </c>
      <c r="B505" s="1" t="n">
        <v>46175</v>
      </c>
      <c r="C505" s="1" t="n">
        <v>46205</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25106-2026</t>
        </is>
      </c>
      <c r="B506" s="1" t="n">
        <v>46175</v>
      </c>
      <c r="C506" s="1" t="n">
        <v>46205</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25284-2026</t>
        </is>
      </c>
      <c r="B507" s="1" t="n">
        <v>46176</v>
      </c>
      <c r="C507" s="1" t="n">
        <v>46205</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25105-2026</t>
        </is>
      </c>
      <c r="B508" s="1" t="n">
        <v>46175</v>
      </c>
      <c r="C508" s="1" t="n">
        <v>46205</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25345-2026</t>
        </is>
      </c>
      <c r="B509" s="1" t="n">
        <v>46176</v>
      </c>
      <c r="C509" s="1" t="n">
        <v>46205</v>
      </c>
      <c r="D509" t="inlineStr">
        <is>
          <t>KALMAR LÄN</t>
        </is>
      </c>
      <c r="E509" t="inlineStr">
        <is>
          <t>VIMMERBY</t>
        </is>
      </c>
      <c r="G509" t="n">
        <v>1.9</v>
      </c>
      <c r="H509" t="n">
        <v>0</v>
      </c>
      <c r="I509" t="n">
        <v>0</v>
      </c>
      <c r="J509" t="n">
        <v>0</v>
      </c>
      <c r="K509" t="n">
        <v>0</v>
      </c>
      <c r="L509" t="n">
        <v>0</v>
      </c>
      <c r="M509" t="n">
        <v>0</v>
      </c>
      <c r="N509" t="n">
        <v>0</v>
      </c>
      <c r="O509" t="n">
        <v>0</v>
      </c>
      <c r="P509" t="n">
        <v>0</v>
      </c>
      <c r="Q509" t="n">
        <v>0</v>
      </c>
      <c r="R509" s="2" t="inlineStr"/>
    </row>
    <row r="510" ht="15" customHeight="1">
      <c r="A510" t="inlineStr">
        <is>
          <t>A 34597-2022</t>
        </is>
      </c>
      <c r="B510" s="1" t="n">
        <v>44795</v>
      </c>
      <c r="C510" s="1" t="n">
        <v>46205</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40079-2023</t>
        </is>
      </c>
      <c r="B511" s="1" t="n">
        <v>45168</v>
      </c>
      <c r="C511" s="1" t="n">
        <v>46205</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25395-2026</t>
        </is>
      </c>
      <c r="B512" s="1" t="n">
        <v>46176</v>
      </c>
      <c r="C512" s="1" t="n">
        <v>46205</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19833-2023</t>
        </is>
      </c>
      <c r="B513" s="1" t="n">
        <v>45052</v>
      </c>
      <c r="C513" s="1" t="n">
        <v>46205</v>
      </c>
      <c r="D513" t="inlineStr">
        <is>
          <t>KALMAR LÄN</t>
        </is>
      </c>
      <c r="E513" t="inlineStr">
        <is>
          <t>VIMMERBY</t>
        </is>
      </c>
      <c r="G513" t="n">
        <v>6.7</v>
      </c>
      <c r="H513" t="n">
        <v>0</v>
      </c>
      <c r="I513" t="n">
        <v>0</v>
      </c>
      <c r="J513" t="n">
        <v>0</v>
      </c>
      <c r="K513" t="n">
        <v>0</v>
      </c>
      <c r="L513" t="n">
        <v>0</v>
      </c>
      <c r="M513" t="n">
        <v>0</v>
      </c>
      <c r="N513" t="n">
        <v>0</v>
      </c>
      <c r="O513" t="n">
        <v>0</v>
      </c>
      <c r="P513" t="n">
        <v>0</v>
      </c>
      <c r="Q513" t="n">
        <v>0</v>
      </c>
      <c r="R513" s="2" t="inlineStr"/>
    </row>
    <row r="514" ht="15" customHeight="1">
      <c r="A514" t="inlineStr">
        <is>
          <t>A 25158-2026</t>
        </is>
      </c>
      <c r="B514" s="1" t="n">
        <v>46175</v>
      </c>
      <c r="C514" s="1" t="n">
        <v>46205</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37866-2025</t>
        </is>
      </c>
      <c r="B515" s="1" t="n">
        <v>45881</v>
      </c>
      <c r="C515" s="1" t="n">
        <v>46205</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20018-2026</t>
        </is>
      </c>
      <c r="B516" s="1" t="n">
        <v>46136</v>
      </c>
      <c r="C516" s="1" t="n">
        <v>46205</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56022-2024</t>
        </is>
      </c>
      <c r="B517" s="1" t="n">
        <v>45623</v>
      </c>
      <c r="C517" s="1" t="n">
        <v>46205</v>
      </c>
      <c r="D517" t="inlineStr">
        <is>
          <t>KALMAR LÄN</t>
        </is>
      </c>
      <c r="E517" t="inlineStr">
        <is>
          <t>VIMMERBY</t>
        </is>
      </c>
      <c r="G517" t="n">
        <v>0.3</v>
      </c>
      <c r="H517" t="n">
        <v>0</v>
      </c>
      <c r="I517" t="n">
        <v>0</v>
      </c>
      <c r="J517" t="n">
        <v>0</v>
      </c>
      <c r="K517" t="n">
        <v>0</v>
      </c>
      <c r="L517" t="n">
        <v>0</v>
      </c>
      <c r="M517" t="n">
        <v>0</v>
      </c>
      <c r="N517" t="n">
        <v>0</v>
      </c>
      <c r="O517" t="n">
        <v>0</v>
      </c>
      <c r="P517" t="n">
        <v>0</v>
      </c>
      <c r="Q517" t="n">
        <v>0</v>
      </c>
      <c r="R517" s="2" t="inlineStr"/>
    </row>
    <row r="518" ht="15" customHeight="1">
      <c r="A518" t="inlineStr">
        <is>
          <t>A 45114-2025</t>
        </is>
      </c>
      <c r="B518" s="1" t="n">
        <v>45919</v>
      </c>
      <c r="C518" s="1" t="n">
        <v>46205</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11928-2022</t>
        </is>
      </c>
      <c r="B519" s="1" t="n">
        <v>44635</v>
      </c>
      <c r="C519" s="1" t="n">
        <v>46205</v>
      </c>
      <c r="D519" t="inlineStr">
        <is>
          <t>KALMAR LÄN</t>
        </is>
      </c>
      <c r="E519" t="inlineStr">
        <is>
          <t>VIMMERBY</t>
        </is>
      </c>
      <c r="G519" t="n">
        <v>2.8</v>
      </c>
      <c r="H519" t="n">
        <v>0</v>
      </c>
      <c r="I519" t="n">
        <v>0</v>
      </c>
      <c r="J519" t="n">
        <v>0</v>
      </c>
      <c r="K519" t="n">
        <v>0</v>
      </c>
      <c r="L519" t="n">
        <v>0</v>
      </c>
      <c r="M519" t="n">
        <v>0</v>
      </c>
      <c r="N519" t="n">
        <v>0</v>
      </c>
      <c r="O519" t="n">
        <v>0</v>
      </c>
      <c r="P519" t="n">
        <v>0</v>
      </c>
      <c r="Q519" t="n">
        <v>0</v>
      </c>
      <c r="R519" s="2" t="inlineStr"/>
    </row>
    <row r="520" ht="15" customHeight="1">
      <c r="A520" t="inlineStr">
        <is>
          <t>A 52294-2023</t>
        </is>
      </c>
      <c r="B520" s="1" t="n">
        <v>45224</v>
      </c>
      <c r="C520" s="1" t="n">
        <v>46205</v>
      </c>
      <c r="D520" t="inlineStr">
        <is>
          <t>KALMAR LÄN</t>
        </is>
      </c>
      <c r="E520" t="inlineStr">
        <is>
          <t>VIMMERBY</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25830-2025</t>
        </is>
      </c>
      <c r="B521" s="1" t="n">
        <v>45804</v>
      </c>
      <c r="C521" s="1" t="n">
        <v>46205</v>
      </c>
      <c r="D521" t="inlineStr">
        <is>
          <t>KALMAR LÄN</t>
        </is>
      </c>
      <c r="E521" t="inlineStr">
        <is>
          <t>VIMMERBY</t>
        </is>
      </c>
      <c r="G521" t="n">
        <v>4.9</v>
      </c>
      <c r="H521" t="n">
        <v>0</v>
      </c>
      <c r="I521" t="n">
        <v>0</v>
      </c>
      <c r="J521" t="n">
        <v>0</v>
      </c>
      <c r="K521" t="n">
        <v>0</v>
      </c>
      <c r="L521" t="n">
        <v>0</v>
      </c>
      <c r="M521" t="n">
        <v>0</v>
      </c>
      <c r="N521" t="n">
        <v>0</v>
      </c>
      <c r="O521" t="n">
        <v>0</v>
      </c>
      <c r="P521" t="n">
        <v>0</v>
      </c>
      <c r="Q521" t="n">
        <v>0</v>
      </c>
      <c r="R521" s="2" t="inlineStr"/>
    </row>
    <row r="522" ht="15" customHeight="1">
      <c r="A522" t="inlineStr">
        <is>
          <t>A 36273-2025</t>
        </is>
      </c>
      <c r="B522" s="1" t="n">
        <v>45867</v>
      </c>
      <c r="C522" s="1" t="n">
        <v>46205</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36282-2025</t>
        </is>
      </c>
      <c r="B523" s="1" t="n">
        <v>45867</v>
      </c>
      <c r="C523" s="1" t="n">
        <v>46205</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31876-2025</t>
        </is>
      </c>
      <c r="B524" s="1" t="n">
        <v>45834</v>
      </c>
      <c r="C524" s="1" t="n">
        <v>46205</v>
      </c>
      <c r="D524" t="inlineStr">
        <is>
          <t>KALMAR LÄN</t>
        </is>
      </c>
      <c r="E524" t="inlineStr">
        <is>
          <t>VIMMERBY</t>
        </is>
      </c>
      <c r="F524" t="inlineStr">
        <is>
          <t>Sveaskog</t>
        </is>
      </c>
      <c r="G524" t="n">
        <v>3.3</v>
      </c>
      <c r="H524" t="n">
        <v>0</v>
      </c>
      <c r="I524" t="n">
        <v>0</v>
      </c>
      <c r="J524" t="n">
        <v>0</v>
      </c>
      <c r="K524" t="n">
        <v>0</v>
      </c>
      <c r="L524" t="n">
        <v>0</v>
      </c>
      <c r="M524" t="n">
        <v>0</v>
      </c>
      <c r="N524" t="n">
        <v>0</v>
      </c>
      <c r="O524" t="n">
        <v>0</v>
      </c>
      <c r="P524" t="n">
        <v>0</v>
      </c>
      <c r="Q524" t="n">
        <v>0</v>
      </c>
      <c r="R524" s="2" t="inlineStr"/>
    </row>
    <row r="525" ht="15" customHeight="1">
      <c r="A525" t="inlineStr">
        <is>
          <t>A 58159-2024</t>
        </is>
      </c>
      <c r="B525" s="1" t="n">
        <v>45632</v>
      </c>
      <c r="C525" s="1" t="n">
        <v>46205</v>
      </c>
      <c r="D525" t="inlineStr">
        <is>
          <t>KALMAR LÄN</t>
        </is>
      </c>
      <c r="E525" t="inlineStr">
        <is>
          <t>VIMMERBY</t>
        </is>
      </c>
      <c r="G525" t="n">
        <v>7.5</v>
      </c>
      <c r="H525" t="n">
        <v>0</v>
      </c>
      <c r="I525" t="n">
        <v>0</v>
      </c>
      <c r="J525" t="n">
        <v>0</v>
      </c>
      <c r="K525" t="n">
        <v>0</v>
      </c>
      <c r="L525" t="n">
        <v>0</v>
      </c>
      <c r="M525" t="n">
        <v>0</v>
      </c>
      <c r="N525" t="n">
        <v>0</v>
      </c>
      <c r="O525" t="n">
        <v>0</v>
      </c>
      <c r="P525" t="n">
        <v>0</v>
      </c>
      <c r="Q525" t="n">
        <v>0</v>
      </c>
      <c r="R525" s="2" t="inlineStr"/>
    </row>
    <row r="526" ht="15" customHeight="1">
      <c r="A526" t="inlineStr">
        <is>
          <t>A 49461-2023</t>
        </is>
      </c>
      <c r="B526" s="1" t="n">
        <v>45211</v>
      </c>
      <c r="C526" s="1" t="n">
        <v>46205</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49474-2023</t>
        </is>
      </c>
      <c r="B527" s="1" t="n">
        <v>45211</v>
      </c>
      <c r="C527" s="1" t="n">
        <v>46205</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61861-2024</t>
        </is>
      </c>
      <c r="B528" s="1" t="n">
        <v>45650</v>
      </c>
      <c r="C528" s="1" t="n">
        <v>46205</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20017-2026</t>
        </is>
      </c>
      <c r="B529" s="1" t="n">
        <v>46136</v>
      </c>
      <c r="C529" s="1" t="n">
        <v>46205</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28282-2025</t>
        </is>
      </c>
      <c r="B530" s="1" t="n">
        <v>45818</v>
      </c>
      <c r="C530" s="1" t="n">
        <v>46205</v>
      </c>
      <c r="D530" t="inlineStr">
        <is>
          <t>KALMAR LÄN</t>
        </is>
      </c>
      <c r="E530" t="inlineStr">
        <is>
          <t>VIMMERBY</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45846-2023</t>
        </is>
      </c>
      <c r="B531" s="1" t="n">
        <v>45195</v>
      </c>
      <c r="C531" s="1" t="n">
        <v>46205</v>
      </c>
      <c r="D531" t="inlineStr">
        <is>
          <t>KALMAR LÄN</t>
        </is>
      </c>
      <c r="E531" t="inlineStr">
        <is>
          <t>VIMMERBY</t>
        </is>
      </c>
      <c r="G531" t="n">
        <v>0.7</v>
      </c>
      <c r="H531" t="n">
        <v>0</v>
      </c>
      <c r="I531" t="n">
        <v>0</v>
      </c>
      <c r="J531" t="n">
        <v>0</v>
      </c>
      <c r="K531" t="n">
        <v>0</v>
      </c>
      <c r="L531" t="n">
        <v>0</v>
      </c>
      <c r="M531" t="n">
        <v>0</v>
      </c>
      <c r="N531" t="n">
        <v>0</v>
      </c>
      <c r="O531" t="n">
        <v>0</v>
      </c>
      <c r="P531" t="n">
        <v>0</v>
      </c>
      <c r="Q531" t="n">
        <v>0</v>
      </c>
      <c r="R531" s="2" t="inlineStr"/>
    </row>
    <row r="532" ht="15" customHeight="1">
      <c r="A532" t="inlineStr">
        <is>
          <t>A 16015-2025</t>
        </is>
      </c>
      <c r="B532" s="1" t="n">
        <v>45749</v>
      </c>
      <c r="C532" s="1" t="n">
        <v>46205</v>
      </c>
      <c r="D532" t="inlineStr">
        <is>
          <t>KALMAR LÄN</t>
        </is>
      </c>
      <c r="E532" t="inlineStr">
        <is>
          <t>VIMMERBY</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8167-2024</t>
        </is>
      </c>
      <c r="B533" s="1" t="n">
        <v>45351</v>
      </c>
      <c r="C533" s="1" t="n">
        <v>46205</v>
      </c>
      <c r="D533" t="inlineStr">
        <is>
          <t>KALMAR LÄN</t>
        </is>
      </c>
      <c r="E533" t="inlineStr">
        <is>
          <t>VIMMERBY</t>
        </is>
      </c>
      <c r="G533" t="n">
        <v>3.8</v>
      </c>
      <c r="H533" t="n">
        <v>0</v>
      </c>
      <c r="I533" t="n">
        <v>0</v>
      </c>
      <c r="J533" t="n">
        <v>0</v>
      </c>
      <c r="K533" t="n">
        <v>0</v>
      </c>
      <c r="L533" t="n">
        <v>0</v>
      </c>
      <c r="M533" t="n">
        <v>0</v>
      </c>
      <c r="N533" t="n">
        <v>0</v>
      </c>
      <c r="O533" t="n">
        <v>0</v>
      </c>
      <c r="P533" t="n">
        <v>0</v>
      </c>
      <c r="Q533" t="n">
        <v>0</v>
      </c>
      <c r="R533" s="2" t="inlineStr"/>
    </row>
    <row r="534" ht="15" customHeight="1">
      <c r="A534" t="inlineStr">
        <is>
          <t>A 49382-2023</t>
        </is>
      </c>
      <c r="B534" s="1" t="n">
        <v>45208</v>
      </c>
      <c r="C534" s="1" t="n">
        <v>46205</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35846-2023</t>
        </is>
      </c>
      <c r="B535" s="1" t="n">
        <v>45148</v>
      </c>
      <c r="C535" s="1" t="n">
        <v>46205</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35913-2023</t>
        </is>
      </c>
      <c r="B536" s="1" t="n">
        <v>45148</v>
      </c>
      <c r="C536" s="1" t="n">
        <v>46205</v>
      </c>
      <c r="D536" t="inlineStr">
        <is>
          <t>KALMAR LÄN</t>
        </is>
      </c>
      <c r="E536" t="inlineStr">
        <is>
          <t>VIMMERBY</t>
        </is>
      </c>
      <c r="G536" t="n">
        <v>6.9</v>
      </c>
      <c r="H536" t="n">
        <v>0</v>
      </c>
      <c r="I536" t="n">
        <v>0</v>
      </c>
      <c r="J536" t="n">
        <v>0</v>
      </c>
      <c r="K536" t="n">
        <v>0</v>
      </c>
      <c r="L536" t="n">
        <v>0</v>
      </c>
      <c r="M536" t="n">
        <v>0</v>
      </c>
      <c r="N536" t="n">
        <v>0</v>
      </c>
      <c r="O536" t="n">
        <v>0</v>
      </c>
      <c r="P536" t="n">
        <v>0</v>
      </c>
      <c r="Q536" t="n">
        <v>0</v>
      </c>
      <c r="R536" s="2" t="inlineStr"/>
    </row>
    <row r="537" ht="15" customHeight="1">
      <c r="A537" t="inlineStr">
        <is>
          <t>A 38757-2023</t>
        </is>
      </c>
      <c r="B537" s="1" t="n">
        <v>45163</v>
      </c>
      <c r="C537" s="1" t="n">
        <v>46205</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29727-2025</t>
        </is>
      </c>
      <c r="B538" s="1" t="n">
        <v>45825</v>
      </c>
      <c r="C538" s="1" t="n">
        <v>46205</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24283-2023</t>
        </is>
      </c>
      <c r="B539" s="1" t="n">
        <v>45079</v>
      </c>
      <c r="C539" s="1" t="n">
        <v>46205</v>
      </c>
      <c r="D539" t="inlineStr">
        <is>
          <t>KALMAR LÄN</t>
        </is>
      </c>
      <c r="E539" t="inlineStr">
        <is>
          <t>VIMMERBY</t>
        </is>
      </c>
      <c r="G539" t="n">
        <v>2</v>
      </c>
      <c r="H539" t="n">
        <v>0</v>
      </c>
      <c r="I539" t="n">
        <v>0</v>
      </c>
      <c r="J539" t="n">
        <v>0</v>
      </c>
      <c r="K539" t="n">
        <v>0</v>
      </c>
      <c r="L539" t="n">
        <v>0</v>
      </c>
      <c r="M539" t="n">
        <v>0</v>
      </c>
      <c r="N539" t="n">
        <v>0</v>
      </c>
      <c r="O539" t="n">
        <v>0</v>
      </c>
      <c r="P539" t="n">
        <v>0</v>
      </c>
      <c r="Q539" t="n">
        <v>0</v>
      </c>
      <c r="R539" s="2" t="inlineStr"/>
    </row>
    <row r="540" ht="15" customHeight="1">
      <c r="A540" t="inlineStr">
        <is>
          <t>A 29783-2024</t>
        </is>
      </c>
      <c r="B540" s="1" t="n">
        <v>45485</v>
      </c>
      <c r="C540" s="1" t="n">
        <v>46205</v>
      </c>
      <c r="D540" t="inlineStr">
        <is>
          <t>KALMAR LÄN</t>
        </is>
      </c>
      <c r="E540" t="inlineStr">
        <is>
          <t>VIMMERBY</t>
        </is>
      </c>
      <c r="G540" t="n">
        <v>3.1</v>
      </c>
      <c r="H540" t="n">
        <v>0</v>
      </c>
      <c r="I540" t="n">
        <v>0</v>
      </c>
      <c r="J540" t="n">
        <v>0</v>
      </c>
      <c r="K540" t="n">
        <v>0</v>
      </c>
      <c r="L540" t="n">
        <v>0</v>
      </c>
      <c r="M540" t="n">
        <v>0</v>
      </c>
      <c r="N540" t="n">
        <v>0</v>
      </c>
      <c r="O540" t="n">
        <v>0</v>
      </c>
      <c r="P540" t="n">
        <v>0</v>
      </c>
      <c r="Q540" t="n">
        <v>0</v>
      </c>
      <c r="R540" s="2" t="inlineStr"/>
    </row>
    <row r="541" ht="15" customHeight="1">
      <c r="A541" t="inlineStr">
        <is>
          <t>A 46118-2025</t>
        </is>
      </c>
      <c r="B541" s="1" t="n">
        <v>45924</v>
      </c>
      <c r="C541" s="1" t="n">
        <v>46205</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45854-2025</t>
        </is>
      </c>
      <c r="B542" s="1" t="n">
        <v>45923</v>
      </c>
      <c r="C542" s="1" t="n">
        <v>46205</v>
      </c>
      <c r="D542" t="inlineStr">
        <is>
          <t>KALMAR LÄN</t>
        </is>
      </c>
      <c r="E542" t="inlineStr">
        <is>
          <t>VIMMERBY</t>
        </is>
      </c>
      <c r="G542" t="n">
        <v>2.2</v>
      </c>
      <c r="H542" t="n">
        <v>0</v>
      </c>
      <c r="I542" t="n">
        <v>0</v>
      </c>
      <c r="J542" t="n">
        <v>0</v>
      </c>
      <c r="K542" t="n">
        <v>0</v>
      </c>
      <c r="L542" t="n">
        <v>0</v>
      </c>
      <c r="M542" t="n">
        <v>0</v>
      </c>
      <c r="N542" t="n">
        <v>0</v>
      </c>
      <c r="O542" t="n">
        <v>0</v>
      </c>
      <c r="P542" t="n">
        <v>0</v>
      </c>
      <c r="Q542" t="n">
        <v>0</v>
      </c>
      <c r="R542" s="2" t="inlineStr"/>
    </row>
    <row r="543" ht="15" customHeight="1">
      <c r="A543" t="inlineStr">
        <is>
          <t>A 59598-2023</t>
        </is>
      </c>
      <c r="B543" s="1" t="n">
        <v>45254</v>
      </c>
      <c r="C543" s="1" t="n">
        <v>46205</v>
      </c>
      <c r="D543" t="inlineStr">
        <is>
          <t>KALMAR LÄN</t>
        </is>
      </c>
      <c r="E543" t="inlineStr">
        <is>
          <t>VIMMERBY</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30920-2023</t>
        </is>
      </c>
      <c r="B544" s="1" t="n">
        <v>45113</v>
      </c>
      <c r="C544" s="1" t="n">
        <v>46205</v>
      </c>
      <c r="D544" t="inlineStr">
        <is>
          <t>KALMAR LÄN</t>
        </is>
      </c>
      <c r="E544" t="inlineStr">
        <is>
          <t>VIMMERBY</t>
        </is>
      </c>
      <c r="G544" t="n">
        <v>3.1</v>
      </c>
      <c r="H544" t="n">
        <v>0</v>
      </c>
      <c r="I544" t="n">
        <v>0</v>
      </c>
      <c r="J544" t="n">
        <v>0</v>
      </c>
      <c r="K544" t="n">
        <v>0</v>
      </c>
      <c r="L544" t="n">
        <v>0</v>
      </c>
      <c r="M544" t="n">
        <v>0</v>
      </c>
      <c r="N544" t="n">
        <v>0</v>
      </c>
      <c r="O544" t="n">
        <v>0</v>
      </c>
      <c r="P544" t="n">
        <v>0</v>
      </c>
      <c r="Q544" t="n">
        <v>0</v>
      </c>
      <c r="R544" s="2" t="inlineStr"/>
    </row>
    <row r="545" ht="15" customHeight="1">
      <c r="A545" t="inlineStr">
        <is>
          <t>A 60215-2022</t>
        </is>
      </c>
      <c r="B545" s="1" t="n">
        <v>44910</v>
      </c>
      <c r="C545" s="1" t="n">
        <v>46205</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20-2025</t>
        </is>
      </c>
      <c r="B546" s="1" t="n">
        <v>45658</v>
      </c>
      <c r="C546" s="1" t="n">
        <v>46205</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6028-2023</t>
        </is>
      </c>
      <c r="B547" s="1" t="n">
        <v>44964</v>
      </c>
      <c r="C547" s="1" t="n">
        <v>46205</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40929-2022</t>
        </is>
      </c>
      <c r="B548" s="1" t="n">
        <v>44825</v>
      </c>
      <c r="C548" s="1" t="n">
        <v>46205</v>
      </c>
      <c r="D548" t="inlineStr">
        <is>
          <t>KALMAR LÄN</t>
        </is>
      </c>
      <c r="E548" t="inlineStr">
        <is>
          <t>VIMMERBY</t>
        </is>
      </c>
      <c r="G548" t="n">
        <v>2.5</v>
      </c>
      <c r="H548" t="n">
        <v>0</v>
      </c>
      <c r="I548" t="n">
        <v>0</v>
      </c>
      <c r="J548" t="n">
        <v>0</v>
      </c>
      <c r="K548" t="n">
        <v>0</v>
      </c>
      <c r="L548" t="n">
        <v>0</v>
      </c>
      <c r="M548" t="n">
        <v>0</v>
      </c>
      <c r="N548" t="n">
        <v>0</v>
      </c>
      <c r="O548" t="n">
        <v>0</v>
      </c>
      <c r="P548" t="n">
        <v>0</v>
      </c>
      <c r="Q548" t="n">
        <v>0</v>
      </c>
      <c r="R548" s="2" t="inlineStr"/>
    </row>
    <row r="549" ht="15" customHeight="1">
      <c r="A549" t="inlineStr">
        <is>
          <t>A 33380-2023</t>
        </is>
      </c>
      <c r="B549" s="1" t="n">
        <v>45128</v>
      </c>
      <c r="C549" s="1" t="n">
        <v>46205</v>
      </c>
      <c r="D549" t="inlineStr">
        <is>
          <t>KALMAR LÄN</t>
        </is>
      </c>
      <c r="E549" t="inlineStr">
        <is>
          <t>VIMMERBY</t>
        </is>
      </c>
      <c r="G549" t="n">
        <v>5.2</v>
      </c>
      <c r="H549" t="n">
        <v>0</v>
      </c>
      <c r="I549" t="n">
        <v>0</v>
      </c>
      <c r="J549" t="n">
        <v>0</v>
      </c>
      <c r="K549" t="n">
        <v>0</v>
      </c>
      <c r="L549" t="n">
        <v>0</v>
      </c>
      <c r="M549" t="n">
        <v>0</v>
      </c>
      <c r="N549" t="n">
        <v>0</v>
      </c>
      <c r="O549" t="n">
        <v>0</v>
      </c>
      <c r="P549" t="n">
        <v>0</v>
      </c>
      <c r="Q549" t="n">
        <v>0</v>
      </c>
      <c r="R549" s="2" t="inlineStr"/>
    </row>
    <row r="550" ht="15" customHeight="1">
      <c r="A550" t="inlineStr">
        <is>
          <t>A 46144-2023</t>
        </is>
      </c>
      <c r="B550" s="1" t="n">
        <v>45196</v>
      </c>
      <c r="C550" s="1" t="n">
        <v>46205</v>
      </c>
      <c r="D550" t="inlineStr">
        <is>
          <t>KALMAR LÄN</t>
        </is>
      </c>
      <c r="E550" t="inlineStr">
        <is>
          <t>VIMMERBY</t>
        </is>
      </c>
      <c r="G550" t="n">
        <v>6.5</v>
      </c>
      <c r="H550" t="n">
        <v>0</v>
      </c>
      <c r="I550" t="n">
        <v>0</v>
      </c>
      <c r="J550" t="n">
        <v>0</v>
      </c>
      <c r="K550" t="n">
        <v>0</v>
      </c>
      <c r="L550" t="n">
        <v>0</v>
      </c>
      <c r="M550" t="n">
        <v>0</v>
      </c>
      <c r="N550" t="n">
        <v>0</v>
      </c>
      <c r="O550" t="n">
        <v>0</v>
      </c>
      <c r="P550" t="n">
        <v>0</v>
      </c>
      <c r="Q550" t="n">
        <v>0</v>
      </c>
      <c r="R550" s="2" t="inlineStr"/>
    </row>
    <row r="551" ht="15" customHeight="1">
      <c r="A551" t="inlineStr">
        <is>
          <t>A 42850-2022</t>
        </is>
      </c>
      <c r="B551" s="1" t="n">
        <v>44832</v>
      </c>
      <c r="C551" s="1" t="n">
        <v>46205</v>
      </c>
      <c r="D551" t="inlineStr">
        <is>
          <t>KALMAR LÄN</t>
        </is>
      </c>
      <c r="E551" t="inlineStr">
        <is>
          <t>VIMMERBY</t>
        </is>
      </c>
      <c r="G551" t="n">
        <v>5.9</v>
      </c>
      <c r="H551" t="n">
        <v>0</v>
      </c>
      <c r="I551" t="n">
        <v>0</v>
      </c>
      <c r="J551" t="n">
        <v>0</v>
      </c>
      <c r="K551" t="n">
        <v>0</v>
      </c>
      <c r="L551" t="n">
        <v>0</v>
      </c>
      <c r="M551" t="n">
        <v>0</v>
      </c>
      <c r="N551" t="n">
        <v>0</v>
      </c>
      <c r="O551" t="n">
        <v>0</v>
      </c>
      <c r="P551" t="n">
        <v>0</v>
      </c>
      <c r="Q551" t="n">
        <v>0</v>
      </c>
      <c r="R551" s="2" t="inlineStr"/>
    </row>
    <row r="552" ht="15" customHeight="1">
      <c r="A552" t="inlineStr">
        <is>
          <t>A 54787-2023</t>
        </is>
      </c>
      <c r="B552" s="1" t="n">
        <v>45236</v>
      </c>
      <c r="C552" s="1" t="n">
        <v>46205</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15715-2022</t>
        </is>
      </c>
      <c r="B553" s="1" t="n">
        <v>44663</v>
      </c>
      <c r="C553" s="1" t="n">
        <v>46205</v>
      </c>
      <c r="D553" t="inlineStr">
        <is>
          <t>KALMAR LÄN</t>
        </is>
      </c>
      <c r="E553" t="inlineStr">
        <is>
          <t>VIMMERBY</t>
        </is>
      </c>
      <c r="G553" t="n">
        <v>2.3</v>
      </c>
      <c r="H553" t="n">
        <v>0</v>
      </c>
      <c r="I553" t="n">
        <v>0</v>
      </c>
      <c r="J553" t="n">
        <v>0</v>
      </c>
      <c r="K553" t="n">
        <v>0</v>
      </c>
      <c r="L553" t="n">
        <v>0</v>
      </c>
      <c r="M553" t="n">
        <v>0</v>
      </c>
      <c r="N553" t="n">
        <v>0</v>
      </c>
      <c r="O553" t="n">
        <v>0</v>
      </c>
      <c r="P553" t="n">
        <v>0</v>
      </c>
      <c r="Q553" t="n">
        <v>0</v>
      </c>
      <c r="R553" s="2" t="inlineStr"/>
    </row>
    <row r="554" ht="15" customHeight="1">
      <c r="A554" t="inlineStr">
        <is>
          <t>A 43774-2023</t>
        </is>
      </c>
      <c r="B554" s="1" t="n">
        <v>45187</v>
      </c>
      <c r="C554" s="1" t="n">
        <v>46205</v>
      </c>
      <c r="D554" t="inlineStr">
        <is>
          <t>KALMAR LÄN</t>
        </is>
      </c>
      <c r="E554" t="inlineStr">
        <is>
          <t>VIMMERBY</t>
        </is>
      </c>
      <c r="G554" t="n">
        <v>3.4</v>
      </c>
      <c r="H554" t="n">
        <v>0</v>
      </c>
      <c r="I554" t="n">
        <v>0</v>
      </c>
      <c r="J554" t="n">
        <v>0</v>
      </c>
      <c r="K554" t="n">
        <v>0</v>
      </c>
      <c r="L554" t="n">
        <v>0</v>
      </c>
      <c r="M554" t="n">
        <v>0</v>
      </c>
      <c r="N554" t="n">
        <v>0</v>
      </c>
      <c r="O554" t="n">
        <v>0</v>
      </c>
      <c r="P554" t="n">
        <v>0</v>
      </c>
      <c r="Q554" t="n">
        <v>0</v>
      </c>
      <c r="R554" s="2" t="inlineStr"/>
    </row>
    <row r="555" ht="15" customHeight="1">
      <c r="A555" t="inlineStr">
        <is>
          <t>A 26254-2025</t>
        </is>
      </c>
      <c r="B555" s="1" t="n">
        <v>45805</v>
      </c>
      <c r="C555" s="1" t="n">
        <v>46205</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43705-2023</t>
        </is>
      </c>
      <c r="B556" s="1" t="n">
        <v>45187</v>
      </c>
      <c r="C556" s="1" t="n">
        <v>46205</v>
      </c>
      <c r="D556" t="inlineStr">
        <is>
          <t>KALMAR LÄN</t>
        </is>
      </c>
      <c r="E556" t="inlineStr">
        <is>
          <t>VIMMERBY</t>
        </is>
      </c>
      <c r="G556" t="n">
        <v>1.2</v>
      </c>
      <c r="H556" t="n">
        <v>0</v>
      </c>
      <c r="I556" t="n">
        <v>0</v>
      </c>
      <c r="J556" t="n">
        <v>0</v>
      </c>
      <c r="K556" t="n">
        <v>0</v>
      </c>
      <c r="L556" t="n">
        <v>0</v>
      </c>
      <c r="M556" t="n">
        <v>0</v>
      </c>
      <c r="N556" t="n">
        <v>0</v>
      </c>
      <c r="O556" t="n">
        <v>0</v>
      </c>
      <c r="P556" t="n">
        <v>0</v>
      </c>
      <c r="Q556" t="n">
        <v>0</v>
      </c>
      <c r="R556" s="2" t="inlineStr"/>
    </row>
    <row r="557" ht="15" customHeight="1">
      <c r="A557" t="inlineStr">
        <is>
          <t>A 7932-2025</t>
        </is>
      </c>
      <c r="B557" s="1" t="n">
        <v>45707</v>
      </c>
      <c r="C557" s="1" t="n">
        <v>46205</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1978-2024</t>
        </is>
      </c>
      <c r="B558" s="1" t="n">
        <v>45308</v>
      </c>
      <c r="C558" s="1" t="n">
        <v>46205</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6399-2025</t>
        </is>
      </c>
      <c r="B559" s="1" t="n">
        <v>45699</v>
      </c>
      <c r="C559" s="1" t="n">
        <v>46205</v>
      </c>
      <c r="D559" t="inlineStr">
        <is>
          <t>KALMAR LÄN</t>
        </is>
      </c>
      <c r="E559" t="inlineStr">
        <is>
          <t>VIMMERBY</t>
        </is>
      </c>
      <c r="G559" t="n">
        <v>3.1</v>
      </c>
      <c r="H559" t="n">
        <v>0</v>
      </c>
      <c r="I559" t="n">
        <v>0</v>
      </c>
      <c r="J559" t="n">
        <v>0</v>
      </c>
      <c r="K559" t="n">
        <v>0</v>
      </c>
      <c r="L559" t="n">
        <v>0</v>
      </c>
      <c r="M559" t="n">
        <v>0</v>
      </c>
      <c r="N559" t="n">
        <v>0</v>
      </c>
      <c r="O559" t="n">
        <v>0</v>
      </c>
      <c r="P559" t="n">
        <v>0</v>
      </c>
      <c r="Q559" t="n">
        <v>0</v>
      </c>
      <c r="R559" s="2" t="inlineStr"/>
    </row>
    <row r="560" ht="15" customHeight="1">
      <c r="A560" t="inlineStr">
        <is>
          <t>A 41311-2023</t>
        </is>
      </c>
      <c r="B560" s="1" t="n">
        <v>45174</v>
      </c>
      <c r="C560" s="1" t="n">
        <v>46205</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52465-2025</t>
        </is>
      </c>
      <c r="B561" s="1" t="n">
        <v>45954</v>
      </c>
      <c r="C561" s="1" t="n">
        <v>46205</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26029-2026</t>
        </is>
      </c>
      <c r="B562" s="1" t="n">
        <v>46181</v>
      </c>
      <c r="C562" s="1" t="n">
        <v>46205</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10785-2025</t>
        </is>
      </c>
      <c r="B563" s="1" t="n">
        <v>45722</v>
      </c>
      <c r="C563" s="1" t="n">
        <v>46205</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18020-2025</t>
        </is>
      </c>
      <c r="B564" s="1" t="n">
        <v>45761</v>
      </c>
      <c r="C564" s="1" t="n">
        <v>46205</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585-2024</t>
        </is>
      </c>
      <c r="B565" s="1" t="n">
        <v>45299</v>
      </c>
      <c r="C565" s="1" t="n">
        <v>46205</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6802-2025</t>
        </is>
      </c>
      <c r="B566" s="1" t="n">
        <v>45700</v>
      </c>
      <c r="C566" s="1" t="n">
        <v>46205</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56020-2024</t>
        </is>
      </c>
      <c r="B567" s="1" t="n">
        <v>45623</v>
      </c>
      <c r="C567" s="1" t="n">
        <v>46205</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33842-2022</t>
        </is>
      </c>
      <c r="B568" s="1" t="n">
        <v>44790</v>
      </c>
      <c r="C568" s="1" t="n">
        <v>46205</v>
      </c>
      <c r="D568" t="inlineStr">
        <is>
          <t>KALMAR LÄN</t>
        </is>
      </c>
      <c r="E568" t="inlineStr">
        <is>
          <t>VIMMERBY</t>
        </is>
      </c>
      <c r="G568" t="n">
        <v>1.6</v>
      </c>
      <c r="H568" t="n">
        <v>0</v>
      </c>
      <c r="I568" t="n">
        <v>0</v>
      </c>
      <c r="J568" t="n">
        <v>0</v>
      </c>
      <c r="K568" t="n">
        <v>0</v>
      </c>
      <c r="L568" t="n">
        <v>0</v>
      </c>
      <c r="M568" t="n">
        <v>0</v>
      </c>
      <c r="N568" t="n">
        <v>0</v>
      </c>
      <c r="O568" t="n">
        <v>0</v>
      </c>
      <c r="P568" t="n">
        <v>0</v>
      </c>
      <c r="Q568" t="n">
        <v>0</v>
      </c>
      <c r="R568" s="2" t="inlineStr"/>
    </row>
    <row r="569" ht="15" customHeight="1">
      <c r="A569" t="inlineStr">
        <is>
          <t>A 60675-2023</t>
        </is>
      </c>
      <c r="B569" s="1" t="n">
        <v>45260</v>
      </c>
      <c r="C569" s="1" t="n">
        <v>46205</v>
      </c>
      <c r="D569" t="inlineStr">
        <is>
          <t>KALMAR LÄN</t>
        </is>
      </c>
      <c r="E569" t="inlineStr">
        <is>
          <t>VIMMERBY</t>
        </is>
      </c>
      <c r="G569" t="n">
        <v>1.2</v>
      </c>
      <c r="H569" t="n">
        <v>0</v>
      </c>
      <c r="I569" t="n">
        <v>0</v>
      </c>
      <c r="J569" t="n">
        <v>0</v>
      </c>
      <c r="K569" t="n">
        <v>0</v>
      </c>
      <c r="L569" t="n">
        <v>0</v>
      </c>
      <c r="M569" t="n">
        <v>0</v>
      </c>
      <c r="N569" t="n">
        <v>0</v>
      </c>
      <c r="O569" t="n">
        <v>0</v>
      </c>
      <c r="P569" t="n">
        <v>0</v>
      </c>
      <c r="Q569" t="n">
        <v>0</v>
      </c>
      <c r="R569" s="2" t="inlineStr"/>
    </row>
    <row r="570" ht="15" customHeight="1">
      <c r="A570" t="inlineStr">
        <is>
          <t>A 59579-2025</t>
        </is>
      </c>
      <c r="B570" s="1" t="n">
        <v>45992</v>
      </c>
      <c r="C570" s="1" t="n">
        <v>46205</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40095-2022</t>
        </is>
      </c>
      <c r="B571" s="1" t="n">
        <v>44820</v>
      </c>
      <c r="C571" s="1" t="n">
        <v>46205</v>
      </c>
      <c r="D571" t="inlineStr">
        <is>
          <t>KALMAR LÄN</t>
        </is>
      </c>
      <c r="E571" t="inlineStr">
        <is>
          <t>VIMMERBY</t>
        </is>
      </c>
      <c r="G571" t="n">
        <v>2.4</v>
      </c>
      <c r="H571" t="n">
        <v>0</v>
      </c>
      <c r="I571" t="n">
        <v>0</v>
      </c>
      <c r="J571" t="n">
        <v>0</v>
      </c>
      <c r="K571" t="n">
        <v>0</v>
      </c>
      <c r="L571" t="n">
        <v>0</v>
      </c>
      <c r="M571" t="n">
        <v>0</v>
      </c>
      <c r="N571" t="n">
        <v>0</v>
      </c>
      <c r="O571" t="n">
        <v>0</v>
      </c>
      <c r="P571" t="n">
        <v>0</v>
      </c>
      <c r="Q571" t="n">
        <v>0</v>
      </c>
      <c r="R571" s="2" t="inlineStr"/>
    </row>
    <row r="572" ht="15" customHeight="1">
      <c r="A572" t="inlineStr">
        <is>
          <t>A 19537-2022</t>
        </is>
      </c>
      <c r="B572" s="1" t="n">
        <v>44693</v>
      </c>
      <c r="C572" s="1" t="n">
        <v>46205</v>
      </c>
      <c r="D572" t="inlineStr">
        <is>
          <t>KALMAR LÄN</t>
        </is>
      </c>
      <c r="E572" t="inlineStr">
        <is>
          <t>VIMMERBY</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57311-2023</t>
        </is>
      </c>
      <c r="B573" s="1" t="n">
        <v>45245</v>
      </c>
      <c r="C573" s="1" t="n">
        <v>46205</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37088-2025</t>
        </is>
      </c>
      <c r="B574" s="1" t="n">
        <v>45875</v>
      </c>
      <c r="C574" s="1" t="n">
        <v>46205</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37102-2025</t>
        </is>
      </c>
      <c r="B575" s="1" t="n">
        <v>45875</v>
      </c>
      <c r="C575" s="1" t="n">
        <v>46205</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64428-2023</t>
        </is>
      </c>
      <c r="B576" s="1" t="n">
        <v>45280</v>
      </c>
      <c r="C576" s="1" t="n">
        <v>46205</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4527-2023</t>
        </is>
      </c>
      <c r="B577" s="1" t="n">
        <v>44956</v>
      </c>
      <c r="C577" s="1" t="n">
        <v>46205</v>
      </c>
      <c r="D577" t="inlineStr">
        <is>
          <t>KALMAR LÄN</t>
        </is>
      </c>
      <c r="E577" t="inlineStr">
        <is>
          <t>VIMMERBY</t>
        </is>
      </c>
      <c r="F577" t="inlineStr">
        <is>
          <t>Kommuner</t>
        </is>
      </c>
      <c r="G577" t="n">
        <v>8.5</v>
      </c>
      <c r="H577" t="n">
        <v>0</v>
      </c>
      <c r="I577" t="n">
        <v>0</v>
      </c>
      <c r="J577" t="n">
        <v>0</v>
      </c>
      <c r="K577" t="n">
        <v>0</v>
      </c>
      <c r="L577" t="n">
        <v>0</v>
      </c>
      <c r="M577" t="n">
        <v>0</v>
      </c>
      <c r="N577" t="n">
        <v>0</v>
      </c>
      <c r="O577" t="n">
        <v>0</v>
      </c>
      <c r="P577" t="n">
        <v>0</v>
      </c>
      <c r="Q577" t="n">
        <v>0</v>
      </c>
      <c r="R577" s="2" t="inlineStr"/>
    </row>
    <row r="578" ht="15" customHeight="1">
      <c r="A578" t="inlineStr">
        <is>
          <t>A 3268-2024</t>
        </is>
      </c>
      <c r="B578" s="1" t="n">
        <v>45317</v>
      </c>
      <c r="C578" s="1" t="n">
        <v>46205</v>
      </c>
      <c r="D578" t="inlineStr">
        <is>
          <t>KALMAR LÄN</t>
        </is>
      </c>
      <c r="E578" t="inlineStr">
        <is>
          <t>VIMMERBY</t>
        </is>
      </c>
      <c r="F578" t="inlineStr">
        <is>
          <t>Övriga Aktiebolag</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19111-2025</t>
        </is>
      </c>
      <c r="B579" s="1" t="n">
        <v>45768</v>
      </c>
      <c r="C579" s="1" t="n">
        <v>46205</v>
      </c>
      <c r="D579" t="inlineStr">
        <is>
          <t>KALMAR LÄN</t>
        </is>
      </c>
      <c r="E579" t="inlineStr">
        <is>
          <t>VIMMERBY</t>
        </is>
      </c>
      <c r="G579" t="n">
        <v>6.2</v>
      </c>
      <c r="H579" t="n">
        <v>0</v>
      </c>
      <c r="I579" t="n">
        <v>0</v>
      </c>
      <c r="J579" t="n">
        <v>0</v>
      </c>
      <c r="K579" t="n">
        <v>0</v>
      </c>
      <c r="L579" t="n">
        <v>0</v>
      </c>
      <c r="M579" t="n">
        <v>0</v>
      </c>
      <c r="N579" t="n">
        <v>0</v>
      </c>
      <c r="O579" t="n">
        <v>0</v>
      </c>
      <c r="P579" t="n">
        <v>0</v>
      </c>
      <c r="Q579" t="n">
        <v>0</v>
      </c>
      <c r="R579" s="2" t="inlineStr"/>
    </row>
    <row r="580" ht="15" customHeight="1">
      <c r="A580" t="inlineStr">
        <is>
          <t>A 51408-2023</t>
        </is>
      </c>
      <c r="B580" s="1" t="n">
        <v>45219</v>
      </c>
      <c r="C580" s="1" t="n">
        <v>46205</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23394-2025</t>
        </is>
      </c>
      <c r="B581" s="1" t="n">
        <v>45791</v>
      </c>
      <c r="C581" s="1" t="n">
        <v>46205</v>
      </c>
      <c r="D581" t="inlineStr">
        <is>
          <t>KALMAR LÄN</t>
        </is>
      </c>
      <c r="E581" t="inlineStr">
        <is>
          <t>VIMMERBY</t>
        </is>
      </c>
      <c r="G581" t="n">
        <v>3.1</v>
      </c>
      <c r="H581" t="n">
        <v>0</v>
      </c>
      <c r="I581" t="n">
        <v>0</v>
      </c>
      <c r="J581" t="n">
        <v>0</v>
      </c>
      <c r="K581" t="n">
        <v>0</v>
      </c>
      <c r="L581" t="n">
        <v>0</v>
      </c>
      <c r="M581" t="n">
        <v>0</v>
      </c>
      <c r="N581" t="n">
        <v>0</v>
      </c>
      <c r="O581" t="n">
        <v>0</v>
      </c>
      <c r="P581" t="n">
        <v>0</v>
      </c>
      <c r="Q581" t="n">
        <v>0</v>
      </c>
      <c r="R581" s="2" t="inlineStr"/>
    </row>
    <row r="582" ht="15" customHeight="1">
      <c r="A582" t="inlineStr">
        <is>
          <t>A 52588-2023</t>
        </is>
      </c>
      <c r="B582" s="1" t="n">
        <v>45225</v>
      </c>
      <c r="C582" s="1" t="n">
        <v>46205</v>
      </c>
      <c r="D582" t="inlineStr">
        <is>
          <t>KALMAR LÄN</t>
        </is>
      </c>
      <c r="E582" t="inlineStr">
        <is>
          <t>VIMMERBY</t>
        </is>
      </c>
      <c r="G582" t="n">
        <v>2.9</v>
      </c>
      <c r="H582" t="n">
        <v>0</v>
      </c>
      <c r="I582" t="n">
        <v>0</v>
      </c>
      <c r="J582" t="n">
        <v>0</v>
      </c>
      <c r="K582" t="n">
        <v>0</v>
      </c>
      <c r="L582" t="n">
        <v>0</v>
      </c>
      <c r="M582" t="n">
        <v>0</v>
      </c>
      <c r="N582" t="n">
        <v>0</v>
      </c>
      <c r="O582" t="n">
        <v>0</v>
      </c>
      <c r="P582" t="n">
        <v>0</v>
      </c>
      <c r="Q582" t="n">
        <v>0</v>
      </c>
      <c r="R582" s="2" t="inlineStr"/>
    </row>
    <row r="583" ht="15" customHeight="1">
      <c r="A583" t="inlineStr">
        <is>
          <t>A 55236-2023</t>
        </is>
      </c>
      <c r="B583" s="1" t="n">
        <v>45237</v>
      </c>
      <c r="C583" s="1" t="n">
        <v>46205</v>
      </c>
      <c r="D583" t="inlineStr">
        <is>
          <t>KALMAR LÄN</t>
        </is>
      </c>
      <c r="E583" t="inlineStr">
        <is>
          <t>VIMMERBY</t>
        </is>
      </c>
      <c r="G583" t="n">
        <v>1.1</v>
      </c>
      <c r="H583" t="n">
        <v>0</v>
      </c>
      <c r="I583" t="n">
        <v>0</v>
      </c>
      <c r="J583" t="n">
        <v>0</v>
      </c>
      <c r="K583" t="n">
        <v>0</v>
      </c>
      <c r="L583" t="n">
        <v>0</v>
      </c>
      <c r="M583" t="n">
        <v>0</v>
      </c>
      <c r="N583" t="n">
        <v>0</v>
      </c>
      <c r="O583" t="n">
        <v>0</v>
      </c>
      <c r="P583" t="n">
        <v>0</v>
      </c>
      <c r="Q583" t="n">
        <v>0</v>
      </c>
      <c r="R583" s="2" t="inlineStr"/>
    </row>
    <row r="584" ht="15" customHeight="1">
      <c r="A584" t="inlineStr">
        <is>
          <t>A 55245-2023</t>
        </is>
      </c>
      <c r="B584" s="1" t="n">
        <v>45237</v>
      </c>
      <c r="C584" s="1" t="n">
        <v>46205</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25370-2022</t>
        </is>
      </c>
      <c r="B585" s="1" t="n">
        <v>44732</v>
      </c>
      <c r="C585" s="1" t="n">
        <v>46205</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33838-2022</t>
        </is>
      </c>
      <c r="B586" s="1" t="n">
        <v>44790</v>
      </c>
      <c r="C586" s="1" t="n">
        <v>46205</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4058-2024</t>
        </is>
      </c>
      <c r="B587" s="1" t="n">
        <v>45323</v>
      </c>
      <c r="C587" s="1" t="n">
        <v>46205</v>
      </c>
      <c r="D587" t="inlineStr">
        <is>
          <t>KALMAR LÄN</t>
        </is>
      </c>
      <c r="E587" t="inlineStr">
        <is>
          <t>VIMMERBY</t>
        </is>
      </c>
      <c r="G587" t="n">
        <v>6.5</v>
      </c>
      <c r="H587" t="n">
        <v>0</v>
      </c>
      <c r="I587" t="n">
        <v>0</v>
      </c>
      <c r="J587" t="n">
        <v>0</v>
      </c>
      <c r="K587" t="n">
        <v>0</v>
      </c>
      <c r="L587" t="n">
        <v>0</v>
      </c>
      <c r="M587" t="n">
        <v>0</v>
      </c>
      <c r="N587" t="n">
        <v>0</v>
      </c>
      <c r="O587" t="n">
        <v>0</v>
      </c>
      <c r="P587" t="n">
        <v>0</v>
      </c>
      <c r="Q587" t="n">
        <v>0</v>
      </c>
      <c r="R587" s="2" t="inlineStr"/>
    </row>
    <row r="588" ht="15" customHeight="1">
      <c r="A588" t="inlineStr">
        <is>
          <t>A 36008-2024</t>
        </is>
      </c>
      <c r="B588" s="1" t="n">
        <v>45533</v>
      </c>
      <c r="C588" s="1" t="n">
        <v>46205</v>
      </c>
      <c r="D588" t="inlineStr">
        <is>
          <t>KALMAR LÄN</t>
        </is>
      </c>
      <c r="E588" t="inlineStr">
        <is>
          <t>VIMMERBY</t>
        </is>
      </c>
      <c r="G588" t="n">
        <v>3.7</v>
      </c>
      <c r="H588" t="n">
        <v>0</v>
      </c>
      <c r="I588" t="n">
        <v>0</v>
      </c>
      <c r="J588" t="n">
        <v>0</v>
      </c>
      <c r="K588" t="n">
        <v>0</v>
      </c>
      <c r="L588" t="n">
        <v>0</v>
      </c>
      <c r="M588" t="n">
        <v>0</v>
      </c>
      <c r="N588" t="n">
        <v>0</v>
      </c>
      <c r="O588" t="n">
        <v>0</v>
      </c>
      <c r="P588" t="n">
        <v>0</v>
      </c>
      <c r="Q588" t="n">
        <v>0</v>
      </c>
      <c r="R588" s="2" t="inlineStr"/>
    </row>
    <row r="589" ht="15" customHeight="1">
      <c r="A589" t="inlineStr">
        <is>
          <t>A 8540-2024</t>
        </is>
      </c>
      <c r="B589" s="1" t="n">
        <v>45355</v>
      </c>
      <c r="C589" s="1" t="n">
        <v>46205</v>
      </c>
      <c r="D589" t="inlineStr">
        <is>
          <t>KALMAR LÄN</t>
        </is>
      </c>
      <c r="E589" t="inlineStr">
        <is>
          <t>VIMMERBY</t>
        </is>
      </c>
      <c r="G589" t="n">
        <v>1.9</v>
      </c>
      <c r="H589" t="n">
        <v>0</v>
      </c>
      <c r="I589" t="n">
        <v>0</v>
      </c>
      <c r="J589" t="n">
        <v>0</v>
      </c>
      <c r="K589" t="n">
        <v>0</v>
      </c>
      <c r="L589" t="n">
        <v>0</v>
      </c>
      <c r="M589" t="n">
        <v>0</v>
      </c>
      <c r="N589" t="n">
        <v>0</v>
      </c>
      <c r="O589" t="n">
        <v>0</v>
      </c>
      <c r="P589" t="n">
        <v>0</v>
      </c>
      <c r="Q589" t="n">
        <v>0</v>
      </c>
      <c r="R589" s="2" t="inlineStr"/>
    </row>
    <row r="590" ht="15" customHeight="1">
      <c r="A590" t="inlineStr">
        <is>
          <t>A 9623-2024</t>
        </is>
      </c>
      <c r="B590" s="1" t="n">
        <v>45361</v>
      </c>
      <c r="C590" s="1" t="n">
        <v>46205</v>
      </c>
      <c r="D590" t="inlineStr">
        <is>
          <t>KALMAR LÄN</t>
        </is>
      </c>
      <c r="E590" t="inlineStr">
        <is>
          <t>VIMMERBY</t>
        </is>
      </c>
      <c r="G590" t="n">
        <v>1.6</v>
      </c>
      <c r="H590" t="n">
        <v>0</v>
      </c>
      <c r="I590" t="n">
        <v>0</v>
      </c>
      <c r="J590" t="n">
        <v>0</v>
      </c>
      <c r="K590" t="n">
        <v>0</v>
      </c>
      <c r="L590" t="n">
        <v>0</v>
      </c>
      <c r="M590" t="n">
        <v>0</v>
      </c>
      <c r="N590" t="n">
        <v>0</v>
      </c>
      <c r="O590" t="n">
        <v>0</v>
      </c>
      <c r="P590" t="n">
        <v>0</v>
      </c>
      <c r="Q590" t="n">
        <v>0</v>
      </c>
      <c r="R590" s="2" t="inlineStr"/>
    </row>
    <row r="591" ht="15" customHeight="1">
      <c r="A591" t="inlineStr">
        <is>
          <t>A 5146-2024</t>
        </is>
      </c>
      <c r="B591" s="1" t="n">
        <v>45330</v>
      </c>
      <c r="C591" s="1" t="n">
        <v>46205</v>
      </c>
      <c r="D591" t="inlineStr">
        <is>
          <t>KALMAR LÄN</t>
        </is>
      </c>
      <c r="E591" t="inlineStr">
        <is>
          <t>VIMMERBY</t>
        </is>
      </c>
      <c r="G591" t="n">
        <v>5.3</v>
      </c>
      <c r="H591" t="n">
        <v>0</v>
      </c>
      <c r="I591" t="n">
        <v>0</v>
      </c>
      <c r="J591" t="n">
        <v>0</v>
      </c>
      <c r="K591" t="n">
        <v>0</v>
      </c>
      <c r="L591" t="n">
        <v>0</v>
      </c>
      <c r="M591" t="n">
        <v>0</v>
      </c>
      <c r="N591" t="n">
        <v>0</v>
      </c>
      <c r="O591" t="n">
        <v>0</v>
      </c>
      <c r="P591" t="n">
        <v>0</v>
      </c>
      <c r="Q591" t="n">
        <v>0</v>
      </c>
      <c r="R591" s="2" t="inlineStr"/>
    </row>
    <row r="592" ht="15" customHeight="1">
      <c r="A592" t="inlineStr">
        <is>
          <t>A 5148-2024</t>
        </is>
      </c>
      <c r="B592" s="1" t="n">
        <v>45330</v>
      </c>
      <c r="C592" s="1" t="n">
        <v>46205</v>
      </c>
      <c r="D592" t="inlineStr">
        <is>
          <t>KALMAR LÄN</t>
        </is>
      </c>
      <c r="E592" t="inlineStr">
        <is>
          <t>VIMMERBY</t>
        </is>
      </c>
      <c r="G592" t="n">
        <v>5.6</v>
      </c>
      <c r="H592" t="n">
        <v>0</v>
      </c>
      <c r="I592" t="n">
        <v>0</v>
      </c>
      <c r="J592" t="n">
        <v>0</v>
      </c>
      <c r="K592" t="n">
        <v>0</v>
      </c>
      <c r="L592" t="n">
        <v>0</v>
      </c>
      <c r="M592" t="n">
        <v>0</v>
      </c>
      <c r="N592" t="n">
        <v>0</v>
      </c>
      <c r="O592" t="n">
        <v>0</v>
      </c>
      <c r="P592" t="n">
        <v>0</v>
      </c>
      <c r="Q592" t="n">
        <v>0</v>
      </c>
      <c r="R592" s="2" t="inlineStr"/>
    </row>
    <row r="593" ht="15" customHeight="1">
      <c r="A593" t="inlineStr">
        <is>
          <t>A 26768-2026</t>
        </is>
      </c>
      <c r="B593" s="1" t="n">
        <v>46184</v>
      </c>
      <c r="C593" s="1" t="n">
        <v>46205</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44179-2022</t>
        </is>
      </c>
      <c r="B594" s="1" t="n">
        <v>44839</v>
      </c>
      <c r="C594" s="1" t="n">
        <v>46205</v>
      </c>
      <c r="D594" t="inlineStr">
        <is>
          <t>KALMAR LÄN</t>
        </is>
      </c>
      <c r="E594" t="inlineStr">
        <is>
          <t>VIMMERBY</t>
        </is>
      </c>
      <c r="G594" t="n">
        <v>2.8</v>
      </c>
      <c r="H594" t="n">
        <v>0</v>
      </c>
      <c r="I594" t="n">
        <v>0</v>
      </c>
      <c r="J594" t="n">
        <v>0</v>
      </c>
      <c r="K594" t="n">
        <v>0</v>
      </c>
      <c r="L594" t="n">
        <v>0</v>
      </c>
      <c r="M594" t="n">
        <v>0</v>
      </c>
      <c r="N594" t="n">
        <v>0</v>
      </c>
      <c r="O594" t="n">
        <v>0</v>
      </c>
      <c r="P594" t="n">
        <v>0</v>
      </c>
      <c r="Q594" t="n">
        <v>0</v>
      </c>
      <c r="R594" s="2" t="inlineStr"/>
    </row>
    <row r="595" ht="15" customHeight="1">
      <c r="A595" t="inlineStr">
        <is>
          <t>A 50648-2023</t>
        </is>
      </c>
      <c r="B595" s="1" t="n">
        <v>45217</v>
      </c>
      <c r="C595" s="1" t="n">
        <v>46205</v>
      </c>
      <c r="D595" t="inlineStr">
        <is>
          <t>KALMAR LÄN</t>
        </is>
      </c>
      <c r="E595" t="inlineStr">
        <is>
          <t>VIMMERBY</t>
        </is>
      </c>
      <c r="G595" t="n">
        <v>1.6</v>
      </c>
      <c r="H595" t="n">
        <v>0</v>
      </c>
      <c r="I595" t="n">
        <v>0</v>
      </c>
      <c r="J595" t="n">
        <v>0</v>
      </c>
      <c r="K595" t="n">
        <v>0</v>
      </c>
      <c r="L595" t="n">
        <v>0</v>
      </c>
      <c r="M595" t="n">
        <v>0</v>
      </c>
      <c r="N595" t="n">
        <v>0</v>
      </c>
      <c r="O595" t="n">
        <v>0</v>
      </c>
      <c r="P595" t="n">
        <v>0</v>
      </c>
      <c r="Q595" t="n">
        <v>0</v>
      </c>
      <c r="R595" s="2" t="inlineStr"/>
    </row>
    <row r="596" ht="15" customHeight="1">
      <c r="A596" t="inlineStr">
        <is>
          <t>A 26722-2026</t>
        </is>
      </c>
      <c r="B596" s="1" t="n">
        <v>46184</v>
      </c>
      <c r="C596" s="1" t="n">
        <v>46205</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26734-2026</t>
        </is>
      </c>
      <c r="B597" s="1" t="n">
        <v>46184</v>
      </c>
      <c r="C597" s="1" t="n">
        <v>46205</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2121-2022</t>
        </is>
      </c>
      <c r="B598" s="1" t="n">
        <v>44578</v>
      </c>
      <c r="C598" s="1" t="n">
        <v>46205</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57799-2022</t>
        </is>
      </c>
      <c r="B599" s="1" t="n">
        <v>44897</v>
      </c>
      <c r="C599" s="1" t="n">
        <v>46205</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26318-2023</t>
        </is>
      </c>
      <c r="B600" s="1" t="n">
        <v>45091</v>
      </c>
      <c r="C600" s="1" t="n">
        <v>46205</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60437-2023</t>
        </is>
      </c>
      <c r="B601" s="1" t="n">
        <v>45259</v>
      </c>
      <c r="C601" s="1" t="n">
        <v>46205</v>
      </c>
      <c r="D601" t="inlineStr">
        <is>
          <t>KALMAR LÄN</t>
        </is>
      </c>
      <c r="E601" t="inlineStr">
        <is>
          <t>VIMMERBY</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60438-2023</t>
        </is>
      </c>
      <c r="B602" s="1" t="n">
        <v>45259</v>
      </c>
      <c r="C602" s="1" t="n">
        <v>46205</v>
      </c>
      <c r="D602" t="inlineStr">
        <is>
          <t>KALMAR LÄN</t>
        </is>
      </c>
      <c r="E602" t="inlineStr">
        <is>
          <t>VIMMERBY</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26462-2026</t>
        </is>
      </c>
      <c r="B603" s="1" t="n">
        <v>46183</v>
      </c>
      <c r="C603" s="1" t="n">
        <v>46205</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7758-2024</t>
        </is>
      </c>
      <c r="B604" s="1" t="n">
        <v>45349</v>
      </c>
      <c r="C604" s="1" t="n">
        <v>46205</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46205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46979-2023</t>
        </is>
      </c>
      <c r="B606" s="1" t="n">
        <v>45201</v>
      </c>
      <c r="C606" s="1" t="n">
        <v>46205</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2596-2025</t>
        </is>
      </c>
      <c r="B607" s="1" t="n">
        <v>45674</v>
      </c>
      <c r="C607" s="1" t="n">
        <v>46205</v>
      </c>
      <c r="D607" t="inlineStr">
        <is>
          <t>KALMAR LÄN</t>
        </is>
      </c>
      <c r="E607" t="inlineStr">
        <is>
          <t>VIMMERBY</t>
        </is>
      </c>
      <c r="G607" t="n">
        <v>9</v>
      </c>
      <c r="H607" t="n">
        <v>0</v>
      </c>
      <c r="I607" t="n">
        <v>0</v>
      </c>
      <c r="J607" t="n">
        <v>0</v>
      </c>
      <c r="K607" t="n">
        <v>0</v>
      </c>
      <c r="L607" t="n">
        <v>0</v>
      </c>
      <c r="M607" t="n">
        <v>0</v>
      </c>
      <c r="N607" t="n">
        <v>0</v>
      </c>
      <c r="O607" t="n">
        <v>0</v>
      </c>
      <c r="P607" t="n">
        <v>0</v>
      </c>
      <c r="Q607" t="n">
        <v>0</v>
      </c>
      <c r="R607" s="2" t="inlineStr"/>
    </row>
    <row r="608" ht="15" customHeight="1">
      <c r="A608" t="inlineStr">
        <is>
          <t>A 47855-2024</t>
        </is>
      </c>
      <c r="B608" s="1" t="n">
        <v>45588</v>
      </c>
      <c r="C608" s="1" t="n">
        <v>46205</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63583-2023</t>
        </is>
      </c>
      <c r="B609" s="1" t="n">
        <v>45275</v>
      </c>
      <c r="C609" s="1" t="n">
        <v>46205</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26762-2026</t>
        </is>
      </c>
      <c r="B610" s="1" t="n">
        <v>46184</v>
      </c>
      <c r="C610" s="1" t="n">
        <v>46205</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60228-2021</t>
        </is>
      </c>
      <c r="B611" s="1" t="n">
        <v>44495</v>
      </c>
      <c r="C611" s="1" t="n">
        <v>46205</v>
      </c>
      <c r="D611" t="inlineStr">
        <is>
          <t>KALMAR LÄN</t>
        </is>
      </c>
      <c r="E611" t="inlineStr">
        <is>
          <t>VIMMERBY</t>
        </is>
      </c>
      <c r="G611" t="n">
        <v>4.1</v>
      </c>
      <c r="H611" t="n">
        <v>0</v>
      </c>
      <c r="I611" t="n">
        <v>0</v>
      </c>
      <c r="J611" t="n">
        <v>0</v>
      </c>
      <c r="K611" t="n">
        <v>0</v>
      </c>
      <c r="L611" t="n">
        <v>0</v>
      </c>
      <c r="M611" t="n">
        <v>0</v>
      </c>
      <c r="N611" t="n">
        <v>0</v>
      </c>
      <c r="O611" t="n">
        <v>0</v>
      </c>
      <c r="P611" t="n">
        <v>0</v>
      </c>
      <c r="Q611" t="n">
        <v>0</v>
      </c>
      <c r="R611" s="2" t="inlineStr"/>
    </row>
    <row r="612" ht="15" customHeight="1">
      <c r="A612" t="inlineStr">
        <is>
          <t>A 26704-2026</t>
        </is>
      </c>
      <c r="B612" s="1" t="n">
        <v>46184</v>
      </c>
      <c r="C612" s="1" t="n">
        <v>46205</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46522-2022</t>
        </is>
      </c>
      <c r="B613" s="1" t="n">
        <v>44848</v>
      </c>
      <c r="C613" s="1" t="n">
        <v>46205</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21109-2024</t>
        </is>
      </c>
      <c r="B614" s="1" t="n">
        <v>45440</v>
      </c>
      <c r="C614" s="1" t="n">
        <v>46205</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33815-2022</t>
        </is>
      </c>
      <c r="B615" s="1" t="n">
        <v>44790</v>
      </c>
      <c r="C615" s="1" t="n">
        <v>46205</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49461-2022</t>
        </is>
      </c>
      <c r="B616" s="1" t="n">
        <v>44861</v>
      </c>
      <c r="C616" s="1" t="n">
        <v>46205</v>
      </c>
      <c r="D616" t="inlineStr">
        <is>
          <t>KALMAR LÄN</t>
        </is>
      </c>
      <c r="E616" t="inlineStr">
        <is>
          <t>VIMMERBY</t>
        </is>
      </c>
      <c r="G616" t="n">
        <v>3.2</v>
      </c>
      <c r="H616" t="n">
        <v>0</v>
      </c>
      <c r="I616" t="n">
        <v>0</v>
      </c>
      <c r="J616" t="n">
        <v>0</v>
      </c>
      <c r="K616" t="n">
        <v>0</v>
      </c>
      <c r="L616" t="n">
        <v>0</v>
      </c>
      <c r="M616" t="n">
        <v>0</v>
      </c>
      <c r="N616" t="n">
        <v>0</v>
      </c>
      <c r="O616" t="n">
        <v>0</v>
      </c>
      <c r="P616" t="n">
        <v>0</v>
      </c>
      <c r="Q616" t="n">
        <v>0</v>
      </c>
      <c r="R616" s="2" t="inlineStr"/>
    </row>
    <row r="617" ht="15" customHeight="1">
      <c r="A617" t="inlineStr">
        <is>
          <t>A 53542-2022</t>
        </is>
      </c>
      <c r="B617" s="1" t="n">
        <v>44879</v>
      </c>
      <c r="C617" s="1" t="n">
        <v>46205</v>
      </c>
      <c r="D617" t="inlineStr">
        <is>
          <t>KALMAR LÄN</t>
        </is>
      </c>
      <c r="E617" t="inlineStr">
        <is>
          <t>VIMMERBY</t>
        </is>
      </c>
      <c r="G617" t="n">
        <v>2.6</v>
      </c>
      <c r="H617" t="n">
        <v>0</v>
      </c>
      <c r="I617" t="n">
        <v>0</v>
      </c>
      <c r="J617" t="n">
        <v>0</v>
      </c>
      <c r="K617" t="n">
        <v>0</v>
      </c>
      <c r="L617" t="n">
        <v>0</v>
      </c>
      <c r="M617" t="n">
        <v>0</v>
      </c>
      <c r="N617" t="n">
        <v>0</v>
      </c>
      <c r="O617" t="n">
        <v>0</v>
      </c>
      <c r="P617" t="n">
        <v>0</v>
      </c>
      <c r="Q617" t="n">
        <v>0</v>
      </c>
      <c r="R617" s="2" t="inlineStr"/>
    </row>
    <row r="618" ht="15" customHeight="1">
      <c r="A618" t="inlineStr">
        <is>
          <t>A 35713-2023</t>
        </is>
      </c>
      <c r="B618" s="1" t="n">
        <v>45147</v>
      </c>
      <c r="C618" s="1" t="n">
        <v>46205</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10424-2023</t>
        </is>
      </c>
      <c r="B619" s="1" t="n">
        <v>44987</v>
      </c>
      <c r="C619" s="1" t="n">
        <v>46205</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27074-2026</t>
        </is>
      </c>
      <c r="B620" s="1" t="n">
        <v>46186</v>
      </c>
      <c r="C620" s="1" t="n">
        <v>46205</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33340-2023</t>
        </is>
      </c>
      <c r="B621" s="1" t="n">
        <v>45128</v>
      </c>
      <c r="C621" s="1" t="n">
        <v>46205</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29017-2024</t>
        </is>
      </c>
      <c r="B622" s="1" t="n">
        <v>45481</v>
      </c>
      <c r="C622" s="1" t="n">
        <v>46205</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58046-2022</t>
        </is>
      </c>
      <c r="B623" s="1" t="n">
        <v>44900</v>
      </c>
      <c r="C623" s="1" t="n">
        <v>46205</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14548-2024</t>
        </is>
      </c>
      <c r="B624" s="1" t="n">
        <v>45394</v>
      </c>
      <c r="C624" s="1" t="n">
        <v>46205</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48120-2022</t>
        </is>
      </c>
      <c r="B625" s="1" t="n">
        <v>44857</v>
      </c>
      <c r="C625" s="1" t="n">
        <v>46205</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3423-2022</t>
        </is>
      </c>
      <c r="B626" s="1" t="n">
        <v>44585</v>
      </c>
      <c r="C626" s="1" t="n">
        <v>46205</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11074-2023</t>
        </is>
      </c>
      <c r="B627" s="1" t="n">
        <v>44992</v>
      </c>
      <c r="C627" s="1" t="n">
        <v>46205</v>
      </c>
      <c r="D627" t="inlineStr">
        <is>
          <t>KALMAR LÄN</t>
        </is>
      </c>
      <c r="E627" t="inlineStr">
        <is>
          <t>VIMMERBY</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71631-2021</t>
        </is>
      </c>
      <c r="B628" s="1" t="n">
        <v>44542</v>
      </c>
      <c r="C628" s="1" t="n">
        <v>46205</v>
      </c>
      <c r="D628" t="inlineStr">
        <is>
          <t>KALMAR LÄN</t>
        </is>
      </c>
      <c r="E628" t="inlineStr">
        <is>
          <t>VIMMERBY</t>
        </is>
      </c>
      <c r="G628" t="n">
        <v>0.9</v>
      </c>
      <c r="H628" t="n">
        <v>0</v>
      </c>
      <c r="I628" t="n">
        <v>0</v>
      </c>
      <c r="J628" t="n">
        <v>0</v>
      </c>
      <c r="K628" t="n">
        <v>0</v>
      </c>
      <c r="L628" t="n">
        <v>0</v>
      </c>
      <c r="M628" t="n">
        <v>0</v>
      </c>
      <c r="N628" t="n">
        <v>0</v>
      </c>
      <c r="O628" t="n">
        <v>0</v>
      </c>
      <c r="P628" t="n">
        <v>0</v>
      </c>
      <c r="Q628" t="n">
        <v>0</v>
      </c>
      <c r="R628" s="2" t="inlineStr"/>
    </row>
    <row r="629" ht="15" customHeight="1">
      <c r="A629" t="inlineStr">
        <is>
          <t>A 49039-2021</t>
        </is>
      </c>
      <c r="B629" s="1" t="n">
        <v>44453</v>
      </c>
      <c r="C629" s="1" t="n">
        <v>46205</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42918-2021</t>
        </is>
      </c>
      <c r="B630" s="1" t="n">
        <v>44431</v>
      </c>
      <c r="C630" s="1" t="n">
        <v>46205</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529-2022</t>
        </is>
      </c>
      <c r="B631" s="1" t="n">
        <v>44566</v>
      </c>
      <c r="C631" s="1" t="n">
        <v>46205</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14855-2025</t>
        </is>
      </c>
      <c r="B632" s="1" t="n">
        <v>45743</v>
      </c>
      <c r="C632" s="1" t="n">
        <v>46205</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60951-2023</t>
        </is>
      </c>
      <c r="B633" s="1" t="n">
        <v>45261</v>
      </c>
      <c r="C633" s="1" t="n">
        <v>46205</v>
      </c>
      <c r="D633" t="inlineStr">
        <is>
          <t>KALMAR LÄN</t>
        </is>
      </c>
      <c r="E633" t="inlineStr">
        <is>
          <t>VIMMERBY</t>
        </is>
      </c>
      <c r="G633" t="n">
        <v>4.3</v>
      </c>
      <c r="H633" t="n">
        <v>0</v>
      </c>
      <c r="I633" t="n">
        <v>0</v>
      </c>
      <c r="J633" t="n">
        <v>0</v>
      </c>
      <c r="K633" t="n">
        <v>0</v>
      </c>
      <c r="L633" t="n">
        <v>0</v>
      </c>
      <c r="M633" t="n">
        <v>0</v>
      </c>
      <c r="N633" t="n">
        <v>0</v>
      </c>
      <c r="O633" t="n">
        <v>0</v>
      </c>
      <c r="P633" t="n">
        <v>0</v>
      </c>
      <c r="Q633" t="n">
        <v>0</v>
      </c>
      <c r="R633" s="2" t="inlineStr"/>
    </row>
    <row r="634" ht="15" customHeight="1">
      <c r="A634" t="inlineStr">
        <is>
          <t>A 19162-2023</t>
        </is>
      </c>
      <c r="B634" s="1" t="n">
        <v>45048</v>
      </c>
      <c r="C634" s="1" t="n">
        <v>46205</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31209-2024</t>
        </is>
      </c>
      <c r="B635" s="1" t="n">
        <v>45503</v>
      </c>
      <c r="C635" s="1" t="n">
        <v>46205</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5864-2022</t>
        </is>
      </c>
      <c r="B636" s="1" t="n">
        <v>44596</v>
      </c>
      <c r="C636" s="1" t="n">
        <v>46205</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3938-2023</t>
        </is>
      </c>
      <c r="B637" s="1" t="n">
        <v>44952</v>
      </c>
      <c r="C637" s="1" t="n">
        <v>46205</v>
      </c>
      <c r="D637" t="inlineStr">
        <is>
          <t>KALMAR LÄN</t>
        </is>
      </c>
      <c r="E637" t="inlineStr">
        <is>
          <t>VIMMERBY</t>
        </is>
      </c>
      <c r="G637" t="n">
        <v>0.9</v>
      </c>
      <c r="H637" t="n">
        <v>0</v>
      </c>
      <c r="I637" t="n">
        <v>0</v>
      </c>
      <c r="J637" t="n">
        <v>0</v>
      </c>
      <c r="K637" t="n">
        <v>0</v>
      </c>
      <c r="L637" t="n">
        <v>0</v>
      </c>
      <c r="M637" t="n">
        <v>0</v>
      </c>
      <c r="N637" t="n">
        <v>0</v>
      </c>
      <c r="O637" t="n">
        <v>0</v>
      </c>
      <c r="P637" t="n">
        <v>0</v>
      </c>
      <c r="Q637" t="n">
        <v>0</v>
      </c>
      <c r="R637" s="2" t="inlineStr"/>
    </row>
    <row r="638" ht="15" customHeight="1">
      <c r="A638" t="inlineStr">
        <is>
          <t>A 50085-2023</t>
        </is>
      </c>
      <c r="B638" s="1" t="n">
        <v>45215</v>
      </c>
      <c r="C638" s="1" t="n">
        <v>46205</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11219-2023</t>
        </is>
      </c>
      <c r="B639" s="1" t="n">
        <v>44992</v>
      </c>
      <c r="C639" s="1" t="n">
        <v>46205</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6850-2023</t>
        </is>
      </c>
      <c r="B640" s="1" t="n">
        <v>44967</v>
      </c>
      <c r="C640" s="1" t="n">
        <v>46205</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21882-2026</t>
        </is>
      </c>
      <c r="B641" s="1" t="n">
        <v>46150</v>
      </c>
      <c r="C641" s="1" t="n">
        <v>46205</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43853-2023</t>
        </is>
      </c>
      <c r="B642" s="1" t="n">
        <v>45187</v>
      </c>
      <c r="C642" s="1" t="n">
        <v>46205</v>
      </c>
      <c r="D642" t="inlineStr">
        <is>
          <t>KALMAR LÄN</t>
        </is>
      </c>
      <c r="E642" t="inlineStr">
        <is>
          <t>VIMMERBY</t>
        </is>
      </c>
      <c r="G642" t="n">
        <v>1.4</v>
      </c>
      <c r="H642" t="n">
        <v>0</v>
      </c>
      <c r="I642" t="n">
        <v>0</v>
      </c>
      <c r="J642" t="n">
        <v>0</v>
      </c>
      <c r="K642" t="n">
        <v>0</v>
      </c>
      <c r="L642" t="n">
        <v>0</v>
      </c>
      <c r="M642" t="n">
        <v>0</v>
      </c>
      <c r="N642" t="n">
        <v>0</v>
      </c>
      <c r="O642" t="n">
        <v>0</v>
      </c>
      <c r="P642" t="n">
        <v>0</v>
      </c>
      <c r="Q642" t="n">
        <v>0</v>
      </c>
      <c r="R642" s="2" t="inlineStr"/>
    </row>
    <row r="643" ht="15" customHeight="1">
      <c r="A643" t="inlineStr">
        <is>
          <t>A 48673-2021</t>
        </is>
      </c>
      <c r="B643" s="1" t="n">
        <v>44452</v>
      </c>
      <c r="C643" s="1" t="n">
        <v>46205</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14137-2023</t>
        </is>
      </c>
      <c r="B644" s="1" t="n">
        <v>45009</v>
      </c>
      <c r="C644" s="1" t="n">
        <v>46205</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28296-2026</t>
        </is>
      </c>
      <c r="B645" s="1" t="n">
        <v>46196</v>
      </c>
      <c r="C645" s="1" t="n">
        <v>46205</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38780-2021</t>
        </is>
      </c>
      <c r="B646" s="1" t="n">
        <v>44410</v>
      </c>
      <c r="C646" s="1" t="n">
        <v>46205</v>
      </c>
      <c r="D646" t="inlineStr">
        <is>
          <t>KALMAR LÄN</t>
        </is>
      </c>
      <c r="E646" t="inlineStr">
        <is>
          <t>VIMMERBY</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30503-2023</t>
        </is>
      </c>
      <c r="B647" s="1" t="n">
        <v>45111</v>
      </c>
      <c r="C647" s="1" t="n">
        <v>46205</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60110-2022</t>
        </is>
      </c>
      <c r="B648" s="1" t="n">
        <v>44909</v>
      </c>
      <c r="C648" s="1" t="n">
        <v>46205</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59300-2024</t>
        </is>
      </c>
      <c r="B649" s="1" t="n">
        <v>45637</v>
      </c>
      <c r="C649" s="1" t="n">
        <v>46205</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18329-2023</t>
        </is>
      </c>
      <c r="B650" s="1" t="n">
        <v>45041</v>
      </c>
      <c r="C650" s="1" t="n">
        <v>46205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5720-2023</t>
        </is>
      </c>
      <c r="B651" s="1" t="n">
        <v>44961</v>
      </c>
      <c r="C651" s="1" t="n">
        <v>46205</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61538-2022</t>
        </is>
      </c>
      <c r="B652" s="1" t="n">
        <v>44916</v>
      </c>
      <c r="C652" s="1" t="n">
        <v>46205</v>
      </c>
      <c r="D652" t="inlineStr">
        <is>
          <t>KALMAR LÄN</t>
        </is>
      </c>
      <c r="E652" t="inlineStr">
        <is>
          <t>VIMMERBY</t>
        </is>
      </c>
      <c r="G652" t="n">
        <v>1.5</v>
      </c>
      <c r="H652" t="n">
        <v>0</v>
      </c>
      <c r="I652" t="n">
        <v>0</v>
      </c>
      <c r="J652" t="n">
        <v>0</v>
      </c>
      <c r="K652" t="n">
        <v>0</v>
      </c>
      <c r="L652" t="n">
        <v>0</v>
      </c>
      <c r="M652" t="n">
        <v>0</v>
      </c>
      <c r="N652" t="n">
        <v>0</v>
      </c>
      <c r="O652" t="n">
        <v>0</v>
      </c>
      <c r="P652" t="n">
        <v>0</v>
      </c>
      <c r="Q652" t="n">
        <v>0</v>
      </c>
      <c r="R652" s="2" t="inlineStr"/>
    </row>
    <row r="653" ht="15" customHeight="1">
      <c r="A653" t="inlineStr">
        <is>
          <t>A 694-2024</t>
        </is>
      </c>
      <c r="B653" s="1" t="n">
        <v>45300</v>
      </c>
      <c r="C653" s="1" t="n">
        <v>46205</v>
      </c>
      <c r="D653" t="inlineStr">
        <is>
          <t>KALMAR LÄN</t>
        </is>
      </c>
      <c r="E653" t="inlineStr">
        <is>
          <t>VIMMERBY</t>
        </is>
      </c>
      <c r="G653" t="n">
        <v>1.4</v>
      </c>
      <c r="H653" t="n">
        <v>0</v>
      </c>
      <c r="I653" t="n">
        <v>0</v>
      </c>
      <c r="J653" t="n">
        <v>0</v>
      </c>
      <c r="K653" t="n">
        <v>0</v>
      </c>
      <c r="L653" t="n">
        <v>0</v>
      </c>
      <c r="M653" t="n">
        <v>0</v>
      </c>
      <c r="N653" t="n">
        <v>0</v>
      </c>
      <c r="O653" t="n">
        <v>0</v>
      </c>
      <c r="P653" t="n">
        <v>0</v>
      </c>
      <c r="Q653" t="n">
        <v>0</v>
      </c>
      <c r="R653" s="2" t="inlineStr"/>
    </row>
    <row r="654" ht="15" customHeight="1">
      <c r="A654" t="inlineStr">
        <is>
          <t>A 57114-2023</t>
        </is>
      </c>
      <c r="B654" s="1" t="n">
        <v>45245</v>
      </c>
      <c r="C654" s="1" t="n">
        <v>46205</v>
      </c>
      <c r="D654" t="inlineStr">
        <is>
          <t>KALMAR LÄN</t>
        </is>
      </c>
      <c r="E654" t="inlineStr">
        <is>
          <t>VIMMERBY</t>
        </is>
      </c>
      <c r="G654" t="n">
        <v>1.5</v>
      </c>
      <c r="H654" t="n">
        <v>0</v>
      </c>
      <c r="I654" t="n">
        <v>0</v>
      </c>
      <c r="J654" t="n">
        <v>0</v>
      </c>
      <c r="K654" t="n">
        <v>0</v>
      </c>
      <c r="L654" t="n">
        <v>0</v>
      </c>
      <c r="M654" t="n">
        <v>0</v>
      </c>
      <c r="N654" t="n">
        <v>0</v>
      </c>
      <c r="O654" t="n">
        <v>0</v>
      </c>
      <c r="P654" t="n">
        <v>0</v>
      </c>
      <c r="Q654" t="n">
        <v>0</v>
      </c>
      <c r="R654" s="2" t="inlineStr"/>
    </row>
    <row r="655" ht="15" customHeight="1">
      <c r="A655" t="inlineStr">
        <is>
          <t>A 28229-2026</t>
        </is>
      </c>
      <c r="B655" s="1" t="n">
        <v>46196</v>
      </c>
      <c r="C655" s="1" t="n">
        <v>46205</v>
      </c>
      <c r="D655" t="inlineStr">
        <is>
          <t>KALMAR LÄN</t>
        </is>
      </c>
      <c r="E655" t="inlineStr">
        <is>
          <t>VIMMERBY</t>
        </is>
      </c>
      <c r="G655" t="n">
        <v>1.8</v>
      </c>
      <c r="H655" t="n">
        <v>0</v>
      </c>
      <c r="I655" t="n">
        <v>0</v>
      </c>
      <c r="J655" t="n">
        <v>0</v>
      </c>
      <c r="K655" t="n">
        <v>0</v>
      </c>
      <c r="L655" t="n">
        <v>0</v>
      </c>
      <c r="M655" t="n">
        <v>0</v>
      </c>
      <c r="N655" t="n">
        <v>0</v>
      </c>
      <c r="O655" t="n">
        <v>0</v>
      </c>
      <c r="P655" t="n">
        <v>0</v>
      </c>
      <c r="Q655" t="n">
        <v>0</v>
      </c>
      <c r="R655" s="2" t="inlineStr"/>
    </row>
    <row r="656" ht="15" customHeight="1">
      <c r="A656" t="inlineStr">
        <is>
          <t>A 12327-2023</t>
        </is>
      </c>
      <c r="B656" s="1" t="n">
        <v>44999</v>
      </c>
      <c r="C656" s="1" t="n">
        <v>46205</v>
      </c>
      <c r="D656" t="inlineStr">
        <is>
          <t>KALMAR LÄN</t>
        </is>
      </c>
      <c r="E656" t="inlineStr">
        <is>
          <t>VIMMERBY</t>
        </is>
      </c>
      <c r="G656" t="n">
        <v>1.2</v>
      </c>
      <c r="H656" t="n">
        <v>0</v>
      </c>
      <c r="I656" t="n">
        <v>0</v>
      </c>
      <c r="J656" t="n">
        <v>0</v>
      </c>
      <c r="K656" t="n">
        <v>0</v>
      </c>
      <c r="L656" t="n">
        <v>0</v>
      </c>
      <c r="M656" t="n">
        <v>0</v>
      </c>
      <c r="N656" t="n">
        <v>0</v>
      </c>
      <c r="O656" t="n">
        <v>0</v>
      </c>
      <c r="P656" t="n">
        <v>0</v>
      </c>
      <c r="Q656" t="n">
        <v>0</v>
      </c>
      <c r="R656" s="2" t="inlineStr"/>
    </row>
    <row r="657" ht="15" customHeight="1">
      <c r="A657" t="inlineStr">
        <is>
          <t>A 30633-2024</t>
        </is>
      </c>
      <c r="B657" s="1" t="n">
        <v>45495</v>
      </c>
      <c r="C657" s="1" t="n">
        <v>46205</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33424-2023</t>
        </is>
      </c>
      <c r="B658" s="1" t="n">
        <v>45128</v>
      </c>
      <c r="C658" s="1" t="n">
        <v>46205</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33425-2023</t>
        </is>
      </c>
      <c r="B659" s="1" t="n">
        <v>45128</v>
      </c>
      <c r="C659" s="1" t="n">
        <v>46205</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3609-2024</t>
        </is>
      </c>
      <c r="B660" s="1" t="n">
        <v>45320</v>
      </c>
      <c r="C660" s="1" t="n">
        <v>46205</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28784-2026</t>
        </is>
      </c>
      <c r="B661" s="1" t="n">
        <v>46198</v>
      </c>
      <c r="C661" s="1" t="n">
        <v>46205</v>
      </c>
      <c r="D661" t="inlineStr">
        <is>
          <t>KALMAR LÄN</t>
        </is>
      </c>
      <c r="E661" t="inlineStr">
        <is>
          <t>VIMMERBY</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28510-2026</t>
        </is>
      </c>
      <c r="B662" s="1" t="n">
        <v>46197</v>
      </c>
      <c r="C662" s="1" t="n">
        <v>46205</v>
      </c>
      <c r="D662" t="inlineStr">
        <is>
          <t>KALMAR LÄN</t>
        </is>
      </c>
      <c r="E662" t="inlineStr">
        <is>
          <t>VIMMERBY</t>
        </is>
      </c>
      <c r="G662" t="n">
        <v>3.3</v>
      </c>
      <c r="H662" t="n">
        <v>0</v>
      </c>
      <c r="I662" t="n">
        <v>0</v>
      </c>
      <c r="J662" t="n">
        <v>0</v>
      </c>
      <c r="K662" t="n">
        <v>0</v>
      </c>
      <c r="L662" t="n">
        <v>0</v>
      </c>
      <c r="M662" t="n">
        <v>0</v>
      </c>
      <c r="N662" t="n">
        <v>0</v>
      </c>
      <c r="O662" t="n">
        <v>0</v>
      </c>
      <c r="P662" t="n">
        <v>0</v>
      </c>
      <c r="Q662" t="n">
        <v>0</v>
      </c>
      <c r="R662" s="2" t="inlineStr"/>
    </row>
    <row r="663" ht="15" customHeight="1">
      <c r="A663" t="inlineStr">
        <is>
          <t>A 28511-2026</t>
        </is>
      </c>
      <c r="B663" s="1" t="n">
        <v>46197</v>
      </c>
      <c r="C663" s="1" t="n">
        <v>46205</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8650-2022</t>
        </is>
      </c>
      <c r="B664" s="1" t="n">
        <v>44613</v>
      </c>
      <c r="C664" s="1" t="n">
        <v>46205</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11147-2023</t>
        </is>
      </c>
      <c r="B665" s="1" t="n">
        <v>44992</v>
      </c>
      <c r="C665" s="1" t="n">
        <v>46205</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16676-2023</t>
        </is>
      </c>
      <c r="B666" s="1" t="n">
        <v>45028</v>
      </c>
      <c r="C666" s="1" t="n">
        <v>46205</v>
      </c>
      <c r="D666" t="inlineStr">
        <is>
          <t>KALMAR LÄN</t>
        </is>
      </c>
      <c r="E666" t="inlineStr">
        <is>
          <t>VIMMERBY</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28530-2026</t>
        </is>
      </c>
      <c r="B667" s="1" t="n">
        <v>46197</v>
      </c>
      <c r="C667" s="1" t="n">
        <v>46205</v>
      </c>
      <c r="D667" t="inlineStr">
        <is>
          <t>KALMAR LÄN</t>
        </is>
      </c>
      <c r="E667" t="inlineStr">
        <is>
          <t>VIMMERBY</t>
        </is>
      </c>
      <c r="G667" t="n">
        <v>4.6</v>
      </c>
      <c r="H667" t="n">
        <v>0</v>
      </c>
      <c r="I667" t="n">
        <v>0</v>
      </c>
      <c r="J667" t="n">
        <v>0</v>
      </c>
      <c r="K667" t="n">
        <v>0</v>
      </c>
      <c r="L667" t="n">
        <v>0</v>
      </c>
      <c r="M667" t="n">
        <v>0</v>
      </c>
      <c r="N667" t="n">
        <v>0</v>
      </c>
      <c r="O667" t="n">
        <v>0</v>
      </c>
      <c r="P667" t="n">
        <v>0</v>
      </c>
      <c r="Q667" t="n">
        <v>0</v>
      </c>
      <c r="R667" s="2" t="inlineStr"/>
    </row>
    <row r="668" ht="15" customHeight="1">
      <c r="A668" t="inlineStr">
        <is>
          <t>A 13667-2026</t>
        </is>
      </c>
      <c r="B668" s="1" t="n">
        <v>46097</v>
      </c>
      <c r="C668" s="1" t="n">
        <v>46205</v>
      </c>
      <c r="D668" t="inlineStr">
        <is>
          <t>KALMAR LÄN</t>
        </is>
      </c>
      <c r="E668" t="inlineStr">
        <is>
          <t>VIMMERBY</t>
        </is>
      </c>
      <c r="G668" t="n">
        <v>6.8</v>
      </c>
      <c r="H668" t="n">
        <v>0</v>
      </c>
      <c r="I668" t="n">
        <v>0</v>
      </c>
      <c r="J668" t="n">
        <v>0</v>
      </c>
      <c r="K668" t="n">
        <v>0</v>
      </c>
      <c r="L668" t="n">
        <v>0</v>
      </c>
      <c r="M668" t="n">
        <v>0</v>
      </c>
      <c r="N668" t="n">
        <v>0</v>
      </c>
      <c r="O668" t="n">
        <v>0</v>
      </c>
      <c r="P668" t="n">
        <v>0</v>
      </c>
      <c r="Q668" t="n">
        <v>0</v>
      </c>
      <c r="R668" s="2" t="inlineStr"/>
    </row>
    <row r="669" ht="15" customHeight="1">
      <c r="A669" t="inlineStr">
        <is>
          <t>A 23263-2024</t>
        </is>
      </c>
      <c r="B669" s="1" t="n">
        <v>45453</v>
      </c>
      <c r="C669" s="1" t="n">
        <v>46205</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49488-2023</t>
        </is>
      </c>
      <c r="B670" s="1" t="n">
        <v>45211</v>
      </c>
      <c r="C670" s="1" t="n">
        <v>46205</v>
      </c>
      <c r="D670" t="inlineStr">
        <is>
          <t>KALMAR LÄN</t>
        </is>
      </c>
      <c r="E670" t="inlineStr">
        <is>
          <t>VIMMERBY</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15054-2026</t>
        </is>
      </c>
      <c r="B671" s="1" t="n">
        <v>46104</v>
      </c>
      <c r="C671" s="1" t="n">
        <v>46205</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57728-2025</t>
        </is>
      </c>
      <c r="B672" s="1" t="n">
        <v>45981</v>
      </c>
      <c r="C672" s="1" t="n">
        <v>46205</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72067-2021</t>
        </is>
      </c>
      <c r="B673" s="1" t="n">
        <v>44540</v>
      </c>
      <c r="C673" s="1" t="n">
        <v>46205</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41158-2023</t>
        </is>
      </c>
      <c r="B674" s="1" t="n">
        <v>45174</v>
      </c>
      <c r="C674" s="1" t="n">
        <v>46205</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36246-2025</t>
        </is>
      </c>
      <c r="B675" s="1" t="n">
        <v>45867</v>
      </c>
      <c r="C675" s="1" t="n">
        <v>46205</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17084-2025</t>
        </is>
      </c>
      <c r="B676" s="1" t="n">
        <v>45755</v>
      </c>
      <c r="C676" s="1" t="n">
        <v>46205</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9511-2023</t>
        </is>
      </c>
      <c r="B677" s="1" t="n">
        <v>44981</v>
      </c>
      <c r="C677" s="1" t="n">
        <v>46205</v>
      </c>
      <c r="D677" t="inlineStr">
        <is>
          <t>KALMAR LÄN</t>
        </is>
      </c>
      <c r="E677" t="inlineStr">
        <is>
          <t>VIMMERBY</t>
        </is>
      </c>
      <c r="G677" t="n">
        <v>3.5</v>
      </c>
      <c r="H677" t="n">
        <v>0</v>
      </c>
      <c r="I677" t="n">
        <v>0</v>
      </c>
      <c r="J677" t="n">
        <v>0</v>
      </c>
      <c r="K677" t="n">
        <v>0</v>
      </c>
      <c r="L677" t="n">
        <v>0</v>
      </c>
      <c r="M677" t="n">
        <v>0</v>
      </c>
      <c r="N677" t="n">
        <v>0</v>
      </c>
      <c r="O677" t="n">
        <v>0</v>
      </c>
      <c r="P677" t="n">
        <v>0</v>
      </c>
      <c r="Q677" t="n">
        <v>0</v>
      </c>
      <c r="R677" s="2" t="inlineStr"/>
    </row>
    <row r="678" ht="15" customHeight="1">
      <c r="A678" t="inlineStr">
        <is>
          <t>A 34205-2023</t>
        </is>
      </c>
      <c r="B678" s="1" t="n">
        <v>45138</v>
      </c>
      <c r="C678" s="1" t="n">
        <v>46205</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57091-2022</t>
        </is>
      </c>
      <c r="B679" s="1" t="n">
        <v>44895</v>
      </c>
      <c r="C679" s="1" t="n">
        <v>46205</v>
      </c>
      <c r="D679" t="inlineStr">
        <is>
          <t>KALMAR LÄN</t>
        </is>
      </c>
      <c r="E679" t="inlineStr">
        <is>
          <t>VIMMERBY</t>
        </is>
      </c>
      <c r="G679" t="n">
        <v>2.6</v>
      </c>
      <c r="H679" t="n">
        <v>0</v>
      </c>
      <c r="I679" t="n">
        <v>0</v>
      </c>
      <c r="J679" t="n">
        <v>0</v>
      </c>
      <c r="K679" t="n">
        <v>0</v>
      </c>
      <c r="L679" t="n">
        <v>0</v>
      </c>
      <c r="M679" t="n">
        <v>0</v>
      </c>
      <c r="N679" t="n">
        <v>0</v>
      </c>
      <c r="O679" t="n">
        <v>0</v>
      </c>
      <c r="P679" t="n">
        <v>0</v>
      </c>
      <c r="Q679" t="n">
        <v>0</v>
      </c>
      <c r="R679" s="2" t="inlineStr"/>
    </row>
    <row r="680" ht="15" customHeight="1">
      <c r="A680" t="inlineStr">
        <is>
          <t>A 6807-2025</t>
        </is>
      </c>
      <c r="B680" s="1" t="n">
        <v>45700</v>
      </c>
      <c r="C680" s="1" t="n">
        <v>46205</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38851-2023</t>
        </is>
      </c>
      <c r="B681" s="1" t="n">
        <v>45163</v>
      </c>
      <c r="C681" s="1" t="n">
        <v>46205</v>
      </c>
      <c r="D681" t="inlineStr">
        <is>
          <t>KALMAR LÄN</t>
        </is>
      </c>
      <c r="E681" t="inlineStr">
        <is>
          <t>VIMMERBY</t>
        </is>
      </c>
      <c r="G681" t="n">
        <v>4.3</v>
      </c>
      <c r="H681" t="n">
        <v>0</v>
      </c>
      <c r="I681" t="n">
        <v>0</v>
      </c>
      <c r="J681" t="n">
        <v>0</v>
      </c>
      <c r="K681" t="n">
        <v>0</v>
      </c>
      <c r="L681" t="n">
        <v>0</v>
      </c>
      <c r="M681" t="n">
        <v>0</v>
      </c>
      <c r="N681" t="n">
        <v>0</v>
      </c>
      <c r="O681" t="n">
        <v>0</v>
      </c>
      <c r="P681" t="n">
        <v>0</v>
      </c>
      <c r="Q681" t="n">
        <v>0</v>
      </c>
      <c r="R681" s="2" t="inlineStr"/>
    </row>
    <row r="682" ht="15" customHeight="1">
      <c r="A682" t="inlineStr">
        <is>
          <t>A 53920-2025</t>
        </is>
      </c>
      <c r="B682" s="1" t="n">
        <v>45961</v>
      </c>
      <c r="C682" s="1" t="n">
        <v>46205</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23252-2024</t>
        </is>
      </c>
      <c r="B683" s="1" t="n">
        <v>45453</v>
      </c>
      <c r="C683" s="1" t="n">
        <v>46205</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5792-2023</t>
        </is>
      </c>
      <c r="B684" s="1" t="n">
        <v>44963</v>
      </c>
      <c r="C684" s="1" t="n">
        <v>46205</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2797-2023</t>
        </is>
      </c>
      <c r="B685" s="1" t="n">
        <v>44944</v>
      </c>
      <c r="C685" s="1" t="n">
        <v>46205</v>
      </c>
      <c r="D685" t="inlineStr">
        <is>
          <t>KALMAR LÄN</t>
        </is>
      </c>
      <c r="E685" t="inlineStr">
        <is>
          <t>VIMMERBY</t>
        </is>
      </c>
      <c r="G685" t="n">
        <v>3.4</v>
      </c>
      <c r="H685" t="n">
        <v>0</v>
      </c>
      <c r="I685" t="n">
        <v>0</v>
      </c>
      <c r="J685" t="n">
        <v>0</v>
      </c>
      <c r="K685" t="n">
        <v>0</v>
      </c>
      <c r="L685" t="n">
        <v>0</v>
      </c>
      <c r="M685" t="n">
        <v>0</v>
      </c>
      <c r="N685" t="n">
        <v>0</v>
      </c>
      <c r="O685" t="n">
        <v>0</v>
      </c>
      <c r="P685" t="n">
        <v>0</v>
      </c>
      <c r="Q685" t="n">
        <v>0</v>
      </c>
      <c r="R685" s="2" t="inlineStr"/>
    </row>
    <row r="686" ht="15" customHeight="1">
      <c r="A686" t="inlineStr">
        <is>
          <t>A 2799-2023</t>
        </is>
      </c>
      <c r="B686" s="1" t="n">
        <v>44944</v>
      </c>
      <c r="C686" s="1" t="n">
        <v>46205</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58278-2023</t>
        </is>
      </c>
      <c r="B687" s="1" t="n">
        <v>45250</v>
      </c>
      <c r="C687" s="1" t="n">
        <v>46205</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36259-2022</t>
        </is>
      </c>
      <c r="B688" s="1" t="n">
        <v>44803</v>
      </c>
      <c r="C688" s="1" t="n">
        <v>46205</v>
      </c>
      <c r="D688" t="inlineStr">
        <is>
          <t>KALMAR LÄN</t>
        </is>
      </c>
      <c r="E688" t="inlineStr">
        <is>
          <t>VIMMERBY</t>
        </is>
      </c>
      <c r="G688" t="n">
        <v>3.9</v>
      </c>
      <c r="H688" t="n">
        <v>0</v>
      </c>
      <c r="I688" t="n">
        <v>0</v>
      </c>
      <c r="J688" t="n">
        <v>0</v>
      </c>
      <c r="K688" t="n">
        <v>0</v>
      </c>
      <c r="L688" t="n">
        <v>0</v>
      </c>
      <c r="M688" t="n">
        <v>0</v>
      </c>
      <c r="N688" t="n">
        <v>0</v>
      </c>
      <c r="O688" t="n">
        <v>0</v>
      </c>
      <c r="P688" t="n">
        <v>0</v>
      </c>
      <c r="Q688" t="n">
        <v>0</v>
      </c>
      <c r="R688" s="2" t="inlineStr"/>
    </row>
    <row r="689" ht="15" customHeight="1">
      <c r="A689" t="inlineStr">
        <is>
          <t>A 29412-2026</t>
        </is>
      </c>
      <c r="B689" s="1" t="n">
        <v>46203</v>
      </c>
      <c r="C689" s="1" t="n">
        <v>46205</v>
      </c>
      <c r="D689" t="inlineStr">
        <is>
          <t>KALMAR LÄN</t>
        </is>
      </c>
      <c r="E689" t="inlineStr">
        <is>
          <t>VIMMERBY</t>
        </is>
      </c>
      <c r="G689" t="n">
        <v>6.3</v>
      </c>
      <c r="H689" t="n">
        <v>0</v>
      </c>
      <c r="I689" t="n">
        <v>0</v>
      </c>
      <c r="J689" t="n">
        <v>0</v>
      </c>
      <c r="K689" t="n">
        <v>0</v>
      </c>
      <c r="L689" t="n">
        <v>0</v>
      </c>
      <c r="M689" t="n">
        <v>0</v>
      </c>
      <c r="N689" t="n">
        <v>0</v>
      </c>
      <c r="O689" t="n">
        <v>0</v>
      </c>
      <c r="P689" t="n">
        <v>0</v>
      </c>
      <c r="Q689" t="n">
        <v>0</v>
      </c>
      <c r="R689" s="2" t="inlineStr"/>
    </row>
    <row r="690" ht="15" customHeight="1">
      <c r="A690" t="inlineStr">
        <is>
          <t>A 36526-2023</t>
        </is>
      </c>
      <c r="B690" s="1" t="n">
        <v>45153</v>
      </c>
      <c r="C690" s="1" t="n">
        <v>46205</v>
      </c>
      <c r="D690" t="inlineStr">
        <is>
          <t>KALMAR LÄN</t>
        </is>
      </c>
      <c r="E690" t="inlineStr">
        <is>
          <t>VIMMERBY</t>
        </is>
      </c>
      <c r="G690" t="n">
        <v>2.7</v>
      </c>
      <c r="H690" t="n">
        <v>0</v>
      </c>
      <c r="I690" t="n">
        <v>0</v>
      </c>
      <c r="J690" t="n">
        <v>0</v>
      </c>
      <c r="K690" t="n">
        <v>0</v>
      </c>
      <c r="L690" t="n">
        <v>0</v>
      </c>
      <c r="M690" t="n">
        <v>0</v>
      </c>
      <c r="N690" t="n">
        <v>0</v>
      </c>
      <c r="O690" t="n">
        <v>0</v>
      </c>
      <c r="P690" t="n">
        <v>0</v>
      </c>
      <c r="Q690" t="n">
        <v>0</v>
      </c>
      <c r="R690" s="2" t="inlineStr"/>
    </row>
    <row r="691" ht="15" customHeight="1">
      <c r="A691" t="inlineStr">
        <is>
          <t>A 29350-2023</t>
        </is>
      </c>
      <c r="B691" s="1" t="n">
        <v>45106</v>
      </c>
      <c r="C691" s="1" t="n">
        <v>46205</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29351-2023</t>
        </is>
      </c>
      <c r="B692" s="1" t="n">
        <v>45106</v>
      </c>
      <c r="C692" s="1" t="n">
        <v>46205</v>
      </c>
      <c r="D692" t="inlineStr">
        <is>
          <t>KALMAR LÄN</t>
        </is>
      </c>
      <c r="E692" t="inlineStr">
        <is>
          <t>VIMMERBY</t>
        </is>
      </c>
      <c r="G692" t="n">
        <v>0.4</v>
      </c>
      <c r="H692" t="n">
        <v>0</v>
      </c>
      <c r="I692" t="n">
        <v>0</v>
      </c>
      <c r="J692" t="n">
        <v>0</v>
      </c>
      <c r="K692" t="n">
        <v>0</v>
      </c>
      <c r="L692" t="n">
        <v>0</v>
      </c>
      <c r="M692" t="n">
        <v>0</v>
      </c>
      <c r="N692" t="n">
        <v>0</v>
      </c>
      <c r="O692" t="n">
        <v>0</v>
      </c>
      <c r="P692" t="n">
        <v>0</v>
      </c>
      <c r="Q692" t="n">
        <v>0</v>
      </c>
      <c r="R692" s="2" t="inlineStr"/>
    </row>
    <row r="693" ht="15" customHeight="1">
      <c r="A693" t="inlineStr">
        <is>
          <t>A 6474-2025</t>
        </is>
      </c>
      <c r="B693" s="1" t="n">
        <v>45699</v>
      </c>
      <c r="C693" s="1" t="n">
        <v>46205</v>
      </c>
      <c r="D693" t="inlineStr">
        <is>
          <t>KALMAR LÄN</t>
        </is>
      </c>
      <c r="E693" t="inlineStr">
        <is>
          <t>VIMMERBY</t>
        </is>
      </c>
      <c r="G693" t="n">
        <v>1.6</v>
      </c>
      <c r="H693" t="n">
        <v>0</v>
      </c>
      <c r="I693" t="n">
        <v>0</v>
      </c>
      <c r="J693" t="n">
        <v>0</v>
      </c>
      <c r="K693" t="n">
        <v>0</v>
      </c>
      <c r="L693" t="n">
        <v>0</v>
      </c>
      <c r="M693" t="n">
        <v>0</v>
      </c>
      <c r="N693" t="n">
        <v>0</v>
      </c>
      <c r="O693" t="n">
        <v>0</v>
      </c>
      <c r="P693" t="n">
        <v>0</v>
      </c>
      <c r="Q693" t="n">
        <v>0</v>
      </c>
      <c r="R693" s="2" t="inlineStr"/>
    </row>
    <row r="694" ht="15" customHeight="1">
      <c r="A694" t="inlineStr">
        <is>
          <t>A 29622-2026</t>
        </is>
      </c>
      <c r="B694" s="1" t="n">
        <v>46204</v>
      </c>
      <c r="C694" s="1" t="n">
        <v>46205</v>
      </c>
      <c r="D694" t="inlineStr">
        <is>
          <t>KALMAR LÄN</t>
        </is>
      </c>
      <c r="E694" t="inlineStr">
        <is>
          <t>VIMMERBY</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57555-2024</t>
        </is>
      </c>
      <c r="B695" s="1" t="n">
        <v>45630</v>
      </c>
      <c r="C695" s="1" t="n">
        <v>46205</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52279-2023</t>
        </is>
      </c>
      <c r="B696" s="1" t="n">
        <v>45224</v>
      </c>
      <c r="C696" s="1" t="n">
        <v>46205</v>
      </c>
      <c r="D696" t="inlineStr">
        <is>
          <t>KALMAR LÄN</t>
        </is>
      </c>
      <c r="E696" t="inlineStr">
        <is>
          <t>VIMMERBY</t>
        </is>
      </c>
      <c r="G696" t="n">
        <v>1.8</v>
      </c>
      <c r="H696" t="n">
        <v>0</v>
      </c>
      <c r="I696" t="n">
        <v>0</v>
      </c>
      <c r="J696" t="n">
        <v>0</v>
      </c>
      <c r="K696" t="n">
        <v>0</v>
      </c>
      <c r="L696" t="n">
        <v>0</v>
      </c>
      <c r="M696" t="n">
        <v>0</v>
      </c>
      <c r="N696" t="n">
        <v>0</v>
      </c>
      <c r="O696" t="n">
        <v>0</v>
      </c>
      <c r="P696" t="n">
        <v>0</v>
      </c>
      <c r="Q696" t="n">
        <v>0</v>
      </c>
      <c r="R696" s="2" t="inlineStr"/>
    </row>
    <row r="697" ht="15" customHeight="1">
      <c r="A697" t="inlineStr">
        <is>
          <t>A 52324-2023</t>
        </is>
      </c>
      <c r="B697" s="1" t="n">
        <v>45224</v>
      </c>
      <c r="C697" s="1" t="n">
        <v>46205</v>
      </c>
      <c r="D697" t="inlineStr">
        <is>
          <t>KALMAR LÄN</t>
        </is>
      </c>
      <c r="E697" t="inlineStr">
        <is>
          <t>VIMMERBY</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40730-2024</t>
        </is>
      </c>
      <c r="B698" s="1" t="n">
        <v>45558</v>
      </c>
      <c r="C698" s="1" t="n">
        <v>46205</v>
      </c>
      <c r="D698" t="inlineStr">
        <is>
          <t>KALMAR LÄN</t>
        </is>
      </c>
      <c r="E698" t="inlineStr">
        <is>
          <t>VIMMERBY</t>
        </is>
      </c>
      <c r="G698" t="n">
        <v>0.5</v>
      </c>
      <c r="H698" t="n">
        <v>0</v>
      </c>
      <c r="I698" t="n">
        <v>0</v>
      </c>
      <c r="J698" t="n">
        <v>0</v>
      </c>
      <c r="K698" t="n">
        <v>0</v>
      </c>
      <c r="L698" t="n">
        <v>0</v>
      </c>
      <c r="M698" t="n">
        <v>0</v>
      </c>
      <c r="N698" t="n">
        <v>0</v>
      </c>
      <c r="O698" t="n">
        <v>0</v>
      </c>
      <c r="P698" t="n">
        <v>0</v>
      </c>
      <c r="Q698" t="n">
        <v>0</v>
      </c>
      <c r="R698" s="2" t="inlineStr"/>
    </row>
    <row r="699" ht="15" customHeight="1">
      <c r="A699" t="inlineStr">
        <is>
          <t>A 9643-2023</t>
        </is>
      </c>
      <c r="B699" s="1" t="n">
        <v>44984</v>
      </c>
      <c r="C699" s="1" t="n">
        <v>46205</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56213-2024</t>
        </is>
      </c>
      <c r="B700" s="1" t="n">
        <v>45624</v>
      </c>
      <c r="C700" s="1" t="n">
        <v>46205</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9694-2023</t>
        </is>
      </c>
      <c r="B701" s="1" t="n">
        <v>44984</v>
      </c>
      <c r="C701" s="1" t="n">
        <v>46205</v>
      </c>
      <c r="D701" t="inlineStr">
        <is>
          <t>KALMAR LÄN</t>
        </is>
      </c>
      <c r="E701" t="inlineStr">
        <is>
          <t>VIMMERBY</t>
        </is>
      </c>
      <c r="G701" t="n">
        <v>2.1</v>
      </c>
      <c r="H701" t="n">
        <v>0</v>
      </c>
      <c r="I701" t="n">
        <v>0</v>
      </c>
      <c r="J701" t="n">
        <v>0</v>
      </c>
      <c r="K701" t="n">
        <v>0</v>
      </c>
      <c r="L701" t="n">
        <v>0</v>
      </c>
      <c r="M701" t="n">
        <v>0</v>
      </c>
      <c r="N701" t="n">
        <v>0</v>
      </c>
      <c r="O701" t="n">
        <v>0</v>
      </c>
      <c r="P701" t="n">
        <v>0</v>
      </c>
      <c r="Q701" t="n">
        <v>0</v>
      </c>
      <c r="R701" s="2" t="inlineStr"/>
    </row>
    <row r="702" ht="15" customHeight="1">
      <c r="A702" t="inlineStr">
        <is>
          <t>A 9710-2023</t>
        </is>
      </c>
      <c r="B702" s="1" t="n">
        <v>44984</v>
      </c>
      <c r="C702" s="1" t="n">
        <v>46205</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7944-2024</t>
        </is>
      </c>
      <c r="B703" s="1" t="n">
        <v>45350</v>
      </c>
      <c r="C703" s="1" t="n">
        <v>46205</v>
      </c>
      <c r="D703" t="inlineStr">
        <is>
          <t>KALMAR LÄN</t>
        </is>
      </c>
      <c r="E703" t="inlineStr">
        <is>
          <t>VIMMERBY</t>
        </is>
      </c>
      <c r="G703" t="n">
        <v>1.2</v>
      </c>
      <c r="H703" t="n">
        <v>0</v>
      </c>
      <c r="I703" t="n">
        <v>0</v>
      </c>
      <c r="J703" t="n">
        <v>0</v>
      </c>
      <c r="K703" t="n">
        <v>0</v>
      </c>
      <c r="L703" t="n">
        <v>0</v>
      </c>
      <c r="M703" t="n">
        <v>0</v>
      </c>
      <c r="N703" t="n">
        <v>0</v>
      </c>
      <c r="O703" t="n">
        <v>0</v>
      </c>
      <c r="P703" t="n">
        <v>0</v>
      </c>
      <c r="Q703" t="n">
        <v>0</v>
      </c>
      <c r="R703" s="2" t="inlineStr"/>
    </row>
    <row r="704" ht="15" customHeight="1">
      <c r="A704" t="inlineStr">
        <is>
          <t>A 10807-2024</t>
        </is>
      </c>
      <c r="B704" s="1" t="n">
        <v>45369</v>
      </c>
      <c r="C704" s="1" t="n">
        <v>46205</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40260-2024</t>
        </is>
      </c>
      <c r="B705" s="1" t="n">
        <v>45554</v>
      </c>
      <c r="C705" s="1" t="n">
        <v>46205</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10787-2025</t>
        </is>
      </c>
      <c r="B706" s="1" t="n">
        <v>45722</v>
      </c>
      <c r="C706" s="1" t="n">
        <v>46205</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58577-2024</t>
        </is>
      </c>
      <c r="B707" s="1" t="n">
        <v>45635</v>
      </c>
      <c r="C707" s="1" t="n">
        <v>46205</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38198-2024</t>
        </is>
      </c>
      <c r="B708" s="1" t="n">
        <v>45545</v>
      </c>
      <c r="C708" s="1" t="n">
        <v>46205</v>
      </c>
      <c r="D708" t="inlineStr">
        <is>
          <t>KALMAR LÄN</t>
        </is>
      </c>
      <c r="E708" t="inlineStr">
        <is>
          <t>VIMMERBY</t>
        </is>
      </c>
      <c r="G708" t="n">
        <v>7.9</v>
      </c>
      <c r="H708" t="n">
        <v>0</v>
      </c>
      <c r="I708" t="n">
        <v>0</v>
      </c>
      <c r="J708" t="n">
        <v>0</v>
      </c>
      <c r="K708" t="n">
        <v>0</v>
      </c>
      <c r="L708" t="n">
        <v>0</v>
      </c>
      <c r="M708" t="n">
        <v>0</v>
      </c>
      <c r="N708" t="n">
        <v>0</v>
      </c>
      <c r="O708" t="n">
        <v>0</v>
      </c>
      <c r="P708" t="n">
        <v>0</v>
      </c>
      <c r="Q708" t="n">
        <v>0</v>
      </c>
      <c r="R708" s="2" t="inlineStr"/>
    </row>
    <row r="709" ht="15" customHeight="1">
      <c r="A709" t="inlineStr">
        <is>
          <t>A 22264-2023</t>
        </is>
      </c>
      <c r="B709" s="1" t="n">
        <v>45070</v>
      </c>
      <c r="C709" s="1" t="n">
        <v>46205</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50091-2023</t>
        </is>
      </c>
      <c r="B710" s="1" t="n">
        <v>45215</v>
      </c>
      <c r="C710" s="1" t="n">
        <v>46205</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10303-2025</t>
        </is>
      </c>
      <c r="B711" s="1" t="n">
        <v>45720</v>
      </c>
      <c r="C711" s="1" t="n">
        <v>46205</v>
      </c>
      <c r="D711" t="inlineStr">
        <is>
          <t>KALMAR LÄN</t>
        </is>
      </c>
      <c r="E711" t="inlineStr">
        <is>
          <t>VIMMERBY</t>
        </is>
      </c>
      <c r="G711" t="n">
        <v>0.9</v>
      </c>
      <c r="H711" t="n">
        <v>0</v>
      </c>
      <c r="I711" t="n">
        <v>0</v>
      </c>
      <c r="J711" t="n">
        <v>0</v>
      </c>
      <c r="K711" t="n">
        <v>0</v>
      </c>
      <c r="L711" t="n">
        <v>0</v>
      </c>
      <c r="M711" t="n">
        <v>0</v>
      </c>
      <c r="N711" t="n">
        <v>0</v>
      </c>
      <c r="O711" t="n">
        <v>0</v>
      </c>
      <c r="P711" t="n">
        <v>0</v>
      </c>
      <c r="Q711" t="n">
        <v>0</v>
      </c>
      <c r="R711" s="2" t="inlineStr"/>
    </row>
    <row r="712" ht="15" customHeight="1">
      <c r="A712" t="inlineStr">
        <is>
          <t>A 11027-2023</t>
        </is>
      </c>
      <c r="B712" s="1" t="n">
        <v>44991</v>
      </c>
      <c r="C712" s="1" t="n">
        <v>46205</v>
      </c>
      <c r="D712" t="inlineStr">
        <is>
          <t>KALMAR LÄN</t>
        </is>
      </c>
      <c r="E712" t="inlineStr">
        <is>
          <t>VIMMERBY</t>
        </is>
      </c>
      <c r="G712" t="n">
        <v>0.8</v>
      </c>
      <c r="H712" t="n">
        <v>0</v>
      </c>
      <c r="I712" t="n">
        <v>0</v>
      </c>
      <c r="J712" t="n">
        <v>0</v>
      </c>
      <c r="K712" t="n">
        <v>0</v>
      </c>
      <c r="L712" t="n">
        <v>0</v>
      </c>
      <c r="M712" t="n">
        <v>0</v>
      </c>
      <c r="N712" t="n">
        <v>0</v>
      </c>
      <c r="O712" t="n">
        <v>0</v>
      </c>
      <c r="P712" t="n">
        <v>0</v>
      </c>
      <c r="Q712" t="n">
        <v>0</v>
      </c>
      <c r="R712" s="2" t="inlineStr"/>
    </row>
    <row r="713" ht="15" customHeight="1">
      <c r="A713" t="inlineStr">
        <is>
          <t>A 11661-2023</t>
        </is>
      </c>
      <c r="B713" s="1" t="n">
        <v>44994</v>
      </c>
      <c r="C713" s="1" t="n">
        <v>46205</v>
      </c>
      <c r="D713" t="inlineStr">
        <is>
          <t>KALMAR LÄN</t>
        </is>
      </c>
      <c r="E713" t="inlineStr">
        <is>
          <t>VIMMERBY</t>
        </is>
      </c>
      <c r="G713" t="n">
        <v>2.7</v>
      </c>
      <c r="H713" t="n">
        <v>0</v>
      </c>
      <c r="I713" t="n">
        <v>0</v>
      </c>
      <c r="J713" t="n">
        <v>0</v>
      </c>
      <c r="K713" t="n">
        <v>0</v>
      </c>
      <c r="L713" t="n">
        <v>0</v>
      </c>
      <c r="M713" t="n">
        <v>0</v>
      </c>
      <c r="N713" t="n">
        <v>0</v>
      </c>
      <c r="O713" t="n">
        <v>0</v>
      </c>
      <c r="P713" t="n">
        <v>0</v>
      </c>
      <c r="Q713" t="n">
        <v>0</v>
      </c>
      <c r="R713" s="2" t="inlineStr"/>
    </row>
    <row r="714" ht="15" customHeight="1">
      <c r="A714" t="inlineStr">
        <is>
          <t>A 36155-2023</t>
        </is>
      </c>
      <c r="B714" s="1" t="n">
        <v>45149</v>
      </c>
      <c r="C714" s="1" t="n">
        <v>46205</v>
      </c>
      <c r="D714" t="inlineStr">
        <is>
          <t>KALMAR LÄN</t>
        </is>
      </c>
      <c r="E714" t="inlineStr">
        <is>
          <t>VIMMERBY</t>
        </is>
      </c>
      <c r="G714" t="n">
        <v>5</v>
      </c>
      <c r="H714" t="n">
        <v>0</v>
      </c>
      <c r="I714" t="n">
        <v>0</v>
      </c>
      <c r="J714" t="n">
        <v>0</v>
      </c>
      <c r="K714" t="n">
        <v>0</v>
      </c>
      <c r="L714" t="n">
        <v>0</v>
      </c>
      <c r="M714" t="n">
        <v>0</v>
      </c>
      <c r="N714" t="n">
        <v>0</v>
      </c>
      <c r="O714" t="n">
        <v>0</v>
      </c>
      <c r="P714" t="n">
        <v>0</v>
      </c>
      <c r="Q714" t="n">
        <v>0</v>
      </c>
      <c r="R714" s="2" t="inlineStr"/>
    </row>
    <row r="715" ht="15" customHeight="1">
      <c r="A715" t="inlineStr">
        <is>
          <t>A 40147-2023</t>
        </is>
      </c>
      <c r="B715" s="1" t="n">
        <v>45169</v>
      </c>
      <c r="C715" s="1" t="n">
        <v>46205</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63950-2023</t>
        </is>
      </c>
      <c r="B716" s="1" t="n">
        <v>45278</v>
      </c>
      <c r="C716" s="1" t="n">
        <v>46205</v>
      </c>
      <c r="D716" t="inlineStr">
        <is>
          <t>KALMAR LÄN</t>
        </is>
      </c>
      <c r="E716" t="inlineStr">
        <is>
          <t>VIMMERBY</t>
        </is>
      </c>
      <c r="F716" t="inlineStr">
        <is>
          <t>Kyrkan</t>
        </is>
      </c>
      <c r="G716" t="n">
        <v>2.7</v>
      </c>
      <c r="H716" t="n">
        <v>0</v>
      </c>
      <c r="I716" t="n">
        <v>0</v>
      </c>
      <c r="J716" t="n">
        <v>0</v>
      </c>
      <c r="K716" t="n">
        <v>0</v>
      </c>
      <c r="L716" t="n">
        <v>0</v>
      </c>
      <c r="M716" t="n">
        <v>0</v>
      </c>
      <c r="N716" t="n">
        <v>0</v>
      </c>
      <c r="O716" t="n">
        <v>0</v>
      </c>
      <c r="P716" t="n">
        <v>0</v>
      </c>
      <c r="Q716" t="n">
        <v>0</v>
      </c>
      <c r="R716" s="2" t="inlineStr"/>
    </row>
    <row r="717" ht="15" customHeight="1">
      <c r="A717" t="inlineStr">
        <is>
          <t>A 24096-2024</t>
        </is>
      </c>
      <c r="B717" s="1" t="n">
        <v>45456</v>
      </c>
      <c r="C717" s="1" t="n">
        <v>46205</v>
      </c>
      <c r="D717" t="inlineStr">
        <is>
          <t>KALMAR LÄN</t>
        </is>
      </c>
      <c r="E717" t="inlineStr">
        <is>
          <t>VIMMERBY</t>
        </is>
      </c>
      <c r="G717" t="n">
        <v>2.3</v>
      </c>
      <c r="H717" t="n">
        <v>0</v>
      </c>
      <c r="I717" t="n">
        <v>0</v>
      </c>
      <c r="J717" t="n">
        <v>0</v>
      </c>
      <c r="K717" t="n">
        <v>0</v>
      </c>
      <c r="L717" t="n">
        <v>0</v>
      </c>
      <c r="M717" t="n">
        <v>0</v>
      </c>
      <c r="N717" t="n">
        <v>0</v>
      </c>
      <c r="O717" t="n">
        <v>0</v>
      </c>
      <c r="P717" t="n">
        <v>0</v>
      </c>
      <c r="Q717" t="n">
        <v>0</v>
      </c>
      <c r="R717" s="2" t="inlineStr"/>
    </row>
    <row r="718" ht="15" customHeight="1">
      <c r="A718" t="inlineStr">
        <is>
          <t>A 41199-2023</t>
        </is>
      </c>
      <c r="B718" s="1" t="n">
        <v>45174</v>
      </c>
      <c r="C718" s="1" t="n">
        <v>46205</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36014-2024</t>
        </is>
      </c>
      <c r="B719" s="1" t="n">
        <v>45533</v>
      </c>
      <c r="C719" s="1" t="n">
        <v>46205</v>
      </c>
      <c r="D719" t="inlineStr">
        <is>
          <t>KALMAR LÄN</t>
        </is>
      </c>
      <c r="E719" t="inlineStr">
        <is>
          <t>VIMMERBY</t>
        </is>
      </c>
      <c r="G719" t="n">
        <v>2.3</v>
      </c>
      <c r="H719" t="n">
        <v>0</v>
      </c>
      <c r="I719" t="n">
        <v>0</v>
      </c>
      <c r="J719" t="n">
        <v>0</v>
      </c>
      <c r="K719" t="n">
        <v>0</v>
      </c>
      <c r="L719" t="n">
        <v>0</v>
      </c>
      <c r="M719" t="n">
        <v>0</v>
      </c>
      <c r="N719" t="n">
        <v>0</v>
      </c>
      <c r="O719" t="n">
        <v>0</v>
      </c>
      <c r="P719" t="n">
        <v>0</v>
      </c>
      <c r="Q719" t="n">
        <v>0</v>
      </c>
      <c r="R719" s="2" t="inlineStr"/>
    </row>
    <row r="720" ht="15" customHeight="1">
      <c r="A720" t="inlineStr">
        <is>
          <t>A 36030-2024</t>
        </is>
      </c>
      <c r="B720" s="1" t="n">
        <v>45533</v>
      </c>
      <c r="C720" s="1" t="n">
        <v>46205</v>
      </c>
      <c r="D720" t="inlineStr">
        <is>
          <t>KALMAR LÄN</t>
        </is>
      </c>
      <c r="E720" t="inlineStr">
        <is>
          <t>VIMMERBY</t>
        </is>
      </c>
      <c r="F720" t="inlineStr">
        <is>
          <t>Kommuner</t>
        </is>
      </c>
      <c r="G720" t="n">
        <v>4</v>
      </c>
      <c r="H720" t="n">
        <v>0</v>
      </c>
      <c r="I720" t="n">
        <v>0</v>
      </c>
      <c r="J720" t="n">
        <v>0</v>
      </c>
      <c r="K720" t="n">
        <v>0</v>
      </c>
      <c r="L720" t="n">
        <v>0</v>
      </c>
      <c r="M720" t="n">
        <v>0</v>
      </c>
      <c r="N720" t="n">
        <v>0</v>
      </c>
      <c r="O720" t="n">
        <v>0</v>
      </c>
      <c r="P720" t="n">
        <v>0</v>
      </c>
      <c r="Q720" t="n">
        <v>0</v>
      </c>
      <c r="R720" s="2" t="inlineStr"/>
    </row>
    <row r="721" ht="15" customHeight="1">
      <c r="A721" t="inlineStr">
        <is>
          <t>A 6321-2023</t>
        </is>
      </c>
      <c r="B721" s="1" t="n">
        <v>44965</v>
      </c>
      <c r="C721" s="1" t="n">
        <v>46205</v>
      </c>
      <c r="D721" t="inlineStr">
        <is>
          <t>KALMAR LÄN</t>
        </is>
      </c>
      <c r="E721" t="inlineStr">
        <is>
          <t>VIMMERBY</t>
        </is>
      </c>
      <c r="G721" t="n">
        <v>1.8</v>
      </c>
      <c r="H721" t="n">
        <v>0</v>
      </c>
      <c r="I721" t="n">
        <v>0</v>
      </c>
      <c r="J721" t="n">
        <v>0</v>
      </c>
      <c r="K721" t="n">
        <v>0</v>
      </c>
      <c r="L721" t="n">
        <v>0</v>
      </c>
      <c r="M721" t="n">
        <v>0</v>
      </c>
      <c r="N721" t="n">
        <v>0</v>
      </c>
      <c r="O721" t="n">
        <v>0</v>
      </c>
      <c r="P721" t="n">
        <v>0</v>
      </c>
      <c r="Q721" t="n">
        <v>0</v>
      </c>
      <c r="R721" s="2" t="inlineStr"/>
    </row>
    <row r="722" ht="15" customHeight="1">
      <c r="A722" t="inlineStr">
        <is>
          <t>A 52755-2022</t>
        </is>
      </c>
      <c r="B722" s="1" t="n">
        <v>44875</v>
      </c>
      <c r="C722" s="1" t="n">
        <v>46205</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40823-2023</t>
        </is>
      </c>
      <c r="B723" s="1" t="n">
        <v>45171</v>
      </c>
      <c r="C723" s="1" t="n">
        <v>46205</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27761-2024</t>
        </is>
      </c>
      <c r="B724" s="1" t="n">
        <v>45475</v>
      </c>
      <c r="C724" s="1" t="n">
        <v>46205</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21028-2023</t>
        </is>
      </c>
      <c r="B725" s="1" t="n">
        <v>45061</v>
      </c>
      <c r="C725" s="1" t="n">
        <v>46205</v>
      </c>
      <c r="D725" t="inlineStr">
        <is>
          <t>KALMAR LÄN</t>
        </is>
      </c>
      <c r="E725" t="inlineStr">
        <is>
          <t>VIMMERBY</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64203-2021</t>
        </is>
      </c>
      <c r="B726" s="1" t="n">
        <v>44510</v>
      </c>
      <c r="C726" s="1" t="n">
        <v>46205</v>
      </c>
      <c r="D726" t="inlineStr">
        <is>
          <t>KALMAR LÄN</t>
        </is>
      </c>
      <c r="E726" t="inlineStr">
        <is>
          <t>VIMMERBY</t>
        </is>
      </c>
      <c r="F726" t="inlineStr">
        <is>
          <t>Övriga Aktiebolag</t>
        </is>
      </c>
      <c r="G726" t="n">
        <v>5.4</v>
      </c>
      <c r="H726" t="n">
        <v>0</v>
      </c>
      <c r="I726" t="n">
        <v>0</v>
      </c>
      <c r="J726" t="n">
        <v>0</v>
      </c>
      <c r="K726" t="n">
        <v>0</v>
      </c>
      <c r="L726" t="n">
        <v>0</v>
      </c>
      <c r="M726" t="n">
        <v>0</v>
      </c>
      <c r="N726" t="n">
        <v>0</v>
      </c>
      <c r="O726" t="n">
        <v>0</v>
      </c>
      <c r="P726" t="n">
        <v>0</v>
      </c>
      <c r="Q726" t="n">
        <v>0</v>
      </c>
      <c r="R726" s="2" t="inlineStr"/>
    </row>
    <row r="727" ht="15" customHeight="1">
      <c r="A727" t="inlineStr">
        <is>
          <t>A 1016-2024</t>
        </is>
      </c>
      <c r="B727" s="1" t="n">
        <v>45301</v>
      </c>
      <c r="C727" s="1" t="n">
        <v>46205</v>
      </c>
      <c r="D727" t="inlineStr">
        <is>
          <t>KALMAR LÄN</t>
        </is>
      </c>
      <c r="E727" t="inlineStr">
        <is>
          <t>VIMMERBY</t>
        </is>
      </c>
      <c r="G727" t="n">
        <v>1</v>
      </c>
      <c r="H727" t="n">
        <v>0</v>
      </c>
      <c r="I727" t="n">
        <v>0</v>
      </c>
      <c r="J727" t="n">
        <v>0</v>
      </c>
      <c r="K727" t="n">
        <v>0</v>
      </c>
      <c r="L727" t="n">
        <v>0</v>
      </c>
      <c r="M727" t="n">
        <v>0</v>
      </c>
      <c r="N727" t="n">
        <v>0</v>
      </c>
      <c r="O727" t="n">
        <v>0</v>
      </c>
      <c r="P727" t="n">
        <v>0</v>
      </c>
      <c r="Q727" t="n">
        <v>0</v>
      </c>
      <c r="R727" s="2" t="inlineStr"/>
    </row>
    <row r="728" ht="15" customHeight="1">
      <c r="A728" t="inlineStr">
        <is>
          <t>A 1024-2024</t>
        </is>
      </c>
      <c r="B728" s="1" t="n">
        <v>45301</v>
      </c>
      <c r="C728" s="1" t="n">
        <v>46205</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27758-2024</t>
        </is>
      </c>
      <c r="B729" s="1" t="n">
        <v>45475</v>
      </c>
      <c r="C729" s="1" t="n">
        <v>46205</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32865-2023</t>
        </is>
      </c>
      <c r="B730" s="1" t="n">
        <v>45124</v>
      </c>
      <c r="C730" s="1" t="n">
        <v>46205</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17926-2025</t>
        </is>
      </c>
      <c r="B731" s="1" t="n">
        <v>45759</v>
      </c>
      <c r="C731" s="1" t="n">
        <v>46205</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35127-2024</t>
        </is>
      </c>
      <c r="B732" s="1" t="n">
        <v>45530</v>
      </c>
      <c r="C732" s="1" t="n">
        <v>46205</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33383-2023</t>
        </is>
      </c>
      <c r="B733" s="1" t="n">
        <v>45128</v>
      </c>
      <c r="C733" s="1" t="n">
        <v>46205</v>
      </c>
      <c r="D733" t="inlineStr">
        <is>
          <t>KALMAR LÄN</t>
        </is>
      </c>
      <c r="E733" t="inlineStr">
        <is>
          <t>VIMMERBY</t>
        </is>
      </c>
      <c r="G733" t="n">
        <v>2.3</v>
      </c>
      <c r="H733" t="n">
        <v>0</v>
      </c>
      <c r="I733" t="n">
        <v>0</v>
      </c>
      <c r="J733" t="n">
        <v>0</v>
      </c>
      <c r="K733" t="n">
        <v>0</v>
      </c>
      <c r="L733" t="n">
        <v>0</v>
      </c>
      <c r="M733" t="n">
        <v>0</v>
      </c>
      <c r="N733" t="n">
        <v>0</v>
      </c>
      <c r="O733" t="n">
        <v>0</v>
      </c>
      <c r="P733" t="n">
        <v>0</v>
      </c>
      <c r="Q733" t="n">
        <v>0</v>
      </c>
      <c r="R733" s="2" t="inlineStr"/>
    </row>
    <row r="734" ht="15" customHeight="1">
      <c r="A734" t="inlineStr">
        <is>
          <t>A 55716-2023</t>
        </is>
      </c>
      <c r="B734" s="1" t="n">
        <v>45232</v>
      </c>
      <c r="C734" s="1" t="n">
        <v>46205</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34386-2024</t>
        </is>
      </c>
      <c r="B735" s="1" t="n">
        <v>45525</v>
      </c>
      <c r="C735" s="1" t="n">
        <v>46205</v>
      </c>
      <c r="D735" t="inlineStr">
        <is>
          <t>KALMAR LÄN</t>
        </is>
      </c>
      <c r="E735" t="inlineStr">
        <is>
          <t>VIMMERBY</t>
        </is>
      </c>
      <c r="G735" t="n">
        <v>0.3</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v>
      </c>
      <c r="C736" s="1" t="n">
        <v>46205</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59943-2023</t>
        </is>
      </c>
      <c r="B737" s="1" t="n">
        <v>45257</v>
      </c>
      <c r="C737" s="1" t="n">
        <v>46205</v>
      </c>
      <c r="D737" t="inlineStr">
        <is>
          <t>KALMAR LÄN</t>
        </is>
      </c>
      <c r="E737" t="inlineStr">
        <is>
          <t>VIMMERBY</t>
        </is>
      </c>
      <c r="G737" t="n">
        <v>6.4</v>
      </c>
      <c r="H737" t="n">
        <v>0</v>
      </c>
      <c r="I737" t="n">
        <v>0</v>
      </c>
      <c r="J737" t="n">
        <v>0</v>
      </c>
      <c r="K737" t="n">
        <v>0</v>
      </c>
      <c r="L737" t="n">
        <v>0</v>
      </c>
      <c r="M737" t="n">
        <v>0</v>
      </c>
      <c r="N737" t="n">
        <v>0</v>
      </c>
      <c r="O737" t="n">
        <v>0</v>
      </c>
      <c r="P737" t="n">
        <v>0</v>
      </c>
      <c r="Q737" t="n">
        <v>0</v>
      </c>
      <c r="R737" s="2" t="inlineStr"/>
    </row>
    <row r="738" ht="15" customHeight="1">
      <c r="A738" t="inlineStr">
        <is>
          <t>A 15493-2023</t>
        </is>
      </c>
      <c r="B738" s="1" t="n">
        <v>45018</v>
      </c>
      <c r="C738" s="1" t="n">
        <v>46205</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51881-2024</t>
        </is>
      </c>
      <c r="B739" s="1" t="n">
        <v>45607</v>
      </c>
      <c r="C739" s="1" t="n">
        <v>46205</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1021-2024</t>
        </is>
      </c>
      <c r="B740" s="1" t="n">
        <v>45301</v>
      </c>
      <c r="C740" s="1" t="n">
        <v>46205</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32569-2024</t>
        </is>
      </c>
      <c r="B741" s="1" t="n">
        <v>45513</v>
      </c>
      <c r="C741" s="1" t="n">
        <v>46205</v>
      </c>
      <c r="D741" t="inlineStr">
        <is>
          <t>KALMAR LÄN</t>
        </is>
      </c>
      <c r="E741" t="inlineStr">
        <is>
          <t>VIMMERBY</t>
        </is>
      </c>
      <c r="G741" t="n">
        <v>3.7</v>
      </c>
      <c r="H741" t="n">
        <v>0</v>
      </c>
      <c r="I741" t="n">
        <v>0</v>
      </c>
      <c r="J741" t="n">
        <v>0</v>
      </c>
      <c r="K741" t="n">
        <v>0</v>
      </c>
      <c r="L741" t="n">
        <v>0</v>
      </c>
      <c r="M741" t="n">
        <v>0</v>
      </c>
      <c r="N741" t="n">
        <v>0</v>
      </c>
      <c r="O741" t="n">
        <v>0</v>
      </c>
      <c r="P741" t="n">
        <v>0</v>
      </c>
      <c r="Q741" t="n">
        <v>0</v>
      </c>
      <c r="R741" s="2" t="inlineStr"/>
    </row>
    <row r="742" ht="15" customHeight="1">
      <c r="A742" t="inlineStr">
        <is>
          <t>A 32575-2024</t>
        </is>
      </c>
      <c r="B742" s="1" t="n">
        <v>45513</v>
      </c>
      <c r="C742" s="1" t="n">
        <v>46205</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30063-2023</t>
        </is>
      </c>
      <c r="B743" s="1" t="n">
        <v>45110</v>
      </c>
      <c r="C743" s="1" t="n">
        <v>46205</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17482-2024</t>
        </is>
      </c>
      <c r="B744" s="1" t="n">
        <v>45415</v>
      </c>
      <c r="C744" s="1" t="n">
        <v>46205</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13817-2024</t>
        </is>
      </c>
      <c r="B745" s="1" t="n">
        <v>45391</v>
      </c>
      <c r="C745" s="1" t="n">
        <v>46205</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30406-2023</t>
        </is>
      </c>
      <c r="B746" s="1" t="n">
        <v>45111</v>
      </c>
      <c r="C746" s="1" t="n">
        <v>46205</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29020-2024</t>
        </is>
      </c>
      <c r="B747" s="1" t="n">
        <v>45481</v>
      </c>
      <c r="C747" s="1" t="n">
        <v>46205</v>
      </c>
      <c r="D747" t="inlineStr">
        <is>
          <t>KALMAR LÄN</t>
        </is>
      </c>
      <c r="E747" t="inlineStr">
        <is>
          <t>VIMMERBY</t>
        </is>
      </c>
      <c r="G747" t="n">
        <v>2.3</v>
      </c>
      <c r="H747" t="n">
        <v>0</v>
      </c>
      <c r="I747" t="n">
        <v>0</v>
      </c>
      <c r="J747" t="n">
        <v>0</v>
      </c>
      <c r="K747" t="n">
        <v>0</v>
      </c>
      <c r="L747" t="n">
        <v>0</v>
      </c>
      <c r="M747" t="n">
        <v>0</v>
      </c>
      <c r="N747" t="n">
        <v>0</v>
      </c>
      <c r="O747" t="n">
        <v>0</v>
      </c>
      <c r="P747" t="n">
        <v>0</v>
      </c>
      <c r="Q747" t="n">
        <v>0</v>
      </c>
      <c r="R747" s="2" t="inlineStr"/>
    </row>
    <row r="748" ht="15" customHeight="1">
      <c r="A748" t="inlineStr">
        <is>
          <t>A 25582-2024</t>
        </is>
      </c>
      <c r="B748" s="1" t="n">
        <v>45463</v>
      </c>
      <c r="C748" s="1" t="n">
        <v>46205</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57578-2024</t>
        </is>
      </c>
      <c r="B749" s="1" t="n">
        <v>45630</v>
      </c>
      <c r="C749" s="1" t="n">
        <v>46205</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11442-2025</t>
        </is>
      </c>
      <c r="B750" s="1" t="n">
        <v>45726</v>
      </c>
      <c r="C750" s="1" t="n">
        <v>46205</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c r="A751" t="inlineStr">
        <is>
          <t>A 6307-2025</t>
        </is>
      </c>
      <c r="B751" s="1" t="n">
        <v>45698</v>
      </c>
      <c r="C751" s="1" t="n">
        <v>46205</v>
      </c>
      <c r="D751" t="inlineStr">
        <is>
          <t>KALMAR LÄN</t>
        </is>
      </c>
      <c r="E751" t="inlineStr">
        <is>
          <t>VIMMERBY</t>
        </is>
      </c>
      <c r="G751" t="n">
        <v>3</v>
      </c>
      <c r="H751" t="n">
        <v>0</v>
      </c>
      <c r="I751" t="n">
        <v>0</v>
      </c>
      <c r="J751" t="n">
        <v>0</v>
      </c>
      <c r="K751" t="n">
        <v>0</v>
      </c>
      <c r="L751" t="n">
        <v>0</v>
      </c>
      <c r="M751" t="n">
        <v>0</v>
      </c>
      <c r="N751" t="n">
        <v>0</v>
      </c>
      <c r="O751" t="n">
        <v>0</v>
      </c>
      <c r="P751" t="n">
        <v>0</v>
      </c>
      <c r="Q751" t="n">
        <v>0</v>
      </c>
      <c r="R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2026-07-02T01:00:23Z</dcterms:created>
  <dcterms:modified xmlns:dcterms="http://purl.org/dc/terms/" xmlns:xsi="http://www.w3.org/2001/XMLSchema-instance" xsi:type="dcterms:W3CDTF">2026-07-02T01:00:23Z</dcterms:modified>
</cp:coreProperties>
</file>