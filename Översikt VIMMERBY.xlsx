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45938</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45938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45938</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3075-2025</t>
        </is>
      </c>
      <c r="B11" s="1" t="n">
        <v>45678</v>
      </c>
      <c r="C11" s="1" t="n">
        <v>45938</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32645-2023</t>
        </is>
      </c>
      <c r="B12" s="1" t="n">
        <v>45121.60543981481</v>
      </c>
      <c r="C12" s="1" t="n">
        <v>45938</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45938</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45938</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45938</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45938</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45938</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15427-2023</t>
        </is>
      </c>
      <c r="B18" s="1" t="n">
        <v>45020</v>
      </c>
      <c r="C18" s="1" t="n">
        <v>45938</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37667-2025</t>
        </is>
      </c>
      <c r="B19" s="1" t="n">
        <v>45880.51413194444</v>
      </c>
      <c r="C19" s="1" t="n">
        <v>45938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45938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45938</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45938</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45938</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45938</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22396-2025</t>
        </is>
      </c>
      <c r="B27" s="1" t="n">
        <v>45786.52827546297</v>
      </c>
      <c r="C27" s="1" t="n">
        <v>45938</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45938</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40684-2025</t>
        </is>
      </c>
      <c r="B29" s="1" t="n">
        <v>45896.86820601852</v>
      </c>
      <c r="C29" s="1" t="n">
        <v>45938</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45938</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45938</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45938</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23602-2023</t>
        </is>
      </c>
      <c r="B33" s="1" t="n">
        <v>45077</v>
      </c>
      <c r="C33" s="1" t="n">
        <v>45938</v>
      </c>
      <c r="D33" t="inlineStr">
        <is>
          <t>KALMAR LÄN</t>
        </is>
      </c>
      <c r="E33" t="inlineStr">
        <is>
          <t>VIMMERBY</t>
        </is>
      </c>
      <c r="G33" t="n">
        <v>1.6</v>
      </c>
      <c r="H33" t="n">
        <v>0</v>
      </c>
      <c r="I33" t="n">
        <v>0</v>
      </c>
      <c r="J33" t="n">
        <v>1</v>
      </c>
      <c r="K33" t="n">
        <v>0</v>
      </c>
      <c r="L33" t="n">
        <v>0</v>
      </c>
      <c r="M33" t="n">
        <v>0</v>
      </c>
      <c r="N33" t="n">
        <v>0</v>
      </c>
      <c r="O33" t="n">
        <v>1</v>
      </c>
      <c r="P33" t="n">
        <v>0</v>
      </c>
      <c r="Q33" t="n">
        <v>1</v>
      </c>
      <c r="R33" s="2" t="inlineStr">
        <is>
          <t>Vedtrappmossa</t>
        </is>
      </c>
      <c r="S33">
        <f>HYPERLINK("https://klasma.github.io/Logging_0884/artfynd/A 23602-2023 artfynd.xlsx", "A 23602-2023")</f>
        <v/>
      </c>
      <c r="T33">
        <f>HYPERLINK("https://klasma.github.io/Logging_0884/kartor/A 23602-2023 karta.png", "A 23602-2023")</f>
        <v/>
      </c>
      <c r="V33">
        <f>HYPERLINK("https://klasma.github.io/Logging_0884/klagomål/A 23602-2023 FSC-klagomål.docx", "A 23602-2023")</f>
        <v/>
      </c>
      <c r="W33">
        <f>HYPERLINK("https://klasma.github.io/Logging_0884/klagomålsmail/A 23602-2023 FSC-klagomål mail.docx", "A 23602-2023")</f>
        <v/>
      </c>
      <c r="X33">
        <f>HYPERLINK("https://klasma.github.io/Logging_0884/tillsyn/A 23602-2023 tillsynsbegäran.docx", "A 23602-2023")</f>
        <v/>
      </c>
      <c r="Y33">
        <f>HYPERLINK("https://klasma.github.io/Logging_0884/tillsynsmail/A 23602-2023 tillsynsbegäran mail.docx", "A 23602-2023")</f>
        <v/>
      </c>
    </row>
    <row r="34" ht="15" customHeight="1">
      <c r="A34" t="inlineStr">
        <is>
          <t>A 46824-2025</t>
        </is>
      </c>
      <c r="B34" s="1" t="n">
        <v>45926.90006944445</v>
      </c>
      <c r="C34" s="1" t="n">
        <v>45938</v>
      </c>
      <c r="D34" t="inlineStr">
        <is>
          <t>KALMAR LÄN</t>
        </is>
      </c>
      <c r="E34" t="inlineStr">
        <is>
          <t>VIMMERBY</t>
        </is>
      </c>
      <c r="G34" t="n">
        <v>2.8</v>
      </c>
      <c r="H34" t="n">
        <v>1</v>
      </c>
      <c r="I34" t="n">
        <v>0</v>
      </c>
      <c r="J34" t="n">
        <v>0</v>
      </c>
      <c r="K34" t="n">
        <v>1</v>
      </c>
      <c r="L34" t="n">
        <v>0</v>
      </c>
      <c r="M34" t="n">
        <v>0</v>
      </c>
      <c r="N34" t="n">
        <v>0</v>
      </c>
      <c r="O34" t="n">
        <v>1</v>
      </c>
      <c r="P34" t="n">
        <v>1</v>
      </c>
      <c r="Q34" t="n">
        <v>1</v>
      </c>
      <c r="R34" s="2" t="inlineStr">
        <is>
          <t>Knärot</t>
        </is>
      </c>
      <c r="S34">
        <f>HYPERLINK("https://klasma.github.io/Logging_0884/artfynd/A 46824-2025 artfynd.xlsx", "A 46824-2025")</f>
        <v/>
      </c>
      <c r="T34">
        <f>HYPERLINK("https://klasma.github.io/Logging_0884/kartor/A 46824-2025 karta.png", "A 46824-2025")</f>
        <v/>
      </c>
      <c r="U34">
        <f>HYPERLINK("https://klasma.github.io/Logging_0884/knärot/A 46824-2025 karta knärot.png", "A 46824-2025")</f>
        <v/>
      </c>
      <c r="V34">
        <f>HYPERLINK("https://klasma.github.io/Logging_0884/klagomål/A 46824-2025 FSC-klagomål.docx", "A 46824-2025")</f>
        <v/>
      </c>
      <c r="W34">
        <f>HYPERLINK("https://klasma.github.io/Logging_0884/klagomålsmail/A 46824-2025 FSC-klagomål mail.docx", "A 46824-2025")</f>
        <v/>
      </c>
      <c r="X34">
        <f>HYPERLINK("https://klasma.github.io/Logging_0884/tillsyn/A 46824-2025 tillsynsbegäran.docx", "A 46824-2025")</f>
        <v/>
      </c>
      <c r="Y34">
        <f>HYPERLINK("https://klasma.github.io/Logging_0884/tillsynsmail/A 46824-2025 tillsynsbegäran mail.docx", "A 46824-2025")</f>
        <v/>
      </c>
    </row>
    <row r="35" ht="15" customHeight="1">
      <c r="A35" t="inlineStr">
        <is>
          <t>A 28852-2023</t>
        </is>
      </c>
      <c r="B35" s="1" t="n">
        <v>45104</v>
      </c>
      <c r="C35" s="1" t="n">
        <v>45938</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6841-2021</t>
        </is>
      </c>
      <c r="B36" s="1" t="n">
        <v>44236</v>
      </c>
      <c r="C36" s="1" t="n">
        <v>45938</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44515-2024</t>
        </is>
      </c>
      <c r="B37" s="1" t="n">
        <v>45574.42767361111</v>
      </c>
      <c r="C37" s="1" t="n">
        <v>45938</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38602-2025</t>
        </is>
      </c>
      <c r="B38" s="1" t="n">
        <v>45884.50331018519</v>
      </c>
      <c r="C38" s="1" t="n">
        <v>45938</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38602-2025 artfynd.xlsx", "A 38602-2025")</f>
        <v/>
      </c>
      <c r="T38">
        <f>HYPERLINK("https://klasma.github.io/Logging_0884/kartor/A 38602-2025 karta.png", "A 38602-2025")</f>
        <v/>
      </c>
      <c r="U38">
        <f>HYPERLINK("https://klasma.github.io/Logging_0884/knärot/A 38602-2025 karta knärot.png", "A 38602-2025")</f>
        <v/>
      </c>
      <c r="V38">
        <f>HYPERLINK("https://klasma.github.io/Logging_0884/klagomål/A 38602-2025 FSC-klagomål.docx", "A 38602-2025")</f>
        <v/>
      </c>
      <c r="W38">
        <f>HYPERLINK("https://klasma.github.io/Logging_0884/klagomålsmail/A 38602-2025 FSC-klagomål mail.docx", "A 38602-2025")</f>
        <v/>
      </c>
      <c r="X38">
        <f>HYPERLINK("https://klasma.github.io/Logging_0884/tillsyn/A 38602-2025 tillsynsbegäran.docx", "A 38602-2025")</f>
        <v/>
      </c>
      <c r="Y38">
        <f>HYPERLINK("https://klasma.github.io/Logging_0884/tillsynsmail/A 38602-2025 tillsynsbegäran mail.docx", "A 38602-2025")</f>
        <v/>
      </c>
    </row>
    <row r="39" ht="15" customHeight="1">
      <c r="A39" t="inlineStr">
        <is>
          <t>A 52301-2023</t>
        </is>
      </c>
      <c r="B39" s="1" t="n">
        <v>45224</v>
      </c>
      <c r="C39" s="1" t="n">
        <v>45938</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61860-2024</t>
        </is>
      </c>
      <c r="B40" s="1" t="n">
        <v>45649</v>
      </c>
      <c r="C40" s="1" t="n">
        <v>45938</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32985-2023</t>
        </is>
      </c>
      <c r="B41" s="1" t="n">
        <v>45125</v>
      </c>
      <c r="C41" s="1" t="n">
        <v>45938</v>
      </c>
      <c r="D41" t="inlineStr">
        <is>
          <t>KALMAR LÄN</t>
        </is>
      </c>
      <c r="E41" t="inlineStr">
        <is>
          <t>VIMMERBY</t>
        </is>
      </c>
      <c r="G41" t="n">
        <v>1.9</v>
      </c>
      <c r="H41" t="n">
        <v>0</v>
      </c>
      <c r="I41" t="n">
        <v>0</v>
      </c>
      <c r="J41" t="n">
        <v>0</v>
      </c>
      <c r="K41" t="n">
        <v>0</v>
      </c>
      <c r="L41" t="n">
        <v>1</v>
      </c>
      <c r="M41" t="n">
        <v>0</v>
      </c>
      <c r="N41" t="n">
        <v>0</v>
      </c>
      <c r="O41" t="n">
        <v>1</v>
      </c>
      <c r="P41" t="n">
        <v>1</v>
      </c>
      <c r="Q41" t="n">
        <v>1</v>
      </c>
      <c r="R41" s="2" t="inlineStr">
        <is>
          <t>Ryl</t>
        </is>
      </c>
      <c r="S41">
        <f>HYPERLINK("https://klasma.github.io/Logging_0884/artfynd/A 32985-2023 artfynd.xlsx", "A 32985-2023")</f>
        <v/>
      </c>
      <c r="T41">
        <f>HYPERLINK("https://klasma.github.io/Logging_0884/kartor/A 32985-2023 karta.png", "A 32985-2023")</f>
        <v/>
      </c>
      <c r="V41">
        <f>HYPERLINK("https://klasma.github.io/Logging_0884/klagomål/A 32985-2023 FSC-klagomål.docx", "A 32985-2023")</f>
        <v/>
      </c>
      <c r="W41">
        <f>HYPERLINK("https://klasma.github.io/Logging_0884/klagomålsmail/A 32985-2023 FSC-klagomål mail.docx", "A 32985-2023")</f>
        <v/>
      </c>
      <c r="X41">
        <f>HYPERLINK("https://klasma.github.io/Logging_0884/tillsyn/A 32985-2023 tillsynsbegäran.docx", "A 32985-2023")</f>
        <v/>
      </c>
      <c r="Y41">
        <f>HYPERLINK("https://klasma.github.io/Logging_0884/tillsynsmail/A 32985-2023 tillsynsbegäran mail.docx", "A 32985-2023")</f>
        <v/>
      </c>
    </row>
    <row r="42" ht="15" customHeight="1">
      <c r="A42" t="inlineStr">
        <is>
          <t>A 15122-2024</t>
        </is>
      </c>
      <c r="B42" s="1" t="n">
        <v>45399.71412037037</v>
      </c>
      <c r="C42" s="1" t="n">
        <v>45938</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40083-2023</t>
        </is>
      </c>
      <c r="B43" s="1" t="n">
        <v>45168</v>
      </c>
      <c r="C43" s="1" t="n">
        <v>45938</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45938</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1201-2025</t>
        </is>
      </c>
      <c r="B45" s="1" t="n">
        <v>45667</v>
      </c>
      <c r="C45" s="1" t="n">
        <v>45938</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45938</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37930-2021</t>
        </is>
      </c>
      <c r="B47" s="1" t="n">
        <v>44403</v>
      </c>
      <c r="C47" s="1" t="n">
        <v>45938</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45938</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45938</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45938</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45938</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45938</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45938</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45938</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45938</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45938</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45938</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45938</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45938</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45938</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45938</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45938</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45938</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45938</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45938</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45938</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45938</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45938</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45938</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45938</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45938</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45938</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45938</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45938</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45938</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45938</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45938</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45938</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45938</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45938</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45938</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45938</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45938</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45938</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45938</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45938</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45938</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45938</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45938</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45938</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45938</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45938</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45938</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45938</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45938</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45938</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45938</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45938</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45938</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45938</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45938</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45938</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45938</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45938</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45938</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45938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45938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45938</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45938</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45938</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45938</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45938</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45938</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45938</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45938</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45938</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45938</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45938</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45938</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45938</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52073-2020</t>
        </is>
      </c>
      <c r="B126" s="1" t="n">
        <v>44117</v>
      </c>
      <c r="C126" s="1" t="n">
        <v>45938</v>
      </c>
      <c r="D126" t="inlineStr">
        <is>
          <t>KALMAR LÄN</t>
        </is>
      </c>
      <c r="E126" t="inlineStr">
        <is>
          <t>VIMMERBY</t>
        </is>
      </c>
      <c r="G126" t="n">
        <v>2.3</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45938</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45938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45938</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45938</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45938</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56385-2021</t>
        </is>
      </c>
      <c r="B132" s="1" t="n">
        <v>44480</v>
      </c>
      <c r="C132" s="1" t="n">
        <v>45938</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24738-2021</t>
        </is>
      </c>
      <c r="B133" s="1" t="n">
        <v>44340.58002314815</v>
      </c>
      <c r="C133" s="1" t="n">
        <v>45938</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31053-2022</t>
        </is>
      </c>
      <c r="B134" s="1" t="n">
        <v>44769.45422453704</v>
      </c>
      <c r="C134" s="1" t="n">
        <v>45938</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8454-2022</t>
        </is>
      </c>
      <c r="B135" s="1" t="n">
        <v>44612.86762731482</v>
      </c>
      <c r="C135" s="1" t="n">
        <v>45938</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65887-2021</t>
        </is>
      </c>
      <c r="B136" s="1" t="n">
        <v>44517</v>
      </c>
      <c r="C136" s="1" t="n">
        <v>45938</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35316-2021</t>
        </is>
      </c>
      <c r="B137" s="1" t="n">
        <v>44384</v>
      </c>
      <c r="C137" s="1" t="n">
        <v>45938</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33831-2022</t>
        </is>
      </c>
      <c r="B138" s="1" t="n">
        <v>44790.48503472222</v>
      </c>
      <c r="C138" s="1" t="n">
        <v>45938</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39959-2022</t>
        </is>
      </c>
      <c r="B139" s="1" t="n">
        <v>44819</v>
      </c>
      <c r="C139" s="1" t="n">
        <v>45938</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45938</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45938</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45938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12661-2021</t>
        </is>
      </c>
      <c r="B143" s="1" t="n">
        <v>44270</v>
      </c>
      <c r="C143" s="1" t="n">
        <v>45938</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24999-2021</t>
        </is>
      </c>
      <c r="B144" s="1" t="n">
        <v>44341</v>
      </c>
      <c r="C144" s="1" t="n">
        <v>45938</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7917-2022</t>
        </is>
      </c>
      <c r="B145" s="1" t="n">
        <v>44608</v>
      </c>
      <c r="C145" s="1" t="n">
        <v>45938</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47208-2021</t>
        </is>
      </c>
      <c r="B146" s="1" t="n">
        <v>44447.34237268518</v>
      </c>
      <c r="C146" s="1" t="n">
        <v>45938</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16705-2021</t>
        </is>
      </c>
      <c r="B147" s="1" t="n">
        <v>44294</v>
      </c>
      <c r="C147" s="1" t="n">
        <v>45938</v>
      </c>
      <c r="D147" t="inlineStr">
        <is>
          <t>KALMAR LÄN</t>
        </is>
      </c>
      <c r="E147" t="inlineStr">
        <is>
          <t>VIMMERBY</t>
        </is>
      </c>
      <c r="G147" t="n">
        <v>2.6</v>
      </c>
      <c r="H147" t="n">
        <v>0</v>
      </c>
      <c r="I147" t="n">
        <v>0</v>
      </c>
      <c r="J147" t="n">
        <v>0</v>
      </c>
      <c r="K147" t="n">
        <v>0</v>
      </c>
      <c r="L147" t="n">
        <v>0</v>
      </c>
      <c r="M147" t="n">
        <v>0</v>
      </c>
      <c r="N147" t="n">
        <v>0</v>
      </c>
      <c r="O147" t="n">
        <v>0</v>
      </c>
      <c r="P147" t="n">
        <v>0</v>
      </c>
      <c r="Q147" t="n">
        <v>0</v>
      </c>
      <c r="R147" s="2" t="inlineStr"/>
    </row>
    <row r="148" ht="15" customHeight="1">
      <c r="A148" t="inlineStr">
        <is>
          <t>A 51977-2020</t>
        </is>
      </c>
      <c r="B148" s="1" t="n">
        <v>44116</v>
      </c>
      <c r="C148" s="1" t="n">
        <v>45938</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9918-2022</t>
        </is>
      </c>
      <c r="B149" s="1" t="n">
        <v>44620</v>
      </c>
      <c r="C149" s="1" t="n">
        <v>45938</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8194-2022</t>
        </is>
      </c>
      <c r="B150" s="1" t="n">
        <v>44609</v>
      </c>
      <c r="C150" s="1" t="n">
        <v>45938</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15191-2021</t>
        </is>
      </c>
      <c r="B151" s="1" t="n">
        <v>44284.42348379629</v>
      </c>
      <c r="C151" s="1" t="n">
        <v>45938</v>
      </c>
      <c r="D151" t="inlineStr">
        <is>
          <t>KALMAR LÄN</t>
        </is>
      </c>
      <c r="E151" t="inlineStr">
        <is>
          <t>VIMMERBY</t>
        </is>
      </c>
      <c r="G151" t="n">
        <v>1.3</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45938</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68744-2020</t>
        </is>
      </c>
      <c r="B153" s="1" t="n">
        <v>44186</v>
      </c>
      <c r="C153" s="1" t="n">
        <v>45938</v>
      </c>
      <c r="D153" t="inlineStr">
        <is>
          <t>KALMAR LÄN</t>
        </is>
      </c>
      <c r="E153" t="inlineStr">
        <is>
          <t>VIMMERBY</t>
        </is>
      </c>
      <c r="G153" t="n">
        <v>2.5</v>
      </c>
      <c r="H153" t="n">
        <v>0</v>
      </c>
      <c r="I153" t="n">
        <v>0</v>
      </c>
      <c r="J153" t="n">
        <v>0</v>
      </c>
      <c r="K153" t="n">
        <v>0</v>
      </c>
      <c r="L153" t="n">
        <v>0</v>
      </c>
      <c r="M153" t="n">
        <v>0</v>
      </c>
      <c r="N153" t="n">
        <v>0</v>
      </c>
      <c r="O153" t="n">
        <v>0</v>
      </c>
      <c r="P153" t="n">
        <v>0</v>
      </c>
      <c r="Q153" t="n">
        <v>0</v>
      </c>
      <c r="R153" s="2" t="inlineStr"/>
    </row>
    <row r="154" ht="15" customHeight="1">
      <c r="A154" t="inlineStr">
        <is>
          <t>A 56389-2021</t>
        </is>
      </c>
      <c r="B154" s="1" t="n">
        <v>44480</v>
      </c>
      <c r="C154" s="1" t="n">
        <v>45938</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13457-2021</t>
        </is>
      </c>
      <c r="B155" s="1" t="n">
        <v>44273</v>
      </c>
      <c r="C155" s="1" t="n">
        <v>45938</v>
      </c>
      <c r="D155" t="inlineStr">
        <is>
          <t>KALMAR LÄN</t>
        </is>
      </c>
      <c r="E155" t="inlineStr">
        <is>
          <t>VIMMERBY</t>
        </is>
      </c>
      <c r="G155" t="n">
        <v>1.4</v>
      </c>
      <c r="H155" t="n">
        <v>0</v>
      </c>
      <c r="I155" t="n">
        <v>0</v>
      </c>
      <c r="J155" t="n">
        <v>0</v>
      </c>
      <c r="K155" t="n">
        <v>0</v>
      </c>
      <c r="L155" t="n">
        <v>0</v>
      </c>
      <c r="M155" t="n">
        <v>0</v>
      </c>
      <c r="N155" t="n">
        <v>0</v>
      </c>
      <c r="O155" t="n">
        <v>0</v>
      </c>
      <c r="P155" t="n">
        <v>0</v>
      </c>
      <c r="Q155" t="n">
        <v>0</v>
      </c>
      <c r="R155" s="2" t="inlineStr"/>
    </row>
    <row r="156" ht="15" customHeight="1">
      <c r="A156" t="inlineStr">
        <is>
          <t>A 618-2021</t>
        </is>
      </c>
      <c r="B156" s="1" t="n">
        <v>44203</v>
      </c>
      <c r="C156" s="1" t="n">
        <v>45938</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14278-2021</t>
        </is>
      </c>
      <c r="B157" s="1" t="n">
        <v>44278.63479166666</v>
      </c>
      <c r="C157" s="1" t="n">
        <v>45938</v>
      </c>
      <c r="D157" t="inlineStr">
        <is>
          <t>KALMAR LÄN</t>
        </is>
      </c>
      <c r="E157" t="inlineStr">
        <is>
          <t>VIMMERBY</t>
        </is>
      </c>
      <c r="F157" t="inlineStr">
        <is>
          <t>Övriga statliga verk och myndigheter</t>
        </is>
      </c>
      <c r="G157" t="n">
        <v>0.8</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45938</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8453-2022</t>
        </is>
      </c>
      <c r="B159" s="1" t="n">
        <v>44612.86554398148</v>
      </c>
      <c r="C159" s="1" t="n">
        <v>45938</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12662-2021</t>
        </is>
      </c>
      <c r="B160" s="1" t="n">
        <v>44270.49743055556</v>
      </c>
      <c r="C160" s="1" t="n">
        <v>45938</v>
      </c>
      <c r="D160" t="inlineStr">
        <is>
          <t>KALMAR LÄN</t>
        </is>
      </c>
      <c r="E160" t="inlineStr">
        <is>
          <t>VIMMERBY</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32603-2021</t>
        </is>
      </c>
      <c r="B161" s="1" t="n">
        <v>44375.38789351852</v>
      </c>
      <c r="C161" s="1" t="n">
        <v>45938</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52433-2021</t>
        </is>
      </c>
      <c r="B162" s="1" t="n">
        <v>44466.34726851852</v>
      </c>
      <c r="C162" s="1" t="n">
        <v>45938</v>
      </c>
      <c r="D162" t="inlineStr">
        <is>
          <t>KALMAR LÄN</t>
        </is>
      </c>
      <c r="E162" t="inlineStr">
        <is>
          <t>VIMMERBY</t>
        </is>
      </c>
      <c r="G162" t="n">
        <v>3.5</v>
      </c>
      <c r="H162" t="n">
        <v>0</v>
      </c>
      <c r="I162" t="n">
        <v>0</v>
      </c>
      <c r="J162" t="n">
        <v>0</v>
      </c>
      <c r="K162" t="n">
        <v>0</v>
      </c>
      <c r="L162" t="n">
        <v>0</v>
      </c>
      <c r="M162" t="n">
        <v>0</v>
      </c>
      <c r="N162" t="n">
        <v>0</v>
      </c>
      <c r="O162" t="n">
        <v>0</v>
      </c>
      <c r="P162" t="n">
        <v>0</v>
      </c>
      <c r="Q162" t="n">
        <v>0</v>
      </c>
      <c r="R162" s="2" t="inlineStr"/>
    </row>
    <row r="163" ht="15" customHeight="1">
      <c r="A163" t="inlineStr">
        <is>
          <t>A 50621-2022</t>
        </is>
      </c>
      <c r="B163" s="1" t="n">
        <v>44866.81100694444</v>
      </c>
      <c r="C163" s="1" t="n">
        <v>45938</v>
      </c>
      <c r="D163" t="inlineStr">
        <is>
          <t>KALMAR LÄN</t>
        </is>
      </c>
      <c r="E163" t="inlineStr">
        <is>
          <t>VIMMERBY</t>
        </is>
      </c>
      <c r="F163" t="inlineStr">
        <is>
          <t>Övriga Aktiebolag</t>
        </is>
      </c>
      <c r="G163" t="n">
        <v>5.1</v>
      </c>
      <c r="H163" t="n">
        <v>0</v>
      </c>
      <c r="I163" t="n">
        <v>0</v>
      </c>
      <c r="J163" t="n">
        <v>0</v>
      </c>
      <c r="K163" t="n">
        <v>0</v>
      </c>
      <c r="L163" t="n">
        <v>0</v>
      </c>
      <c r="M163" t="n">
        <v>0</v>
      </c>
      <c r="N163" t="n">
        <v>0</v>
      </c>
      <c r="O163" t="n">
        <v>0</v>
      </c>
      <c r="P163" t="n">
        <v>0</v>
      </c>
      <c r="Q163" t="n">
        <v>0</v>
      </c>
      <c r="R163" s="2" t="inlineStr"/>
    </row>
    <row r="164" ht="15" customHeight="1">
      <c r="A164" t="inlineStr">
        <is>
          <t>A 67952-2021</t>
        </is>
      </c>
      <c r="B164" s="1" t="n">
        <v>44525.63913194444</v>
      </c>
      <c r="C164" s="1" t="n">
        <v>45938</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54065-2021</t>
        </is>
      </c>
      <c r="B165" s="1" t="n">
        <v>44470.44232638889</v>
      </c>
      <c r="C165" s="1" t="n">
        <v>45938</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31824-2022</t>
        </is>
      </c>
      <c r="B166" s="1" t="n">
        <v>44776</v>
      </c>
      <c r="C166" s="1" t="n">
        <v>45938</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14521-2021</t>
        </is>
      </c>
      <c r="B167" s="1" t="n">
        <v>44279.64934027778</v>
      </c>
      <c r="C167" s="1" t="n">
        <v>45938</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11733-2022</t>
        </is>
      </c>
      <c r="B168" s="1" t="n">
        <v>44634</v>
      </c>
      <c r="C168" s="1" t="n">
        <v>45938</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15533-2022</t>
        </is>
      </c>
      <c r="B169" s="1" t="n">
        <v>44662</v>
      </c>
      <c r="C169" s="1" t="n">
        <v>45938</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36117-2021</t>
        </is>
      </c>
      <c r="B170" s="1" t="n">
        <v>44386</v>
      </c>
      <c r="C170" s="1" t="n">
        <v>45938</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42521-2021</t>
        </is>
      </c>
      <c r="B171" s="1" t="n">
        <v>44427</v>
      </c>
      <c r="C171" s="1" t="n">
        <v>45938</v>
      </c>
      <c r="D171" t="inlineStr">
        <is>
          <t>KALMAR LÄN</t>
        </is>
      </c>
      <c r="E171" t="inlineStr">
        <is>
          <t>VIMMERBY</t>
        </is>
      </c>
      <c r="G171" t="n">
        <v>5.4</v>
      </c>
      <c r="H171" t="n">
        <v>0</v>
      </c>
      <c r="I171" t="n">
        <v>0</v>
      </c>
      <c r="J171" t="n">
        <v>0</v>
      </c>
      <c r="K171" t="n">
        <v>0</v>
      </c>
      <c r="L171" t="n">
        <v>0</v>
      </c>
      <c r="M171" t="n">
        <v>0</v>
      </c>
      <c r="N171" t="n">
        <v>0</v>
      </c>
      <c r="O171" t="n">
        <v>0</v>
      </c>
      <c r="P171" t="n">
        <v>0</v>
      </c>
      <c r="Q171" t="n">
        <v>0</v>
      </c>
      <c r="R171" s="2" t="inlineStr"/>
    </row>
    <row r="172" ht="15" customHeight="1">
      <c r="A172" t="inlineStr">
        <is>
          <t>A 165-2022</t>
        </is>
      </c>
      <c r="B172" s="1" t="n">
        <v>44564</v>
      </c>
      <c r="C172" s="1" t="n">
        <v>45938</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23825-2022</t>
        </is>
      </c>
      <c r="B173" s="1" t="n">
        <v>44722.48768518519</v>
      </c>
      <c r="C173" s="1" t="n">
        <v>45938</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7804-2022</t>
        </is>
      </c>
      <c r="B174" s="1" t="n">
        <v>44608.50458333334</v>
      </c>
      <c r="C174" s="1" t="n">
        <v>45938</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39042-2022</t>
        </is>
      </c>
      <c r="B175" s="1" t="n">
        <v>44817</v>
      </c>
      <c r="C175" s="1" t="n">
        <v>45938</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34040-2021</t>
        </is>
      </c>
      <c r="B176" s="1" t="n">
        <v>44379</v>
      </c>
      <c r="C176" s="1" t="n">
        <v>45938</v>
      </c>
      <c r="D176" t="inlineStr">
        <is>
          <t>KALMAR LÄN</t>
        </is>
      </c>
      <c r="E176" t="inlineStr">
        <is>
          <t>VIMMERBY</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15200-2021</t>
        </is>
      </c>
      <c r="B177" s="1" t="n">
        <v>44284.44574074074</v>
      </c>
      <c r="C177" s="1" t="n">
        <v>45938</v>
      </c>
      <c r="D177" t="inlineStr">
        <is>
          <t>KALMAR LÄN</t>
        </is>
      </c>
      <c r="E177" t="inlineStr">
        <is>
          <t>VIMMERBY</t>
        </is>
      </c>
      <c r="G177" t="n">
        <v>1.2</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45938</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4076-2022</t>
        </is>
      </c>
      <c r="B179" s="1" t="n">
        <v>44588.37998842593</v>
      </c>
      <c r="C179" s="1" t="n">
        <v>45938</v>
      </c>
      <c r="D179" t="inlineStr">
        <is>
          <t>KALMAR LÄN</t>
        </is>
      </c>
      <c r="E179" t="inlineStr">
        <is>
          <t>VIMMERBY</t>
        </is>
      </c>
      <c r="G179" t="n">
        <v>3</v>
      </c>
      <c r="H179" t="n">
        <v>0</v>
      </c>
      <c r="I179" t="n">
        <v>0</v>
      </c>
      <c r="J179" t="n">
        <v>0</v>
      </c>
      <c r="K179" t="n">
        <v>0</v>
      </c>
      <c r="L179" t="n">
        <v>0</v>
      </c>
      <c r="M179" t="n">
        <v>0</v>
      </c>
      <c r="N179" t="n">
        <v>0</v>
      </c>
      <c r="O179" t="n">
        <v>0</v>
      </c>
      <c r="P179" t="n">
        <v>0</v>
      </c>
      <c r="Q179" t="n">
        <v>0</v>
      </c>
      <c r="R179" s="2" t="inlineStr"/>
    </row>
    <row r="180" ht="15" customHeight="1">
      <c r="A180" t="inlineStr">
        <is>
          <t>A 4122-2022</t>
        </is>
      </c>
      <c r="B180" s="1" t="n">
        <v>44588</v>
      </c>
      <c r="C180" s="1" t="n">
        <v>45938</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58374-2024</t>
        </is>
      </c>
      <c r="B181" s="1" t="n">
        <v>45632.72635416667</v>
      </c>
      <c r="C181" s="1" t="n">
        <v>45938</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46964-2022</t>
        </is>
      </c>
      <c r="B182" s="1" t="n">
        <v>44851.95016203704</v>
      </c>
      <c r="C182" s="1" t="n">
        <v>45938</v>
      </c>
      <c r="D182" t="inlineStr">
        <is>
          <t>KALMAR LÄN</t>
        </is>
      </c>
      <c r="E182" t="inlineStr">
        <is>
          <t>VIMMERBY</t>
        </is>
      </c>
      <c r="G182" t="n">
        <v>0.2</v>
      </c>
      <c r="H182" t="n">
        <v>0</v>
      </c>
      <c r="I182" t="n">
        <v>0</v>
      </c>
      <c r="J182" t="n">
        <v>0</v>
      </c>
      <c r="K182" t="n">
        <v>0</v>
      </c>
      <c r="L182" t="n">
        <v>0</v>
      </c>
      <c r="M182" t="n">
        <v>0</v>
      </c>
      <c r="N182" t="n">
        <v>0</v>
      </c>
      <c r="O182" t="n">
        <v>0</v>
      </c>
      <c r="P182" t="n">
        <v>0</v>
      </c>
      <c r="Q182" t="n">
        <v>0</v>
      </c>
      <c r="R182" s="2" t="inlineStr"/>
    </row>
    <row r="183" ht="15" customHeight="1">
      <c r="A183" t="inlineStr">
        <is>
          <t>A 12107-2022</t>
        </is>
      </c>
      <c r="B183" s="1" t="n">
        <v>44636</v>
      </c>
      <c r="C183" s="1" t="n">
        <v>45938</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57948-2020</t>
        </is>
      </c>
      <c r="B184" s="1" t="n">
        <v>44142</v>
      </c>
      <c r="C184" s="1" t="n">
        <v>45938</v>
      </c>
      <c r="D184" t="inlineStr">
        <is>
          <t>KALMAR LÄN</t>
        </is>
      </c>
      <c r="E184" t="inlineStr">
        <is>
          <t>VIMMERBY</t>
        </is>
      </c>
      <c r="G184" t="n">
        <v>7.1</v>
      </c>
      <c r="H184" t="n">
        <v>0</v>
      </c>
      <c r="I184" t="n">
        <v>0</v>
      </c>
      <c r="J184" t="n">
        <v>0</v>
      </c>
      <c r="K184" t="n">
        <v>0</v>
      </c>
      <c r="L184" t="n">
        <v>0</v>
      </c>
      <c r="M184" t="n">
        <v>0</v>
      </c>
      <c r="N184" t="n">
        <v>0</v>
      </c>
      <c r="O184" t="n">
        <v>0</v>
      </c>
      <c r="P184" t="n">
        <v>0</v>
      </c>
      <c r="Q184" t="n">
        <v>0</v>
      </c>
      <c r="R184" s="2" t="inlineStr"/>
    </row>
    <row r="185" ht="15" customHeight="1">
      <c r="A185" t="inlineStr">
        <is>
          <t>A 39225-2022</t>
        </is>
      </c>
      <c r="B185" s="1" t="n">
        <v>44817.57988425926</v>
      </c>
      <c r="C185" s="1" t="n">
        <v>45938</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13180-2022</t>
        </is>
      </c>
      <c r="B186" s="1" t="n">
        <v>44644</v>
      </c>
      <c r="C186" s="1" t="n">
        <v>45938</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18276-2021</t>
        </is>
      </c>
      <c r="B187" s="1" t="n">
        <v>44305.40046296296</v>
      </c>
      <c r="C187" s="1" t="n">
        <v>45938</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30402-2023</t>
        </is>
      </c>
      <c r="B188" s="1" t="n">
        <v>45111.48395833333</v>
      </c>
      <c r="C188" s="1" t="n">
        <v>45938</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16602-2021</t>
        </is>
      </c>
      <c r="B189" s="1" t="n">
        <v>44294</v>
      </c>
      <c r="C189" s="1" t="n">
        <v>45938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16607-2021</t>
        </is>
      </c>
      <c r="B190" s="1" t="n">
        <v>44294</v>
      </c>
      <c r="C190" s="1" t="n">
        <v>45938</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17029-2022</t>
        </is>
      </c>
      <c r="B191" s="1" t="n">
        <v>44676.85248842592</v>
      </c>
      <c r="C191" s="1" t="n">
        <v>45938</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47473-2021</t>
        </is>
      </c>
      <c r="B192" s="1" t="n">
        <v>44447</v>
      </c>
      <c r="C192" s="1" t="n">
        <v>45938</v>
      </c>
      <c r="D192" t="inlineStr">
        <is>
          <t>KALMAR LÄN</t>
        </is>
      </c>
      <c r="E192" t="inlineStr">
        <is>
          <t>VIMMERBY</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7167-2022</t>
        </is>
      </c>
      <c r="B193" s="1" t="n">
        <v>44604</v>
      </c>
      <c r="C193" s="1" t="n">
        <v>45938</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18356-2021</t>
        </is>
      </c>
      <c r="B194" s="1" t="n">
        <v>44305</v>
      </c>
      <c r="C194" s="1" t="n">
        <v>45938</v>
      </c>
      <c r="D194" t="inlineStr">
        <is>
          <t>KALMAR LÄN</t>
        </is>
      </c>
      <c r="E194" t="inlineStr">
        <is>
          <t>VIMMERBY</t>
        </is>
      </c>
      <c r="G194" t="n">
        <v>3.4</v>
      </c>
      <c r="H194" t="n">
        <v>0</v>
      </c>
      <c r="I194" t="n">
        <v>0</v>
      </c>
      <c r="J194" t="n">
        <v>0</v>
      </c>
      <c r="K194" t="n">
        <v>0</v>
      </c>
      <c r="L194" t="n">
        <v>0</v>
      </c>
      <c r="M194" t="n">
        <v>0</v>
      </c>
      <c r="N194" t="n">
        <v>0</v>
      </c>
      <c r="O194" t="n">
        <v>0</v>
      </c>
      <c r="P194" t="n">
        <v>0</v>
      </c>
      <c r="Q194" t="n">
        <v>0</v>
      </c>
      <c r="R194" s="2" t="inlineStr"/>
    </row>
    <row r="195" ht="15" customHeight="1">
      <c r="A195" t="inlineStr">
        <is>
          <t>A 11609-2023</t>
        </is>
      </c>
      <c r="B195" s="1" t="n">
        <v>44994.40635416667</v>
      </c>
      <c r="C195" s="1" t="n">
        <v>45938</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65961-2020</t>
        </is>
      </c>
      <c r="B196" s="1" t="n">
        <v>44175.39748842592</v>
      </c>
      <c r="C196" s="1" t="n">
        <v>45938</v>
      </c>
      <c r="D196" t="inlineStr">
        <is>
          <t>KALMAR LÄN</t>
        </is>
      </c>
      <c r="E196" t="inlineStr">
        <is>
          <t>VIMMERBY</t>
        </is>
      </c>
      <c r="G196" t="n">
        <v>2.6</v>
      </c>
      <c r="H196" t="n">
        <v>0</v>
      </c>
      <c r="I196" t="n">
        <v>0</v>
      </c>
      <c r="J196" t="n">
        <v>0</v>
      </c>
      <c r="K196" t="n">
        <v>0</v>
      </c>
      <c r="L196" t="n">
        <v>0</v>
      </c>
      <c r="M196" t="n">
        <v>0</v>
      </c>
      <c r="N196" t="n">
        <v>0</v>
      </c>
      <c r="O196" t="n">
        <v>0</v>
      </c>
      <c r="P196" t="n">
        <v>0</v>
      </c>
      <c r="Q196" t="n">
        <v>0</v>
      </c>
      <c r="R196" s="2" t="inlineStr"/>
    </row>
    <row r="197" ht="15" customHeight="1">
      <c r="A197" t="inlineStr">
        <is>
          <t>A 16983-2023</t>
        </is>
      </c>
      <c r="B197" s="1" t="n">
        <v>45033.76043981482</v>
      </c>
      <c r="C197" s="1" t="n">
        <v>45938</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41056-2022</t>
        </is>
      </c>
      <c r="B198" s="1" t="n">
        <v>44824</v>
      </c>
      <c r="C198" s="1" t="n">
        <v>45938</v>
      </c>
      <c r="D198" t="inlineStr">
        <is>
          <t>KALMAR LÄN</t>
        </is>
      </c>
      <c r="E198" t="inlineStr">
        <is>
          <t>VIMMERBY</t>
        </is>
      </c>
      <c r="G198" t="n">
        <v>0.8</v>
      </c>
      <c r="H198" t="n">
        <v>0</v>
      </c>
      <c r="I198" t="n">
        <v>0</v>
      </c>
      <c r="J198" t="n">
        <v>0</v>
      </c>
      <c r="K198" t="n">
        <v>0</v>
      </c>
      <c r="L198" t="n">
        <v>0</v>
      </c>
      <c r="M198" t="n">
        <v>0</v>
      </c>
      <c r="N198" t="n">
        <v>0</v>
      </c>
      <c r="O198" t="n">
        <v>0</v>
      </c>
      <c r="P198" t="n">
        <v>0</v>
      </c>
      <c r="Q198" t="n">
        <v>0</v>
      </c>
      <c r="R198" s="2" t="inlineStr"/>
    </row>
    <row r="199" ht="15" customHeight="1">
      <c r="A199" t="inlineStr">
        <is>
          <t>A 31660-2021</t>
        </is>
      </c>
      <c r="B199" s="1" t="n">
        <v>44369</v>
      </c>
      <c r="C199" s="1" t="n">
        <v>45938</v>
      </c>
      <c r="D199" t="inlineStr">
        <is>
          <t>KALMAR LÄN</t>
        </is>
      </c>
      <c r="E199" t="inlineStr">
        <is>
          <t>VIMMERBY</t>
        </is>
      </c>
      <c r="G199" t="n">
        <v>4.2</v>
      </c>
      <c r="H199" t="n">
        <v>0</v>
      </c>
      <c r="I199" t="n">
        <v>0</v>
      </c>
      <c r="J199" t="n">
        <v>0</v>
      </c>
      <c r="K199" t="n">
        <v>0</v>
      </c>
      <c r="L199" t="n">
        <v>0</v>
      </c>
      <c r="M199" t="n">
        <v>0</v>
      </c>
      <c r="N199" t="n">
        <v>0</v>
      </c>
      <c r="O199" t="n">
        <v>0</v>
      </c>
      <c r="P199" t="n">
        <v>0</v>
      </c>
      <c r="Q199" t="n">
        <v>0</v>
      </c>
      <c r="R199" s="2" t="inlineStr"/>
    </row>
    <row r="200" ht="15" customHeight="1">
      <c r="A200" t="inlineStr">
        <is>
          <t>A 27455-2022</t>
        </is>
      </c>
      <c r="B200" s="1" t="n">
        <v>44742</v>
      </c>
      <c r="C200" s="1" t="n">
        <v>45938</v>
      </c>
      <c r="D200" t="inlineStr">
        <is>
          <t>KALMAR LÄN</t>
        </is>
      </c>
      <c r="E200" t="inlineStr">
        <is>
          <t>VIMMERBY</t>
        </is>
      </c>
      <c r="G200" t="n">
        <v>1.6</v>
      </c>
      <c r="H200" t="n">
        <v>0</v>
      </c>
      <c r="I200" t="n">
        <v>0</v>
      </c>
      <c r="J200" t="n">
        <v>0</v>
      </c>
      <c r="K200" t="n">
        <v>0</v>
      </c>
      <c r="L200" t="n">
        <v>0</v>
      </c>
      <c r="M200" t="n">
        <v>0</v>
      </c>
      <c r="N200" t="n">
        <v>0</v>
      </c>
      <c r="O200" t="n">
        <v>0</v>
      </c>
      <c r="P200" t="n">
        <v>0</v>
      </c>
      <c r="Q200" t="n">
        <v>0</v>
      </c>
      <c r="R200" s="2" t="inlineStr"/>
    </row>
    <row r="201" ht="15" customHeight="1">
      <c r="A201" t="inlineStr">
        <is>
          <t>A 46144-2023</t>
        </is>
      </c>
      <c r="B201" s="1" t="n">
        <v>45196.57247685185</v>
      </c>
      <c r="C201" s="1" t="n">
        <v>45938</v>
      </c>
      <c r="D201" t="inlineStr">
        <is>
          <t>KALMAR LÄN</t>
        </is>
      </c>
      <c r="E201" t="inlineStr">
        <is>
          <t>VIMMERBY</t>
        </is>
      </c>
      <c r="G201" t="n">
        <v>6.5</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45938</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35001-2021</t>
        </is>
      </c>
      <c r="B203" s="1" t="n">
        <v>44383</v>
      </c>
      <c r="C203" s="1" t="n">
        <v>45938</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42850-2022</t>
        </is>
      </c>
      <c r="B204" s="1" t="n">
        <v>44832.67608796297</v>
      </c>
      <c r="C204" s="1" t="n">
        <v>45938</v>
      </c>
      <c r="D204" t="inlineStr">
        <is>
          <t>KALMAR LÄN</t>
        </is>
      </c>
      <c r="E204" t="inlineStr">
        <is>
          <t>VIMMERBY</t>
        </is>
      </c>
      <c r="G204" t="n">
        <v>5.9</v>
      </c>
      <c r="H204" t="n">
        <v>0</v>
      </c>
      <c r="I204" t="n">
        <v>0</v>
      </c>
      <c r="J204" t="n">
        <v>0</v>
      </c>
      <c r="K204" t="n">
        <v>0</v>
      </c>
      <c r="L204" t="n">
        <v>0</v>
      </c>
      <c r="M204" t="n">
        <v>0</v>
      </c>
      <c r="N204" t="n">
        <v>0</v>
      </c>
      <c r="O204" t="n">
        <v>0</v>
      </c>
      <c r="P204" t="n">
        <v>0</v>
      </c>
      <c r="Q204" t="n">
        <v>0</v>
      </c>
      <c r="R204" s="2" t="inlineStr"/>
    </row>
    <row r="205" ht="15" customHeight="1">
      <c r="A205" t="inlineStr">
        <is>
          <t>A 56213-2024</t>
        </is>
      </c>
      <c r="B205" s="1" t="n">
        <v>45624.60141203704</v>
      </c>
      <c r="C205" s="1" t="n">
        <v>45938</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54409-2024</t>
        </is>
      </c>
      <c r="B206" s="1" t="n">
        <v>45617.47570601852</v>
      </c>
      <c r="C206" s="1" t="n">
        <v>45938</v>
      </c>
      <c r="D206" t="inlineStr">
        <is>
          <t>KALMAR LÄN</t>
        </is>
      </c>
      <c r="E206" t="inlineStr">
        <is>
          <t>VIMMERBY</t>
        </is>
      </c>
      <c r="G206" t="n">
        <v>4.3</v>
      </c>
      <c r="H206" t="n">
        <v>0</v>
      </c>
      <c r="I206" t="n">
        <v>0</v>
      </c>
      <c r="J206" t="n">
        <v>0</v>
      </c>
      <c r="K206" t="n">
        <v>0</v>
      </c>
      <c r="L206" t="n">
        <v>0</v>
      </c>
      <c r="M206" t="n">
        <v>0</v>
      </c>
      <c r="N206" t="n">
        <v>0</v>
      </c>
      <c r="O206" t="n">
        <v>0</v>
      </c>
      <c r="P206" t="n">
        <v>0</v>
      </c>
      <c r="Q206" t="n">
        <v>0</v>
      </c>
      <c r="R206" s="2" t="inlineStr"/>
    </row>
    <row r="207" ht="15" customHeight="1">
      <c r="A207" t="inlineStr">
        <is>
          <t>A 55674-2021</t>
        </is>
      </c>
      <c r="B207" s="1" t="n">
        <v>44476</v>
      </c>
      <c r="C207" s="1" t="n">
        <v>45938</v>
      </c>
      <c r="D207" t="inlineStr">
        <is>
          <t>KALMAR LÄN</t>
        </is>
      </c>
      <c r="E207" t="inlineStr">
        <is>
          <t>VIMMERBY</t>
        </is>
      </c>
      <c r="G207" t="n">
        <v>2.1</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45938</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3330-2021</t>
        </is>
      </c>
      <c r="B209" s="1" t="n">
        <v>44217.79856481482</v>
      </c>
      <c r="C209" s="1" t="n">
        <v>45938</v>
      </c>
      <c r="D209" t="inlineStr">
        <is>
          <t>KALMAR LÄN</t>
        </is>
      </c>
      <c r="E209" t="inlineStr">
        <is>
          <t>VIMMERBY</t>
        </is>
      </c>
      <c r="G209" t="n">
        <v>11.1</v>
      </c>
      <c r="H209" t="n">
        <v>0</v>
      </c>
      <c r="I209" t="n">
        <v>0</v>
      </c>
      <c r="J209" t="n">
        <v>0</v>
      </c>
      <c r="K209" t="n">
        <v>0</v>
      </c>
      <c r="L209" t="n">
        <v>0</v>
      </c>
      <c r="M209" t="n">
        <v>0</v>
      </c>
      <c r="N209" t="n">
        <v>0</v>
      </c>
      <c r="O209" t="n">
        <v>0</v>
      </c>
      <c r="P209" t="n">
        <v>0</v>
      </c>
      <c r="Q209" t="n">
        <v>0</v>
      </c>
      <c r="R209" s="2" t="inlineStr"/>
    </row>
    <row r="210" ht="15" customHeight="1">
      <c r="A210" t="inlineStr">
        <is>
          <t>A 7643-2022</t>
        </is>
      </c>
      <c r="B210" s="1" t="n">
        <v>44607</v>
      </c>
      <c r="C210" s="1" t="n">
        <v>45938</v>
      </c>
      <c r="D210" t="inlineStr">
        <is>
          <t>KALMAR LÄN</t>
        </is>
      </c>
      <c r="E210" t="inlineStr">
        <is>
          <t>VIMMERBY</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40077-2021</t>
        </is>
      </c>
      <c r="B211" s="1" t="n">
        <v>44418</v>
      </c>
      <c r="C211" s="1" t="n">
        <v>45938</v>
      </c>
      <c r="D211" t="inlineStr">
        <is>
          <t>KALMAR LÄN</t>
        </is>
      </c>
      <c r="E211" t="inlineStr">
        <is>
          <t>VIMMERBY</t>
        </is>
      </c>
      <c r="G211" t="n">
        <v>2.9</v>
      </c>
      <c r="H211" t="n">
        <v>0</v>
      </c>
      <c r="I211" t="n">
        <v>0</v>
      </c>
      <c r="J211" t="n">
        <v>0</v>
      </c>
      <c r="K211" t="n">
        <v>0</v>
      </c>
      <c r="L211" t="n">
        <v>0</v>
      </c>
      <c r="M211" t="n">
        <v>0</v>
      </c>
      <c r="N211" t="n">
        <v>0</v>
      </c>
      <c r="O211" t="n">
        <v>0</v>
      </c>
      <c r="P211" t="n">
        <v>0</v>
      </c>
      <c r="Q211" t="n">
        <v>0</v>
      </c>
      <c r="R211" s="2" t="inlineStr"/>
    </row>
    <row r="212" ht="15" customHeight="1">
      <c r="A212" t="inlineStr">
        <is>
          <t>A 11027-2023</t>
        </is>
      </c>
      <c r="B212" s="1" t="n">
        <v>44991.89657407408</v>
      </c>
      <c r="C212" s="1" t="n">
        <v>45938</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53483-2022</t>
        </is>
      </c>
      <c r="B213" s="1" t="n">
        <v>44879.55940972222</v>
      </c>
      <c r="C213" s="1" t="n">
        <v>45938</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18899-2025</t>
        </is>
      </c>
      <c r="B214" s="1" t="n">
        <v>45764.44931712963</v>
      </c>
      <c r="C214" s="1" t="n">
        <v>45938</v>
      </c>
      <c r="D214" t="inlineStr">
        <is>
          <t>KALMAR LÄN</t>
        </is>
      </c>
      <c r="E214" t="inlineStr">
        <is>
          <t>VIMMERBY</t>
        </is>
      </c>
      <c r="F214" t="inlineStr">
        <is>
          <t>Kommuner</t>
        </is>
      </c>
      <c r="G214" t="n">
        <v>4</v>
      </c>
      <c r="H214" t="n">
        <v>0</v>
      </c>
      <c r="I214" t="n">
        <v>0</v>
      </c>
      <c r="J214" t="n">
        <v>0</v>
      </c>
      <c r="K214" t="n">
        <v>0</v>
      </c>
      <c r="L214" t="n">
        <v>0</v>
      </c>
      <c r="M214" t="n">
        <v>0</v>
      </c>
      <c r="N214" t="n">
        <v>0</v>
      </c>
      <c r="O214" t="n">
        <v>0</v>
      </c>
      <c r="P214" t="n">
        <v>0</v>
      </c>
      <c r="Q214" t="n">
        <v>0</v>
      </c>
      <c r="R214" s="2" t="inlineStr"/>
    </row>
    <row r="215" ht="15" customHeight="1">
      <c r="A215" t="inlineStr">
        <is>
          <t>A 20054-2023</t>
        </is>
      </c>
      <c r="B215" s="1" t="n">
        <v>45054.6750462963</v>
      </c>
      <c r="C215" s="1" t="n">
        <v>45938</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47769-2022</t>
        </is>
      </c>
      <c r="B216" s="1" t="n">
        <v>44854</v>
      </c>
      <c r="C216" s="1" t="n">
        <v>45938</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58962-2022</t>
        </is>
      </c>
      <c r="B217" s="1" t="n">
        <v>44903</v>
      </c>
      <c r="C217" s="1" t="n">
        <v>45938</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10837-2023</t>
        </is>
      </c>
      <c r="B218" s="1" t="n">
        <v>44991.30547453704</v>
      </c>
      <c r="C218" s="1" t="n">
        <v>45938</v>
      </c>
      <c r="D218" t="inlineStr">
        <is>
          <t>KALMAR LÄN</t>
        </is>
      </c>
      <c r="E218" t="inlineStr">
        <is>
          <t>VIMMERBY</t>
        </is>
      </c>
      <c r="G218" t="n">
        <v>7.3</v>
      </c>
      <c r="H218" t="n">
        <v>0</v>
      </c>
      <c r="I218" t="n">
        <v>0</v>
      </c>
      <c r="J218" t="n">
        <v>0</v>
      </c>
      <c r="K218" t="n">
        <v>0</v>
      </c>
      <c r="L218" t="n">
        <v>0</v>
      </c>
      <c r="M218" t="n">
        <v>0</v>
      </c>
      <c r="N218" t="n">
        <v>0</v>
      </c>
      <c r="O218" t="n">
        <v>0</v>
      </c>
      <c r="P218" t="n">
        <v>0</v>
      </c>
      <c r="Q218" t="n">
        <v>0</v>
      </c>
      <c r="R218" s="2" t="inlineStr"/>
    </row>
    <row r="219" ht="15" customHeight="1">
      <c r="A219" t="inlineStr">
        <is>
          <t>A 10838-2023</t>
        </is>
      </c>
      <c r="B219" s="1" t="n">
        <v>44991</v>
      </c>
      <c r="C219" s="1" t="n">
        <v>45938</v>
      </c>
      <c r="D219" t="inlineStr">
        <is>
          <t>KALMAR LÄN</t>
        </is>
      </c>
      <c r="E219" t="inlineStr">
        <is>
          <t>VIMMERBY</t>
        </is>
      </c>
      <c r="G219" t="n">
        <v>5.1</v>
      </c>
      <c r="H219" t="n">
        <v>0</v>
      </c>
      <c r="I219" t="n">
        <v>0</v>
      </c>
      <c r="J219" t="n">
        <v>0</v>
      </c>
      <c r="K219" t="n">
        <v>0</v>
      </c>
      <c r="L219" t="n">
        <v>0</v>
      </c>
      <c r="M219" t="n">
        <v>0</v>
      </c>
      <c r="N219" t="n">
        <v>0</v>
      </c>
      <c r="O219" t="n">
        <v>0</v>
      </c>
      <c r="P219" t="n">
        <v>0</v>
      </c>
      <c r="Q219" t="n">
        <v>0</v>
      </c>
      <c r="R219" s="2" t="inlineStr"/>
    </row>
    <row r="220" ht="15" customHeight="1">
      <c r="A220" t="inlineStr">
        <is>
          <t>A 10086-2022</t>
        </is>
      </c>
      <c r="B220" s="1" t="n">
        <v>44621</v>
      </c>
      <c r="C220" s="1" t="n">
        <v>45938</v>
      </c>
      <c r="D220" t="inlineStr">
        <is>
          <t>KALMAR LÄN</t>
        </is>
      </c>
      <c r="E220" t="inlineStr">
        <is>
          <t>VIMMERBY</t>
        </is>
      </c>
      <c r="G220" t="n">
        <v>1.2</v>
      </c>
      <c r="H220" t="n">
        <v>0</v>
      </c>
      <c r="I220" t="n">
        <v>0</v>
      </c>
      <c r="J220" t="n">
        <v>0</v>
      </c>
      <c r="K220" t="n">
        <v>0</v>
      </c>
      <c r="L220" t="n">
        <v>0</v>
      </c>
      <c r="M220" t="n">
        <v>0</v>
      </c>
      <c r="N220" t="n">
        <v>0</v>
      </c>
      <c r="O220" t="n">
        <v>0</v>
      </c>
      <c r="P220" t="n">
        <v>0</v>
      </c>
      <c r="Q220" t="n">
        <v>0</v>
      </c>
      <c r="R220" s="2" t="inlineStr"/>
    </row>
    <row r="221" ht="15" customHeight="1">
      <c r="A221" t="inlineStr">
        <is>
          <t>A 16015-2025</t>
        </is>
      </c>
      <c r="B221" s="1" t="n">
        <v>45749.60487268519</v>
      </c>
      <c r="C221" s="1" t="n">
        <v>45938</v>
      </c>
      <c r="D221" t="inlineStr">
        <is>
          <t>KALMAR LÄN</t>
        </is>
      </c>
      <c r="E221" t="inlineStr">
        <is>
          <t>VIMMERBY</t>
        </is>
      </c>
      <c r="F221" t="inlineStr">
        <is>
          <t>Kyrkan</t>
        </is>
      </c>
      <c r="G221" t="n">
        <v>2.7</v>
      </c>
      <c r="H221" t="n">
        <v>0</v>
      </c>
      <c r="I221" t="n">
        <v>0</v>
      </c>
      <c r="J221" t="n">
        <v>0</v>
      </c>
      <c r="K221" t="n">
        <v>0</v>
      </c>
      <c r="L221" t="n">
        <v>0</v>
      </c>
      <c r="M221" t="n">
        <v>0</v>
      </c>
      <c r="N221" t="n">
        <v>0</v>
      </c>
      <c r="O221" t="n">
        <v>0</v>
      </c>
      <c r="P221" t="n">
        <v>0</v>
      </c>
      <c r="Q221" t="n">
        <v>0</v>
      </c>
      <c r="R221" s="2" t="inlineStr"/>
    </row>
    <row r="222" ht="15" customHeight="1">
      <c r="A222" t="inlineStr">
        <is>
          <t>A 65564-2020</t>
        </is>
      </c>
      <c r="B222" s="1" t="n">
        <v>44172</v>
      </c>
      <c r="C222" s="1" t="n">
        <v>45938</v>
      </c>
      <c r="D222" t="inlineStr">
        <is>
          <t>KALMAR LÄN</t>
        </is>
      </c>
      <c r="E222" t="inlineStr">
        <is>
          <t>VIMMERBY</t>
        </is>
      </c>
      <c r="G222" t="n">
        <v>4.1</v>
      </c>
      <c r="H222" t="n">
        <v>0</v>
      </c>
      <c r="I222" t="n">
        <v>0</v>
      </c>
      <c r="J222" t="n">
        <v>0</v>
      </c>
      <c r="K222" t="n">
        <v>0</v>
      </c>
      <c r="L222" t="n">
        <v>0</v>
      </c>
      <c r="M222" t="n">
        <v>0</v>
      </c>
      <c r="N222" t="n">
        <v>0</v>
      </c>
      <c r="O222" t="n">
        <v>0</v>
      </c>
      <c r="P222" t="n">
        <v>0</v>
      </c>
      <c r="Q222" t="n">
        <v>0</v>
      </c>
      <c r="R222" s="2" t="inlineStr"/>
    </row>
    <row r="223" ht="15" customHeight="1">
      <c r="A223" t="inlineStr">
        <is>
          <t>A 9694-2023</t>
        </is>
      </c>
      <c r="B223" s="1" t="n">
        <v>44984.45895833334</v>
      </c>
      <c r="C223" s="1" t="n">
        <v>45938</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22198-2024</t>
        </is>
      </c>
      <c r="B224" s="1" t="n">
        <v>45446.36865740741</v>
      </c>
      <c r="C224" s="1" t="n">
        <v>45938</v>
      </c>
      <c r="D224" t="inlineStr">
        <is>
          <t>KALMAR LÄN</t>
        </is>
      </c>
      <c r="E224" t="inlineStr">
        <is>
          <t>VIMMERBY</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57311-2023</t>
        </is>
      </c>
      <c r="B225" s="1" t="n">
        <v>45245.63574074074</v>
      </c>
      <c r="C225" s="1" t="n">
        <v>45938</v>
      </c>
      <c r="D225" t="inlineStr">
        <is>
          <t>KALMAR LÄN</t>
        </is>
      </c>
      <c r="E225" t="inlineStr">
        <is>
          <t>VIMMERBY</t>
        </is>
      </c>
      <c r="G225" t="n">
        <v>1.6</v>
      </c>
      <c r="H225" t="n">
        <v>0</v>
      </c>
      <c r="I225" t="n">
        <v>0</v>
      </c>
      <c r="J225" t="n">
        <v>0</v>
      </c>
      <c r="K225" t="n">
        <v>0</v>
      </c>
      <c r="L225" t="n">
        <v>0</v>
      </c>
      <c r="M225" t="n">
        <v>0</v>
      </c>
      <c r="N225" t="n">
        <v>0</v>
      </c>
      <c r="O225" t="n">
        <v>0</v>
      </c>
      <c r="P225" t="n">
        <v>0</v>
      </c>
      <c r="Q225" t="n">
        <v>0</v>
      </c>
      <c r="R225" s="2" t="inlineStr"/>
    </row>
    <row r="226" ht="15" customHeight="1">
      <c r="A226" t="inlineStr">
        <is>
          <t>A 12588-2025</t>
        </is>
      </c>
      <c r="B226" s="1" t="n">
        <v>45732.76936342593</v>
      </c>
      <c r="C226" s="1" t="n">
        <v>45938</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11111-2024</t>
        </is>
      </c>
      <c r="B227" s="1" t="n">
        <v>45371.36359953704</v>
      </c>
      <c r="C227" s="1" t="n">
        <v>45938</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7932-2025</t>
        </is>
      </c>
      <c r="B228" s="1" t="n">
        <v>45707.3793287037</v>
      </c>
      <c r="C228" s="1" t="n">
        <v>45938</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48377-2021</t>
        </is>
      </c>
      <c r="B229" s="1" t="n">
        <v>44451.8375</v>
      </c>
      <c r="C229" s="1" t="n">
        <v>45938</v>
      </c>
      <c r="D229" t="inlineStr">
        <is>
          <t>KALMAR LÄN</t>
        </is>
      </c>
      <c r="E229" t="inlineStr">
        <is>
          <t>VIMMERBY</t>
        </is>
      </c>
      <c r="G229" t="n">
        <v>0.4</v>
      </c>
      <c r="H229" t="n">
        <v>0</v>
      </c>
      <c r="I229" t="n">
        <v>0</v>
      </c>
      <c r="J229" t="n">
        <v>0</v>
      </c>
      <c r="K229" t="n">
        <v>0</v>
      </c>
      <c r="L229" t="n">
        <v>0</v>
      </c>
      <c r="M229" t="n">
        <v>0</v>
      </c>
      <c r="N229" t="n">
        <v>0</v>
      </c>
      <c r="O229" t="n">
        <v>0</v>
      </c>
      <c r="P229" t="n">
        <v>0</v>
      </c>
      <c r="Q229" t="n">
        <v>0</v>
      </c>
      <c r="R229" s="2" t="inlineStr"/>
    </row>
    <row r="230" ht="15" customHeight="1">
      <c r="A230" t="inlineStr">
        <is>
          <t>A 13290-2025</t>
        </is>
      </c>
      <c r="B230" s="1" t="n">
        <v>45735.56751157407</v>
      </c>
      <c r="C230" s="1" t="n">
        <v>45938</v>
      </c>
      <c r="D230" t="inlineStr">
        <is>
          <t>KALMAR LÄN</t>
        </is>
      </c>
      <c r="E230" t="inlineStr">
        <is>
          <t>VIMMERBY</t>
        </is>
      </c>
      <c r="G230" t="n">
        <v>0.8</v>
      </c>
      <c r="H230" t="n">
        <v>0</v>
      </c>
      <c r="I230" t="n">
        <v>0</v>
      </c>
      <c r="J230" t="n">
        <v>0</v>
      </c>
      <c r="K230" t="n">
        <v>0</v>
      </c>
      <c r="L230" t="n">
        <v>0</v>
      </c>
      <c r="M230" t="n">
        <v>0</v>
      </c>
      <c r="N230" t="n">
        <v>0</v>
      </c>
      <c r="O230" t="n">
        <v>0</v>
      </c>
      <c r="P230" t="n">
        <v>0</v>
      </c>
      <c r="Q230" t="n">
        <v>0</v>
      </c>
      <c r="R230" s="2" t="inlineStr"/>
    </row>
    <row r="231" ht="15" customHeight="1">
      <c r="A231" t="inlineStr">
        <is>
          <t>A 40472-2022</t>
        </is>
      </c>
      <c r="B231" s="1" t="n">
        <v>44823</v>
      </c>
      <c r="C231" s="1" t="n">
        <v>45938</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19162-2023</t>
        </is>
      </c>
      <c r="B232" s="1" t="n">
        <v>45048.59699074074</v>
      </c>
      <c r="C232" s="1" t="n">
        <v>45938</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9475-2023</t>
        </is>
      </c>
      <c r="B233" s="1" t="n">
        <v>44981.58834490741</v>
      </c>
      <c r="C233" s="1" t="n">
        <v>45938</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1687-2023</t>
        </is>
      </c>
      <c r="B234" s="1" t="n">
        <v>44938</v>
      </c>
      <c r="C234" s="1" t="n">
        <v>45938</v>
      </c>
      <c r="D234" t="inlineStr">
        <is>
          <t>KALMAR LÄN</t>
        </is>
      </c>
      <c r="E234" t="inlineStr">
        <is>
          <t>VIMMERBY</t>
        </is>
      </c>
      <c r="F234" t="inlineStr">
        <is>
          <t>Kommuner</t>
        </is>
      </c>
      <c r="G234" t="n">
        <v>2.5</v>
      </c>
      <c r="H234" t="n">
        <v>0</v>
      </c>
      <c r="I234" t="n">
        <v>0</v>
      </c>
      <c r="J234" t="n">
        <v>0</v>
      </c>
      <c r="K234" t="n">
        <v>0</v>
      </c>
      <c r="L234" t="n">
        <v>0</v>
      </c>
      <c r="M234" t="n">
        <v>0</v>
      </c>
      <c r="N234" t="n">
        <v>0</v>
      </c>
      <c r="O234" t="n">
        <v>0</v>
      </c>
      <c r="P234" t="n">
        <v>0</v>
      </c>
      <c r="Q234" t="n">
        <v>0</v>
      </c>
      <c r="R234" s="2" t="inlineStr"/>
    </row>
    <row r="235" ht="15" customHeight="1">
      <c r="A235" t="inlineStr">
        <is>
          <t>A 11946-2025</t>
        </is>
      </c>
      <c r="B235" s="1" t="n">
        <v>45728.54832175926</v>
      </c>
      <c r="C235" s="1" t="n">
        <v>45938</v>
      </c>
      <c r="D235" t="inlineStr">
        <is>
          <t>KALMAR LÄN</t>
        </is>
      </c>
      <c r="E235" t="inlineStr">
        <is>
          <t>VIMMERBY</t>
        </is>
      </c>
      <c r="G235" t="n">
        <v>0.4</v>
      </c>
      <c r="H235" t="n">
        <v>0</v>
      </c>
      <c r="I235" t="n">
        <v>0</v>
      </c>
      <c r="J235" t="n">
        <v>0</v>
      </c>
      <c r="K235" t="n">
        <v>0</v>
      </c>
      <c r="L235" t="n">
        <v>0</v>
      </c>
      <c r="M235" t="n">
        <v>0</v>
      </c>
      <c r="N235" t="n">
        <v>0</v>
      </c>
      <c r="O235" t="n">
        <v>0</v>
      </c>
      <c r="P235" t="n">
        <v>0</v>
      </c>
      <c r="Q235" t="n">
        <v>0</v>
      </c>
      <c r="R235" s="2" t="inlineStr"/>
    </row>
    <row r="236" ht="15" customHeight="1">
      <c r="A236" t="inlineStr">
        <is>
          <t>A 19537-2022</t>
        </is>
      </c>
      <c r="B236" s="1" t="n">
        <v>44693.62822916666</v>
      </c>
      <c r="C236" s="1" t="n">
        <v>45938</v>
      </c>
      <c r="D236" t="inlineStr">
        <is>
          <t>KALMAR LÄN</t>
        </is>
      </c>
      <c r="E236" t="inlineStr">
        <is>
          <t>VIMMERBY</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2121-2022</t>
        </is>
      </c>
      <c r="B237" s="1" t="n">
        <v>44578.32717592592</v>
      </c>
      <c r="C237" s="1" t="n">
        <v>45938</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3494-2023</t>
        </is>
      </c>
      <c r="B238" s="1" t="n">
        <v>44949</v>
      </c>
      <c r="C238" s="1" t="n">
        <v>45938</v>
      </c>
      <c r="D238" t="inlineStr">
        <is>
          <t>KALMAR LÄN</t>
        </is>
      </c>
      <c r="E238" t="inlineStr">
        <is>
          <t>VIMMERBY</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34386-2024</t>
        </is>
      </c>
      <c r="B239" s="1" t="n">
        <v>45525.41762731481</v>
      </c>
      <c r="C239" s="1" t="n">
        <v>45938</v>
      </c>
      <c r="D239" t="inlineStr">
        <is>
          <t>KALMAR LÄN</t>
        </is>
      </c>
      <c r="E239" t="inlineStr">
        <is>
          <t>VIMMERBY</t>
        </is>
      </c>
      <c r="G239" t="n">
        <v>0.3</v>
      </c>
      <c r="H239" t="n">
        <v>0</v>
      </c>
      <c r="I239" t="n">
        <v>0</v>
      </c>
      <c r="J239" t="n">
        <v>0</v>
      </c>
      <c r="K239" t="n">
        <v>0</v>
      </c>
      <c r="L239" t="n">
        <v>0</v>
      </c>
      <c r="M239" t="n">
        <v>0</v>
      </c>
      <c r="N239" t="n">
        <v>0</v>
      </c>
      <c r="O239" t="n">
        <v>0</v>
      </c>
      <c r="P239" t="n">
        <v>0</v>
      </c>
      <c r="Q239" t="n">
        <v>0</v>
      </c>
      <c r="R239" s="2" t="inlineStr"/>
    </row>
    <row r="240" ht="15" customHeight="1">
      <c r="A240" t="inlineStr">
        <is>
          <t>A 6069-2023</t>
        </is>
      </c>
      <c r="B240" s="1" t="n">
        <v>44964.5115162037</v>
      </c>
      <c r="C240" s="1" t="n">
        <v>45938</v>
      </c>
      <c r="D240" t="inlineStr">
        <is>
          <t>KALMAR LÄN</t>
        </is>
      </c>
      <c r="E240" t="inlineStr">
        <is>
          <t>VIMMERBY</t>
        </is>
      </c>
      <c r="G240" t="n">
        <v>1.1</v>
      </c>
      <c r="H240" t="n">
        <v>0</v>
      </c>
      <c r="I240" t="n">
        <v>0</v>
      </c>
      <c r="J240" t="n">
        <v>0</v>
      </c>
      <c r="K240" t="n">
        <v>0</v>
      </c>
      <c r="L240" t="n">
        <v>0</v>
      </c>
      <c r="M240" t="n">
        <v>0</v>
      </c>
      <c r="N240" t="n">
        <v>0</v>
      </c>
      <c r="O240" t="n">
        <v>0</v>
      </c>
      <c r="P240" t="n">
        <v>0</v>
      </c>
      <c r="Q240" t="n">
        <v>0</v>
      </c>
      <c r="R240" s="2" t="inlineStr"/>
    </row>
    <row r="241" ht="15" customHeight="1">
      <c r="A241" t="inlineStr">
        <is>
          <t>A 60951-2023</t>
        </is>
      </c>
      <c r="B241" s="1" t="n">
        <v>45261.44914351852</v>
      </c>
      <c r="C241" s="1" t="n">
        <v>45938</v>
      </c>
      <c r="D241" t="inlineStr">
        <is>
          <t>KALMAR LÄN</t>
        </is>
      </c>
      <c r="E241" t="inlineStr">
        <is>
          <t>VIMMERBY</t>
        </is>
      </c>
      <c r="G241" t="n">
        <v>4.3</v>
      </c>
      <c r="H241" t="n">
        <v>0</v>
      </c>
      <c r="I241" t="n">
        <v>0</v>
      </c>
      <c r="J241" t="n">
        <v>0</v>
      </c>
      <c r="K241" t="n">
        <v>0</v>
      </c>
      <c r="L241" t="n">
        <v>0</v>
      </c>
      <c r="M241" t="n">
        <v>0</v>
      </c>
      <c r="N241" t="n">
        <v>0</v>
      </c>
      <c r="O241" t="n">
        <v>0</v>
      </c>
      <c r="P241" t="n">
        <v>0</v>
      </c>
      <c r="Q241" t="n">
        <v>0</v>
      </c>
      <c r="R241" s="2" t="inlineStr"/>
    </row>
    <row r="242" ht="15" customHeight="1">
      <c r="A242" t="inlineStr">
        <is>
          <t>A 38964-2025</t>
        </is>
      </c>
      <c r="B242" s="1" t="n">
        <v>45887.68759259259</v>
      </c>
      <c r="C242" s="1" t="n">
        <v>45938</v>
      </c>
      <c r="D242" t="inlineStr">
        <is>
          <t>KALMAR LÄN</t>
        </is>
      </c>
      <c r="E242" t="inlineStr">
        <is>
          <t>VIMMERBY</t>
        </is>
      </c>
      <c r="G242" t="n">
        <v>7.5</v>
      </c>
      <c r="H242" t="n">
        <v>0</v>
      </c>
      <c r="I242" t="n">
        <v>0</v>
      </c>
      <c r="J242" t="n">
        <v>0</v>
      </c>
      <c r="K242" t="n">
        <v>0</v>
      </c>
      <c r="L242" t="n">
        <v>0</v>
      </c>
      <c r="M242" t="n">
        <v>0</v>
      </c>
      <c r="N242" t="n">
        <v>0</v>
      </c>
      <c r="O242" t="n">
        <v>0</v>
      </c>
      <c r="P242" t="n">
        <v>0</v>
      </c>
      <c r="Q242" t="n">
        <v>0</v>
      </c>
      <c r="R242" s="2" t="inlineStr"/>
    </row>
    <row r="243" ht="15" customHeight="1">
      <c r="A243" t="inlineStr">
        <is>
          <t>A 60292-2022</t>
        </is>
      </c>
      <c r="B243" s="1" t="n">
        <v>44910.54231481482</v>
      </c>
      <c r="C243" s="1" t="n">
        <v>45938</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45856-2025</t>
        </is>
      </c>
      <c r="B244" s="1" t="n">
        <v>45923</v>
      </c>
      <c r="C244" s="1" t="n">
        <v>45938</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15449-2023</t>
        </is>
      </c>
      <c r="B245" s="1" t="n">
        <v>45020</v>
      </c>
      <c r="C245" s="1" t="n">
        <v>45938</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7485-2024</t>
        </is>
      </c>
      <c r="B246" s="1" t="n">
        <v>45346.67184027778</v>
      </c>
      <c r="C246" s="1" t="n">
        <v>45938</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43242-2024</t>
        </is>
      </c>
      <c r="B247" s="1" t="n">
        <v>45568.30189814815</v>
      </c>
      <c r="C247" s="1" t="n">
        <v>45938</v>
      </c>
      <c r="D247" t="inlineStr">
        <is>
          <t>KALMAR LÄN</t>
        </is>
      </c>
      <c r="E247" t="inlineStr">
        <is>
          <t>VIMMERBY</t>
        </is>
      </c>
      <c r="G247" t="n">
        <v>2.6</v>
      </c>
      <c r="H247" t="n">
        <v>0</v>
      </c>
      <c r="I247" t="n">
        <v>0</v>
      </c>
      <c r="J247" t="n">
        <v>0</v>
      </c>
      <c r="K247" t="n">
        <v>0</v>
      </c>
      <c r="L247" t="n">
        <v>0</v>
      </c>
      <c r="M247" t="n">
        <v>0</v>
      </c>
      <c r="N247" t="n">
        <v>0</v>
      </c>
      <c r="O247" t="n">
        <v>0</v>
      </c>
      <c r="P247" t="n">
        <v>0</v>
      </c>
      <c r="Q247" t="n">
        <v>0</v>
      </c>
      <c r="R247" s="2" t="inlineStr"/>
    </row>
    <row r="248" ht="15" customHeight="1">
      <c r="A248" t="inlineStr">
        <is>
          <t>A 32633-2023</t>
        </is>
      </c>
      <c r="B248" s="1" t="n">
        <v>45121.58699074074</v>
      </c>
      <c r="C248" s="1" t="n">
        <v>45938</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42820-2025</t>
        </is>
      </c>
      <c r="B249" s="1" t="n">
        <v>45908</v>
      </c>
      <c r="C249" s="1" t="n">
        <v>45938</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12590-2025</t>
        </is>
      </c>
      <c r="B250" s="1" t="n">
        <v>45732.79925925926</v>
      </c>
      <c r="C250" s="1" t="n">
        <v>45938</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35710-2023</t>
        </is>
      </c>
      <c r="B251" s="1" t="n">
        <v>45147.67096064815</v>
      </c>
      <c r="C251" s="1" t="n">
        <v>45938</v>
      </c>
      <c r="D251" t="inlineStr">
        <is>
          <t>KALMAR LÄN</t>
        </is>
      </c>
      <c r="E251" t="inlineStr">
        <is>
          <t>VIMMERBY</t>
        </is>
      </c>
      <c r="G251" t="n">
        <v>3.1</v>
      </c>
      <c r="H251" t="n">
        <v>0</v>
      </c>
      <c r="I251" t="n">
        <v>0</v>
      </c>
      <c r="J251" t="n">
        <v>0</v>
      </c>
      <c r="K251" t="n">
        <v>0</v>
      </c>
      <c r="L251" t="n">
        <v>0</v>
      </c>
      <c r="M251" t="n">
        <v>0</v>
      </c>
      <c r="N251" t="n">
        <v>0</v>
      </c>
      <c r="O251" t="n">
        <v>0</v>
      </c>
      <c r="P251" t="n">
        <v>0</v>
      </c>
      <c r="Q251" t="n">
        <v>0</v>
      </c>
      <c r="R251" s="2" t="inlineStr"/>
    </row>
    <row r="252" ht="15" customHeight="1">
      <c r="A252" t="inlineStr">
        <is>
          <t>A 52823-2024</t>
        </is>
      </c>
      <c r="B252" s="1" t="n">
        <v>45610.59094907407</v>
      </c>
      <c r="C252" s="1" t="n">
        <v>45938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49461-2023</t>
        </is>
      </c>
      <c r="B253" s="1" t="n">
        <v>45211.52642361111</v>
      </c>
      <c r="C253" s="1" t="n">
        <v>45938</v>
      </c>
      <c r="D253" t="inlineStr">
        <is>
          <t>KALMAR LÄN</t>
        </is>
      </c>
      <c r="E253" t="inlineStr">
        <is>
          <t>VIMMERBY</t>
        </is>
      </c>
      <c r="G253" t="n">
        <v>1.5</v>
      </c>
      <c r="H253" t="n">
        <v>0</v>
      </c>
      <c r="I253" t="n">
        <v>0</v>
      </c>
      <c r="J253" t="n">
        <v>0</v>
      </c>
      <c r="K253" t="n">
        <v>0</v>
      </c>
      <c r="L253" t="n">
        <v>0</v>
      </c>
      <c r="M253" t="n">
        <v>0</v>
      </c>
      <c r="N253" t="n">
        <v>0</v>
      </c>
      <c r="O253" t="n">
        <v>0</v>
      </c>
      <c r="P253" t="n">
        <v>0</v>
      </c>
      <c r="Q253" t="n">
        <v>0</v>
      </c>
      <c r="R253" s="2" t="inlineStr"/>
    </row>
    <row r="254" ht="15" customHeight="1">
      <c r="A254" t="inlineStr">
        <is>
          <t>A 23095-2023</t>
        </is>
      </c>
      <c r="B254" s="1" t="n">
        <v>45075.43059027778</v>
      </c>
      <c r="C254" s="1" t="n">
        <v>45938</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11429-2022</t>
        </is>
      </c>
      <c r="B255" s="1" t="n">
        <v>44630</v>
      </c>
      <c r="C255" s="1" t="n">
        <v>45938</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11147-2023</t>
        </is>
      </c>
      <c r="B256" s="1" t="n">
        <v>44992</v>
      </c>
      <c r="C256" s="1" t="n">
        <v>45938</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19833-2023</t>
        </is>
      </c>
      <c r="B257" s="1" t="n">
        <v>45052</v>
      </c>
      <c r="C257" s="1" t="n">
        <v>45938</v>
      </c>
      <c r="D257" t="inlineStr">
        <is>
          <t>KALMAR LÄN</t>
        </is>
      </c>
      <c r="E257" t="inlineStr">
        <is>
          <t>VIMMERBY</t>
        </is>
      </c>
      <c r="G257" t="n">
        <v>6.7</v>
      </c>
      <c r="H257" t="n">
        <v>0</v>
      </c>
      <c r="I257" t="n">
        <v>0</v>
      </c>
      <c r="J257" t="n">
        <v>0</v>
      </c>
      <c r="K257" t="n">
        <v>0</v>
      </c>
      <c r="L257" t="n">
        <v>0</v>
      </c>
      <c r="M257" t="n">
        <v>0</v>
      </c>
      <c r="N257" t="n">
        <v>0</v>
      </c>
      <c r="O257" t="n">
        <v>0</v>
      </c>
      <c r="P257" t="n">
        <v>0</v>
      </c>
      <c r="Q257" t="n">
        <v>0</v>
      </c>
      <c r="R257" s="2" t="inlineStr"/>
    </row>
    <row r="258" ht="15" customHeight="1">
      <c r="A258" t="inlineStr">
        <is>
          <t>A 11141-2024</t>
        </is>
      </c>
      <c r="B258" s="1" t="n">
        <v>45371.45865740741</v>
      </c>
      <c r="C258" s="1" t="n">
        <v>45938</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28395-2023</t>
        </is>
      </c>
      <c r="B259" s="1" t="n">
        <v>45100.4062962963</v>
      </c>
      <c r="C259" s="1" t="n">
        <v>45938</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61878-2020</t>
        </is>
      </c>
      <c r="B260" s="1" t="n">
        <v>44159</v>
      </c>
      <c r="C260" s="1" t="n">
        <v>45938</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34597-2022</t>
        </is>
      </c>
      <c r="B261" s="1" t="n">
        <v>44795</v>
      </c>
      <c r="C261" s="1" t="n">
        <v>45938</v>
      </c>
      <c r="D261" t="inlineStr">
        <is>
          <t>KALMAR LÄN</t>
        </is>
      </c>
      <c r="E261" t="inlineStr">
        <is>
          <t>VIMMERBY</t>
        </is>
      </c>
      <c r="G261" t="n">
        <v>2.2</v>
      </c>
      <c r="H261" t="n">
        <v>0</v>
      </c>
      <c r="I261" t="n">
        <v>0</v>
      </c>
      <c r="J261" t="n">
        <v>0</v>
      </c>
      <c r="K261" t="n">
        <v>0</v>
      </c>
      <c r="L261" t="n">
        <v>0</v>
      </c>
      <c r="M261" t="n">
        <v>0</v>
      </c>
      <c r="N261" t="n">
        <v>0</v>
      </c>
      <c r="O261" t="n">
        <v>0</v>
      </c>
      <c r="P261" t="n">
        <v>0</v>
      </c>
      <c r="Q261" t="n">
        <v>0</v>
      </c>
      <c r="R261" s="2" t="inlineStr"/>
    </row>
    <row r="262" ht="15" customHeight="1">
      <c r="A262" t="inlineStr">
        <is>
          <t>A 14548-2024</t>
        </is>
      </c>
      <c r="B262" s="1" t="n">
        <v>45394.66887731481</v>
      </c>
      <c r="C262" s="1" t="n">
        <v>45938</v>
      </c>
      <c r="D262" t="inlineStr">
        <is>
          <t>KALMAR LÄN</t>
        </is>
      </c>
      <c r="E262" t="inlineStr">
        <is>
          <t>VIMMERBY</t>
        </is>
      </c>
      <c r="G262" t="n">
        <v>0.9</v>
      </c>
      <c r="H262" t="n">
        <v>0</v>
      </c>
      <c r="I262" t="n">
        <v>0</v>
      </c>
      <c r="J262" t="n">
        <v>0</v>
      </c>
      <c r="K262" t="n">
        <v>0</v>
      </c>
      <c r="L262" t="n">
        <v>0</v>
      </c>
      <c r="M262" t="n">
        <v>0</v>
      </c>
      <c r="N262" t="n">
        <v>0</v>
      </c>
      <c r="O262" t="n">
        <v>0</v>
      </c>
      <c r="P262" t="n">
        <v>0</v>
      </c>
      <c r="Q262" t="n">
        <v>0</v>
      </c>
      <c r="R262" s="2" t="inlineStr"/>
    </row>
    <row r="263" ht="15" customHeight="1">
      <c r="A263" t="inlineStr">
        <is>
          <t>A 56853-2022</t>
        </is>
      </c>
      <c r="B263" s="1" t="n">
        <v>44894.49538194444</v>
      </c>
      <c r="C263" s="1" t="n">
        <v>45938</v>
      </c>
      <c r="D263" t="inlineStr">
        <is>
          <t>KALMAR LÄN</t>
        </is>
      </c>
      <c r="E263" t="inlineStr">
        <is>
          <t>VIMMERBY</t>
        </is>
      </c>
      <c r="G263" t="n">
        <v>4.3</v>
      </c>
      <c r="H263" t="n">
        <v>0</v>
      </c>
      <c r="I263" t="n">
        <v>0</v>
      </c>
      <c r="J263" t="n">
        <v>0</v>
      </c>
      <c r="K263" t="n">
        <v>0</v>
      </c>
      <c r="L263" t="n">
        <v>0</v>
      </c>
      <c r="M263" t="n">
        <v>0</v>
      </c>
      <c r="N263" t="n">
        <v>0</v>
      </c>
      <c r="O263" t="n">
        <v>0</v>
      </c>
      <c r="P263" t="n">
        <v>0</v>
      </c>
      <c r="Q263" t="n">
        <v>0</v>
      </c>
      <c r="R263" s="2" t="inlineStr"/>
    </row>
    <row r="264" ht="15" customHeight="1">
      <c r="A264" t="inlineStr">
        <is>
          <t>A 585-2024</t>
        </is>
      </c>
      <c r="B264" s="1" t="n">
        <v>45299.62576388889</v>
      </c>
      <c r="C264" s="1" t="n">
        <v>45938</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56020-2024</t>
        </is>
      </c>
      <c r="B265" s="1" t="n">
        <v>45623.9525462963</v>
      </c>
      <c r="C265" s="1" t="n">
        <v>45938</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65049-2020</t>
        </is>
      </c>
      <c r="B266" s="1" t="n">
        <v>44172</v>
      </c>
      <c r="C266" s="1" t="n">
        <v>45938</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64428-2023</t>
        </is>
      </c>
      <c r="B267" s="1" t="n">
        <v>45280.66769675926</v>
      </c>
      <c r="C267" s="1" t="n">
        <v>45938</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23252-2024</t>
        </is>
      </c>
      <c r="B268" s="1" t="n">
        <v>45453.36067129629</v>
      </c>
      <c r="C268" s="1" t="n">
        <v>45938</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30588-2023</t>
        </is>
      </c>
      <c r="B269" s="1" t="n">
        <v>45112.33599537037</v>
      </c>
      <c r="C269" s="1" t="n">
        <v>45938</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30503-2023</t>
        </is>
      </c>
      <c r="B270" s="1" t="n">
        <v>45111</v>
      </c>
      <c r="C270" s="1" t="n">
        <v>45938</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15550-2023</t>
        </is>
      </c>
      <c r="B271" s="1" t="n">
        <v>45020</v>
      </c>
      <c r="C271" s="1" t="n">
        <v>45938</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33815-2022</t>
        </is>
      </c>
      <c r="B272" s="1" t="n">
        <v>44790.45876157407</v>
      </c>
      <c r="C272" s="1" t="n">
        <v>45938</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33842-2022</t>
        </is>
      </c>
      <c r="B273" s="1" t="n">
        <v>44790.49523148148</v>
      </c>
      <c r="C273" s="1" t="n">
        <v>45938</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11219-2023</t>
        </is>
      </c>
      <c r="B274" s="1" t="n">
        <v>44992.62498842592</v>
      </c>
      <c r="C274" s="1" t="n">
        <v>45938</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18411-2021</t>
        </is>
      </c>
      <c r="B275" s="1" t="n">
        <v>44302</v>
      </c>
      <c r="C275" s="1" t="n">
        <v>45938</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47855-2024</t>
        </is>
      </c>
      <c r="B276" s="1" t="n">
        <v>45588.66457175926</v>
      </c>
      <c r="C276" s="1" t="n">
        <v>45938</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172-2022</t>
        </is>
      </c>
      <c r="B277" s="1" t="n">
        <v>44564.62598379629</v>
      </c>
      <c r="C277" s="1" t="n">
        <v>45938</v>
      </c>
      <c r="D277" t="inlineStr">
        <is>
          <t>KALMAR LÄN</t>
        </is>
      </c>
      <c r="E277" t="inlineStr">
        <is>
          <t>VIMMERBY</t>
        </is>
      </c>
      <c r="G277" t="n">
        <v>2.1</v>
      </c>
      <c r="H277" t="n">
        <v>0</v>
      </c>
      <c r="I277" t="n">
        <v>0</v>
      </c>
      <c r="J277" t="n">
        <v>0</v>
      </c>
      <c r="K277" t="n">
        <v>0</v>
      </c>
      <c r="L277" t="n">
        <v>0</v>
      </c>
      <c r="M277" t="n">
        <v>0</v>
      </c>
      <c r="N277" t="n">
        <v>0</v>
      </c>
      <c r="O277" t="n">
        <v>0</v>
      </c>
      <c r="P277" t="n">
        <v>0</v>
      </c>
      <c r="Q277" t="n">
        <v>0</v>
      </c>
      <c r="R277" s="2" t="inlineStr"/>
    </row>
    <row r="278" ht="15" customHeight="1">
      <c r="A278" t="inlineStr">
        <is>
          <t>A 39584-2024</t>
        </is>
      </c>
      <c r="B278" s="1" t="n">
        <v>45552.36759259259</v>
      </c>
      <c r="C278" s="1" t="n">
        <v>45938</v>
      </c>
      <c r="D278" t="inlineStr">
        <is>
          <t>KALMAR LÄN</t>
        </is>
      </c>
      <c r="E278" t="inlineStr">
        <is>
          <t>VIMMERBY</t>
        </is>
      </c>
      <c r="G278" t="n">
        <v>1.9</v>
      </c>
      <c r="H278" t="n">
        <v>0</v>
      </c>
      <c r="I278" t="n">
        <v>0</v>
      </c>
      <c r="J278" t="n">
        <v>0</v>
      </c>
      <c r="K278" t="n">
        <v>0</v>
      </c>
      <c r="L278" t="n">
        <v>0</v>
      </c>
      <c r="M278" t="n">
        <v>0</v>
      </c>
      <c r="N278" t="n">
        <v>0</v>
      </c>
      <c r="O278" t="n">
        <v>0</v>
      </c>
      <c r="P278" t="n">
        <v>0</v>
      </c>
      <c r="Q278" t="n">
        <v>0</v>
      </c>
      <c r="R278" s="2" t="inlineStr"/>
    </row>
    <row r="279" ht="15" customHeight="1">
      <c r="A279" t="inlineStr">
        <is>
          <t>A 47263-2023</t>
        </is>
      </c>
      <c r="B279" s="1" t="n">
        <v>45202.4209837963</v>
      </c>
      <c r="C279" s="1" t="n">
        <v>45938</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51881-2024</t>
        </is>
      </c>
      <c r="B280" s="1" t="n">
        <v>45607.56773148148</v>
      </c>
      <c r="C280" s="1" t="n">
        <v>45938</v>
      </c>
      <c r="D280" t="inlineStr">
        <is>
          <t>KALMAR LÄN</t>
        </is>
      </c>
      <c r="E280" t="inlineStr">
        <is>
          <t>VIMMERBY</t>
        </is>
      </c>
      <c r="G280" t="n">
        <v>3.4</v>
      </c>
      <c r="H280" t="n">
        <v>0</v>
      </c>
      <c r="I280" t="n">
        <v>0</v>
      </c>
      <c r="J280" t="n">
        <v>0</v>
      </c>
      <c r="K280" t="n">
        <v>0</v>
      </c>
      <c r="L280" t="n">
        <v>0</v>
      </c>
      <c r="M280" t="n">
        <v>0</v>
      </c>
      <c r="N280" t="n">
        <v>0</v>
      </c>
      <c r="O280" t="n">
        <v>0</v>
      </c>
      <c r="P280" t="n">
        <v>0</v>
      </c>
      <c r="Q280" t="n">
        <v>0</v>
      </c>
      <c r="R280" s="2" t="inlineStr"/>
    </row>
    <row r="281" ht="15" customHeight="1">
      <c r="A281" t="inlineStr">
        <is>
          <t>A 58100-2024</t>
        </is>
      </c>
      <c r="B281" s="1" t="n">
        <v>45632.36706018518</v>
      </c>
      <c r="C281" s="1" t="n">
        <v>45938</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2596-2025</t>
        </is>
      </c>
      <c r="B282" s="1" t="n">
        <v>45674.71810185185</v>
      </c>
      <c r="C282" s="1" t="n">
        <v>45938</v>
      </c>
      <c r="D282" t="inlineStr">
        <is>
          <t>KALMAR LÄN</t>
        </is>
      </c>
      <c r="E282" t="inlineStr">
        <is>
          <t>VIMMERBY</t>
        </is>
      </c>
      <c r="G282" t="n">
        <v>9</v>
      </c>
      <c r="H282" t="n">
        <v>0</v>
      </c>
      <c r="I282" t="n">
        <v>0</v>
      </c>
      <c r="J282" t="n">
        <v>0</v>
      </c>
      <c r="K282" t="n">
        <v>0</v>
      </c>
      <c r="L282" t="n">
        <v>0</v>
      </c>
      <c r="M282" t="n">
        <v>0</v>
      </c>
      <c r="N282" t="n">
        <v>0</v>
      </c>
      <c r="O282" t="n">
        <v>0</v>
      </c>
      <c r="P282" t="n">
        <v>0</v>
      </c>
      <c r="Q282" t="n">
        <v>0</v>
      </c>
      <c r="R282" s="2" t="inlineStr"/>
    </row>
    <row r="283" ht="15" customHeight="1">
      <c r="A283" t="inlineStr">
        <is>
          <t>A 58159-2024</t>
        </is>
      </c>
      <c r="B283" s="1" t="n">
        <v>45632.44886574074</v>
      </c>
      <c r="C283" s="1" t="n">
        <v>45938</v>
      </c>
      <c r="D283" t="inlineStr">
        <is>
          <t>KALMAR LÄN</t>
        </is>
      </c>
      <c r="E283" t="inlineStr">
        <is>
          <t>VIMMERBY</t>
        </is>
      </c>
      <c r="G283" t="n">
        <v>7.5</v>
      </c>
      <c r="H283" t="n">
        <v>0</v>
      </c>
      <c r="I283" t="n">
        <v>0</v>
      </c>
      <c r="J283" t="n">
        <v>0</v>
      </c>
      <c r="K283" t="n">
        <v>0</v>
      </c>
      <c r="L283" t="n">
        <v>0</v>
      </c>
      <c r="M283" t="n">
        <v>0</v>
      </c>
      <c r="N283" t="n">
        <v>0</v>
      </c>
      <c r="O283" t="n">
        <v>0</v>
      </c>
      <c r="P283" t="n">
        <v>0</v>
      </c>
      <c r="Q283" t="n">
        <v>0</v>
      </c>
      <c r="R283" s="2" t="inlineStr"/>
    </row>
    <row r="284" ht="15" customHeight="1">
      <c r="A284" t="inlineStr">
        <is>
          <t>A 49408-2023</t>
        </is>
      </c>
      <c r="B284" s="1" t="n">
        <v>45211.43555555555</v>
      </c>
      <c r="C284" s="1" t="n">
        <v>45938</v>
      </c>
      <c r="D284" t="inlineStr">
        <is>
          <t>KALMAR LÄN</t>
        </is>
      </c>
      <c r="E284" t="inlineStr">
        <is>
          <t>VIMMERBY</t>
        </is>
      </c>
      <c r="G284" t="n">
        <v>13.1</v>
      </c>
      <c r="H284" t="n">
        <v>0</v>
      </c>
      <c r="I284" t="n">
        <v>0</v>
      </c>
      <c r="J284" t="n">
        <v>0</v>
      </c>
      <c r="K284" t="n">
        <v>0</v>
      </c>
      <c r="L284" t="n">
        <v>0</v>
      </c>
      <c r="M284" t="n">
        <v>0</v>
      </c>
      <c r="N284" t="n">
        <v>0</v>
      </c>
      <c r="O284" t="n">
        <v>0</v>
      </c>
      <c r="P284" t="n">
        <v>0</v>
      </c>
      <c r="Q284" t="n">
        <v>0</v>
      </c>
      <c r="R284" s="2" t="inlineStr"/>
    </row>
    <row r="285" ht="15" customHeight="1">
      <c r="A285" t="inlineStr">
        <is>
          <t>A 56536-2022</t>
        </is>
      </c>
      <c r="B285" s="1" t="n">
        <v>44893</v>
      </c>
      <c r="C285" s="1" t="n">
        <v>45938</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57114-2023</t>
        </is>
      </c>
      <c r="B286" s="1" t="n">
        <v>45245.36174768519</v>
      </c>
      <c r="C286" s="1" t="n">
        <v>45938</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3423-2022</t>
        </is>
      </c>
      <c r="B287" s="1" t="n">
        <v>44585.50431712963</v>
      </c>
      <c r="C287" s="1" t="n">
        <v>45938</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41199-2023</t>
        </is>
      </c>
      <c r="B288" s="1" t="n">
        <v>45174.40454861111</v>
      </c>
      <c r="C288" s="1" t="n">
        <v>45938</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16734-2023</t>
        </is>
      </c>
      <c r="B289" s="1" t="n">
        <v>45030.71012731481</v>
      </c>
      <c r="C289" s="1" t="n">
        <v>45938</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40665-2023</t>
        </is>
      </c>
      <c r="B290" s="1" t="n">
        <v>45170</v>
      </c>
      <c r="C290" s="1" t="n">
        <v>45938</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20129-2024</t>
        </is>
      </c>
      <c r="B291" s="1" t="n">
        <v>45434.55831018519</v>
      </c>
      <c r="C291" s="1" t="n">
        <v>45938</v>
      </c>
      <c r="D291" t="inlineStr">
        <is>
          <t>KALMAR LÄN</t>
        </is>
      </c>
      <c r="E291" t="inlineStr">
        <is>
          <t>VIMMERBY</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20137-2024</t>
        </is>
      </c>
      <c r="B292" s="1" t="n">
        <v>45434.56398148148</v>
      </c>
      <c r="C292" s="1" t="n">
        <v>45938</v>
      </c>
      <c r="D292" t="inlineStr">
        <is>
          <t>KALMAR LÄN</t>
        </is>
      </c>
      <c r="E292" t="inlineStr">
        <is>
          <t>VIMMERBY</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7456-2024</t>
        </is>
      </c>
      <c r="B293" s="1" t="n">
        <v>45345.83557870371</v>
      </c>
      <c r="C293" s="1" t="n">
        <v>45938</v>
      </c>
      <c r="D293" t="inlineStr">
        <is>
          <t>KALMAR LÄN</t>
        </is>
      </c>
      <c r="E293" t="inlineStr">
        <is>
          <t>VIMMERBY</t>
        </is>
      </c>
      <c r="G293" t="n">
        <v>4.1</v>
      </c>
      <c r="H293" t="n">
        <v>0</v>
      </c>
      <c r="I293" t="n">
        <v>0</v>
      </c>
      <c r="J293" t="n">
        <v>0</v>
      </c>
      <c r="K293" t="n">
        <v>0</v>
      </c>
      <c r="L293" t="n">
        <v>0</v>
      </c>
      <c r="M293" t="n">
        <v>0</v>
      </c>
      <c r="N293" t="n">
        <v>0</v>
      </c>
      <c r="O293" t="n">
        <v>0</v>
      </c>
      <c r="P293" t="n">
        <v>0</v>
      </c>
      <c r="Q293" t="n">
        <v>0</v>
      </c>
      <c r="R293" s="2" t="inlineStr"/>
    </row>
    <row r="294" ht="15" customHeight="1">
      <c r="A294" t="inlineStr">
        <is>
          <t>A 8945-2025</t>
        </is>
      </c>
      <c r="B294" s="1" t="n">
        <v>45713.45311342592</v>
      </c>
      <c r="C294" s="1" t="n">
        <v>45938</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52324-2023</t>
        </is>
      </c>
      <c r="B295" s="1" t="n">
        <v>45224.64659722222</v>
      </c>
      <c r="C295" s="1" t="n">
        <v>45938</v>
      </c>
      <c r="D295" t="inlineStr">
        <is>
          <t>KALMAR LÄN</t>
        </is>
      </c>
      <c r="E295" t="inlineStr">
        <is>
          <t>VIMMERBY</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11619-2023</t>
        </is>
      </c>
      <c r="B296" s="1" t="n">
        <v>44994.42113425926</v>
      </c>
      <c r="C296" s="1" t="n">
        <v>45938</v>
      </c>
      <c r="D296" t="inlineStr">
        <is>
          <t>KALMAR LÄN</t>
        </is>
      </c>
      <c r="E296" t="inlineStr">
        <is>
          <t>VIMMERBY</t>
        </is>
      </c>
      <c r="G296" t="n">
        <v>2.5</v>
      </c>
      <c r="H296" t="n">
        <v>0</v>
      </c>
      <c r="I296" t="n">
        <v>0</v>
      </c>
      <c r="J296" t="n">
        <v>0</v>
      </c>
      <c r="K296" t="n">
        <v>0</v>
      </c>
      <c r="L296" t="n">
        <v>0</v>
      </c>
      <c r="M296" t="n">
        <v>0</v>
      </c>
      <c r="N296" t="n">
        <v>0</v>
      </c>
      <c r="O296" t="n">
        <v>0</v>
      </c>
      <c r="P296" t="n">
        <v>0</v>
      </c>
      <c r="Q296" t="n">
        <v>0</v>
      </c>
      <c r="R296" s="2" t="inlineStr"/>
    </row>
    <row r="297" ht="15" customHeight="1">
      <c r="A297" t="inlineStr">
        <is>
          <t>A 17988-2025</t>
        </is>
      </c>
      <c r="B297" s="1" t="n">
        <v>45761.39600694444</v>
      </c>
      <c r="C297" s="1" t="n">
        <v>45938</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50860-2022</t>
        </is>
      </c>
      <c r="B298" s="1" t="n">
        <v>44867</v>
      </c>
      <c r="C298" s="1" t="n">
        <v>45938</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41896-2023</t>
        </is>
      </c>
      <c r="B299" s="1" t="n">
        <v>45176.72427083334</v>
      </c>
      <c r="C299" s="1" t="n">
        <v>45938</v>
      </c>
      <c r="D299" t="inlineStr">
        <is>
          <t>KALMAR LÄN</t>
        </is>
      </c>
      <c r="E299" t="inlineStr">
        <is>
          <t>VIMMERBY</t>
        </is>
      </c>
      <c r="G299" t="n">
        <v>1.3</v>
      </c>
      <c r="H299" t="n">
        <v>0</v>
      </c>
      <c r="I299" t="n">
        <v>0</v>
      </c>
      <c r="J299" t="n">
        <v>0</v>
      </c>
      <c r="K299" t="n">
        <v>0</v>
      </c>
      <c r="L299" t="n">
        <v>0</v>
      </c>
      <c r="M299" t="n">
        <v>0</v>
      </c>
      <c r="N299" t="n">
        <v>0</v>
      </c>
      <c r="O299" t="n">
        <v>0</v>
      </c>
      <c r="P299" t="n">
        <v>0</v>
      </c>
      <c r="Q299" t="n">
        <v>0</v>
      </c>
      <c r="R299" s="2" t="inlineStr"/>
    </row>
    <row r="300" ht="15" customHeight="1">
      <c r="A300" t="inlineStr">
        <is>
          <t>A 23341-2022</t>
        </is>
      </c>
      <c r="B300" s="1" t="n">
        <v>44720.53898148148</v>
      </c>
      <c r="C300" s="1" t="n">
        <v>45938</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25370-2022</t>
        </is>
      </c>
      <c r="B301" s="1" t="n">
        <v>44732.3659837963</v>
      </c>
      <c r="C301" s="1" t="n">
        <v>45938</v>
      </c>
      <c r="D301" t="inlineStr">
        <is>
          <t>KALMAR LÄN</t>
        </is>
      </c>
      <c r="E301" t="inlineStr">
        <is>
          <t>VIMMERBY</t>
        </is>
      </c>
      <c r="G301" t="n">
        <v>1.2</v>
      </c>
      <c r="H301" t="n">
        <v>0</v>
      </c>
      <c r="I301" t="n">
        <v>0</v>
      </c>
      <c r="J301" t="n">
        <v>0</v>
      </c>
      <c r="K301" t="n">
        <v>0</v>
      </c>
      <c r="L301" t="n">
        <v>0</v>
      </c>
      <c r="M301" t="n">
        <v>0</v>
      </c>
      <c r="N301" t="n">
        <v>0</v>
      </c>
      <c r="O301" t="n">
        <v>0</v>
      </c>
      <c r="P301" t="n">
        <v>0</v>
      </c>
      <c r="Q301" t="n">
        <v>0</v>
      </c>
      <c r="R301" s="2" t="inlineStr"/>
    </row>
    <row r="302" ht="15" customHeight="1">
      <c r="A302" t="inlineStr">
        <is>
          <t>A 58577-2024</t>
        </is>
      </c>
      <c r="B302" s="1" t="n">
        <v>45635.4874537037</v>
      </c>
      <c r="C302" s="1" t="n">
        <v>45938</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37028-2024</t>
        </is>
      </c>
      <c r="B303" s="1" t="n">
        <v>45539.38744212963</v>
      </c>
      <c r="C303" s="1" t="n">
        <v>45938</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29440-2024</t>
        </is>
      </c>
      <c r="B304" s="1" t="n">
        <v>45483.82479166667</v>
      </c>
      <c r="C304" s="1" t="n">
        <v>45938</v>
      </c>
      <c r="D304" t="inlineStr">
        <is>
          <t>KALMAR LÄN</t>
        </is>
      </c>
      <c r="E304" t="inlineStr">
        <is>
          <t>VIMMERBY</t>
        </is>
      </c>
      <c r="G304" t="n">
        <v>4.5</v>
      </c>
      <c r="H304" t="n">
        <v>0</v>
      </c>
      <c r="I304" t="n">
        <v>0</v>
      </c>
      <c r="J304" t="n">
        <v>0</v>
      </c>
      <c r="K304" t="n">
        <v>0</v>
      </c>
      <c r="L304" t="n">
        <v>0</v>
      </c>
      <c r="M304" t="n">
        <v>0</v>
      </c>
      <c r="N304" t="n">
        <v>0</v>
      </c>
      <c r="O304" t="n">
        <v>0</v>
      </c>
      <c r="P304" t="n">
        <v>0</v>
      </c>
      <c r="Q304" t="n">
        <v>0</v>
      </c>
      <c r="R304" s="2" t="inlineStr"/>
    </row>
    <row r="305" ht="15" customHeight="1">
      <c r="A305" t="inlineStr">
        <is>
          <t>A 17926-2025</t>
        </is>
      </c>
      <c r="B305" s="1" t="n">
        <v>45759.38987268518</v>
      </c>
      <c r="C305" s="1" t="n">
        <v>45938</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6668-2023</t>
        </is>
      </c>
      <c r="B306" s="1" t="n">
        <v>44966</v>
      </c>
      <c r="C306" s="1" t="n">
        <v>45938</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29168-2024</t>
        </is>
      </c>
      <c r="B307" s="1" t="n">
        <v>45482.49870370371</v>
      </c>
      <c r="C307" s="1" t="n">
        <v>45938</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8086-2021</t>
        </is>
      </c>
      <c r="B308" s="1" t="n">
        <v>44243</v>
      </c>
      <c r="C308" s="1" t="n">
        <v>45938</v>
      </c>
      <c r="D308" t="inlineStr">
        <is>
          <t>KALMAR LÄN</t>
        </is>
      </c>
      <c r="E308" t="inlineStr">
        <is>
          <t>VIMMERBY</t>
        </is>
      </c>
      <c r="G308" t="n">
        <v>4.1</v>
      </c>
      <c r="H308" t="n">
        <v>0</v>
      </c>
      <c r="I308" t="n">
        <v>0</v>
      </c>
      <c r="J308" t="n">
        <v>0</v>
      </c>
      <c r="K308" t="n">
        <v>0</v>
      </c>
      <c r="L308" t="n">
        <v>0</v>
      </c>
      <c r="M308" t="n">
        <v>0</v>
      </c>
      <c r="N308" t="n">
        <v>0</v>
      </c>
      <c r="O308" t="n">
        <v>0</v>
      </c>
      <c r="P308" t="n">
        <v>0</v>
      </c>
      <c r="Q308" t="n">
        <v>0</v>
      </c>
      <c r="R308" s="2" t="inlineStr"/>
    </row>
    <row r="309" ht="15" customHeight="1">
      <c r="A309" t="inlineStr">
        <is>
          <t>A 55236-2023</t>
        </is>
      </c>
      <c r="B309" s="1" t="n">
        <v>45237.63225694445</v>
      </c>
      <c r="C309" s="1" t="n">
        <v>45938</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55245-2023</t>
        </is>
      </c>
      <c r="B310" s="1" t="n">
        <v>45237.64408564815</v>
      </c>
      <c r="C310" s="1" t="n">
        <v>45938</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21028-2023</t>
        </is>
      </c>
      <c r="B311" s="1" t="n">
        <v>45061</v>
      </c>
      <c r="C311" s="1" t="n">
        <v>45938</v>
      </c>
      <c r="D311" t="inlineStr">
        <is>
          <t>KALMAR LÄN</t>
        </is>
      </c>
      <c r="E311" t="inlineStr">
        <is>
          <t>VIMMERBY</t>
        </is>
      </c>
      <c r="F311" t="inlineStr">
        <is>
          <t>Övriga Aktiebolag</t>
        </is>
      </c>
      <c r="G311" t="n">
        <v>0.7</v>
      </c>
      <c r="H311" t="n">
        <v>0</v>
      </c>
      <c r="I311" t="n">
        <v>0</v>
      </c>
      <c r="J311" t="n">
        <v>0</v>
      </c>
      <c r="K311" t="n">
        <v>0</v>
      </c>
      <c r="L311" t="n">
        <v>0</v>
      </c>
      <c r="M311" t="n">
        <v>0</v>
      </c>
      <c r="N311" t="n">
        <v>0</v>
      </c>
      <c r="O311" t="n">
        <v>0</v>
      </c>
      <c r="P311" t="n">
        <v>0</v>
      </c>
      <c r="Q311" t="n">
        <v>0</v>
      </c>
      <c r="R311" s="2" t="inlineStr"/>
    </row>
    <row r="312" ht="15" customHeight="1">
      <c r="A312" t="inlineStr">
        <is>
          <t>A 36055-2024</t>
        </is>
      </c>
      <c r="B312" s="1" t="n">
        <v>45533.63056712963</v>
      </c>
      <c r="C312" s="1" t="n">
        <v>45938</v>
      </c>
      <c r="D312" t="inlineStr">
        <is>
          <t>KALMAR LÄN</t>
        </is>
      </c>
      <c r="E312" t="inlineStr">
        <is>
          <t>VIMMERBY</t>
        </is>
      </c>
      <c r="F312" t="inlineStr">
        <is>
          <t>Kommuner</t>
        </is>
      </c>
      <c r="G312" t="n">
        <v>1.9</v>
      </c>
      <c r="H312" t="n">
        <v>0</v>
      </c>
      <c r="I312" t="n">
        <v>0</v>
      </c>
      <c r="J312" t="n">
        <v>0</v>
      </c>
      <c r="K312" t="n">
        <v>0</v>
      </c>
      <c r="L312" t="n">
        <v>0</v>
      </c>
      <c r="M312" t="n">
        <v>0</v>
      </c>
      <c r="N312" t="n">
        <v>0</v>
      </c>
      <c r="O312" t="n">
        <v>0</v>
      </c>
      <c r="P312" t="n">
        <v>0</v>
      </c>
      <c r="Q312" t="n">
        <v>0</v>
      </c>
      <c r="R312" s="2" t="inlineStr"/>
    </row>
    <row r="313" ht="15" customHeight="1">
      <c r="A313" t="inlineStr">
        <is>
          <t>A 9129-2025</t>
        </is>
      </c>
      <c r="B313" s="1" t="n">
        <v>45713.92412037037</v>
      </c>
      <c r="C313" s="1" t="n">
        <v>45938</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22197-2024</t>
        </is>
      </c>
      <c r="B314" s="1" t="n">
        <v>45446.36774305555</v>
      </c>
      <c r="C314" s="1" t="n">
        <v>45938</v>
      </c>
      <c r="D314" t="inlineStr">
        <is>
          <t>KALMAR LÄN</t>
        </is>
      </c>
      <c r="E314" t="inlineStr">
        <is>
          <t>VIMMERBY</t>
        </is>
      </c>
      <c r="F314" t="inlineStr">
        <is>
          <t>Sveaskog</t>
        </is>
      </c>
      <c r="G314" t="n">
        <v>3.2</v>
      </c>
      <c r="H314" t="n">
        <v>0</v>
      </c>
      <c r="I314" t="n">
        <v>0</v>
      </c>
      <c r="J314" t="n">
        <v>0</v>
      </c>
      <c r="K314" t="n">
        <v>0</v>
      </c>
      <c r="L314" t="n">
        <v>0</v>
      </c>
      <c r="M314" t="n">
        <v>0</v>
      </c>
      <c r="N314" t="n">
        <v>0</v>
      </c>
      <c r="O314" t="n">
        <v>0</v>
      </c>
      <c r="P314" t="n">
        <v>0</v>
      </c>
      <c r="Q314" t="n">
        <v>0</v>
      </c>
      <c r="R314" s="2" t="inlineStr"/>
    </row>
    <row r="315" ht="15" customHeight="1">
      <c r="A315" t="inlineStr">
        <is>
          <t>A 53752-2024</t>
        </is>
      </c>
      <c r="B315" s="1" t="n">
        <v>45615.48927083334</v>
      </c>
      <c r="C315" s="1" t="n">
        <v>45938</v>
      </c>
      <c r="D315" t="inlineStr">
        <is>
          <t>KALMAR LÄN</t>
        </is>
      </c>
      <c r="E315" t="inlineStr">
        <is>
          <t>VIMMERBY</t>
        </is>
      </c>
      <c r="G315" t="n">
        <v>2.4</v>
      </c>
      <c r="H315" t="n">
        <v>0</v>
      </c>
      <c r="I315" t="n">
        <v>0</v>
      </c>
      <c r="J315" t="n">
        <v>0</v>
      </c>
      <c r="K315" t="n">
        <v>0</v>
      </c>
      <c r="L315" t="n">
        <v>0</v>
      </c>
      <c r="M315" t="n">
        <v>0</v>
      </c>
      <c r="N315" t="n">
        <v>0</v>
      </c>
      <c r="O315" t="n">
        <v>0</v>
      </c>
      <c r="P315" t="n">
        <v>0</v>
      </c>
      <c r="Q315" t="n">
        <v>0</v>
      </c>
      <c r="R315" s="2" t="inlineStr"/>
    </row>
    <row r="316" ht="15" customHeight="1">
      <c r="A316" t="inlineStr">
        <is>
          <t>A 19445-2021</t>
        </is>
      </c>
      <c r="B316" s="1" t="n">
        <v>44310</v>
      </c>
      <c r="C316" s="1" t="n">
        <v>45938</v>
      </c>
      <c r="D316" t="inlineStr">
        <is>
          <t>KALMAR LÄN</t>
        </is>
      </c>
      <c r="E316" t="inlineStr">
        <is>
          <t>VIMMERBY</t>
        </is>
      </c>
      <c r="G316" t="n">
        <v>6.8</v>
      </c>
      <c r="H316" t="n">
        <v>0</v>
      </c>
      <c r="I316" t="n">
        <v>0</v>
      </c>
      <c r="J316" t="n">
        <v>0</v>
      </c>
      <c r="K316" t="n">
        <v>0</v>
      </c>
      <c r="L316" t="n">
        <v>0</v>
      </c>
      <c r="M316" t="n">
        <v>0</v>
      </c>
      <c r="N316" t="n">
        <v>0</v>
      </c>
      <c r="O316" t="n">
        <v>0</v>
      </c>
      <c r="P316" t="n">
        <v>0</v>
      </c>
      <c r="Q316" t="n">
        <v>0</v>
      </c>
      <c r="R316" s="2" t="inlineStr"/>
    </row>
    <row r="317" ht="15" customHeight="1">
      <c r="A317" t="inlineStr">
        <is>
          <t>A 27122-2023</t>
        </is>
      </c>
      <c r="B317" s="1" t="n">
        <v>45096.45247685185</v>
      </c>
      <c r="C317" s="1" t="n">
        <v>45938</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13813-2024</t>
        </is>
      </c>
      <c r="B318" s="1" t="n">
        <v>45391.41310185185</v>
      </c>
      <c r="C318" s="1" t="n">
        <v>45938</v>
      </c>
      <c r="D318" t="inlineStr">
        <is>
          <t>KALMAR LÄN</t>
        </is>
      </c>
      <c r="E318" t="inlineStr">
        <is>
          <t>VIMMERBY</t>
        </is>
      </c>
      <c r="G318" t="n">
        <v>0.4</v>
      </c>
      <c r="H318" t="n">
        <v>0</v>
      </c>
      <c r="I318" t="n">
        <v>0</v>
      </c>
      <c r="J318" t="n">
        <v>0</v>
      </c>
      <c r="K318" t="n">
        <v>0</v>
      </c>
      <c r="L318" t="n">
        <v>0</v>
      </c>
      <c r="M318" t="n">
        <v>0</v>
      </c>
      <c r="N318" t="n">
        <v>0</v>
      </c>
      <c r="O318" t="n">
        <v>0</v>
      </c>
      <c r="P318" t="n">
        <v>0</v>
      </c>
      <c r="Q318" t="n">
        <v>0</v>
      </c>
      <c r="R318" s="2" t="inlineStr"/>
    </row>
    <row r="319" ht="15" customHeight="1">
      <c r="A319" t="inlineStr">
        <is>
          <t>A 38969-2023</t>
        </is>
      </c>
      <c r="B319" s="1" t="n">
        <v>45163.63621527778</v>
      </c>
      <c r="C319" s="1" t="n">
        <v>45938</v>
      </c>
      <c r="D319" t="inlineStr">
        <is>
          <t>KALMAR LÄN</t>
        </is>
      </c>
      <c r="E319" t="inlineStr">
        <is>
          <t>VIMMERBY</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12121-2025</t>
        </is>
      </c>
      <c r="B320" s="1" t="n">
        <v>45729.36868055556</v>
      </c>
      <c r="C320" s="1" t="n">
        <v>45938</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27443-2023</t>
        </is>
      </c>
      <c r="B321" s="1" t="n">
        <v>45097.40524305555</v>
      </c>
      <c r="C321" s="1" t="n">
        <v>45938</v>
      </c>
      <c r="D321" t="inlineStr">
        <is>
          <t>KALMAR LÄN</t>
        </is>
      </c>
      <c r="E321" t="inlineStr">
        <is>
          <t>VIMMERBY</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845-2023</t>
        </is>
      </c>
      <c r="B322" s="1" t="n">
        <v>44931</v>
      </c>
      <c r="C322" s="1" t="n">
        <v>45938</v>
      </c>
      <c r="D322" t="inlineStr">
        <is>
          <t>KALMAR LÄN</t>
        </is>
      </c>
      <c r="E322" t="inlineStr">
        <is>
          <t>VIMMERBY</t>
        </is>
      </c>
      <c r="F322" t="inlineStr">
        <is>
          <t>Övriga Aktiebolag</t>
        </is>
      </c>
      <c r="G322" t="n">
        <v>19</v>
      </c>
      <c r="H322" t="n">
        <v>0</v>
      </c>
      <c r="I322" t="n">
        <v>0</v>
      </c>
      <c r="J322" t="n">
        <v>0</v>
      </c>
      <c r="K322" t="n">
        <v>0</v>
      </c>
      <c r="L322" t="n">
        <v>0</v>
      </c>
      <c r="M322" t="n">
        <v>0</v>
      </c>
      <c r="N322" t="n">
        <v>0</v>
      </c>
      <c r="O322" t="n">
        <v>0</v>
      </c>
      <c r="P322" t="n">
        <v>0</v>
      </c>
      <c r="Q322" t="n">
        <v>0</v>
      </c>
      <c r="R322" s="2" t="inlineStr"/>
    </row>
    <row r="323" ht="15" customHeight="1">
      <c r="A323" t="inlineStr">
        <is>
          <t>A 9710-2023</t>
        </is>
      </c>
      <c r="B323" s="1" t="n">
        <v>44984</v>
      </c>
      <c r="C323" s="1" t="n">
        <v>45938</v>
      </c>
      <c r="D323" t="inlineStr">
        <is>
          <t>KALMAR LÄN</t>
        </is>
      </c>
      <c r="E323" t="inlineStr">
        <is>
          <t>VIMMERBY</t>
        </is>
      </c>
      <c r="G323" t="n">
        <v>3.7</v>
      </c>
      <c r="H323" t="n">
        <v>0</v>
      </c>
      <c r="I323" t="n">
        <v>0</v>
      </c>
      <c r="J323" t="n">
        <v>0</v>
      </c>
      <c r="K323" t="n">
        <v>0</v>
      </c>
      <c r="L323" t="n">
        <v>0</v>
      </c>
      <c r="M323" t="n">
        <v>0</v>
      </c>
      <c r="N323" t="n">
        <v>0</v>
      </c>
      <c r="O323" t="n">
        <v>0</v>
      </c>
      <c r="P323" t="n">
        <v>0</v>
      </c>
      <c r="Q323" t="n">
        <v>0</v>
      </c>
      <c r="R323" s="2" t="inlineStr"/>
    </row>
    <row r="324" ht="15" customHeight="1">
      <c r="A324" t="inlineStr">
        <is>
          <t>A 9720-2023</t>
        </is>
      </c>
      <c r="B324" s="1" t="n">
        <v>44984</v>
      </c>
      <c r="C324" s="1" t="n">
        <v>45938</v>
      </c>
      <c r="D324" t="inlineStr">
        <is>
          <t>KALMAR LÄN</t>
        </is>
      </c>
      <c r="E324" t="inlineStr">
        <is>
          <t>VIMMERBY</t>
        </is>
      </c>
      <c r="G324" t="n">
        <v>4.4</v>
      </c>
      <c r="H324" t="n">
        <v>0</v>
      </c>
      <c r="I324" t="n">
        <v>0</v>
      </c>
      <c r="J324" t="n">
        <v>0</v>
      </c>
      <c r="K324" t="n">
        <v>0</v>
      </c>
      <c r="L324" t="n">
        <v>0</v>
      </c>
      <c r="M324" t="n">
        <v>0</v>
      </c>
      <c r="N324" t="n">
        <v>0</v>
      </c>
      <c r="O324" t="n">
        <v>0</v>
      </c>
      <c r="P324" t="n">
        <v>0</v>
      </c>
      <c r="Q324" t="n">
        <v>0</v>
      </c>
      <c r="R324" s="2" t="inlineStr"/>
    </row>
    <row r="325" ht="15" customHeight="1">
      <c r="A325" t="inlineStr">
        <is>
          <t>A 15493-2023</t>
        </is>
      </c>
      <c r="B325" s="1" t="n">
        <v>45018</v>
      </c>
      <c r="C325" s="1" t="n">
        <v>45938</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6321-2023</t>
        </is>
      </c>
      <c r="B326" s="1" t="n">
        <v>44965.4815162037</v>
      </c>
      <c r="C326" s="1" t="n">
        <v>45938</v>
      </c>
      <c r="D326" t="inlineStr">
        <is>
          <t>KALMAR LÄN</t>
        </is>
      </c>
      <c r="E326" t="inlineStr">
        <is>
          <t>VIMMERBY</t>
        </is>
      </c>
      <c r="G326" t="n">
        <v>1.8</v>
      </c>
      <c r="H326" t="n">
        <v>0</v>
      </c>
      <c r="I326" t="n">
        <v>0</v>
      </c>
      <c r="J326" t="n">
        <v>0</v>
      </c>
      <c r="K326" t="n">
        <v>0</v>
      </c>
      <c r="L326" t="n">
        <v>0</v>
      </c>
      <c r="M326" t="n">
        <v>0</v>
      </c>
      <c r="N326" t="n">
        <v>0</v>
      </c>
      <c r="O326" t="n">
        <v>0</v>
      </c>
      <c r="P326" t="n">
        <v>0</v>
      </c>
      <c r="Q326" t="n">
        <v>0</v>
      </c>
      <c r="R326" s="2" t="inlineStr"/>
    </row>
    <row r="327" ht="15" customHeight="1">
      <c r="A327" t="inlineStr">
        <is>
          <t>A 4624-2024</t>
        </is>
      </c>
      <c r="B327" s="1" t="n">
        <v>45328.38755787037</v>
      </c>
      <c r="C327" s="1" t="n">
        <v>45938</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38604-2025</t>
        </is>
      </c>
      <c r="B328" s="1" t="n">
        <v>45884.50613425926</v>
      </c>
      <c r="C328" s="1" t="n">
        <v>45938</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40730-2024</t>
        </is>
      </c>
      <c r="B329" s="1" t="n">
        <v>45558.44914351852</v>
      </c>
      <c r="C329" s="1" t="n">
        <v>45938</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2157-2024</t>
        </is>
      </c>
      <c r="B330" s="1" t="n">
        <v>45309.59487268519</v>
      </c>
      <c r="C330" s="1" t="n">
        <v>45938</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29093-2023</t>
        </is>
      </c>
      <c r="B331" s="1" t="n">
        <v>45105</v>
      </c>
      <c r="C331" s="1" t="n">
        <v>45938</v>
      </c>
      <c r="D331" t="inlineStr">
        <is>
          <t>KALMAR LÄN</t>
        </is>
      </c>
      <c r="E331" t="inlineStr">
        <is>
          <t>VIMMERBY</t>
        </is>
      </c>
      <c r="G331" t="n">
        <v>2.9</v>
      </c>
      <c r="H331" t="n">
        <v>0</v>
      </c>
      <c r="I331" t="n">
        <v>0</v>
      </c>
      <c r="J331" t="n">
        <v>0</v>
      </c>
      <c r="K331" t="n">
        <v>0</v>
      </c>
      <c r="L331" t="n">
        <v>0</v>
      </c>
      <c r="M331" t="n">
        <v>0</v>
      </c>
      <c r="N331" t="n">
        <v>0</v>
      </c>
      <c r="O331" t="n">
        <v>0</v>
      </c>
      <c r="P331" t="n">
        <v>0</v>
      </c>
      <c r="Q331" t="n">
        <v>0</v>
      </c>
      <c r="R331" s="2" t="inlineStr"/>
    </row>
    <row r="332" ht="15" customHeight="1">
      <c r="A332" t="inlineStr">
        <is>
          <t>A 33352-2022</t>
        </is>
      </c>
      <c r="B332" s="1" t="n">
        <v>44788</v>
      </c>
      <c r="C332" s="1" t="n">
        <v>45938</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49461-2022</t>
        </is>
      </c>
      <c r="B333" s="1" t="n">
        <v>44861</v>
      </c>
      <c r="C333" s="1" t="n">
        <v>45938</v>
      </c>
      <c r="D333" t="inlineStr">
        <is>
          <t>KALMAR LÄN</t>
        </is>
      </c>
      <c r="E333" t="inlineStr">
        <is>
          <t>VIMMERBY</t>
        </is>
      </c>
      <c r="G333" t="n">
        <v>3.2</v>
      </c>
      <c r="H333" t="n">
        <v>0</v>
      </c>
      <c r="I333" t="n">
        <v>0</v>
      </c>
      <c r="J333" t="n">
        <v>0</v>
      </c>
      <c r="K333" t="n">
        <v>0</v>
      </c>
      <c r="L333" t="n">
        <v>0</v>
      </c>
      <c r="M333" t="n">
        <v>0</v>
      </c>
      <c r="N333" t="n">
        <v>0</v>
      </c>
      <c r="O333" t="n">
        <v>0</v>
      </c>
      <c r="P333" t="n">
        <v>0</v>
      </c>
      <c r="Q333" t="n">
        <v>0</v>
      </c>
      <c r="R333" s="2" t="inlineStr"/>
    </row>
    <row r="334" ht="15" customHeight="1">
      <c r="A334" t="inlineStr">
        <is>
          <t>A 694-2024</t>
        </is>
      </c>
      <c r="B334" s="1" t="n">
        <v>45300.3794212963</v>
      </c>
      <c r="C334" s="1" t="n">
        <v>45938</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10674-2021</t>
        </is>
      </c>
      <c r="B335" s="1" t="n">
        <v>44258</v>
      </c>
      <c r="C335" s="1" t="n">
        <v>45938</v>
      </c>
      <c r="D335" t="inlineStr">
        <is>
          <t>KALMAR LÄN</t>
        </is>
      </c>
      <c r="E335" t="inlineStr">
        <is>
          <t>VIMMERBY</t>
        </is>
      </c>
      <c r="G335" t="n">
        <v>8.4</v>
      </c>
      <c r="H335" t="n">
        <v>0</v>
      </c>
      <c r="I335" t="n">
        <v>0</v>
      </c>
      <c r="J335" t="n">
        <v>0</v>
      </c>
      <c r="K335" t="n">
        <v>0</v>
      </c>
      <c r="L335" t="n">
        <v>0</v>
      </c>
      <c r="M335" t="n">
        <v>0</v>
      </c>
      <c r="N335" t="n">
        <v>0</v>
      </c>
      <c r="O335" t="n">
        <v>0</v>
      </c>
      <c r="P335" t="n">
        <v>0</v>
      </c>
      <c r="Q335" t="n">
        <v>0</v>
      </c>
      <c r="R335" s="2" t="inlineStr"/>
    </row>
    <row r="336" ht="15" customHeight="1">
      <c r="A336" t="inlineStr">
        <is>
          <t>A 26937-2023</t>
        </is>
      </c>
      <c r="B336" s="1" t="n">
        <v>45093.62777777778</v>
      </c>
      <c r="C336" s="1" t="n">
        <v>45938</v>
      </c>
      <c r="D336" t="inlineStr">
        <is>
          <t>KALMAR LÄN</t>
        </is>
      </c>
      <c r="E336" t="inlineStr">
        <is>
          <t>VIMMERBY</t>
        </is>
      </c>
      <c r="F336" t="inlineStr">
        <is>
          <t>Sveaskog</t>
        </is>
      </c>
      <c r="G336" t="n">
        <v>14.5</v>
      </c>
      <c r="H336" t="n">
        <v>0</v>
      </c>
      <c r="I336" t="n">
        <v>0</v>
      </c>
      <c r="J336" t="n">
        <v>0</v>
      </c>
      <c r="K336" t="n">
        <v>0</v>
      </c>
      <c r="L336" t="n">
        <v>0</v>
      </c>
      <c r="M336" t="n">
        <v>0</v>
      </c>
      <c r="N336" t="n">
        <v>0</v>
      </c>
      <c r="O336" t="n">
        <v>0</v>
      </c>
      <c r="P336" t="n">
        <v>0</v>
      </c>
      <c r="Q336" t="n">
        <v>0</v>
      </c>
      <c r="R336" s="2" t="inlineStr"/>
    </row>
    <row r="337" ht="15" customHeight="1">
      <c r="A337" t="inlineStr">
        <is>
          <t>A 22264-2023</t>
        </is>
      </c>
      <c r="B337" s="1" t="n">
        <v>45070.3665625</v>
      </c>
      <c r="C337" s="1" t="n">
        <v>45938</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57486-2024</t>
        </is>
      </c>
      <c r="B338" s="1" t="n">
        <v>45630.35827546296</v>
      </c>
      <c r="C338" s="1" t="n">
        <v>45938</v>
      </c>
      <c r="D338" t="inlineStr">
        <is>
          <t>KALMAR LÄN</t>
        </is>
      </c>
      <c r="E338" t="inlineStr">
        <is>
          <t>VIMMERBY</t>
        </is>
      </c>
      <c r="G338" t="n">
        <v>0.4</v>
      </c>
      <c r="H338" t="n">
        <v>0</v>
      </c>
      <c r="I338" t="n">
        <v>0</v>
      </c>
      <c r="J338" t="n">
        <v>0</v>
      </c>
      <c r="K338" t="n">
        <v>0</v>
      </c>
      <c r="L338" t="n">
        <v>0</v>
      </c>
      <c r="M338" t="n">
        <v>0</v>
      </c>
      <c r="N338" t="n">
        <v>0</v>
      </c>
      <c r="O338" t="n">
        <v>0</v>
      </c>
      <c r="P338" t="n">
        <v>0</v>
      </c>
      <c r="Q338" t="n">
        <v>0</v>
      </c>
      <c r="R338" s="2" t="inlineStr"/>
    </row>
    <row r="339" ht="15" customHeight="1">
      <c r="A339" t="inlineStr">
        <is>
          <t>A 43186-2021</t>
        </is>
      </c>
      <c r="B339" s="1" t="n">
        <v>44431.84840277778</v>
      </c>
      <c r="C339" s="1" t="n">
        <v>45938</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1799-2025</t>
        </is>
      </c>
      <c r="B340" s="1" t="n">
        <v>45671.46746527778</v>
      </c>
      <c r="C340" s="1" t="n">
        <v>45938</v>
      </c>
      <c r="D340" t="inlineStr">
        <is>
          <t>KALMAR LÄN</t>
        </is>
      </c>
      <c r="E340" t="inlineStr">
        <is>
          <t>VIMMERBY</t>
        </is>
      </c>
      <c r="G340" t="n">
        <v>3.3</v>
      </c>
      <c r="H340" t="n">
        <v>0</v>
      </c>
      <c r="I340" t="n">
        <v>0</v>
      </c>
      <c r="J340" t="n">
        <v>0</v>
      </c>
      <c r="K340" t="n">
        <v>0</v>
      </c>
      <c r="L340" t="n">
        <v>0</v>
      </c>
      <c r="M340" t="n">
        <v>0</v>
      </c>
      <c r="N340" t="n">
        <v>0</v>
      </c>
      <c r="O340" t="n">
        <v>0</v>
      </c>
      <c r="P340" t="n">
        <v>0</v>
      </c>
      <c r="Q340" t="n">
        <v>0</v>
      </c>
      <c r="R340" s="2" t="inlineStr"/>
    </row>
    <row r="341" ht="15" customHeight="1">
      <c r="A341" t="inlineStr">
        <is>
          <t>A 16676-2023</t>
        </is>
      </c>
      <c r="B341" s="1" t="n">
        <v>45028</v>
      </c>
      <c r="C341" s="1" t="n">
        <v>45938</v>
      </c>
      <c r="D341" t="inlineStr">
        <is>
          <t>KALMAR LÄN</t>
        </is>
      </c>
      <c r="E341" t="inlineStr">
        <is>
          <t>VIMMERBY</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59598-2023</t>
        </is>
      </c>
      <c r="B342" s="1" t="n">
        <v>45254.62489583333</v>
      </c>
      <c r="C342" s="1" t="n">
        <v>45938</v>
      </c>
      <c r="D342" t="inlineStr">
        <is>
          <t>KALMAR LÄN</t>
        </is>
      </c>
      <c r="E342" t="inlineStr">
        <is>
          <t>VIMMERBY</t>
        </is>
      </c>
      <c r="F342" t="inlineStr">
        <is>
          <t>Övriga Aktiebolag</t>
        </is>
      </c>
      <c r="G342" t="n">
        <v>4</v>
      </c>
      <c r="H342" t="n">
        <v>0</v>
      </c>
      <c r="I342" t="n">
        <v>0</v>
      </c>
      <c r="J342" t="n">
        <v>0</v>
      </c>
      <c r="K342" t="n">
        <v>0</v>
      </c>
      <c r="L342" t="n">
        <v>0</v>
      </c>
      <c r="M342" t="n">
        <v>0</v>
      </c>
      <c r="N342" t="n">
        <v>0</v>
      </c>
      <c r="O342" t="n">
        <v>0</v>
      </c>
      <c r="P342" t="n">
        <v>0</v>
      </c>
      <c r="Q342" t="n">
        <v>0</v>
      </c>
      <c r="R342" s="2" t="inlineStr"/>
    </row>
    <row r="343" ht="15" customHeight="1">
      <c r="A343" t="inlineStr">
        <is>
          <t>A 7944-2024</t>
        </is>
      </c>
      <c r="B343" s="1" t="n">
        <v>45350.53306712963</v>
      </c>
      <c r="C343" s="1" t="n">
        <v>45938</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6220-2025</t>
        </is>
      </c>
      <c r="B344" s="1" t="n">
        <v>45698.53725694444</v>
      </c>
      <c r="C344" s="1" t="n">
        <v>45938</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30063-2023</t>
        </is>
      </c>
      <c r="B345" s="1" t="n">
        <v>45110.4184375</v>
      </c>
      <c r="C345" s="1" t="n">
        <v>45938</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46887-2025</t>
        </is>
      </c>
      <c r="B346" s="1" t="n">
        <v>45929.3672337963</v>
      </c>
      <c r="C346" s="1" t="n">
        <v>45938</v>
      </c>
      <c r="D346" t="inlineStr">
        <is>
          <t>KALMAR LÄN</t>
        </is>
      </c>
      <c r="E346" t="inlineStr">
        <is>
          <t>VIMMERBY</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21496-2023</t>
        </is>
      </c>
      <c r="B347" s="1" t="n">
        <v>45063.49936342592</v>
      </c>
      <c r="C347" s="1" t="n">
        <v>45938</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24096-2024</t>
        </is>
      </c>
      <c r="B348" s="1" t="n">
        <v>45456.59289351852</v>
      </c>
      <c r="C348" s="1" t="n">
        <v>45938</v>
      </c>
      <c r="D348" t="inlineStr">
        <is>
          <t>KALMAR LÄN</t>
        </is>
      </c>
      <c r="E348" t="inlineStr">
        <is>
          <t>VIMMERBY</t>
        </is>
      </c>
      <c r="G348" t="n">
        <v>2.3</v>
      </c>
      <c r="H348" t="n">
        <v>0</v>
      </c>
      <c r="I348" t="n">
        <v>0</v>
      </c>
      <c r="J348" t="n">
        <v>0</v>
      </c>
      <c r="K348" t="n">
        <v>0</v>
      </c>
      <c r="L348" t="n">
        <v>0</v>
      </c>
      <c r="M348" t="n">
        <v>0</v>
      </c>
      <c r="N348" t="n">
        <v>0</v>
      </c>
      <c r="O348" t="n">
        <v>0</v>
      </c>
      <c r="P348" t="n">
        <v>0</v>
      </c>
      <c r="Q348" t="n">
        <v>0</v>
      </c>
      <c r="R348" s="2" t="inlineStr"/>
    </row>
    <row r="349" ht="15" customHeight="1">
      <c r="A349" t="inlineStr">
        <is>
          <t>A 29013-2024</t>
        </is>
      </c>
      <c r="B349" s="1" t="n">
        <v>45481.55984953704</v>
      </c>
      <c r="C349" s="1" t="n">
        <v>45938</v>
      </c>
      <c r="D349" t="inlineStr">
        <is>
          <t>KALMAR LÄN</t>
        </is>
      </c>
      <c r="E349" t="inlineStr">
        <is>
          <t>VIMMERBY</t>
        </is>
      </c>
      <c r="G349" t="n">
        <v>3.4</v>
      </c>
      <c r="H349" t="n">
        <v>0</v>
      </c>
      <c r="I349" t="n">
        <v>0</v>
      </c>
      <c r="J349" t="n">
        <v>0</v>
      </c>
      <c r="K349" t="n">
        <v>0</v>
      </c>
      <c r="L349" t="n">
        <v>0</v>
      </c>
      <c r="M349" t="n">
        <v>0</v>
      </c>
      <c r="N349" t="n">
        <v>0</v>
      </c>
      <c r="O349" t="n">
        <v>0</v>
      </c>
      <c r="P349" t="n">
        <v>0</v>
      </c>
      <c r="Q349" t="n">
        <v>0</v>
      </c>
      <c r="R349" s="2" t="inlineStr"/>
    </row>
    <row r="350" ht="15" customHeight="1">
      <c r="A350" t="inlineStr">
        <is>
          <t>A 43068-2023</t>
        </is>
      </c>
      <c r="B350" s="1" t="n">
        <v>45182.78834490741</v>
      </c>
      <c r="C350" s="1" t="n">
        <v>45938</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6066-2023</t>
        </is>
      </c>
      <c r="B351" s="1" t="n">
        <v>44964.50894675926</v>
      </c>
      <c r="C351" s="1" t="n">
        <v>45938</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59955-2023</t>
        </is>
      </c>
      <c r="B352" s="1" t="n">
        <v>45257.70313657408</v>
      </c>
      <c r="C352" s="1" t="n">
        <v>45938</v>
      </c>
      <c r="D352" t="inlineStr">
        <is>
          <t>KALMAR LÄN</t>
        </is>
      </c>
      <c r="E352" t="inlineStr">
        <is>
          <t>VIMMERBY</t>
        </is>
      </c>
      <c r="G352" t="n">
        <v>13.8</v>
      </c>
      <c r="H352" t="n">
        <v>0</v>
      </c>
      <c r="I352" t="n">
        <v>0</v>
      </c>
      <c r="J352" t="n">
        <v>0</v>
      </c>
      <c r="K352" t="n">
        <v>0</v>
      </c>
      <c r="L352" t="n">
        <v>0</v>
      </c>
      <c r="M352" t="n">
        <v>0</v>
      </c>
      <c r="N352" t="n">
        <v>0</v>
      </c>
      <c r="O352" t="n">
        <v>0</v>
      </c>
      <c r="P352" t="n">
        <v>0</v>
      </c>
      <c r="Q352" t="n">
        <v>0</v>
      </c>
      <c r="R352" s="2" t="inlineStr"/>
    </row>
    <row r="353" ht="15" customHeight="1">
      <c r="A353" t="inlineStr">
        <is>
          <t>A 45854-2025</t>
        </is>
      </c>
      <c r="B353" s="1" t="n">
        <v>45923</v>
      </c>
      <c r="C353" s="1" t="n">
        <v>45938</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45855-2025</t>
        </is>
      </c>
      <c r="B354" s="1" t="n">
        <v>45923</v>
      </c>
      <c r="C354" s="1" t="n">
        <v>45938</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36040-2024</t>
        </is>
      </c>
      <c r="B355" s="1" t="n">
        <v>45533.60232638889</v>
      </c>
      <c r="C355" s="1" t="n">
        <v>45938</v>
      </c>
      <c r="D355" t="inlineStr">
        <is>
          <t>KALMAR LÄN</t>
        </is>
      </c>
      <c r="E355" t="inlineStr">
        <is>
          <t>VIMMERBY</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36043-2024</t>
        </is>
      </c>
      <c r="B356" s="1" t="n">
        <v>45533.60770833334</v>
      </c>
      <c r="C356" s="1" t="n">
        <v>45938</v>
      </c>
      <c r="D356" t="inlineStr">
        <is>
          <t>KALMAR LÄN</t>
        </is>
      </c>
      <c r="E356" t="inlineStr">
        <is>
          <t>VIMMERBY</t>
        </is>
      </c>
      <c r="F356" t="inlineStr">
        <is>
          <t>Kommuner</t>
        </is>
      </c>
      <c r="G356" t="n">
        <v>1.5</v>
      </c>
      <c r="H356" t="n">
        <v>0</v>
      </c>
      <c r="I356" t="n">
        <v>0</v>
      </c>
      <c r="J356" t="n">
        <v>0</v>
      </c>
      <c r="K356" t="n">
        <v>0</v>
      </c>
      <c r="L356" t="n">
        <v>0</v>
      </c>
      <c r="M356" t="n">
        <v>0</v>
      </c>
      <c r="N356" t="n">
        <v>0</v>
      </c>
      <c r="O356" t="n">
        <v>0</v>
      </c>
      <c r="P356" t="n">
        <v>0</v>
      </c>
      <c r="Q356" t="n">
        <v>0</v>
      </c>
      <c r="R356" s="2" t="inlineStr"/>
    </row>
    <row r="357" ht="15" customHeight="1">
      <c r="A357" t="inlineStr">
        <is>
          <t>A 12890-2023</t>
        </is>
      </c>
      <c r="B357" s="1" t="n">
        <v>45001.59209490741</v>
      </c>
      <c r="C357" s="1" t="n">
        <v>45938</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43594-2024</t>
        </is>
      </c>
      <c r="B358" s="1" t="n">
        <v>45569.44295138889</v>
      </c>
      <c r="C358" s="1" t="n">
        <v>45938</v>
      </c>
      <c r="D358" t="inlineStr">
        <is>
          <t>KALMAR LÄN</t>
        </is>
      </c>
      <c r="E358" t="inlineStr">
        <is>
          <t>VIMMERBY</t>
        </is>
      </c>
      <c r="G358" t="n">
        <v>3.9</v>
      </c>
      <c r="H358" t="n">
        <v>0</v>
      </c>
      <c r="I358" t="n">
        <v>0</v>
      </c>
      <c r="J358" t="n">
        <v>0</v>
      </c>
      <c r="K358" t="n">
        <v>0</v>
      </c>
      <c r="L358" t="n">
        <v>0</v>
      </c>
      <c r="M358" t="n">
        <v>0</v>
      </c>
      <c r="N358" t="n">
        <v>0</v>
      </c>
      <c r="O358" t="n">
        <v>0</v>
      </c>
      <c r="P358" t="n">
        <v>0</v>
      </c>
      <c r="Q358" t="n">
        <v>0</v>
      </c>
      <c r="R358" s="2" t="inlineStr"/>
    </row>
    <row r="359" ht="15" customHeight="1">
      <c r="A359" t="inlineStr">
        <is>
          <t>A 29783-2024</t>
        </is>
      </c>
      <c r="B359" s="1" t="n">
        <v>45485.45778935185</v>
      </c>
      <c r="C359" s="1" t="n">
        <v>45938</v>
      </c>
      <c r="D359" t="inlineStr">
        <is>
          <t>KALMAR LÄN</t>
        </is>
      </c>
      <c r="E359" t="inlineStr">
        <is>
          <t>VIMMERBY</t>
        </is>
      </c>
      <c r="G359" t="n">
        <v>3.1</v>
      </c>
      <c r="H359" t="n">
        <v>0</v>
      </c>
      <c r="I359" t="n">
        <v>0</v>
      </c>
      <c r="J359" t="n">
        <v>0</v>
      </c>
      <c r="K359" t="n">
        <v>0</v>
      </c>
      <c r="L359" t="n">
        <v>0</v>
      </c>
      <c r="M359" t="n">
        <v>0</v>
      </c>
      <c r="N359" t="n">
        <v>0</v>
      </c>
      <c r="O359" t="n">
        <v>0</v>
      </c>
      <c r="P359" t="n">
        <v>0</v>
      </c>
      <c r="Q359" t="n">
        <v>0</v>
      </c>
      <c r="R359" s="2" t="inlineStr"/>
    </row>
    <row r="360" ht="15" customHeight="1">
      <c r="A360" t="inlineStr">
        <is>
          <t>A 18020-2025</t>
        </is>
      </c>
      <c r="B360" s="1" t="n">
        <v>45761.4437962963</v>
      </c>
      <c r="C360" s="1" t="n">
        <v>45938</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33424-2023</t>
        </is>
      </c>
      <c r="B361" s="1" t="n">
        <v>45128.9325</v>
      </c>
      <c r="C361" s="1" t="n">
        <v>45938</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33425-2023</t>
        </is>
      </c>
      <c r="B362" s="1" t="n">
        <v>45128.93540509259</v>
      </c>
      <c r="C362" s="1" t="n">
        <v>45938</v>
      </c>
      <c r="D362" t="inlineStr">
        <is>
          <t>KALMAR LÄN</t>
        </is>
      </c>
      <c r="E362" t="inlineStr">
        <is>
          <t>VIMMERBY</t>
        </is>
      </c>
      <c r="G362" t="n">
        <v>1.4</v>
      </c>
      <c r="H362" t="n">
        <v>0</v>
      </c>
      <c r="I362" t="n">
        <v>0</v>
      </c>
      <c r="J362" t="n">
        <v>0</v>
      </c>
      <c r="K362" t="n">
        <v>0</v>
      </c>
      <c r="L362" t="n">
        <v>0</v>
      </c>
      <c r="M362" t="n">
        <v>0</v>
      </c>
      <c r="N362" t="n">
        <v>0</v>
      </c>
      <c r="O362" t="n">
        <v>0</v>
      </c>
      <c r="P362" t="n">
        <v>0</v>
      </c>
      <c r="Q362" t="n">
        <v>0</v>
      </c>
      <c r="R362" s="2" t="inlineStr"/>
    </row>
    <row r="363" ht="15" customHeight="1">
      <c r="A363" t="inlineStr">
        <is>
          <t>A 53482-2022</t>
        </is>
      </c>
      <c r="B363" s="1" t="n">
        <v>44879</v>
      </c>
      <c r="C363" s="1" t="n">
        <v>45938</v>
      </c>
      <c r="D363" t="inlineStr">
        <is>
          <t>KALMAR LÄN</t>
        </is>
      </c>
      <c r="E363" t="inlineStr">
        <is>
          <t>VIMMERBY</t>
        </is>
      </c>
      <c r="G363" t="n">
        <v>10.1</v>
      </c>
      <c r="H363" t="n">
        <v>0</v>
      </c>
      <c r="I363" t="n">
        <v>0</v>
      </c>
      <c r="J363" t="n">
        <v>0</v>
      </c>
      <c r="K363" t="n">
        <v>0</v>
      </c>
      <c r="L363" t="n">
        <v>0</v>
      </c>
      <c r="M363" t="n">
        <v>0</v>
      </c>
      <c r="N363" t="n">
        <v>0</v>
      </c>
      <c r="O363" t="n">
        <v>0</v>
      </c>
      <c r="P363" t="n">
        <v>0</v>
      </c>
      <c r="Q363" t="n">
        <v>0</v>
      </c>
      <c r="R363" s="2" t="inlineStr"/>
    </row>
    <row r="364" ht="15" customHeight="1">
      <c r="A364" t="inlineStr">
        <is>
          <t>A 12327-2023</t>
        </is>
      </c>
      <c r="B364" s="1" t="n">
        <v>44999.36081018519</v>
      </c>
      <c r="C364" s="1" t="n">
        <v>45938</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43092-2024</t>
        </is>
      </c>
      <c r="B365" s="1" t="n">
        <v>45567</v>
      </c>
      <c r="C365" s="1" t="n">
        <v>45938</v>
      </c>
      <c r="D365" t="inlineStr">
        <is>
          <t>KALMAR LÄN</t>
        </is>
      </c>
      <c r="E365" t="inlineStr">
        <is>
          <t>VIMMERBY</t>
        </is>
      </c>
      <c r="G365" t="n">
        <v>2.7</v>
      </c>
      <c r="H365" t="n">
        <v>0</v>
      </c>
      <c r="I365" t="n">
        <v>0</v>
      </c>
      <c r="J365" t="n">
        <v>0</v>
      </c>
      <c r="K365" t="n">
        <v>0</v>
      </c>
      <c r="L365" t="n">
        <v>0</v>
      </c>
      <c r="M365" t="n">
        <v>0</v>
      </c>
      <c r="N365" t="n">
        <v>0</v>
      </c>
      <c r="O365" t="n">
        <v>0</v>
      </c>
      <c r="P365" t="n">
        <v>0</v>
      </c>
      <c r="Q365" t="n">
        <v>0</v>
      </c>
      <c r="R365" s="2" t="inlineStr"/>
    </row>
    <row r="366" ht="15" customHeight="1">
      <c r="A366" t="inlineStr">
        <is>
          <t>A 27761-2024</t>
        </is>
      </c>
      <c r="B366" s="1" t="n">
        <v>45475.49018518518</v>
      </c>
      <c r="C366" s="1" t="n">
        <v>45938</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64203-2021</t>
        </is>
      </c>
      <c r="B367" s="1" t="n">
        <v>44510.60921296296</v>
      </c>
      <c r="C367" s="1" t="n">
        <v>45938</v>
      </c>
      <c r="D367" t="inlineStr">
        <is>
          <t>KALMAR LÄN</t>
        </is>
      </c>
      <c r="E367" t="inlineStr">
        <is>
          <t>VIMMERBY</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52435-2021</t>
        </is>
      </c>
      <c r="B368" s="1" t="n">
        <v>44466.34962962963</v>
      </c>
      <c r="C368" s="1" t="n">
        <v>45938</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35198-2023</t>
        </is>
      </c>
      <c r="B369" s="1" t="n">
        <v>45145</v>
      </c>
      <c r="C369" s="1" t="n">
        <v>45938</v>
      </c>
      <c r="D369" t="inlineStr">
        <is>
          <t>KALMAR LÄN</t>
        </is>
      </c>
      <c r="E369" t="inlineStr">
        <is>
          <t>VIMMERBY</t>
        </is>
      </c>
      <c r="G369" t="n">
        <v>1.6</v>
      </c>
      <c r="H369" t="n">
        <v>0</v>
      </c>
      <c r="I369" t="n">
        <v>0</v>
      </c>
      <c r="J369" t="n">
        <v>0</v>
      </c>
      <c r="K369" t="n">
        <v>0</v>
      </c>
      <c r="L369" t="n">
        <v>0</v>
      </c>
      <c r="M369" t="n">
        <v>0</v>
      </c>
      <c r="N369" t="n">
        <v>0</v>
      </c>
      <c r="O369" t="n">
        <v>0</v>
      </c>
      <c r="P369" t="n">
        <v>0</v>
      </c>
      <c r="Q369" t="n">
        <v>0</v>
      </c>
      <c r="R369" s="2" t="inlineStr"/>
    </row>
    <row r="370" ht="15" customHeight="1">
      <c r="A370" t="inlineStr">
        <is>
          <t>A 47227-2025</t>
        </is>
      </c>
      <c r="B370" s="1" t="n">
        <v>45930.39769675926</v>
      </c>
      <c r="C370" s="1" t="n">
        <v>45938</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5720-2023</t>
        </is>
      </c>
      <c r="B371" s="1" t="n">
        <v>44961</v>
      </c>
      <c r="C371" s="1" t="n">
        <v>45938</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9643-2023</t>
        </is>
      </c>
      <c r="B372" s="1" t="n">
        <v>44984</v>
      </c>
      <c r="C372" s="1" t="n">
        <v>45938</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25728-2023</t>
        </is>
      </c>
      <c r="B373" s="1" t="n">
        <v>45090.38012731481</v>
      </c>
      <c r="C373" s="1" t="n">
        <v>45938</v>
      </c>
      <c r="D373" t="inlineStr">
        <is>
          <t>KALMAR LÄN</t>
        </is>
      </c>
      <c r="E373" t="inlineStr">
        <is>
          <t>VIMMERBY</t>
        </is>
      </c>
      <c r="G373" t="n">
        <v>1.1</v>
      </c>
      <c r="H373" t="n">
        <v>0</v>
      </c>
      <c r="I373" t="n">
        <v>0</v>
      </c>
      <c r="J373" t="n">
        <v>0</v>
      </c>
      <c r="K373" t="n">
        <v>0</v>
      </c>
      <c r="L373" t="n">
        <v>0</v>
      </c>
      <c r="M373" t="n">
        <v>0</v>
      </c>
      <c r="N373" t="n">
        <v>0</v>
      </c>
      <c r="O373" t="n">
        <v>0</v>
      </c>
      <c r="P373" t="n">
        <v>0</v>
      </c>
      <c r="Q373" t="n">
        <v>0</v>
      </c>
      <c r="R373" s="2" t="inlineStr"/>
    </row>
    <row r="374" ht="15" customHeight="1">
      <c r="A374" t="inlineStr">
        <is>
          <t>A 43853-2023</t>
        </is>
      </c>
      <c r="B374" s="1" t="n">
        <v>45187.60813657408</v>
      </c>
      <c r="C374" s="1" t="n">
        <v>45938</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35127-2024</t>
        </is>
      </c>
      <c r="B375" s="1" t="n">
        <v>45530.33202546297</v>
      </c>
      <c r="C375" s="1" t="n">
        <v>45938</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9511-2023</t>
        </is>
      </c>
      <c r="B376" s="1" t="n">
        <v>44981.64725694444</v>
      </c>
      <c r="C376" s="1" t="n">
        <v>45938</v>
      </c>
      <c r="D376" t="inlineStr">
        <is>
          <t>KALMAR LÄN</t>
        </is>
      </c>
      <c r="E376" t="inlineStr">
        <is>
          <t>VIMMERBY</t>
        </is>
      </c>
      <c r="G376" t="n">
        <v>3.5</v>
      </c>
      <c r="H376" t="n">
        <v>0</v>
      </c>
      <c r="I376" t="n">
        <v>0</v>
      </c>
      <c r="J376" t="n">
        <v>0</v>
      </c>
      <c r="K376" t="n">
        <v>0</v>
      </c>
      <c r="L376" t="n">
        <v>0</v>
      </c>
      <c r="M376" t="n">
        <v>0</v>
      </c>
      <c r="N376" t="n">
        <v>0</v>
      </c>
      <c r="O376" t="n">
        <v>0</v>
      </c>
      <c r="P376" t="n">
        <v>0</v>
      </c>
      <c r="Q376" t="n">
        <v>0</v>
      </c>
      <c r="R376" s="2" t="inlineStr"/>
    </row>
    <row r="377" ht="15" customHeight="1">
      <c r="A377" t="inlineStr">
        <is>
          <t>A 38757-2023</t>
        </is>
      </c>
      <c r="B377" s="1" t="n">
        <v>45163.41376157408</v>
      </c>
      <c r="C377" s="1" t="n">
        <v>45938</v>
      </c>
      <c r="D377" t="inlineStr">
        <is>
          <t>KALMAR LÄN</t>
        </is>
      </c>
      <c r="E377" t="inlineStr">
        <is>
          <t>VIMMERBY</t>
        </is>
      </c>
      <c r="G377" t="n">
        <v>2.5</v>
      </c>
      <c r="H377" t="n">
        <v>0</v>
      </c>
      <c r="I377" t="n">
        <v>0</v>
      </c>
      <c r="J377" t="n">
        <v>0</v>
      </c>
      <c r="K377" t="n">
        <v>0</v>
      </c>
      <c r="L377" t="n">
        <v>0</v>
      </c>
      <c r="M377" t="n">
        <v>0</v>
      </c>
      <c r="N377" t="n">
        <v>0</v>
      </c>
      <c r="O377" t="n">
        <v>0</v>
      </c>
      <c r="P377" t="n">
        <v>0</v>
      </c>
      <c r="Q377" t="n">
        <v>0</v>
      </c>
      <c r="R377" s="2" t="inlineStr"/>
    </row>
    <row r="378" ht="15" customHeight="1">
      <c r="A378" t="inlineStr">
        <is>
          <t>A 60215-2022</t>
        </is>
      </c>
      <c r="B378" s="1" t="n">
        <v>44910.41346064815</v>
      </c>
      <c r="C378" s="1" t="n">
        <v>45938</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41311-2023</t>
        </is>
      </c>
      <c r="B379" s="1" t="n">
        <v>45174</v>
      </c>
      <c r="C379" s="1" t="n">
        <v>45938</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29441-2024</t>
        </is>
      </c>
      <c r="B380" s="1" t="n">
        <v>45483.82834490741</v>
      </c>
      <c r="C380" s="1" t="n">
        <v>45938</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29726-2025</t>
        </is>
      </c>
      <c r="B381" s="1" t="n">
        <v>45825.57805555555</v>
      </c>
      <c r="C381" s="1" t="n">
        <v>45938</v>
      </c>
      <c r="D381" t="inlineStr">
        <is>
          <t>KALMAR LÄN</t>
        </is>
      </c>
      <c r="E381" t="inlineStr">
        <is>
          <t>VIMMERBY</t>
        </is>
      </c>
      <c r="G381" t="n">
        <v>2</v>
      </c>
      <c r="H381" t="n">
        <v>0</v>
      </c>
      <c r="I381" t="n">
        <v>0</v>
      </c>
      <c r="J381" t="n">
        <v>0</v>
      </c>
      <c r="K381" t="n">
        <v>0</v>
      </c>
      <c r="L381" t="n">
        <v>0</v>
      </c>
      <c r="M381" t="n">
        <v>0</v>
      </c>
      <c r="N381" t="n">
        <v>0</v>
      </c>
      <c r="O381" t="n">
        <v>0</v>
      </c>
      <c r="P381" t="n">
        <v>0</v>
      </c>
      <c r="Q381" t="n">
        <v>0</v>
      </c>
      <c r="R381" s="2" t="inlineStr"/>
    </row>
    <row r="382" ht="15" customHeight="1">
      <c r="A382" t="inlineStr">
        <is>
          <t>A 29973-2023</t>
        </is>
      </c>
      <c r="B382" s="1" t="n">
        <v>45108.703125</v>
      </c>
      <c r="C382" s="1" t="n">
        <v>45938</v>
      </c>
      <c r="D382" t="inlineStr">
        <is>
          <t>KALMAR LÄN</t>
        </is>
      </c>
      <c r="E382" t="inlineStr">
        <is>
          <t>VIMMERBY</t>
        </is>
      </c>
      <c r="G382" t="n">
        <v>4</v>
      </c>
      <c r="H382" t="n">
        <v>0</v>
      </c>
      <c r="I382" t="n">
        <v>0</v>
      </c>
      <c r="J382" t="n">
        <v>0</v>
      </c>
      <c r="K382" t="n">
        <v>0</v>
      </c>
      <c r="L382" t="n">
        <v>0</v>
      </c>
      <c r="M382" t="n">
        <v>0</v>
      </c>
      <c r="N382" t="n">
        <v>0</v>
      </c>
      <c r="O382" t="n">
        <v>0</v>
      </c>
      <c r="P382" t="n">
        <v>0</v>
      </c>
      <c r="Q382" t="n">
        <v>0</v>
      </c>
      <c r="R382" s="2" t="inlineStr"/>
    </row>
    <row r="383" ht="15" customHeight="1">
      <c r="A383" t="inlineStr">
        <is>
          <t>A 26318-2023</t>
        </is>
      </c>
      <c r="B383" s="1" t="n">
        <v>45091.67936342592</v>
      </c>
      <c r="C383" s="1" t="n">
        <v>45938</v>
      </c>
      <c r="D383" t="inlineStr">
        <is>
          <t>KALMAR LÄN</t>
        </is>
      </c>
      <c r="E383" t="inlineStr">
        <is>
          <t>VIMMERBY</t>
        </is>
      </c>
      <c r="G383" t="n">
        <v>3.8</v>
      </c>
      <c r="H383" t="n">
        <v>0</v>
      </c>
      <c r="I383" t="n">
        <v>0</v>
      </c>
      <c r="J383" t="n">
        <v>0</v>
      </c>
      <c r="K383" t="n">
        <v>0</v>
      </c>
      <c r="L383" t="n">
        <v>0</v>
      </c>
      <c r="M383" t="n">
        <v>0</v>
      </c>
      <c r="N383" t="n">
        <v>0</v>
      </c>
      <c r="O383" t="n">
        <v>0</v>
      </c>
      <c r="P383" t="n">
        <v>0</v>
      </c>
      <c r="Q383" t="n">
        <v>0</v>
      </c>
      <c r="R383" s="2" t="inlineStr"/>
    </row>
    <row r="384" ht="15" customHeight="1">
      <c r="A384" t="inlineStr">
        <is>
          <t>A 64143-2021</t>
        </is>
      </c>
      <c r="B384" s="1" t="n">
        <v>44510.52157407408</v>
      </c>
      <c r="C384" s="1" t="n">
        <v>45938</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73938-2021</t>
        </is>
      </c>
      <c r="B385" s="1" t="n">
        <v>44553</v>
      </c>
      <c r="C385" s="1" t="n">
        <v>45938</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6216-2025</t>
        </is>
      </c>
      <c r="B386" s="1" t="n">
        <v>45698.52806712963</v>
      </c>
      <c r="C386" s="1" t="n">
        <v>45938</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62779-2023</t>
        </is>
      </c>
      <c r="B387" s="1" t="n">
        <v>45271.66576388889</v>
      </c>
      <c r="C387" s="1" t="n">
        <v>45938</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52294-2023</t>
        </is>
      </c>
      <c r="B388" s="1" t="n">
        <v>45224.60075231481</v>
      </c>
      <c r="C388" s="1" t="n">
        <v>45938</v>
      </c>
      <c r="D388" t="inlineStr">
        <is>
          <t>KALMAR LÄN</t>
        </is>
      </c>
      <c r="E388" t="inlineStr">
        <is>
          <t>VIMMERBY</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40076-2021</t>
        </is>
      </c>
      <c r="B389" s="1" t="n">
        <v>44418</v>
      </c>
      <c r="C389" s="1" t="n">
        <v>45938</v>
      </c>
      <c r="D389" t="inlineStr">
        <is>
          <t>KALMAR LÄN</t>
        </is>
      </c>
      <c r="E389" t="inlineStr">
        <is>
          <t>VIMMERBY</t>
        </is>
      </c>
      <c r="G389" t="n">
        <v>2</v>
      </c>
      <c r="H389" t="n">
        <v>0</v>
      </c>
      <c r="I389" t="n">
        <v>0</v>
      </c>
      <c r="J389" t="n">
        <v>0</v>
      </c>
      <c r="K389" t="n">
        <v>0</v>
      </c>
      <c r="L389" t="n">
        <v>0</v>
      </c>
      <c r="M389" t="n">
        <v>0</v>
      </c>
      <c r="N389" t="n">
        <v>0</v>
      </c>
      <c r="O389" t="n">
        <v>0</v>
      </c>
      <c r="P389" t="n">
        <v>0</v>
      </c>
      <c r="Q389" t="n">
        <v>0</v>
      </c>
      <c r="R389" s="2" t="inlineStr"/>
    </row>
    <row r="390" ht="15" customHeight="1">
      <c r="A390" t="inlineStr">
        <is>
          <t>A 61355-2024</t>
        </is>
      </c>
      <c r="B390" s="1" t="n">
        <v>45646.38200231481</v>
      </c>
      <c r="C390" s="1" t="n">
        <v>45938</v>
      </c>
      <c r="D390" t="inlineStr">
        <is>
          <t>KALMAR LÄN</t>
        </is>
      </c>
      <c r="E390" t="inlineStr">
        <is>
          <t>VIMMERBY</t>
        </is>
      </c>
      <c r="G390" t="n">
        <v>2.7</v>
      </c>
      <c r="H390" t="n">
        <v>0</v>
      </c>
      <c r="I390" t="n">
        <v>0</v>
      </c>
      <c r="J390" t="n">
        <v>0</v>
      </c>
      <c r="K390" t="n">
        <v>0</v>
      </c>
      <c r="L390" t="n">
        <v>0</v>
      </c>
      <c r="M390" t="n">
        <v>0</v>
      </c>
      <c r="N390" t="n">
        <v>0</v>
      </c>
      <c r="O390" t="n">
        <v>0</v>
      </c>
      <c r="P390" t="n">
        <v>0</v>
      </c>
      <c r="Q390" t="n">
        <v>0</v>
      </c>
      <c r="R390" s="2" t="inlineStr"/>
    </row>
    <row r="391" ht="15" customHeight="1">
      <c r="A391" t="inlineStr">
        <is>
          <t>A 31013-2023</t>
        </is>
      </c>
      <c r="B391" s="1" t="n">
        <v>45113.56574074074</v>
      </c>
      <c r="C391" s="1" t="n">
        <v>45938</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50648-2023</t>
        </is>
      </c>
      <c r="B392" s="1" t="n">
        <v>45217.47834490741</v>
      </c>
      <c r="C392" s="1" t="n">
        <v>45938</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72067-2021</t>
        </is>
      </c>
      <c r="B393" s="1" t="n">
        <v>44540</v>
      </c>
      <c r="C393" s="1" t="n">
        <v>45938</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529-2022</t>
        </is>
      </c>
      <c r="B394" s="1" t="n">
        <v>44566</v>
      </c>
      <c r="C394" s="1" t="n">
        <v>45938</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58318-2021</t>
        </is>
      </c>
      <c r="B395" s="1" t="n">
        <v>44488.35878472222</v>
      </c>
      <c r="C395" s="1" t="n">
        <v>45938</v>
      </c>
      <c r="D395" t="inlineStr">
        <is>
          <t>KALMAR LÄN</t>
        </is>
      </c>
      <c r="E395" t="inlineStr">
        <is>
          <t>VIMMERBY</t>
        </is>
      </c>
      <c r="G395" t="n">
        <v>4</v>
      </c>
      <c r="H395" t="n">
        <v>0</v>
      </c>
      <c r="I395" t="n">
        <v>0</v>
      </c>
      <c r="J395" t="n">
        <v>0</v>
      </c>
      <c r="K395" t="n">
        <v>0</v>
      </c>
      <c r="L395" t="n">
        <v>0</v>
      </c>
      <c r="M395" t="n">
        <v>0</v>
      </c>
      <c r="N395" t="n">
        <v>0</v>
      </c>
      <c r="O395" t="n">
        <v>0</v>
      </c>
      <c r="P395" t="n">
        <v>0</v>
      </c>
      <c r="Q395" t="n">
        <v>0</v>
      </c>
      <c r="R395" s="2" t="inlineStr"/>
    </row>
    <row r="396" ht="15" customHeight="1">
      <c r="A396" t="inlineStr">
        <is>
          <t>A 61538-2022</t>
        </is>
      </c>
      <c r="B396" s="1" t="n">
        <v>44916.55414351852</v>
      </c>
      <c r="C396" s="1" t="n">
        <v>45938</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89-2023</t>
        </is>
      </c>
      <c r="B397" s="1" t="n">
        <v>44918</v>
      </c>
      <c r="C397" s="1" t="n">
        <v>45938</v>
      </c>
      <c r="D397" t="inlineStr">
        <is>
          <t>KALMAR LÄN</t>
        </is>
      </c>
      <c r="E397" t="inlineStr">
        <is>
          <t>VIMMERBY</t>
        </is>
      </c>
      <c r="G397" t="n">
        <v>16.1</v>
      </c>
      <c r="H397" t="n">
        <v>0</v>
      </c>
      <c r="I397" t="n">
        <v>0</v>
      </c>
      <c r="J397" t="n">
        <v>0</v>
      </c>
      <c r="K397" t="n">
        <v>0</v>
      </c>
      <c r="L397" t="n">
        <v>0</v>
      </c>
      <c r="M397" t="n">
        <v>0</v>
      </c>
      <c r="N397" t="n">
        <v>0</v>
      </c>
      <c r="O397" t="n">
        <v>0</v>
      </c>
      <c r="P397" t="n">
        <v>0</v>
      </c>
      <c r="Q397" t="n">
        <v>0</v>
      </c>
      <c r="R397" s="2" t="inlineStr"/>
    </row>
    <row r="398" ht="15" customHeight="1">
      <c r="A398" t="inlineStr">
        <is>
          <t>A 23088-2024</t>
        </is>
      </c>
      <c r="B398" s="1" t="n">
        <v>45450.51092592593</v>
      </c>
      <c r="C398" s="1" t="n">
        <v>45938</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38851-2023</t>
        </is>
      </c>
      <c r="B399" s="1" t="n">
        <v>45163</v>
      </c>
      <c r="C399" s="1" t="n">
        <v>45938</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10759-2023</t>
        </is>
      </c>
      <c r="B400" s="1" t="n">
        <v>44988</v>
      </c>
      <c r="C400" s="1" t="n">
        <v>45938</v>
      </c>
      <c r="D400" t="inlineStr">
        <is>
          <t>KALMAR LÄN</t>
        </is>
      </c>
      <c r="E400" t="inlineStr">
        <is>
          <t>VIMMERBY</t>
        </is>
      </c>
      <c r="G400" t="n">
        <v>0.4</v>
      </c>
      <c r="H400" t="n">
        <v>0</v>
      </c>
      <c r="I400" t="n">
        <v>0</v>
      </c>
      <c r="J400" t="n">
        <v>0</v>
      </c>
      <c r="K400" t="n">
        <v>0</v>
      </c>
      <c r="L400" t="n">
        <v>0</v>
      </c>
      <c r="M400" t="n">
        <v>0</v>
      </c>
      <c r="N400" t="n">
        <v>0</v>
      </c>
      <c r="O400" t="n">
        <v>0</v>
      </c>
      <c r="P400" t="n">
        <v>0</v>
      </c>
      <c r="Q400" t="n">
        <v>0</v>
      </c>
      <c r="R400" s="2" t="inlineStr"/>
    </row>
    <row r="401" ht="15" customHeight="1">
      <c r="A401" t="inlineStr">
        <is>
          <t>A 36155-2023</t>
        </is>
      </c>
      <c r="B401" s="1" t="n">
        <v>45149.60917824074</v>
      </c>
      <c r="C401" s="1" t="n">
        <v>45938</v>
      </c>
      <c r="D401" t="inlineStr">
        <is>
          <t>KALMAR LÄN</t>
        </is>
      </c>
      <c r="E401" t="inlineStr">
        <is>
          <t>VIMMERBY</t>
        </is>
      </c>
      <c r="G401" t="n">
        <v>5</v>
      </c>
      <c r="H401" t="n">
        <v>0</v>
      </c>
      <c r="I401" t="n">
        <v>0</v>
      </c>
      <c r="J401" t="n">
        <v>0</v>
      </c>
      <c r="K401" t="n">
        <v>0</v>
      </c>
      <c r="L401" t="n">
        <v>0</v>
      </c>
      <c r="M401" t="n">
        <v>0</v>
      </c>
      <c r="N401" t="n">
        <v>0</v>
      </c>
      <c r="O401" t="n">
        <v>0</v>
      </c>
      <c r="P401" t="n">
        <v>0</v>
      </c>
      <c r="Q401" t="n">
        <v>0</v>
      </c>
      <c r="R401" s="2" t="inlineStr"/>
    </row>
    <row r="402" ht="15" customHeight="1">
      <c r="A402" t="inlineStr">
        <is>
          <t>A 63583-2023</t>
        </is>
      </c>
      <c r="B402" s="1" t="n">
        <v>45275.41833333333</v>
      </c>
      <c r="C402" s="1" t="n">
        <v>45938</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40079-2023</t>
        </is>
      </c>
      <c r="B403" s="1" t="n">
        <v>45168.89298611111</v>
      </c>
      <c r="C403" s="1" t="n">
        <v>45938</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29173-2024</t>
        </is>
      </c>
      <c r="B404" s="1" t="n">
        <v>45482.52887731481</v>
      </c>
      <c r="C404" s="1" t="n">
        <v>45938</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43774-2023</t>
        </is>
      </c>
      <c r="B405" s="1" t="n">
        <v>45187</v>
      </c>
      <c r="C405" s="1" t="n">
        <v>45938</v>
      </c>
      <c r="D405" t="inlineStr">
        <is>
          <t>KALMAR LÄN</t>
        </is>
      </c>
      <c r="E405" t="inlineStr">
        <is>
          <t>VIMMERBY</t>
        </is>
      </c>
      <c r="G405" t="n">
        <v>3.4</v>
      </c>
      <c r="H405" t="n">
        <v>0</v>
      </c>
      <c r="I405" t="n">
        <v>0</v>
      </c>
      <c r="J405" t="n">
        <v>0</v>
      </c>
      <c r="K405" t="n">
        <v>0</v>
      </c>
      <c r="L405" t="n">
        <v>0</v>
      </c>
      <c r="M405" t="n">
        <v>0</v>
      </c>
      <c r="N405" t="n">
        <v>0</v>
      </c>
      <c r="O405" t="n">
        <v>0</v>
      </c>
      <c r="P405" t="n">
        <v>0</v>
      </c>
      <c r="Q405" t="n">
        <v>0</v>
      </c>
      <c r="R405" s="2" t="inlineStr"/>
    </row>
    <row r="406" ht="15" customHeight="1">
      <c r="A406" t="inlineStr">
        <is>
          <t>A 53542-2022</t>
        </is>
      </c>
      <c r="B406" s="1" t="n">
        <v>44879.62173611111</v>
      </c>
      <c r="C406" s="1" t="n">
        <v>45938</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29616-2022</t>
        </is>
      </c>
      <c r="B407" s="1" t="n">
        <v>44754</v>
      </c>
      <c r="C407" s="1" t="n">
        <v>45938</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36802-2021</t>
        </is>
      </c>
      <c r="B408" s="1" t="n">
        <v>44392</v>
      </c>
      <c r="C408" s="1" t="n">
        <v>45938</v>
      </c>
      <c r="D408" t="inlineStr">
        <is>
          <t>KALMAR LÄN</t>
        </is>
      </c>
      <c r="E408" t="inlineStr">
        <is>
          <t>VIMMERBY</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39801-2025</t>
        </is>
      </c>
      <c r="B409" s="1" t="n">
        <v>45891.50216435185</v>
      </c>
      <c r="C409" s="1" t="n">
        <v>45938</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39578-2024</t>
        </is>
      </c>
      <c r="B410" s="1" t="n">
        <v>45552.36484953704</v>
      </c>
      <c r="C410" s="1" t="n">
        <v>45938</v>
      </c>
      <c r="D410" t="inlineStr">
        <is>
          <t>KALMAR LÄN</t>
        </is>
      </c>
      <c r="E410" t="inlineStr">
        <is>
          <t>VIMMERBY</t>
        </is>
      </c>
      <c r="G410" t="n">
        <v>1.5</v>
      </c>
      <c r="H410" t="n">
        <v>0</v>
      </c>
      <c r="I410" t="n">
        <v>0</v>
      </c>
      <c r="J410" t="n">
        <v>0</v>
      </c>
      <c r="K410" t="n">
        <v>0</v>
      </c>
      <c r="L410" t="n">
        <v>0</v>
      </c>
      <c r="M410" t="n">
        <v>0</v>
      </c>
      <c r="N410" t="n">
        <v>0</v>
      </c>
      <c r="O410" t="n">
        <v>0</v>
      </c>
      <c r="P410" t="n">
        <v>0</v>
      </c>
      <c r="Q410" t="n">
        <v>0</v>
      </c>
      <c r="R410" s="2" t="inlineStr"/>
    </row>
    <row r="411" ht="15" customHeight="1">
      <c r="A411" t="inlineStr">
        <is>
          <t>A 24707-2024</t>
        </is>
      </c>
      <c r="B411" s="1" t="n">
        <v>45460.62172453704</v>
      </c>
      <c r="C411" s="1" t="n">
        <v>45938</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47955-2025</t>
        </is>
      </c>
      <c r="B412" s="1" t="n">
        <v>45932.58896990741</v>
      </c>
      <c r="C412" s="1" t="n">
        <v>45938</v>
      </c>
      <c r="D412" t="inlineStr">
        <is>
          <t>KALMAR LÄN</t>
        </is>
      </c>
      <c r="E412" t="inlineStr">
        <is>
          <t>VIMMERBY</t>
        </is>
      </c>
      <c r="G412" t="n">
        <v>3.4</v>
      </c>
      <c r="H412" t="n">
        <v>0</v>
      </c>
      <c r="I412" t="n">
        <v>0</v>
      </c>
      <c r="J412" t="n">
        <v>0</v>
      </c>
      <c r="K412" t="n">
        <v>0</v>
      </c>
      <c r="L412" t="n">
        <v>0</v>
      </c>
      <c r="M412" t="n">
        <v>0</v>
      </c>
      <c r="N412" t="n">
        <v>0</v>
      </c>
      <c r="O412" t="n">
        <v>0</v>
      </c>
      <c r="P412" t="n">
        <v>0</v>
      </c>
      <c r="Q412" t="n">
        <v>0</v>
      </c>
      <c r="R412" s="2" t="inlineStr"/>
    </row>
    <row r="413" ht="15" customHeight="1">
      <c r="A413" t="inlineStr">
        <is>
          <t>A 38198-2024</t>
        </is>
      </c>
      <c r="B413" s="1" t="n">
        <v>45545.49508101852</v>
      </c>
      <c r="C413" s="1" t="n">
        <v>45938</v>
      </c>
      <c r="D413" t="inlineStr">
        <is>
          <t>KALMAR LÄN</t>
        </is>
      </c>
      <c r="E413" t="inlineStr">
        <is>
          <t>VIMMERBY</t>
        </is>
      </c>
      <c r="G413" t="n">
        <v>7.9</v>
      </c>
      <c r="H413" t="n">
        <v>0</v>
      </c>
      <c r="I413" t="n">
        <v>0</v>
      </c>
      <c r="J413" t="n">
        <v>0</v>
      </c>
      <c r="K413" t="n">
        <v>0</v>
      </c>
      <c r="L413" t="n">
        <v>0</v>
      </c>
      <c r="M413" t="n">
        <v>0</v>
      </c>
      <c r="N413" t="n">
        <v>0</v>
      </c>
      <c r="O413" t="n">
        <v>0</v>
      </c>
      <c r="P413" t="n">
        <v>0</v>
      </c>
      <c r="Q413" t="n">
        <v>0</v>
      </c>
      <c r="R413" s="2" t="inlineStr"/>
    </row>
    <row r="414" ht="15" customHeight="1">
      <c r="A414" t="inlineStr">
        <is>
          <t>A 9623-2024</t>
        </is>
      </c>
      <c r="B414" s="1" t="n">
        <v>45361.87975694444</v>
      </c>
      <c r="C414" s="1" t="n">
        <v>45938</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58967-2022</t>
        </is>
      </c>
      <c r="B415" s="1" t="n">
        <v>44896</v>
      </c>
      <c r="C415" s="1" t="n">
        <v>45938</v>
      </c>
      <c r="D415" t="inlineStr">
        <is>
          <t>KALMAR LÄN</t>
        </is>
      </c>
      <c r="E415" t="inlineStr">
        <is>
          <t>VIMMERBY</t>
        </is>
      </c>
      <c r="G415" t="n">
        <v>5</v>
      </c>
      <c r="H415" t="n">
        <v>0</v>
      </c>
      <c r="I415" t="n">
        <v>0</v>
      </c>
      <c r="J415" t="n">
        <v>0</v>
      </c>
      <c r="K415" t="n">
        <v>0</v>
      </c>
      <c r="L415" t="n">
        <v>0</v>
      </c>
      <c r="M415" t="n">
        <v>0</v>
      </c>
      <c r="N415" t="n">
        <v>0</v>
      </c>
      <c r="O415" t="n">
        <v>0</v>
      </c>
      <c r="P415" t="n">
        <v>0</v>
      </c>
      <c r="Q415" t="n">
        <v>0</v>
      </c>
      <c r="R415" s="2" t="inlineStr"/>
    </row>
    <row r="416" ht="15" customHeight="1">
      <c r="A416" t="inlineStr">
        <is>
          <t>A 31056-2022</t>
        </is>
      </c>
      <c r="B416" s="1" t="n">
        <v>44769.45805555556</v>
      </c>
      <c r="C416" s="1" t="n">
        <v>45938</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33383-2023</t>
        </is>
      </c>
      <c r="B417" s="1" t="n">
        <v>45128.58414351852</v>
      </c>
      <c r="C417" s="1" t="n">
        <v>45938</v>
      </c>
      <c r="D417" t="inlineStr">
        <is>
          <t>KALMAR LÄN</t>
        </is>
      </c>
      <c r="E417" t="inlineStr">
        <is>
          <t>VIMMERBY</t>
        </is>
      </c>
      <c r="G417" t="n">
        <v>2.3</v>
      </c>
      <c r="H417" t="n">
        <v>0</v>
      </c>
      <c r="I417" t="n">
        <v>0</v>
      </c>
      <c r="J417" t="n">
        <v>0</v>
      </c>
      <c r="K417" t="n">
        <v>0</v>
      </c>
      <c r="L417" t="n">
        <v>0</v>
      </c>
      <c r="M417" t="n">
        <v>0</v>
      </c>
      <c r="N417" t="n">
        <v>0</v>
      </c>
      <c r="O417" t="n">
        <v>0</v>
      </c>
      <c r="P417" t="n">
        <v>0</v>
      </c>
      <c r="Q417" t="n">
        <v>0</v>
      </c>
      <c r="R417" s="2" t="inlineStr"/>
    </row>
    <row r="418" ht="15" customHeight="1">
      <c r="A418" t="inlineStr">
        <is>
          <t>A 40828-2023</t>
        </is>
      </c>
      <c r="B418" s="1" t="n">
        <v>45171.96248842592</v>
      </c>
      <c r="C418" s="1" t="n">
        <v>45938</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6399-2025</t>
        </is>
      </c>
      <c r="B419" s="1" t="n">
        <v>45699.44291666667</v>
      </c>
      <c r="C419" s="1" t="n">
        <v>45938</v>
      </c>
      <c r="D419" t="inlineStr">
        <is>
          <t>KALMAR LÄN</t>
        </is>
      </c>
      <c r="E419" t="inlineStr">
        <is>
          <t>VIMMERBY</t>
        </is>
      </c>
      <c r="G419" t="n">
        <v>3.1</v>
      </c>
      <c r="H419" t="n">
        <v>0</v>
      </c>
      <c r="I419" t="n">
        <v>0</v>
      </c>
      <c r="J419" t="n">
        <v>0</v>
      </c>
      <c r="K419" t="n">
        <v>0</v>
      </c>
      <c r="L419" t="n">
        <v>0</v>
      </c>
      <c r="M419" t="n">
        <v>0</v>
      </c>
      <c r="N419" t="n">
        <v>0</v>
      </c>
      <c r="O419" t="n">
        <v>0</v>
      </c>
      <c r="P419" t="n">
        <v>0</v>
      </c>
      <c r="Q419" t="n">
        <v>0</v>
      </c>
      <c r="R419" s="2" t="inlineStr"/>
    </row>
    <row r="420" ht="15" customHeight="1">
      <c r="A420" t="inlineStr">
        <is>
          <t>A 31355-2023</t>
        </is>
      </c>
      <c r="B420" s="1" t="n">
        <v>45114.49505787037</v>
      </c>
      <c r="C420" s="1" t="n">
        <v>45938</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66295-2020</t>
        </is>
      </c>
      <c r="B421" s="1" t="n">
        <v>44176</v>
      </c>
      <c r="C421" s="1" t="n">
        <v>45938</v>
      </c>
      <c r="D421" t="inlineStr">
        <is>
          <t>KALMAR LÄN</t>
        </is>
      </c>
      <c r="E421" t="inlineStr">
        <is>
          <t>VIMMERBY</t>
        </is>
      </c>
      <c r="G421" t="n">
        <v>4.1</v>
      </c>
      <c r="H421" t="n">
        <v>0</v>
      </c>
      <c r="I421" t="n">
        <v>0</v>
      </c>
      <c r="J421" t="n">
        <v>0</v>
      </c>
      <c r="K421" t="n">
        <v>0</v>
      </c>
      <c r="L421" t="n">
        <v>0</v>
      </c>
      <c r="M421" t="n">
        <v>0</v>
      </c>
      <c r="N421" t="n">
        <v>0</v>
      </c>
      <c r="O421" t="n">
        <v>0</v>
      </c>
      <c r="P421" t="n">
        <v>0</v>
      </c>
      <c r="Q421" t="n">
        <v>0</v>
      </c>
      <c r="R421" s="2" t="inlineStr"/>
    </row>
    <row r="422" ht="15" customHeight="1">
      <c r="A422" t="inlineStr">
        <is>
          <t>A 30400-2023</t>
        </is>
      </c>
      <c r="B422" s="1" t="n">
        <v>45111.48225694444</v>
      </c>
      <c r="C422" s="1" t="n">
        <v>45938</v>
      </c>
      <c r="D422" t="inlineStr">
        <is>
          <t>KALMAR LÄN</t>
        </is>
      </c>
      <c r="E422" t="inlineStr">
        <is>
          <t>VIMMERBY</t>
        </is>
      </c>
      <c r="G422" t="n">
        <v>2.7</v>
      </c>
      <c r="H422" t="n">
        <v>0</v>
      </c>
      <c r="I422" t="n">
        <v>0</v>
      </c>
      <c r="J422" t="n">
        <v>0</v>
      </c>
      <c r="K422" t="n">
        <v>0</v>
      </c>
      <c r="L422" t="n">
        <v>0</v>
      </c>
      <c r="M422" t="n">
        <v>0</v>
      </c>
      <c r="N422" t="n">
        <v>0</v>
      </c>
      <c r="O422" t="n">
        <v>0</v>
      </c>
      <c r="P422" t="n">
        <v>0</v>
      </c>
      <c r="Q422" t="n">
        <v>0</v>
      </c>
      <c r="R422" s="2" t="inlineStr"/>
    </row>
    <row r="423" ht="15" customHeight="1">
      <c r="A423" t="inlineStr">
        <is>
          <t>A 30404-2023</t>
        </is>
      </c>
      <c r="B423" s="1" t="n">
        <v>45111.48636574074</v>
      </c>
      <c r="C423" s="1" t="n">
        <v>45938</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27705-2023</t>
        </is>
      </c>
      <c r="B424" s="1" t="n">
        <v>45098.30535879629</v>
      </c>
      <c r="C424" s="1" t="n">
        <v>45938</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61861-2024</t>
        </is>
      </c>
      <c r="B425" s="1" t="n">
        <v>45650.37370370371</v>
      </c>
      <c r="C425" s="1" t="n">
        <v>45938</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39807-2025</t>
        </is>
      </c>
      <c r="B426" s="1" t="n">
        <v>45891.50986111111</v>
      </c>
      <c r="C426" s="1" t="n">
        <v>45938</v>
      </c>
      <c r="D426" t="inlineStr">
        <is>
          <t>KALMAR LÄN</t>
        </is>
      </c>
      <c r="E426" t="inlineStr">
        <is>
          <t>VIMMERBY</t>
        </is>
      </c>
      <c r="G426" t="n">
        <v>0.5</v>
      </c>
      <c r="H426" t="n">
        <v>0</v>
      </c>
      <c r="I426" t="n">
        <v>0</v>
      </c>
      <c r="J426" t="n">
        <v>0</v>
      </c>
      <c r="K426" t="n">
        <v>0</v>
      </c>
      <c r="L426" t="n">
        <v>0</v>
      </c>
      <c r="M426" t="n">
        <v>0</v>
      </c>
      <c r="N426" t="n">
        <v>0</v>
      </c>
      <c r="O426" t="n">
        <v>0</v>
      </c>
      <c r="P426" t="n">
        <v>0</v>
      </c>
      <c r="Q426" t="n">
        <v>0</v>
      </c>
      <c r="R426" s="2" t="inlineStr"/>
    </row>
    <row r="427" ht="15" customHeight="1">
      <c r="A427" t="inlineStr">
        <is>
          <t>A 39736-2025</t>
        </is>
      </c>
      <c r="B427" s="1" t="n">
        <v>45891</v>
      </c>
      <c r="C427" s="1" t="n">
        <v>45938</v>
      </c>
      <c r="D427" t="inlineStr">
        <is>
          <t>KALMAR LÄN</t>
        </is>
      </c>
      <c r="E427" t="inlineStr">
        <is>
          <t>VIMMERBY</t>
        </is>
      </c>
      <c r="G427" t="n">
        <v>12.8</v>
      </c>
      <c r="H427" t="n">
        <v>0</v>
      </c>
      <c r="I427" t="n">
        <v>0</v>
      </c>
      <c r="J427" t="n">
        <v>0</v>
      </c>
      <c r="K427" t="n">
        <v>0</v>
      </c>
      <c r="L427" t="n">
        <v>0</v>
      </c>
      <c r="M427" t="n">
        <v>0</v>
      </c>
      <c r="N427" t="n">
        <v>0</v>
      </c>
      <c r="O427" t="n">
        <v>0</v>
      </c>
      <c r="P427" t="n">
        <v>0</v>
      </c>
      <c r="Q427" t="n">
        <v>0</v>
      </c>
      <c r="R427" s="2" t="inlineStr"/>
    </row>
    <row r="428" ht="15" customHeight="1">
      <c r="A428" t="inlineStr">
        <is>
          <t>A 8650-2022</t>
        </is>
      </c>
      <c r="B428" s="1" t="n">
        <v>44613</v>
      </c>
      <c r="C428" s="1" t="n">
        <v>45938</v>
      </c>
      <c r="D428" t="inlineStr">
        <is>
          <t>KALMAR LÄN</t>
        </is>
      </c>
      <c r="E428" t="inlineStr">
        <is>
          <t>VIMMERBY</t>
        </is>
      </c>
      <c r="G428" t="n">
        <v>1.4</v>
      </c>
      <c r="H428" t="n">
        <v>0</v>
      </c>
      <c r="I428" t="n">
        <v>0</v>
      </c>
      <c r="J428" t="n">
        <v>0</v>
      </c>
      <c r="K428" t="n">
        <v>0</v>
      </c>
      <c r="L428" t="n">
        <v>0</v>
      </c>
      <c r="M428" t="n">
        <v>0</v>
      </c>
      <c r="N428" t="n">
        <v>0</v>
      </c>
      <c r="O428" t="n">
        <v>0</v>
      </c>
      <c r="P428" t="n">
        <v>0</v>
      </c>
      <c r="Q428" t="n">
        <v>0</v>
      </c>
      <c r="R428" s="2" t="inlineStr"/>
    </row>
    <row r="429" ht="15" customHeight="1">
      <c r="A429" t="inlineStr">
        <is>
          <t>A 36843-2023</t>
        </is>
      </c>
      <c r="B429" s="1" t="n">
        <v>45154.49831018518</v>
      </c>
      <c r="C429" s="1" t="n">
        <v>45938</v>
      </c>
      <c r="D429" t="inlineStr">
        <is>
          <t>KALMAR LÄN</t>
        </is>
      </c>
      <c r="E429" t="inlineStr">
        <is>
          <t>VIMMERBY</t>
        </is>
      </c>
      <c r="G429" t="n">
        <v>2</v>
      </c>
      <c r="H429" t="n">
        <v>0</v>
      </c>
      <c r="I429" t="n">
        <v>0</v>
      </c>
      <c r="J429" t="n">
        <v>0</v>
      </c>
      <c r="K429" t="n">
        <v>0</v>
      </c>
      <c r="L429" t="n">
        <v>0</v>
      </c>
      <c r="M429" t="n">
        <v>0</v>
      </c>
      <c r="N429" t="n">
        <v>0</v>
      </c>
      <c r="O429" t="n">
        <v>0</v>
      </c>
      <c r="P429" t="n">
        <v>0</v>
      </c>
      <c r="Q429" t="n">
        <v>0</v>
      </c>
      <c r="R429" s="2" t="inlineStr"/>
    </row>
    <row r="430" ht="15" customHeight="1">
      <c r="A430" t="inlineStr">
        <is>
          <t>A 7627-2025</t>
        </is>
      </c>
      <c r="B430" s="1" t="n">
        <v>45705.73300925926</v>
      </c>
      <c r="C430" s="1" t="n">
        <v>45938</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33340-2023</t>
        </is>
      </c>
      <c r="B431" s="1" t="n">
        <v>45128.37305555555</v>
      </c>
      <c r="C431" s="1" t="n">
        <v>45938</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47965-2025</t>
        </is>
      </c>
      <c r="B432" s="1" t="n">
        <v>45932.59597222223</v>
      </c>
      <c r="C432" s="1" t="n">
        <v>45938</v>
      </c>
      <c r="D432" t="inlineStr">
        <is>
          <t>KALMAR LÄN</t>
        </is>
      </c>
      <c r="E432" t="inlineStr">
        <is>
          <t>VIMMERBY</t>
        </is>
      </c>
      <c r="G432" t="n">
        <v>2.2</v>
      </c>
      <c r="H432" t="n">
        <v>0</v>
      </c>
      <c r="I432" t="n">
        <v>0</v>
      </c>
      <c r="J432" t="n">
        <v>0</v>
      </c>
      <c r="K432" t="n">
        <v>0</v>
      </c>
      <c r="L432" t="n">
        <v>0</v>
      </c>
      <c r="M432" t="n">
        <v>0</v>
      </c>
      <c r="N432" t="n">
        <v>0</v>
      </c>
      <c r="O432" t="n">
        <v>0</v>
      </c>
      <c r="P432" t="n">
        <v>0</v>
      </c>
      <c r="Q432" t="n">
        <v>0</v>
      </c>
      <c r="R432" s="2" t="inlineStr"/>
    </row>
    <row r="433" ht="15" customHeight="1">
      <c r="A433" t="inlineStr">
        <is>
          <t>A 44423-2023</t>
        </is>
      </c>
      <c r="B433" s="1" t="n">
        <v>45189</v>
      </c>
      <c r="C433" s="1" t="n">
        <v>45938</v>
      </c>
      <c r="D433" t="inlineStr">
        <is>
          <t>KALMAR LÄN</t>
        </is>
      </c>
      <c r="E433" t="inlineStr">
        <is>
          <t>VIMMERBY</t>
        </is>
      </c>
      <c r="G433" t="n">
        <v>0.7</v>
      </c>
      <c r="H433" t="n">
        <v>0</v>
      </c>
      <c r="I433" t="n">
        <v>0</v>
      </c>
      <c r="J433" t="n">
        <v>0</v>
      </c>
      <c r="K433" t="n">
        <v>0</v>
      </c>
      <c r="L433" t="n">
        <v>0</v>
      </c>
      <c r="M433" t="n">
        <v>0</v>
      </c>
      <c r="N433" t="n">
        <v>0</v>
      </c>
      <c r="O433" t="n">
        <v>0</v>
      </c>
      <c r="P433" t="n">
        <v>0</v>
      </c>
      <c r="Q433" t="n">
        <v>0</v>
      </c>
      <c r="R433" s="2" t="inlineStr"/>
    </row>
    <row r="434" ht="15" customHeight="1">
      <c r="A434" t="inlineStr">
        <is>
          <t>A 48299-2025</t>
        </is>
      </c>
      <c r="B434" s="1" t="n">
        <v>45933.60982638889</v>
      </c>
      <c r="C434" s="1" t="n">
        <v>45938</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39803-2025</t>
        </is>
      </c>
      <c r="B435" s="1" t="n">
        <v>45891.50525462963</v>
      </c>
      <c r="C435" s="1" t="n">
        <v>45938</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37323-2024</t>
        </is>
      </c>
      <c r="B436" s="1" t="n">
        <v>45540.50098379629</v>
      </c>
      <c r="C436" s="1" t="n">
        <v>45938</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10785-2025</t>
        </is>
      </c>
      <c r="B437" s="1" t="n">
        <v>45722.48634259259</v>
      </c>
      <c r="C437" s="1" t="n">
        <v>45938</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6807-2025</t>
        </is>
      </c>
      <c r="B438" s="1" t="n">
        <v>45700.68672453704</v>
      </c>
      <c r="C438" s="1" t="n">
        <v>45938</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29017-2024</t>
        </is>
      </c>
      <c r="B439" s="1" t="n">
        <v>45481.56722222222</v>
      </c>
      <c r="C439" s="1" t="n">
        <v>45938</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39889-2025</t>
        </is>
      </c>
      <c r="B440" s="1" t="n">
        <v>45891</v>
      </c>
      <c r="C440" s="1" t="n">
        <v>45938</v>
      </c>
      <c r="D440" t="inlineStr">
        <is>
          <t>KALMAR LÄN</t>
        </is>
      </c>
      <c r="E440" t="inlineStr">
        <is>
          <t>VIMMERBY</t>
        </is>
      </c>
      <c r="G440" t="n">
        <v>4.5</v>
      </c>
      <c r="H440" t="n">
        <v>0</v>
      </c>
      <c r="I440" t="n">
        <v>0</v>
      </c>
      <c r="J440" t="n">
        <v>0</v>
      </c>
      <c r="K440" t="n">
        <v>0</v>
      </c>
      <c r="L440" t="n">
        <v>0</v>
      </c>
      <c r="M440" t="n">
        <v>0</v>
      </c>
      <c r="N440" t="n">
        <v>0</v>
      </c>
      <c r="O440" t="n">
        <v>0</v>
      </c>
      <c r="P440" t="n">
        <v>0</v>
      </c>
      <c r="Q440" t="n">
        <v>0</v>
      </c>
      <c r="R440" s="2" t="inlineStr"/>
    </row>
    <row r="441" ht="15" customHeight="1">
      <c r="A441" t="inlineStr">
        <is>
          <t>A 23263-2024</t>
        </is>
      </c>
      <c r="B441" s="1" t="n">
        <v>45453.36854166666</v>
      </c>
      <c r="C441" s="1" t="n">
        <v>45938</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7047-2022</t>
        </is>
      </c>
      <c r="B442" s="1" t="n">
        <v>44603</v>
      </c>
      <c r="C442" s="1" t="n">
        <v>45938</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11074-2023</t>
        </is>
      </c>
      <c r="B443" s="1" t="n">
        <v>44992.34151620371</v>
      </c>
      <c r="C443" s="1" t="n">
        <v>45938</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61939-2021</t>
        </is>
      </c>
      <c r="B444" s="1" t="n">
        <v>44502</v>
      </c>
      <c r="C444" s="1" t="n">
        <v>45938</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12215-2024</t>
        </is>
      </c>
      <c r="B445" s="1" t="n">
        <v>45378.32185185186</v>
      </c>
      <c r="C445" s="1" t="n">
        <v>45938</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35711-2023</t>
        </is>
      </c>
      <c r="B446" s="1" t="n">
        <v>45147.67172453704</v>
      </c>
      <c r="C446" s="1" t="n">
        <v>45938</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5382-2023</t>
        </is>
      </c>
      <c r="B447" s="1" t="n">
        <v>44959.66407407408</v>
      </c>
      <c r="C447" s="1" t="n">
        <v>45938</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11303-2025</t>
        </is>
      </c>
      <c r="B448" s="1" t="n">
        <v>45726.44471064815</v>
      </c>
      <c r="C448" s="1" t="n">
        <v>45938</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12033-2024</t>
        </is>
      </c>
      <c r="B449" s="1" t="n">
        <v>45377.40043981482</v>
      </c>
      <c r="C449" s="1" t="n">
        <v>45938</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40823-2023</t>
        </is>
      </c>
      <c r="B450" s="1" t="n">
        <v>45171.77335648148</v>
      </c>
      <c r="C450" s="1" t="n">
        <v>45938</v>
      </c>
      <c r="D450" t="inlineStr">
        <is>
          <t>KALMAR LÄN</t>
        </is>
      </c>
      <c r="E450" t="inlineStr">
        <is>
          <t>VIMMERBY</t>
        </is>
      </c>
      <c r="G450" t="n">
        <v>2.7</v>
      </c>
      <c r="H450" t="n">
        <v>0</v>
      </c>
      <c r="I450" t="n">
        <v>0</v>
      </c>
      <c r="J450" t="n">
        <v>0</v>
      </c>
      <c r="K450" t="n">
        <v>0</v>
      </c>
      <c r="L450" t="n">
        <v>0</v>
      </c>
      <c r="M450" t="n">
        <v>0</v>
      </c>
      <c r="N450" t="n">
        <v>0</v>
      </c>
      <c r="O450" t="n">
        <v>0</v>
      </c>
      <c r="P450" t="n">
        <v>0</v>
      </c>
      <c r="Q450" t="n">
        <v>0</v>
      </c>
      <c r="R450" s="2" t="inlineStr"/>
    </row>
    <row r="451" ht="15" customHeight="1">
      <c r="A451" t="inlineStr">
        <is>
          <t>A 51408-2023</t>
        </is>
      </c>
      <c r="B451" s="1" t="n">
        <v>45219.69356481481</v>
      </c>
      <c r="C451" s="1" t="n">
        <v>45938</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6218-2025</t>
        </is>
      </c>
      <c r="B452" s="1" t="n">
        <v>45698.53336805556</v>
      </c>
      <c r="C452" s="1" t="n">
        <v>45938</v>
      </c>
      <c r="D452" t="inlineStr">
        <is>
          <t>KALMAR LÄN</t>
        </is>
      </c>
      <c r="E452" t="inlineStr">
        <is>
          <t>VIMMERBY</t>
        </is>
      </c>
      <c r="G452" t="n">
        <v>1.1</v>
      </c>
      <c r="H452" t="n">
        <v>0</v>
      </c>
      <c r="I452" t="n">
        <v>0</v>
      </c>
      <c r="J452" t="n">
        <v>0</v>
      </c>
      <c r="K452" t="n">
        <v>0</v>
      </c>
      <c r="L452" t="n">
        <v>0</v>
      </c>
      <c r="M452" t="n">
        <v>0</v>
      </c>
      <c r="N452" t="n">
        <v>0</v>
      </c>
      <c r="O452" t="n">
        <v>0</v>
      </c>
      <c r="P452" t="n">
        <v>0</v>
      </c>
      <c r="Q452" t="n">
        <v>0</v>
      </c>
      <c r="R452" s="2" t="inlineStr"/>
    </row>
    <row r="453" ht="15" customHeight="1">
      <c r="A453" t="inlineStr">
        <is>
          <t>A 48723-2025</t>
        </is>
      </c>
      <c r="B453" s="1" t="n">
        <v>45936.65121527778</v>
      </c>
      <c r="C453" s="1" t="n">
        <v>45938</v>
      </c>
      <c r="D453" t="inlineStr">
        <is>
          <t>KALMAR LÄN</t>
        </is>
      </c>
      <c r="E453" t="inlineStr">
        <is>
          <t>VIMMERBY</t>
        </is>
      </c>
      <c r="G453" t="n">
        <v>3</v>
      </c>
      <c r="H453" t="n">
        <v>0</v>
      </c>
      <c r="I453" t="n">
        <v>0</v>
      </c>
      <c r="J453" t="n">
        <v>0</v>
      </c>
      <c r="K453" t="n">
        <v>0</v>
      </c>
      <c r="L453" t="n">
        <v>0</v>
      </c>
      <c r="M453" t="n">
        <v>0</v>
      </c>
      <c r="N453" t="n">
        <v>0</v>
      </c>
      <c r="O453" t="n">
        <v>0</v>
      </c>
      <c r="P453" t="n">
        <v>0</v>
      </c>
      <c r="Q453" t="n">
        <v>0</v>
      </c>
      <c r="R453" s="2" t="inlineStr"/>
    </row>
    <row r="454" ht="15" customHeight="1">
      <c r="A454" t="inlineStr">
        <is>
          <t>A 48600-2025</t>
        </is>
      </c>
      <c r="B454" s="1" t="n">
        <v>45935</v>
      </c>
      <c r="C454" s="1" t="n">
        <v>45938</v>
      </c>
      <c r="D454" t="inlineStr">
        <is>
          <t>KALMAR LÄN</t>
        </is>
      </c>
      <c r="E454" t="inlineStr">
        <is>
          <t>VIMMERBY</t>
        </is>
      </c>
      <c r="G454" t="n">
        <v>1.3</v>
      </c>
      <c r="H454" t="n">
        <v>0</v>
      </c>
      <c r="I454" t="n">
        <v>0</v>
      </c>
      <c r="J454" t="n">
        <v>0</v>
      </c>
      <c r="K454" t="n">
        <v>0</v>
      </c>
      <c r="L454" t="n">
        <v>0</v>
      </c>
      <c r="M454" t="n">
        <v>0</v>
      </c>
      <c r="N454" t="n">
        <v>0</v>
      </c>
      <c r="O454" t="n">
        <v>0</v>
      </c>
      <c r="P454" t="n">
        <v>0</v>
      </c>
      <c r="Q454" t="n">
        <v>0</v>
      </c>
      <c r="R454" s="2" t="inlineStr"/>
    </row>
    <row r="455" ht="15" customHeight="1">
      <c r="A455" t="inlineStr">
        <is>
          <t>A 18501-2024</t>
        </is>
      </c>
      <c r="B455" s="1" t="n">
        <v>45425.57538194444</v>
      </c>
      <c r="C455" s="1" t="n">
        <v>45938</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30920-2023</t>
        </is>
      </c>
      <c r="B456" s="1" t="n">
        <v>45113.43921296296</v>
      </c>
      <c r="C456" s="1" t="n">
        <v>45938</v>
      </c>
      <c r="D456" t="inlineStr">
        <is>
          <t>KALMAR LÄN</t>
        </is>
      </c>
      <c r="E456" t="inlineStr">
        <is>
          <t>VIMMERBY</t>
        </is>
      </c>
      <c r="G456" t="n">
        <v>3.1</v>
      </c>
      <c r="H456" t="n">
        <v>0</v>
      </c>
      <c r="I456" t="n">
        <v>0</v>
      </c>
      <c r="J456" t="n">
        <v>0</v>
      </c>
      <c r="K456" t="n">
        <v>0</v>
      </c>
      <c r="L456" t="n">
        <v>0</v>
      </c>
      <c r="M456" t="n">
        <v>0</v>
      </c>
      <c r="N456" t="n">
        <v>0</v>
      </c>
      <c r="O456" t="n">
        <v>0</v>
      </c>
      <c r="P456" t="n">
        <v>0</v>
      </c>
      <c r="Q456" t="n">
        <v>0</v>
      </c>
      <c r="R456" s="2" t="inlineStr"/>
    </row>
    <row r="457" ht="15" customHeight="1">
      <c r="A457" t="inlineStr">
        <is>
          <t>A 49488-2023</t>
        </is>
      </c>
      <c r="B457" s="1" t="n">
        <v>45211.55472222222</v>
      </c>
      <c r="C457" s="1" t="n">
        <v>45938</v>
      </c>
      <c r="D457" t="inlineStr">
        <is>
          <t>KALMAR LÄN</t>
        </is>
      </c>
      <c r="E457" t="inlineStr">
        <is>
          <t>VIMMERBY</t>
        </is>
      </c>
      <c r="F457" t="inlineStr">
        <is>
          <t>Sveaskog</t>
        </is>
      </c>
      <c r="G457" t="n">
        <v>6.2</v>
      </c>
      <c r="H457" t="n">
        <v>0</v>
      </c>
      <c r="I457" t="n">
        <v>0</v>
      </c>
      <c r="J457" t="n">
        <v>0</v>
      </c>
      <c r="K457" t="n">
        <v>0</v>
      </c>
      <c r="L457" t="n">
        <v>0</v>
      </c>
      <c r="M457" t="n">
        <v>0</v>
      </c>
      <c r="N457" t="n">
        <v>0</v>
      </c>
      <c r="O457" t="n">
        <v>0</v>
      </c>
      <c r="P457" t="n">
        <v>0</v>
      </c>
      <c r="Q457" t="n">
        <v>0</v>
      </c>
      <c r="R457" s="2" t="inlineStr"/>
    </row>
    <row r="458" ht="15" customHeight="1">
      <c r="A458" t="inlineStr">
        <is>
          <t>A 6857-2023</t>
        </is>
      </c>
      <c r="B458" s="1" t="n">
        <v>44967.45122685185</v>
      </c>
      <c r="C458" s="1" t="n">
        <v>45938</v>
      </c>
      <c r="D458" t="inlineStr">
        <is>
          <t>KALMAR LÄN</t>
        </is>
      </c>
      <c r="E458" t="inlineStr">
        <is>
          <t>VIMMERBY</t>
        </is>
      </c>
      <c r="G458" t="n">
        <v>2.1</v>
      </c>
      <c r="H458" t="n">
        <v>0</v>
      </c>
      <c r="I458" t="n">
        <v>0</v>
      </c>
      <c r="J458" t="n">
        <v>0</v>
      </c>
      <c r="K458" t="n">
        <v>0</v>
      </c>
      <c r="L458" t="n">
        <v>0</v>
      </c>
      <c r="M458" t="n">
        <v>0</v>
      </c>
      <c r="N458" t="n">
        <v>0</v>
      </c>
      <c r="O458" t="n">
        <v>0</v>
      </c>
      <c r="P458" t="n">
        <v>0</v>
      </c>
      <c r="Q458" t="n">
        <v>0</v>
      </c>
      <c r="R458" s="2" t="inlineStr"/>
    </row>
    <row r="459" ht="15" customHeight="1">
      <c r="A459" t="inlineStr">
        <is>
          <t>A 27758-2024</t>
        </is>
      </c>
      <c r="B459" s="1" t="n">
        <v>45475.48303240741</v>
      </c>
      <c r="C459" s="1" t="n">
        <v>45938</v>
      </c>
      <c r="D459" t="inlineStr">
        <is>
          <t>KALMAR LÄN</t>
        </is>
      </c>
      <c r="E459" t="inlineStr">
        <is>
          <t>VIMMERBY</t>
        </is>
      </c>
      <c r="G459" t="n">
        <v>2.6</v>
      </c>
      <c r="H459" t="n">
        <v>0</v>
      </c>
      <c r="I459" t="n">
        <v>0</v>
      </c>
      <c r="J459" t="n">
        <v>0</v>
      </c>
      <c r="K459" t="n">
        <v>0</v>
      </c>
      <c r="L459" t="n">
        <v>0</v>
      </c>
      <c r="M459" t="n">
        <v>0</v>
      </c>
      <c r="N459" t="n">
        <v>0</v>
      </c>
      <c r="O459" t="n">
        <v>0</v>
      </c>
      <c r="P459" t="n">
        <v>0</v>
      </c>
      <c r="Q459" t="n">
        <v>0</v>
      </c>
      <c r="R459" s="2" t="inlineStr"/>
    </row>
    <row r="460" ht="15" customHeight="1">
      <c r="A460" t="inlineStr">
        <is>
          <t>A 13307-2025</t>
        </is>
      </c>
      <c r="B460" s="1" t="n">
        <v>45735.58024305556</v>
      </c>
      <c r="C460" s="1" t="n">
        <v>45938</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8410-2023</t>
        </is>
      </c>
      <c r="B461" s="1" t="n">
        <v>44977</v>
      </c>
      <c r="C461" s="1" t="n">
        <v>45938</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30920-2024</t>
        </is>
      </c>
      <c r="B462" s="1" t="n">
        <v>45498.673125</v>
      </c>
      <c r="C462" s="1" t="n">
        <v>45938</v>
      </c>
      <c r="D462" t="inlineStr">
        <is>
          <t>KALMAR LÄN</t>
        </is>
      </c>
      <c r="E462" t="inlineStr">
        <is>
          <t>VIMMERBY</t>
        </is>
      </c>
      <c r="G462" t="n">
        <v>1.3</v>
      </c>
      <c r="H462" t="n">
        <v>0</v>
      </c>
      <c r="I462" t="n">
        <v>0</v>
      </c>
      <c r="J462" t="n">
        <v>0</v>
      </c>
      <c r="K462" t="n">
        <v>0</v>
      </c>
      <c r="L462" t="n">
        <v>0</v>
      </c>
      <c r="M462" t="n">
        <v>0</v>
      </c>
      <c r="N462" t="n">
        <v>0</v>
      </c>
      <c r="O462" t="n">
        <v>0</v>
      </c>
      <c r="P462" t="n">
        <v>0</v>
      </c>
      <c r="Q462" t="n">
        <v>0</v>
      </c>
      <c r="R462" s="2" t="inlineStr"/>
    </row>
    <row r="463" ht="15" customHeight="1">
      <c r="A463" t="inlineStr">
        <is>
          <t>A 55716-2023</t>
        </is>
      </c>
      <c r="B463" s="1" t="n">
        <v>45232</v>
      </c>
      <c r="C463" s="1" t="n">
        <v>45938</v>
      </c>
      <c r="D463" t="inlineStr">
        <is>
          <t>KALMAR LÄN</t>
        </is>
      </c>
      <c r="E463" t="inlineStr">
        <is>
          <t>VIMMERBY</t>
        </is>
      </c>
      <c r="G463" t="n">
        <v>2.3</v>
      </c>
      <c r="H463" t="n">
        <v>0</v>
      </c>
      <c r="I463" t="n">
        <v>0</v>
      </c>
      <c r="J463" t="n">
        <v>0</v>
      </c>
      <c r="K463" t="n">
        <v>0</v>
      </c>
      <c r="L463" t="n">
        <v>0</v>
      </c>
      <c r="M463" t="n">
        <v>0</v>
      </c>
      <c r="N463" t="n">
        <v>0</v>
      </c>
      <c r="O463" t="n">
        <v>0</v>
      </c>
      <c r="P463" t="n">
        <v>0</v>
      </c>
      <c r="Q463" t="n">
        <v>0</v>
      </c>
      <c r="R463" s="2" t="inlineStr"/>
    </row>
    <row r="464" ht="15" customHeight="1">
      <c r="A464" t="inlineStr">
        <is>
          <t>A 48408-2025</t>
        </is>
      </c>
      <c r="B464" s="1" t="n">
        <v>45934.40527777778</v>
      </c>
      <c r="C464" s="1" t="n">
        <v>45938</v>
      </c>
      <c r="D464" t="inlineStr">
        <is>
          <t>KALMAR LÄN</t>
        </is>
      </c>
      <c r="E464" t="inlineStr">
        <is>
          <t>VIMMERBY</t>
        </is>
      </c>
      <c r="G464" t="n">
        <v>2.4</v>
      </c>
      <c r="H464" t="n">
        <v>0</v>
      </c>
      <c r="I464" t="n">
        <v>0</v>
      </c>
      <c r="J464" t="n">
        <v>0</v>
      </c>
      <c r="K464" t="n">
        <v>0</v>
      </c>
      <c r="L464" t="n">
        <v>0</v>
      </c>
      <c r="M464" t="n">
        <v>0</v>
      </c>
      <c r="N464" t="n">
        <v>0</v>
      </c>
      <c r="O464" t="n">
        <v>0</v>
      </c>
      <c r="P464" t="n">
        <v>0</v>
      </c>
      <c r="Q464" t="n">
        <v>0</v>
      </c>
      <c r="R464" s="2" t="inlineStr"/>
    </row>
    <row r="465" ht="15" customHeight="1">
      <c r="A465" t="inlineStr">
        <is>
          <t>A 48409-2025</t>
        </is>
      </c>
      <c r="B465" s="1" t="n">
        <v>45934.41387731482</v>
      </c>
      <c r="C465" s="1" t="n">
        <v>45938</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5792-2023</t>
        </is>
      </c>
      <c r="B466" s="1" t="n">
        <v>44963.44769675926</v>
      </c>
      <c r="C466" s="1" t="n">
        <v>45938</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10303-2025</t>
        </is>
      </c>
      <c r="B467" s="1" t="n">
        <v>45720.44217592593</v>
      </c>
      <c r="C467" s="1" t="n">
        <v>45938</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60110-2022</t>
        </is>
      </c>
      <c r="B468" s="1" t="n">
        <v>44909</v>
      </c>
      <c r="C468" s="1" t="n">
        <v>45938</v>
      </c>
      <c r="D468" t="inlineStr">
        <is>
          <t>KALMAR LÄN</t>
        </is>
      </c>
      <c r="E468" t="inlineStr">
        <is>
          <t>VIMMERBY</t>
        </is>
      </c>
      <c r="G468" t="n">
        <v>1.7</v>
      </c>
      <c r="H468" t="n">
        <v>0</v>
      </c>
      <c r="I468" t="n">
        <v>0</v>
      </c>
      <c r="J468" t="n">
        <v>0</v>
      </c>
      <c r="K468" t="n">
        <v>0</v>
      </c>
      <c r="L468" t="n">
        <v>0</v>
      </c>
      <c r="M468" t="n">
        <v>0</v>
      </c>
      <c r="N468" t="n">
        <v>0</v>
      </c>
      <c r="O468" t="n">
        <v>0</v>
      </c>
      <c r="P468" t="n">
        <v>0</v>
      </c>
      <c r="Q468" t="n">
        <v>0</v>
      </c>
      <c r="R468" s="2" t="inlineStr"/>
    </row>
    <row r="469" ht="15" customHeight="1">
      <c r="A469" t="inlineStr">
        <is>
          <t>A 18329-2023</t>
        </is>
      </c>
      <c r="B469" s="1" t="n">
        <v>45041.63380787037</v>
      </c>
      <c r="C469" s="1" t="n">
        <v>45938</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15394-2025</t>
        </is>
      </c>
      <c r="B470" s="1" t="n">
        <v>45747.43196759259</v>
      </c>
      <c r="C470" s="1" t="n">
        <v>45938</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40929-2022</t>
        </is>
      </c>
      <c r="B471" s="1" t="n">
        <v>44825.4336574074</v>
      </c>
      <c r="C471" s="1" t="n">
        <v>45938</v>
      </c>
      <c r="D471" t="inlineStr">
        <is>
          <t>KALMAR LÄN</t>
        </is>
      </c>
      <c r="E471" t="inlineStr">
        <is>
          <t>VIMMERBY</t>
        </is>
      </c>
      <c r="G471" t="n">
        <v>2.5</v>
      </c>
      <c r="H471" t="n">
        <v>0</v>
      </c>
      <c r="I471" t="n">
        <v>0</v>
      </c>
      <c r="J471" t="n">
        <v>0</v>
      </c>
      <c r="K471" t="n">
        <v>0</v>
      </c>
      <c r="L471" t="n">
        <v>0</v>
      </c>
      <c r="M471" t="n">
        <v>0</v>
      </c>
      <c r="N471" t="n">
        <v>0</v>
      </c>
      <c r="O471" t="n">
        <v>0</v>
      </c>
      <c r="P471" t="n">
        <v>0</v>
      </c>
      <c r="Q471" t="n">
        <v>0</v>
      </c>
      <c r="R471" s="2" t="inlineStr"/>
    </row>
    <row r="472" ht="15" customHeight="1">
      <c r="A472" t="inlineStr">
        <is>
          <t>A 50091-2023</t>
        </is>
      </c>
      <c r="B472" s="1" t="n">
        <v>45215.60199074074</v>
      </c>
      <c r="C472" s="1" t="n">
        <v>45938</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36008-2024</t>
        </is>
      </c>
      <c r="B473" s="1" t="n">
        <v>45533.55362268518</v>
      </c>
      <c r="C473" s="1" t="n">
        <v>45938</v>
      </c>
      <c r="D473" t="inlineStr">
        <is>
          <t>KALMAR LÄN</t>
        </is>
      </c>
      <c r="E473" t="inlineStr">
        <is>
          <t>VIMMERBY</t>
        </is>
      </c>
      <c r="G473" t="n">
        <v>3.7</v>
      </c>
      <c r="H473" t="n">
        <v>0</v>
      </c>
      <c r="I473" t="n">
        <v>0</v>
      </c>
      <c r="J473" t="n">
        <v>0</v>
      </c>
      <c r="K473" t="n">
        <v>0</v>
      </c>
      <c r="L473" t="n">
        <v>0</v>
      </c>
      <c r="M473" t="n">
        <v>0</v>
      </c>
      <c r="N473" t="n">
        <v>0</v>
      </c>
      <c r="O473" t="n">
        <v>0</v>
      </c>
      <c r="P473" t="n">
        <v>0</v>
      </c>
      <c r="Q473" t="n">
        <v>0</v>
      </c>
      <c r="R473" s="2" t="inlineStr"/>
    </row>
    <row r="474" ht="15" customHeight="1">
      <c r="A474" t="inlineStr">
        <is>
          <t>A 15388-2025</t>
        </is>
      </c>
      <c r="B474" s="1" t="n">
        <v>45747.42633101852</v>
      </c>
      <c r="C474" s="1" t="n">
        <v>45938</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15391-2025</t>
        </is>
      </c>
      <c r="B475" s="1" t="n">
        <v>45747.42958333333</v>
      </c>
      <c r="C475" s="1" t="n">
        <v>45938</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48712-2025</t>
        </is>
      </c>
      <c r="B476" s="1" t="n">
        <v>45936.63373842592</v>
      </c>
      <c r="C476" s="1" t="n">
        <v>45938</v>
      </c>
      <c r="D476" t="inlineStr">
        <is>
          <t>KALMAR LÄN</t>
        </is>
      </c>
      <c r="E476" t="inlineStr">
        <is>
          <t>VIMMERBY</t>
        </is>
      </c>
      <c r="G476" t="n">
        <v>3</v>
      </c>
      <c r="H476" t="n">
        <v>0</v>
      </c>
      <c r="I476" t="n">
        <v>0</v>
      </c>
      <c r="J476" t="n">
        <v>0</v>
      </c>
      <c r="K476" t="n">
        <v>0</v>
      </c>
      <c r="L476" t="n">
        <v>0</v>
      </c>
      <c r="M476" t="n">
        <v>0</v>
      </c>
      <c r="N476" t="n">
        <v>0</v>
      </c>
      <c r="O476" t="n">
        <v>0</v>
      </c>
      <c r="P476" t="n">
        <v>0</v>
      </c>
      <c r="Q476" t="n">
        <v>0</v>
      </c>
      <c r="R476" s="2" t="inlineStr"/>
    </row>
    <row r="477" ht="15" customHeight="1">
      <c r="A477" t="inlineStr">
        <is>
          <t>A 16622-2025</t>
        </is>
      </c>
      <c r="B477" s="1" t="n">
        <v>45754.33641203704</v>
      </c>
      <c r="C477" s="1" t="n">
        <v>45938</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17511-2024</t>
        </is>
      </c>
      <c r="B478" s="1" t="n">
        <v>45415.57682870371</v>
      </c>
      <c r="C478" s="1" t="n">
        <v>45938</v>
      </c>
      <c r="D478" t="inlineStr">
        <is>
          <t>KALMAR LÄN</t>
        </is>
      </c>
      <c r="E478" t="inlineStr">
        <is>
          <t>VIMMERBY</t>
        </is>
      </c>
      <c r="G478" t="n">
        <v>5.3</v>
      </c>
      <c r="H478" t="n">
        <v>0</v>
      </c>
      <c r="I478" t="n">
        <v>0</v>
      </c>
      <c r="J478" t="n">
        <v>0</v>
      </c>
      <c r="K478" t="n">
        <v>0</v>
      </c>
      <c r="L478" t="n">
        <v>0</v>
      </c>
      <c r="M478" t="n">
        <v>0</v>
      </c>
      <c r="N478" t="n">
        <v>0</v>
      </c>
      <c r="O478" t="n">
        <v>0</v>
      </c>
      <c r="P478" t="n">
        <v>0</v>
      </c>
      <c r="Q478" t="n">
        <v>0</v>
      </c>
      <c r="R478" s="2" t="inlineStr"/>
    </row>
    <row r="479" ht="15" customHeight="1">
      <c r="A479" t="inlineStr">
        <is>
          <t>A 43705-2023</t>
        </is>
      </c>
      <c r="B479" s="1" t="n">
        <v>45187.42854166667</v>
      </c>
      <c r="C479" s="1" t="n">
        <v>45938</v>
      </c>
      <c r="D479" t="inlineStr">
        <is>
          <t>KALMAR LÄN</t>
        </is>
      </c>
      <c r="E479" t="inlineStr">
        <is>
          <t>VIMMERBY</t>
        </is>
      </c>
      <c r="G479" t="n">
        <v>1.2</v>
      </c>
      <c r="H479" t="n">
        <v>0</v>
      </c>
      <c r="I479" t="n">
        <v>0</v>
      </c>
      <c r="J479" t="n">
        <v>0</v>
      </c>
      <c r="K479" t="n">
        <v>0</v>
      </c>
      <c r="L479" t="n">
        <v>0</v>
      </c>
      <c r="M479" t="n">
        <v>0</v>
      </c>
      <c r="N479" t="n">
        <v>0</v>
      </c>
      <c r="O479" t="n">
        <v>0</v>
      </c>
      <c r="P479" t="n">
        <v>0</v>
      </c>
      <c r="Q479" t="n">
        <v>0</v>
      </c>
      <c r="R479" s="2" t="inlineStr"/>
    </row>
    <row r="480" ht="15" customHeight="1">
      <c r="A480" t="inlineStr">
        <is>
          <t>A 6474-2025</t>
        </is>
      </c>
      <c r="B480" s="1" t="n">
        <v>45699.60055555555</v>
      </c>
      <c r="C480" s="1" t="n">
        <v>45938</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32919-2022</t>
        </is>
      </c>
      <c r="B481" s="1" t="n">
        <v>44784.62724537037</v>
      </c>
      <c r="C481" s="1" t="n">
        <v>45938</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13015-2023</t>
        </is>
      </c>
      <c r="B482" s="1" t="n">
        <v>45002</v>
      </c>
      <c r="C482" s="1" t="n">
        <v>45938</v>
      </c>
      <c r="D482" t="inlineStr">
        <is>
          <t>KALMAR LÄN</t>
        </is>
      </c>
      <c r="E482" t="inlineStr">
        <is>
          <t>VIMMERBY</t>
        </is>
      </c>
      <c r="G482" t="n">
        <v>3.2</v>
      </c>
      <c r="H482" t="n">
        <v>0</v>
      </c>
      <c r="I482" t="n">
        <v>0</v>
      </c>
      <c r="J482" t="n">
        <v>0</v>
      </c>
      <c r="K482" t="n">
        <v>0</v>
      </c>
      <c r="L482" t="n">
        <v>0</v>
      </c>
      <c r="M482" t="n">
        <v>0</v>
      </c>
      <c r="N482" t="n">
        <v>0</v>
      </c>
      <c r="O482" t="n">
        <v>0</v>
      </c>
      <c r="P482" t="n">
        <v>0</v>
      </c>
      <c r="Q482" t="n">
        <v>0</v>
      </c>
      <c r="R482" s="2" t="inlineStr"/>
    </row>
    <row r="483" ht="15" customHeight="1">
      <c r="A483" t="inlineStr">
        <is>
          <t>A 29186-2024</t>
        </is>
      </c>
      <c r="B483" s="1" t="n">
        <v>45482.54844907407</v>
      </c>
      <c r="C483" s="1" t="n">
        <v>45938</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56659-2023</t>
        </is>
      </c>
      <c r="B484" s="1" t="n">
        <v>45243.84869212963</v>
      </c>
      <c r="C484" s="1" t="n">
        <v>45938</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13015-2022</t>
        </is>
      </c>
      <c r="B485" s="1" t="n">
        <v>44643</v>
      </c>
      <c r="C485" s="1" t="n">
        <v>45938</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50993-2022</t>
        </is>
      </c>
      <c r="B486" s="1" t="n">
        <v>44867</v>
      </c>
      <c r="C486" s="1" t="n">
        <v>45938</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55300-2021</t>
        </is>
      </c>
      <c r="B487" s="1" t="n">
        <v>44475</v>
      </c>
      <c r="C487" s="1" t="n">
        <v>45938</v>
      </c>
      <c r="D487" t="inlineStr">
        <is>
          <t>KALMAR LÄN</t>
        </is>
      </c>
      <c r="E487" t="inlineStr">
        <is>
          <t>VIMMERBY</t>
        </is>
      </c>
      <c r="G487" t="n">
        <v>3.4</v>
      </c>
      <c r="H487" t="n">
        <v>0</v>
      </c>
      <c r="I487" t="n">
        <v>0</v>
      </c>
      <c r="J487" t="n">
        <v>0</v>
      </c>
      <c r="K487" t="n">
        <v>0</v>
      </c>
      <c r="L487" t="n">
        <v>0</v>
      </c>
      <c r="M487" t="n">
        <v>0</v>
      </c>
      <c r="N487" t="n">
        <v>0</v>
      </c>
      <c r="O487" t="n">
        <v>0</v>
      </c>
      <c r="P487" t="n">
        <v>0</v>
      </c>
      <c r="Q487" t="n">
        <v>0</v>
      </c>
      <c r="R487" s="2" t="inlineStr"/>
    </row>
    <row r="488" ht="15" customHeight="1">
      <c r="A488" t="inlineStr">
        <is>
          <t>A 44179-2022</t>
        </is>
      </c>
      <c r="B488" s="1" t="n">
        <v>44839.4528125</v>
      </c>
      <c r="C488" s="1" t="n">
        <v>45938</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17968-2025</t>
        </is>
      </c>
      <c r="B489" s="1" t="n">
        <v>45761.35990740741</v>
      </c>
      <c r="C489" s="1" t="n">
        <v>45938</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6028-2023</t>
        </is>
      </c>
      <c r="B490" s="1" t="n">
        <v>44964.44356481481</v>
      </c>
      <c r="C490" s="1" t="n">
        <v>45938</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52755-2022</t>
        </is>
      </c>
      <c r="B491" s="1" t="n">
        <v>44875.27736111111</v>
      </c>
      <c r="C491" s="1" t="n">
        <v>45938</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55436-2023</t>
        </is>
      </c>
      <c r="B492" s="1" t="n">
        <v>45238.4328587963</v>
      </c>
      <c r="C492" s="1" t="n">
        <v>45938</v>
      </c>
      <c r="D492" t="inlineStr">
        <is>
          <t>KALMAR LÄN</t>
        </is>
      </c>
      <c r="E492" t="inlineStr">
        <is>
          <t>VIMMERBY</t>
        </is>
      </c>
      <c r="G492" t="n">
        <v>5.6</v>
      </c>
      <c r="H492" t="n">
        <v>0</v>
      </c>
      <c r="I492" t="n">
        <v>0</v>
      </c>
      <c r="J492" t="n">
        <v>0</v>
      </c>
      <c r="K492" t="n">
        <v>0</v>
      </c>
      <c r="L492" t="n">
        <v>0</v>
      </c>
      <c r="M492" t="n">
        <v>0</v>
      </c>
      <c r="N492" t="n">
        <v>0</v>
      </c>
      <c r="O492" t="n">
        <v>0</v>
      </c>
      <c r="P492" t="n">
        <v>0</v>
      </c>
      <c r="Q492" t="n">
        <v>0</v>
      </c>
      <c r="R492" s="2" t="inlineStr"/>
    </row>
    <row r="493" ht="15" customHeight="1">
      <c r="A493" t="inlineStr">
        <is>
          <t>A 35998-2024</t>
        </is>
      </c>
      <c r="B493" s="1" t="n">
        <v>45533.54429398148</v>
      </c>
      <c r="C493" s="1" t="n">
        <v>45938</v>
      </c>
      <c r="D493" t="inlineStr">
        <is>
          <t>KALMAR LÄN</t>
        </is>
      </c>
      <c r="E493" t="inlineStr">
        <is>
          <t>VIMMERBY</t>
        </is>
      </c>
      <c r="G493" t="n">
        <v>8.6</v>
      </c>
      <c r="H493" t="n">
        <v>0</v>
      </c>
      <c r="I493" t="n">
        <v>0</v>
      </c>
      <c r="J493" t="n">
        <v>0</v>
      </c>
      <c r="K493" t="n">
        <v>0</v>
      </c>
      <c r="L493" t="n">
        <v>0</v>
      </c>
      <c r="M493" t="n">
        <v>0</v>
      </c>
      <c r="N493" t="n">
        <v>0</v>
      </c>
      <c r="O493" t="n">
        <v>0</v>
      </c>
      <c r="P493" t="n">
        <v>0</v>
      </c>
      <c r="Q493" t="n">
        <v>0</v>
      </c>
      <c r="R493" s="2" t="inlineStr"/>
    </row>
    <row r="494" ht="15" customHeight="1">
      <c r="A494" t="inlineStr">
        <is>
          <t>A 54787-2023</t>
        </is>
      </c>
      <c r="B494" s="1" t="n">
        <v>45236</v>
      </c>
      <c r="C494" s="1" t="n">
        <v>45938</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7797-2023</t>
        </is>
      </c>
      <c r="B495" s="1" t="n">
        <v>44973.43075231482</v>
      </c>
      <c r="C495" s="1" t="n">
        <v>45938</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32614-2023</t>
        </is>
      </c>
      <c r="B496" s="1" t="n">
        <v>45121</v>
      </c>
      <c r="C496" s="1" t="n">
        <v>45938</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29351-2023</t>
        </is>
      </c>
      <c r="B497" s="1" t="n">
        <v>45106.2610300926</v>
      </c>
      <c r="C497" s="1" t="n">
        <v>45938</v>
      </c>
      <c r="D497" t="inlineStr">
        <is>
          <t>KALMAR LÄN</t>
        </is>
      </c>
      <c r="E497" t="inlineStr">
        <is>
          <t>VIMMERBY</t>
        </is>
      </c>
      <c r="G497" t="n">
        <v>0.4</v>
      </c>
      <c r="H497" t="n">
        <v>0</v>
      </c>
      <c r="I497" t="n">
        <v>0</v>
      </c>
      <c r="J497" t="n">
        <v>0</v>
      </c>
      <c r="K497" t="n">
        <v>0</v>
      </c>
      <c r="L497" t="n">
        <v>0</v>
      </c>
      <c r="M497" t="n">
        <v>0</v>
      </c>
      <c r="N497" t="n">
        <v>0</v>
      </c>
      <c r="O497" t="n">
        <v>0</v>
      </c>
      <c r="P497" t="n">
        <v>0</v>
      </c>
      <c r="Q497" t="n">
        <v>0</v>
      </c>
      <c r="R497" s="2" t="inlineStr"/>
    </row>
    <row r="498" ht="15" customHeight="1">
      <c r="A498" t="inlineStr">
        <is>
          <t>A 7630-2025</t>
        </is>
      </c>
      <c r="B498" s="1" t="n">
        <v>45705.74418981482</v>
      </c>
      <c r="C498" s="1" t="n">
        <v>45938</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6850-2023</t>
        </is>
      </c>
      <c r="B499" s="1" t="n">
        <v>44967.44255787037</v>
      </c>
      <c r="C499" s="1" t="n">
        <v>45938</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1024-2024</t>
        </is>
      </c>
      <c r="B500" s="1" t="n">
        <v>45301.68237268519</v>
      </c>
      <c r="C500" s="1" t="n">
        <v>45938</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58750-2022</t>
        </is>
      </c>
      <c r="B501" s="1" t="n">
        <v>44903.33363425926</v>
      </c>
      <c r="C501" s="1" t="n">
        <v>45938</v>
      </c>
      <c r="D501" t="inlineStr">
        <is>
          <t>KALMAR LÄN</t>
        </is>
      </c>
      <c r="E501" t="inlineStr">
        <is>
          <t>VIMMERBY</t>
        </is>
      </c>
      <c r="G501" t="n">
        <v>3.3</v>
      </c>
      <c r="H501" t="n">
        <v>0</v>
      </c>
      <c r="I501" t="n">
        <v>0</v>
      </c>
      <c r="J501" t="n">
        <v>0</v>
      </c>
      <c r="K501" t="n">
        <v>0</v>
      </c>
      <c r="L501" t="n">
        <v>0</v>
      </c>
      <c r="M501" t="n">
        <v>0</v>
      </c>
      <c r="N501" t="n">
        <v>0</v>
      </c>
      <c r="O501" t="n">
        <v>0</v>
      </c>
      <c r="P501" t="n">
        <v>0</v>
      </c>
      <c r="Q501" t="n">
        <v>0</v>
      </c>
      <c r="R501" s="2" t="inlineStr"/>
    </row>
    <row r="502" ht="15" customHeight="1">
      <c r="A502" t="inlineStr">
        <is>
          <t>A 10787-2025</t>
        </is>
      </c>
      <c r="B502" s="1" t="n">
        <v>45722.48915509259</v>
      </c>
      <c r="C502" s="1" t="n">
        <v>45938</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41158-2023</t>
        </is>
      </c>
      <c r="B503" s="1" t="n">
        <v>45174.31395833333</v>
      </c>
      <c r="C503" s="1" t="n">
        <v>45938</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2510-2023</t>
        </is>
      </c>
      <c r="B504" s="1" t="n">
        <v>44943.57309027778</v>
      </c>
      <c r="C504" s="1" t="n">
        <v>45938</v>
      </c>
      <c r="D504" t="inlineStr">
        <is>
          <t>KALMAR LÄN</t>
        </is>
      </c>
      <c r="E504" t="inlineStr">
        <is>
          <t>VIMMERBY</t>
        </is>
      </c>
      <c r="G504" t="n">
        <v>8.6</v>
      </c>
      <c r="H504" t="n">
        <v>0</v>
      </c>
      <c r="I504" t="n">
        <v>0</v>
      </c>
      <c r="J504" t="n">
        <v>0</v>
      </c>
      <c r="K504" t="n">
        <v>0</v>
      </c>
      <c r="L504" t="n">
        <v>0</v>
      </c>
      <c r="M504" t="n">
        <v>0</v>
      </c>
      <c r="N504" t="n">
        <v>0</v>
      </c>
      <c r="O504" t="n">
        <v>0</v>
      </c>
      <c r="P504" t="n">
        <v>0</v>
      </c>
      <c r="Q504" t="n">
        <v>0</v>
      </c>
      <c r="R504" s="2" t="inlineStr"/>
    </row>
    <row r="505" ht="15" customHeight="1">
      <c r="A505" t="inlineStr">
        <is>
          <t>A 56582-2022</t>
        </is>
      </c>
      <c r="B505" s="1" t="n">
        <v>44893</v>
      </c>
      <c r="C505" s="1" t="n">
        <v>45938</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20-2025</t>
        </is>
      </c>
      <c r="B506" s="1" t="n">
        <v>45658.80232638889</v>
      </c>
      <c r="C506" s="1" t="n">
        <v>45938</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23-2025</t>
        </is>
      </c>
      <c r="B507" s="1" t="n">
        <v>45658.80827546296</v>
      </c>
      <c r="C507" s="1" t="n">
        <v>45938</v>
      </c>
      <c r="D507" t="inlineStr">
        <is>
          <t>KALMAR LÄN</t>
        </is>
      </c>
      <c r="E507" t="inlineStr">
        <is>
          <t>VIMMERBY</t>
        </is>
      </c>
      <c r="G507" t="n">
        <v>1.8</v>
      </c>
      <c r="H507" t="n">
        <v>0</v>
      </c>
      <c r="I507" t="n">
        <v>0</v>
      </c>
      <c r="J507" t="n">
        <v>0</v>
      </c>
      <c r="K507" t="n">
        <v>0</v>
      </c>
      <c r="L507" t="n">
        <v>0</v>
      </c>
      <c r="M507" t="n">
        <v>0</v>
      </c>
      <c r="N507" t="n">
        <v>0</v>
      </c>
      <c r="O507" t="n">
        <v>0</v>
      </c>
      <c r="P507" t="n">
        <v>0</v>
      </c>
      <c r="Q507" t="n">
        <v>0</v>
      </c>
      <c r="R507" s="2" t="inlineStr"/>
    </row>
    <row r="508" ht="15" customHeight="1">
      <c r="A508" t="inlineStr">
        <is>
          <t>A 43962-2024</t>
        </is>
      </c>
      <c r="B508" s="1" t="n">
        <v>45572.48293981481</v>
      </c>
      <c r="C508" s="1" t="n">
        <v>45938</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29350-2023</t>
        </is>
      </c>
      <c r="B509" s="1" t="n">
        <v>45106</v>
      </c>
      <c r="C509" s="1" t="n">
        <v>45938</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14855-2025</t>
        </is>
      </c>
      <c r="B510" s="1" t="n">
        <v>45743.41148148148</v>
      </c>
      <c r="C510" s="1" t="n">
        <v>45938</v>
      </c>
      <c r="D510" t="inlineStr">
        <is>
          <t>KALMAR LÄN</t>
        </is>
      </c>
      <c r="E510" t="inlineStr">
        <is>
          <t>VIMMERBY</t>
        </is>
      </c>
      <c r="G510" t="n">
        <v>1.2</v>
      </c>
      <c r="H510" t="n">
        <v>0</v>
      </c>
      <c r="I510" t="n">
        <v>0</v>
      </c>
      <c r="J510" t="n">
        <v>0</v>
      </c>
      <c r="K510" t="n">
        <v>0</v>
      </c>
      <c r="L510" t="n">
        <v>0</v>
      </c>
      <c r="M510" t="n">
        <v>0</v>
      </c>
      <c r="N510" t="n">
        <v>0</v>
      </c>
      <c r="O510" t="n">
        <v>0</v>
      </c>
      <c r="P510" t="n">
        <v>0</v>
      </c>
      <c r="Q510" t="n">
        <v>0</v>
      </c>
      <c r="R510" s="2" t="inlineStr"/>
    </row>
    <row r="511" ht="15" customHeight="1">
      <c r="A511" t="inlineStr">
        <is>
          <t>A 35713-2023</t>
        </is>
      </c>
      <c r="B511" s="1" t="n">
        <v>45147</v>
      </c>
      <c r="C511" s="1" t="n">
        <v>45938</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43601-2024</t>
        </is>
      </c>
      <c r="B512" s="1" t="n">
        <v>45569.44684027778</v>
      </c>
      <c r="C512" s="1" t="n">
        <v>45938</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35913-2023</t>
        </is>
      </c>
      <c r="B513" s="1" t="n">
        <v>45148</v>
      </c>
      <c r="C513" s="1" t="n">
        <v>45938</v>
      </c>
      <c r="D513" t="inlineStr">
        <is>
          <t>KALMAR LÄN</t>
        </is>
      </c>
      <c r="E513" t="inlineStr">
        <is>
          <t>VIMMERBY</t>
        </is>
      </c>
      <c r="G513" t="n">
        <v>6.9</v>
      </c>
      <c r="H513" t="n">
        <v>0</v>
      </c>
      <c r="I513" t="n">
        <v>0</v>
      </c>
      <c r="J513" t="n">
        <v>0</v>
      </c>
      <c r="K513" t="n">
        <v>0</v>
      </c>
      <c r="L513" t="n">
        <v>0</v>
      </c>
      <c r="M513" t="n">
        <v>0</v>
      </c>
      <c r="N513" t="n">
        <v>0</v>
      </c>
      <c r="O513" t="n">
        <v>0</v>
      </c>
      <c r="P513" t="n">
        <v>0</v>
      </c>
      <c r="Q513" t="n">
        <v>0</v>
      </c>
      <c r="R513" s="2" t="inlineStr"/>
    </row>
    <row r="514" ht="15" customHeight="1">
      <c r="A514" t="inlineStr">
        <is>
          <t>A 3269-2024</t>
        </is>
      </c>
      <c r="B514" s="1" t="n">
        <v>45317.40372685185</v>
      </c>
      <c r="C514" s="1" t="n">
        <v>45938</v>
      </c>
      <c r="D514" t="inlineStr">
        <is>
          <t>KALMAR LÄN</t>
        </is>
      </c>
      <c r="E514" t="inlineStr">
        <is>
          <t>VIMMERBY</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48120-2022</t>
        </is>
      </c>
      <c r="B515" s="1" t="n">
        <v>44857.65989583333</v>
      </c>
      <c r="C515" s="1" t="n">
        <v>45938</v>
      </c>
      <c r="D515" t="inlineStr">
        <is>
          <t>KALMAR LÄN</t>
        </is>
      </c>
      <c r="E515" t="inlineStr">
        <is>
          <t>VIMMERBY</t>
        </is>
      </c>
      <c r="G515" t="n">
        <v>1.7</v>
      </c>
      <c r="H515" t="n">
        <v>0</v>
      </c>
      <c r="I515" t="n">
        <v>0</v>
      </c>
      <c r="J515" t="n">
        <v>0</v>
      </c>
      <c r="K515" t="n">
        <v>0</v>
      </c>
      <c r="L515" t="n">
        <v>0</v>
      </c>
      <c r="M515" t="n">
        <v>0</v>
      </c>
      <c r="N515" t="n">
        <v>0</v>
      </c>
      <c r="O515" t="n">
        <v>0</v>
      </c>
      <c r="P515" t="n">
        <v>0</v>
      </c>
      <c r="Q515" t="n">
        <v>0</v>
      </c>
      <c r="R515" s="2" t="inlineStr"/>
    </row>
    <row r="516" ht="15" customHeight="1">
      <c r="A516" t="inlineStr">
        <is>
          <t>A 9624-2024</t>
        </is>
      </c>
      <c r="B516" s="1" t="n">
        <v>45361.90282407407</v>
      </c>
      <c r="C516" s="1" t="n">
        <v>45938</v>
      </c>
      <c r="D516" t="inlineStr">
        <is>
          <t>KALMAR LÄN</t>
        </is>
      </c>
      <c r="E516" t="inlineStr">
        <is>
          <t>VIMMERBY</t>
        </is>
      </c>
      <c r="G516" t="n">
        <v>3.8</v>
      </c>
      <c r="H516" t="n">
        <v>0</v>
      </c>
      <c r="I516" t="n">
        <v>0</v>
      </c>
      <c r="J516" t="n">
        <v>0</v>
      </c>
      <c r="K516" t="n">
        <v>0</v>
      </c>
      <c r="L516" t="n">
        <v>0</v>
      </c>
      <c r="M516" t="n">
        <v>0</v>
      </c>
      <c r="N516" t="n">
        <v>0</v>
      </c>
      <c r="O516" t="n">
        <v>0</v>
      </c>
      <c r="P516" t="n">
        <v>0</v>
      </c>
      <c r="Q516" t="n">
        <v>0</v>
      </c>
      <c r="R516" s="2" t="inlineStr"/>
    </row>
    <row r="517" ht="15" customHeight="1">
      <c r="A517" t="inlineStr">
        <is>
          <t>A 3938-2023</t>
        </is>
      </c>
      <c r="B517" s="1" t="n">
        <v>44952.35775462963</v>
      </c>
      <c r="C517" s="1" t="n">
        <v>45938</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6368-2023</t>
        </is>
      </c>
      <c r="B518" s="1" t="n">
        <v>44965</v>
      </c>
      <c r="C518" s="1" t="n">
        <v>45938</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9416-2024</t>
        </is>
      </c>
      <c r="B519" s="1" t="n">
        <v>45359.44837962963</v>
      </c>
      <c r="C519" s="1" t="n">
        <v>45938</v>
      </c>
      <c r="D519" t="inlineStr">
        <is>
          <t>KALMAR LÄN</t>
        </is>
      </c>
      <c r="E519" t="inlineStr">
        <is>
          <t>VIMMERBY</t>
        </is>
      </c>
      <c r="G519" t="n">
        <v>3.2</v>
      </c>
      <c r="H519" t="n">
        <v>0</v>
      </c>
      <c r="I519" t="n">
        <v>0</v>
      </c>
      <c r="J519" t="n">
        <v>0</v>
      </c>
      <c r="K519" t="n">
        <v>0</v>
      </c>
      <c r="L519" t="n">
        <v>0</v>
      </c>
      <c r="M519" t="n">
        <v>0</v>
      </c>
      <c r="N519" t="n">
        <v>0</v>
      </c>
      <c r="O519" t="n">
        <v>0</v>
      </c>
      <c r="P519" t="n">
        <v>0</v>
      </c>
      <c r="Q519" t="n">
        <v>0</v>
      </c>
      <c r="R519" s="2" t="inlineStr"/>
    </row>
    <row r="520" ht="15" customHeight="1">
      <c r="A520" t="inlineStr">
        <is>
          <t>A 39053-2024</t>
        </is>
      </c>
      <c r="B520" s="1" t="n">
        <v>45548</v>
      </c>
      <c r="C520" s="1" t="n">
        <v>45938</v>
      </c>
      <c r="D520" t="inlineStr">
        <is>
          <t>KALMAR LÄN</t>
        </is>
      </c>
      <c r="E520" t="inlineStr">
        <is>
          <t>VIMMERBY</t>
        </is>
      </c>
      <c r="G520" t="n">
        <v>5</v>
      </c>
      <c r="H520" t="n">
        <v>0</v>
      </c>
      <c r="I520" t="n">
        <v>0</v>
      </c>
      <c r="J520" t="n">
        <v>0</v>
      </c>
      <c r="K520" t="n">
        <v>0</v>
      </c>
      <c r="L520" t="n">
        <v>0</v>
      </c>
      <c r="M520" t="n">
        <v>0</v>
      </c>
      <c r="N520" t="n">
        <v>0</v>
      </c>
      <c r="O520" t="n">
        <v>0</v>
      </c>
      <c r="P520" t="n">
        <v>0</v>
      </c>
      <c r="Q520" t="n">
        <v>0</v>
      </c>
      <c r="R520" s="2" t="inlineStr"/>
    </row>
    <row r="521" ht="15" customHeight="1">
      <c r="A521" t="inlineStr">
        <is>
          <t>A 2797-2023</t>
        </is>
      </c>
      <c r="B521" s="1" t="n">
        <v>44944.71386574074</v>
      </c>
      <c r="C521" s="1" t="n">
        <v>45938</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2799-2023</t>
        </is>
      </c>
      <c r="B522" s="1" t="n">
        <v>44944.72100694444</v>
      </c>
      <c r="C522" s="1" t="n">
        <v>45938</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40147-2023</t>
        </is>
      </c>
      <c r="B523" s="1" t="n">
        <v>45169</v>
      </c>
      <c r="C523" s="1" t="n">
        <v>45938</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14451-2024</t>
        </is>
      </c>
      <c r="B524" s="1" t="n">
        <v>45394.50028935185</v>
      </c>
      <c r="C524" s="1" t="n">
        <v>45938</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50995-2022</t>
        </is>
      </c>
      <c r="B525" s="1" t="n">
        <v>44867</v>
      </c>
      <c r="C525" s="1" t="n">
        <v>45938</v>
      </c>
      <c r="D525" t="inlineStr">
        <is>
          <t>KALMAR LÄN</t>
        </is>
      </c>
      <c r="E525" t="inlineStr">
        <is>
          <t>VIMMERBY</t>
        </is>
      </c>
      <c r="G525" t="n">
        <v>2.4</v>
      </c>
      <c r="H525" t="n">
        <v>0</v>
      </c>
      <c r="I525" t="n">
        <v>0</v>
      </c>
      <c r="J525" t="n">
        <v>0</v>
      </c>
      <c r="K525" t="n">
        <v>0</v>
      </c>
      <c r="L525" t="n">
        <v>0</v>
      </c>
      <c r="M525" t="n">
        <v>0</v>
      </c>
      <c r="N525" t="n">
        <v>0</v>
      </c>
      <c r="O525" t="n">
        <v>0</v>
      </c>
      <c r="P525" t="n">
        <v>0</v>
      </c>
      <c r="Q525" t="n">
        <v>0</v>
      </c>
      <c r="R525" s="2" t="inlineStr"/>
    </row>
    <row r="526" ht="15" customHeight="1">
      <c r="A526" t="inlineStr">
        <is>
          <t>A 25987-2024</t>
        </is>
      </c>
      <c r="B526" s="1" t="n">
        <v>45467.74417824074</v>
      </c>
      <c r="C526" s="1" t="n">
        <v>45938</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22194-2024</t>
        </is>
      </c>
      <c r="B527" s="1" t="n">
        <v>45446.36482638889</v>
      </c>
      <c r="C527" s="1" t="n">
        <v>45938</v>
      </c>
      <c r="D527" t="inlineStr">
        <is>
          <t>KALMAR LÄN</t>
        </is>
      </c>
      <c r="E527" t="inlineStr">
        <is>
          <t>VIMMERBY</t>
        </is>
      </c>
      <c r="F527" t="inlineStr">
        <is>
          <t>Sveaskog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34205-2023</t>
        </is>
      </c>
      <c r="B528" s="1" t="n">
        <v>45138</v>
      </c>
      <c r="C528" s="1" t="n">
        <v>45938</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19865-2021</t>
        </is>
      </c>
      <c r="B529" s="1" t="n">
        <v>44312</v>
      </c>
      <c r="C529" s="1" t="n">
        <v>45938</v>
      </c>
      <c r="D529" t="inlineStr">
        <is>
          <t>KALMAR LÄN</t>
        </is>
      </c>
      <c r="E529" t="inlineStr">
        <is>
          <t>VIMMERBY</t>
        </is>
      </c>
      <c r="G529" t="n">
        <v>8.6</v>
      </c>
      <c r="H529" t="n">
        <v>0</v>
      </c>
      <c r="I529" t="n">
        <v>0</v>
      </c>
      <c r="J529" t="n">
        <v>0</v>
      </c>
      <c r="K529" t="n">
        <v>0</v>
      </c>
      <c r="L529" t="n">
        <v>0</v>
      </c>
      <c r="M529" t="n">
        <v>0</v>
      </c>
      <c r="N529" t="n">
        <v>0</v>
      </c>
      <c r="O529" t="n">
        <v>0</v>
      </c>
      <c r="P529" t="n">
        <v>0</v>
      </c>
      <c r="Q529" t="n">
        <v>0</v>
      </c>
      <c r="R529" s="2" t="inlineStr"/>
    </row>
    <row r="530" ht="15" customHeight="1">
      <c r="A530" t="inlineStr">
        <is>
          <t>A 12630-2023</t>
        </is>
      </c>
      <c r="B530" s="1" t="n">
        <v>45000.47998842593</v>
      </c>
      <c r="C530" s="1" t="n">
        <v>45938</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27993-2022</t>
        </is>
      </c>
      <c r="B531" s="1" t="n">
        <v>44745.84396990741</v>
      </c>
      <c r="C531" s="1" t="n">
        <v>45938</v>
      </c>
      <c r="D531" t="inlineStr">
        <is>
          <t>KALMAR LÄN</t>
        </is>
      </c>
      <c r="E531" t="inlineStr">
        <is>
          <t>VIMMERBY</t>
        </is>
      </c>
      <c r="G531" t="n">
        <v>2.8</v>
      </c>
      <c r="H531" t="n">
        <v>0</v>
      </c>
      <c r="I531" t="n">
        <v>0</v>
      </c>
      <c r="J531" t="n">
        <v>0</v>
      </c>
      <c r="K531" t="n">
        <v>0</v>
      </c>
      <c r="L531" t="n">
        <v>0</v>
      </c>
      <c r="M531" t="n">
        <v>0</v>
      </c>
      <c r="N531" t="n">
        <v>0</v>
      </c>
      <c r="O531" t="n">
        <v>0</v>
      </c>
      <c r="P531" t="n">
        <v>0</v>
      </c>
      <c r="Q531" t="n">
        <v>0</v>
      </c>
      <c r="R531" s="2" t="inlineStr"/>
    </row>
    <row r="532" ht="15" customHeight="1">
      <c r="A532" t="inlineStr">
        <is>
          <t>A 57555-2024</t>
        </is>
      </c>
      <c r="B532" s="1" t="n">
        <v>45630.45069444444</v>
      </c>
      <c r="C532" s="1" t="n">
        <v>45938</v>
      </c>
      <c r="D532" t="inlineStr">
        <is>
          <t>KALMAR LÄN</t>
        </is>
      </c>
      <c r="E532" t="inlineStr">
        <is>
          <t>VIMMERBY</t>
        </is>
      </c>
      <c r="G532" t="n">
        <v>1.1</v>
      </c>
      <c r="H532" t="n">
        <v>0</v>
      </c>
      <c r="I532" t="n">
        <v>0</v>
      </c>
      <c r="J532" t="n">
        <v>0</v>
      </c>
      <c r="K532" t="n">
        <v>0</v>
      </c>
      <c r="L532" t="n">
        <v>0</v>
      </c>
      <c r="M532" t="n">
        <v>0</v>
      </c>
      <c r="N532" t="n">
        <v>0</v>
      </c>
      <c r="O532" t="n">
        <v>0</v>
      </c>
      <c r="P532" t="n">
        <v>0</v>
      </c>
      <c r="Q532" t="n">
        <v>0</v>
      </c>
      <c r="R532" s="2" t="inlineStr"/>
    </row>
    <row r="533" ht="15" customHeight="1">
      <c r="A533" t="inlineStr">
        <is>
          <t>A 3268-2024</t>
        </is>
      </c>
      <c r="B533" s="1" t="n">
        <v>45317</v>
      </c>
      <c r="C533" s="1" t="n">
        <v>45938</v>
      </c>
      <c r="D533" t="inlineStr">
        <is>
          <t>KALMAR LÄN</t>
        </is>
      </c>
      <c r="E533" t="inlineStr">
        <is>
          <t>VIMMERBY</t>
        </is>
      </c>
      <c r="F533" t="inlineStr">
        <is>
          <t>Övriga Aktiebolag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12819-2024</t>
        </is>
      </c>
      <c r="B534" s="1" t="n">
        <v>45384.66917824074</v>
      </c>
      <c r="C534" s="1" t="n">
        <v>45938</v>
      </c>
      <c r="D534" t="inlineStr">
        <is>
          <t>KALMAR LÄN</t>
        </is>
      </c>
      <c r="E534" t="inlineStr">
        <is>
          <t>VIMMERBY</t>
        </is>
      </c>
      <c r="G534" t="n">
        <v>5.1</v>
      </c>
      <c r="H534" t="n">
        <v>0</v>
      </c>
      <c r="I534" t="n">
        <v>0</v>
      </c>
      <c r="J534" t="n">
        <v>0</v>
      </c>
      <c r="K534" t="n">
        <v>0</v>
      </c>
      <c r="L534" t="n">
        <v>0</v>
      </c>
      <c r="M534" t="n">
        <v>0</v>
      </c>
      <c r="N534" t="n">
        <v>0</v>
      </c>
      <c r="O534" t="n">
        <v>0</v>
      </c>
      <c r="P534" t="n">
        <v>0</v>
      </c>
      <c r="Q534" t="n">
        <v>0</v>
      </c>
      <c r="R534" s="2" t="inlineStr"/>
    </row>
    <row r="535" ht="15" customHeight="1">
      <c r="A535" t="inlineStr">
        <is>
          <t>A 21109-2024</t>
        </is>
      </c>
      <c r="B535" s="1" t="n">
        <v>45440.28329861111</v>
      </c>
      <c r="C535" s="1" t="n">
        <v>45938</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36014-2024</t>
        </is>
      </c>
      <c r="B536" s="1" t="n">
        <v>45533.56108796296</v>
      </c>
      <c r="C536" s="1" t="n">
        <v>45938</v>
      </c>
      <c r="D536" t="inlineStr">
        <is>
          <t>KALMAR LÄN</t>
        </is>
      </c>
      <c r="E536" t="inlineStr">
        <is>
          <t>VIMMERBY</t>
        </is>
      </c>
      <c r="G536" t="n">
        <v>2.3</v>
      </c>
      <c r="H536" t="n">
        <v>0</v>
      </c>
      <c r="I536" t="n">
        <v>0</v>
      </c>
      <c r="J536" t="n">
        <v>0</v>
      </c>
      <c r="K536" t="n">
        <v>0</v>
      </c>
      <c r="L536" t="n">
        <v>0</v>
      </c>
      <c r="M536" t="n">
        <v>0</v>
      </c>
      <c r="N536" t="n">
        <v>0</v>
      </c>
      <c r="O536" t="n">
        <v>0</v>
      </c>
      <c r="P536" t="n">
        <v>0</v>
      </c>
      <c r="Q536" t="n">
        <v>0</v>
      </c>
      <c r="R536" s="2" t="inlineStr"/>
    </row>
    <row r="537" ht="15" customHeight="1">
      <c r="A537" t="inlineStr">
        <is>
          <t>A 36030-2024</t>
        </is>
      </c>
      <c r="B537" s="1" t="n">
        <v>45533.58302083334</v>
      </c>
      <c r="C537" s="1" t="n">
        <v>45938</v>
      </c>
      <c r="D537" t="inlineStr">
        <is>
          <t>KALMAR LÄN</t>
        </is>
      </c>
      <c r="E537" t="inlineStr">
        <is>
          <t>VIMMERBY</t>
        </is>
      </c>
      <c r="F537" t="inlineStr">
        <is>
          <t>Kommuner</t>
        </is>
      </c>
      <c r="G537" t="n">
        <v>4</v>
      </c>
      <c r="H537" t="n">
        <v>0</v>
      </c>
      <c r="I537" t="n">
        <v>0</v>
      </c>
      <c r="J537" t="n">
        <v>0</v>
      </c>
      <c r="K537" t="n">
        <v>0</v>
      </c>
      <c r="L537" t="n">
        <v>0</v>
      </c>
      <c r="M537" t="n">
        <v>0</v>
      </c>
      <c r="N537" t="n">
        <v>0</v>
      </c>
      <c r="O537" t="n">
        <v>0</v>
      </c>
      <c r="P537" t="n">
        <v>0</v>
      </c>
      <c r="Q537" t="n">
        <v>0</v>
      </c>
      <c r="R537" s="2" t="inlineStr"/>
    </row>
    <row r="538" ht="15" customHeight="1">
      <c r="A538" t="inlineStr">
        <is>
          <t>A 30634-2024</t>
        </is>
      </c>
      <c r="B538" s="1" t="n">
        <v>45495</v>
      </c>
      <c r="C538" s="1" t="n">
        <v>45938</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32865-2023</t>
        </is>
      </c>
      <c r="B539" s="1" t="n">
        <v>45124</v>
      </c>
      <c r="C539" s="1" t="n">
        <v>45938</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6214-2025</t>
        </is>
      </c>
      <c r="B540" s="1" t="n">
        <v>45698.51711805556</v>
      </c>
      <c r="C540" s="1" t="n">
        <v>45938</v>
      </c>
      <c r="D540" t="inlineStr">
        <is>
          <t>KALMAR LÄN</t>
        </is>
      </c>
      <c r="E540" t="inlineStr">
        <is>
          <t>VIMMERBY</t>
        </is>
      </c>
      <c r="G540" t="n">
        <v>1.2</v>
      </c>
      <c r="H540" t="n">
        <v>0</v>
      </c>
      <c r="I540" t="n">
        <v>0</v>
      </c>
      <c r="J540" t="n">
        <v>0</v>
      </c>
      <c r="K540" t="n">
        <v>0</v>
      </c>
      <c r="L540" t="n">
        <v>0</v>
      </c>
      <c r="M540" t="n">
        <v>0</v>
      </c>
      <c r="N540" t="n">
        <v>0</v>
      </c>
      <c r="O540" t="n">
        <v>0</v>
      </c>
      <c r="P540" t="n">
        <v>0</v>
      </c>
      <c r="Q540" t="n">
        <v>0</v>
      </c>
      <c r="R540" s="2" t="inlineStr"/>
    </row>
    <row r="541" ht="15" customHeight="1">
      <c r="A541" t="inlineStr">
        <is>
          <t>A 32569-2024</t>
        </is>
      </c>
      <c r="B541" s="1" t="n">
        <v>45513.55840277778</v>
      </c>
      <c r="C541" s="1" t="n">
        <v>45938</v>
      </c>
      <c r="D541" t="inlineStr">
        <is>
          <t>KALMAR LÄN</t>
        </is>
      </c>
      <c r="E541" t="inlineStr">
        <is>
          <t>VIMMERBY</t>
        </is>
      </c>
      <c r="G541" t="n">
        <v>3.7</v>
      </c>
      <c r="H541" t="n">
        <v>0</v>
      </c>
      <c r="I541" t="n">
        <v>0</v>
      </c>
      <c r="J541" t="n">
        <v>0</v>
      </c>
      <c r="K541" t="n">
        <v>0</v>
      </c>
      <c r="L541" t="n">
        <v>0</v>
      </c>
      <c r="M541" t="n">
        <v>0</v>
      </c>
      <c r="N541" t="n">
        <v>0</v>
      </c>
      <c r="O541" t="n">
        <v>0</v>
      </c>
      <c r="P541" t="n">
        <v>0</v>
      </c>
      <c r="Q541" t="n">
        <v>0</v>
      </c>
      <c r="R541" s="2" t="inlineStr"/>
    </row>
    <row r="542" ht="15" customHeight="1">
      <c r="A542" t="inlineStr">
        <is>
          <t>A 40260-2024</t>
        </is>
      </c>
      <c r="B542" s="1" t="n">
        <v>45554.63225694445</v>
      </c>
      <c r="C542" s="1" t="n">
        <v>45938</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32575-2024</t>
        </is>
      </c>
      <c r="B543" s="1" t="n">
        <v>45513.56527777778</v>
      </c>
      <c r="C543" s="1" t="n">
        <v>45938</v>
      </c>
      <c r="D543" t="inlineStr">
        <is>
          <t>KALMAR LÄN</t>
        </is>
      </c>
      <c r="E543" t="inlineStr">
        <is>
          <t>VIMMERBY</t>
        </is>
      </c>
      <c r="G543" t="n">
        <v>1.5</v>
      </c>
      <c r="H543" t="n">
        <v>0</v>
      </c>
      <c r="I543" t="n">
        <v>0</v>
      </c>
      <c r="J543" t="n">
        <v>0</v>
      </c>
      <c r="K543" t="n">
        <v>0</v>
      </c>
      <c r="L543" t="n">
        <v>0</v>
      </c>
      <c r="M543" t="n">
        <v>0</v>
      </c>
      <c r="N543" t="n">
        <v>0</v>
      </c>
      <c r="O543" t="n">
        <v>0</v>
      </c>
      <c r="P543" t="n">
        <v>0</v>
      </c>
      <c r="Q543" t="n">
        <v>0</v>
      </c>
      <c r="R543" s="2" t="inlineStr"/>
    </row>
    <row r="544" ht="15" customHeight="1">
      <c r="A544" t="inlineStr">
        <is>
          <t>A 59943-2023</t>
        </is>
      </c>
      <c r="B544" s="1" t="n">
        <v>45257.67958333333</v>
      </c>
      <c r="C544" s="1" t="n">
        <v>45938</v>
      </c>
      <c r="D544" t="inlineStr">
        <is>
          <t>KALMAR LÄN</t>
        </is>
      </c>
      <c r="E544" t="inlineStr">
        <is>
          <t>VIMMERBY</t>
        </is>
      </c>
      <c r="G544" t="n">
        <v>6.4</v>
      </c>
      <c r="H544" t="n">
        <v>0</v>
      </c>
      <c r="I544" t="n">
        <v>0</v>
      </c>
      <c r="J544" t="n">
        <v>0</v>
      </c>
      <c r="K544" t="n">
        <v>0</v>
      </c>
      <c r="L544" t="n">
        <v>0</v>
      </c>
      <c r="M544" t="n">
        <v>0</v>
      </c>
      <c r="N544" t="n">
        <v>0</v>
      </c>
      <c r="O544" t="n">
        <v>0</v>
      </c>
      <c r="P544" t="n">
        <v>0</v>
      </c>
      <c r="Q544" t="n">
        <v>0</v>
      </c>
      <c r="R544" s="2" t="inlineStr"/>
    </row>
    <row r="545" ht="15" customHeight="1">
      <c r="A545" t="inlineStr">
        <is>
          <t>A 5527-2022</t>
        </is>
      </c>
      <c r="B545" s="1" t="n">
        <v>44595.583125</v>
      </c>
      <c r="C545" s="1" t="n">
        <v>45938</v>
      </c>
      <c r="D545" t="inlineStr">
        <is>
          <t>KALMAR LÄN</t>
        </is>
      </c>
      <c r="E545" t="inlineStr">
        <is>
          <t>VIMMERBY</t>
        </is>
      </c>
      <c r="G545" t="n">
        <v>3.6</v>
      </c>
      <c r="H545" t="n">
        <v>0</v>
      </c>
      <c r="I545" t="n">
        <v>0</v>
      </c>
      <c r="J545" t="n">
        <v>0</v>
      </c>
      <c r="K545" t="n">
        <v>0</v>
      </c>
      <c r="L545" t="n">
        <v>0</v>
      </c>
      <c r="M545" t="n">
        <v>0</v>
      </c>
      <c r="N545" t="n">
        <v>0</v>
      </c>
      <c r="O545" t="n">
        <v>0</v>
      </c>
      <c r="P545" t="n">
        <v>0</v>
      </c>
      <c r="Q545" t="n">
        <v>0</v>
      </c>
      <c r="R545" s="2" t="inlineStr"/>
    </row>
    <row r="546" ht="15" customHeight="1">
      <c r="A546" t="inlineStr">
        <is>
          <t>A 42918-2021</t>
        </is>
      </c>
      <c r="B546" s="1" t="n">
        <v>44431</v>
      </c>
      <c r="C546" s="1" t="n">
        <v>45938</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59300-2024</t>
        </is>
      </c>
      <c r="B547" s="1" t="n">
        <v>45637.66542824074</v>
      </c>
      <c r="C547" s="1" t="n">
        <v>45938</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12325-2023</t>
        </is>
      </c>
      <c r="B548" s="1" t="n">
        <v>44999.35858796296</v>
      </c>
      <c r="C548" s="1" t="n">
        <v>45938</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1016-2024</t>
        </is>
      </c>
      <c r="B549" s="1" t="n">
        <v>45301</v>
      </c>
      <c r="C549" s="1" t="n">
        <v>45938</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22643-2023</t>
        </is>
      </c>
      <c r="B550" s="1" t="n">
        <v>45071</v>
      </c>
      <c r="C550" s="1" t="n">
        <v>45938</v>
      </c>
      <c r="D550" t="inlineStr">
        <is>
          <t>KALMAR LÄN</t>
        </is>
      </c>
      <c r="E550" t="inlineStr">
        <is>
          <t>VIMMERBY</t>
        </is>
      </c>
      <c r="G550" t="n">
        <v>3.9</v>
      </c>
      <c r="H550" t="n">
        <v>0</v>
      </c>
      <c r="I550" t="n">
        <v>0</v>
      </c>
      <c r="J550" t="n">
        <v>0</v>
      </c>
      <c r="K550" t="n">
        <v>0</v>
      </c>
      <c r="L550" t="n">
        <v>0</v>
      </c>
      <c r="M550" t="n">
        <v>0</v>
      </c>
      <c r="N550" t="n">
        <v>0</v>
      </c>
      <c r="O550" t="n">
        <v>0</v>
      </c>
      <c r="P550" t="n">
        <v>0</v>
      </c>
      <c r="Q550" t="n">
        <v>0</v>
      </c>
      <c r="R550" s="2" t="inlineStr"/>
    </row>
    <row r="551" ht="15" customHeight="1">
      <c r="A551" t="inlineStr">
        <is>
          <t>A 59768-2024</t>
        </is>
      </c>
      <c r="B551" s="1" t="n">
        <v>45639.56185185185</v>
      </c>
      <c r="C551" s="1" t="n">
        <v>45938</v>
      </c>
      <c r="D551" t="inlineStr">
        <is>
          <t>KALMAR LÄN</t>
        </is>
      </c>
      <c r="E551" t="inlineStr">
        <is>
          <t>VIMMERBY</t>
        </is>
      </c>
      <c r="G551" t="n">
        <v>5.9</v>
      </c>
      <c r="H551" t="n">
        <v>0</v>
      </c>
      <c r="I551" t="n">
        <v>0</v>
      </c>
      <c r="J551" t="n">
        <v>0</v>
      </c>
      <c r="K551" t="n">
        <v>0</v>
      </c>
      <c r="L551" t="n">
        <v>0</v>
      </c>
      <c r="M551" t="n">
        <v>0</v>
      </c>
      <c r="N551" t="n">
        <v>0</v>
      </c>
      <c r="O551" t="n">
        <v>0</v>
      </c>
      <c r="P551" t="n">
        <v>0</v>
      </c>
      <c r="Q551" t="n">
        <v>0</v>
      </c>
      <c r="R551" s="2" t="inlineStr"/>
    </row>
    <row r="552" ht="15" customHeight="1">
      <c r="A552" t="inlineStr">
        <is>
          <t>A 36526-2023</t>
        </is>
      </c>
      <c r="B552" s="1" t="n">
        <v>45153.32778935185</v>
      </c>
      <c r="C552" s="1" t="n">
        <v>45938</v>
      </c>
      <c r="D552" t="inlineStr">
        <is>
          <t>KALMAR LÄN</t>
        </is>
      </c>
      <c r="E552" t="inlineStr">
        <is>
          <t>VIMMERBY</t>
        </is>
      </c>
      <c r="G552" t="n">
        <v>2.7</v>
      </c>
      <c r="H552" t="n">
        <v>0</v>
      </c>
      <c r="I552" t="n">
        <v>0</v>
      </c>
      <c r="J552" t="n">
        <v>0</v>
      </c>
      <c r="K552" t="n">
        <v>0</v>
      </c>
      <c r="L552" t="n">
        <v>0</v>
      </c>
      <c r="M552" t="n">
        <v>0</v>
      </c>
      <c r="N552" t="n">
        <v>0</v>
      </c>
      <c r="O552" t="n">
        <v>0</v>
      </c>
      <c r="P552" t="n">
        <v>0</v>
      </c>
      <c r="Q552" t="n">
        <v>0</v>
      </c>
      <c r="R552" s="2" t="inlineStr"/>
    </row>
    <row r="553" ht="15" customHeight="1">
      <c r="A553" t="inlineStr">
        <is>
          <t>A 18669-2025</t>
        </is>
      </c>
      <c r="B553" s="1" t="n">
        <v>45763.59436342592</v>
      </c>
      <c r="C553" s="1" t="n">
        <v>45938</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38780-2021</t>
        </is>
      </c>
      <c r="B554" s="1" t="n">
        <v>44410</v>
      </c>
      <c r="C554" s="1" t="n">
        <v>45938</v>
      </c>
      <c r="D554" t="inlineStr">
        <is>
          <t>KALMAR LÄN</t>
        </is>
      </c>
      <c r="E554" t="inlineStr">
        <is>
          <t>VIMMERBY</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33681-2022</t>
        </is>
      </c>
      <c r="B555" s="1" t="n">
        <v>44789</v>
      </c>
      <c r="C555" s="1" t="n">
        <v>45938</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58728-2024</t>
        </is>
      </c>
      <c r="B556" s="1" t="n">
        <v>45635.66695601852</v>
      </c>
      <c r="C556" s="1" t="n">
        <v>45938</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29020-2024</t>
        </is>
      </c>
      <c r="B557" s="1" t="n">
        <v>45481.58048611111</v>
      </c>
      <c r="C557" s="1" t="n">
        <v>45938</v>
      </c>
      <c r="D557" t="inlineStr">
        <is>
          <t>KALMAR LÄN</t>
        </is>
      </c>
      <c r="E557" t="inlineStr">
        <is>
          <t>VIMMERBY</t>
        </is>
      </c>
      <c r="G557" t="n">
        <v>2.3</v>
      </c>
      <c r="H557" t="n">
        <v>0</v>
      </c>
      <c r="I557" t="n">
        <v>0</v>
      </c>
      <c r="J557" t="n">
        <v>0</v>
      </c>
      <c r="K557" t="n">
        <v>0</v>
      </c>
      <c r="L557" t="n">
        <v>0</v>
      </c>
      <c r="M557" t="n">
        <v>0</v>
      </c>
      <c r="N557" t="n">
        <v>0</v>
      </c>
      <c r="O557" t="n">
        <v>0</v>
      </c>
      <c r="P557" t="n">
        <v>0</v>
      </c>
      <c r="Q557" t="n">
        <v>0</v>
      </c>
      <c r="R557" s="2" t="inlineStr"/>
    </row>
    <row r="558" ht="15" customHeight="1">
      <c r="A558" t="inlineStr">
        <is>
          <t>A 49474-2023</t>
        </is>
      </c>
      <c r="B558" s="1" t="n">
        <v>45211.541875</v>
      </c>
      <c r="C558" s="1" t="n">
        <v>45938</v>
      </c>
      <c r="D558" t="inlineStr">
        <is>
          <t>KALMAR LÄN</t>
        </is>
      </c>
      <c r="E558" t="inlineStr">
        <is>
          <t>VIMMERBY</t>
        </is>
      </c>
      <c r="G558" t="n">
        <v>3.6</v>
      </c>
      <c r="H558" t="n">
        <v>0</v>
      </c>
      <c r="I558" t="n">
        <v>0</v>
      </c>
      <c r="J558" t="n">
        <v>0</v>
      </c>
      <c r="K558" t="n">
        <v>0</v>
      </c>
      <c r="L558" t="n">
        <v>0</v>
      </c>
      <c r="M558" t="n">
        <v>0</v>
      </c>
      <c r="N558" t="n">
        <v>0</v>
      </c>
      <c r="O558" t="n">
        <v>0</v>
      </c>
      <c r="P558" t="n">
        <v>0</v>
      </c>
      <c r="Q558" t="n">
        <v>0</v>
      </c>
      <c r="R558" s="2" t="inlineStr"/>
    </row>
    <row r="559" ht="15" customHeight="1">
      <c r="A559" t="inlineStr">
        <is>
          <t>A 30406-2023</t>
        </is>
      </c>
      <c r="B559" s="1" t="n">
        <v>45111.48787037037</v>
      </c>
      <c r="C559" s="1" t="n">
        <v>45938</v>
      </c>
      <c r="D559" t="inlineStr">
        <is>
          <t>KALMAR LÄN</t>
        </is>
      </c>
      <c r="E559" t="inlineStr">
        <is>
          <t>VIMMERBY</t>
        </is>
      </c>
      <c r="G559" t="n">
        <v>2.4</v>
      </c>
      <c r="H559" t="n">
        <v>0</v>
      </c>
      <c r="I559" t="n">
        <v>0</v>
      </c>
      <c r="J559" t="n">
        <v>0</v>
      </c>
      <c r="K559" t="n">
        <v>0</v>
      </c>
      <c r="L559" t="n">
        <v>0</v>
      </c>
      <c r="M559" t="n">
        <v>0</v>
      </c>
      <c r="N559" t="n">
        <v>0</v>
      </c>
      <c r="O559" t="n">
        <v>0</v>
      </c>
      <c r="P559" t="n">
        <v>0</v>
      </c>
      <c r="Q559" t="n">
        <v>0</v>
      </c>
      <c r="R559" s="2" t="inlineStr"/>
    </row>
    <row r="560" ht="15" customHeight="1">
      <c r="A560" t="inlineStr">
        <is>
          <t>A 13817-2024</t>
        </is>
      </c>
      <c r="B560" s="1" t="n">
        <v>45391.41976851852</v>
      </c>
      <c r="C560" s="1" t="n">
        <v>45938</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57682-2022</t>
        </is>
      </c>
      <c r="B561" s="1" t="n">
        <v>44890</v>
      </c>
      <c r="C561" s="1" t="n">
        <v>45938</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14220-2021</t>
        </is>
      </c>
      <c r="B562" s="1" t="n">
        <v>44278.54855324074</v>
      </c>
      <c r="C562" s="1" t="n">
        <v>45938</v>
      </c>
      <c r="D562" t="inlineStr">
        <is>
          <t>KALMAR LÄN</t>
        </is>
      </c>
      <c r="E562" t="inlineStr">
        <is>
          <t>VIMMERBY</t>
        </is>
      </c>
      <c r="G562" t="n">
        <v>0.3</v>
      </c>
      <c r="H562" t="n">
        <v>0</v>
      </c>
      <c r="I562" t="n">
        <v>0</v>
      </c>
      <c r="J562" t="n">
        <v>0</v>
      </c>
      <c r="K562" t="n">
        <v>0</v>
      </c>
      <c r="L562" t="n">
        <v>0</v>
      </c>
      <c r="M562" t="n">
        <v>0</v>
      </c>
      <c r="N562" t="n">
        <v>0</v>
      </c>
      <c r="O562" t="n">
        <v>0</v>
      </c>
      <c r="P562" t="n">
        <v>0</v>
      </c>
      <c r="Q562" t="n">
        <v>0</v>
      </c>
      <c r="R562" s="2" t="inlineStr"/>
    </row>
    <row r="563" ht="15" customHeight="1">
      <c r="A563" t="inlineStr">
        <is>
          <t>A 5074-2023</t>
        </is>
      </c>
      <c r="B563" s="1" t="n">
        <v>44958.61047453704</v>
      </c>
      <c r="C563" s="1" t="n">
        <v>45938</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63950-2023</t>
        </is>
      </c>
      <c r="B564" s="1" t="n">
        <v>45278</v>
      </c>
      <c r="C564" s="1" t="n">
        <v>45938</v>
      </c>
      <c r="D564" t="inlineStr">
        <is>
          <t>KALMAR LÄN</t>
        </is>
      </c>
      <c r="E564" t="inlineStr">
        <is>
          <t>VIMMERBY</t>
        </is>
      </c>
      <c r="F564" t="inlineStr">
        <is>
          <t>Kyrkan</t>
        </is>
      </c>
      <c r="G564" t="n">
        <v>2.7</v>
      </c>
      <c r="H564" t="n">
        <v>0</v>
      </c>
      <c r="I564" t="n">
        <v>0</v>
      </c>
      <c r="J564" t="n">
        <v>0</v>
      </c>
      <c r="K564" t="n">
        <v>0</v>
      </c>
      <c r="L564" t="n">
        <v>0</v>
      </c>
      <c r="M564" t="n">
        <v>0</v>
      </c>
      <c r="N564" t="n">
        <v>0</v>
      </c>
      <c r="O564" t="n">
        <v>0</v>
      </c>
      <c r="P564" t="n">
        <v>0</v>
      </c>
      <c r="Q564" t="n">
        <v>0</v>
      </c>
      <c r="R564" s="2" t="inlineStr"/>
    </row>
    <row r="565" ht="15" customHeight="1">
      <c r="A565" t="inlineStr">
        <is>
          <t>A 51187-2023</t>
        </is>
      </c>
      <c r="B565" s="1" t="n">
        <v>45219.40528935185</v>
      </c>
      <c r="C565" s="1" t="n">
        <v>45938</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15715-2022</t>
        </is>
      </c>
      <c r="B566" s="1" t="n">
        <v>44663</v>
      </c>
      <c r="C566" s="1" t="n">
        <v>45938</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16516-2023</t>
        </is>
      </c>
      <c r="B567" s="1" t="n">
        <v>45029</v>
      </c>
      <c r="C567" s="1" t="n">
        <v>45938</v>
      </c>
      <c r="D567" t="inlineStr">
        <is>
          <t>KALMAR LÄN</t>
        </is>
      </c>
      <c r="E567" t="inlineStr">
        <is>
          <t>VIMMERBY</t>
        </is>
      </c>
      <c r="G567" t="n">
        <v>4.3</v>
      </c>
      <c r="H567" t="n">
        <v>0</v>
      </c>
      <c r="I567" t="n">
        <v>0</v>
      </c>
      <c r="J567" t="n">
        <v>0</v>
      </c>
      <c r="K567" t="n">
        <v>0</v>
      </c>
      <c r="L567" t="n">
        <v>0</v>
      </c>
      <c r="M567" t="n">
        <v>0</v>
      </c>
      <c r="N567" t="n">
        <v>0</v>
      </c>
      <c r="O567" t="n">
        <v>0</v>
      </c>
      <c r="P567" t="n">
        <v>0</v>
      </c>
      <c r="Q567" t="n">
        <v>0</v>
      </c>
      <c r="R567" s="2" t="inlineStr"/>
    </row>
    <row r="568" ht="15" customHeight="1">
      <c r="A568" t="inlineStr">
        <is>
          <t>A 43093-2024</t>
        </is>
      </c>
      <c r="B568" s="1" t="n">
        <v>45567</v>
      </c>
      <c r="C568" s="1" t="n">
        <v>45938</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56022-2024</t>
        </is>
      </c>
      <c r="B569" s="1" t="n">
        <v>45623.95947916667</v>
      </c>
      <c r="C569" s="1" t="n">
        <v>45938</v>
      </c>
      <c r="D569" t="inlineStr">
        <is>
          <t>KALMAR LÄN</t>
        </is>
      </c>
      <c r="E569" t="inlineStr">
        <is>
          <t>VIMMERBY</t>
        </is>
      </c>
      <c r="G569" t="n">
        <v>0.3</v>
      </c>
      <c r="H569" t="n">
        <v>0</v>
      </c>
      <c r="I569" t="n">
        <v>0</v>
      </c>
      <c r="J569" t="n">
        <v>0</v>
      </c>
      <c r="K569" t="n">
        <v>0</v>
      </c>
      <c r="L569" t="n">
        <v>0</v>
      </c>
      <c r="M569" t="n">
        <v>0</v>
      </c>
      <c r="N569" t="n">
        <v>0</v>
      </c>
      <c r="O569" t="n">
        <v>0</v>
      </c>
      <c r="P569" t="n">
        <v>0</v>
      </c>
      <c r="Q569" t="n">
        <v>0</v>
      </c>
      <c r="R569" s="2" t="inlineStr"/>
    </row>
    <row r="570" ht="15" customHeight="1">
      <c r="A570" t="inlineStr">
        <is>
          <t>A 47842-2024</t>
        </is>
      </c>
      <c r="B570" s="1" t="n">
        <v>45588.65545138889</v>
      </c>
      <c r="C570" s="1" t="n">
        <v>45938</v>
      </c>
      <c r="D570" t="inlineStr">
        <is>
          <t>KALMAR LÄN</t>
        </is>
      </c>
      <c r="E570" t="inlineStr">
        <is>
          <t>VIMMERBY</t>
        </is>
      </c>
      <c r="G570" t="n">
        <v>2.4</v>
      </c>
      <c r="H570" t="n">
        <v>0</v>
      </c>
      <c r="I570" t="n">
        <v>0</v>
      </c>
      <c r="J570" t="n">
        <v>0</v>
      </c>
      <c r="K570" t="n">
        <v>0</v>
      </c>
      <c r="L570" t="n">
        <v>0</v>
      </c>
      <c r="M570" t="n">
        <v>0</v>
      </c>
      <c r="N570" t="n">
        <v>0</v>
      </c>
      <c r="O570" t="n">
        <v>0</v>
      </c>
      <c r="P570" t="n">
        <v>0</v>
      </c>
      <c r="Q570" t="n">
        <v>0</v>
      </c>
      <c r="R570" s="2" t="inlineStr"/>
    </row>
    <row r="571" ht="15" customHeight="1">
      <c r="A571" t="inlineStr">
        <is>
          <t>A 6408-2025</t>
        </is>
      </c>
      <c r="B571" s="1" t="n">
        <v>45699.45671296296</v>
      </c>
      <c r="C571" s="1" t="n">
        <v>45938</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18330-2023</t>
        </is>
      </c>
      <c r="B572" s="1" t="n">
        <v>45041</v>
      </c>
      <c r="C572" s="1" t="n">
        <v>45938</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25109-2023</t>
        </is>
      </c>
      <c r="B573" s="1" t="n">
        <v>45086</v>
      </c>
      <c r="C573" s="1" t="n">
        <v>45938</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33380-2023</t>
        </is>
      </c>
      <c r="B574" s="1" t="n">
        <v>45128</v>
      </c>
      <c r="C574" s="1" t="n">
        <v>45938</v>
      </c>
      <c r="D574" t="inlineStr">
        <is>
          <t>KALMAR LÄN</t>
        </is>
      </c>
      <c r="E574" t="inlineStr">
        <is>
          <t>VIMMERBY</t>
        </is>
      </c>
      <c r="G574" t="n">
        <v>5.2</v>
      </c>
      <c r="H574" t="n">
        <v>0</v>
      </c>
      <c r="I574" t="n">
        <v>0</v>
      </c>
      <c r="J574" t="n">
        <v>0</v>
      </c>
      <c r="K574" t="n">
        <v>0</v>
      </c>
      <c r="L574" t="n">
        <v>0</v>
      </c>
      <c r="M574" t="n">
        <v>0</v>
      </c>
      <c r="N574" t="n">
        <v>0</v>
      </c>
      <c r="O574" t="n">
        <v>0</v>
      </c>
      <c r="P574" t="n">
        <v>0</v>
      </c>
      <c r="Q574" t="n">
        <v>0</v>
      </c>
      <c r="R574" s="2" t="inlineStr"/>
    </row>
    <row r="575" ht="15" customHeight="1">
      <c r="A575" t="inlineStr">
        <is>
          <t>A 32639-2023</t>
        </is>
      </c>
      <c r="B575" s="1" t="n">
        <v>45121.5965162037</v>
      </c>
      <c r="C575" s="1" t="n">
        <v>45938</v>
      </c>
      <c r="D575" t="inlineStr">
        <is>
          <t>KALMAR LÄN</t>
        </is>
      </c>
      <c r="E575" t="inlineStr">
        <is>
          <t>VIMMERBY</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32642-2023</t>
        </is>
      </c>
      <c r="B576" s="1" t="n">
        <v>45121.59954861111</v>
      </c>
      <c r="C576" s="1" t="n">
        <v>45938</v>
      </c>
      <c r="D576" t="inlineStr">
        <is>
          <t>KALMAR LÄN</t>
        </is>
      </c>
      <c r="E576" t="inlineStr">
        <is>
          <t>VIMMERBY</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32651-2023</t>
        </is>
      </c>
      <c r="B577" s="1" t="n">
        <v>45121.6096875</v>
      </c>
      <c r="C577" s="1" t="n">
        <v>45938</v>
      </c>
      <c r="D577" t="inlineStr">
        <is>
          <t>KALMAR LÄN</t>
        </is>
      </c>
      <c r="E577" t="inlineStr">
        <is>
          <t>VIMMERBY</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11928-2022</t>
        </is>
      </c>
      <c r="B578" s="1" t="n">
        <v>44635</v>
      </c>
      <c r="C578" s="1" t="n">
        <v>45938</v>
      </c>
      <c r="D578" t="inlineStr">
        <is>
          <t>KALMAR LÄN</t>
        </is>
      </c>
      <c r="E578" t="inlineStr">
        <is>
          <t>VIMMERBY</t>
        </is>
      </c>
      <c r="G578" t="n">
        <v>2.8</v>
      </c>
      <c r="H578" t="n">
        <v>0</v>
      </c>
      <c r="I578" t="n">
        <v>0</v>
      </c>
      <c r="J578" t="n">
        <v>0</v>
      </c>
      <c r="K578" t="n">
        <v>0</v>
      </c>
      <c r="L578" t="n">
        <v>0</v>
      </c>
      <c r="M578" t="n">
        <v>0</v>
      </c>
      <c r="N578" t="n">
        <v>0</v>
      </c>
      <c r="O578" t="n">
        <v>0</v>
      </c>
      <c r="P578" t="n">
        <v>0</v>
      </c>
      <c r="Q578" t="n">
        <v>0</v>
      </c>
      <c r="R578" s="2" t="inlineStr"/>
    </row>
    <row r="579" ht="15" customHeight="1">
      <c r="A579" t="inlineStr">
        <is>
          <t>A 20126-2024</t>
        </is>
      </c>
      <c r="B579" s="1" t="n">
        <v>45434.55471064815</v>
      </c>
      <c r="C579" s="1" t="n">
        <v>45938</v>
      </c>
      <c r="D579" t="inlineStr">
        <is>
          <t>KALMAR LÄN</t>
        </is>
      </c>
      <c r="E579" t="inlineStr">
        <is>
          <t>VIMMERBY</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20136-2024</t>
        </is>
      </c>
      <c r="B580" s="1" t="n">
        <v>45434.56291666667</v>
      </c>
      <c r="C580" s="1" t="n">
        <v>45938</v>
      </c>
      <c r="D580" t="inlineStr">
        <is>
          <t>KALMAR LÄN</t>
        </is>
      </c>
      <c r="E580" t="inlineStr">
        <is>
          <t>VIMMERBY</t>
        </is>
      </c>
      <c r="F580" t="inlineStr">
        <is>
          <t>Sveaskog</t>
        </is>
      </c>
      <c r="G580" t="n">
        <v>8.4</v>
      </c>
      <c r="H580" t="n">
        <v>0</v>
      </c>
      <c r="I580" t="n">
        <v>0</v>
      </c>
      <c r="J580" t="n">
        <v>0</v>
      </c>
      <c r="K580" t="n">
        <v>0</v>
      </c>
      <c r="L580" t="n">
        <v>0</v>
      </c>
      <c r="M580" t="n">
        <v>0</v>
      </c>
      <c r="N580" t="n">
        <v>0</v>
      </c>
      <c r="O580" t="n">
        <v>0</v>
      </c>
      <c r="P580" t="n">
        <v>0</v>
      </c>
      <c r="Q580" t="n">
        <v>0</v>
      </c>
      <c r="R580" s="2" t="inlineStr"/>
    </row>
    <row r="581" ht="15" customHeight="1">
      <c r="A581" t="inlineStr">
        <is>
          <t>A 46921-2023</t>
        </is>
      </c>
      <c r="B581" s="1" t="n">
        <v>45201.39996527778</v>
      </c>
      <c r="C581" s="1" t="n">
        <v>45938</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25236-2023</t>
        </is>
      </c>
      <c r="B582" s="1" t="n">
        <v>45086.63334490741</v>
      </c>
      <c r="C582" s="1" t="n">
        <v>45938</v>
      </c>
      <c r="D582" t="inlineStr">
        <is>
          <t>KALMAR LÄN</t>
        </is>
      </c>
      <c r="E582" t="inlineStr">
        <is>
          <t>VIMMERBY</t>
        </is>
      </c>
      <c r="G582" t="n">
        <v>0.9</v>
      </c>
      <c r="H582" t="n">
        <v>0</v>
      </c>
      <c r="I582" t="n">
        <v>0</v>
      </c>
      <c r="J582" t="n">
        <v>0</v>
      </c>
      <c r="K582" t="n">
        <v>0</v>
      </c>
      <c r="L582" t="n">
        <v>0</v>
      </c>
      <c r="M582" t="n">
        <v>0</v>
      </c>
      <c r="N582" t="n">
        <v>0</v>
      </c>
      <c r="O582" t="n">
        <v>0</v>
      </c>
      <c r="P582" t="n">
        <v>0</v>
      </c>
      <c r="Q582" t="n">
        <v>0</v>
      </c>
      <c r="R582" s="2" t="inlineStr"/>
    </row>
    <row r="583" ht="15" customHeight="1">
      <c r="A583" t="inlineStr">
        <is>
          <t>A 7068-2024</t>
        </is>
      </c>
      <c r="B583" s="1" t="n">
        <v>45343.68038194445</v>
      </c>
      <c r="C583" s="1" t="n">
        <v>45938</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46234-2024</t>
        </is>
      </c>
      <c r="B584" s="1" t="n">
        <v>45581.57958333333</v>
      </c>
      <c r="C584" s="1" t="n">
        <v>45938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37187-2024</t>
        </is>
      </c>
      <c r="B585" s="1" t="n">
        <v>45539.65212962963</v>
      </c>
      <c r="C585" s="1" t="n">
        <v>45938</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45938</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1021-2024</t>
        </is>
      </c>
      <c r="B587" s="1" t="n">
        <v>45301.67736111111</v>
      </c>
      <c r="C587" s="1" t="n">
        <v>45938</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2801-2023</t>
        </is>
      </c>
      <c r="B588" s="1" t="n">
        <v>44944.73487268519</v>
      </c>
      <c r="C588" s="1" t="n">
        <v>45938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72701-2021</t>
        </is>
      </c>
      <c r="B589" s="1" t="n">
        <v>44546</v>
      </c>
      <c r="C589" s="1" t="n">
        <v>45938</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19111-2025</t>
        </is>
      </c>
      <c r="B590" s="1" t="n">
        <v>45768.65611111111</v>
      </c>
      <c r="C590" s="1" t="n">
        <v>45938</v>
      </c>
      <c r="D590" t="inlineStr">
        <is>
          <t>KALMAR LÄN</t>
        </is>
      </c>
      <c r="E590" t="inlineStr">
        <is>
          <t>VIMMERBY</t>
        </is>
      </c>
      <c r="G590" t="n">
        <v>6.2</v>
      </c>
      <c r="H590" t="n">
        <v>0</v>
      </c>
      <c r="I590" t="n">
        <v>0</v>
      </c>
      <c r="J590" t="n">
        <v>0</v>
      </c>
      <c r="K590" t="n">
        <v>0</v>
      </c>
      <c r="L590" t="n">
        <v>0</v>
      </c>
      <c r="M590" t="n">
        <v>0</v>
      </c>
      <c r="N590" t="n">
        <v>0</v>
      </c>
      <c r="O590" t="n">
        <v>0</v>
      </c>
      <c r="P590" t="n">
        <v>0</v>
      </c>
      <c r="Q590" t="n">
        <v>0</v>
      </c>
      <c r="R590" s="2" t="inlineStr"/>
    </row>
    <row r="591" ht="15" customHeight="1">
      <c r="A591" t="inlineStr">
        <is>
          <t>A 5146-2024</t>
        </is>
      </c>
      <c r="B591" s="1" t="n">
        <v>45330</v>
      </c>
      <c r="C591" s="1" t="n">
        <v>45938</v>
      </c>
      <c r="D591" t="inlineStr">
        <is>
          <t>KALMAR LÄN</t>
        </is>
      </c>
      <c r="E591" t="inlineStr">
        <is>
          <t>VIMMERBY</t>
        </is>
      </c>
      <c r="G591" t="n">
        <v>5.3</v>
      </c>
      <c r="H591" t="n">
        <v>0</v>
      </c>
      <c r="I591" t="n">
        <v>0</v>
      </c>
      <c r="J591" t="n">
        <v>0</v>
      </c>
      <c r="K591" t="n">
        <v>0</v>
      </c>
      <c r="L591" t="n">
        <v>0</v>
      </c>
      <c r="M591" t="n">
        <v>0</v>
      </c>
      <c r="N591" t="n">
        <v>0</v>
      </c>
      <c r="O591" t="n">
        <v>0</v>
      </c>
      <c r="P591" t="n">
        <v>0</v>
      </c>
      <c r="Q591" t="n">
        <v>0</v>
      </c>
      <c r="R591" s="2" t="inlineStr"/>
    </row>
    <row r="592" ht="15" customHeight="1">
      <c r="A592" t="inlineStr">
        <is>
          <t>A 5148-2024</t>
        </is>
      </c>
      <c r="B592" s="1" t="n">
        <v>45330</v>
      </c>
      <c r="C592" s="1" t="n">
        <v>45938</v>
      </c>
      <c r="D592" t="inlineStr">
        <is>
          <t>KALMAR LÄN</t>
        </is>
      </c>
      <c r="E592" t="inlineStr">
        <is>
          <t>VIMMERBY</t>
        </is>
      </c>
      <c r="G592" t="n">
        <v>5.6</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45938</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10807-2024</t>
        </is>
      </c>
      <c r="B594" s="1" t="n">
        <v>45369.62780092593</v>
      </c>
      <c r="C594" s="1" t="n">
        <v>45938</v>
      </c>
      <c r="D594" t="inlineStr">
        <is>
          <t>KALMAR LÄN</t>
        </is>
      </c>
      <c r="E594" t="inlineStr">
        <is>
          <t>VIMMERBY</t>
        </is>
      </c>
      <c r="G594" t="n">
        <v>0.7</v>
      </c>
      <c r="H594" t="n">
        <v>0</v>
      </c>
      <c r="I594" t="n">
        <v>0</v>
      </c>
      <c r="J594" t="n">
        <v>0</v>
      </c>
      <c r="K594" t="n">
        <v>0</v>
      </c>
      <c r="L594" t="n">
        <v>0</v>
      </c>
      <c r="M594" t="n">
        <v>0</v>
      </c>
      <c r="N594" t="n">
        <v>0</v>
      </c>
      <c r="O594" t="n">
        <v>0</v>
      </c>
      <c r="P594" t="n">
        <v>0</v>
      </c>
      <c r="Q594" t="n">
        <v>0</v>
      </c>
      <c r="R594" s="2" t="inlineStr"/>
    </row>
    <row r="595" ht="15" customHeight="1">
      <c r="A595" t="inlineStr">
        <is>
          <t>A 58278-2023</t>
        </is>
      </c>
      <c r="B595" s="1" t="n">
        <v>45250.5278587963</v>
      </c>
      <c r="C595" s="1" t="n">
        <v>45938</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33359-2021</t>
        </is>
      </c>
      <c r="B596" s="1" t="n">
        <v>44377.49684027778</v>
      </c>
      <c r="C596" s="1" t="n">
        <v>45938</v>
      </c>
      <c r="D596" t="inlineStr">
        <is>
          <t>KALMAR LÄN</t>
        </is>
      </c>
      <c r="E596" t="inlineStr">
        <is>
          <t>VIMMERBY</t>
        </is>
      </c>
      <c r="F596" t="inlineStr">
        <is>
          <t>Kommuner</t>
        </is>
      </c>
      <c r="G596" t="n">
        <v>8</v>
      </c>
      <c r="H596" t="n">
        <v>0</v>
      </c>
      <c r="I596" t="n">
        <v>0</v>
      </c>
      <c r="J596" t="n">
        <v>0</v>
      </c>
      <c r="K596" t="n">
        <v>0</v>
      </c>
      <c r="L596" t="n">
        <v>0</v>
      </c>
      <c r="M596" t="n">
        <v>0</v>
      </c>
      <c r="N596" t="n">
        <v>0</v>
      </c>
      <c r="O596" t="n">
        <v>0</v>
      </c>
      <c r="P596" t="n">
        <v>0</v>
      </c>
      <c r="Q596" t="n">
        <v>0</v>
      </c>
      <c r="R596" s="2" t="inlineStr"/>
    </row>
    <row r="597" ht="15" customHeight="1">
      <c r="A597" t="inlineStr">
        <is>
          <t>A 22399-2025</t>
        </is>
      </c>
      <c r="B597" s="1" t="n">
        <v>45786.52996527778</v>
      </c>
      <c r="C597" s="1" t="n">
        <v>45938</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22397-2025</t>
        </is>
      </c>
      <c r="B598" s="1" t="n">
        <v>45786.52878472222</v>
      </c>
      <c r="C598" s="1" t="n">
        <v>45938</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22266-2023</t>
        </is>
      </c>
      <c r="B599" s="1" t="n">
        <v>45070</v>
      </c>
      <c r="C599" s="1" t="n">
        <v>45938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52588-2023</t>
        </is>
      </c>
      <c r="B600" s="1" t="n">
        <v>45225.60192129629</v>
      </c>
      <c r="C600" s="1" t="n">
        <v>45938</v>
      </c>
      <c r="D600" t="inlineStr">
        <is>
          <t>KALMAR LÄN</t>
        </is>
      </c>
      <c r="E600" t="inlineStr">
        <is>
          <t>VIMMERBY</t>
        </is>
      </c>
      <c r="G600" t="n">
        <v>2.9</v>
      </c>
      <c r="H600" t="n">
        <v>0</v>
      </c>
      <c r="I600" t="n">
        <v>0</v>
      </c>
      <c r="J600" t="n">
        <v>0</v>
      </c>
      <c r="K600" t="n">
        <v>0</v>
      </c>
      <c r="L600" t="n">
        <v>0</v>
      </c>
      <c r="M600" t="n">
        <v>0</v>
      </c>
      <c r="N600" t="n">
        <v>0</v>
      </c>
      <c r="O600" t="n">
        <v>0</v>
      </c>
      <c r="P600" t="n">
        <v>0</v>
      </c>
      <c r="Q600" t="n">
        <v>0</v>
      </c>
      <c r="R600" s="2" t="inlineStr"/>
    </row>
    <row r="601" ht="15" customHeight="1">
      <c r="A601" t="inlineStr">
        <is>
          <t>A 25582-2024</t>
        </is>
      </c>
      <c r="B601" s="1" t="n">
        <v>45463</v>
      </c>
      <c r="C601" s="1" t="n">
        <v>45938</v>
      </c>
      <c r="D601" t="inlineStr">
        <is>
          <t>KALMAR LÄN</t>
        </is>
      </c>
      <c r="E601" t="inlineStr">
        <is>
          <t>VIMMERBY</t>
        </is>
      </c>
      <c r="G601" t="n">
        <v>1.4</v>
      </c>
      <c r="H601" t="n">
        <v>0</v>
      </c>
      <c r="I601" t="n">
        <v>0</v>
      </c>
      <c r="J601" t="n">
        <v>0</v>
      </c>
      <c r="K601" t="n">
        <v>0</v>
      </c>
      <c r="L601" t="n">
        <v>0</v>
      </c>
      <c r="M601" t="n">
        <v>0</v>
      </c>
      <c r="N601" t="n">
        <v>0</v>
      </c>
      <c r="O601" t="n">
        <v>0</v>
      </c>
      <c r="P601" t="n">
        <v>0</v>
      </c>
      <c r="Q601" t="n">
        <v>0</v>
      </c>
      <c r="R601" s="2" t="inlineStr"/>
    </row>
    <row r="602" ht="15" customHeight="1">
      <c r="A602" t="inlineStr">
        <is>
          <t>A 34588-2024</t>
        </is>
      </c>
      <c r="B602" s="1" t="n">
        <v>45526.3865625</v>
      </c>
      <c r="C602" s="1" t="n">
        <v>45938</v>
      </c>
      <c r="D602" t="inlineStr">
        <is>
          <t>KALMAR LÄN</t>
        </is>
      </c>
      <c r="E602" t="inlineStr">
        <is>
          <t>VIMMERBY</t>
        </is>
      </c>
      <c r="F602" t="inlineStr">
        <is>
          <t>Övriga Aktiebolag</t>
        </is>
      </c>
      <c r="G602" t="n">
        <v>3.3</v>
      </c>
      <c r="H602" t="n">
        <v>0</v>
      </c>
      <c r="I602" t="n">
        <v>0</v>
      </c>
      <c r="J602" t="n">
        <v>0</v>
      </c>
      <c r="K602" t="n">
        <v>0</v>
      </c>
      <c r="L602" t="n">
        <v>0</v>
      </c>
      <c r="M602" t="n">
        <v>0</v>
      </c>
      <c r="N602" t="n">
        <v>0</v>
      </c>
      <c r="O602" t="n">
        <v>0</v>
      </c>
      <c r="P602" t="n">
        <v>0</v>
      </c>
      <c r="Q602" t="n">
        <v>0</v>
      </c>
      <c r="R602" s="2" t="inlineStr"/>
    </row>
    <row r="603" ht="15" customHeight="1">
      <c r="A603" t="inlineStr">
        <is>
          <t>A 17084-2025</t>
        </is>
      </c>
      <c r="B603" s="1" t="n">
        <v>45755.64450231481</v>
      </c>
      <c r="C603" s="1" t="n">
        <v>45938</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6802-2025</t>
        </is>
      </c>
      <c r="B604" s="1" t="n">
        <v>45700.68289351852</v>
      </c>
      <c r="C604" s="1" t="n">
        <v>45938</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71793-2021</t>
        </is>
      </c>
      <c r="B605" s="1" t="n">
        <v>44539</v>
      </c>
      <c r="C605" s="1" t="n">
        <v>45938</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33161-2024</t>
        </is>
      </c>
      <c r="B606" s="1" t="n">
        <v>45518.40657407408</v>
      </c>
      <c r="C606" s="1" t="n">
        <v>45938</v>
      </c>
      <c r="D606" t="inlineStr">
        <is>
          <t>KALMAR LÄN</t>
        </is>
      </c>
      <c r="E606" t="inlineStr">
        <is>
          <t>VIMMERBY</t>
        </is>
      </c>
      <c r="G606" t="n">
        <v>4.7</v>
      </c>
      <c r="H606" t="n">
        <v>0</v>
      </c>
      <c r="I606" t="n">
        <v>0</v>
      </c>
      <c r="J606" t="n">
        <v>0</v>
      </c>
      <c r="K606" t="n">
        <v>0</v>
      </c>
      <c r="L606" t="n">
        <v>0</v>
      </c>
      <c r="M606" t="n">
        <v>0</v>
      </c>
      <c r="N606" t="n">
        <v>0</v>
      </c>
      <c r="O606" t="n">
        <v>0</v>
      </c>
      <c r="P606" t="n">
        <v>0</v>
      </c>
      <c r="Q606" t="n">
        <v>0</v>
      </c>
      <c r="R606" s="2" t="inlineStr"/>
    </row>
    <row r="607" ht="15" customHeight="1">
      <c r="A607" t="inlineStr">
        <is>
          <t>A 527-2024</t>
        </is>
      </c>
      <c r="B607" s="1" t="n">
        <v>45299.47513888889</v>
      </c>
      <c r="C607" s="1" t="n">
        <v>45938</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60230-2022</t>
        </is>
      </c>
      <c r="B608" s="1" t="n">
        <v>44910</v>
      </c>
      <c r="C608" s="1" t="n">
        <v>45938</v>
      </c>
      <c r="D608" t="inlineStr">
        <is>
          <t>KALMAR LÄN</t>
        </is>
      </c>
      <c r="E608" t="inlineStr">
        <is>
          <t>VIMMERBY</t>
        </is>
      </c>
      <c r="G608" t="n">
        <v>11.3</v>
      </c>
      <c r="H608" t="n">
        <v>0</v>
      </c>
      <c r="I608" t="n">
        <v>0</v>
      </c>
      <c r="J608" t="n">
        <v>0</v>
      </c>
      <c r="K608" t="n">
        <v>0</v>
      </c>
      <c r="L608" t="n">
        <v>0</v>
      </c>
      <c r="M608" t="n">
        <v>0</v>
      </c>
      <c r="N608" t="n">
        <v>0</v>
      </c>
      <c r="O608" t="n">
        <v>0</v>
      </c>
      <c r="P608" t="n">
        <v>0</v>
      </c>
      <c r="Q608" t="n">
        <v>0</v>
      </c>
      <c r="R608" s="2" t="inlineStr"/>
    </row>
    <row r="609" ht="15" customHeight="1">
      <c r="A609" t="inlineStr">
        <is>
          <t>A 57578-2024</t>
        </is>
      </c>
      <c r="B609" s="1" t="n">
        <v>45630.47564814815</v>
      </c>
      <c r="C609" s="1" t="n">
        <v>45938</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14359-2025</t>
        </is>
      </c>
      <c r="B610" s="1" t="n">
        <v>45741.37270833334</v>
      </c>
      <c r="C610" s="1" t="n">
        <v>45938</v>
      </c>
      <c r="D610" t="inlineStr">
        <is>
          <t>KALMAR LÄN</t>
        </is>
      </c>
      <c r="E610" t="inlineStr">
        <is>
          <t>VIMMERBY</t>
        </is>
      </c>
      <c r="G610" t="n">
        <v>2</v>
      </c>
      <c r="H610" t="n">
        <v>0</v>
      </c>
      <c r="I610" t="n">
        <v>0</v>
      </c>
      <c r="J610" t="n">
        <v>0</v>
      </c>
      <c r="K610" t="n">
        <v>0</v>
      </c>
      <c r="L610" t="n">
        <v>0</v>
      </c>
      <c r="M610" t="n">
        <v>0</v>
      </c>
      <c r="N610" t="n">
        <v>0</v>
      </c>
      <c r="O610" t="n">
        <v>0</v>
      </c>
      <c r="P610" t="n">
        <v>0</v>
      </c>
      <c r="Q610" t="n">
        <v>0</v>
      </c>
      <c r="R610" s="2" t="inlineStr"/>
    </row>
    <row r="611" ht="15" customHeight="1">
      <c r="A611" t="inlineStr">
        <is>
          <t>A 5925-2022</t>
        </is>
      </c>
      <c r="B611" s="1" t="n">
        <v>44598.7384837963</v>
      </c>
      <c r="C611" s="1" t="n">
        <v>45938</v>
      </c>
      <c r="D611" t="inlineStr">
        <is>
          <t>KALMAR LÄN</t>
        </is>
      </c>
      <c r="E611" t="inlineStr">
        <is>
          <t>VIMMERBY</t>
        </is>
      </c>
      <c r="G611" t="n">
        <v>2.1</v>
      </c>
      <c r="H611" t="n">
        <v>0</v>
      </c>
      <c r="I611" t="n">
        <v>0</v>
      </c>
      <c r="J611" t="n">
        <v>0</v>
      </c>
      <c r="K611" t="n">
        <v>0</v>
      </c>
      <c r="L611" t="n">
        <v>0</v>
      </c>
      <c r="M611" t="n">
        <v>0</v>
      </c>
      <c r="N611" t="n">
        <v>0</v>
      </c>
      <c r="O611" t="n">
        <v>0</v>
      </c>
      <c r="P611" t="n">
        <v>0</v>
      </c>
      <c r="Q611" t="n">
        <v>0</v>
      </c>
      <c r="R611" s="2" t="inlineStr"/>
    </row>
    <row r="612" ht="15" customHeight="1">
      <c r="A612" t="inlineStr">
        <is>
          <t>A 6307-2025</t>
        </is>
      </c>
      <c r="B612" s="1" t="n">
        <v>45698.69016203703</v>
      </c>
      <c r="C612" s="1" t="n">
        <v>45938</v>
      </c>
      <c r="D612" t="inlineStr">
        <is>
          <t>KALMAR LÄN</t>
        </is>
      </c>
      <c r="E612" t="inlineStr">
        <is>
          <t>VIMMERBY</t>
        </is>
      </c>
      <c r="G612" t="n">
        <v>3</v>
      </c>
      <c r="H612" t="n">
        <v>0</v>
      </c>
      <c r="I612" t="n">
        <v>0</v>
      </c>
      <c r="J612" t="n">
        <v>0</v>
      </c>
      <c r="K612" t="n">
        <v>0</v>
      </c>
      <c r="L612" t="n">
        <v>0</v>
      </c>
      <c r="M612" t="n">
        <v>0</v>
      </c>
      <c r="N612" t="n">
        <v>0</v>
      </c>
      <c r="O612" t="n">
        <v>0</v>
      </c>
      <c r="P612" t="n">
        <v>0</v>
      </c>
      <c r="Q612" t="n">
        <v>0</v>
      </c>
      <c r="R612" s="2" t="inlineStr"/>
    </row>
    <row r="613" ht="15" customHeight="1">
      <c r="A613" t="inlineStr">
        <is>
          <t>A 46522-2022</t>
        </is>
      </c>
      <c r="B613" s="1" t="n">
        <v>44848.59133101852</v>
      </c>
      <c r="C613" s="1" t="n">
        <v>45938</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7075-2021</t>
        </is>
      </c>
      <c r="B614" s="1" t="n">
        <v>44237</v>
      </c>
      <c r="C614" s="1" t="n">
        <v>45938</v>
      </c>
      <c r="D614" t="inlineStr">
        <is>
          <t>KALMAR LÄN</t>
        </is>
      </c>
      <c r="E614" t="inlineStr">
        <is>
          <t>VIMMERBY</t>
        </is>
      </c>
      <c r="G614" t="n">
        <v>3.6</v>
      </c>
      <c r="H614" t="n">
        <v>0</v>
      </c>
      <c r="I614" t="n">
        <v>0</v>
      </c>
      <c r="J614" t="n">
        <v>0</v>
      </c>
      <c r="K614" t="n">
        <v>0</v>
      </c>
      <c r="L614" t="n">
        <v>0</v>
      </c>
      <c r="M614" t="n">
        <v>0</v>
      </c>
      <c r="N614" t="n">
        <v>0</v>
      </c>
      <c r="O614" t="n">
        <v>0</v>
      </c>
      <c r="P614" t="n">
        <v>0</v>
      </c>
      <c r="Q614" t="n">
        <v>0</v>
      </c>
      <c r="R614" s="2" t="inlineStr"/>
    </row>
    <row r="615" ht="15" customHeight="1">
      <c r="A615" t="inlineStr">
        <is>
          <t>A 11442-2025</t>
        </is>
      </c>
      <c r="B615" s="1" t="n">
        <v>45726.62721064815</v>
      </c>
      <c r="C615" s="1" t="n">
        <v>45938</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55605-2024</t>
        </is>
      </c>
      <c r="B616" s="1" t="n">
        <v>45622</v>
      </c>
      <c r="C616" s="1" t="n">
        <v>45938</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44464-2024</t>
        </is>
      </c>
      <c r="B617" s="1" t="n">
        <v>45574.35809027778</v>
      </c>
      <c r="C617" s="1" t="n">
        <v>45938</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36049-2024</t>
        </is>
      </c>
      <c r="B618" s="1" t="n">
        <v>45533.61996527778</v>
      </c>
      <c r="C618" s="1" t="n">
        <v>45938</v>
      </c>
      <c r="D618" t="inlineStr">
        <is>
          <t>KALMAR LÄN</t>
        </is>
      </c>
      <c r="E618" t="inlineStr">
        <is>
          <t>VIMMERBY</t>
        </is>
      </c>
      <c r="F618" t="inlineStr">
        <is>
          <t>Kommuner</t>
        </is>
      </c>
      <c r="G618" t="n">
        <v>2.6</v>
      </c>
      <c r="H618" t="n">
        <v>0</v>
      </c>
      <c r="I618" t="n">
        <v>0</v>
      </c>
      <c r="J618" t="n">
        <v>0</v>
      </c>
      <c r="K618" t="n">
        <v>0</v>
      </c>
      <c r="L618" t="n">
        <v>0</v>
      </c>
      <c r="M618" t="n">
        <v>0</v>
      </c>
      <c r="N618" t="n">
        <v>0</v>
      </c>
      <c r="O618" t="n">
        <v>0</v>
      </c>
      <c r="P618" t="n">
        <v>0</v>
      </c>
      <c r="Q618" t="n">
        <v>0</v>
      </c>
      <c r="R618" s="2" t="inlineStr"/>
    </row>
    <row r="619" ht="15" customHeight="1">
      <c r="A619" t="inlineStr">
        <is>
          <t>A 41066-2024</t>
        </is>
      </c>
      <c r="B619" s="1" t="n">
        <v>45559.38876157408</v>
      </c>
      <c r="C619" s="1" t="n">
        <v>45938</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4297-2022</t>
        </is>
      </c>
      <c r="B620" s="1" t="n">
        <v>44588</v>
      </c>
      <c r="C620" s="1" t="n">
        <v>45938</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52279-2023</t>
        </is>
      </c>
      <c r="B621" s="1" t="n">
        <v>45224</v>
      </c>
      <c r="C621" s="1" t="n">
        <v>45938</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46399-2024</t>
        </is>
      </c>
      <c r="B622" s="1" t="n">
        <v>45582.41200231481</v>
      </c>
      <c r="C622" s="1" t="n">
        <v>45938</v>
      </c>
      <c r="D622" t="inlineStr">
        <is>
          <t>KALMAR LÄN</t>
        </is>
      </c>
      <c r="E622" t="inlineStr">
        <is>
          <t>VIMMERBY</t>
        </is>
      </c>
      <c r="G622" t="n">
        <v>4.6</v>
      </c>
      <c r="H622" t="n">
        <v>0</v>
      </c>
      <c r="I622" t="n">
        <v>0</v>
      </c>
      <c r="J622" t="n">
        <v>0</v>
      </c>
      <c r="K622" t="n">
        <v>0</v>
      </c>
      <c r="L622" t="n">
        <v>0</v>
      </c>
      <c r="M622" t="n">
        <v>0</v>
      </c>
      <c r="N622" t="n">
        <v>0</v>
      </c>
      <c r="O622" t="n">
        <v>0</v>
      </c>
      <c r="P622" t="n">
        <v>0</v>
      </c>
      <c r="Q622" t="n">
        <v>0</v>
      </c>
      <c r="R622" s="2" t="inlineStr"/>
    </row>
    <row r="623" ht="15" customHeight="1">
      <c r="A623" t="inlineStr">
        <is>
          <t>A 17486-2024</t>
        </is>
      </c>
      <c r="B623" s="1" t="n">
        <v>45415.48979166667</v>
      </c>
      <c r="C623" s="1" t="n">
        <v>45938</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71631-2021</t>
        </is>
      </c>
      <c r="B624" s="1" t="n">
        <v>44542.90072916666</v>
      </c>
      <c r="C624" s="1" t="n">
        <v>45938</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13532-2025</t>
        </is>
      </c>
      <c r="B625" s="1" t="n">
        <v>45736.50743055555</v>
      </c>
      <c r="C625" s="1" t="n">
        <v>45938</v>
      </c>
      <c r="D625" t="inlineStr">
        <is>
          <t>KALMAR LÄN</t>
        </is>
      </c>
      <c r="E625" t="inlineStr">
        <is>
          <t>VIMMERBY</t>
        </is>
      </c>
      <c r="G625" t="n">
        <v>3.6</v>
      </c>
      <c r="H625" t="n">
        <v>0</v>
      </c>
      <c r="I625" t="n">
        <v>0</v>
      </c>
      <c r="J625" t="n">
        <v>0</v>
      </c>
      <c r="K625" t="n">
        <v>0</v>
      </c>
      <c r="L625" t="n">
        <v>0</v>
      </c>
      <c r="M625" t="n">
        <v>0</v>
      </c>
      <c r="N625" t="n">
        <v>0</v>
      </c>
      <c r="O625" t="n">
        <v>0</v>
      </c>
      <c r="P625" t="n">
        <v>0</v>
      </c>
      <c r="Q625" t="n">
        <v>0</v>
      </c>
      <c r="R625" s="2" t="inlineStr"/>
    </row>
    <row r="626" ht="15" customHeight="1">
      <c r="A626" t="inlineStr">
        <is>
          <t>A 43038-2022</t>
        </is>
      </c>
      <c r="B626" s="1" t="n">
        <v>44833.60123842592</v>
      </c>
      <c r="C626" s="1" t="n">
        <v>45938</v>
      </c>
      <c r="D626" t="inlineStr">
        <is>
          <t>KALMAR LÄN</t>
        </is>
      </c>
      <c r="E626" t="inlineStr">
        <is>
          <t>VIMMERBY</t>
        </is>
      </c>
      <c r="G626" t="n">
        <v>4.2</v>
      </c>
      <c r="H626" t="n">
        <v>0</v>
      </c>
      <c r="I626" t="n">
        <v>0</v>
      </c>
      <c r="J626" t="n">
        <v>0</v>
      </c>
      <c r="K626" t="n">
        <v>0</v>
      </c>
      <c r="L626" t="n">
        <v>0</v>
      </c>
      <c r="M626" t="n">
        <v>0</v>
      </c>
      <c r="N626" t="n">
        <v>0</v>
      </c>
      <c r="O626" t="n">
        <v>0</v>
      </c>
      <c r="P626" t="n">
        <v>0</v>
      </c>
      <c r="Q626" t="n">
        <v>0</v>
      </c>
      <c r="R626" s="2" t="inlineStr"/>
    </row>
    <row r="627" ht="15" customHeight="1">
      <c r="A627" t="inlineStr">
        <is>
          <t>A 12596-2021</t>
        </is>
      </c>
      <c r="B627" s="1" t="n">
        <v>44270.39765046296</v>
      </c>
      <c r="C627" s="1" t="n">
        <v>45938</v>
      </c>
      <c r="D627" t="inlineStr">
        <is>
          <t>KALMAR LÄN</t>
        </is>
      </c>
      <c r="E627" t="inlineStr">
        <is>
          <t>VIMMERBY</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57799-2022</t>
        </is>
      </c>
      <c r="B628" s="1" t="n">
        <v>44897</v>
      </c>
      <c r="C628" s="1" t="n">
        <v>45938</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30921-2024</t>
        </is>
      </c>
      <c r="B629" s="1" t="n">
        <v>45498</v>
      </c>
      <c r="C629" s="1" t="n">
        <v>45938</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23394-2025</t>
        </is>
      </c>
      <c r="B630" s="1" t="n">
        <v>45791.89865740741</v>
      </c>
      <c r="C630" s="1" t="n">
        <v>45938</v>
      </c>
      <c r="D630" t="inlineStr">
        <is>
          <t>KALMAR LÄN</t>
        </is>
      </c>
      <c r="E630" t="inlineStr">
        <is>
          <t>VIMMERBY</t>
        </is>
      </c>
      <c r="G630" t="n">
        <v>3.1</v>
      </c>
      <c r="H630" t="n">
        <v>0</v>
      </c>
      <c r="I630" t="n">
        <v>0</v>
      </c>
      <c r="J630" t="n">
        <v>0</v>
      </c>
      <c r="K630" t="n">
        <v>0</v>
      </c>
      <c r="L630" t="n">
        <v>0</v>
      </c>
      <c r="M630" t="n">
        <v>0</v>
      </c>
      <c r="N630" t="n">
        <v>0</v>
      </c>
      <c r="O630" t="n">
        <v>0</v>
      </c>
      <c r="P630" t="n">
        <v>0</v>
      </c>
      <c r="Q630" t="n">
        <v>0</v>
      </c>
      <c r="R630" s="2" t="inlineStr"/>
    </row>
    <row r="631" ht="15" customHeight="1">
      <c r="A631" t="inlineStr">
        <is>
          <t>A 14137-2023</t>
        </is>
      </c>
      <c r="B631" s="1" t="n">
        <v>45009.4671875</v>
      </c>
      <c r="C631" s="1" t="n">
        <v>45938</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11152-2023</t>
        </is>
      </c>
      <c r="B632" s="1" t="n">
        <v>44992</v>
      </c>
      <c r="C632" s="1" t="n">
        <v>45938</v>
      </c>
      <c r="D632" t="inlineStr">
        <is>
          <t>KALMAR LÄN</t>
        </is>
      </c>
      <c r="E632" t="inlineStr">
        <is>
          <t>VIMMERBY</t>
        </is>
      </c>
      <c r="G632" t="n">
        <v>10.6</v>
      </c>
      <c r="H632" t="n">
        <v>0</v>
      </c>
      <c r="I632" t="n">
        <v>0</v>
      </c>
      <c r="J632" t="n">
        <v>0</v>
      </c>
      <c r="K632" t="n">
        <v>0</v>
      </c>
      <c r="L632" t="n">
        <v>0</v>
      </c>
      <c r="M632" t="n">
        <v>0</v>
      </c>
      <c r="N632" t="n">
        <v>0</v>
      </c>
      <c r="O632" t="n">
        <v>0</v>
      </c>
      <c r="P632" t="n">
        <v>0</v>
      </c>
      <c r="Q632" t="n">
        <v>0</v>
      </c>
      <c r="R632" s="2" t="inlineStr"/>
    </row>
    <row r="633" ht="15" customHeight="1">
      <c r="A633" t="inlineStr">
        <is>
          <t>A 12499-2023</t>
        </is>
      </c>
      <c r="B633" s="1" t="n">
        <v>44999.86172453704</v>
      </c>
      <c r="C633" s="1" t="n">
        <v>45938</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12500-2023</t>
        </is>
      </c>
      <c r="B634" s="1" t="n">
        <v>44999.8625</v>
      </c>
      <c r="C634" s="1" t="n">
        <v>45938</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35846-2023</t>
        </is>
      </c>
      <c r="B635" s="1" t="n">
        <v>45148</v>
      </c>
      <c r="C635" s="1" t="n">
        <v>45938</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49039-2021</t>
        </is>
      </c>
      <c r="B636" s="1" t="n">
        <v>44453.56578703703</v>
      </c>
      <c r="C636" s="1" t="n">
        <v>45938</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46224-2024</t>
        </is>
      </c>
      <c r="B637" s="1" t="n">
        <v>45581.57016203704</v>
      </c>
      <c r="C637" s="1" t="n">
        <v>45938</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46238-2024</t>
        </is>
      </c>
      <c r="B638" s="1" t="n">
        <v>45581.58418981481</v>
      </c>
      <c r="C638" s="1" t="n">
        <v>45938</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30633-2024</t>
        </is>
      </c>
      <c r="B639" s="1" t="n">
        <v>45495</v>
      </c>
      <c r="C639" s="1" t="n">
        <v>45938</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54838-2024</t>
        </is>
      </c>
      <c r="B640" s="1" t="n">
        <v>45618.56787037037</v>
      </c>
      <c r="C640" s="1" t="n">
        <v>45938</v>
      </c>
      <c r="D640" t="inlineStr">
        <is>
          <t>KALMAR LÄN</t>
        </is>
      </c>
      <c r="E640" t="inlineStr">
        <is>
          <t>VIMMERBY</t>
        </is>
      </c>
      <c r="G640" t="n">
        <v>3.3</v>
      </c>
      <c r="H640" t="n">
        <v>0</v>
      </c>
      <c r="I640" t="n">
        <v>0</v>
      </c>
      <c r="J640" t="n">
        <v>0</v>
      </c>
      <c r="K640" t="n">
        <v>0</v>
      </c>
      <c r="L640" t="n">
        <v>0</v>
      </c>
      <c r="M640" t="n">
        <v>0</v>
      </c>
      <c r="N640" t="n">
        <v>0</v>
      </c>
      <c r="O640" t="n">
        <v>0</v>
      </c>
      <c r="P640" t="n">
        <v>0</v>
      </c>
      <c r="Q640" t="n">
        <v>0</v>
      </c>
      <c r="R640" s="2" t="inlineStr"/>
    </row>
    <row r="641" ht="15" customHeight="1">
      <c r="A641" t="inlineStr">
        <is>
          <t>A 6405-2025</t>
        </is>
      </c>
      <c r="B641" s="1" t="n">
        <v>45699.45392361111</v>
      </c>
      <c r="C641" s="1" t="n">
        <v>45938</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54917-2020</t>
        </is>
      </c>
      <c r="B642" s="1" t="n">
        <v>44127</v>
      </c>
      <c r="C642" s="1" t="n">
        <v>45938</v>
      </c>
      <c r="D642" t="inlineStr">
        <is>
          <t>KALMAR LÄN</t>
        </is>
      </c>
      <c r="E642" t="inlineStr">
        <is>
          <t>VIMMERBY</t>
        </is>
      </c>
      <c r="G642" t="n">
        <v>9.5</v>
      </c>
      <c r="H642" t="n">
        <v>0</v>
      </c>
      <c r="I642" t="n">
        <v>0</v>
      </c>
      <c r="J642" t="n">
        <v>0</v>
      </c>
      <c r="K642" t="n">
        <v>0</v>
      </c>
      <c r="L642" t="n">
        <v>0</v>
      </c>
      <c r="M642" t="n">
        <v>0</v>
      </c>
      <c r="N642" t="n">
        <v>0</v>
      </c>
      <c r="O642" t="n">
        <v>0</v>
      </c>
      <c r="P642" t="n">
        <v>0</v>
      </c>
      <c r="Q642" t="n">
        <v>0</v>
      </c>
      <c r="R642" s="2" t="inlineStr"/>
    </row>
    <row r="643" ht="15" customHeight="1">
      <c r="A643" t="inlineStr">
        <is>
          <t>A 60437-2023</t>
        </is>
      </c>
      <c r="B643" s="1" t="n">
        <v>45259.51916666667</v>
      </c>
      <c r="C643" s="1" t="n">
        <v>45938</v>
      </c>
      <c r="D643" t="inlineStr">
        <is>
          <t>KALMAR LÄN</t>
        </is>
      </c>
      <c r="E643" t="inlineStr">
        <is>
          <t>VIMMERBY</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60438-2023</t>
        </is>
      </c>
      <c r="B644" s="1" t="n">
        <v>45259.52020833334</v>
      </c>
      <c r="C644" s="1" t="n">
        <v>45938</v>
      </c>
      <c r="D644" t="inlineStr">
        <is>
          <t>KALMAR LÄN</t>
        </is>
      </c>
      <c r="E644" t="inlineStr">
        <is>
          <t>VIMMERBY</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23984-2025</t>
        </is>
      </c>
      <c r="B645" s="1" t="n">
        <v>45796</v>
      </c>
      <c r="C645" s="1" t="n">
        <v>45938</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42165-2024</t>
        </is>
      </c>
      <c r="B646" s="1" t="n">
        <v>45562.46342592593</v>
      </c>
      <c r="C646" s="1" t="n">
        <v>45938</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25244-2023</t>
        </is>
      </c>
      <c r="B647" s="1" t="n">
        <v>45086</v>
      </c>
      <c r="C647" s="1" t="n">
        <v>45938</v>
      </c>
      <c r="D647" t="inlineStr">
        <is>
          <t>KALMAR LÄN</t>
        </is>
      </c>
      <c r="E647" t="inlineStr">
        <is>
          <t>VIMMERBY</t>
        </is>
      </c>
      <c r="G647" t="n">
        <v>4.7</v>
      </c>
      <c r="H647" t="n">
        <v>0</v>
      </c>
      <c r="I647" t="n">
        <v>0</v>
      </c>
      <c r="J647" t="n">
        <v>0</v>
      </c>
      <c r="K647" t="n">
        <v>0</v>
      </c>
      <c r="L647" t="n">
        <v>0</v>
      </c>
      <c r="M647" t="n">
        <v>0</v>
      </c>
      <c r="N647" t="n">
        <v>0</v>
      </c>
      <c r="O647" t="n">
        <v>0</v>
      </c>
      <c r="P647" t="n">
        <v>0</v>
      </c>
      <c r="Q647" t="n">
        <v>0</v>
      </c>
      <c r="R647" s="2" t="inlineStr"/>
    </row>
    <row r="648" ht="15" customHeight="1">
      <c r="A648" t="inlineStr">
        <is>
          <t>A 66022-2021</t>
        </is>
      </c>
      <c r="B648" s="1" t="n">
        <v>44517</v>
      </c>
      <c r="C648" s="1" t="n">
        <v>45938</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35895-2024</t>
        </is>
      </c>
      <c r="B649" s="1" t="n">
        <v>45533.38870370371</v>
      </c>
      <c r="C649" s="1" t="n">
        <v>45938</v>
      </c>
      <c r="D649" t="inlineStr">
        <is>
          <t>KALMAR LÄN</t>
        </is>
      </c>
      <c r="E649" t="inlineStr">
        <is>
          <t>VIMMERBY</t>
        </is>
      </c>
      <c r="G649" t="n">
        <v>1.4</v>
      </c>
      <c r="H649" t="n">
        <v>0</v>
      </c>
      <c r="I649" t="n">
        <v>0</v>
      </c>
      <c r="J649" t="n">
        <v>0</v>
      </c>
      <c r="K649" t="n">
        <v>0</v>
      </c>
      <c r="L649" t="n">
        <v>0</v>
      </c>
      <c r="M649" t="n">
        <v>0</v>
      </c>
      <c r="N649" t="n">
        <v>0</v>
      </c>
      <c r="O649" t="n">
        <v>0</v>
      </c>
      <c r="P649" t="n">
        <v>0</v>
      </c>
      <c r="Q649" t="n">
        <v>0</v>
      </c>
      <c r="R649" s="2" t="inlineStr"/>
    </row>
    <row r="650" ht="15" customHeight="1">
      <c r="A650" t="inlineStr">
        <is>
          <t>A 11073-2023</t>
        </is>
      </c>
      <c r="B650" s="1" t="n">
        <v>44992</v>
      </c>
      <c r="C650" s="1" t="n">
        <v>45938</v>
      </c>
      <c r="D650" t="inlineStr">
        <is>
          <t>KALMAR LÄN</t>
        </is>
      </c>
      <c r="E650" t="inlineStr">
        <is>
          <t>VIMMERBY</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35082-2024</t>
        </is>
      </c>
      <c r="B651" s="1" t="n">
        <v>45527.68784722222</v>
      </c>
      <c r="C651" s="1" t="n">
        <v>45938</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17-2025</t>
        </is>
      </c>
      <c r="B652" s="1" t="n">
        <v>45658.78774305555</v>
      </c>
      <c r="C652" s="1" t="n">
        <v>45938</v>
      </c>
      <c r="D652" t="inlineStr">
        <is>
          <t>KALMAR LÄN</t>
        </is>
      </c>
      <c r="E652" t="inlineStr">
        <is>
          <t>VIMMERBY</t>
        </is>
      </c>
      <c r="G652" t="n">
        <v>4.4</v>
      </c>
      <c r="H652" t="n">
        <v>0</v>
      </c>
      <c r="I652" t="n">
        <v>0</v>
      </c>
      <c r="J652" t="n">
        <v>0</v>
      </c>
      <c r="K652" t="n">
        <v>0</v>
      </c>
      <c r="L652" t="n">
        <v>0</v>
      </c>
      <c r="M652" t="n">
        <v>0</v>
      </c>
      <c r="N652" t="n">
        <v>0</v>
      </c>
      <c r="O652" t="n">
        <v>0</v>
      </c>
      <c r="P652" t="n">
        <v>0</v>
      </c>
      <c r="Q652" t="n">
        <v>0</v>
      </c>
      <c r="R652" s="2" t="inlineStr"/>
    </row>
    <row r="653" ht="15" customHeight="1">
      <c r="A653" t="inlineStr">
        <is>
          <t>A 32655-2023</t>
        </is>
      </c>
      <c r="B653" s="1" t="n">
        <v>45121.61318287037</v>
      </c>
      <c r="C653" s="1" t="n">
        <v>45938</v>
      </c>
      <c r="D653" t="inlineStr">
        <is>
          <t>KALMAR LÄN</t>
        </is>
      </c>
      <c r="E653" t="inlineStr">
        <is>
          <t>VIMMERBY</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63541-2023</t>
        </is>
      </c>
      <c r="B654" s="1" t="n">
        <v>45275.32266203704</v>
      </c>
      <c r="C654" s="1" t="n">
        <v>45938</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51278-2024</t>
        </is>
      </c>
      <c r="B655" s="1" t="n">
        <v>45603.74959490741</v>
      </c>
      <c r="C655" s="1" t="n">
        <v>45938</v>
      </c>
      <c r="D655" t="inlineStr">
        <is>
          <t>KALMAR LÄN</t>
        </is>
      </c>
      <c r="E655" t="inlineStr">
        <is>
          <t>VIMMERBY</t>
        </is>
      </c>
      <c r="G655" t="n">
        <v>3.4</v>
      </c>
      <c r="H655" t="n">
        <v>0</v>
      </c>
      <c r="I655" t="n">
        <v>0</v>
      </c>
      <c r="J655" t="n">
        <v>0</v>
      </c>
      <c r="K655" t="n">
        <v>0</v>
      </c>
      <c r="L655" t="n">
        <v>0</v>
      </c>
      <c r="M655" t="n">
        <v>0</v>
      </c>
      <c r="N655" t="n">
        <v>0</v>
      </c>
      <c r="O655" t="n">
        <v>0</v>
      </c>
      <c r="P655" t="n">
        <v>0</v>
      </c>
      <c r="Q655" t="n">
        <v>0</v>
      </c>
      <c r="R655" s="2" t="inlineStr"/>
    </row>
    <row r="656" ht="15" customHeight="1">
      <c r="A656" t="inlineStr">
        <is>
          <t>A 9456-2025</t>
        </is>
      </c>
      <c r="B656" s="1" t="n">
        <v>45715.44159722222</v>
      </c>
      <c r="C656" s="1" t="n">
        <v>45938</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11111-2023</t>
        </is>
      </c>
      <c r="B657" s="1" t="n">
        <v>44992.4255787037</v>
      </c>
      <c r="C657" s="1" t="n">
        <v>45938</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28034-2022</t>
        </is>
      </c>
      <c r="B658" s="1" t="n">
        <v>44746.38834490741</v>
      </c>
      <c r="C658" s="1" t="n">
        <v>45938</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5938-2022</t>
        </is>
      </c>
      <c r="B659" s="1" t="n">
        <v>44598</v>
      </c>
      <c r="C659" s="1" t="n">
        <v>45938</v>
      </c>
      <c r="D659" t="inlineStr">
        <is>
          <t>KALMAR LÄN</t>
        </is>
      </c>
      <c r="E659" t="inlineStr">
        <is>
          <t>VIMMERBY</t>
        </is>
      </c>
      <c r="G659" t="n">
        <v>2.4</v>
      </c>
      <c r="H659" t="n">
        <v>0</v>
      </c>
      <c r="I659" t="n">
        <v>0</v>
      </c>
      <c r="J659" t="n">
        <v>0</v>
      </c>
      <c r="K659" t="n">
        <v>0</v>
      </c>
      <c r="L659" t="n">
        <v>0</v>
      </c>
      <c r="M659" t="n">
        <v>0</v>
      </c>
      <c r="N659" t="n">
        <v>0</v>
      </c>
      <c r="O659" t="n">
        <v>0</v>
      </c>
      <c r="P659" t="n">
        <v>0</v>
      </c>
      <c r="Q659" t="n">
        <v>0</v>
      </c>
      <c r="R659" s="2" t="inlineStr"/>
    </row>
    <row r="660" ht="15" customHeight="1">
      <c r="A660" t="inlineStr">
        <is>
          <t>A 44582-2024</t>
        </is>
      </c>
      <c r="B660" s="1" t="n">
        <v>45574.49298611111</v>
      </c>
      <c r="C660" s="1" t="n">
        <v>45938</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24283-2023</t>
        </is>
      </c>
      <c r="B661" s="1" t="n">
        <v>45079.87827546296</v>
      </c>
      <c r="C661" s="1" t="n">
        <v>45938</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15494-2024</t>
        </is>
      </c>
      <c r="B662" s="1" t="n">
        <v>45401.53033564815</v>
      </c>
      <c r="C662" s="1" t="n">
        <v>45938</v>
      </c>
      <c r="D662" t="inlineStr">
        <is>
          <t>KALMAR LÄN</t>
        </is>
      </c>
      <c r="E662" t="inlineStr">
        <is>
          <t>VIMMERBY</t>
        </is>
      </c>
      <c r="G662" t="n">
        <v>3.2</v>
      </c>
      <c r="H662" t="n">
        <v>0</v>
      </c>
      <c r="I662" t="n">
        <v>0</v>
      </c>
      <c r="J662" t="n">
        <v>0</v>
      </c>
      <c r="K662" t="n">
        <v>0</v>
      </c>
      <c r="L662" t="n">
        <v>0</v>
      </c>
      <c r="M662" t="n">
        <v>0</v>
      </c>
      <c r="N662" t="n">
        <v>0</v>
      </c>
      <c r="O662" t="n">
        <v>0</v>
      </c>
      <c r="P662" t="n">
        <v>0</v>
      </c>
      <c r="Q662" t="n">
        <v>0</v>
      </c>
      <c r="R662" s="2" t="inlineStr"/>
    </row>
    <row r="663" ht="15" customHeight="1">
      <c r="A663" t="inlineStr">
        <is>
          <t>A 2462-2022</t>
        </is>
      </c>
      <c r="B663" s="1" t="n">
        <v>44579.62225694444</v>
      </c>
      <c r="C663" s="1" t="n">
        <v>45938</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60228-2021</t>
        </is>
      </c>
      <c r="B664" s="1" t="n">
        <v>44495</v>
      </c>
      <c r="C664" s="1" t="n">
        <v>45938</v>
      </c>
      <c r="D664" t="inlineStr">
        <is>
          <t>KALMAR LÄN</t>
        </is>
      </c>
      <c r="E664" t="inlineStr">
        <is>
          <t>VIMMERBY</t>
        </is>
      </c>
      <c r="G664" t="n">
        <v>4.1</v>
      </c>
      <c r="H664" t="n">
        <v>0</v>
      </c>
      <c r="I664" t="n">
        <v>0</v>
      </c>
      <c r="J664" t="n">
        <v>0</v>
      </c>
      <c r="K664" t="n">
        <v>0</v>
      </c>
      <c r="L664" t="n">
        <v>0</v>
      </c>
      <c r="M664" t="n">
        <v>0</v>
      </c>
      <c r="N664" t="n">
        <v>0</v>
      </c>
      <c r="O664" t="n">
        <v>0</v>
      </c>
      <c r="P664" t="n">
        <v>0</v>
      </c>
      <c r="Q664" t="n">
        <v>0</v>
      </c>
      <c r="R664" s="2" t="inlineStr"/>
    </row>
    <row r="665" ht="15" customHeight="1">
      <c r="A665" t="inlineStr">
        <is>
          <t>A 25979-2023</t>
        </is>
      </c>
      <c r="B665" s="1" t="n">
        <v>45090.89653935185</v>
      </c>
      <c r="C665" s="1" t="n">
        <v>45938</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25980-2023</t>
        </is>
      </c>
      <c r="B666" s="1" t="n">
        <v>45090.89880787037</v>
      </c>
      <c r="C666" s="1" t="n">
        <v>45938</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12510-2022</t>
        </is>
      </c>
      <c r="B667" s="1" t="n">
        <v>44638.55256944444</v>
      </c>
      <c r="C667" s="1" t="n">
        <v>45938</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6358-2022</t>
        </is>
      </c>
      <c r="B668" s="1" t="n">
        <v>44600</v>
      </c>
      <c r="C668" s="1" t="n">
        <v>45938</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58724-2024</t>
        </is>
      </c>
      <c r="B669" s="1" t="n">
        <v>45635.66409722222</v>
      </c>
      <c r="C669" s="1" t="n">
        <v>45938</v>
      </c>
      <c r="D669" t="inlineStr">
        <is>
          <t>KALMAR LÄN</t>
        </is>
      </c>
      <c r="E669" t="inlineStr">
        <is>
          <t>VIMMERBY</t>
        </is>
      </c>
      <c r="G669" t="n">
        <v>1</v>
      </c>
      <c r="H669" t="n">
        <v>0</v>
      </c>
      <c r="I669" t="n">
        <v>0</v>
      </c>
      <c r="J669" t="n">
        <v>0</v>
      </c>
      <c r="K669" t="n">
        <v>0</v>
      </c>
      <c r="L669" t="n">
        <v>0</v>
      </c>
      <c r="M669" t="n">
        <v>0</v>
      </c>
      <c r="N669" t="n">
        <v>0</v>
      </c>
      <c r="O669" t="n">
        <v>0</v>
      </c>
      <c r="P669" t="n">
        <v>0</v>
      </c>
      <c r="Q669" t="n">
        <v>0</v>
      </c>
      <c r="R669" s="2" t="inlineStr"/>
    </row>
    <row r="670" ht="15" customHeight="1">
      <c r="A670" t="inlineStr">
        <is>
          <t>A 25792-2025</t>
        </is>
      </c>
      <c r="B670" s="1" t="n">
        <v>45804.39141203704</v>
      </c>
      <c r="C670" s="1" t="n">
        <v>45938</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26039-2025</t>
        </is>
      </c>
      <c r="B671" s="1" t="n">
        <v>45804.6953587963</v>
      </c>
      <c r="C671" s="1" t="n">
        <v>45938</v>
      </c>
      <c r="D671" t="inlineStr">
        <is>
          <t>KALMAR LÄN</t>
        </is>
      </c>
      <c r="E671" t="inlineStr">
        <is>
          <t>VIMMERBY</t>
        </is>
      </c>
      <c r="F671" t="inlineStr">
        <is>
          <t>Sveaskog</t>
        </is>
      </c>
      <c r="G671" t="n">
        <v>5.2</v>
      </c>
      <c r="H671" t="n">
        <v>0</v>
      </c>
      <c r="I671" t="n">
        <v>0</v>
      </c>
      <c r="J671" t="n">
        <v>0</v>
      </c>
      <c r="K671" t="n">
        <v>0</v>
      </c>
      <c r="L671" t="n">
        <v>0</v>
      </c>
      <c r="M671" t="n">
        <v>0</v>
      </c>
      <c r="N671" t="n">
        <v>0</v>
      </c>
      <c r="O671" t="n">
        <v>0</v>
      </c>
      <c r="P671" t="n">
        <v>0</v>
      </c>
      <c r="Q671" t="n">
        <v>0</v>
      </c>
      <c r="R671" s="2" t="inlineStr"/>
    </row>
    <row r="672" ht="15" customHeight="1">
      <c r="A672" t="inlineStr">
        <is>
          <t>A 26046-2025</t>
        </is>
      </c>
      <c r="B672" s="1" t="n">
        <v>45804.708125</v>
      </c>
      <c r="C672" s="1" t="n">
        <v>45938</v>
      </c>
      <c r="D672" t="inlineStr">
        <is>
          <t>KALMAR LÄN</t>
        </is>
      </c>
      <c r="E672" t="inlineStr">
        <is>
          <t>VIMMERBY</t>
        </is>
      </c>
      <c r="F672" t="inlineStr">
        <is>
          <t>Sveaskog</t>
        </is>
      </c>
      <c r="G672" t="n">
        <v>5.1</v>
      </c>
      <c r="H672" t="n">
        <v>0</v>
      </c>
      <c r="I672" t="n">
        <v>0</v>
      </c>
      <c r="J672" t="n">
        <v>0</v>
      </c>
      <c r="K672" t="n">
        <v>0</v>
      </c>
      <c r="L672" t="n">
        <v>0</v>
      </c>
      <c r="M672" t="n">
        <v>0</v>
      </c>
      <c r="N672" t="n">
        <v>0</v>
      </c>
      <c r="O672" t="n">
        <v>0</v>
      </c>
      <c r="P672" t="n">
        <v>0</v>
      </c>
      <c r="Q672" t="n">
        <v>0</v>
      </c>
      <c r="R672" s="2" t="inlineStr"/>
    </row>
    <row r="673" ht="15" customHeight="1">
      <c r="A673" t="inlineStr">
        <is>
          <t>A 48373-2021</t>
        </is>
      </c>
      <c r="B673" s="1" t="n">
        <v>44451</v>
      </c>
      <c r="C673" s="1" t="n">
        <v>45938</v>
      </c>
      <c r="D673" t="inlineStr">
        <is>
          <t>KALMAR LÄN</t>
        </is>
      </c>
      <c r="E673" t="inlineStr">
        <is>
          <t>VIMMERBY</t>
        </is>
      </c>
      <c r="G673" t="n">
        <v>2.2</v>
      </c>
      <c r="H673" t="n">
        <v>0</v>
      </c>
      <c r="I673" t="n">
        <v>0</v>
      </c>
      <c r="J673" t="n">
        <v>0</v>
      </c>
      <c r="K673" t="n">
        <v>0</v>
      </c>
      <c r="L673" t="n">
        <v>0</v>
      </c>
      <c r="M673" t="n">
        <v>0</v>
      </c>
      <c r="N673" t="n">
        <v>0</v>
      </c>
      <c r="O673" t="n">
        <v>0</v>
      </c>
      <c r="P673" t="n">
        <v>0</v>
      </c>
      <c r="Q673" t="n">
        <v>0</v>
      </c>
      <c r="R673" s="2" t="inlineStr"/>
    </row>
    <row r="674" ht="15" customHeight="1">
      <c r="A674" t="inlineStr">
        <is>
          <t>A 26124-2025</t>
        </is>
      </c>
      <c r="B674" s="1" t="n">
        <v>45805.39247685186</v>
      </c>
      <c r="C674" s="1" t="n">
        <v>45938</v>
      </c>
      <c r="D674" t="inlineStr">
        <is>
          <t>KALMAR LÄN</t>
        </is>
      </c>
      <c r="E674" t="inlineStr">
        <is>
          <t>VIMMERBY</t>
        </is>
      </c>
      <c r="G674" t="n">
        <v>6.6</v>
      </c>
      <c r="H674" t="n">
        <v>0</v>
      </c>
      <c r="I674" t="n">
        <v>0</v>
      </c>
      <c r="J674" t="n">
        <v>0</v>
      </c>
      <c r="K674" t="n">
        <v>0</v>
      </c>
      <c r="L674" t="n">
        <v>0</v>
      </c>
      <c r="M674" t="n">
        <v>0</v>
      </c>
      <c r="N674" t="n">
        <v>0</v>
      </c>
      <c r="O674" t="n">
        <v>0</v>
      </c>
      <c r="P674" t="n">
        <v>0</v>
      </c>
      <c r="Q674" t="n">
        <v>0</v>
      </c>
      <c r="R674" s="2" t="inlineStr"/>
    </row>
    <row r="675" ht="15" customHeight="1">
      <c r="A675" t="inlineStr">
        <is>
          <t>A 26207-2025</t>
        </is>
      </c>
      <c r="B675" s="1" t="n">
        <v>45805.52983796296</v>
      </c>
      <c r="C675" s="1" t="n">
        <v>45938</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25830-2025</t>
        </is>
      </c>
      <c r="B676" s="1" t="n">
        <v>45804.44519675926</v>
      </c>
      <c r="C676" s="1" t="n">
        <v>45938</v>
      </c>
      <c r="D676" t="inlineStr">
        <is>
          <t>KALMAR LÄN</t>
        </is>
      </c>
      <c r="E676" t="inlineStr">
        <is>
          <t>VIMMERBY</t>
        </is>
      </c>
      <c r="G676" t="n">
        <v>4.9</v>
      </c>
      <c r="H676" t="n">
        <v>0</v>
      </c>
      <c r="I676" t="n">
        <v>0</v>
      </c>
      <c r="J676" t="n">
        <v>0</v>
      </c>
      <c r="K676" t="n">
        <v>0</v>
      </c>
      <c r="L676" t="n">
        <v>0</v>
      </c>
      <c r="M676" t="n">
        <v>0</v>
      </c>
      <c r="N676" t="n">
        <v>0</v>
      </c>
      <c r="O676" t="n">
        <v>0</v>
      </c>
      <c r="P676" t="n">
        <v>0</v>
      </c>
      <c r="Q676" t="n">
        <v>0</v>
      </c>
      <c r="R676" s="2" t="inlineStr"/>
    </row>
    <row r="677" ht="15" customHeight="1">
      <c r="A677" t="inlineStr">
        <is>
          <t>A 26254-2025</t>
        </is>
      </c>
      <c r="B677" s="1" t="n">
        <v>45805</v>
      </c>
      <c r="C677" s="1" t="n">
        <v>45938</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57256-2023</t>
        </is>
      </c>
      <c r="B678" s="1" t="n">
        <v>45245.5735300926</v>
      </c>
      <c r="C678" s="1" t="n">
        <v>45938</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17482-2024</t>
        </is>
      </c>
      <c r="B679" s="1" t="n">
        <v>45415.47848379629</v>
      </c>
      <c r="C679" s="1" t="n">
        <v>45938</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55123-2024</t>
        </is>
      </c>
      <c r="B680" s="1" t="n">
        <v>45621.46103009259</v>
      </c>
      <c r="C680" s="1" t="n">
        <v>45938</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49313-2022</t>
        </is>
      </c>
      <c r="B681" s="1" t="n">
        <v>44861.52505787037</v>
      </c>
      <c r="C681" s="1" t="n">
        <v>45938</v>
      </c>
      <c r="D681" t="inlineStr">
        <is>
          <t>KALMAR LÄN</t>
        </is>
      </c>
      <c r="E681" t="inlineStr">
        <is>
          <t>VIMMERBY</t>
        </is>
      </c>
      <c r="G681" t="n">
        <v>1.9</v>
      </c>
      <c r="H681" t="n">
        <v>0</v>
      </c>
      <c r="I681" t="n">
        <v>0</v>
      </c>
      <c r="J681" t="n">
        <v>0</v>
      </c>
      <c r="K681" t="n">
        <v>0</v>
      </c>
      <c r="L681" t="n">
        <v>0</v>
      </c>
      <c r="M681" t="n">
        <v>0</v>
      </c>
      <c r="N681" t="n">
        <v>0</v>
      </c>
      <c r="O681" t="n">
        <v>0</v>
      </c>
      <c r="P681" t="n">
        <v>0</v>
      </c>
      <c r="Q681" t="n">
        <v>0</v>
      </c>
      <c r="R681" s="2" t="inlineStr"/>
    </row>
    <row r="682" ht="15" customHeight="1">
      <c r="A682" t="inlineStr">
        <is>
          <t>A 1987-2024</t>
        </is>
      </c>
      <c r="B682" s="1" t="n">
        <v>45308.61152777778</v>
      </c>
      <c r="C682" s="1" t="n">
        <v>45938</v>
      </c>
      <c r="D682" t="inlineStr">
        <is>
          <t>KALMAR LÄN</t>
        </is>
      </c>
      <c r="E682" t="inlineStr">
        <is>
          <t>VIMMERBY</t>
        </is>
      </c>
      <c r="G682" t="n">
        <v>3</v>
      </c>
      <c r="H682" t="n">
        <v>0</v>
      </c>
      <c r="I682" t="n">
        <v>0</v>
      </c>
      <c r="J682" t="n">
        <v>0</v>
      </c>
      <c r="K682" t="n">
        <v>0</v>
      </c>
      <c r="L682" t="n">
        <v>0</v>
      </c>
      <c r="M682" t="n">
        <v>0</v>
      </c>
      <c r="N682" t="n">
        <v>0</v>
      </c>
      <c r="O682" t="n">
        <v>0</v>
      </c>
      <c r="P682" t="n">
        <v>0</v>
      </c>
      <c r="Q682" t="n">
        <v>0</v>
      </c>
      <c r="R682" s="2" t="inlineStr"/>
    </row>
    <row r="683" ht="15" customHeight="1">
      <c r="A683" t="inlineStr">
        <is>
          <t>A 21507-2023</t>
        </is>
      </c>
      <c r="B683" s="1" t="n">
        <v>45063.508125</v>
      </c>
      <c r="C683" s="1" t="n">
        <v>45938</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57189-2022</t>
        </is>
      </c>
      <c r="B684" s="1" t="n">
        <v>44895.62296296296</v>
      </c>
      <c r="C684" s="1" t="n">
        <v>45938</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48673-2021</t>
        </is>
      </c>
      <c r="B685" s="1" t="n">
        <v>44452</v>
      </c>
      <c r="C685" s="1" t="n">
        <v>45938</v>
      </c>
      <c r="D685" t="inlineStr">
        <is>
          <t>KALMAR LÄN</t>
        </is>
      </c>
      <c r="E685" t="inlineStr">
        <is>
          <t>VIMMERBY</t>
        </is>
      </c>
      <c r="G685" t="n">
        <v>1.3</v>
      </c>
      <c r="H685" t="n">
        <v>0</v>
      </c>
      <c r="I685" t="n">
        <v>0</v>
      </c>
      <c r="J685" t="n">
        <v>0</v>
      </c>
      <c r="K685" t="n">
        <v>0</v>
      </c>
      <c r="L685" t="n">
        <v>0</v>
      </c>
      <c r="M685" t="n">
        <v>0</v>
      </c>
      <c r="N685" t="n">
        <v>0</v>
      </c>
      <c r="O685" t="n">
        <v>0</v>
      </c>
      <c r="P685" t="n">
        <v>0</v>
      </c>
      <c r="Q685" t="n">
        <v>0</v>
      </c>
      <c r="R685" s="2" t="inlineStr"/>
    </row>
    <row r="686" ht="15" customHeight="1">
      <c r="A686" t="inlineStr">
        <is>
          <t>A 14248-2023</t>
        </is>
      </c>
      <c r="B686" s="1" t="n">
        <v>45009</v>
      </c>
      <c r="C686" s="1" t="n">
        <v>45938</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12480-2024</t>
        </is>
      </c>
      <c r="B687" s="1" t="n">
        <v>45379</v>
      </c>
      <c r="C687" s="1" t="n">
        <v>45938</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45938</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50085-2023</t>
        </is>
      </c>
      <c r="B689" s="1" t="n">
        <v>45215.5959375</v>
      </c>
      <c r="C689" s="1" t="n">
        <v>45938</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50087-2023</t>
        </is>
      </c>
      <c r="B690" s="1" t="n">
        <v>45215.59743055556</v>
      </c>
      <c r="C690" s="1" t="n">
        <v>45938</v>
      </c>
      <c r="D690" t="inlineStr">
        <is>
          <t>KALMAR LÄN</t>
        </is>
      </c>
      <c r="E690" t="inlineStr">
        <is>
          <t>VIMMERBY</t>
        </is>
      </c>
      <c r="G690" t="n">
        <v>0.9</v>
      </c>
      <c r="H690" t="n">
        <v>0</v>
      </c>
      <c r="I690" t="n">
        <v>0</v>
      </c>
      <c r="J690" t="n">
        <v>0</v>
      </c>
      <c r="K690" t="n">
        <v>0</v>
      </c>
      <c r="L690" t="n">
        <v>0</v>
      </c>
      <c r="M690" t="n">
        <v>0</v>
      </c>
      <c r="N690" t="n">
        <v>0</v>
      </c>
      <c r="O690" t="n">
        <v>0</v>
      </c>
      <c r="P690" t="n">
        <v>0</v>
      </c>
      <c r="Q690" t="n">
        <v>0</v>
      </c>
      <c r="R690" s="2" t="inlineStr"/>
    </row>
    <row r="691" ht="15" customHeight="1">
      <c r="A691" t="inlineStr">
        <is>
          <t>A 8167-2024</t>
        </is>
      </c>
      <c r="B691" s="1" t="n">
        <v>45351.6062962963</v>
      </c>
      <c r="C691" s="1" t="n">
        <v>45938</v>
      </c>
      <c r="D691" t="inlineStr">
        <is>
          <t>KALMAR LÄN</t>
        </is>
      </c>
      <c r="E691" t="inlineStr">
        <is>
          <t>VIMMERBY</t>
        </is>
      </c>
      <c r="G691" t="n">
        <v>3.8</v>
      </c>
      <c r="H691" t="n">
        <v>0</v>
      </c>
      <c r="I691" t="n">
        <v>0</v>
      </c>
      <c r="J691" t="n">
        <v>0</v>
      </c>
      <c r="K691" t="n">
        <v>0</v>
      </c>
      <c r="L691" t="n">
        <v>0</v>
      </c>
      <c r="M691" t="n">
        <v>0</v>
      </c>
      <c r="N691" t="n">
        <v>0</v>
      </c>
      <c r="O691" t="n">
        <v>0</v>
      </c>
      <c r="P691" t="n">
        <v>0</v>
      </c>
      <c r="Q691" t="n">
        <v>0</v>
      </c>
      <c r="R691" s="2" t="inlineStr"/>
    </row>
    <row r="692" ht="15" customHeight="1">
      <c r="A692" t="inlineStr">
        <is>
          <t>A 27718-2025</t>
        </is>
      </c>
      <c r="B692" s="1" t="n">
        <v>45814.38221064815</v>
      </c>
      <c r="C692" s="1" t="n">
        <v>45938</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27719-2025</t>
        </is>
      </c>
      <c r="B693" s="1" t="n">
        <v>45814.3865625</v>
      </c>
      <c r="C693" s="1" t="n">
        <v>45938</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2604-2025</t>
        </is>
      </c>
      <c r="B694" s="1" t="n">
        <v>45674.74094907408</v>
      </c>
      <c r="C694" s="1" t="n">
        <v>45938</v>
      </c>
      <c r="D694" t="inlineStr">
        <is>
          <t>KALMAR LÄN</t>
        </is>
      </c>
      <c r="E694" t="inlineStr">
        <is>
          <t>VIMMERBY</t>
        </is>
      </c>
      <c r="G694" t="n">
        <v>7.6</v>
      </c>
      <c r="H694" t="n">
        <v>0</v>
      </c>
      <c r="I694" t="n">
        <v>0</v>
      </c>
      <c r="J694" t="n">
        <v>0</v>
      </c>
      <c r="K694" t="n">
        <v>0</v>
      </c>
      <c r="L694" t="n">
        <v>0</v>
      </c>
      <c r="M694" t="n">
        <v>0</v>
      </c>
      <c r="N694" t="n">
        <v>0</v>
      </c>
      <c r="O694" t="n">
        <v>0</v>
      </c>
      <c r="P694" t="n">
        <v>0</v>
      </c>
      <c r="Q694" t="n">
        <v>0</v>
      </c>
      <c r="R694" s="2" t="inlineStr"/>
    </row>
    <row r="695" ht="15" customHeight="1">
      <c r="A695" t="inlineStr">
        <is>
          <t>A 28286-2025</t>
        </is>
      </c>
      <c r="B695" s="1" t="n">
        <v>45818.58993055556</v>
      </c>
      <c r="C695" s="1" t="n">
        <v>45938</v>
      </c>
      <c r="D695" t="inlineStr">
        <is>
          <t>KALMAR LÄN</t>
        </is>
      </c>
      <c r="E695" t="inlineStr">
        <is>
          <t>VIMMERBY</t>
        </is>
      </c>
      <c r="F695" t="inlineStr">
        <is>
          <t>Sveaskog</t>
        </is>
      </c>
      <c r="G695" t="n">
        <v>8</v>
      </c>
      <c r="H695" t="n">
        <v>0</v>
      </c>
      <c r="I695" t="n">
        <v>0</v>
      </c>
      <c r="J695" t="n">
        <v>0</v>
      </c>
      <c r="K695" t="n">
        <v>0</v>
      </c>
      <c r="L695" t="n">
        <v>0</v>
      </c>
      <c r="M695" t="n">
        <v>0</v>
      </c>
      <c r="N695" t="n">
        <v>0</v>
      </c>
      <c r="O695" t="n">
        <v>0</v>
      </c>
      <c r="P695" t="n">
        <v>0</v>
      </c>
      <c r="Q695" t="n">
        <v>0</v>
      </c>
      <c r="R695" s="2" t="inlineStr"/>
    </row>
    <row r="696" ht="15" customHeight="1">
      <c r="A696" t="inlineStr">
        <is>
          <t>A 28282-2025</t>
        </is>
      </c>
      <c r="B696" s="1" t="n">
        <v>45818.58769675926</v>
      </c>
      <c r="C696" s="1" t="n">
        <v>45938</v>
      </c>
      <c r="D696" t="inlineStr">
        <is>
          <t>KALMAR LÄN</t>
        </is>
      </c>
      <c r="E696" t="inlineStr">
        <is>
          <t>VIMMERBY</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28294-2025</t>
        </is>
      </c>
      <c r="B697" s="1" t="n">
        <v>45818.595625</v>
      </c>
      <c r="C697" s="1" t="n">
        <v>45938</v>
      </c>
      <c r="D697" t="inlineStr">
        <is>
          <t>KALMAR LÄN</t>
        </is>
      </c>
      <c r="E697" t="inlineStr">
        <is>
          <t>VIMMERBY</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28290-2025</t>
        </is>
      </c>
      <c r="B698" s="1" t="n">
        <v>45818.59261574074</v>
      </c>
      <c r="C698" s="1" t="n">
        <v>45938</v>
      </c>
      <c r="D698" t="inlineStr">
        <is>
          <t>KALMAR LÄN</t>
        </is>
      </c>
      <c r="E698" t="inlineStr">
        <is>
          <t>VIMMERBY</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28280-2025</t>
        </is>
      </c>
      <c r="B699" s="1" t="n">
        <v>45818.5862037037</v>
      </c>
      <c r="C699" s="1" t="n">
        <v>45938</v>
      </c>
      <c r="D699" t="inlineStr">
        <is>
          <t>KALMAR LÄN</t>
        </is>
      </c>
      <c r="E699" t="inlineStr">
        <is>
          <t>VIMMERBY</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28620-2025</t>
        </is>
      </c>
      <c r="B700" s="1" t="n">
        <v>45819.61060185185</v>
      </c>
      <c r="C700" s="1" t="n">
        <v>45938</v>
      </c>
      <c r="D700" t="inlineStr">
        <is>
          <t>KALMAR LÄN</t>
        </is>
      </c>
      <c r="E700" t="inlineStr">
        <is>
          <t>VIMMERBY</t>
        </is>
      </c>
      <c r="G700" t="n">
        <v>5.6</v>
      </c>
      <c r="H700" t="n">
        <v>0</v>
      </c>
      <c r="I700" t="n">
        <v>0</v>
      </c>
      <c r="J700" t="n">
        <v>0</v>
      </c>
      <c r="K700" t="n">
        <v>0</v>
      </c>
      <c r="L700" t="n">
        <v>0</v>
      </c>
      <c r="M700" t="n">
        <v>0</v>
      </c>
      <c r="N700" t="n">
        <v>0</v>
      </c>
      <c r="O700" t="n">
        <v>0</v>
      </c>
      <c r="P700" t="n">
        <v>0</v>
      </c>
      <c r="Q700" t="n">
        <v>0</v>
      </c>
      <c r="R700" s="2" t="inlineStr"/>
    </row>
    <row r="701" ht="15" customHeight="1">
      <c r="A701" t="inlineStr">
        <is>
          <t>A 37192-2024</t>
        </is>
      </c>
      <c r="B701" s="1" t="n">
        <v>45539.66027777778</v>
      </c>
      <c r="C701" s="1" t="n">
        <v>45938</v>
      </c>
      <c r="D701" t="inlineStr">
        <is>
          <t>KALMAR LÄN</t>
        </is>
      </c>
      <c r="E701" t="inlineStr">
        <is>
          <t>VIMMERBY</t>
        </is>
      </c>
      <c r="G701" t="n">
        <v>1</v>
      </c>
      <c r="H701" t="n">
        <v>0</v>
      </c>
      <c r="I701" t="n">
        <v>0</v>
      </c>
      <c r="J701" t="n">
        <v>0</v>
      </c>
      <c r="K701" t="n">
        <v>0</v>
      </c>
      <c r="L701" t="n">
        <v>0</v>
      </c>
      <c r="M701" t="n">
        <v>0</v>
      </c>
      <c r="N701" t="n">
        <v>0</v>
      </c>
      <c r="O701" t="n">
        <v>0</v>
      </c>
      <c r="P701" t="n">
        <v>0</v>
      </c>
      <c r="Q701" t="n">
        <v>0</v>
      </c>
      <c r="R701" s="2" t="inlineStr"/>
    </row>
    <row r="702" ht="15" customHeight="1">
      <c r="A702" t="inlineStr">
        <is>
          <t>A 42429-2024</t>
        </is>
      </c>
      <c r="B702" s="1" t="n">
        <v>45565.40657407408</v>
      </c>
      <c r="C702" s="1" t="n">
        <v>45938</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29180-2024</t>
        </is>
      </c>
      <c r="B703" s="1" t="n">
        <v>45482.54108796296</v>
      </c>
      <c r="C703" s="1" t="n">
        <v>45938</v>
      </c>
      <c r="D703" t="inlineStr">
        <is>
          <t>KALMAR LÄN</t>
        </is>
      </c>
      <c r="E703" t="inlineStr">
        <is>
          <t>VIMMERBY</t>
        </is>
      </c>
      <c r="G703" t="n">
        <v>3.8</v>
      </c>
      <c r="H703" t="n">
        <v>0</v>
      </c>
      <c r="I703" t="n">
        <v>0</v>
      </c>
      <c r="J703" t="n">
        <v>0</v>
      </c>
      <c r="K703" t="n">
        <v>0</v>
      </c>
      <c r="L703" t="n">
        <v>0</v>
      </c>
      <c r="M703" t="n">
        <v>0</v>
      </c>
      <c r="N703" t="n">
        <v>0</v>
      </c>
      <c r="O703" t="n">
        <v>0</v>
      </c>
      <c r="P703" t="n">
        <v>0</v>
      </c>
      <c r="Q703" t="n">
        <v>0</v>
      </c>
      <c r="R703" s="2" t="inlineStr"/>
    </row>
    <row r="704" ht="15" customHeight="1">
      <c r="A704" t="inlineStr">
        <is>
          <t>A 28712-2025</t>
        </is>
      </c>
      <c r="B704" s="1" t="n">
        <v>45820.33708333333</v>
      </c>
      <c r="C704" s="1" t="n">
        <v>45938</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28714-2025</t>
        </is>
      </c>
      <c r="B705" s="1" t="n">
        <v>45820.34128472222</v>
      </c>
      <c r="C705" s="1" t="n">
        <v>45938</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28713-2025</t>
        </is>
      </c>
      <c r="B706" s="1" t="n">
        <v>45820.33930555556</v>
      </c>
      <c r="C706" s="1" t="n">
        <v>45938</v>
      </c>
      <c r="D706" t="inlineStr">
        <is>
          <t>KALMAR LÄN</t>
        </is>
      </c>
      <c r="E706" t="inlineStr">
        <is>
          <t>VIMMERBY</t>
        </is>
      </c>
      <c r="G706" t="n">
        <v>2.3</v>
      </c>
      <c r="H706" t="n">
        <v>0</v>
      </c>
      <c r="I706" t="n">
        <v>0</v>
      </c>
      <c r="J706" t="n">
        <v>0</v>
      </c>
      <c r="K706" t="n">
        <v>0</v>
      </c>
      <c r="L706" t="n">
        <v>0</v>
      </c>
      <c r="M706" t="n">
        <v>0</v>
      </c>
      <c r="N706" t="n">
        <v>0</v>
      </c>
      <c r="O706" t="n">
        <v>0</v>
      </c>
      <c r="P706" t="n">
        <v>0</v>
      </c>
      <c r="Q706" t="n">
        <v>0</v>
      </c>
      <c r="R706" s="2" t="inlineStr"/>
    </row>
    <row r="707" ht="15" customHeight="1">
      <c r="A707" t="inlineStr">
        <is>
          <t>A 45846-2023</t>
        </is>
      </c>
      <c r="B707" s="1" t="n">
        <v>45195.58452546296</v>
      </c>
      <c r="C707" s="1" t="n">
        <v>45938</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16020-2023</t>
        </is>
      </c>
      <c r="B708" s="1" t="n">
        <v>45026.82216435186</v>
      </c>
      <c r="C708" s="1" t="n">
        <v>45938</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29737-2025</t>
        </is>
      </c>
      <c r="B709" s="1" t="n">
        <v>45825.58672453704</v>
      </c>
      <c r="C709" s="1" t="n">
        <v>45938</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29727-2025</t>
        </is>
      </c>
      <c r="B710" s="1" t="n">
        <v>45825.5796875</v>
      </c>
      <c r="C710" s="1" t="n">
        <v>45938</v>
      </c>
      <c r="D710" t="inlineStr">
        <is>
          <t>KALMAR LÄN</t>
        </is>
      </c>
      <c r="E710" t="inlineStr">
        <is>
          <t>VIMMERBY</t>
        </is>
      </c>
      <c r="G710" t="n">
        <v>1.3</v>
      </c>
      <c r="H710" t="n">
        <v>0</v>
      </c>
      <c r="I710" t="n">
        <v>0</v>
      </c>
      <c r="J710" t="n">
        <v>0</v>
      </c>
      <c r="K710" t="n">
        <v>0</v>
      </c>
      <c r="L710" t="n">
        <v>0</v>
      </c>
      <c r="M710" t="n">
        <v>0</v>
      </c>
      <c r="N710" t="n">
        <v>0</v>
      </c>
      <c r="O710" t="n">
        <v>0</v>
      </c>
      <c r="P710" t="n">
        <v>0</v>
      </c>
      <c r="Q710" t="n">
        <v>0</v>
      </c>
      <c r="R710" s="2" t="inlineStr"/>
    </row>
    <row r="711" ht="15" customHeight="1">
      <c r="A711" t="inlineStr">
        <is>
          <t>A 61820-2023</t>
        </is>
      </c>
      <c r="B711" s="1" t="n">
        <v>45266.32614583334</v>
      </c>
      <c r="C711" s="1" t="n">
        <v>45938</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29724-2025</t>
        </is>
      </c>
      <c r="B712" s="1" t="n">
        <v>45825.57680555555</v>
      </c>
      <c r="C712" s="1" t="n">
        <v>45938</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30293-2025</t>
        </is>
      </c>
      <c r="B713" s="1" t="n">
        <v>45827</v>
      </c>
      <c r="C713" s="1" t="n">
        <v>45938</v>
      </c>
      <c r="D713" t="inlineStr">
        <is>
          <t>KALMAR LÄN</t>
        </is>
      </c>
      <c r="E713" t="inlineStr">
        <is>
          <t>VIMMERBY</t>
        </is>
      </c>
      <c r="G713" t="n">
        <v>0.5</v>
      </c>
      <c r="H713" t="n">
        <v>0</v>
      </c>
      <c r="I713" t="n">
        <v>0</v>
      </c>
      <c r="J713" t="n">
        <v>0</v>
      </c>
      <c r="K713" t="n">
        <v>0</v>
      </c>
      <c r="L713" t="n">
        <v>0</v>
      </c>
      <c r="M713" t="n">
        <v>0</v>
      </c>
      <c r="N713" t="n">
        <v>0</v>
      </c>
      <c r="O713" t="n">
        <v>0</v>
      </c>
      <c r="P713" t="n">
        <v>0</v>
      </c>
      <c r="Q713" t="n">
        <v>0</v>
      </c>
      <c r="R713" s="2" t="inlineStr"/>
    </row>
    <row r="714" ht="15" customHeight="1">
      <c r="A714" t="inlineStr">
        <is>
          <t>A 30290-2025</t>
        </is>
      </c>
      <c r="B714" s="1" t="n">
        <v>45827</v>
      </c>
      <c r="C714" s="1" t="n">
        <v>45938</v>
      </c>
      <c r="D714" t="inlineStr">
        <is>
          <t>KALMAR LÄN</t>
        </is>
      </c>
      <c r="E714" t="inlineStr">
        <is>
          <t>VIMMERBY</t>
        </is>
      </c>
      <c r="G714" t="n">
        <v>1</v>
      </c>
      <c r="H714" t="n">
        <v>0</v>
      </c>
      <c r="I714" t="n">
        <v>0</v>
      </c>
      <c r="J714" t="n">
        <v>0</v>
      </c>
      <c r="K714" t="n">
        <v>0</v>
      </c>
      <c r="L714" t="n">
        <v>0</v>
      </c>
      <c r="M714" t="n">
        <v>0</v>
      </c>
      <c r="N714" t="n">
        <v>0</v>
      </c>
      <c r="O714" t="n">
        <v>0</v>
      </c>
      <c r="P714" t="n">
        <v>0</v>
      </c>
      <c r="Q714" t="n">
        <v>0</v>
      </c>
      <c r="R714" s="2" t="inlineStr"/>
    </row>
    <row r="715" ht="15" customHeight="1">
      <c r="A715" t="inlineStr">
        <is>
          <t>A 45560-2021</t>
        </is>
      </c>
      <c r="B715" s="1" t="n">
        <v>44440</v>
      </c>
      <c r="C715" s="1" t="n">
        <v>45938</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40256-2024</t>
        </is>
      </c>
      <c r="B716" s="1" t="n">
        <v>45554.62944444444</v>
      </c>
      <c r="C716" s="1" t="n">
        <v>45938</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58104-2024</t>
        </is>
      </c>
      <c r="B717" s="1" t="n">
        <v>45632.37459490741</v>
      </c>
      <c r="C717" s="1" t="n">
        <v>45938</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30850-2025</t>
        </is>
      </c>
      <c r="B718" s="1" t="n">
        <v>45831</v>
      </c>
      <c r="C718" s="1" t="n">
        <v>45938</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36259-2022</t>
        </is>
      </c>
      <c r="B719" s="1" t="n">
        <v>44803.59118055556</v>
      </c>
      <c r="C719" s="1" t="n">
        <v>45938</v>
      </c>
      <c r="D719" t="inlineStr">
        <is>
          <t>KALMAR LÄN</t>
        </is>
      </c>
      <c r="E719" t="inlineStr">
        <is>
          <t>VIMMERBY</t>
        </is>
      </c>
      <c r="G719" t="n">
        <v>3.9</v>
      </c>
      <c r="H719" t="n">
        <v>0</v>
      </c>
      <c r="I719" t="n">
        <v>0</v>
      </c>
      <c r="J719" t="n">
        <v>0</v>
      </c>
      <c r="K719" t="n">
        <v>0</v>
      </c>
      <c r="L719" t="n">
        <v>0</v>
      </c>
      <c r="M719" t="n">
        <v>0</v>
      </c>
      <c r="N719" t="n">
        <v>0</v>
      </c>
      <c r="O719" t="n">
        <v>0</v>
      </c>
      <c r="P719" t="n">
        <v>0</v>
      </c>
      <c r="Q719" t="n">
        <v>0</v>
      </c>
      <c r="R719" s="2" t="inlineStr"/>
    </row>
    <row r="720" ht="15" customHeight="1">
      <c r="A720" t="inlineStr">
        <is>
          <t>A 43034-2024</t>
        </is>
      </c>
      <c r="B720" s="1" t="n">
        <v>45567.42011574074</v>
      </c>
      <c r="C720" s="1" t="n">
        <v>45938</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31552-2025</t>
        </is>
      </c>
      <c r="B721" s="1" t="n">
        <v>45833.64563657407</v>
      </c>
      <c r="C721" s="1" t="n">
        <v>45938</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31555-2025</t>
        </is>
      </c>
      <c r="B722" s="1" t="n">
        <v>45833.64814814815</v>
      </c>
      <c r="C722" s="1" t="n">
        <v>45938</v>
      </c>
      <c r="D722" t="inlineStr">
        <is>
          <t>KALMAR LÄN</t>
        </is>
      </c>
      <c r="E722" t="inlineStr">
        <is>
          <t>VIMMERBY</t>
        </is>
      </c>
      <c r="G722" t="n">
        <v>1.8</v>
      </c>
      <c r="H722" t="n">
        <v>0</v>
      </c>
      <c r="I722" t="n">
        <v>0</v>
      </c>
      <c r="J722" t="n">
        <v>0</v>
      </c>
      <c r="K722" t="n">
        <v>0</v>
      </c>
      <c r="L722" t="n">
        <v>0</v>
      </c>
      <c r="M722" t="n">
        <v>0</v>
      </c>
      <c r="N722" t="n">
        <v>0</v>
      </c>
      <c r="O722" t="n">
        <v>0</v>
      </c>
      <c r="P722" t="n">
        <v>0</v>
      </c>
      <c r="Q722" t="n">
        <v>0</v>
      </c>
      <c r="R722" s="2" t="inlineStr"/>
    </row>
    <row r="723" ht="15" customHeight="1">
      <c r="A723" t="inlineStr">
        <is>
          <t>A 3902-2022</t>
        </is>
      </c>
      <c r="B723" s="1" t="n">
        <v>44587.48847222222</v>
      </c>
      <c r="C723" s="1" t="n">
        <v>45938</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30971-2025</t>
        </is>
      </c>
      <c r="B724" s="1" t="n">
        <v>45832.46146990741</v>
      </c>
      <c r="C724" s="1" t="n">
        <v>45938</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30070-2023</t>
        </is>
      </c>
      <c r="B725" s="1" t="n">
        <v>45110.4275</v>
      </c>
      <c r="C725" s="1" t="n">
        <v>45938</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31551-2025</t>
        </is>
      </c>
      <c r="B726" s="1" t="n">
        <v>45833.64237268519</v>
      </c>
      <c r="C726" s="1" t="n">
        <v>45938</v>
      </c>
      <c r="D726" t="inlineStr">
        <is>
          <t>KALMAR LÄN</t>
        </is>
      </c>
      <c r="E726" t="inlineStr">
        <is>
          <t>VIMMERBY</t>
        </is>
      </c>
      <c r="G726" t="n">
        <v>1.9</v>
      </c>
      <c r="H726" t="n">
        <v>0</v>
      </c>
      <c r="I726" t="n">
        <v>0</v>
      </c>
      <c r="J726" t="n">
        <v>0</v>
      </c>
      <c r="K726" t="n">
        <v>0</v>
      </c>
      <c r="L726" t="n">
        <v>0</v>
      </c>
      <c r="M726" t="n">
        <v>0</v>
      </c>
      <c r="N726" t="n">
        <v>0</v>
      </c>
      <c r="O726" t="n">
        <v>0</v>
      </c>
      <c r="P726" t="n">
        <v>0</v>
      </c>
      <c r="Q726" t="n">
        <v>0</v>
      </c>
      <c r="R726" s="2" t="inlineStr"/>
    </row>
    <row r="727" ht="15" customHeight="1">
      <c r="A727" t="inlineStr">
        <is>
          <t>A 30882-2025</t>
        </is>
      </c>
      <c r="B727" s="1" t="n">
        <v>45832.34540509259</v>
      </c>
      <c r="C727" s="1" t="n">
        <v>45938</v>
      </c>
      <c r="D727" t="inlineStr">
        <is>
          <t>KALMAR LÄN</t>
        </is>
      </c>
      <c r="E727" t="inlineStr">
        <is>
          <t>VIMMERBY</t>
        </is>
      </c>
      <c r="G727" t="n">
        <v>0.7</v>
      </c>
      <c r="H727" t="n">
        <v>0</v>
      </c>
      <c r="I727" t="n">
        <v>0</v>
      </c>
      <c r="J727" t="n">
        <v>0</v>
      </c>
      <c r="K727" t="n">
        <v>0</v>
      </c>
      <c r="L727" t="n">
        <v>0</v>
      </c>
      <c r="M727" t="n">
        <v>0</v>
      </c>
      <c r="N727" t="n">
        <v>0</v>
      </c>
      <c r="O727" t="n">
        <v>0</v>
      </c>
      <c r="P727" t="n">
        <v>0</v>
      </c>
      <c r="Q727" t="n">
        <v>0</v>
      </c>
      <c r="R727" s="2" t="inlineStr"/>
    </row>
    <row r="728" ht="15" customHeight="1">
      <c r="A728" t="inlineStr">
        <is>
          <t>A 31872-2025</t>
        </is>
      </c>
      <c r="B728" s="1" t="n">
        <v>45834.65040509259</v>
      </c>
      <c r="C728" s="1" t="n">
        <v>45938</v>
      </c>
      <c r="D728" t="inlineStr">
        <is>
          <t>KALMAR LÄN</t>
        </is>
      </c>
      <c r="E728" t="inlineStr">
        <is>
          <t>VIMMERBY</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8559-2025</t>
        </is>
      </c>
      <c r="B729" s="1" t="n">
        <v>45709.62280092593</v>
      </c>
      <c r="C729" s="1" t="n">
        <v>45938</v>
      </c>
      <c r="D729" t="inlineStr">
        <is>
          <t>KALMAR LÄN</t>
        </is>
      </c>
      <c r="E729" t="inlineStr">
        <is>
          <t>VIMMERBY</t>
        </is>
      </c>
      <c r="G729" t="n">
        <v>8.9</v>
      </c>
      <c r="H729" t="n">
        <v>0</v>
      </c>
      <c r="I729" t="n">
        <v>0</v>
      </c>
      <c r="J729" t="n">
        <v>0</v>
      </c>
      <c r="K729" t="n">
        <v>0</v>
      </c>
      <c r="L729" t="n">
        <v>0</v>
      </c>
      <c r="M729" t="n">
        <v>0</v>
      </c>
      <c r="N729" t="n">
        <v>0</v>
      </c>
      <c r="O729" t="n">
        <v>0</v>
      </c>
      <c r="P729" t="n">
        <v>0</v>
      </c>
      <c r="Q729" t="n">
        <v>0</v>
      </c>
      <c r="R729" s="2" t="inlineStr"/>
    </row>
    <row r="730" ht="15" customHeight="1">
      <c r="A730" t="inlineStr">
        <is>
          <t>A 32064-2025</t>
        </is>
      </c>
      <c r="B730" s="1" t="n">
        <v>45835.44709490741</v>
      </c>
      <c r="C730" s="1" t="n">
        <v>45938</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32109-2025</t>
        </is>
      </c>
      <c r="B731" s="1" t="n">
        <v>45835.48267361111</v>
      </c>
      <c r="C731" s="1" t="n">
        <v>45938</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32113-2025</t>
        </is>
      </c>
      <c r="B732" s="1" t="n">
        <v>45835.48445601852</v>
      </c>
      <c r="C732" s="1" t="n">
        <v>45938</v>
      </c>
      <c r="D732" t="inlineStr">
        <is>
          <t>KALMAR LÄN</t>
        </is>
      </c>
      <c r="E732" t="inlineStr">
        <is>
          <t>VIMMERBY</t>
        </is>
      </c>
      <c r="G732" t="n">
        <v>3.5</v>
      </c>
      <c r="H732" t="n">
        <v>0</v>
      </c>
      <c r="I732" t="n">
        <v>0</v>
      </c>
      <c r="J732" t="n">
        <v>0</v>
      </c>
      <c r="K732" t="n">
        <v>0</v>
      </c>
      <c r="L732" t="n">
        <v>0</v>
      </c>
      <c r="M732" t="n">
        <v>0</v>
      </c>
      <c r="N732" t="n">
        <v>0</v>
      </c>
      <c r="O732" t="n">
        <v>0</v>
      </c>
      <c r="P732" t="n">
        <v>0</v>
      </c>
      <c r="Q732" t="n">
        <v>0</v>
      </c>
      <c r="R732" s="2" t="inlineStr"/>
    </row>
    <row r="733" ht="15" customHeight="1">
      <c r="A733" t="inlineStr">
        <is>
          <t>A 32116-2025</t>
        </is>
      </c>
      <c r="B733" s="1" t="n">
        <v>45835.48862268519</v>
      </c>
      <c r="C733" s="1" t="n">
        <v>45938</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31870-2025</t>
        </is>
      </c>
      <c r="B734" s="1" t="n">
        <v>45834.64667824074</v>
      </c>
      <c r="C734" s="1" t="n">
        <v>45938</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31209-2024</t>
        </is>
      </c>
      <c r="B735" s="1" t="n">
        <v>45503.5658912037</v>
      </c>
      <c r="C735" s="1" t="n">
        <v>45938</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32065-2025</t>
        </is>
      </c>
      <c r="B736" s="1" t="n">
        <v>45835.44732638889</v>
      </c>
      <c r="C736" s="1" t="n">
        <v>45938</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31987-2025</t>
        </is>
      </c>
      <c r="B737" s="1" t="n">
        <v>45835.36229166666</v>
      </c>
      <c r="C737" s="1" t="n">
        <v>45938</v>
      </c>
      <c r="D737" t="inlineStr">
        <is>
          <t>KALMAR LÄN</t>
        </is>
      </c>
      <c r="E737" t="inlineStr">
        <is>
          <t>VIMMERBY</t>
        </is>
      </c>
      <c r="F737" t="inlineStr">
        <is>
          <t>Kyrkan</t>
        </is>
      </c>
      <c r="G737" t="n">
        <v>1.2</v>
      </c>
      <c r="H737" t="n">
        <v>0</v>
      </c>
      <c r="I737" t="n">
        <v>0</v>
      </c>
      <c r="J737" t="n">
        <v>0</v>
      </c>
      <c r="K737" t="n">
        <v>0</v>
      </c>
      <c r="L737" t="n">
        <v>0</v>
      </c>
      <c r="M737" t="n">
        <v>0</v>
      </c>
      <c r="N737" t="n">
        <v>0</v>
      </c>
      <c r="O737" t="n">
        <v>0</v>
      </c>
      <c r="P737" t="n">
        <v>0</v>
      </c>
      <c r="Q737" t="n">
        <v>0</v>
      </c>
      <c r="R737" s="2" t="inlineStr"/>
    </row>
    <row r="738" ht="15" customHeight="1">
      <c r="A738" t="inlineStr">
        <is>
          <t>A 32077-2025</t>
        </is>
      </c>
      <c r="B738" s="1" t="n">
        <v>45835.45099537037</v>
      </c>
      <c r="C738" s="1" t="n">
        <v>45938</v>
      </c>
      <c r="D738" t="inlineStr">
        <is>
          <t>KALMAR LÄN</t>
        </is>
      </c>
      <c r="E738" t="inlineStr">
        <is>
          <t>VIMMERBY</t>
        </is>
      </c>
      <c r="G738" t="n">
        <v>1.8</v>
      </c>
      <c r="H738" t="n">
        <v>0</v>
      </c>
      <c r="I738" t="n">
        <v>0</v>
      </c>
      <c r="J738" t="n">
        <v>0</v>
      </c>
      <c r="K738" t="n">
        <v>0</v>
      </c>
      <c r="L738" t="n">
        <v>0</v>
      </c>
      <c r="M738" t="n">
        <v>0</v>
      </c>
      <c r="N738" t="n">
        <v>0</v>
      </c>
      <c r="O738" t="n">
        <v>0</v>
      </c>
      <c r="P738" t="n">
        <v>0</v>
      </c>
      <c r="Q738" t="n">
        <v>0</v>
      </c>
      <c r="R738" s="2" t="inlineStr"/>
    </row>
    <row r="739" ht="15" customHeight="1">
      <c r="A739" t="inlineStr">
        <is>
          <t>A 32120-2025</t>
        </is>
      </c>
      <c r="B739" s="1" t="n">
        <v>45835.4924537037</v>
      </c>
      <c r="C739" s="1" t="n">
        <v>45938</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31876-2025</t>
        </is>
      </c>
      <c r="B740" s="1" t="n">
        <v>45834.65197916667</v>
      </c>
      <c r="C740" s="1" t="n">
        <v>45938</v>
      </c>
      <c r="D740" t="inlineStr">
        <is>
          <t>KALMAR LÄN</t>
        </is>
      </c>
      <c r="E740" t="inlineStr">
        <is>
          <t>VIMMERBY</t>
        </is>
      </c>
      <c r="F740" t="inlineStr">
        <is>
          <t>Sveaskog</t>
        </is>
      </c>
      <c r="G740" t="n">
        <v>3.3</v>
      </c>
      <c r="H740" t="n">
        <v>0</v>
      </c>
      <c r="I740" t="n">
        <v>0</v>
      </c>
      <c r="J740" t="n">
        <v>0</v>
      </c>
      <c r="K740" t="n">
        <v>0</v>
      </c>
      <c r="L740" t="n">
        <v>0</v>
      </c>
      <c r="M740" t="n">
        <v>0</v>
      </c>
      <c r="N740" t="n">
        <v>0</v>
      </c>
      <c r="O740" t="n">
        <v>0</v>
      </c>
      <c r="P740" t="n">
        <v>0</v>
      </c>
      <c r="Q740" t="n">
        <v>0</v>
      </c>
      <c r="R740" s="2" t="inlineStr"/>
    </row>
    <row r="741" ht="15" customHeight="1">
      <c r="A741" t="inlineStr">
        <is>
          <t>A 4527-2023</t>
        </is>
      </c>
      <c r="B741" s="1" t="n">
        <v>44956</v>
      </c>
      <c r="C741" s="1" t="n">
        <v>45938</v>
      </c>
      <c r="D741" t="inlineStr">
        <is>
          <t>KALMAR LÄN</t>
        </is>
      </c>
      <c r="E741" t="inlineStr">
        <is>
          <t>VIMMERBY</t>
        </is>
      </c>
      <c r="F741" t="inlineStr">
        <is>
          <t>Kommuner</t>
        </is>
      </c>
      <c r="G741" t="n">
        <v>8.5</v>
      </c>
      <c r="H741" t="n">
        <v>0</v>
      </c>
      <c r="I741" t="n">
        <v>0</v>
      </c>
      <c r="J741" t="n">
        <v>0</v>
      </c>
      <c r="K741" t="n">
        <v>0</v>
      </c>
      <c r="L741" t="n">
        <v>0</v>
      </c>
      <c r="M741" t="n">
        <v>0</v>
      </c>
      <c r="N741" t="n">
        <v>0</v>
      </c>
      <c r="O741" t="n">
        <v>0</v>
      </c>
      <c r="P741" t="n">
        <v>0</v>
      </c>
      <c r="Q741" t="n">
        <v>0</v>
      </c>
      <c r="R741" s="2" t="inlineStr"/>
    </row>
    <row r="742" ht="15" customHeight="1">
      <c r="A742" t="inlineStr">
        <is>
          <t>A 12586-2021</t>
        </is>
      </c>
      <c r="B742" s="1" t="n">
        <v>44270.38002314815</v>
      </c>
      <c r="C742" s="1" t="n">
        <v>45938</v>
      </c>
      <c r="D742" t="inlineStr">
        <is>
          <t>KALMAR LÄN</t>
        </is>
      </c>
      <c r="E742" t="inlineStr">
        <is>
          <t>VIMMERBY</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5864-2022</t>
        </is>
      </c>
      <c r="B743" s="1" t="n">
        <v>44596</v>
      </c>
      <c r="C743" s="1" t="n">
        <v>45938</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30912-2023</t>
        </is>
      </c>
      <c r="B744" s="1" t="n">
        <v>45113.41633101852</v>
      </c>
      <c r="C744" s="1" t="n">
        <v>45938</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1146-2025</t>
        </is>
      </c>
      <c r="B745" s="1" t="n">
        <v>45666</v>
      </c>
      <c r="C745" s="1" t="n">
        <v>45938</v>
      </c>
      <c r="D745" t="inlineStr">
        <is>
          <t>KALMAR LÄN</t>
        </is>
      </c>
      <c r="E745" t="inlineStr">
        <is>
          <t>VIMMERBY</t>
        </is>
      </c>
      <c r="G745" t="n">
        <v>4</v>
      </c>
      <c r="H745" t="n">
        <v>0</v>
      </c>
      <c r="I745" t="n">
        <v>0</v>
      </c>
      <c r="J745" t="n">
        <v>0</v>
      </c>
      <c r="K745" t="n">
        <v>0</v>
      </c>
      <c r="L745" t="n">
        <v>0</v>
      </c>
      <c r="M745" t="n">
        <v>0</v>
      </c>
      <c r="N745" t="n">
        <v>0</v>
      </c>
      <c r="O745" t="n">
        <v>0</v>
      </c>
      <c r="P745" t="n">
        <v>0</v>
      </c>
      <c r="Q745" t="n">
        <v>0</v>
      </c>
      <c r="R745" s="2" t="inlineStr"/>
    </row>
    <row r="746" ht="15" customHeight="1">
      <c r="A746" t="inlineStr">
        <is>
          <t>A 32380-2025</t>
        </is>
      </c>
      <c r="B746" s="1" t="n">
        <v>45837.77701388889</v>
      </c>
      <c r="C746" s="1" t="n">
        <v>45938</v>
      </c>
      <c r="D746" t="inlineStr">
        <is>
          <t>KALMAR LÄN</t>
        </is>
      </c>
      <c r="E746" t="inlineStr">
        <is>
          <t>VIMMERBY</t>
        </is>
      </c>
      <c r="G746" t="n">
        <v>3.1</v>
      </c>
      <c r="H746" t="n">
        <v>0</v>
      </c>
      <c r="I746" t="n">
        <v>0</v>
      </c>
      <c r="J746" t="n">
        <v>0</v>
      </c>
      <c r="K746" t="n">
        <v>0</v>
      </c>
      <c r="L746" t="n">
        <v>0</v>
      </c>
      <c r="M746" t="n">
        <v>0</v>
      </c>
      <c r="N746" t="n">
        <v>0</v>
      </c>
      <c r="O746" t="n">
        <v>0</v>
      </c>
      <c r="P746" t="n">
        <v>0</v>
      </c>
      <c r="Q746" t="n">
        <v>0</v>
      </c>
      <c r="R746" s="2" t="inlineStr"/>
    </row>
    <row r="747" ht="15" customHeight="1">
      <c r="A747" t="inlineStr">
        <is>
          <t>A 62023-2022</t>
        </is>
      </c>
      <c r="B747" s="1" t="n">
        <v>44918.50106481482</v>
      </c>
      <c r="C747" s="1" t="n">
        <v>45938</v>
      </c>
      <c r="D747" t="inlineStr">
        <is>
          <t>KALMAR LÄN</t>
        </is>
      </c>
      <c r="E747" t="inlineStr">
        <is>
          <t>VIMMERBY</t>
        </is>
      </c>
      <c r="G747" t="n">
        <v>0.3</v>
      </c>
      <c r="H747" t="n">
        <v>0</v>
      </c>
      <c r="I747" t="n">
        <v>0</v>
      </c>
      <c r="J747" t="n">
        <v>0</v>
      </c>
      <c r="K747" t="n">
        <v>0</v>
      </c>
      <c r="L747" t="n">
        <v>0</v>
      </c>
      <c r="M747" t="n">
        <v>0</v>
      </c>
      <c r="N747" t="n">
        <v>0</v>
      </c>
      <c r="O747" t="n">
        <v>0</v>
      </c>
      <c r="P747" t="n">
        <v>0</v>
      </c>
      <c r="Q747" t="n">
        <v>0</v>
      </c>
      <c r="R747" s="2" t="inlineStr"/>
    </row>
    <row r="748" ht="15" customHeight="1">
      <c r="A748" t="inlineStr">
        <is>
          <t>A 33186-2025</t>
        </is>
      </c>
      <c r="B748" s="1" t="n">
        <v>45840.59474537037</v>
      </c>
      <c r="C748" s="1" t="n">
        <v>45938</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16119-2023</t>
        </is>
      </c>
      <c r="B749" s="1" t="n">
        <v>45027.59450231482</v>
      </c>
      <c r="C749" s="1" t="n">
        <v>45938</v>
      </c>
      <c r="D749" t="inlineStr">
        <is>
          <t>KALMAR LÄN</t>
        </is>
      </c>
      <c r="E749" t="inlineStr">
        <is>
          <t>VIMMERBY</t>
        </is>
      </c>
      <c r="F749" t="inlineStr">
        <is>
          <t>Kommuner</t>
        </is>
      </c>
      <c r="G749" t="n">
        <v>4.4</v>
      </c>
      <c r="H749" t="n">
        <v>0</v>
      </c>
      <c r="I749" t="n">
        <v>0</v>
      </c>
      <c r="J749" t="n">
        <v>0</v>
      </c>
      <c r="K749" t="n">
        <v>0</v>
      </c>
      <c r="L749" t="n">
        <v>0</v>
      </c>
      <c r="M749" t="n">
        <v>0</v>
      </c>
      <c r="N749" t="n">
        <v>0</v>
      </c>
      <c r="O749" t="n">
        <v>0</v>
      </c>
      <c r="P749" t="n">
        <v>0</v>
      </c>
      <c r="Q749" t="n">
        <v>0</v>
      </c>
      <c r="R749" s="2" t="inlineStr"/>
    </row>
    <row r="750" ht="15" customHeight="1">
      <c r="A750" t="inlineStr">
        <is>
          <t>A 33695-2025</t>
        </is>
      </c>
      <c r="B750" s="1" t="n">
        <v>45841.70569444444</v>
      </c>
      <c r="C750" s="1" t="n">
        <v>45938</v>
      </c>
      <c r="D750" t="inlineStr">
        <is>
          <t>KALMAR LÄN</t>
        </is>
      </c>
      <c r="E750" t="inlineStr">
        <is>
          <t>VIMMERBY</t>
        </is>
      </c>
      <c r="G750" t="n">
        <v>2.7</v>
      </c>
      <c r="H750" t="n">
        <v>0</v>
      </c>
      <c r="I750" t="n">
        <v>0</v>
      </c>
      <c r="J750" t="n">
        <v>0</v>
      </c>
      <c r="K750" t="n">
        <v>0</v>
      </c>
      <c r="L750" t="n">
        <v>0</v>
      </c>
      <c r="M750" t="n">
        <v>0</v>
      </c>
      <c r="N750" t="n">
        <v>0</v>
      </c>
      <c r="O750" t="n">
        <v>0</v>
      </c>
      <c r="P750" t="n">
        <v>0</v>
      </c>
      <c r="Q750" t="n">
        <v>0</v>
      </c>
      <c r="R750" s="2" t="inlineStr"/>
    </row>
    <row r="751" ht="15" customHeight="1">
      <c r="A751" t="inlineStr">
        <is>
          <t>A 33698-2025</t>
        </is>
      </c>
      <c r="B751" s="1" t="n">
        <v>45841.70868055556</v>
      </c>
      <c r="C751" s="1" t="n">
        <v>45938</v>
      </c>
      <c r="D751" t="inlineStr">
        <is>
          <t>KALMAR LÄN</t>
        </is>
      </c>
      <c r="E751" t="inlineStr">
        <is>
          <t>VIMMERBY</t>
        </is>
      </c>
      <c r="G751" t="n">
        <v>3.7</v>
      </c>
      <c r="H751" t="n">
        <v>0</v>
      </c>
      <c r="I751" t="n">
        <v>0</v>
      </c>
      <c r="J751" t="n">
        <v>0</v>
      </c>
      <c r="K751" t="n">
        <v>0</v>
      </c>
      <c r="L751" t="n">
        <v>0</v>
      </c>
      <c r="M751" t="n">
        <v>0</v>
      </c>
      <c r="N751" t="n">
        <v>0</v>
      </c>
      <c r="O751" t="n">
        <v>0</v>
      </c>
      <c r="P751" t="n">
        <v>0</v>
      </c>
      <c r="Q751" t="n">
        <v>0</v>
      </c>
      <c r="R751" s="2" t="inlineStr"/>
    </row>
    <row r="752" ht="15" customHeight="1">
      <c r="A752" t="inlineStr">
        <is>
          <t>A 30977-2025</t>
        </is>
      </c>
      <c r="B752" s="1" t="n">
        <v>45832.46649305556</v>
      </c>
      <c r="C752" s="1" t="n">
        <v>45938</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52327-2023</t>
        </is>
      </c>
      <c r="B753" s="1" t="n">
        <v>45224.6515162037</v>
      </c>
      <c r="C753" s="1" t="n">
        <v>45938</v>
      </c>
      <c r="D753" t="inlineStr">
        <is>
          <t>KALMAR LÄN</t>
        </is>
      </c>
      <c r="E753" t="inlineStr">
        <is>
          <t>VIMMERBY</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12075-2024</t>
        </is>
      </c>
      <c r="B754" s="1" t="n">
        <v>45377</v>
      </c>
      <c r="C754" s="1" t="n">
        <v>45938</v>
      </c>
      <c r="D754" t="inlineStr">
        <is>
          <t>KALMAR LÄN</t>
        </is>
      </c>
      <c r="E754" t="inlineStr">
        <is>
          <t>VIMMERBY</t>
        </is>
      </c>
      <c r="G754" t="n">
        <v>3.7</v>
      </c>
      <c r="H754" t="n">
        <v>0</v>
      </c>
      <c r="I754" t="n">
        <v>0</v>
      </c>
      <c r="J754" t="n">
        <v>0</v>
      </c>
      <c r="K754" t="n">
        <v>0</v>
      </c>
      <c r="L754" t="n">
        <v>0</v>
      </c>
      <c r="M754" t="n">
        <v>0</v>
      </c>
      <c r="N754" t="n">
        <v>0</v>
      </c>
      <c r="O754" t="n">
        <v>0</v>
      </c>
      <c r="P754" t="n">
        <v>0</v>
      </c>
      <c r="Q754" t="n">
        <v>0</v>
      </c>
      <c r="R754" s="2" t="inlineStr"/>
    </row>
    <row r="755" ht="15" customHeight="1">
      <c r="A755" t="inlineStr">
        <is>
          <t>A 29348-2023</t>
        </is>
      </c>
      <c r="B755" s="1" t="n">
        <v>45106.25025462963</v>
      </c>
      <c r="C755" s="1" t="n">
        <v>45938</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33696-2025</t>
        </is>
      </c>
      <c r="B756" s="1" t="n">
        <v>45841.7072337963</v>
      </c>
      <c r="C756" s="1" t="n">
        <v>45938</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31340-2023</t>
        </is>
      </c>
      <c r="B757" s="1" t="n">
        <v>45114.47895833333</v>
      </c>
      <c r="C757" s="1" t="n">
        <v>45938</v>
      </c>
      <c r="D757" t="inlineStr">
        <is>
          <t>KALMAR LÄN</t>
        </is>
      </c>
      <c r="E757" t="inlineStr">
        <is>
          <t>VIMMERBY</t>
        </is>
      </c>
      <c r="G757" t="n">
        <v>1.8</v>
      </c>
      <c r="H757" t="n">
        <v>0</v>
      </c>
      <c r="I757" t="n">
        <v>0</v>
      </c>
      <c r="J757" t="n">
        <v>0</v>
      </c>
      <c r="K757" t="n">
        <v>0</v>
      </c>
      <c r="L757" t="n">
        <v>0</v>
      </c>
      <c r="M757" t="n">
        <v>0</v>
      </c>
      <c r="N757" t="n">
        <v>0</v>
      </c>
      <c r="O757" t="n">
        <v>0</v>
      </c>
      <c r="P757" t="n">
        <v>0</v>
      </c>
      <c r="Q757" t="n">
        <v>0</v>
      </c>
      <c r="R757" s="2" t="inlineStr"/>
    </row>
    <row r="758" ht="15" customHeight="1">
      <c r="A758" t="inlineStr">
        <is>
          <t>A 26956-2025</t>
        </is>
      </c>
      <c r="B758" s="1" t="n">
        <v>45811.45460648148</v>
      </c>
      <c r="C758" s="1" t="n">
        <v>45938</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34060-2025</t>
        </is>
      </c>
      <c r="B759" s="1" t="n">
        <v>45845.42015046296</v>
      </c>
      <c r="C759" s="1" t="n">
        <v>45938</v>
      </c>
      <c r="D759" t="inlineStr">
        <is>
          <t>KALMAR LÄN</t>
        </is>
      </c>
      <c r="E759" t="inlineStr">
        <is>
          <t>VIMMERBY</t>
        </is>
      </c>
      <c r="G759" t="n">
        <v>5.7</v>
      </c>
      <c r="H759" t="n">
        <v>0</v>
      </c>
      <c r="I759" t="n">
        <v>0</v>
      </c>
      <c r="J759" t="n">
        <v>0</v>
      </c>
      <c r="K759" t="n">
        <v>0</v>
      </c>
      <c r="L759" t="n">
        <v>0</v>
      </c>
      <c r="M759" t="n">
        <v>0</v>
      </c>
      <c r="N759" t="n">
        <v>0</v>
      </c>
      <c r="O759" t="n">
        <v>0</v>
      </c>
      <c r="P759" t="n">
        <v>0</v>
      </c>
      <c r="Q759" t="n">
        <v>0</v>
      </c>
      <c r="R759" s="2" t="inlineStr"/>
    </row>
    <row r="760" ht="15" customHeight="1">
      <c r="A760" t="inlineStr">
        <is>
          <t>A 34071-2025</t>
        </is>
      </c>
      <c r="B760" s="1" t="n">
        <v>45845.43803240741</v>
      </c>
      <c r="C760" s="1" t="n">
        <v>45938</v>
      </c>
      <c r="D760" t="inlineStr">
        <is>
          <t>KALMAR LÄN</t>
        </is>
      </c>
      <c r="E760" t="inlineStr">
        <is>
          <t>VIMMERBY</t>
        </is>
      </c>
      <c r="G760" t="n">
        <v>6.8</v>
      </c>
      <c r="H760" t="n">
        <v>0</v>
      </c>
      <c r="I760" t="n">
        <v>0</v>
      </c>
      <c r="J760" t="n">
        <v>0</v>
      </c>
      <c r="K760" t="n">
        <v>0</v>
      </c>
      <c r="L760" t="n">
        <v>0</v>
      </c>
      <c r="M760" t="n">
        <v>0</v>
      </c>
      <c r="N760" t="n">
        <v>0</v>
      </c>
      <c r="O760" t="n">
        <v>0</v>
      </c>
      <c r="P760" t="n">
        <v>0</v>
      </c>
      <c r="Q760" t="n">
        <v>0</v>
      </c>
      <c r="R760" s="2" t="inlineStr"/>
    </row>
    <row r="761" ht="15" customHeight="1">
      <c r="A761" t="inlineStr">
        <is>
          <t>A 34106-2025</t>
        </is>
      </c>
      <c r="B761" s="1" t="n">
        <v>45845.49414351852</v>
      </c>
      <c r="C761" s="1" t="n">
        <v>45938</v>
      </c>
      <c r="D761" t="inlineStr">
        <is>
          <t>KALMAR LÄN</t>
        </is>
      </c>
      <c r="E761" t="inlineStr">
        <is>
          <t>VIMMERBY</t>
        </is>
      </c>
      <c r="G761" t="n">
        <v>6</v>
      </c>
      <c r="H761" t="n">
        <v>0</v>
      </c>
      <c r="I761" t="n">
        <v>0</v>
      </c>
      <c r="J761" t="n">
        <v>0</v>
      </c>
      <c r="K761" t="n">
        <v>0</v>
      </c>
      <c r="L761" t="n">
        <v>0</v>
      </c>
      <c r="M761" t="n">
        <v>0</v>
      </c>
      <c r="N761" t="n">
        <v>0</v>
      </c>
      <c r="O761" t="n">
        <v>0</v>
      </c>
      <c r="P761" t="n">
        <v>0</v>
      </c>
      <c r="Q761" t="n">
        <v>0</v>
      </c>
      <c r="R761" s="2" t="inlineStr"/>
    </row>
    <row r="762" ht="15" customHeight="1">
      <c r="A762" t="inlineStr">
        <is>
          <t>A 28702-2025</t>
        </is>
      </c>
      <c r="B762" s="1" t="n">
        <v>45820.03976851852</v>
      </c>
      <c r="C762" s="1" t="n">
        <v>45938</v>
      </c>
      <c r="D762" t="inlineStr">
        <is>
          <t>KALMAR LÄN</t>
        </is>
      </c>
      <c r="E762" t="inlineStr">
        <is>
          <t>VIMMERBY</t>
        </is>
      </c>
      <c r="G762" t="n">
        <v>2.1</v>
      </c>
      <c r="H762" t="n">
        <v>0</v>
      </c>
      <c r="I762" t="n">
        <v>0</v>
      </c>
      <c r="J762" t="n">
        <v>0</v>
      </c>
      <c r="K762" t="n">
        <v>0</v>
      </c>
      <c r="L762" t="n">
        <v>0</v>
      </c>
      <c r="M762" t="n">
        <v>0</v>
      </c>
      <c r="N762" t="n">
        <v>0</v>
      </c>
      <c r="O762" t="n">
        <v>0</v>
      </c>
      <c r="P762" t="n">
        <v>0</v>
      </c>
      <c r="Q762" t="n">
        <v>0</v>
      </c>
      <c r="R762" s="2" t="inlineStr"/>
    </row>
    <row r="763" ht="15" customHeight="1">
      <c r="A763" t="inlineStr">
        <is>
          <t>A 7758-2024</t>
        </is>
      </c>
      <c r="B763" s="1" t="n">
        <v>45349.54434027777</v>
      </c>
      <c r="C763" s="1" t="n">
        <v>45938</v>
      </c>
      <c r="D763" t="inlineStr">
        <is>
          <t>KALMAR LÄN</t>
        </is>
      </c>
      <c r="E763" t="inlineStr">
        <is>
          <t>VIMMERBY</t>
        </is>
      </c>
      <c r="G763" t="n">
        <v>3.5</v>
      </c>
      <c r="H763" t="n">
        <v>0</v>
      </c>
      <c r="I763" t="n">
        <v>0</v>
      </c>
      <c r="J763" t="n">
        <v>0</v>
      </c>
      <c r="K763" t="n">
        <v>0</v>
      </c>
      <c r="L763" t="n">
        <v>0</v>
      </c>
      <c r="M763" t="n">
        <v>0</v>
      </c>
      <c r="N763" t="n">
        <v>0</v>
      </c>
      <c r="O763" t="n">
        <v>0</v>
      </c>
      <c r="P763" t="n">
        <v>0</v>
      </c>
      <c r="Q763" t="n">
        <v>0</v>
      </c>
      <c r="R763" s="2" t="inlineStr"/>
    </row>
    <row r="764" ht="15" customHeight="1">
      <c r="A764" t="inlineStr">
        <is>
          <t>A 5701-2024</t>
        </is>
      </c>
      <c r="B764" s="1" t="n">
        <v>45334.78826388889</v>
      </c>
      <c r="C764" s="1" t="n">
        <v>45938</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34628-2025</t>
        </is>
      </c>
      <c r="B765" s="1" t="n">
        <v>45847.91280092593</v>
      </c>
      <c r="C765" s="1" t="n">
        <v>45938</v>
      </c>
      <c r="D765" t="inlineStr">
        <is>
          <t>KALMAR LÄN</t>
        </is>
      </c>
      <c r="E765" t="inlineStr">
        <is>
          <t>VIMMERBY</t>
        </is>
      </c>
      <c r="G765" t="n">
        <v>4.2</v>
      </c>
      <c r="H765" t="n">
        <v>0</v>
      </c>
      <c r="I765" t="n">
        <v>0</v>
      </c>
      <c r="J765" t="n">
        <v>0</v>
      </c>
      <c r="K765" t="n">
        <v>0</v>
      </c>
      <c r="L765" t="n">
        <v>0</v>
      </c>
      <c r="M765" t="n">
        <v>0</v>
      </c>
      <c r="N765" t="n">
        <v>0</v>
      </c>
      <c r="O765" t="n">
        <v>0</v>
      </c>
      <c r="P765" t="n">
        <v>0</v>
      </c>
      <c r="Q765" t="n">
        <v>0</v>
      </c>
      <c r="R765" s="2" t="inlineStr"/>
    </row>
    <row r="766" ht="15" customHeight="1">
      <c r="A766" t="inlineStr">
        <is>
          <t>A 31405-2023</t>
        </is>
      </c>
      <c r="B766" s="1" t="n">
        <v>45114.58148148148</v>
      </c>
      <c r="C766" s="1" t="n">
        <v>45938</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6355-2022</t>
        </is>
      </c>
      <c r="B767" s="1" t="n">
        <v>44600</v>
      </c>
      <c r="C767" s="1" t="n">
        <v>45938</v>
      </c>
      <c r="D767" t="inlineStr">
        <is>
          <t>KALMAR LÄN</t>
        </is>
      </c>
      <c r="E767" t="inlineStr">
        <is>
          <t>VIMMERBY</t>
        </is>
      </c>
      <c r="G767" t="n">
        <v>4.9</v>
      </c>
      <c r="H767" t="n">
        <v>0</v>
      </c>
      <c r="I767" t="n">
        <v>0</v>
      </c>
      <c r="J767" t="n">
        <v>0</v>
      </c>
      <c r="K767" t="n">
        <v>0</v>
      </c>
      <c r="L767" t="n">
        <v>0</v>
      </c>
      <c r="M767" t="n">
        <v>0</v>
      </c>
      <c r="N767" t="n">
        <v>0</v>
      </c>
      <c r="O767" t="n">
        <v>0</v>
      </c>
      <c r="P767" t="n">
        <v>0</v>
      </c>
      <c r="Q767" t="n">
        <v>0</v>
      </c>
      <c r="R767" s="2" t="inlineStr"/>
    </row>
    <row r="768" ht="15" customHeight="1">
      <c r="A768" t="inlineStr">
        <is>
          <t>A 46225-2024</t>
        </is>
      </c>
      <c r="B768" s="1" t="n">
        <v>45581.57333333333</v>
      </c>
      <c r="C768" s="1" t="n">
        <v>45938</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9418-2024</t>
        </is>
      </c>
      <c r="B769" s="1" t="n">
        <v>45359.45038194444</v>
      </c>
      <c r="C769" s="1" t="n">
        <v>45938</v>
      </c>
      <c r="D769" t="inlineStr">
        <is>
          <t>KALMAR LÄN</t>
        </is>
      </c>
      <c r="E769" t="inlineStr">
        <is>
          <t>VIMMERBY</t>
        </is>
      </c>
      <c r="G769" t="n">
        <v>1.9</v>
      </c>
      <c r="H769" t="n">
        <v>0</v>
      </c>
      <c r="I769" t="n">
        <v>0</v>
      </c>
      <c r="J769" t="n">
        <v>0</v>
      </c>
      <c r="K769" t="n">
        <v>0</v>
      </c>
      <c r="L769" t="n">
        <v>0</v>
      </c>
      <c r="M769" t="n">
        <v>0</v>
      </c>
      <c r="N769" t="n">
        <v>0</v>
      </c>
      <c r="O769" t="n">
        <v>0</v>
      </c>
      <c r="P769" t="n">
        <v>0</v>
      </c>
      <c r="Q769" t="n">
        <v>0</v>
      </c>
      <c r="R769" s="2" t="inlineStr"/>
    </row>
    <row r="770" ht="15" customHeight="1">
      <c r="A770" t="inlineStr">
        <is>
          <t>A 57091-2022</t>
        </is>
      </c>
      <c r="B770" s="1" t="n">
        <v>44895.46524305556</v>
      </c>
      <c r="C770" s="1" t="n">
        <v>45938</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3816-2022</t>
        </is>
      </c>
      <c r="B771" s="1" t="n">
        <v>44587</v>
      </c>
      <c r="C771" s="1" t="n">
        <v>45938</v>
      </c>
      <c r="D771" t="inlineStr">
        <is>
          <t>KALMAR LÄN</t>
        </is>
      </c>
      <c r="E771" t="inlineStr">
        <is>
          <t>VIMMERBY</t>
        </is>
      </c>
      <c r="G771" t="n">
        <v>1.2</v>
      </c>
      <c r="H771" t="n">
        <v>0</v>
      </c>
      <c r="I771" t="n">
        <v>0</v>
      </c>
      <c r="J771" t="n">
        <v>0</v>
      </c>
      <c r="K771" t="n">
        <v>0</v>
      </c>
      <c r="L771" t="n">
        <v>0</v>
      </c>
      <c r="M771" t="n">
        <v>0</v>
      </c>
      <c r="N771" t="n">
        <v>0</v>
      </c>
      <c r="O771" t="n">
        <v>0</v>
      </c>
      <c r="P771" t="n">
        <v>0</v>
      </c>
      <c r="Q771" t="n">
        <v>0</v>
      </c>
      <c r="R771" s="2" t="inlineStr"/>
    </row>
    <row r="772" ht="15" customHeight="1">
      <c r="A772" t="inlineStr">
        <is>
          <t>A 43606-2024</t>
        </is>
      </c>
      <c r="B772" s="1" t="n">
        <v>45569.45017361111</v>
      </c>
      <c r="C772" s="1" t="n">
        <v>45938</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43617-2024</t>
        </is>
      </c>
      <c r="B773" s="1" t="n">
        <v>45569.47494212963</v>
      </c>
      <c r="C773" s="1" t="n">
        <v>45938</v>
      </c>
      <c r="D773" t="inlineStr">
        <is>
          <t>KALMAR LÄN</t>
        </is>
      </c>
      <c r="E773" t="inlineStr">
        <is>
          <t>VIMMERBY</t>
        </is>
      </c>
      <c r="G773" t="n">
        <v>2.7</v>
      </c>
      <c r="H773" t="n">
        <v>0</v>
      </c>
      <c r="I773" t="n">
        <v>0</v>
      </c>
      <c r="J773" t="n">
        <v>0</v>
      </c>
      <c r="K773" t="n">
        <v>0</v>
      </c>
      <c r="L773" t="n">
        <v>0</v>
      </c>
      <c r="M773" t="n">
        <v>0</v>
      </c>
      <c r="N773" t="n">
        <v>0</v>
      </c>
      <c r="O773" t="n">
        <v>0</v>
      </c>
      <c r="P773" t="n">
        <v>0</v>
      </c>
      <c r="Q773" t="n">
        <v>0</v>
      </c>
      <c r="R773" s="2" t="inlineStr"/>
    </row>
    <row r="774" ht="15" customHeight="1">
      <c r="A774" t="inlineStr">
        <is>
          <t>A 47859-2024</t>
        </is>
      </c>
      <c r="B774" s="1" t="n">
        <v>45588.67070601852</v>
      </c>
      <c r="C774" s="1" t="n">
        <v>45938</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8540-2024</t>
        </is>
      </c>
      <c r="B775" s="1" t="n">
        <v>45355.54138888889</v>
      </c>
      <c r="C775" s="1" t="n">
        <v>45938</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40925-2025</t>
        </is>
      </c>
      <c r="B776" s="1" t="n">
        <v>45897.64208333333</v>
      </c>
      <c r="C776" s="1" t="n">
        <v>45938</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3331-2023</t>
        </is>
      </c>
      <c r="B777" s="1" t="n">
        <v>44949</v>
      </c>
      <c r="C777" s="1" t="n">
        <v>45938</v>
      </c>
      <c r="D777" t="inlineStr">
        <is>
          <t>KALMAR LÄN</t>
        </is>
      </c>
      <c r="E777" t="inlineStr">
        <is>
          <t>VIMMERBY</t>
        </is>
      </c>
      <c r="G777" t="n">
        <v>6.2</v>
      </c>
      <c r="H777" t="n">
        <v>0</v>
      </c>
      <c r="I777" t="n">
        <v>0</v>
      </c>
      <c r="J777" t="n">
        <v>0</v>
      </c>
      <c r="K777" t="n">
        <v>0</v>
      </c>
      <c r="L777" t="n">
        <v>0</v>
      </c>
      <c r="M777" t="n">
        <v>0</v>
      </c>
      <c r="N777" t="n">
        <v>0</v>
      </c>
      <c r="O777" t="n">
        <v>0</v>
      </c>
      <c r="P777" t="n">
        <v>0</v>
      </c>
      <c r="Q777" t="n">
        <v>0</v>
      </c>
      <c r="R777" s="2" t="inlineStr"/>
    </row>
    <row r="778" ht="15" customHeight="1">
      <c r="A778" t="inlineStr">
        <is>
          <t>A 40973-2025</t>
        </is>
      </c>
      <c r="B778" s="1" t="n">
        <v>45897.89737268518</v>
      </c>
      <c r="C778" s="1" t="n">
        <v>45938</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35270-2025</t>
        </is>
      </c>
      <c r="B779" s="1" t="n">
        <v>45853.87112268519</v>
      </c>
      <c r="C779" s="1" t="n">
        <v>45938</v>
      </c>
      <c r="D779" t="inlineStr">
        <is>
          <t>KALMAR LÄN</t>
        </is>
      </c>
      <c r="E779" t="inlineStr">
        <is>
          <t>VIMMERBY</t>
        </is>
      </c>
      <c r="G779" t="n">
        <v>2.4</v>
      </c>
      <c r="H779" t="n">
        <v>0</v>
      </c>
      <c r="I779" t="n">
        <v>0</v>
      </c>
      <c r="J779" t="n">
        <v>0</v>
      </c>
      <c r="K779" t="n">
        <v>0</v>
      </c>
      <c r="L779" t="n">
        <v>0</v>
      </c>
      <c r="M779" t="n">
        <v>0</v>
      </c>
      <c r="N779" t="n">
        <v>0</v>
      </c>
      <c r="O779" t="n">
        <v>0</v>
      </c>
      <c r="P779" t="n">
        <v>0</v>
      </c>
      <c r="Q779" t="n">
        <v>0</v>
      </c>
      <c r="R779" s="2" t="inlineStr"/>
    </row>
    <row r="780" ht="15" customHeight="1">
      <c r="A780" t="inlineStr">
        <is>
          <t>A 598-2025</t>
        </is>
      </c>
      <c r="B780" s="1" t="n">
        <v>45660</v>
      </c>
      <c r="C780" s="1" t="n">
        <v>45938</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35271-2025</t>
        </is>
      </c>
      <c r="B781" s="1" t="n">
        <v>45853.87599537037</v>
      </c>
      <c r="C781" s="1" t="n">
        <v>45938</v>
      </c>
      <c r="D781" t="inlineStr">
        <is>
          <t>KALMAR LÄN</t>
        </is>
      </c>
      <c r="E781" t="inlineStr">
        <is>
          <t>VIMMERBY</t>
        </is>
      </c>
      <c r="G781" t="n">
        <v>0.4</v>
      </c>
      <c r="H781" t="n">
        <v>0</v>
      </c>
      <c r="I781" t="n">
        <v>0</v>
      </c>
      <c r="J781" t="n">
        <v>0</v>
      </c>
      <c r="K781" t="n">
        <v>0</v>
      </c>
      <c r="L781" t="n">
        <v>0</v>
      </c>
      <c r="M781" t="n">
        <v>0</v>
      </c>
      <c r="N781" t="n">
        <v>0</v>
      </c>
      <c r="O781" t="n">
        <v>0</v>
      </c>
      <c r="P781" t="n">
        <v>0</v>
      </c>
      <c r="Q781" t="n">
        <v>0</v>
      </c>
      <c r="R781" s="2" t="inlineStr"/>
    </row>
    <row r="782" ht="15" customHeight="1">
      <c r="A782" t="inlineStr">
        <is>
          <t>A 35272-2025</t>
        </is>
      </c>
      <c r="B782" s="1" t="n">
        <v>45853.88070601852</v>
      </c>
      <c r="C782" s="1" t="n">
        <v>45938</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40971-2025</t>
        </is>
      </c>
      <c r="B783" s="1" t="n">
        <v>45897.88836805556</v>
      </c>
      <c r="C783" s="1" t="n">
        <v>45938</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45938</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40970-2025</t>
        </is>
      </c>
      <c r="B785" s="1" t="n">
        <v>45897.88706018519</v>
      </c>
      <c r="C785" s="1" t="n">
        <v>45938</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53083-2021</t>
        </is>
      </c>
      <c r="B786" s="1" t="n">
        <v>44467.83386574074</v>
      </c>
      <c r="C786" s="1" t="n">
        <v>45938</v>
      </c>
      <c r="D786" t="inlineStr">
        <is>
          <t>KALMAR LÄN</t>
        </is>
      </c>
      <c r="E786" t="inlineStr">
        <is>
          <t>VIMMERBY</t>
        </is>
      </c>
      <c r="G786" t="n">
        <v>6.8</v>
      </c>
      <c r="H786" t="n">
        <v>0</v>
      </c>
      <c r="I786" t="n">
        <v>0</v>
      </c>
      <c r="J786" t="n">
        <v>0</v>
      </c>
      <c r="K786" t="n">
        <v>0</v>
      </c>
      <c r="L786" t="n">
        <v>0</v>
      </c>
      <c r="M786" t="n">
        <v>0</v>
      </c>
      <c r="N786" t="n">
        <v>0</v>
      </c>
      <c r="O786" t="n">
        <v>0</v>
      </c>
      <c r="P786" t="n">
        <v>0</v>
      </c>
      <c r="Q786" t="n">
        <v>0</v>
      </c>
      <c r="R786" s="2" t="inlineStr"/>
    </row>
    <row r="787" ht="15" customHeight="1">
      <c r="A787" t="inlineStr">
        <is>
          <t>A 40921-2025</t>
        </is>
      </c>
      <c r="B787" s="1" t="n">
        <v>45897.63520833333</v>
      </c>
      <c r="C787" s="1" t="n">
        <v>45938</v>
      </c>
      <c r="D787" t="inlineStr">
        <is>
          <t>KALMAR LÄN</t>
        </is>
      </c>
      <c r="E787" t="inlineStr">
        <is>
          <t>VIMMERBY</t>
        </is>
      </c>
      <c r="G787" t="n">
        <v>4.2</v>
      </c>
      <c r="H787" t="n">
        <v>0</v>
      </c>
      <c r="I787" t="n">
        <v>0</v>
      </c>
      <c r="J787" t="n">
        <v>0</v>
      </c>
      <c r="K787" t="n">
        <v>0</v>
      </c>
      <c r="L787" t="n">
        <v>0</v>
      </c>
      <c r="M787" t="n">
        <v>0</v>
      </c>
      <c r="N787" t="n">
        <v>0</v>
      </c>
      <c r="O787" t="n">
        <v>0</v>
      </c>
      <c r="P787" t="n">
        <v>0</v>
      </c>
      <c r="Q787" t="n">
        <v>0</v>
      </c>
      <c r="R787" s="2" t="inlineStr"/>
    </row>
    <row r="788" ht="15" customHeight="1">
      <c r="A788" t="inlineStr">
        <is>
          <t>A 16953-2025</t>
        </is>
      </c>
      <c r="B788" s="1" t="n">
        <v>45755.44333333334</v>
      </c>
      <c r="C788" s="1" t="n">
        <v>45938</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35596-2025</t>
        </is>
      </c>
      <c r="B789" s="1" t="n">
        <v>45858.60641203704</v>
      </c>
      <c r="C789" s="1" t="n">
        <v>45938</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24655-2021</t>
        </is>
      </c>
      <c r="B790" s="1" t="n">
        <v>44340</v>
      </c>
      <c r="C790" s="1" t="n">
        <v>45938</v>
      </c>
      <c r="D790" t="inlineStr">
        <is>
          <t>KALMAR LÄN</t>
        </is>
      </c>
      <c r="E790" t="inlineStr">
        <is>
          <t>VIMMERBY</t>
        </is>
      </c>
      <c r="G790" t="n">
        <v>14.9</v>
      </c>
      <c r="H790" t="n">
        <v>0</v>
      </c>
      <c r="I790" t="n">
        <v>0</v>
      </c>
      <c r="J790" t="n">
        <v>0</v>
      </c>
      <c r="K790" t="n">
        <v>0</v>
      </c>
      <c r="L790" t="n">
        <v>0</v>
      </c>
      <c r="M790" t="n">
        <v>0</v>
      </c>
      <c r="N790" t="n">
        <v>0</v>
      </c>
      <c r="O790" t="n">
        <v>0</v>
      </c>
      <c r="P790" t="n">
        <v>0</v>
      </c>
      <c r="Q790" t="n">
        <v>0</v>
      </c>
      <c r="R790" s="2" t="inlineStr"/>
    </row>
    <row r="791" ht="15" customHeight="1">
      <c r="A791" t="inlineStr">
        <is>
          <t>A 41589-2025</t>
        </is>
      </c>
      <c r="B791" s="1" t="n">
        <v>45901.63219907408</v>
      </c>
      <c r="C791" s="1" t="n">
        <v>45938</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41591-2025</t>
        </is>
      </c>
      <c r="B792" s="1" t="n">
        <v>45901.6327662037</v>
      </c>
      <c r="C792" s="1" t="n">
        <v>45938</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35597-2025</t>
        </is>
      </c>
      <c r="B793" s="1" t="n">
        <v>45858.66019675926</v>
      </c>
      <c r="C793" s="1" t="n">
        <v>45938</v>
      </c>
      <c r="D793" t="inlineStr">
        <is>
          <t>KALMAR LÄN</t>
        </is>
      </c>
      <c r="E793" t="inlineStr">
        <is>
          <t>VIMMERBY</t>
        </is>
      </c>
      <c r="G793" t="n">
        <v>6.4</v>
      </c>
      <c r="H793" t="n">
        <v>0</v>
      </c>
      <c r="I793" t="n">
        <v>0</v>
      </c>
      <c r="J793" t="n">
        <v>0</v>
      </c>
      <c r="K793" t="n">
        <v>0</v>
      </c>
      <c r="L793" t="n">
        <v>0</v>
      </c>
      <c r="M793" t="n">
        <v>0</v>
      </c>
      <c r="N793" t="n">
        <v>0</v>
      </c>
      <c r="O793" t="n">
        <v>0</v>
      </c>
      <c r="P793" t="n">
        <v>0</v>
      </c>
      <c r="Q793" t="n">
        <v>0</v>
      </c>
      <c r="R793" s="2" t="inlineStr"/>
    </row>
    <row r="794" ht="15" customHeight="1">
      <c r="A794" t="inlineStr">
        <is>
          <t>A 33838-2022</t>
        </is>
      </c>
      <c r="B794" s="1" t="n">
        <v>44790.49040509259</v>
      </c>
      <c r="C794" s="1" t="n">
        <v>45938</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32835-2022</t>
        </is>
      </c>
      <c r="B795" s="1" t="n">
        <v>44784.42528935185</v>
      </c>
      <c r="C795" s="1" t="n">
        <v>45938</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41224-2025</t>
        </is>
      </c>
      <c r="B796" s="1" t="n">
        <v>45898.58861111111</v>
      </c>
      <c r="C796" s="1" t="n">
        <v>45938</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1081-2023</t>
        </is>
      </c>
      <c r="B797" s="1" t="n">
        <v>44935</v>
      </c>
      <c r="C797" s="1" t="n">
        <v>45938</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47063-2022</t>
        </is>
      </c>
      <c r="B798" s="1" t="n">
        <v>44852</v>
      </c>
      <c r="C798" s="1" t="n">
        <v>45938</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28403-2023</t>
        </is>
      </c>
      <c r="B799" s="1" t="n">
        <v>45100.85270833333</v>
      </c>
      <c r="C799" s="1" t="n">
        <v>45938</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33103-2024</t>
        </is>
      </c>
      <c r="B800" s="1" t="n">
        <v>45517.8162037037</v>
      </c>
      <c r="C800" s="1" t="n">
        <v>45938</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41735-2025</t>
        </is>
      </c>
      <c r="B801" s="1" t="n">
        <v>45902.47164351852</v>
      </c>
      <c r="C801" s="1" t="n">
        <v>45938</v>
      </c>
      <c r="D801" t="inlineStr">
        <is>
          <t>KALMAR LÄN</t>
        </is>
      </c>
      <c r="E801" t="inlineStr">
        <is>
          <t>VIMMERBY</t>
        </is>
      </c>
      <c r="G801" t="n">
        <v>3</v>
      </c>
      <c r="H801" t="n">
        <v>0</v>
      </c>
      <c r="I801" t="n">
        <v>0</v>
      </c>
      <c r="J801" t="n">
        <v>0</v>
      </c>
      <c r="K801" t="n">
        <v>0</v>
      </c>
      <c r="L801" t="n">
        <v>0</v>
      </c>
      <c r="M801" t="n">
        <v>0</v>
      </c>
      <c r="N801" t="n">
        <v>0</v>
      </c>
      <c r="O801" t="n">
        <v>0</v>
      </c>
      <c r="P801" t="n">
        <v>0</v>
      </c>
      <c r="Q801" t="n">
        <v>0</v>
      </c>
      <c r="R801" s="2" t="inlineStr"/>
    </row>
    <row r="802" ht="15" customHeight="1">
      <c r="A802" t="inlineStr">
        <is>
          <t>A 2260-2022</t>
        </is>
      </c>
      <c r="B802" s="1" t="n">
        <v>44578.62943287037</v>
      </c>
      <c r="C802" s="1" t="n">
        <v>45938</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41896-2025</t>
        </is>
      </c>
      <c r="B803" s="1" t="n">
        <v>45903.38800925926</v>
      </c>
      <c r="C803" s="1" t="n">
        <v>45938</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11661-2023</t>
        </is>
      </c>
      <c r="B804" s="1" t="n">
        <v>44994.46908564815</v>
      </c>
      <c r="C804" s="1" t="n">
        <v>45938</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58046-2022</t>
        </is>
      </c>
      <c r="B805" s="1" t="n">
        <v>44900.57393518519</v>
      </c>
      <c r="C805" s="1" t="n">
        <v>45938</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45528-2021</t>
        </is>
      </c>
      <c r="B806" s="1" t="n">
        <v>44440.60415509259</v>
      </c>
      <c r="C806" s="1" t="n">
        <v>45938</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46979-2023</t>
        </is>
      </c>
      <c r="B807" s="1" t="n">
        <v>45201</v>
      </c>
      <c r="C807" s="1" t="n">
        <v>45938</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6574-2023</t>
        </is>
      </c>
      <c r="B808" s="1" t="n">
        <v>44966</v>
      </c>
      <c r="C808" s="1" t="n">
        <v>45938</v>
      </c>
      <c r="D808" t="inlineStr">
        <is>
          <t>KALMAR LÄN</t>
        </is>
      </c>
      <c r="E808" t="inlineStr">
        <is>
          <t>VIMMERBY</t>
        </is>
      </c>
      <c r="G808" t="n">
        <v>2.5</v>
      </c>
      <c r="H808" t="n">
        <v>0</v>
      </c>
      <c r="I808" t="n">
        <v>0</v>
      </c>
      <c r="J808" t="n">
        <v>0</v>
      </c>
      <c r="K808" t="n">
        <v>0</v>
      </c>
      <c r="L808" t="n">
        <v>0</v>
      </c>
      <c r="M808" t="n">
        <v>0</v>
      </c>
      <c r="N808" t="n">
        <v>0</v>
      </c>
      <c r="O808" t="n">
        <v>0</v>
      </c>
      <c r="P808" t="n">
        <v>0</v>
      </c>
      <c r="Q808" t="n">
        <v>0</v>
      </c>
      <c r="R808" s="2" t="inlineStr"/>
    </row>
    <row r="809" ht="15" customHeight="1">
      <c r="A809" t="inlineStr">
        <is>
          <t>A 4058-2024</t>
        </is>
      </c>
      <c r="B809" s="1" t="n">
        <v>45323.53744212963</v>
      </c>
      <c r="C809" s="1" t="n">
        <v>45938</v>
      </c>
      <c r="D809" t="inlineStr">
        <is>
          <t>KALMAR LÄN</t>
        </is>
      </c>
      <c r="E809" t="inlineStr">
        <is>
          <t>VIMMERBY</t>
        </is>
      </c>
      <c r="G809" t="n">
        <v>6.5</v>
      </c>
      <c r="H809" t="n">
        <v>0</v>
      </c>
      <c r="I809" t="n">
        <v>0</v>
      </c>
      <c r="J809" t="n">
        <v>0</v>
      </c>
      <c r="K809" t="n">
        <v>0</v>
      </c>
      <c r="L809" t="n">
        <v>0</v>
      </c>
      <c r="M809" t="n">
        <v>0</v>
      </c>
      <c r="N809" t="n">
        <v>0</v>
      </c>
      <c r="O809" t="n">
        <v>0</v>
      </c>
      <c r="P809" t="n">
        <v>0</v>
      </c>
      <c r="Q809" t="n">
        <v>0</v>
      </c>
      <c r="R809" s="2" t="inlineStr"/>
    </row>
    <row r="810" ht="15" customHeight="1">
      <c r="A810" t="inlineStr">
        <is>
          <t>A 1978-2024</t>
        </is>
      </c>
      <c r="B810" s="1" t="n">
        <v>45308.59001157407</v>
      </c>
      <c r="C810" s="1" t="n">
        <v>45938</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36226-2025</t>
        </is>
      </c>
      <c r="B811" s="1" t="n">
        <v>45867.51630787037</v>
      </c>
      <c r="C811" s="1" t="n">
        <v>45938</v>
      </c>
      <c r="D811" t="inlineStr">
        <is>
          <t>KALMAR LÄN</t>
        </is>
      </c>
      <c r="E811" t="inlineStr">
        <is>
          <t>VIMMERBY</t>
        </is>
      </c>
      <c r="G811" t="n">
        <v>3.1</v>
      </c>
      <c r="H811" t="n">
        <v>0</v>
      </c>
      <c r="I811" t="n">
        <v>0</v>
      </c>
      <c r="J811" t="n">
        <v>0</v>
      </c>
      <c r="K811" t="n">
        <v>0</v>
      </c>
      <c r="L811" t="n">
        <v>0</v>
      </c>
      <c r="M811" t="n">
        <v>0</v>
      </c>
      <c r="N811" t="n">
        <v>0</v>
      </c>
      <c r="O811" t="n">
        <v>0</v>
      </c>
      <c r="P811" t="n">
        <v>0</v>
      </c>
      <c r="Q811" t="n">
        <v>0</v>
      </c>
      <c r="R811" s="2" t="inlineStr"/>
    </row>
    <row r="812" ht="15" customHeight="1">
      <c r="A812" t="inlineStr">
        <is>
          <t>A 36273-2025</t>
        </is>
      </c>
      <c r="B812" s="1" t="n">
        <v>45867.63094907408</v>
      </c>
      <c r="C812" s="1" t="n">
        <v>45938</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36282-2025</t>
        </is>
      </c>
      <c r="B813" s="1" t="n">
        <v>45867.64663194444</v>
      </c>
      <c r="C813" s="1" t="n">
        <v>45938</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36246-2025</t>
        </is>
      </c>
      <c r="B814" s="1" t="n">
        <v>45867.56320601852</v>
      </c>
      <c r="C814" s="1" t="n">
        <v>45938</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30318-2023</t>
        </is>
      </c>
      <c r="B815" s="1" t="n">
        <v>45111.30824074074</v>
      </c>
      <c r="C815" s="1" t="n">
        <v>45938</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36297-2025</t>
        </is>
      </c>
      <c r="B816" s="1" t="n">
        <v>45867.68625</v>
      </c>
      <c r="C816" s="1" t="n">
        <v>45938</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42828-2025</t>
        </is>
      </c>
      <c r="B817" s="1" t="n">
        <v>45908.57716435185</v>
      </c>
      <c r="C817" s="1" t="n">
        <v>45938</v>
      </c>
      <c r="D817" t="inlineStr">
        <is>
          <t>KALMAR LÄN</t>
        </is>
      </c>
      <c r="E817" t="inlineStr">
        <is>
          <t>VIMMERBY</t>
        </is>
      </c>
      <c r="G817" t="n">
        <v>5.2</v>
      </c>
      <c r="H817" t="n">
        <v>0</v>
      </c>
      <c r="I817" t="n">
        <v>0</v>
      </c>
      <c r="J817" t="n">
        <v>0</v>
      </c>
      <c r="K817" t="n">
        <v>0</v>
      </c>
      <c r="L817" t="n">
        <v>0</v>
      </c>
      <c r="M817" t="n">
        <v>0</v>
      </c>
      <c r="N817" t="n">
        <v>0</v>
      </c>
      <c r="O817" t="n">
        <v>0</v>
      </c>
      <c r="P817" t="n">
        <v>0</v>
      </c>
      <c r="Q817" t="n">
        <v>0</v>
      </c>
      <c r="R817" s="2" t="inlineStr"/>
    </row>
    <row r="818" ht="15" customHeight="1">
      <c r="A818" t="inlineStr">
        <is>
          <t>A 25234-2023</t>
        </is>
      </c>
      <c r="B818" s="1" t="n">
        <v>45086.63194444445</v>
      </c>
      <c r="C818" s="1" t="n">
        <v>45938</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46078-2023</t>
        </is>
      </c>
      <c r="B819" s="1" t="n">
        <v>45196</v>
      </c>
      <c r="C819" s="1" t="n">
        <v>45938</v>
      </c>
      <c r="D819" t="inlineStr">
        <is>
          <t>KALMAR LÄN</t>
        </is>
      </c>
      <c r="E819" t="inlineStr">
        <is>
          <t>VIMMERBY</t>
        </is>
      </c>
      <c r="G819" t="n">
        <v>0.7</v>
      </c>
      <c r="H819" t="n">
        <v>0</v>
      </c>
      <c r="I819" t="n">
        <v>0</v>
      </c>
      <c r="J819" t="n">
        <v>0</v>
      </c>
      <c r="K819" t="n">
        <v>0</v>
      </c>
      <c r="L819" t="n">
        <v>0</v>
      </c>
      <c r="M819" t="n">
        <v>0</v>
      </c>
      <c r="N819" t="n">
        <v>0</v>
      </c>
      <c r="O819" t="n">
        <v>0</v>
      </c>
      <c r="P819" t="n">
        <v>0</v>
      </c>
      <c r="Q819" t="n">
        <v>0</v>
      </c>
      <c r="R819" s="2" t="inlineStr"/>
    </row>
    <row r="820" ht="15" customHeight="1">
      <c r="A820" t="inlineStr">
        <is>
          <t>A 36221-2025</t>
        </is>
      </c>
      <c r="B820" s="1" t="n">
        <v>45867.50792824074</v>
      </c>
      <c r="C820" s="1" t="n">
        <v>45938</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19502-2025</t>
        </is>
      </c>
      <c r="B821" s="1" t="n">
        <v>45769</v>
      </c>
      <c r="C821" s="1" t="n">
        <v>45938</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36299-2025</t>
        </is>
      </c>
      <c r="B822" s="1" t="n">
        <v>45867.69346064814</v>
      </c>
      <c r="C822" s="1" t="n">
        <v>45938</v>
      </c>
      <c r="D822" t="inlineStr">
        <is>
          <t>KALMAR LÄN</t>
        </is>
      </c>
      <c r="E822" t="inlineStr">
        <is>
          <t>VIMMERBY</t>
        </is>
      </c>
      <c r="G822" t="n">
        <v>7.6</v>
      </c>
      <c r="H822" t="n">
        <v>0</v>
      </c>
      <c r="I822" t="n">
        <v>0</v>
      </c>
      <c r="J822" t="n">
        <v>0</v>
      </c>
      <c r="K822" t="n">
        <v>0</v>
      </c>
      <c r="L822" t="n">
        <v>0</v>
      </c>
      <c r="M822" t="n">
        <v>0</v>
      </c>
      <c r="N822" t="n">
        <v>0</v>
      </c>
      <c r="O822" t="n">
        <v>0</v>
      </c>
      <c r="P822" t="n">
        <v>0</v>
      </c>
      <c r="Q822" t="n">
        <v>0</v>
      </c>
      <c r="R822" s="2" t="inlineStr"/>
    </row>
    <row r="823" ht="15" customHeight="1">
      <c r="A823" t="inlineStr">
        <is>
          <t>A 3609-2024</t>
        </is>
      </c>
      <c r="B823" s="1" t="n">
        <v>45320.89128472222</v>
      </c>
      <c r="C823" s="1" t="n">
        <v>45938</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43617-2025</t>
        </is>
      </c>
      <c r="B824" s="1" t="n">
        <v>45911.67798611111</v>
      </c>
      <c r="C824" s="1" t="n">
        <v>45938</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10424-2023</t>
        </is>
      </c>
      <c r="B825" s="1" t="n">
        <v>44987.54104166666</v>
      </c>
      <c r="C825" s="1" t="n">
        <v>45938</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36538-2025</t>
        </is>
      </c>
      <c r="B826" s="1" t="n">
        <v>45869.62276620371</v>
      </c>
      <c r="C826" s="1" t="n">
        <v>45938</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49382-2023</t>
        </is>
      </c>
      <c r="B827" s="1" t="n">
        <v>45208</v>
      </c>
      <c r="C827" s="1" t="n">
        <v>45938</v>
      </c>
      <c r="D827" t="inlineStr">
        <is>
          <t>KALMAR LÄN</t>
        </is>
      </c>
      <c r="E827" t="inlineStr">
        <is>
          <t>VIMMERBY</t>
        </is>
      </c>
      <c r="G827" t="n">
        <v>2.2</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45001.43854166667</v>
      </c>
      <c r="C828" s="1" t="n">
        <v>45938</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3425-2022</t>
        </is>
      </c>
      <c r="B829" s="1" t="n">
        <v>44585.51060185185</v>
      </c>
      <c r="C829" s="1" t="n">
        <v>45938</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60675-2023</t>
        </is>
      </c>
      <c r="B830" s="1" t="n">
        <v>45260.4716550926</v>
      </c>
      <c r="C830" s="1" t="n">
        <v>45938</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2536-2023</t>
        </is>
      </c>
      <c r="B831" s="1" t="n">
        <v>44943.62954861111</v>
      </c>
      <c r="C831" s="1" t="n">
        <v>45938</v>
      </c>
      <c r="D831" t="inlineStr">
        <is>
          <t>KALMAR LÄN</t>
        </is>
      </c>
      <c r="E831" t="inlineStr">
        <is>
          <t>VIMMERBY</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43465-2025</t>
        </is>
      </c>
      <c r="B832" s="1" t="n">
        <v>45911.47138888889</v>
      </c>
      <c r="C832" s="1" t="n">
        <v>45938</v>
      </c>
      <c r="D832" t="inlineStr">
        <is>
          <t>KALMAR LÄN</t>
        </is>
      </c>
      <c r="E832" t="inlineStr">
        <is>
          <t>VIMMERBY</t>
        </is>
      </c>
      <c r="G832" t="n">
        <v>0.7</v>
      </c>
      <c r="H832" t="n">
        <v>0</v>
      </c>
      <c r="I832" t="n">
        <v>0</v>
      </c>
      <c r="J832" t="n">
        <v>0</v>
      </c>
      <c r="K832" t="n">
        <v>0</v>
      </c>
      <c r="L832" t="n">
        <v>0</v>
      </c>
      <c r="M832" t="n">
        <v>0</v>
      </c>
      <c r="N832" t="n">
        <v>0</v>
      </c>
      <c r="O832" t="n">
        <v>0</v>
      </c>
      <c r="P832" t="n">
        <v>0</v>
      </c>
      <c r="Q832" t="n">
        <v>0</v>
      </c>
      <c r="R832" s="2" t="inlineStr"/>
    </row>
    <row r="833" ht="15" customHeight="1">
      <c r="A833" t="inlineStr">
        <is>
          <t>A 42794-2025</t>
        </is>
      </c>
      <c r="B833" s="1" t="n">
        <v>45908</v>
      </c>
      <c r="C833" s="1" t="n">
        <v>45938</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34090-2025</t>
        </is>
      </c>
      <c r="B834" s="1" t="n">
        <v>45845</v>
      </c>
      <c r="C834" s="1" t="n">
        <v>45938</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36598-2025</t>
        </is>
      </c>
      <c r="B835" s="1" t="n">
        <v>45870.51708333333</v>
      </c>
      <c r="C835" s="1" t="n">
        <v>45938</v>
      </c>
      <c r="D835" t="inlineStr">
        <is>
          <t>KALMAR LÄN</t>
        </is>
      </c>
      <c r="E835" t="inlineStr">
        <is>
          <t>VIMMERBY</t>
        </is>
      </c>
      <c r="G835" t="n">
        <v>3.7</v>
      </c>
      <c r="H835" t="n">
        <v>0</v>
      </c>
      <c r="I835" t="n">
        <v>0</v>
      </c>
      <c r="J835" t="n">
        <v>0</v>
      </c>
      <c r="K835" t="n">
        <v>0</v>
      </c>
      <c r="L835" t="n">
        <v>0</v>
      </c>
      <c r="M835" t="n">
        <v>0</v>
      </c>
      <c r="N835" t="n">
        <v>0</v>
      </c>
      <c r="O835" t="n">
        <v>0</v>
      </c>
      <c r="P835" t="n">
        <v>0</v>
      </c>
      <c r="Q835" t="n">
        <v>0</v>
      </c>
      <c r="R835" s="2" t="inlineStr"/>
    </row>
    <row r="836" ht="15" customHeight="1">
      <c r="A836" t="inlineStr">
        <is>
          <t>A 36602-2025</t>
        </is>
      </c>
      <c r="B836" s="1" t="n">
        <v>45870.52111111111</v>
      </c>
      <c r="C836" s="1" t="n">
        <v>45938</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44091-2025</t>
        </is>
      </c>
      <c r="B837" s="1" t="n">
        <v>45915.55950231481</v>
      </c>
      <c r="C837" s="1" t="n">
        <v>45938</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36603-2025</t>
        </is>
      </c>
      <c r="B838" s="1" t="n">
        <v>45870.52142361111</v>
      </c>
      <c r="C838" s="1" t="n">
        <v>45938</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44095-2025</t>
        </is>
      </c>
      <c r="B839" s="1" t="n">
        <v>45915.56430555556</v>
      </c>
      <c r="C839" s="1" t="n">
        <v>45938</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36600-2025</t>
        </is>
      </c>
      <c r="B840" s="1" t="n">
        <v>45870.51958333333</v>
      </c>
      <c r="C840" s="1" t="n">
        <v>45938</v>
      </c>
      <c r="D840" t="inlineStr">
        <is>
          <t>KALMAR LÄN</t>
        </is>
      </c>
      <c r="E840" t="inlineStr">
        <is>
          <t>VIMMERBY</t>
        </is>
      </c>
      <c r="G840" t="n">
        <v>2</v>
      </c>
      <c r="H840" t="n">
        <v>0</v>
      </c>
      <c r="I840" t="n">
        <v>0</v>
      </c>
      <c r="J840" t="n">
        <v>0</v>
      </c>
      <c r="K840" t="n">
        <v>0</v>
      </c>
      <c r="L840" t="n">
        <v>0</v>
      </c>
      <c r="M840" t="n">
        <v>0</v>
      </c>
      <c r="N840" t="n">
        <v>0</v>
      </c>
      <c r="O840" t="n">
        <v>0</v>
      </c>
      <c r="P840" t="n">
        <v>0</v>
      </c>
      <c r="Q840" t="n">
        <v>0</v>
      </c>
      <c r="R840" s="2" t="inlineStr"/>
    </row>
    <row r="841" ht="15" customHeight="1">
      <c r="A841" t="inlineStr">
        <is>
          <t>A 36601-2025</t>
        </is>
      </c>
      <c r="B841" s="1" t="n">
        <v>45870.52005787037</v>
      </c>
      <c r="C841" s="1" t="n">
        <v>45938</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44742-2025</t>
        </is>
      </c>
      <c r="B842" s="1" t="n">
        <v>45917.67054398148</v>
      </c>
      <c r="C842" s="1" t="n">
        <v>45938</v>
      </c>
      <c r="D842" t="inlineStr">
        <is>
          <t>KALMAR LÄN</t>
        </is>
      </c>
      <c r="E842" t="inlineStr">
        <is>
          <t>VIMMERBY</t>
        </is>
      </c>
      <c r="G842" t="n">
        <v>4.7</v>
      </c>
      <c r="H842" t="n">
        <v>0</v>
      </c>
      <c r="I842" t="n">
        <v>0</v>
      </c>
      <c r="J842" t="n">
        <v>0</v>
      </c>
      <c r="K842" t="n">
        <v>0</v>
      </c>
      <c r="L842" t="n">
        <v>0</v>
      </c>
      <c r="M842" t="n">
        <v>0</v>
      </c>
      <c r="N842" t="n">
        <v>0</v>
      </c>
      <c r="O842" t="n">
        <v>0</v>
      </c>
      <c r="P842" t="n">
        <v>0</v>
      </c>
      <c r="Q842" t="n">
        <v>0</v>
      </c>
      <c r="R842" s="2" t="inlineStr"/>
    </row>
    <row r="843" ht="15" customHeight="1">
      <c r="A843" t="inlineStr">
        <is>
          <t>A 37088-2025</t>
        </is>
      </c>
      <c r="B843" s="1" t="n">
        <v>45875.45716435185</v>
      </c>
      <c r="C843" s="1" t="n">
        <v>45938</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37102-2025</t>
        </is>
      </c>
      <c r="B844" s="1" t="n">
        <v>45875.47454861111</v>
      </c>
      <c r="C844" s="1" t="n">
        <v>45938</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37079-2025</t>
        </is>
      </c>
      <c r="B845" s="1" t="n">
        <v>45875.42716435185</v>
      </c>
      <c r="C845" s="1" t="n">
        <v>45938</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44329-2025</t>
        </is>
      </c>
      <c r="B846" s="1" t="n">
        <v>45916.41019675926</v>
      </c>
      <c r="C846" s="1" t="n">
        <v>45938</v>
      </c>
      <c r="D846" t="inlineStr">
        <is>
          <t>KALMAR LÄN</t>
        </is>
      </c>
      <c r="E846" t="inlineStr">
        <is>
          <t>VIMMERBY</t>
        </is>
      </c>
      <c r="G846" t="n">
        <v>4.3</v>
      </c>
      <c r="H846" t="n">
        <v>0</v>
      </c>
      <c r="I846" t="n">
        <v>0</v>
      </c>
      <c r="J846" t="n">
        <v>0</v>
      </c>
      <c r="K846" t="n">
        <v>0</v>
      </c>
      <c r="L846" t="n">
        <v>0</v>
      </c>
      <c r="M846" t="n">
        <v>0</v>
      </c>
      <c r="N846" t="n">
        <v>0</v>
      </c>
      <c r="O846" t="n">
        <v>0</v>
      </c>
      <c r="P846" t="n">
        <v>0</v>
      </c>
      <c r="Q846" t="n">
        <v>0</v>
      </c>
      <c r="R846" s="2" t="inlineStr"/>
    </row>
    <row r="847" ht="15" customHeight="1">
      <c r="A847" t="inlineStr">
        <is>
          <t>A 44517-2025</t>
        </is>
      </c>
      <c r="B847" s="1" t="n">
        <v>45916.7103587963</v>
      </c>
      <c r="C847" s="1" t="n">
        <v>45938</v>
      </c>
      <c r="D847" t="inlineStr">
        <is>
          <t>KALMAR LÄN</t>
        </is>
      </c>
      <c r="E847" t="inlineStr">
        <is>
          <t>VIMMERBY</t>
        </is>
      </c>
      <c r="G847" t="n">
        <v>0.9</v>
      </c>
      <c r="H847" t="n">
        <v>0</v>
      </c>
      <c r="I847" t="n">
        <v>0</v>
      </c>
      <c r="J847" t="n">
        <v>0</v>
      </c>
      <c r="K847" t="n">
        <v>0</v>
      </c>
      <c r="L847" t="n">
        <v>0</v>
      </c>
      <c r="M847" t="n">
        <v>0</v>
      </c>
      <c r="N847" t="n">
        <v>0</v>
      </c>
      <c r="O847" t="n">
        <v>0</v>
      </c>
      <c r="P847" t="n">
        <v>0</v>
      </c>
      <c r="Q847" t="n">
        <v>0</v>
      </c>
      <c r="R847" s="2" t="inlineStr"/>
    </row>
    <row r="848" ht="15" customHeight="1">
      <c r="A848" t="inlineStr">
        <is>
          <t>A 36934-2025</t>
        </is>
      </c>
      <c r="B848" s="1" t="n">
        <v>45874.57109953704</v>
      </c>
      <c r="C848" s="1" t="n">
        <v>45938</v>
      </c>
      <c r="D848" t="inlineStr">
        <is>
          <t>KALMAR LÄN</t>
        </is>
      </c>
      <c r="E848" t="inlineStr">
        <is>
          <t>VIMMERBY</t>
        </is>
      </c>
      <c r="G848" t="n">
        <v>4.2</v>
      </c>
      <c r="H848" t="n">
        <v>0</v>
      </c>
      <c r="I848" t="n">
        <v>0</v>
      </c>
      <c r="J848" t="n">
        <v>0</v>
      </c>
      <c r="K848" t="n">
        <v>0</v>
      </c>
      <c r="L848" t="n">
        <v>0</v>
      </c>
      <c r="M848" t="n">
        <v>0</v>
      </c>
      <c r="N848" t="n">
        <v>0</v>
      </c>
      <c r="O848" t="n">
        <v>0</v>
      </c>
      <c r="P848" t="n">
        <v>0</v>
      </c>
      <c r="Q848" t="n">
        <v>0</v>
      </c>
      <c r="R848" s="2" t="inlineStr"/>
    </row>
    <row r="849" ht="15" customHeight="1">
      <c r="A849" t="inlineStr">
        <is>
          <t>A 45114-2025</t>
        </is>
      </c>
      <c r="B849" s="1" t="n">
        <v>45919.42387731482</v>
      </c>
      <c r="C849" s="1" t="n">
        <v>45938</v>
      </c>
      <c r="D849" t="inlineStr">
        <is>
          <t>KALMAR LÄN</t>
        </is>
      </c>
      <c r="E849" t="inlineStr">
        <is>
          <t>VIMMERBY</t>
        </is>
      </c>
      <c r="G849" t="n">
        <v>2.7</v>
      </c>
      <c r="H849" t="n">
        <v>0</v>
      </c>
      <c r="I849" t="n">
        <v>0</v>
      </c>
      <c r="J849" t="n">
        <v>0</v>
      </c>
      <c r="K849" t="n">
        <v>0</v>
      </c>
      <c r="L849" t="n">
        <v>0</v>
      </c>
      <c r="M849" t="n">
        <v>0</v>
      </c>
      <c r="N849" t="n">
        <v>0</v>
      </c>
      <c r="O849" t="n">
        <v>0</v>
      </c>
      <c r="P849" t="n">
        <v>0</v>
      </c>
      <c r="Q849" t="n">
        <v>0</v>
      </c>
      <c r="R849" s="2" t="inlineStr"/>
    </row>
    <row r="850" ht="15" customHeight="1">
      <c r="A850" t="inlineStr">
        <is>
          <t>A 37578-2025</t>
        </is>
      </c>
      <c r="B850" s="1" t="n">
        <v>45880.38380787037</v>
      </c>
      <c r="C850" s="1" t="n">
        <v>45938</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45319-2025</t>
        </is>
      </c>
      <c r="B851" s="1" t="n">
        <v>45921.95611111111</v>
      </c>
      <c r="C851" s="1" t="n">
        <v>45938</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45320-2025</t>
        </is>
      </c>
      <c r="B852" s="1" t="n">
        <v>45921.96395833333</v>
      </c>
      <c r="C852" s="1" t="n">
        <v>45938</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37668-2025</t>
        </is>
      </c>
      <c r="B853" s="1" t="n">
        <v>45880.51550925926</v>
      </c>
      <c r="C853" s="1" t="n">
        <v>45938</v>
      </c>
      <c r="D853" t="inlineStr">
        <is>
          <t>KALMAR LÄN</t>
        </is>
      </c>
      <c r="E853" t="inlineStr">
        <is>
          <t>VIMMERBY</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46118-2025</t>
        </is>
      </c>
      <c r="B854" s="1" t="n">
        <v>45924.57697916667</v>
      </c>
      <c r="C854" s="1" t="n">
        <v>45938</v>
      </c>
      <c r="D854" t="inlineStr">
        <is>
          <t>KALMAR LÄN</t>
        </is>
      </c>
      <c r="E854" t="inlineStr">
        <is>
          <t>VIMMERBY</t>
        </is>
      </c>
      <c r="G854" t="n">
        <v>2.9</v>
      </c>
      <c r="H854" t="n">
        <v>0</v>
      </c>
      <c r="I854" t="n">
        <v>0</v>
      </c>
      <c r="J854" t="n">
        <v>0</v>
      </c>
      <c r="K854" t="n">
        <v>0</v>
      </c>
      <c r="L854" t="n">
        <v>0</v>
      </c>
      <c r="M854" t="n">
        <v>0</v>
      </c>
      <c r="N854" t="n">
        <v>0</v>
      </c>
      <c r="O854" t="n">
        <v>0</v>
      </c>
      <c r="P854" t="n">
        <v>0</v>
      </c>
      <c r="Q854" t="n">
        <v>0</v>
      </c>
      <c r="R854" s="2" t="inlineStr"/>
    </row>
    <row r="855" ht="15" customHeight="1">
      <c r="A855" t="inlineStr">
        <is>
          <t>A 37939-2025</t>
        </is>
      </c>
      <c r="B855" s="1" t="n">
        <v>45881.59877314815</v>
      </c>
      <c r="C855" s="1" t="n">
        <v>45938</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37866-2025</t>
        </is>
      </c>
      <c r="B856" s="1" t="n">
        <v>45881</v>
      </c>
      <c r="C856" s="1" t="n">
        <v>45938</v>
      </c>
      <c r="D856" t="inlineStr">
        <is>
          <t>KALMAR LÄN</t>
        </is>
      </c>
      <c r="E856" t="inlineStr">
        <is>
          <t>VIMMERBY</t>
        </is>
      </c>
      <c r="G856" t="n">
        <v>3.4</v>
      </c>
      <c r="H856" t="n">
        <v>0</v>
      </c>
      <c r="I856" t="n">
        <v>0</v>
      </c>
      <c r="J856" t="n">
        <v>0</v>
      </c>
      <c r="K856" t="n">
        <v>0</v>
      </c>
      <c r="L856" t="n">
        <v>0</v>
      </c>
      <c r="M856" t="n">
        <v>0</v>
      </c>
      <c r="N856" t="n">
        <v>0</v>
      </c>
      <c r="O856" t="n">
        <v>0</v>
      </c>
      <c r="P856" t="n">
        <v>0</v>
      </c>
      <c r="Q856" t="n">
        <v>0</v>
      </c>
      <c r="R856" s="2" t="inlineStr"/>
    </row>
    <row r="857" ht="15" customHeight="1">
      <c r="A857" t="inlineStr">
        <is>
          <t>A 46361-2025</t>
        </is>
      </c>
      <c r="B857" s="1" t="n">
        <v>45925.49670138889</v>
      </c>
      <c r="C857" s="1" t="n">
        <v>45938</v>
      </c>
      <c r="D857" t="inlineStr">
        <is>
          <t>KALMAR LÄN</t>
        </is>
      </c>
      <c r="E857" t="inlineStr">
        <is>
          <t>VIMMERBY</t>
        </is>
      </c>
      <c r="G857" t="n">
        <v>4.2</v>
      </c>
      <c r="H857" t="n">
        <v>0</v>
      </c>
      <c r="I857" t="n">
        <v>0</v>
      </c>
      <c r="J857" t="n">
        <v>0</v>
      </c>
      <c r="K857" t="n">
        <v>0</v>
      </c>
      <c r="L857" t="n">
        <v>0</v>
      </c>
      <c r="M857" t="n">
        <v>0</v>
      </c>
      <c r="N857" t="n">
        <v>0</v>
      </c>
      <c r="O857" t="n">
        <v>0</v>
      </c>
      <c r="P857" t="n">
        <v>0</v>
      </c>
      <c r="Q857" t="n">
        <v>0</v>
      </c>
      <c r="R857" s="2" t="inlineStr"/>
    </row>
    <row r="858">
      <c r="A858" t="inlineStr">
        <is>
          <t>A 46365-2025</t>
        </is>
      </c>
      <c r="B858" s="1" t="n">
        <v>45925.50075231482</v>
      </c>
      <c r="C858" s="1" t="n">
        <v>45938</v>
      </c>
      <c r="D858" t="inlineStr">
        <is>
          <t>KALMAR LÄN</t>
        </is>
      </c>
      <c r="E858" t="inlineStr">
        <is>
          <t>VIMMERBY</t>
        </is>
      </c>
      <c r="G858" t="n">
        <v>5.6</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2025-10-08T12:36:06Z</dcterms:created>
  <dcterms:modified xmlns:dcterms="http://purl.org/dc/terms/" xmlns:xsi="http://www.w3.org/2001/XMLSchema-instance" xsi:type="dcterms:W3CDTF">2025-10-08T12:36:07Z</dcterms:modified>
</cp:coreProperties>
</file>