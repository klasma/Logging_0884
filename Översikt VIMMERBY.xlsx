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46004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46004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46004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46004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46004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46004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46004</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46004</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46004</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46004</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46004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46824-2025</t>
        </is>
      </c>
      <c r="B13" s="1" t="n">
        <v>45926.90006944445</v>
      </c>
      <c r="C13" s="1" t="n">
        <v>46004</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46004</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15808-2025</t>
        </is>
      </c>
      <c r="B15" s="1" t="n">
        <v>45748</v>
      </c>
      <c r="C15" s="1" t="n">
        <v>46004</v>
      </c>
      <c r="D15" t="inlineStr">
        <is>
          <t>KALMAR LÄN</t>
        </is>
      </c>
      <c r="E15" t="inlineStr">
        <is>
          <t>VIMMERBY</t>
        </is>
      </c>
      <c r="G15" t="n">
        <v>6.1</v>
      </c>
      <c r="H15" t="n">
        <v>4</v>
      </c>
      <c r="I15" t="n">
        <v>0</v>
      </c>
      <c r="J15" t="n">
        <v>1</v>
      </c>
      <c r="K15" t="n">
        <v>0</v>
      </c>
      <c r="L15" t="n">
        <v>0</v>
      </c>
      <c r="M15" t="n">
        <v>0</v>
      </c>
      <c r="N15" t="n">
        <v>0</v>
      </c>
      <c r="O15" t="n">
        <v>1</v>
      </c>
      <c r="P15" t="n">
        <v>0</v>
      </c>
      <c r="Q15" t="n">
        <v>4</v>
      </c>
      <c r="R15" s="2" t="inlineStr">
        <is>
          <t>Talltita
Kungsfågel
Åkergroda
Mattlummer</t>
        </is>
      </c>
      <c r="S15">
        <f>HYPERLINK("https://klasma.github.io/Logging_0884/artfynd/A 15808-2025 artfynd.xlsx", "A 15808-2025")</f>
        <v/>
      </c>
      <c r="T15">
        <f>HYPERLINK("https://klasma.github.io/Logging_0884/kartor/A 15808-2025 karta.png", "A 15808-2025")</f>
        <v/>
      </c>
      <c r="V15">
        <f>HYPERLINK("https://klasma.github.io/Logging_0884/klagomål/A 15808-2025 FSC-klagomål.docx", "A 15808-2025")</f>
        <v/>
      </c>
      <c r="W15">
        <f>HYPERLINK("https://klasma.github.io/Logging_0884/klagomålsmail/A 15808-2025 FSC-klagomål mail.docx", "A 15808-2025")</f>
        <v/>
      </c>
      <c r="X15">
        <f>HYPERLINK("https://klasma.github.io/Logging_0884/tillsyn/A 15808-2025 tillsynsbegäran.docx", "A 15808-2025")</f>
        <v/>
      </c>
      <c r="Y15">
        <f>HYPERLINK("https://klasma.github.io/Logging_0884/tillsynsmail/A 15808-2025 tillsynsbegäran mail.docx", "A 15808-2025")</f>
        <v/>
      </c>
      <c r="Z15">
        <f>HYPERLINK("https://klasma.github.io/Logging_0884/fåglar/A 15808-2025 prioriterade fågelarter.docx", "A 15808-2025")</f>
        <v/>
      </c>
    </row>
    <row r="16" ht="15" customHeight="1">
      <c r="A16" t="inlineStr">
        <is>
          <t>A 8411-2021</t>
        </is>
      </c>
      <c r="B16" s="1" t="n">
        <v>44245</v>
      </c>
      <c r="C16" s="1" t="n">
        <v>46004</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46004</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46004</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46004</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46004</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46004</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46004</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46004</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46004</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14024-2023</t>
        </is>
      </c>
      <c r="B25" s="1" t="n">
        <v>45008.60878472222</v>
      </c>
      <c r="C25" s="1" t="n">
        <v>46004</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22825-2023</t>
        </is>
      </c>
      <c r="B26" s="1" t="n">
        <v>45072</v>
      </c>
      <c r="C26" s="1" t="n">
        <v>46004</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40684-2025</t>
        </is>
      </c>
      <c r="B27" s="1" t="n">
        <v>45896.86820601852</v>
      </c>
      <c r="C27" s="1" t="n">
        <v>46004</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17935-2025</t>
        </is>
      </c>
      <c r="B28" s="1" t="n">
        <v>45760.34877314815</v>
      </c>
      <c r="C28" s="1" t="n">
        <v>46004</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19158-2023</t>
        </is>
      </c>
      <c r="B29" s="1" t="n">
        <v>45048</v>
      </c>
      <c r="C29" s="1" t="n">
        <v>46004</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42802-2025</t>
        </is>
      </c>
      <c r="B30" s="1" t="n">
        <v>45908</v>
      </c>
      <c r="C30" s="1" t="n">
        <v>46004</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22396-2025</t>
        </is>
      </c>
      <c r="B31" s="1" t="n">
        <v>45786.52827546297</v>
      </c>
      <c r="C31" s="1" t="n">
        <v>46004</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53787-2025</t>
        </is>
      </c>
      <c r="B32" s="1" t="n">
        <v>45960</v>
      </c>
      <c r="C32" s="1" t="n">
        <v>46004</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32396-2021</t>
        </is>
      </c>
      <c r="B33" s="1" t="n">
        <v>44371</v>
      </c>
      <c r="C33" s="1" t="n">
        <v>46004</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40083-2023</t>
        </is>
      </c>
      <c r="B34" s="1" t="n">
        <v>45168</v>
      </c>
      <c r="C34" s="1" t="n">
        <v>46004</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46004</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9067-2025</t>
        </is>
      </c>
      <c r="B36" s="1" t="n">
        <v>45713</v>
      </c>
      <c r="C36" s="1" t="n">
        <v>46004</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46004</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46004</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32985-2023</t>
        </is>
      </c>
      <c r="B39" s="1" t="n">
        <v>45125</v>
      </c>
      <c r="C39" s="1" t="n">
        <v>46004</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23602-2023</t>
        </is>
      </c>
      <c r="B40" s="1" t="n">
        <v>45077</v>
      </c>
      <c r="C40" s="1" t="n">
        <v>46004</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15122-2024</t>
        </is>
      </c>
      <c r="B41" s="1" t="n">
        <v>45399.71412037037</v>
      </c>
      <c r="C41" s="1" t="n">
        <v>46004</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37930-2021</t>
        </is>
      </c>
      <c r="B42" s="1" t="n">
        <v>44403</v>
      </c>
      <c r="C42" s="1" t="n">
        <v>46004</v>
      </c>
      <c r="D42" t="inlineStr">
        <is>
          <t>KALMAR LÄN</t>
        </is>
      </c>
      <c r="E42" t="inlineStr">
        <is>
          <t>VIMMERBY</t>
        </is>
      </c>
      <c r="G42" t="n">
        <v>4.4</v>
      </c>
      <c r="H42" t="n">
        <v>0</v>
      </c>
      <c r="I42" t="n">
        <v>0</v>
      </c>
      <c r="J42" t="n">
        <v>1</v>
      </c>
      <c r="K42" t="n">
        <v>0</v>
      </c>
      <c r="L42" t="n">
        <v>0</v>
      </c>
      <c r="M42" t="n">
        <v>0</v>
      </c>
      <c r="N42" t="n">
        <v>0</v>
      </c>
      <c r="O42" t="n">
        <v>1</v>
      </c>
      <c r="P42" t="n">
        <v>0</v>
      </c>
      <c r="Q42" t="n">
        <v>1</v>
      </c>
      <c r="R42" s="2" t="inlineStr">
        <is>
          <t>Spindelört</t>
        </is>
      </c>
      <c r="S42">
        <f>HYPERLINK("https://klasma.github.io/Logging_0884/artfynd/A 37930-2021 artfynd.xlsx", "A 37930-2021")</f>
        <v/>
      </c>
      <c r="T42">
        <f>HYPERLINK("https://klasma.github.io/Logging_0884/kartor/A 37930-2021 karta.png", "A 37930-2021")</f>
        <v/>
      </c>
      <c r="V42">
        <f>HYPERLINK("https://klasma.github.io/Logging_0884/klagomål/A 37930-2021 FSC-klagomål.docx", "A 37930-2021")</f>
        <v/>
      </c>
      <c r="W42">
        <f>HYPERLINK("https://klasma.github.io/Logging_0884/klagomålsmail/A 37930-2021 FSC-klagomål mail.docx", "A 37930-2021")</f>
        <v/>
      </c>
      <c r="X42">
        <f>HYPERLINK("https://klasma.github.io/Logging_0884/tillsyn/A 37930-2021 tillsynsbegäran.docx", "A 37930-2021")</f>
        <v/>
      </c>
      <c r="Y42">
        <f>HYPERLINK("https://klasma.github.io/Logging_0884/tillsynsmail/A 37930-2021 tillsynsbegäran mail.docx", "A 37930-2021")</f>
        <v/>
      </c>
    </row>
    <row r="43" ht="15" customHeight="1">
      <c r="A43" t="inlineStr">
        <is>
          <t>A 33436-2021</t>
        </is>
      </c>
      <c r="B43" s="1" t="n">
        <v>44377.61104166666</v>
      </c>
      <c r="C43" s="1" t="n">
        <v>46004</v>
      </c>
      <c r="D43" t="inlineStr">
        <is>
          <t>KALMAR LÄN</t>
        </is>
      </c>
      <c r="E43" t="inlineStr">
        <is>
          <t>VIMMERBY</t>
        </is>
      </c>
      <c r="G43" t="n">
        <v>11.8</v>
      </c>
      <c r="H43" t="n">
        <v>1</v>
      </c>
      <c r="I43" t="n">
        <v>0</v>
      </c>
      <c r="J43" t="n">
        <v>0</v>
      </c>
      <c r="K43" t="n">
        <v>1</v>
      </c>
      <c r="L43" t="n">
        <v>0</v>
      </c>
      <c r="M43" t="n">
        <v>0</v>
      </c>
      <c r="N43" t="n">
        <v>0</v>
      </c>
      <c r="O43" t="n">
        <v>1</v>
      </c>
      <c r="P43" t="n">
        <v>1</v>
      </c>
      <c r="Q43" t="n">
        <v>1</v>
      </c>
      <c r="R43" s="2" t="inlineStr">
        <is>
          <t>Knärot</t>
        </is>
      </c>
      <c r="S43">
        <f>HYPERLINK("https://klasma.github.io/Logging_0884/artfynd/A 33436-2021 artfynd.xlsx", "A 33436-2021")</f>
        <v/>
      </c>
      <c r="T43">
        <f>HYPERLINK("https://klasma.github.io/Logging_0884/kartor/A 33436-2021 karta.png", "A 33436-2021")</f>
        <v/>
      </c>
      <c r="U43">
        <f>HYPERLINK("https://klasma.github.io/Logging_0884/knärot/A 33436-2021 karta knärot.png", "A 33436-2021")</f>
        <v/>
      </c>
      <c r="V43">
        <f>HYPERLINK("https://klasma.github.io/Logging_0884/klagomål/A 33436-2021 FSC-klagomål.docx", "A 33436-2021")</f>
        <v/>
      </c>
      <c r="W43">
        <f>HYPERLINK("https://klasma.github.io/Logging_0884/klagomålsmail/A 33436-2021 FSC-klagomål mail.docx", "A 33436-2021")</f>
        <v/>
      </c>
      <c r="X43">
        <f>HYPERLINK("https://klasma.github.io/Logging_0884/tillsyn/A 33436-2021 tillsynsbegäran.docx", "A 33436-2021")</f>
        <v/>
      </c>
      <c r="Y43">
        <f>HYPERLINK("https://klasma.github.io/Logging_0884/tillsynsmail/A 33436-2021 tillsynsbegäran mail.docx", "A 33436-2021")</f>
        <v/>
      </c>
    </row>
    <row r="44" ht="15" customHeight="1">
      <c r="A44" t="inlineStr">
        <is>
          <t>A 6841-2021</t>
        </is>
      </c>
      <c r="B44" s="1" t="n">
        <v>44236</v>
      </c>
      <c r="C44" s="1" t="n">
        <v>46004</v>
      </c>
      <c r="D44" t="inlineStr">
        <is>
          <t>KALMAR LÄN</t>
        </is>
      </c>
      <c r="E44" t="inlineStr">
        <is>
          <t>VIMMERBY</t>
        </is>
      </c>
      <c r="G44" t="n">
        <v>25</v>
      </c>
      <c r="H44" t="n">
        <v>0</v>
      </c>
      <c r="I44" t="n">
        <v>0</v>
      </c>
      <c r="J44" t="n">
        <v>1</v>
      </c>
      <c r="K44" t="n">
        <v>0</v>
      </c>
      <c r="L44" t="n">
        <v>0</v>
      </c>
      <c r="M44" t="n">
        <v>0</v>
      </c>
      <c r="N44" t="n">
        <v>0</v>
      </c>
      <c r="O44" t="n">
        <v>1</v>
      </c>
      <c r="P44" t="n">
        <v>0</v>
      </c>
      <c r="Q44" t="n">
        <v>1</v>
      </c>
      <c r="R44" s="2" t="inlineStr">
        <is>
          <t>Bredbrämad bastardsvärmare</t>
        </is>
      </c>
      <c r="S44">
        <f>HYPERLINK("https://klasma.github.io/Logging_0884/artfynd/A 6841-2021 artfynd.xlsx", "A 6841-2021")</f>
        <v/>
      </c>
      <c r="T44">
        <f>HYPERLINK("https://klasma.github.io/Logging_0884/kartor/A 6841-2021 karta.png", "A 6841-2021")</f>
        <v/>
      </c>
      <c r="V44">
        <f>HYPERLINK("https://klasma.github.io/Logging_0884/klagomål/A 6841-2021 FSC-klagomål.docx", "A 6841-2021")</f>
        <v/>
      </c>
      <c r="W44">
        <f>HYPERLINK("https://klasma.github.io/Logging_0884/klagomålsmail/A 6841-2021 FSC-klagomål mail.docx", "A 6841-2021")</f>
        <v/>
      </c>
      <c r="X44">
        <f>HYPERLINK("https://klasma.github.io/Logging_0884/tillsyn/A 6841-2021 tillsynsbegäran.docx", "A 6841-2021")</f>
        <v/>
      </c>
      <c r="Y44">
        <f>HYPERLINK("https://klasma.github.io/Logging_0884/tillsynsmail/A 6841-2021 tillsynsbegäran mail.docx", "A 6841-2021")</f>
        <v/>
      </c>
    </row>
    <row r="45" ht="15" customHeight="1">
      <c r="A45" t="inlineStr">
        <is>
          <t>A 44515-2024</t>
        </is>
      </c>
      <c r="B45" s="1" t="n">
        <v>45574.42767361111</v>
      </c>
      <c r="C45" s="1" t="n">
        <v>46004</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61860-2024</t>
        </is>
      </c>
      <c r="B46" s="1" t="n">
        <v>45649</v>
      </c>
      <c r="C46" s="1" t="n">
        <v>46004</v>
      </c>
      <c r="D46" t="inlineStr">
        <is>
          <t>KALMAR LÄN</t>
        </is>
      </c>
      <c r="E46" t="inlineStr">
        <is>
          <t>VIMMERBY</t>
        </is>
      </c>
      <c r="G46" t="n">
        <v>4.4</v>
      </c>
      <c r="H46" t="n">
        <v>1</v>
      </c>
      <c r="I46" t="n">
        <v>0</v>
      </c>
      <c r="J46" t="n">
        <v>0</v>
      </c>
      <c r="K46" t="n">
        <v>1</v>
      </c>
      <c r="L46" t="n">
        <v>0</v>
      </c>
      <c r="M46" t="n">
        <v>0</v>
      </c>
      <c r="N46" t="n">
        <v>0</v>
      </c>
      <c r="O46" t="n">
        <v>1</v>
      </c>
      <c r="P46" t="n">
        <v>1</v>
      </c>
      <c r="Q46" t="n">
        <v>1</v>
      </c>
      <c r="R46" s="2" t="inlineStr">
        <is>
          <t>Knärot</t>
        </is>
      </c>
      <c r="S46">
        <f>HYPERLINK("https://klasma.github.io/Logging_0884/artfynd/A 61860-2024 artfynd.xlsx", "A 61860-2024")</f>
        <v/>
      </c>
      <c r="T46">
        <f>HYPERLINK("https://klasma.github.io/Logging_0884/kartor/A 61860-2024 karta.png", "A 61860-2024")</f>
        <v/>
      </c>
      <c r="U46">
        <f>HYPERLINK("https://klasma.github.io/Logging_0884/knärot/A 61860-2024 karta knärot.png", "A 61860-2024")</f>
        <v/>
      </c>
      <c r="V46">
        <f>HYPERLINK("https://klasma.github.io/Logging_0884/klagomål/A 61860-2024 FSC-klagomål.docx", "A 61860-2024")</f>
        <v/>
      </c>
      <c r="W46">
        <f>HYPERLINK("https://klasma.github.io/Logging_0884/klagomålsmail/A 61860-2024 FSC-klagomål mail.docx", "A 61860-2024")</f>
        <v/>
      </c>
      <c r="X46">
        <f>HYPERLINK("https://klasma.github.io/Logging_0884/tillsyn/A 61860-2024 tillsynsbegäran.docx", "A 61860-2024")</f>
        <v/>
      </c>
      <c r="Y46">
        <f>HYPERLINK("https://klasma.github.io/Logging_0884/tillsynsmail/A 61860-2024 tillsynsbegäran mail.docx", "A 61860-2024")</f>
        <v/>
      </c>
    </row>
    <row r="47" ht="15" customHeight="1">
      <c r="A47" t="inlineStr">
        <is>
          <t>A 57062-2025</t>
        </is>
      </c>
      <c r="B47" s="1" t="n">
        <v>45979.37598379629</v>
      </c>
      <c r="C47" s="1" t="n">
        <v>46004</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1201-2025</t>
        </is>
      </c>
      <c r="B48" s="1" t="n">
        <v>45667</v>
      </c>
      <c r="C48" s="1" t="n">
        <v>46004</v>
      </c>
      <c r="D48" t="inlineStr">
        <is>
          <t>KALMAR LÄN</t>
        </is>
      </c>
      <c r="E48" t="inlineStr">
        <is>
          <t>VIMMERBY</t>
        </is>
      </c>
      <c r="G48" t="n">
        <v>6.4</v>
      </c>
      <c r="H48" t="n">
        <v>1</v>
      </c>
      <c r="I48" t="n">
        <v>0</v>
      </c>
      <c r="J48" t="n">
        <v>0</v>
      </c>
      <c r="K48" t="n">
        <v>1</v>
      </c>
      <c r="L48" t="n">
        <v>0</v>
      </c>
      <c r="M48" t="n">
        <v>0</v>
      </c>
      <c r="N48" t="n">
        <v>0</v>
      </c>
      <c r="O48" t="n">
        <v>1</v>
      </c>
      <c r="P48" t="n">
        <v>1</v>
      </c>
      <c r="Q48" t="n">
        <v>1</v>
      </c>
      <c r="R48" s="2" t="inlineStr">
        <is>
          <t>Knärot</t>
        </is>
      </c>
      <c r="S48">
        <f>HYPERLINK("https://klasma.github.io/Logging_0884/artfynd/A 1201-2025 artfynd.xlsx", "A 1201-2025")</f>
        <v/>
      </c>
      <c r="T48">
        <f>HYPERLINK("https://klasma.github.io/Logging_0884/kartor/A 1201-2025 karta.png", "A 1201-2025")</f>
        <v/>
      </c>
      <c r="U48">
        <f>HYPERLINK("https://klasma.github.io/Logging_0884/knärot/A 1201-2025 karta knärot.png", "A 1201-2025")</f>
        <v/>
      </c>
      <c r="V48">
        <f>HYPERLINK("https://klasma.github.io/Logging_0884/klagomål/A 1201-2025 FSC-klagomål.docx", "A 1201-2025")</f>
        <v/>
      </c>
      <c r="W48">
        <f>HYPERLINK("https://klasma.github.io/Logging_0884/klagomålsmail/A 1201-2025 FSC-klagomål mail.docx", "A 1201-2025")</f>
        <v/>
      </c>
      <c r="X48">
        <f>HYPERLINK("https://klasma.github.io/Logging_0884/tillsyn/A 1201-2025 tillsynsbegäran.docx", "A 1201-2025")</f>
        <v/>
      </c>
      <c r="Y48">
        <f>HYPERLINK("https://klasma.github.io/Logging_0884/tillsynsmail/A 1201-2025 tillsynsbegäran mail.docx", "A 1201-2025")</f>
        <v/>
      </c>
    </row>
    <row r="49" ht="15" customHeight="1">
      <c r="A49" t="inlineStr">
        <is>
          <t>A 29183-2025</t>
        </is>
      </c>
      <c r="B49" s="1" t="n">
        <v>45821</v>
      </c>
      <c r="C49" s="1" t="n">
        <v>46004</v>
      </c>
      <c r="D49" t="inlineStr">
        <is>
          <t>KALMAR LÄN</t>
        </is>
      </c>
      <c r="E49" t="inlineStr">
        <is>
          <t>VIMMERBY</t>
        </is>
      </c>
      <c r="G49" t="n">
        <v>2.7</v>
      </c>
      <c r="H49" t="n">
        <v>0</v>
      </c>
      <c r="I49" t="n">
        <v>1</v>
      </c>
      <c r="J49" t="n">
        <v>0</v>
      </c>
      <c r="K49" t="n">
        <v>0</v>
      </c>
      <c r="L49" t="n">
        <v>0</v>
      </c>
      <c r="M49" t="n">
        <v>0</v>
      </c>
      <c r="N49" t="n">
        <v>0</v>
      </c>
      <c r="O49" t="n">
        <v>0</v>
      </c>
      <c r="P49" t="n">
        <v>0</v>
      </c>
      <c r="Q49" t="n">
        <v>1</v>
      </c>
      <c r="R49" s="2" t="inlineStr">
        <is>
          <t>Sårläka</t>
        </is>
      </c>
      <c r="S49">
        <f>HYPERLINK("https://klasma.github.io/Logging_0884/artfynd/A 29183-2025 artfynd.xlsx", "A 29183-2025")</f>
        <v/>
      </c>
      <c r="T49">
        <f>HYPERLINK("https://klasma.github.io/Logging_0884/kartor/A 29183-2025 karta.png", "A 29183-2025")</f>
        <v/>
      </c>
      <c r="V49">
        <f>HYPERLINK("https://klasma.github.io/Logging_0884/klagomål/A 29183-2025 FSC-klagomål.docx", "A 29183-2025")</f>
        <v/>
      </c>
      <c r="W49">
        <f>HYPERLINK("https://klasma.github.io/Logging_0884/klagomålsmail/A 29183-2025 FSC-klagomål mail.docx", "A 29183-2025")</f>
        <v/>
      </c>
      <c r="X49">
        <f>HYPERLINK("https://klasma.github.io/Logging_0884/tillsyn/A 29183-2025 tillsynsbegäran.docx", "A 29183-2025")</f>
        <v/>
      </c>
      <c r="Y49">
        <f>HYPERLINK("https://klasma.github.io/Logging_0884/tillsynsmail/A 29183-2025 tillsynsbegäran mail.docx", "A 29183-2025")</f>
        <v/>
      </c>
    </row>
    <row r="50" ht="15" customHeight="1">
      <c r="A50" t="inlineStr">
        <is>
          <t>A 53404-2025</t>
        </is>
      </c>
      <c r="B50" s="1" t="n">
        <v>45959.57126157408</v>
      </c>
      <c r="C50" s="1" t="n">
        <v>46004</v>
      </c>
      <c r="D50" t="inlineStr">
        <is>
          <t>KALMAR LÄN</t>
        </is>
      </c>
      <c r="E50" t="inlineStr">
        <is>
          <t>VIMMERBY</t>
        </is>
      </c>
      <c r="G50" t="n">
        <v>6.4</v>
      </c>
      <c r="H50" t="n">
        <v>1</v>
      </c>
      <c r="I50" t="n">
        <v>0</v>
      </c>
      <c r="J50" t="n">
        <v>0</v>
      </c>
      <c r="K50" t="n">
        <v>1</v>
      </c>
      <c r="L50" t="n">
        <v>0</v>
      </c>
      <c r="M50" t="n">
        <v>0</v>
      </c>
      <c r="N50" t="n">
        <v>0</v>
      </c>
      <c r="O50" t="n">
        <v>1</v>
      </c>
      <c r="P50" t="n">
        <v>1</v>
      </c>
      <c r="Q50" t="n">
        <v>1</v>
      </c>
      <c r="R50" s="2" t="inlineStr">
        <is>
          <t>Knärot</t>
        </is>
      </c>
      <c r="S50">
        <f>HYPERLINK("https://klasma.github.io/Logging_0884/artfynd/A 53404-2025 artfynd.xlsx", "A 53404-2025")</f>
        <v/>
      </c>
      <c r="T50">
        <f>HYPERLINK("https://klasma.github.io/Logging_0884/kartor/A 53404-2025 karta.png", "A 53404-2025")</f>
        <v/>
      </c>
      <c r="U50">
        <f>HYPERLINK("https://klasma.github.io/Logging_0884/knärot/A 53404-2025 karta knärot.png", "A 53404-2025")</f>
        <v/>
      </c>
      <c r="V50">
        <f>HYPERLINK("https://klasma.github.io/Logging_0884/klagomål/A 53404-2025 FSC-klagomål.docx", "A 53404-2025")</f>
        <v/>
      </c>
      <c r="W50">
        <f>HYPERLINK("https://klasma.github.io/Logging_0884/klagomålsmail/A 53404-2025 FSC-klagomål mail.docx", "A 53404-2025")</f>
        <v/>
      </c>
      <c r="X50">
        <f>HYPERLINK("https://klasma.github.io/Logging_0884/tillsyn/A 53404-2025 tillsynsbegäran.docx", "A 53404-2025")</f>
        <v/>
      </c>
      <c r="Y50">
        <f>HYPERLINK("https://klasma.github.io/Logging_0884/tillsynsmail/A 53404-2025 tillsynsbegäran mail.docx", "A 53404-2025")</f>
        <v/>
      </c>
    </row>
    <row r="51" ht="15" customHeight="1">
      <c r="A51" t="inlineStr">
        <is>
          <t>A 53400-2025</t>
        </is>
      </c>
      <c r="B51" s="1" t="n">
        <v>45959.56684027778</v>
      </c>
      <c r="C51" s="1" t="n">
        <v>46004</v>
      </c>
      <c r="D51" t="inlineStr">
        <is>
          <t>KALMAR LÄN</t>
        </is>
      </c>
      <c r="E51" t="inlineStr">
        <is>
          <t>VIMMERBY</t>
        </is>
      </c>
      <c r="G51" t="n">
        <v>9.199999999999999</v>
      </c>
      <c r="H51" t="n">
        <v>1</v>
      </c>
      <c r="I51" t="n">
        <v>0</v>
      </c>
      <c r="J51" t="n">
        <v>0</v>
      </c>
      <c r="K51" t="n">
        <v>1</v>
      </c>
      <c r="L51" t="n">
        <v>0</v>
      </c>
      <c r="M51" t="n">
        <v>0</v>
      </c>
      <c r="N51" t="n">
        <v>0</v>
      </c>
      <c r="O51" t="n">
        <v>1</v>
      </c>
      <c r="P51" t="n">
        <v>1</v>
      </c>
      <c r="Q51" t="n">
        <v>1</v>
      </c>
      <c r="R51" s="2" t="inlineStr">
        <is>
          <t>Knärot</t>
        </is>
      </c>
      <c r="S51">
        <f>HYPERLINK("https://klasma.github.io/Logging_0884/artfynd/A 53400-2025 artfynd.xlsx", "A 53400-2025")</f>
        <v/>
      </c>
      <c r="T51">
        <f>HYPERLINK("https://klasma.github.io/Logging_0884/kartor/A 53400-2025 karta.png", "A 53400-2025")</f>
        <v/>
      </c>
      <c r="U51">
        <f>HYPERLINK("https://klasma.github.io/Logging_0884/knärot/A 53400-2025 karta knärot.png", "A 53400-2025")</f>
        <v/>
      </c>
      <c r="V51">
        <f>HYPERLINK("https://klasma.github.io/Logging_0884/klagomål/A 53400-2025 FSC-klagomål.docx", "A 53400-2025")</f>
        <v/>
      </c>
      <c r="W51">
        <f>HYPERLINK("https://klasma.github.io/Logging_0884/klagomålsmail/A 53400-2025 FSC-klagomål mail.docx", "A 53400-2025")</f>
        <v/>
      </c>
      <c r="X51">
        <f>HYPERLINK("https://klasma.github.io/Logging_0884/tillsyn/A 53400-2025 tillsynsbegäran.docx", "A 53400-2025")</f>
        <v/>
      </c>
      <c r="Y51">
        <f>HYPERLINK("https://klasma.github.io/Logging_0884/tillsynsmail/A 53400-2025 tillsynsbegäran mail.docx", "A 53400-2025")</f>
        <v/>
      </c>
    </row>
    <row r="52" ht="15" customHeight="1">
      <c r="A52" t="inlineStr">
        <is>
          <t>A 15092-2021</t>
        </is>
      </c>
      <c r="B52" s="1" t="n">
        <v>44281.79269675926</v>
      </c>
      <c r="C52" s="1" t="n">
        <v>46004</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46004</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46004</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46004</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46004</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46004</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46004</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1929-2021</t>
        </is>
      </c>
      <c r="B59" s="1" t="n">
        <v>44210</v>
      </c>
      <c r="C59" s="1" t="n">
        <v>46004</v>
      </c>
      <c r="D59" t="inlineStr">
        <is>
          <t>KALMAR LÄN</t>
        </is>
      </c>
      <c r="E59" t="inlineStr">
        <is>
          <t>VIMMERBY</t>
        </is>
      </c>
      <c r="G59" t="n">
        <v>1.6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46004</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46004</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46004</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46004</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46004</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46004</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46004</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46004</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46004</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46004</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63926-2021</t>
        </is>
      </c>
      <c r="B70" s="1" t="n">
        <v>44509</v>
      </c>
      <c r="C70" s="1" t="n">
        <v>46004</v>
      </c>
      <c r="D70" t="inlineStr">
        <is>
          <t>KALMAR LÄN</t>
        </is>
      </c>
      <c r="E70" t="inlineStr">
        <is>
          <t>VIMMERBY</t>
        </is>
      </c>
      <c r="G70" t="n">
        <v>0.7</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46004</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46004</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46004</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46004</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46004</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46004</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46004</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68840-2021</t>
        </is>
      </c>
      <c r="B78" s="1" t="n">
        <v>44530.38055555556</v>
      </c>
      <c r="C78" s="1" t="n">
        <v>46004</v>
      </c>
      <c r="D78" t="inlineStr">
        <is>
          <t>KALMAR LÄN</t>
        </is>
      </c>
      <c r="E78" t="inlineStr">
        <is>
          <t>VIMMERBY</t>
        </is>
      </c>
      <c r="G78" t="n">
        <v>1.4</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46004</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2183-2022</t>
        </is>
      </c>
      <c r="B80" s="1" t="n">
        <v>44578.47597222222</v>
      </c>
      <c r="C80" s="1" t="n">
        <v>46004</v>
      </c>
      <c r="D80" t="inlineStr">
        <is>
          <t>KALMAR LÄN</t>
        </is>
      </c>
      <c r="E80" t="inlineStr">
        <is>
          <t>VIMMERBY</t>
        </is>
      </c>
      <c r="G80" t="n">
        <v>4.8</v>
      </c>
      <c r="H80" t="n">
        <v>0</v>
      </c>
      <c r="I80" t="n">
        <v>0</v>
      </c>
      <c r="J80" t="n">
        <v>0</v>
      </c>
      <c r="K80" t="n">
        <v>0</v>
      </c>
      <c r="L80" t="n">
        <v>0</v>
      </c>
      <c r="M80" t="n">
        <v>0</v>
      </c>
      <c r="N80" t="n">
        <v>0</v>
      </c>
      <c r="O80" t="n">
        <v>0</v>
      </c>
      <c r="P80" t="n">
        <v>0</v>
      </c>
      <c r="Q80" t="n">
        <v>0</v>
      </c>
      <c r="R80" s="2" t="inlineStr"/>
    </row>
    <row r="81" ht="15" customHeight="1">
      <c r="A81" t="inlineStr">
        <is>
          <t>A 65670-2021</t>
        </is>
      </c>
      <c r="B81" s="1" t="n">
        <v>44516.59703703703</v>
      </c>
      <c r="C81" s="1" t="n">
        <v>46004</v>
      </c>
      <c r="D81" t="inlineStr">
        <is>
          <t>KALMAR LÄN</t>
        </is>
      </c>
      <c r="E81" t="inlineStr">
        <is>
          <t>VIMMERBY</t>
        </is>
      </c>
      <c r="G81" t="n">
        <v>1.9</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46004</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16290-2022</t>
        </is>
      </c>
      <c r="B83" s="1" t="n">
        <v>44670</v>
      </c>
      <c r="C83" s="1" t="n">
        <v>46004</v>
      </c>
      <c r="D83" t="inlineStr">
        <is>
          <t>KALMAR LÄN</t>
        </is>
      </c>
      <c r="E83" t="inlineStr">
        <is>
          <t>VIMMERBY</t>
        </is>
      </c>
      <c r="G83" t="n">
        <v>1.2</v>
      </c>
      <c r="H83" t="n">
        <v>0</v>
      </c>
      <c r="I83" t="n">
        <v>0</v>
      </c>
      <c r="J83" t="n">
        <v>0</v>
      </c>
      <c r="K83" t="n">
        <v>0</v>
      </c>
      <c r="L83" t="n">
        <v>0</v>
      </c>
      <c r="M83" t="n">
        <v>0</v>
      </c>
      <c r="N83" t="n">
        <v>0</v>
      </c>
      <c r="O83" t="n">
        <v>0</v>
      </c>
      <c r="P83" t="n">
        <v>0</v>
      </c>
      <c r="Q83" t="n">
        <v>0</v>
      </c>
      <c r="R83" s="2" t="inlineStr"/>
    </row>
    <row r="84" ht="15" customHeight="1">
      <c r="A84" t="inlineStr">
        <is>
          <t>A 7049-2022</t>
        </is>
      </c>
      <c r="B84" s="1" t="n">
        <v>44603</v>
      </c>
      <c r="C84" s="1" t="n">
        <v>46004</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4296-2022</t>
        </is>
      </c>
      <c r="B85" s="1" t="n">
        <v>44588</v>
      </c>
      <c r="C85" s="1" t="n">
        <v>46004</v>
      </c>
      <c r="D85" t="inlineStr">
        <is>
          <t>KALMAR LÄN</t>
        </is>
      </c>
      <c r="E85" t="inlineStr">
        <is>
          <t>VIMMERBY</t>
        </is>
      </c>
      <c r="G85" t="n">
        <v>1.8</v>
      </c>
      <c r="H85" t="n">
        <v>0</v>
      </c>
      <c r="I85" t="n">
        <v>0</v>
      </c>
      <c r="J85" t="n">
        <v>0</v>
      </c>
      <c r="K85" t="n">
        <v>0</v>
      </c>
      <c r="L85" t="n">
        <v>0</v>
      </c>
      <c r="M85" t="n">
        <v>0</v>
      </c>
      <c r="N85" t="n">
        <v>0</v>
      </c>
      <c r="O85" t="n">
        <v>0</v>
      </c>
      <c r="P85" t="n">
        <v>0</v>
      </c>
      <c r="Q85" t="n">
        <v>0</v>
      </c>
      <c r="R85" s="2" t="inlineStr"/>
    </row>
    <row r="86" ht="15" customHeight="1">
      <c r="A86" t="inlineStr">
        <is>
          <t>A 38086-2021</t>
        </is>
      </c>
      <c r="B86" s="1" t="n">
        <v>44404.87505787037</v>
      </c>
      <c r="C86" s="1" t="n">
        <v>46004</v>
      </c>
      <c r="D86" t="inlineStr">
        <is>
          <t>KALMAR LÄN</t>
        </is>
      </c>
      <c r="E86" t="inlineStr">
        <is>
          <t>VIMMERBY</t>
        </is>
      </c>
      <c r="G86" t="n">
        <v>4.4</v>
      </c>
      <c r="H86" t="n">
        <v>0</v>
      </c>
      <c r="I86" t="n">
        <v>0</v>
      </c>
      <c r="J86" t="n">
        <v>0</v>
      </c>
      <c r="K86" t="n">
        <v>0</v>
      </c>
      <c r="L86" t="n">
        <v>0</v>
      </c>
      <c r="M86" t="n">
        <v>0</v>
      </c>
      <c r="N86" t="n">
        <v>0</v>
      </c>
      <c r="O86" t="n">
        <v>0</v>
      </c>
      <c r="P86" t="n">
        <v>0</v>
      </c>
      <c r="Q86" t="n">
        <v>0</v>
      </c>
      <c r="R86" s="2" t="inlineStr"/>
    </row>
    <row r="87" ht="15" customHeight="1">
      <c r="A87" t="inlineStr">
        <is>
          <t>A 19863-2021</t>
        </is>
      </c>
      <c r="B87" s="1" t="n">
        <v>44312</v>
      </c>
      <c r="C87" s="1" t="n">
        <v>46004</v>
      </c>
      <c r="D87" t="inlineStr">
        <is>
          <t>KALMAR LÄN</t>
        </is>
      </c>
      <c r="E87" t="inlineStr">
        <is>
          <t>VIMMERBY</t>
        </is>
      </c>
      <c r="G87" t="n">
        <v>3.7</v>
      </c>
      <c r="H87" t="n">
        <v>0</v>
      </c>
      <c r="I87" t="n">
        <v>0</v>
      </c>
      <c r="J87" t="n">
        <v>0</v>
      </c>
      <c r="K87" t="n">
        <v>0</v>
      </c>
      <c r="L87" t="n">
        <v>0</v>
      </c>
      <c r="M87" t="n">
        <v>0</v>
      </c>
      <c r="N87" t="n">
        <v>0</v>
      </c>
      <c r="O87" t="n">
        <v>0</v>
      </c>
      <c r="P87" t="n">
        <v>0</v>
      </c>
      <c r="Q87" t="n">
        <v>0</v>
      </c>
      <c r="R87" s="2" t="inlineStr"/>
    </row>
    <row r="88" ht="15" customHeight="1">
      <c r="A88" t="inlineStr">
        <is>
          <t>A 55297-2021</t>
        </is>
      </c>
      <c r="B88" s="1" t="n">
        <v>44475</v>
      </c>
      <c r="C88" s="1" t="n">
        <v>46004</v>
      </c>
      <c r="D88" t="inlineStr">
        <is>
          <t>KALMAR LÄN</t>
        </is>
      </c>
      <c r="E88" t="inlineStr">
        <is>
          <t>VIMMERBY</t>
        </is>
      </c>
      <c r="G88" t="n">
        <v>4.1</v>
      </c>
      <c r="H88" t="n">
        <v>0</v>
      </c>
      <c r="I88" t="n">
        <v>0</v>
      </c>
      <c r="J88" t="n">
        <v>0</v>
      </c>
      <c r="K88" t="n">
        <v>0</v>
      </c>
      <c r="L88" t="n">
        <v>0</v>
      </c>
      <c r="M88" t="n">
        <v>0</v>
      </c>
      <c r="N88" t="n">
        <v>0</v>
      </c>
      <c r="O88" t="n">
        <v>0</v>
      </c>
      <c r="P88" t="n">
        <v>0</v>
      </c>
      <c r="Q88" t="n">
        <v>0</v>
      </c>
      <c r="R88" s="2" t="inlineStr"/>
    </row>
    <row r="89" ht="15" customHeight="1">
      <c r="A89" t="inlineStr">
        <is>
          <t>A 35531-2021</t>
        </is>
      </c>
      <c r="B89" s="1" t="n">
        <v>44385</v>
      </c>
      <c r="C89" s="1" t="n">
        <v>46004</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30682-2021</t>
        </is>
      </c>
      <c r="B90" s="1" t="n">
        <v>44365</v>
      </c>
      <c r="C90" s="1" t="n">
        <v>46004</v>
      </c>
      <c r="D90" t="inlineStr">
        <is>
          <t>KALMAR LÄN</t>
        </is>
      </c>
      <c r="E90" t="inlineStr">
        <is>
          <t>VIMMERBY</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57416-2021</t>
        </is>
      </c>
      <c r="B91" s="1" t="n">
        <v>44483.58295138889</v>
      </c>
      <c r="C91" s="1" t="n">
        <v>46004</v>
      </c>
      <c r="D91" t="inlineStr">
        <is>
          <t>KALMAR LÄN</t>
        </is>
      </c>
      <c r="E91" t="inlineStr">
        <is>
          <t>VIMMERBY</t>
        </is>
      </c>
      <c r="G91" t="n">
        <v>2.9</v>
      </c>
      <c r="H91" t="n">
        <v>0</v>
      </c>
      <c r="I91" t="n">
        <v>0</v>
      </c>
      <c r="J91" t="n">
        <v>0</v>
      </c>
      <c r="K91" t="n">
        <v>0</v>
      </c>
      <c r="L91" t="n">
        <v>0</v>
      </c>
      <c r="M91" t="n">
        <v>0</v>
      </c>
      <c r="N91" t="n">
        <v>0</v>
      </c>
      <c r="O91" t="n">
        <v>0</v>
      </c>
      <c r="P91" t="n">
        <v>0</v>
      </c>
      <c r="Q91" t="n">
        <v>0</v>
      </c>
      <c r="R91" s="2" t="inlineStr"/>
    </row>
    <row r="92" ht="15" customHeight="1">
      <c r="A92" t="inlineStr">
        <is>
          <t>A 71626-2021</t>
        </is>
      </c>
      <c r="B92" s="1" t="n">
        <v>44542.8859375</v>
      </c>
      <c r="C92" s="1" t="n">
        <v>46004</v>
      </c>
      <c r="D92" t="inlineStr">
        <is>
          <t>KALMAR LÄN</t>
        </is>
      </c>
      <c r="E92" t="inlineStr">
        <is>
          <t>VIMMERBY</t>
        </is>
      </c>
      <c r="G92" t="n">
        <v>1.1</v>
      </c>
      <c r="H92" t="n">
        <v>0</v>
      </c>
      <c r="I92" t="n">
        <v>0</v>
      </c>
      <c r="J92" t="n">
        <v>0</v>
      </c>
      <c r="K92" t="n">
        <v>0</v>
      </c>
      <c r="L92" t="n">
        <v>0</v>
      </c>
      <c r="M92" t="n">
        <v>0</v>
      </c>
      <c r="N92" t="n">
        <v>0</v>
      </c>
      <c r="O92" t="n">
        <v>0</v>
      </c>
      <c r="P92" t="n">
        <v>0</v>
      </c>
      <c r="Q92" t="n">
        <v>0</v>
      </c>
      <c r="R92" s="2" t="inlineStr"/>
    </row>
    <row r="93" ht="15" customHeight="1">
      <c r="A93" t="inlineStr">
        <is>
          <t>A 7072-2021</t>
        </is>
      </c>
      <c r="B93" s="1" t="n">
        <v>44237.8550925926</v>
      </c>
      <c r="C93" s="1" t="n">
        <v>46004</v>
      </c>
      <c r="D93" t="inlineStr">
        <is>
          <t>KALMAR LÄN</t>
        </is>
      </c>
      <c r="E93" t="inlineStr">
        <is>
          <t>VIMMERBY</t>
        </is>
      </c>
      <c r="G93" t="n">
        <v>1.1</v>
      </c>
      <c r="H93" t="n">
        <v>0</v>
      </c>
      <c r="I93" t="n">
        <v>0</v>
      </c>
      <c r="J93" t="n">
        <v>0</v>
      </c>
      <c r="K93" t="n">
        <v>0</v>
      </c>
      <c r="L93" t="n">
        <v>0</v>
      </c>
      <c r="M93" t="n">
        <v>0</v>
      </c>
      <c r="N93" t="n">
        <v>0</v>
      </c>
      <c r="O93" t="n">
        <v>0</v>
      </c>
      <c r="P93" t="n">
        <v>0</v>
      </c>
      <c r="Q93" t="n">
        <v>0</v>
      </c>
      <c r="R93" s="2" t="inlineStr"/>
    </row>
    <row r="94" ht="15" customHeight="1">
      <c r="A94" t="inlineStr">
        <is>
          <t>A 27762-2021</t>
        </is>
      </c>
      <c r="B94" s="1" t="n">
        <v>44354</v>
      </c>
      <c r="C94" s="1" t="n">
        <v>46004</v>
      </c>
      <c r="D94" t="inlineStr">
        <is>
          <t>KALMAR LÄN</t>
        </is>
      </c>
      <c r="E94" t="inlineStr">
        <is>
          <t>VIMMERBY</t>
        </is>
      </c>
      <c r="G94" t="n">
        <v>1.4</v>
      </c>
      <c r="H94" t="n">
        <v>0</v>
      </c>
      <c r="I94" t="n">
        <v>0</v>
      </c>
      <c r="J94" t="n">
        <v>0</v>
      </c>
      <c r="K94" t="n">
        <v>0</v>
      </c>
      <c r="L94" t="n">
        <v>0</v>
      </c>
      <c r="M94" t="n">
        <v>0</v>
      </c>
      <c r="N94" t="n">
        <v>0</v>
      </c>
      <c r="O94" t="n">
        <v>0</v>
      </c>
      <c r="P94" t="n">
        <v>0</v>
      </c>
      <c r="Q94" t="n">
        <v>0</v>
      </c>
      <c r="R94" s="2" t="inlineStr"/>
    </row>
    <row r="95" ht="15" customHeight="1">
      <c r="A95" t="inlineStr">
        <is>
          <t>A 59791-2021</t>
        </is>
      </c>
      <c r="B95" s="1" t="n">
        <v>44494</v>
      </c>
      <c r="C95" s="1" t="n">
        <v>46004</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46004</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13492-2021</t>
        </is>
      </c>
      <c r="B97" s="1" t="n">
        <v>44273</v>
      </c>
      <c r="C97" s="1" t="n">
        <v>46004</v>
      </c>
      <c r="D97" t="inlineStr">
        <is>
          <t>KALMAR LÄN</t>
        </is>
      </c>
      <c r="E97" t="inlineStr">
        <is>
          <t>VIMMERBY</t>
        </is>
      </c>
      <c r="G97" t="n">
        <v>3.1</v>
      </c>
      <c r="H97" t="n">
        <v>0</v>
      </c>
      <c r="I97" t="n">
        <v>0</v>
      </c>
      <c r="J97" t="n">
        <v>0</v>
      </c>
      <c r="K97" t="n">
        <v>0</v>
      </c>
      <c r="L97" t="n">
        <v>0</v>
      </c>
      <c r="M97" t="n">
        <v>0</v>
      </c>
      <c r="N97" t="n">
        <v>0</v>
      </c>
      <c r="O97" t="n">
        <v>0</v>
      </c>
      <c r="P97" t="n">
        <v>0</v>
      </c>
      <c r="Q97" t="n">
        <v>0</v>
      </c>
      <c r="R97" s="2" t="inlineStr"/>
    </row>
    <row r="98" ht="15" customHeight="1">
      <c r="A98" t="inlineStr">
        <is>
          <t>A 64923-2021</t>
        </is>
      </c>
      <c r="B98" s="1" t="n">
        <v>44512.70245370371</v>
      </c>
      <c r="C98" s="1" t="n">
        <v>46004</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14347-2021</t>
        </is>
      </c>
      <c r="B99" s="1" t="n">
        <v>44279.33400462963</v>
      </c>
      <c r="C99" s="1" t="n">
        <v>46004</v>
      </c>
      <c r="D99" t="inlineStr">
        <is>
          <t>KALMAR LÄN</t>
        </is>
      </c>
      <c r="E99" t="inlineStr">
        <is>
          <t>VIMMERBY</t>
        </is>
      </c>
      <c r="G99" t="n">
        <v>6.4</v>
      </c>
      <c r="H99" t="n">
        <v>0</v>
      </c>
      <c r="I99" t="n">
        <v>0</v>
      </c>
      <c r="J99" t="n">
        <v>0</v>
      </c>
      <c r="K99" t="n">
        <v>0</v>
      </c>
      <c r="L99" t="n">
        <v>0</v>
      </c>
      <c r="M99" t="n">
        <v>0</v>
      </c>
      <c r="N99" t="n">
        <v>0</v>
      </c>
      <c r="O99" t="n">
        <v>0</v>
      </c>
      <c r="P99" t="n">
        <v>0</v>
      </c>
      <c r="Q99" t="n">
        <v>0</v>
      </c>
      <c r="R99" s="2" t="inlineStr"/>
    </row>
    <row r="100" ht="15" customHeight="1">
      <c r="A100" t="inlineStr">
        <is>
          <t>A 3621-2021</t>
        </is>
      </c>
      <c r="B100" s="1" t="n">
        <v>44221.39408564815</v>
      </c>
      <c r="C100" s="1" t="n">
        <v>46004</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46004</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33829-2022</t>
        </is>
      </c>
      <c r="B102" s="1" t="n">
        <v>44790</v>
      </c>
      <c r="C102" s="1" t="n">
        <v>46004</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25859-2022</t>
        </is>
      </c>
      <c r="B103" s="1" t="n">
        <v>44733</v>
      </c>
      <c r="C103" s="1" t="n">
        <v>46004</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25868-2022</t>
        </is>
      </c>
      <c r="B104" s="1" t="n">
        <v>44733</v>
      </c>
      <c r="C104" s="1" t="n">
        <v>46004</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11145-2021</t>
        </is>
      </c>
      <c r="B105" s="1" t="n">
        <v>44261</v>
      </c>
      <c r="C105" s="1" t="n">
        <v>46004</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25049-2022</t>
        </is>
      </c>
      <c r="B106" s="1" t="n">
        <v>44729.28226851852</v>
      </c>
      <c r="C106" s="1" t="n">
        <v>46004</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12848-2021</t>
        </is>
      </c>
      <c r="B107" s="1" t="n">
        <v>44271.37226851852</v>
      </c>
      <c r="C107" s="1" t="n">
        <v>46004</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32386-2021</t>
        </is>
      </c>
      <c r="B108" s="1" t="n">
        <v>44371.62743055556</v>
      </c>
      <c r="C108" s="1" t="n">
        <v>46004</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24723-2021</t>
        </is>
      </c>
      <c r="B109" s="1" t="n">
        <v>44340.54472222222</v>
      </c>
      <c r="C109" s="1" t="n">
        <v>46004</v>
      </c>
      <c r="D109" t="inlineStr">
        <is>
          <t>KALMAR LÄN</t>
        </is>
      </c>
      <c r="E109" t="inlineStr">
        <is>
          <t>VIMMERBY</t>
        </is>
      </c>
      <c r="G109" t="n">
        <v>3.3</v>
      </c>
      <c r="H109" t="n">
        <v>0</v>
      </c>
      <c r="I109" t="n">
        <v>0</v>
      </c>
      <c r="J109" t="n">
        <v>0</v>
      </c>
      <c r="K109" t="n">
        <v>0</v>
      </c>
      <c r="L109" t="n">
        <v>0</v>
      </c>
      <c r="M109" t="n">
        <v>0</v>
      </c>
      <c r="N109" t="n">
        <v>0</v>
      </c>
      <c r="O109" t="n">
        <v>0</v>
      </c>
      <c r="P109" t="n">
        <v>0</v>
      </c>
      <c r="Q109" t="n">
        <v>0</v>
      </c>
      <c r="R109" s="2" t="inlineStr"/>
    </row>
    <row r="110" ht="15" customHeight="1">
      <c r="A110" t="inlineStr">
        <is>
          <t>A 8415-2021</t>
        </is>
      </c>
      <c r="B110" s="1" t="n">
        <v>44245</v>
      </c>
      <c r="C110" s="1" t="n">
        <v>46004</v>
      </c>
      <c r="D110" t="inlineStr">
        <is>
          <t>KALMAR LÄN</t>
        </is>
      </c>
      <c r="E110" t="inlineStr">
        <is>
          <t>VIMMERBY</t>
        </is>
      </c>
      <c r="G110" t="n">
        <v>4.7</v>
      </c>
      <c r="H110" t="n">
        <v>0</v>
      </c>
      <c r="I110" t="n">
        <v>0</v>
      </c>
      <c r="J110" t="n">
        <v>0</v>
      </c>
      <c r="K110" t="n">
        <v>0</v>
      </c>
      <c r="L110" t="n">
        <v>0</v>
      </c>
      <c r="M110" t="n">
        <v>0</v>
      </c>
      <c r="N110" t="n">
        <v>0</v>
      </c>
      <c r="O110" t="n">
        <v>0</v>
      </c>
      <c r="P110" t="n">
        <v>0</v>
      </c>
      <c r="Q110" t="n">
        <v>0</v>
      </c>
      <c r="R110" s="2" t="inlineStr"/>
    </row>
    <row r="111" ht="15" customHeight="1">
      <c r="A111" t="inlineStr">
        <is>
          <t>A 35633-2021</t>
        </is>
      </c>
      <c r="B111" s="1" t="n">
        <v>44386.40783564815</v>
      </c>
      <c r="C111" s="1" t="n">
        <v>46004</v>
      </c>
      <c r="D111" t="inlineStr">
        <is>
          <t>KALMAR LÄN</t>
        </is>
      </c>
      <c r="E111" t="inlineStr">
        <is>
          <t>VIMMERBY</t>
        </is>
      </c>
      <c r="G111" t="n">
        <v>1.6</v>
      </c>
      <c r="H111" t="n">
        <v>0</v>
      </c>
      <c r="I111" t="n">
        <v>0</v>
      </c>
      <c r="J111" t="n">
        <v>0</v>
      </c>
      <c r="K111" t="n">
        <v>0</v>
      </c>
      <c r="L111" t="n">
        <v>0</v>
      </c>
      <c r="M111" t="n">
        <v>0</v>
      </c>
      <c r="N111" t="n">
        <v>0</v>
      </c>
      <c r="O111" t="n">
        <v>0</v>
      </c>
      <c r="P111" t="n">
        <v>0</v>
      </c>
      <c r="Q111" t="n">
        <v>0</v>
      </c>
      <c r="R111" s="2" t="inlineStr"/>
    </row>
    <row r="112" ht="15" customHeight="1">
      <c r="A112" t="inlineStr">
        <is>
          <t>A 4042-2022</t>
        </is>
      </c>
      <c r="B112" s="1" t="n">
        <v>44588</v>
      </c>
      <c r="C112" s="1" t="n">
        <v>46004</v>
      </c>
      <c r="D112" t="inlineStr">
        <is>
          <t>KALMAR LÄN</t>
        </is>
      </c>
      <c r="E112" t="inlineStr">
        <is>
          <t>VIMMERBY</t>
        </is>
      </c>
      <c r="G112" t="n">
        <v>4.7</v>
      </c>
      <c r="H112" t="n">
        <v>0</v>
      </c>
      <c r="I112" t="n">
        <v>0</v>
      </c>
      <c r="J112" t="n">
        <v>0</v>
      </c>
      <c r="K112" t="n">
        <v>0</v>
      </c>
      <c r="L112" t="n">
        <v>0</v>
      </c>
      <c r="M112" t="n">
        <v>0</v>
      </c>
      <c r="N112" t="n">
        <v>0</v>
      </c>
      <c r="O112" t="n">
        <v>0</v>
      </c>
      <c r="P112" t="n">
        <v>0</v>
      </c>
      <c r="Q112" t="n">
        <v>0</v>
      </c>
      <c r="R112" s="2" t="inlineStr"/>
    </row>
    <row r="113" ht="15" customHeight="1">
      <c r="A113" t="inlineStr">
        <is>
          <t>A 56343-2021</t>
        </is>
      </c>
      <c r="B113" s="1" t="n">
        <v>44480</v>
      </c>
      <c r="C113" s="1" t="n">
        <v>46004</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46004</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46004</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46004</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51972-2021</t>
        </is>
      </c>
      <c r="B117" s="1" t="n">
        <v>44463.29439814815</v>
      </c>
      <c r="C117" s="1" t="n">
        <v>46004</v>
      </c>
      <c r="D117" t="inlineStr">
        <is>
          <t>KALMAR LÄN</t>
        </is>
      </c>
      <c r="E117" t="inlineStr">
        <is>
          <t>VIMMERBY</t>
        </is>
      </c>
      <c r="G117" t="n">
        <v>4.5</v>
      </c>
      <c r="H117" t="n">
        <v>0</v>
      </c>
      <c r="I117" t="n">
        <v>0</v>
      </c>
      <c r="J117" t="n">
        <v>0</v>
      </c>
      <c r="K117" t="n">
        <v>0</v>
      </c>
      <c r="L117" t="n">
        <v>0</v>
      </c>
      <c r="M117" t="n">
        <v>0</v>
      </c>
      <c r="N117" t="n">
        <v>0</v>
      </c>
      <c r="O117" t="n">
        <v>0</v>
      </c>
      <c r="P117" t="n">
        <v>0</v>
      </c>
      <c r="Q117" t="n">
        <v>0</v>
      </c>
      <c r="R117" s="2" t="inlineStr"/>
    </row>
    <row r="118" ht="15" customHeight="1">
      <c r="A118" t="inlineStr">
        <is>
          <t>A 35198-2021</t>
        </is>
      </c>
      <c r="B118" s="1" t="n">
        <v>44377</v>
      </c>
      <c r="C118" s="1" t="n">
        <v>46004</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24369-2021</t>
        </is>
      </c>
      <c r="B119" s="1" t="n">
        <v>44337</v>
      </c>
      <c r="C119" s="1" t="n">
        <v>46004</v>
      </c>
      <c r="D119" t="inlineStr">
        <is>
          <t>KALMAR LÄN</t>
        </is>
      </c>
      <c r="E119" t="inlineStr">
        <is>
          <t>VIMMERBY</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4118-2022</t>
        </is>
      </c>
      <c r="B120" s="1" t="n">
        <v>44588</v>
      </c>
      <c r="C120" s="1" t="n">
        <v>46004</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4126-2022</t>
        </is>
      </c>
      <c r="B121" s="1" t="n">
        <v>44588</v>
      </c>
      <c r="C121" s="1" t="n">
        <v>46004</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34036-2021</t>
        </is>
      </c>
      <c r="B122" s="1" t="n">
        <v>44379</v>
      </c>
      <c r="C122" s="1" t="n">
        <v>46004</v>
      </c>
      <c r="D122" t="inlineStr">
        <is>
          <t>KALMAR LÄN</t>
        </is>
      </c>
      <c r="E122" t="inlineStr">
        <is>
          <t>VIMMERBY</t>
        </is>
      </c>
      <c r="F122" t="inlineStr">
        <is>
          <t>Sveaskog</t>
        </is>
      </c>
      <c r="G122" t="n">
        <v>7</v>
      </c>
      <c r="H122" t="n">
        <v>0</v>
      </c>
      <c r="I122" t="n">
        <v>0</v>
      </c>
      <c r="J122" t="n">
        <v>0</v>
      </c>
      <c r="K122" t="n">
        <v>0</v>
      </c>
      <c r="L122" t="n">
        <v>0</v>
      </c>
      <c r="M122" t="n">
        <v>0</v>
      </c>
      <c r="N122" t="n">
        <v>0</v>
      </c>
      <c r="O122" t="n">
        <v>0</v>
      </c>
      <c r="P122" t="n">
        <v>0</v>
      </c>
      <c r="Q122" t="n">
        <v>0</v>
      </c>
      <c r="R122" s="2" t="inlineStr"/>
    </row>
    <row r="123" ht="15" customHeight="1">
      <c r="A123" t="inlineStr">
        <is>
          <t>A 63244-2021</t>
        </is>
      </c>
      <c r="B123" s="1" t="n">
        <v>44508</v>
      </c>
      <c r="C123" s="1" t="n">
        <v>46004</v>
      </c>
      <c r="D123" t="inlineStr">
        <is>
          <t>KALMAR LÄN</t>
        </is>
      </c>
      <c r="E123" t="inlineStr">
        <is>
          <t>VIMMERBY</t>
        </is>
      </c>
      <c r="F123" t="inlineStr">
        <is>
          <t>Övriga statliga verk och myndigheter</t>
        </is>
      </c>
      <c r="G123" t="n">
        <v>0.6</v>
      </c>
      <c r="H123" t="n">
        <v>0</v>
      </c>
      <c r="I123" t="n">
        <v>0</v>
      </c>
      <c r="J123" t="n">
        <v>0</v>
      </c>
      <c r="K123" t="n">
        <v>0</v>
      </c>
      <c r="L123" t="n">
        <v>0</v>
      </c>
      <c r="M123" t="n">
        <v>0</v>
      </c>
      <c r="N123" t="n">
        <v>0</v>
      </c>
      <c r="O123" t="n">
        <v>0</v>
      </c>
      <c r="P123" t="n">
        <v>0</v>
      </c>
      <c r="Q123" t="n">
        <v>0</v>
      </c>
      <c r="R123" s="2" t="inlineStr"/>
    </row>
    <row r="124" ht="15" customHeight="1">
      <c r="A124" t="inlineStr">
        <is>
          <t>A 16705-2021</t>
        </is>
      </c>
      <c r="B124" s="1" t="n">
        <v>44294</v>
      </c>
      <c r="C124" s="1" t="n">
        <v>46004</v>
      </c>
      <c r="D124" t="inlineStr">
        <is>
          <t>KALMAR LÄN</t>
        </is>
      </c>
      <c r="E124" t="inlineStr">
        <is>
          <t>VIMMERBY</t>
        </is>
      </c>
      <c r="G124" t="n">
        <v>2.6</v>
      </c>
      <c r="H124" t="n">
        <v>0</v>
      </c>
      <c r="I124" t="n">
        <v>0</v>
      </c>
      <c r="J124" t="n">
        <v>0</v>
      </c>
      <c r="K124" t="n">
        <v>0</v>
      </c>
      <c r="L124" t="n">
        <v>0</v>
      </c>
      <c r="M124" t="n">
        <v>0</v>
      </c>
      <c r="N124" t="n">
        <v>0</v>
      </c>
      <c r="O124" t="n">
        <v>0</v>
      </c>
      <c r="P124" t="n">
        <v>0</v>
      </c>
      <c r="Q124" t="n">
        <v>0</v>
      </c>
      <c r="R124" s="2" t="inlineStr"/>
    </row>
    <row r="125" ht="15" customHeight="1">
      <c r="A125" t="inlineStr">
        <is>
          <t>A 65887-2021</t>
        </is>
      </c>
      <c r="B125" s="1" t="n">
        <v>44517</v>
      </c>
      <c r="C125" s="1" t="n">
        <v>46004</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56389-2021</t>
        </is>
      </c>
      <c r="B126" s="1" t="n">
        <v>44480</v>
      </c>
      <c r="C126" s="1" t="n">
        <v>46004</v>
      </c>
      <c r="D126" t="inlineStr">
        <is>
          <t>KALMAR LÄN</t>
        </is>
      </c>
      <c r="E126" t="inlineStr">
        <is>
          <t>VIMMERBY</t>
        </is>
      </c>
      <c r="G126" t="n">
        <v>0.9</v>
      </c>
      <c r="H126" t="n">
        <v>0</v>
      </c>
      <c r="I126" t="n">
        <v>0</v>
      </c>
      <c r="J126" t="n">
        <v>0</v>
      </c>
      <c r="K126" t="n">
        <v>0</v>
      </c>
      <c r="L126" t="n">
        <v>0</v>
      </c>
      <c r="M126" t="n">
        <v>0</v>
      </c>
      <c r="N126" t="n">
        <v>0</v>
      </c>
      <c r="O126" t="n">
        <v>0</v>
      </c>
      <c r="P126" t="n">
        <v>0</v>
      </c>
      <c r="Q126" t="n">
        <v>0</v>
      </c>
      <c r="R126" s="2" t="inlineStr"/>
    </row>
    <row r="127" ht="15" customHeight="1">
      <c r="A127" t="inlineStr">
        <is>
          <t>A 39959-2022</t>
        </is>
      </c>
      <c r="B127" s="1" t="n">
        <v>44819</v>
      </c>
      <c r="C127" s="1" t="n">
        <v>46004</v>
      </c>
      <c r="D127" t="inlineStr">
        <is>
          <t>KALMAR LÄN</t>
        </is>
      </c>
      <c r="E127" t="inlineStr">
        <is>
          <t>VIMMERBY</t>
        </is>
      </c>
      <c r="G127" t="n">
        <v>0.9</v>
      </c>
      <c r="H127" t="n">
        <v>0</v>
      </c>
      <c r="I127" t="n">
        <v>0</v>
      </c>
      <c r="J127" t="n">
        <v>0</v>
      </c>
      <c r="K127" t="n">
        <v>0</v>
      </c>
      <c r="L127" t="n">
        <v>0</v>
      </c>
      <c r="M127" t="n">
        <v>0</v>
      </c>
      <c r="N127" t="n">
        <v>0</v>
      </c>
      <c r="O127" t="n">
        <v>0</v>
      </c>
      <c r="P127" t="n">
        <v>0</v>
      </c>
      <c r="Q127" t="n">
        <v>0</v>
      </c>
      <c r="R127" s="2" t="inlineStr"/>
    </row>
    <row r="128" ht="15" customHeight="1">
      <c r="A128" t="inlineStr">
        <is>
          <t>A 67952-2021</t>
        </is>
      </c>
      <c r="B128" s="1" t="n">
        <v>44525.63913194444</v>
      </c>
      <c r="C128" s="1" t="n">
        <v>46004</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33820-2022</t>
        </is>
      </c>
      <c r="B129" s="1" t="n">
        <v>44790</v>
      </c>
      <c r="C129" s="1" t="n">
        <v>46004</v>
      </c>
      <c r="D129" t="inlineStr">
        <is>
          <t>KALMAR LÄN</t>
        </is>
      </c>
      <c r="E129" t="inlineStr">
        <is>
          <t>VIMMERBY</t>
        </is>
      </c>
      <c r="G129" t="n">
        <v>3</v>
      </c>
      <c r="H129" t="n">
        <v>0</v>
      </c>
      <c r="I129" t="n">
        <v>0</v>
      </c>
      <c r="J129" t="n">
        <v>0</v>
      </c>
      <c r="K129" t="n">
        <v>0</v>
      </c>
      <c r="L129" t="n">
        <v>0</v>
      </c>
      <c r="M129" t="n">
        <v>0</v>
      </c>
      <c r="N129" t="n">
        <v>0</v>
      </c>
      <c r="O129" t="n">
        <v>0</v>
      </c>
      <c r="P129" t="n">
        <v>0</v>
      </c>
      <c r="Q129" t="n">
        <v>0</v>
      </c>
      <c r="R129" s="2" t="inlineStr"/>
    </row>
    <row r="130" ht="15" customHeight="1">
      <c r="A130" t="inlineStr">
        <is>
          <t>A 33824-2022</t>
        </is>
      </c>
      <c r="B130" s="1" t="n">
        <v>44790.47628472222</v>
      </c>
      <c r="C130" s="1" t="n">
        <v>46004</v>
      </c>
      <c r="D130" t="inlineStr">
        <is>
          <t>KALMAR LÄN</t>
        </is>
      </c>
      <c r="E130" t="inlineStr">
        <is>
          <t>VIMMERBY</t>
        </is>
      </c>
      <c r="G130" t="n">
        <v>2.3</v>
      </c>
      <c r="H130" t="n">
        <v>0</v>
      </c>
      <c r="I130" t="n">
        <v>0</v>
      </c>
      <c r="J130" t="n">
        <v>0</v>
      </c>
      <c r="K130" t="n">
        <v>0</v>
      </c>
      <c r="L130" t="n">
        <v>0</v>
      </c>
      <c r="M130" t="n">
        <v>0</v>
      </c>
      <c r="N130" t="n">
        <v>0</v>
      </c>
      <c r="O130" t="n">
        <v>0</v>
      </c>
      <c r="P130" t="n">
        <v>0</v>
      </c>
      <c r="Q130" t="n">
        <v>0</v>
      </c>
      <c r="R130" s="2" t="inlineStr"/>
    </row>
    <row r="131" ht="15" customHeight="1">
      <c r="A131" t="inlineStr">
        <is>
          <t>A 14521-2021</t>
        </is>
      </c>
      <c r="B131" s="1" t="n">
        <v>44279.64934027778</v>
      </c>
      <c r="C131" s="1" t="n">
        <v>46004</v>
      </c>
      <c r="D131" t="inlineStr">
        <is>
          <t>KALMAR LÄN</t>
        </is>
      </c>
      <c r="E131" t="inlineStr">
        <is>
          <t>VIMMERBY</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15533-2022</t>
        </is>
      </c>
      <c r="B132" s="1" t="n">
        <v>44662</v>
      </c>
      <c r="C132" s="1" t="n">
        <v>46004</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34040-2021</t>
        </is>
      </c>
      <c r="B133" s="1" t="n">
        <v>44379</v>
      </c>
      <c r="C133" s="1" t="n">
        <v>46004</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15200-2021</t>
        </is>
      </c>
      <c r="B134" s="1" t="n">
        <v>44284.44574074074</v>
      </c>
      <c r="C134" s="1" t="n">
        <v>46004</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11814-2022</t>
        </is>
      </c>
      <c r="B135" s="1" t="n">
        <v>44634.69703703704</v>
      </c>
      <c r="C135" s="1" t="n">
        <v>46004</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165-2022</t>
        </is>
      </c>
      <c r="B136" s="1" t="n">
        <v>44564</v>
      </c>
      <c r="C136" s="1" t="n">
        <v>46004</v>
      </c>
      <c r="D136" t="inlineStr">
        <is>
          <t>KALMAR LÄN</t>
        </is>
      </c>
      <c r="E136" t="inlineStr">
        <is>
          <t>VIMMERBY</t>
        </is>
      </c>
      <c r="G136" t="n">
        <v>0.7</v>
      </c>
      <c r="H136" t="n">
        <v>0</v>
      </c>
      <c r="I136" t="n">
        <v>0</v>
      </c>
      <c r="J136" t="n">
        <v>0</v>
      </c>
      <c r="K136" t="n">
        <v>0</v>
      </c>
      <c r="L136" t="n">
        <v>0</v>
      </c>
      <c r="M136" t="n">
        <v>0</v>
      </c>
      <c r="N136" t="n">
        <v>0</v>
      </c>
      <c r="O136" t="n">
        <v>0</v>
      </c>
      <c r="P136" t="n">
        <v>0</v>
      </c>
      <c r="Q136" t="n">
        <v>0</v>
      </c>
      <c r="R136" s="2" t="inlineStr"/>
    </row>
    <row r="137" ht="15" customHeight="1">
      <c r="A137" t="inlineStr">
        <is>
          <t>A 56385-2021</t>
        </is>
      </c>
      <c r="B137" s="1" t="n">
        <v>44480</v>
      </c>
      <c r="C137" s="1" t="n">
        <v>46004</v>
      </c>
      <c r="D137" t="inlineStr">
        <is>
          <t>KALMAR LÄN</t>
        </is>
      </c>
      <c r="E137" t="inlineStr">
        <is>
          <t>VIMMERBY</t>
        </is>
      </c>
      <c r="G137" t="n">
        <v>1.9</v>
      </c>
      <c r="H137" t="n">
        <v>0</v>
      </c>
      <c r="I137" t="n">
        <v>0</v>
      </c>
      <c r="J137" t="n">
        <v>0</v>
      </c>
      <c r="K137" t="n">
        <v>0</v>
      </c>
      <c r="L137" t="n">
        <v>0</v>
      </c>
      <c r="M137" t="n">
        <v>0</v>
      </c>
      <c r="N137" t="n">
        <v>0</v>
      </c>
      <c r="O137" t="n">
        <v>0</v>
      </c>
      <c r="P137" t="n">
        <v>0</v>
      </c>
      <c r="Q137" t="n">
        <v>0</v>
      </c>
      <c r="R137" s="2" t="inlineStr"/>
    </row>
    <row r="138" ht="15" customHeight="1">
      <c r="A138" t="inlineStr">
        <is>
          <t>A 12661-2021</t>
        </is>
      </c>
      <c r="B138" s="1" t="n">
        <v>44270</v>
      </c>
      <c r="C138" s="1" t="n">
        <v>46004</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24999-2021</t>
        </is>
      </c>
      <c r="B139" s="1" t="n">
        <v>44341</v>
      </c>
      <c r="C139" s="1" t="n">
        <v>46004</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31053-2022</t>
        </is>
      </c>
      <c r="B140" s="1" t="n">
        <v>44769.45422453704</v>
      </c>
      <c r="C140" s="1" t="n">
        <v>46004</v>
      </c>
      <c r="D140" t="inlineStr">
        <is>
          <t>KALMAR LÄN</t>
        </is>
      </c>
      <c r="E140" t="inlineStr">
        <is>
          <t>VIMMERBY</t>
        </is>
      </c>
      <c r="G140" t="n">
        <v>1.9</v>
      </c>
      <c r="H140" t="n">
        <v>0</v>
      </c>
      <c r="I140" t="n">
        <v>0</v>
      </c>
      <c r="J140" t="n">
        <v>0</v>
      </c>
      <c r="K140" t="n">
        <v>0</v>
      </c>
      <c r="L140" t="n">
        <v>0</v>
      </c>
      <c r="M140" t="n">
        <v>0</v>
      </c>
      <c r="N140" t="n">
        <v>0</v>
      </c>
      <c r="O140" t="n">
        <v>0</v>
      </c>
      <c r="P140" t="n">
        <v>0</v>
      </c>
      <c r="Q140" t="n">
        <v>0</v>
      </c>
      <c r="R140" s="2" t="inlineStr"/>
    </row>
    <row r="141" ht="15" customHeight="1">
      <c r="A141" t="inlineStr">
        <is>
          <t>A 7917-2022</t>
        </is>
      </c>
      <c r="B141" s="1" t="n">
        <v>44608</v>
      </c>
      <c r="C141" s="1" t="n">
        <v>46004</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24738-2021</t>
        </is>
      </c>
      <c r="B142" s="1" t="n">
        <v>44340.58002314815</v>
      </c>
      <c r="C142" s="1" t="n">
        <v>46004</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47208-2021</t>
        </is>
      </c>
      <c r="B143" s="1" t="n">
        <v>44447.34237268518</v>
      </c>
      <c r="C143" s="1" t="n">
        <v>46004</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12107-2022</t>
        </is>
      </c>
      <c r="B144" s="1" t="n">
        <v>44636</v>
      </c>
      <c r="C144" s="1" t="n">
        <v>46004</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46004</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35316-2021</t>
        </is>
      </c>
      <c r="B146" s="1" t="n">
        <v>44384</v>
      </c>
      <c r="C146" s="1" t="n">
        <v>46004</v>
      </c>
      <c r="D146" t="inlineStr">
        <is>
          <t>KALMAR LÄN</t>
        </is>
      </c>
      <c r="E146" t="inlineStr">
        <is>
          <t>VIMMERBY</t>
        </is>
      </c>
      <c r="G146" t="n">
        <v>3.5</v>
      </c>
      <c r="H146" t="n">
        <v>0</v>
      </c>
      <c r="I146" t="n">
        <v>0</v>
      </c>
      <c r="J146" t="n">
        <v>0</v>
      </c>
      <c r="K146" t="n">
        <v>0</v>
      </c>
      <c r="L146" t="n">
        <v>0</v>
      </c>
      <c r="M146" t="n">
        <v>0</v>
      </c>
      <c r="N146" t="n">
        <v>0</v>
      </c>
      <c r="O146" t="n">
        <v>0</v>
      </c>
      <c r="P146" t="n">
        <v>0</v>
      </c>
      <c r="Q146" t="n">
        <v>0</v>
      </c>
      <c r="R146" s="2" t="inlineStr"/>
    </row>
    <row r="147" ht="15" customHeight="1">
      <c r="A147" t="inlineStr">
        <is>
          <t>A 55674-2021</t>
        </is>
      </c>
      <c r="B147" s="1" t="n">
        <v>44476</v>
      </c>
      <c r="C147" s="1" t="n">
        <v>46004</v>
      </c>
      <c r="D147" t="inlineStr">
        <is>
          <t>KALMAR LÄN</t>
        </is>
      </c>
      <c r="E147" t="inlineStr">
        <is>
          <t>VIMMERBY</t>
        </is>
      </c>
      <c r="G147" t="n">
        <v>2.1</v>
      </c>
      <c r="H147" t="n">
        <v>0</v>
      </c>
      <c r="I147" t="n">
        <v>0</v>
      </c>
      <c r="J147" t="n">
        <v>0</v>
      </c>
      <c r="K147" t="n">
        <v>0</v>
      </c>
      <c r="L147" t="n">
        <v>0</v>
      </c>
      <c r="M147" t="n">
        <v>0</v>
      </c>
      <c r="N147" t="n">
        <v>0</v>
      </c>
      <c r="O147" t="n">
        <v>0</v>
      </c>
      <c r="P147" t="n">
        <v>0</v>
      </c>
      <c r="Q147" t="n">
        <v>0</v>
      </c>
      <c r="R147" s="2" t="inlineStr"/>
    </row>
    <row r="148" ht="15" customHeight="1">
      <c r="A148" t="inlineStr">
        <is>
          <t>A 33831-2022</t>
        </is>
      </c>
      <c r="B148" s="1" t="n">
        <v>44790.48503472222</v>
      </c>
      <c r="C148" s="1" t="n">
        <v>46004</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8454-2022</t>
        </is>
      </c>
      <c r="B149" s="1" t="n">
        <v>44612.86762731482</v>
      </c>
      <c r="C149" s="1" t="n">
        <v>46004</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47708-2022</t>
        </is>
      </c>
      <c r="B150" s="1" t="n">
        <v>44854.59157407407</v>
      </c>
      <c r="C150" s="1" t="n">
        <v>46004</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40077-2021</t>
        </is>
      </c>
      <c r="B151" s="1" t="n">
        <v>44418</v>
      </c>
      <c r="C151" s="1" t="n">
        <v>46004</v>
      </c>
      <c r="D151" t="inlineStr">
        <is>
          <t>KALMAR LÄN</t>
        </is>
      </c>
      <c r="E151" t="inlineStr">
        <is>
          <t>VIMMERBY</t>
        </is>
      </c>
      <c r="G151" t="n">
        <v>2.9</v>
      </c>
      <c r="H151" t="n">
        <v>0</v>
      </c>
      <c r="I151" t="n">
        <v>0</v>
      </c>
      <c r="J151" t="n">
        <v>0</v>
      </c>
      <c r="K151" t="n">
        <v>0</v>
      </c>
      <c r="L151" t="n">
        <v>0</v>
      </c>
      <c r="M151" t="n">
        <v>0</v>
      </c>
      <c r="N151" t="n">
        <v>0</v>
      </c>
      <c r="O151" t="n">
        <v>0</v>
      </c>
      <c r="P151" t="n">
        <v>0</v>
      </c>
      <c r="Q151" t="n">
        <v>0</v>
      </c>
      <c r="R151" s="2" t="inlineStr"/>
    </row>
    <row r="152" ht="15" customHeight="1">
      <c r="A152" t="inlineStr">
        <is>
          <t>A 39225-2022</t>
        </is>
      </c>
      <c r="B152" s="1" t="n">
        <v>44817.57988425926</v>
      </c>
      <c r="C152" s="1" t="n">
        <v>46004</v>
      </c>
      <c r="D152" t="inlineStr">
        <is>
          <t>KALMAR LÄN</t>
        </is>
      </c>
      <c r="E152" t="inlineStr">
        <is>
          <t>VIMMERBY</t>
        </is>
      </c>
      <c r="G152" t="n">
        <v>2.2</v>
      </c>
      <c r="H152" t="n">
        <v>0</v>
      </c>
      <c r="I152" t="n">
        <v>0</v>
      </c>
      <c r="J152" t="n">
        <v>0</v>
      </c>
      <c r="K152" t="n">
        <v>0</v>
      </c>
      <c r="L152" t="n">
        <v>0</v>
      </c>
      <c r="M152" t="n">
        <v>0</v>
      </c>
      <c r="N152" t="n">
        <v>0</v>
      </c>
      <c r="O152" t="n">
        <v>0</v>
      </c>
      <c r="P152" t="n">
        <v>0</v>
      </c>
      <c r="Q152" t="n">
        <v>0</v>
      </c>
      <c r="R152" s="2" t="inlineStr"/>
    </row>
    <row r="153" ht="15" customHeight="1">
      <c r="A153" t="inlineStr">
        <is>
          <t>A 47769-2022</t>
        </is>
      </c>
      <c r="B153" s="1" t="n">
        <v>44854</v>
      </c>
      <c r="C153" s="1" t="n">
        <v>46004</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9918-2022</t>
        </is>
      </c>
      <c r="B154" s="1" t="n">
        <v>44620</v>
      </c>
      <c r="C154" s="1" t="n">
        <v>46004</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23825-2022</t>
        </is>
      </c>
      <c r="B155" s="1" t="n">
        <v>44722.48768518519</v>
      </c>
      <c r="C155" s="1" t="n">
        <v>46004</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16602-2021</t>
        </is>
      </c>
      <c r="B156" s="1" t="n">
        <v>44294</v>
      </c>
      <c r="C156" s="1" t="n">
        <v>46004</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16607-2021</t>
        </is>
      </c>
      <c r="B157" s="1" t="n">
        <v>44294</v>
      </c>
      <c r="C157" s="1" t="n">
        <v>46004</v>
      </c>
      <c r="D157" t="inlineStr">
        <is>
          <t>KALMAR LÄN</t>
        </is>
      </c>
      <c r="E157" t="inlineStr">
        <is>
          <t>VIMMERBY</t>
        </is>
      </c>
      <c r="G157" t="n">
        <v>1</v>
      </c>
      <c r="H157" t="n">
        <v>0</v>
      </c>
      <c r="I157" t="n">
        <v>0</v>
      </c>
      <c r="J157" t="n">
        <v>0</v>
      </c>
      <c r="K157" t="n">
        <v>0</v>
      </c>
      <c r="L157" t="n">
        <v>0</v>
      </c>
      <c r="M157" t="n">
        <v>0</v>
      </c>
      <c r="N157" t="n">
        <v>0</v>
      </c>
      <c r="O157" t="n">
        <v>0</v>
      </c>
      <c r="P157" t="n">
        <v>0</v>
      </c>
      <c r="Q157" t="n">
        <v>0</v>
      </c>
      <c r="R157" s="2" t="inlineStr"/>
    </row>
    <row r="158" ht="15" customHeight="1">
      <c r="A158" t="inlineStr">
        <is>
          <t>A 17029-2022</t>
        </is>
      </c>
      <c r="B158" s="1" t="n">
        <v>44676.85248842592</v>
      </c>
      <c r="C158" s="1" t="n">
        <v>46004</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618-2021</t>
        </is>
      </c>
      <c r="B159" s="1" t="n">
        <v>44203</v>
      </c>
      <c r="C159" s="1" t="n">
        <v>46004</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7167-2022</t>
        </is>
      </c>
      <c r="B160" s="1" t="n">
        <v>44604</v>
      </c>
      <c r="C160" s="1" t="n">
        <v>46004</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48377-2021</t>
        </is>
      </c>
      <c r="B161" s="1" t="n">
        <v>44451.8375</v>
      </c>
      <c r="C161" s="1" t="n">
        <v>46004</v>
      </c>
      <c r="D161" t="inlineStr">
        <is>
          <t>KALMAR LÄN</t>
        </is>
      </c>
      <c r="E161" t="inlineStr">
        <is>
          <t>VIMMERBY</t>
        </is>
      </c>
      <c r="G161" t="n">
        <v>0.4</v>
      </c>
      <c r="H161" t="n">
        <v>0</v>
      </c>
      <c r="I161" t="n">
        <v>0</v>
      </c>
      <c r="J161" t="n">
        <v>0</v>
      </c>
      <c r="K161" t="n">
        <v>0</v>
      </c>
      <c r="L161" t="n">
        <v>0</v>
      </c>
      <c r="M161" t="n">
        <v>0</v>
      </c>
      <c r="N161" t="n">
        <v>0</v>
      </c>
      <c r="O161" t="n">
        <v>0</v>
      </c>
      <c r="P161" t="n">
        <v>0</v>
      </c>
      <c r="Q161" t="n">
        <v>0</v>
      </c>
      <c r="R161" s="2" t="inlineStr"/>
    </row>
    <row r="162" ht="15" customHeight="1">
      <c r="A162" t="inlineStr">
        <is>
          <t>A 18356-2021</t>
        </is>
      </c>
      <c r="B162" s="1" t="n">
        <v>44305</v>
      </c>
      <c r="C162" s="1" t="n">
        <v>46004</v>
      </c>
      <c r="D162" t="inlineStr">
        <is>
          <t>KALMAR LÄN</t>
        </is>
      </c>
      <c r="E162" t="inlineStr">
        <is>
          <t>VIMMERBY</t>
        </is>
      </c>
      <c r="G162" t="n">
        <v>3.4</v>
      </c>
      <c r="H162" t="n">
        <v>0</v>
      </c>
      <c r="I162" t="n">
        <v>0</v>
      </c>
      <c r="J162" t="n">
        <v>0</v>
      </c>
      <c r="K162" t="n">
        <v>0</v>
      </c>
      <c r="L162" t="n">
        <v>0</v>
      </c>
      <c r="M162" t="n">
        <v>0</v>
      </c>
      <c r="N162" t="n">
        <v>0</v>
      </c>
      <c r="O162" t="n">
        <v>0</v>
      </c>
      <c r="P162" t="n">
        <v>0</v>
      </c>
      <c r="Q162" t="n">
        <v>0</v>
      </c>
      <c r="R162" s="2" t="inlineStr"/>
    </row>
    <row r="163" ht="15" customHeight="1">
      <c r="A163" t="inlineStr">
        <is>
          <t>A 40472-2022</t>
        </is>
      </c>
      <c r="B163" s="1" t="n">
        <v>44823</v>
      </c>
      <c r="C163" s="1" t="n">
        <v>46004</v>
      </c>
      <c r="D163" t="inlineStr">
        <is>
          <t>KALMAR LÄN</t>
        </is>
      </c>
      <c r="E163" t="inlineStr">
        <is>
          <t>VIMMERBY</t>
        </is>
      </c>
      <c r="G163" t="n">
        <v>2</v>
      </c>
      <c r="H163" t="n">
        <v>0</v>
      </c>
      <c r="I163" t="n">
        <v>0</v>
      </c>
      <c r="J163" t="n">
        <v>0</v>
      </c>
      <c r="K163" t="n">
        <v>0</v>
      </c>
      <c r="L163" t="n">
        <v>0</v>
      </c>
      <c r="M163" t="n">
        <v>0</v>
      </c>
      <c r="N163" t="n">
        <v>0</v>
      </c>
      <c r="O163" t="n">
        <v>0</v>
      </c>
      <c r="P163" t="n">
        <v>0</v>
      </c>
      <c r="Q163" t="n">
        <v>0</v>
      </c>
      <c r="R163" s="2" t="inlineStr"/>
    </row>
    <row r="164" ht="15" customHeight="1">
      <c r="A164" t="inlineStr">
        <is>
          <t>A 12241-2021</t>
        </is>
      </c>
      <c r="B164" s="1" t="n">
        <v>44266.7240625</v>
      </c>
      <c r="C164" s="1" t="n">
        <v>46004</v>
      </c>
      <c r="D164" t="inlineStr">
        <is>
          <t>KALMAR LÄN</t>
        </is>
      </c>
      <c r="E164" t="inlineStr">
        <is>
          <t>VIMMERBY</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46004</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18276-2021</t>
        </is>
      </c>
      <c r="B166" s="1" t="n">
        <v>44305.40046296296</v>
      </c>
      <c r="C166" s="1" t="n">
        <v>46004</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47473-2021</t>
        </is>
      </c>
      <c r="B167" s="1" t="n">
        <v>44447</v>
      </c>
      <c r="C167" s="1" t="n">
        <v>46004</v>
      </c>
      <c r="D167" t="inlineStr">
        <is>
          <t>KALMAR LÄN</t>
        </is>
      </c>
      <c r="E167" t="inlineStr">
        <is>
          <t>VIMMERBY</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32603-2021</t>
        </is>
      </c>
      <c r="B168" s="1" t="n">
        <v>44375.38789351852</v>
      </c>
      <c r="C168" s="1" t="n">
        <v>46004</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36117-2021</t>
        </is>
      </c>
      <c r="B169" s="1" t="n">
        <v>44386</v>
      </c>
      <c r="C169" s="1" t="n">
        <v>46004</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42521-2021</t>
        </is>
      </c>
      <c r="B170" s="1" t="n">
        <v>44427</v>
      </c>
      <c r="C170" s="1" t="n">
        <v>46004</v>
      </c>
      <c r="D170" t="inlineStr">
        <is>
          <t>KALMAR LÄN</t>
        </is>
      </c>
      <c r="E170" t="inlineStr">
        <is>
          <t>VIMMERBY</t>
        </is>
      </c>
      <c r="G170" t="n">
        <v>5.4</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46004</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46004</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46004</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10086-2022</t>
        </is>
      </c>
      <c r="B174" s="1" t="n">
        <v>44621</v>
      </c>
      <c r="C174" s="1" t="n">
        <v>46004</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46964-2022</t>
        </is>
      </c>
      <c r="B175" s="1" t="n">
        <v>44851.95016203704</v>
      </c>
      <c r="C175" s="1" t="n">
        <v>46004</v>
      </c>
      <c r="D175" t="inlineStr">
        <is>
          <t>KALMAR LÄN</t>
        </is>
      </c>
      <c r="E175" t="inlineStr">
        <is>
          <t>VIMMERBY</t>
        </is>
      </c>
      <c r="G175" t="n">
        <v>0.2</v>
      </c>
      <c r="H175" t="n">
        <v>0</v>
      </c>
      <c r="I175" t="n">
        <v>0</v>
      </c>
      <c r="J175" t="n">
        <v>0</v>
      </c>
      <c r="K175" t="n">
        <v>0</v>
      </c>
      <c r="L175" t="n">
        <v>0</v>
      </c>
      <c r="M175" t="n">
        <v>0</v>
      </c>
      <c r="N175" t="n">
        <v>0</v>
      </c>
      <c r="O175" t="n">
        <v>0</v>
      </c>
      <c r="P175" t="n">
        <v>0</v>
      </c>
      <c r="Q175" t="n">
        <v>0</v>
      </c>
      <c r="R175" s="2" t="inlineStr"/>
    </row>
    <row r="176" ht="15" customHeight="1">
      <c r="A176" t="inlineStr">
        <is>
          <t>A 3330-2021</t>
        </is>
      </c>
      <c r="B176" s="1" t="n">
        <v>44217.79856481482</v>
      </c>
      <c r="C176" s="1" t="n">
        <v>46004</v>
      </c>
      <c r="D176" t="inlineStr">
        <is>
          <t>KALMAR LÄN</t>
        </is>
      </c>
      <c r="E176" t="inlineStr">
        <is>
          <t>VIMMERBY</t>
        </is>
      </c>
      <c r="G176" t="n">
        <v>11.1</v>
      </c>
      <c r="H176" t="n">
        <v>0</v>
      </c>
      <c r="I176" t="n">
        <v>0</v>
      </c>
      <c r="J176" t="n">
        <v>0</v>
      </c>
      <c r="K176" t="n">
        <v>0</v>
      </c>
      <c r="L176" t="n">
        <v>0</v>
      </c>
      <c r="M176" t="n">
        <v>0</v>
      </c>
      <c r="N176" t="n">
        <v>0</v>
      </c>
      <c r="O176" t="n">
        <v>0</v>
      </c>
      <c r="P176" t="n">
        <v>0</v>
      </c>
      <c r="Q176" t="n">
        <v>0</v>
      </c>
      <c r="R176" s="2" t="inlineStr"/>
    </row>
    <row r="177" ht="15" customHeight="1">
      <c r="A177" t="inlineStr">
        <is>
          <t>A 15191-2021</t>
        </is>
      </c>
      <c r="B177" s="1" t="n">
        <v>44284.42348379629</v>
      </c>
      <c r="C177" s="1" t="n">
        <v>46004</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13180-2022</t>
        </is>
      </c>
      <c r="B178" s="1" t="n">
        <v>44644</v>
      </c>
      <c r="C178" s="1" t="n">
        <v>46004</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40971-2021</t>
        </is>
      </c>
      <c r="B179" s="1" t="n">
        <v>44421</v>
      </c>
      <c r="C179" s="1" t="n">
        <v>46004</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53145-2022</t>
        </is>
      </c>
      <c r="B180" s="1" t="n">
        <v>44876.48346064815</v>
      </c>
      <c r="C180" s="1" t="n">
        <v>46004</v>
      </c>
      <c r="D180" t="inlineStr">
        <is>
          <t>KALMAR LÄN</t>
        </is>
      </c>
      <c r="E180" t="inlineStr">
        <is>
          <t>VIMMERBY</t>
        </is>
      </c>
      <c r="G180" t="n">
        <v>0.4</v>
      </c>
      <c r="H180" t="n">
        <v>0</v>
      </c>
      <c r="I180" t="n">
        <v>0</v>
      </c>
      <c r="J180" t="n">
        <v>0</v>
      </c>
      <c r="K180" t="n">
        <v>0</v>
      </c>
      <c r="L180" t="n">
        <v>0</v>
      </c>
      <c r="M180" t="n">
        <v>0</v>
      </c>
      <c r="N180" t="n">
        <v>0</v>
      </c>
      <c r="O180" t="n">
        <v>0</v>
      </c>
      <c r="P180" t="n">
        <v>0</v>
      </c>
      <c r="Q180" t="n">
        <v>0</v>
      </c>
      <c r="R180" s="2" t="inlineStr"/>
    </row>
    <row r="181" ht="15" customHeight="1">
      <c r="A181" t="inlineStr">
        <is>
          <t>A 25738-2022</t>
        </is>
      </c>
      <c r="B181" s="1" t="n">
        <v>44733.43092592592</v>
      </c>
      <c r="C181" s="1" t="n">
        <v>46004</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68744-2020</t>
        </is>
      </c>
      <c r="B182" s="1" t="n">
        <v>44186</v>
      </c>
      <c r="C182" s="1" t="n">
        <v>46004</v>
      </c>
      <c r="D182" t="inlineStr">
        <is>
          <t>KALMAR LÄN</t>
        </is>
      </c>
      <c r="E182" t="inlineStr">
        <is>
          <t>VIMMERBY</t>
        </is>
      </c>
      <c r="G182" t="n">
        <v>2.5</v>
      </c>
      <c r="H182" t="n">
        <v>0</v>
      </c>
      <c r="I182" t="n">
        <v>0</v>
      </c>
      <c r="J182" t="n">
        <v>0</v>
      </c>
      <c r="K182" t="n">
        <v>0</v>
      </c>
      <c r="L182" t="n">
        <v>0</v>
      </c>
      <c r="M182" t="n">
        <v>0</v>
      </c>
      <c r="N182" t="n">
        <v>0</v>
      </c>
      <c r="O182" t="n">
        <v>0</v>
      </c>
      <c r="P182" t="n">
        <v>0</v>
      </c>
      <c r="Q182" t="n">
        <v>0</v>
      </c>
      <c r="R182" s="2" t="inlineStr"/>
    </row>
    <row r="183" ht="15" customHeight="1">
      <c r="A183" t="inlineStr">
        <is>
          <t>A 58962-2022</t>
        </is>
      </c>
      <c r="B183" s="1" t="n">
        <v>44903</v>
      </c>
      <c r="C183" s="1" t="n">
        <v>46004</v>
      </c>
      <c r="D183" t="inlineStr">
        <is>
          <t>KALMAR LÄN</t>
        </is>
      </c>
      <c r="E183" t="inlineStr">
        <is>
          <t>VIMMERBY</t>
        </is>
      </c>
      <c r="G183" t="n">
        <v>1.1</v>
      </c>
      <c r="H183" t="n">
        <v>0</v>
      </c>
      <c r="I183" t="n">
        <v>0</v>
      </c>
      <c r="J183" t="n">
        <v>0</v>
      </c>
      <c r="K183" t="n">
        <v>0</v>
      </c>
      <c r="L183" t="n">
        <v>0</v>
      </c>
      <c r="M183" t="n">
        <v>0</v>
      </c>
      <c r="N183" t="n">
        <v>0</v>
      </c>
      <c r="O183" t="n">
        <v>0</v>
      </c>
      <c r="P183" t="n">
        <v>0</v>
      </c>
      <c r="Q183" t="n">
        <v>0</v>
      </c>
      <c r="R183" s="2" t="inlineStr"/>
    </row>
    <row r="184" ht="15" customHeight="1">
      <c r="A184" t="inlineStr">
        <is>
          <t>A 13457-2021</t>
        </is>
      </c>
      <c r="B184" s="1" t="n">
        <v>44273</v>
      </c>
      <c r="C184" s="1" t="n">
        <v>46004</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10837-2023</t>
        </is>
      </c>
      <c r="B185" s="1" t="n">
        <v>44991.30547453704</v>
      </c>
      <c r="C185" s="1" t="n">
        <v>46004</v>
      </c>
      <c r="D185" t="inlineStr">
        <is>
          <t>KALMAR LÄN</t>
        </is>
      </c>
      <c r="E185" t="inlineStr">
        <is>
          <t>VIMMERBY</t>
        </is>
      </c>
      <c r="G185" t="n">
        <v>7.3</v>
      </c>
      <c r="H185" t="n">
        <v>0</v>
      </c>
      <c r="I185" t="n">
        <v>0</v>
      </c>
      <c r="J185" t="n">
        <v>0</v>
      </c>
      <c r="K185" t="n">
        <v>0</v>
      </c>
      <c r="L185" t="n">
        <v>0</v>
      </c>
      <c r="M185" t="n">
        <v>0</v>
      </c>
      <c r="N185" t="n">
        <v>0</v>
      </c>
      <c r="O185" t="n">
        <v>0</v>
      </c>
      <c r="P185" t="n">
        <v>0</v>
      </c>
      <c r="Q185" t="n">
        <v>0</v>
      </c>
      <c r="R185" s="2" t="inlineStr"/>
    </row>
    <row r="186" ht="15" customHeight="1">
      <c r="A186" t="inlineStr">
        <is>
          <t>A 10838-2023</t>
        </is>
      </c>
      <c r="B186" s="1" t="n">
        <v>44991</v>
      </c>
      <c r="C186" s="1" t="n">
        <v>46004</v>
      </c>
      <c r="D186" t="inlineStr">
        <is>
          <t>KALMAR LÄN</t>
        </is>
      </c>
      <c r="E186" t="inlineStr">
        <is>
          <t>VIMMERBY</t>
        </is>
      </c>
      <c r="G186" t="n">
        <v>5.1</v>
      </c>
      <c r="H186" t="n">
        <v>0</v>
      </c>
      <c r="I186" t="n">
        <v>0</v>
      </c>
      <c r="J186" t="n">
        <v>0</v>
      </c>
      <c r="K186" t="n">
        <v>0</v>
      </c>
      <c r="L186" t="n">
        <v>0</v>
      </c>
      <c r="M186" t="n">
        <v>0</v>
      </c>
      <c r="N186" t="n">
        <v>0</v>
      </c>
      <c r="O186" t="n">
        <v>0</v>
      </c>
      <c r="P186" t="n">
        <v>0</v>
      </c>
      <c r="Q186" t="n">
        <v>0</v>
      </c>
      <c r="R186" s="2" t="inlineStr"/>
    </row>
    <row r="187" ht="15" customHeight="1">
      <c r="A187" t="inlineStr">
        <is>
          <t>A 14278-2021</t>
        </is>
      </c>
      <c r="B187" s="1" t="n">
        <v>44278.63479166666</v>
      </c>
      <c r="C187" s="1" t="n">
        <v>46004</v>
      </c>
      <c r="D187" t="inlineStr">
        <is>
          <t>KALMAR LÄN</t>
        </is>
      </c>
      <c r="E187" t="inlineStr">
        <is>
          <t>VIMMERBY</t>
        </is>
      </c>
      <c r="F187" t="inlineStr">
        <is>
          <t>Övriga statliga verk och myndigheter</t>
        </is>
      </c>
      <c r="G187" t="n">
        <v>0.8</v>
      </c>
      <c r="H187" t="n">
        <v>0</v>
      </c>
      <c r="I187" t="n">
        <v>0</v>
      </c>
      <c r="J187" t="n">
        <v>0</v>
      </c>
      <c r="K187" t="n">
        <v>0</v>
      </c>
      <c r="L187" t="n">
        <v>0</v>
      </c>
      <c r="M187" t="n">
        <v>0</v>
      </c>
      <c r="N187" t="n">
        <v>0</v>
      </c>
      <c r="O187" t="n">
        <v>0</v>
      </c>
      <c r="P187" t="n">
        <v>0</v>
      </c>
      <c r="Q187" t="n">
        <v>0</v>
      </c>
      <c r="R187" s="2" t="inlineStr"/>
    </row>
    <row r="188" ht="15" customHeight="1">
      <c r="A188" t="inlineStr">
        <is>
          <t>A 8194-2022</t>
        </is>
      </c>
      <c r="B188" s="1" t="n">
        <v>44609</v>
      </c>
      <c r="C188" s="1" t="n">
        <v>46004</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27758-2024</t>
        </is>
      </c>
      <c r="B189" s="1" t="n">
        <v>45475.48303240741</v>
      </c>
      <c r="C189" s="1" t="n">
        <v>46004</v>
      </c>
      <c r="D189" t="inlineStr">
        <is>
          <t>KALMAR LÄN</t>
        </is>
      </c>
      <c r="E189" t="inlineStr">
        <is>
          <t>VIMMERBY</t>
        </is>
      </c>
      <c r="G189" t="n">
        <v>2.6</v>
      </c>
      <c r="H189" t="n">
        <v>0</v>
      </c>
      <c r="I189" t="n">
        <v>0</v>
      </c>
      <c r="J189" t="n">
        <v>0</v>
      </c>
      <c r="K189" t="n">
        <v>0</v>
      </c>
      <c r="L189" t="n">
        <v>0</v>
      </c>
      <c r="M189" t="n">
        <v>0</v>
      </c>
      <c r="N189" t="n">
        <v>0</v>
      </c>
      <c r="O189" t="n">
        <v>0</v>
      </c>
      <c r="P189" t="n">
        <v>0</v>
      </c>
      <c r="Q189" t="n">
        <v>0</v>
      </c>
      <c r="R189" s="2" t="inlineStr"/>
    </row>
    <row r="190" ht="15" customHeight="1">
      <c r="A190" t="inlineStr">
        <is>
          <t>A 13307-2025</t>
        </is>
      </c>
      <c r="B190" s="1" t="n">
        <v>45735.58024305556</v>
      </c>
      <c r="C190" s="1" t="n">
        <v>46004</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8453-2022</t>
        </is>
      </c>
      <c r="B191" s="1" t="n">
        <v>44612.86554398148</v>
      </c>
      <c r="C191" s="1" t="n">
        <v>46004</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52433-2021</t>
        </is>
      </c>
      <c r="B192" s="1" t="n">
        <v>44466.34726851852</v>
      </c>
      <c r="C192" s="1" t="n">
        <v>46004</v>
      </c>
      <c r="D192" t="inlineStr">
        <is>
          <t>KALMAR LÄN</t>
        </is>
      </c>
      <c r="E192" t="inlineStr">
        <is>
          <t>VIMMERBY</t>
        </is>
      </c>
      <c r="G192" t="n">
        <v>3.5</v>
      </c>
      <c r="H192" t="n">
        <v>0</v>
      </c>
      <c r="I192" t="n">
        <v>0</v>
      </c>
      <c r="J192" t="n">
        <v>0</v>
      </c>
      <c r="K192" t="n">
        <v>0</v>
      </c>
      <c r="L192" t="n">
        <v>0</v>
      </c>
      <c r="M192" t="n">
        <v>0</v>
      </c>
      <c r="N192" t="n">
        <v>0</v>
      </c>
      <c r="O192" t="n">
        <v>0</v>
      </c>
      <c r="P192" t="n">
        <v>0</v>
      </c>
      <c r="Q192" t="n">
        <v>0</v>
      </c>
      <c r="R192" s="2" t="inlineStr"/>
    </row>
    <row r="193" ht="15" customHeight="1">
      <c r="A193" t="inlineStr">
        <is>
          <t>A 50621-2022</t>
        </is>
      </c>
      <c r="B193" s="1" t="n">
        <v>44866.81100694444</v>
      </c>
      <c r="C193" s="1" t="n">
        <v>46004</v>
      </c>
      <c r="D193" t="inlineStr">
        <is>
          <t>KALMAR LÄN</t>
        </is>
      </c>
      <c r="E193" t="inlineStr">
        <is>
          <t>VIMMERBY</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54065-2021</t>
        </is>
      </c>
      <c r="B194" s="1" t="n">
        <v>44470.44232638889</v>
      </c>
      <c r="C194" s="1" t="n">
        <v>46004</v>
      </c>
      <c r="D194" t="inlineStr">
        <is>
          <t>KALMAR LÄN</t>
        </is>
      </c>
      <c r="E194" t="inlineStr">
        <is>
          <t>VIMMERBY</t>
        </is>
      </c>
      <c r="G194" t="n">
        <v>0.9</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46004</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55716-2023</t>
        </is>
      </c>
      <c r="B196" s="1" t="n">
        <v>45232</v>
      </c>
      <c r="C196" s="1" t="n">
        <v>46004</v>
      </c>
      <c r="D196" t="inlineStr">
        <is>
          <t>KALMAR LÄN</t>
        </is>
      </c>
      <c r="E196" t="inlineStr">
        <is>
          <t>VIMMERBY</t>
        </is>
      </c>
      <c r="G196" t="n">
        <v>2.3</v>
      </c>
      <c r="H196" t="n">
        <v>0</v>
      </c>
      <c r="I196" t="n">
        <v>0</v>
      </c>
      <c r="J196" t="n">
        <v>0</v>
      </c>
      <c r="K196" t="n">
        <v>0</v>
      </c>
      <c r="L196" t="n">
        <v>0</v>
      </c>
      <c r="M196" t="n">
        <v>0</v>
      </c>
      <c r="N196" t="n">
        <v>0</v>
      </c>
      <c r="O196" t="n">
        <v>0</v>
      </c>
      <c r="P196" t="n">
        <v>0</v>
      </c>
      <c r="Q196" t="n">
        <v>0</v>
      </c>
      <c r="R196" s="2" t="inlineStr"/>
    </row>
    <row r="197" ht="15" customHeight="1">
      <c r="A197" t="inlineStr">
        <is>
          <t>A 11733-2022</t>
        </is>
      </c>
      <c r="B197" s="1" t="n">
        <v>44634</v>
      </c>
      <c r="C197" s="1" t="n">
        <v>46004</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18329-2023</t>
        </is>
      </c>
      <c r="B198" s="1" t="n">
        <v>45041.63380787037</v>
      </c>
      <c r="C198" s="1" t="n">
        <v>46004</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13290-2025</t>
        </is>
      </c>
      <c r="B199" s="1" t="n">
        <v>45735.56751157407</v>
      </c>
      <c r="C199" s="1" t="n">
        <v>46004</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7804-2022</t>
        </is>
      </c>
      <c r="B200" s="1" t="n">
        <v>44608.50458333334</v>
      </c>
      <c r="C200" s="1" t="n">
        <v>46004</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39042-2022</t>
        </is>
      </c>
      <c r="B201" s="1" t="n">
        <v>44817</v>
      </c>
      <c r="C201" s="1" t="n">
        <v>46004</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19162-2023</t>
        </is>
      </c>
      <c r="B202" s="1" t="n">
        <v>45048.59699074074</v>
      </c>
      <c r="C202" s="1" t="n">
        <v>46004</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9475-2023</t>
        </is>
      </c>
      <c r="B203" s="1" t="n">
        <v>44981.58834490741</v>
      </c>
      <c r="C203" s="1" t="n">
        <v>46004</v>
      </c>
      <c r="D203" t="inlineStr">
        <is>
          <t>KALMAR LÄN</t>
        </is>
      </c>
      <c r="E203" t="inlineStr">
        <is>
          <t>VIMMERBY</t>
        </is>
      </c>
      <c r="G203" t="n">
        <v>2</v>
      </c>
      <c r="H203" t="n">
        <v>0</v>
      </c>
      <c r="I203" t="n">
        <v>0</v>
      </c>
      <c r="J203" t="n">
        <v>0</v>
      </c>
      <c r="K203" t="n">
        <v>0</v>
      </c>
      <c r="L203" t="n">
        <v>0</v>
      </c>
      <c r="M203" t="n">
        <v>0</v>
      </c>
      <c r="N203" t="n">
        <v>0</v>
      </c>
      <c r="O203" t="n">
        <v>0</v>
      </c>
      <c r="P203" t="n">
        <v>0</v>
      </c>
      <c r="Q203" t="n">
        <v>0</v>
      </c>
      <c r="R203" s="2" t="inlineStr"/>
    </row>
    <row r="204" ht="15" customHeight="1">
      <c r="A204" t="inlineStr">
        <is>
          <t>A 16288-2021</t>
        </is>
      </c>
      <c r="B204" s="1" t="n">
        <v>44292</v>
      </c>
      <c r="C204" s="1" t="n">
        <v>46004</v>
      </c>
      <c r="D204" t="inlineStr">
        <is>
          <t>KALMAR LÄN</t>
        </is>
      </c>
      <c r="E204" t="inlineStr">
        <is>
          <t>VIMMERBY</t>
        </is>
      </c>
      <c r="F204" t="inlineStr">
        <is>
          <t>Övriga Aktiebolag</t>
        </is>
      </c>
      <c r="G204" t="n">
        <v>27.6</v>
      </c>
      <c r="H204" t="n">
        <v>0</v>
      </c>
      <c r="I204" t="n">
        <v>0</v>
      </c>
      <c r="J204" t="n">
        <v>0</v>
      </c>
      <c r="K204" t="n">
        <v>0</v>
      </c>
      <c r="L204" t="n">
        <v>0</v>
      </c>
      <c r="M204" t="n">
        <v>0</v>
      </c>
      <c r="N204" t="n">
        <v>0</v>
      </c>
      <c r="O204" t="n">
        <v>0</v>
      </c>
      <c r="P204" t="n">
        <v>0</v>
      </c>
      <c r="Q204" t="n">
        <v>0</v>
      </c>
      <c r="R204" s="2" t="inlineStr"/>
    </row>
    <row r="205" ht="15" customHeight="1">
      <c r="A205" t="inlineStr">
        <is>
          <t>A 4076-2022</t>
        </is>
      </c>
      <c r="B205" s="1" t="n">
        <v>44588.37998842593</v>
      </c>
      <c r="C205" s="1" t="n">
        <v>46004</v>
      </c>
      <c r="D205" t="inlineStr">
        <is>
          <t>KALMAR LÄN</t>
        </is>
      </c>
      <c r="E205" t="inlineStr">
        <is>
          <t>VIMMERBY</t>
        </is>
      </c>
      <c r="G205" t="n">
        <v>3</v>
      </c>
      <c r="H205" t="n">
        <v>0</v>
      </c>
      <c r="I205" t="n">
        <v>0</v>
      </c>
      <c r="J205" t="n">
        <v>0</v>
      </c>
      <c r="K205" t="n">
        <v>0</v>
      </c>
      <c r="L205" t="n">
        <v>0</v>
      </c>
      <c r="M205" t="n">
        <v>0</v>
      </c>
      <c r="N205" t="n">
        <v>0</v>
      </c>
      <c r="O205" t="n">
        <v>0</v>
      </c>
      <c r="P205" t="n">
        <v>0</v>
      </c>
      <c r="Q205" t="n">
        <v>0</v>
      </c>
      <c r="R205" s="2" t="inlineStr"/>
    </row>
    <row r="206" ht="15" customHeight="1">
      <c r="A206" t="inlineStr">
        <is>
          <t>A 4122-2022</t>
        </is>
      </c>
      <c r="B206" s="1" t="n">
        <v>44588</v>
      </c>
      <c r="C206" s="1" t="n">
        <v>46004</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11946-2025</t>
        </is>
      </c>
      <c r="B207" s="1" t="n">
        <v>45728.54832175926</v>
      </c>
      <c r="C207" s="1" t="n">
        <v>46004</v>
      </c>
      <c r="D207" t="inlineStr">
        <is>
          <t>KALMAR LÄN</t>
        </is>
      </c>
      <c r="E207" t="inlineStr">
        <is>
          <t>VIMMERBY</t>
        </is>
      </c>
      <c r="G207" t="n">
        <v>0.4</v>
      </c>
      <c r="H207" t="n">
        <v>0</v>
      </c>
      <c r="I207" t="n">
        <v>0</v>
      </c>
      <c r="J207" t="n">
        <v>0</v>
      </c>
      <c r="K207" t="n">
        <v>0</v>
      </c>
      <c r="L207" t="n">
        <v>0</v>
      </c>
      <c r="M207" t="n">
        <v>0</v>
      </c>
      <c r="N207" t="n">
        <v>0</v>
      </c>
      <c r="O207" t="n">
        <v>0</v>
      </c>
      <c r="P207" t="n">
        <v>0</v>
      </c>
      <c r="Q207" t="n">
        <v>0</v>
      </c>
      <c r="R207" s="2" t="inlineStr"/>
    </row>
    <row r="208" ht="15" customHeight="1">
      <c r="A208" t="inlineStr">
        <is>
          <t>A 19537-2022</t>
        </is>
      </c>
      <c r="B208" s="1" t="n">
        <v>44693.62822916666</v>
      </c>
      <c r="C208" s="1" t="n">
        <v>46004</v>
      </c>
      <c r="D208" t="inlineStr">
        <is>
          <t>KALMAR LÄN</t>
        </is>
      </c>
      <c r="E208" t="inlineStr">
        <is>
          <t>VIMMERBY</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13015-2023</t>
        </is>
      </c>
      <c r="B209" s="1" t="n">
        <v>45002</v>
      </c>
      <c r="C209" s="1" t="n">
        <v>46004</v>
      </c>
      <c r="D209" t="inlineStr">
        <is>
          <t>KALMAR LÄN</t>
        </is>
      </c>
      <c r="E209" t="inlineStr">
        <is>
          <t>VIMMERBY</t>
        </is>
      </c>
      <c r="G209" t="n">
        <v>3.2</v>
      </c>
      <c r="H209" t="n">
        <v>0</v>
      </c>
      <c r="I209" t="n">
        <v>0</v>
      </c>
      <c r="J209" t="n">
        <v>0</v>
      </c>
      <c r="K209" t="n">
        <v>0</v>
      </c>
      <c r="L209" t="n">
        <v>0</v>
      </c>
      <c r="M209" t="n">
        <v>0</v>
      </c>
      <c r="N209" t="n">
        <v>0</v>
      </c>
      <c r="O209" t="n">
        <v>0</v>
      </c>
      <c r="P209" t="n">
        <v>0</v>
      </c>
      <c r="Q209" t="n">
        <v>0</v>
      </c>
      <c r="R209" s="2" t="inlineStr"/>
    </row>
    <row r="210" ht="15" customHeight="1">
      <c r="A210" t="inlineStr">
        <is>
          <t>A 58374-2024</t>
        </is>
      </c>
      <c r="B210" s="1" t="n">
        <v>45632.72635416667</v>
      </c>
      <c r="C210" s="1" t="n">
        <v>46004</v>
      </c>
      <c r="D210" t="inlineStr">
        <is>
          <t>KALMAR LÄN</t>
        </is>
      </c>
      <c r="E210" t="inlineStr">
        <is>
          <t>VIMMERBY</t>
        </is>
      </c>
      <c r="G210" t="n">
        <v>0.8</v>
      </c>
      <c r="H210" t="n">
        <v>0</v>
      </c>
      <c r="I210" t="n">
        <v>0</v>
      </c>
      <c r="J210" t="n">
        <v>0</v>
      </c>
      <c r="K210" t="n">
        <v>0</v>
      </c>
      <c r="L210" t="n">
        <v>0</v>
      </c>
      <c r="M210" t="n">
        <v>0</v>
      </c>
      <c r="N210" t="n">
        <v>0</v>
      </c>
      <c r="O210" t="n">
        <v>0</v>
      </c>
      <c r="P210" t="n">
        <v>0</v>
      </c>
      <c r="Q210" t="n">
        <v>0</v>
      </c>
      <c r="R210" s="2" t="inlineStr"/>
    </row>
    <row r="211" ht="15" customHeight="1">
      <c r="A211" t="inlineStr">
        <is>
          <t>A 29186-2024</t>
        </is>
      </c>
      <c r="B211" s="1" t="n">
        <v>45482.54844907407</v>
      </c>
      <c r="C211" s="1" t="n">
        <v>46004</v>
      </c>
      <c r="D211" t="inlineStr">
        <is>
          <t>KALMAR LÄN</t>
        </is>
      </c>
      <c r="E211" t="inlineStr">
        <is>
          <t>VIMMERBY</t>
        </is>
      </c>
      <c r="G211" t="n">
        <v>2.6</v>
      </c>
      <c r="H211" t="n">
        <v>0</v>
      </c>
      <c r="I211" t="n">
        <v>0</v>
      </c>
      <c r="J211" t="n">
        <v>0</v>
      </c>
      <c r="K211" t="n">
        <v>0</v>
      </c>
      <c r="L211" t="n">
        <v>0</v>
      </c>
      <c r="M211" t="n">
        <v>0</v>
      </c>
      <c r="N211" t="n">
        <v>0</v>
      </c>
      <c r="O211" t="n">
        <v>0</v>
      </c>
      <c r="P211" t="n">
        <v>0</v>
      </c>
      <c r="Q211" t="n">
        <v>0</v>
      </c>
      <c r="R211" s="2" t="inlineStr"/>
    </row>
    <row r="212" ht="15" customHeight="1">
      <c r="A212" t="inlineStr">
        <is>
          <t>A 60951-2023</t>
        </is>
      </c>
      <c r="B212" s="1" t="n">
        <v>45261.44914351852</v>
      </c>
      <c r="C212" s="1" t="n">
        <v>46004</v>
      </c>
      <c r="D212" t="inlineStr">
        <is>
          <t>KALMAR LÄN</t>
        </is>
      </c>
      <c r="E212" t="inlineStr">
        <is>
          <t>VIMMERBY</t>
        </is>
      </c>
      <c r="G212" t="n">
        <v>4.3</v>
      </c>
      <c r="H212" t="n">
        <v>0</v>
      </c>
      <c r="I212" t="n">
        <v>0</v>
      </c>
      <c r="J212" t="n">
        <v>0</v>
      </c>
      <c r="K212" t="n">
        <v>0</v>
      </c>
      <c r="L212" t="n">
        <v>0</v>
      </c>
      <c r="M212" t="n">
        <v>0</v>
      </c>
      <c r="N212" t="n">
        <v>0</v>
      </c>
      <c r="O212" t="n">
        <v>0</v>
      </c>
      <c r="P212" t="n">
        <v>0</v>
      </c>
      <c r="Q212" t="n">
        <v>0</v>
      </c>
      <c r="R212" s="2" t="inlineStr"/>
    </row>
    <row r="213" ht="15" customHeight="1">
      <c r="A213" t="inlineStr">
        <is>
          <t>A 60292-2022</t>
        </is>
      </c>
      <c r="B213" s="1" t="n">
        <v>44910.54231481482</v>
      </c>
      <c r="C213" s="1" t="n">
        <v>46004</v>
      </c>
      <c r="D213" t="inlineStr">
        <is>
          <t>KALMAR LÄN</t>
        </is>
      </c>
      <c r="E213" t="inlineStr">
        <is>
          <t>VIMMERBY</t>
        </is>
      </c>
      <c r="G213" t="n">
        <v>4.4</v>
      </c>
      <c r="H213" t="n">
        <v>0</v>
      </c>
      <c r="I213" t="n">
        <v>0</v>
      </c>
      <c r="J213" t="n">
        <v>0</v>
      </c>
      <c r="K213" t="n">
        <v>0</v>
      </c>
      <c r="L213" t="n">
        <v>0</v>
      </c>
      <c r="M213" t="n">
        <v>0</v>
      </c>
      <c r="N213" t="n">
        <v>0</v>
      </c>
      <c r="O213" t="n">
        <v>0</v>
      </c>
      <c r="P213" t="n">
        <v>0</v>
      </c>
      <c r="Q213" t="n">
        <v>0</v>
      </c>
      <c r="R213" s="2" t="inlineStr"/>
    </row>
    <row r="214" ht="15" customHeight="1">
      <c r="A214" t="inlineStr">
        <is>
          <t>A 50993-2022</t>
        </is>
      </c>
      <c r="B214" s="1" t="n">
        <v>44867</v>
      </c>
      <c r="C214" s="1" t="n">
        <v>46004</v>
      </c>
      <c r="D214" t="inlineStr">
        <is>
          <t>KALMAR LÄN</t>
        </is>
      </c>
      <c r="E214" t="inlineStr">
        <is>
          <t>VIMMERBY</t>
        </is>
      </c>
      <c r="G214" t="n">
        <v>1.7</v>
      </c>
      <c r="H214" t="n">
        <v>0</v>
      </c>
      <c r="I214" t="n">
        <v>0</v>
      </c>
      <c r="J214" t="n">
        <v>0</v>
      </c>
      <c r="K214" t="n">
        <v>0</v>
      </c>
      <c r="L214" t="n">
        <v>0</v>
      </c>
      <c r="M214" t="n">
        <v>0</v>
      </c>
      <c r="N214" t="n">
        <v>0</v>
      </c>
      <c r="O214" t="n">
        <v>0</v>
      </c>
      <c r="P214" t="n">
        <v>0</v>
      </c>
      <c r="Q214" t="n">
        <v>0</v>
      </c>
      <c r="R214" s="2" t="inlineStr"/>
    </row>
    <row r="215" ht="15" customHeight="1">
      <c r="A215" t="inlineStr">
        <is>
          <t>A 42850-2022</t>
        </is>
      </c>
      <c r="B215" s="1" t="n">
        <v>44832.67608796297</v>
      </c>
      <c r="C215" s="1" t="n">
        <v>46004</v>
      </c>
      <c r="D215" t="inlineStr">
        <is>
          <t>KALMAR LÄN</t>
        </is>
      </c>
      <c r="E215" t="inlineStr">
        <is>
          <t>VIMMERBY</t>
        </is>
      </c>
      <c r="G215" t="n">
        <v>5.9</v>
      </c>
      <c r="H215" t="n">
        <v>0</v>
      </c>
      <c r="I215" t="n">
        <v>0</v>
      </c>
      <c r="J215" t="n">
        <v>0</v>
      </c>
      <c r="K215" t="n">
        <v>0</v>
      </c>
      <c r="L215" t="n">
        <v>0</v>
      </c>
      <c r="M215" t="n">
        <v>0</v>
      </c>
      <c r="N215" t="n">
        <v>0</v>
      </c>
      <c r="O215" t="n">
        <v>0</v>
      </c>
      <c r="P215" t="n">
        <v>0</v>
      </c>
      <c r="Q215" t="n">
        <v>0</v>
      </c>
      <c r="R215" s="2" t="inlineStr"/>
    </row>
    <row r="216" ht="15" customHeight="1">
      <c r="A216" t="inlineStr">
        <is>
          <t>A 7485-2024</t>
        </is>
      </c>
      <c r="B216" s="1" t="n">
        <v>45346.67184027778</v>
      </c>
      <c r="C216" s="1" t="n">
        <v>46004</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30402-2023</t>
        </is>
      </c>
      <c r="B217" s="1" t="n">
        <v>45111.48395833333</v>
      </c>
      <c r="C217" s="1" t="n">
        <v>46004</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12590-2025</t>
        </is>
      </c>
      <c r="B218" s="1" t="n">
        <v>45732.79925925926</v>
      </c>
      <c r="C218" s="1" t="n">
        <v>46004</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35710-2023</t>
        </is>
      </c>
      <c r="B219" s="1" t="n">
        <v>45147.67096064815</v>
      </c>
      <c r="C219" s="1" t="n">
        <v>46004</v>
      </c>
      <c r="D219" t="inlineStr">
        <is>
          <t>KALMAR LÄN</t>
        </is>
      </c>
      <c r="E219" t="inlineStr">
        <is>
          <t>VIMMERBY</t>
        </is>
      </c>
      <c r="G219" t="n">
        <v>3.1</v>
      </c>
      <c r="H219" t="n">
        <v>0</v>
      </c>
      <c r="I219" t="n">
        <v>0</v>
      </c>
      <c r="J219" t="n">
        <v>0</v>
      </c>
      <c r="K219" t="n">
        <v>0</v>
      </c>
      <c r="L219" t="n">
        <v>0</v>
      </c>
      <c r="M219" t="n">
        <v>0</v>
      </c>
      <c r="N219" t="n">
        <v>0</v>
      </c>
      <c r="O219" t="n">
        <v>0</v>
      </c>
      <c r="P219" t="n">
        <v>0</v>
      </c>
      <c r="Q219" t="n">
        <v>0</v>
      </c>
      <c r="R219" s="2" t="inlineStr"/>
    </row>
    <row r="220" ht="15" customHeight="1">
      <c r="A220" t="inlineStr">
        <is>
          <t>A 54787-2023</t>
        </is>
      </c>
      <c r="B220" s="1" t="n">
        <v>45236</v>
      </c>
      <c r="C220" s="1" t="n">
        <v>46004</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52823-2024</t>
        </is>
      </c>
      <c r="B221" s="1" t="n">
        <v>45610.59094907407</v>
      </c>
      <c r="C221" s="1" t="n">
        <v>46004</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32614-2023</t>
        </is>
      </c>
      <c r="B222" s="1" t="n">
        <v>45121</v>
      </c>
      <c r="C222" s="1" t="n">
        <v>46004</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6850-2023</t>
        </is>
      </c>
      <c r="B223" s="1" t="n">
        <v>44967.44255787037</v>
      </c>
      <c r="C223" s="1" t="n">
        <v>46004</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58750-2022</t>
        </is>
      </c>
      <c r="B224" s="1" t="n">
        <v>44903.33363425926</v>
      </c>
      <c r="C224" s="1" t="n">
        <v>46004</v>
      </c>
      <c r="D224" t="inlineStr">
        <is>
          <t>KALMAR LÄN</t>
        </is>
      </c>
      <c r="E224" t="inlineStr">
        <is>
          <t>VIMMERBY</t>
        </is>
      </c>
      <c r="G224" t="n">
        <v>3.3</v>
      </c>
      <c r="H224" t="n">
        <v>0</v>
      </c>
      <c r="I224" t="n">
        <v>0</v>
      </c>
      <c r="J224" t="n">
        <v>0</v>
      </c>
      <c r="K224" t="n">
        <v>0</v>
      </c>
      <c r="L224" t="n">
        <v>0</v>
      </c>
      <c r="M224" t="n">
        <v>0</v>
      </c>
      <c r="N224" t="n">
        <v>0</v>
      </c>
      <c r="O224" t="n">
        <v>0</v>
      </c>
      <c r="P224" t="n">
        <v>0</v>
      </c>
      <c r="Q224" t="n">
        <v>0</v>
      </c>
      <c r="R224" s="2" t="inlineStr"/>
    </row>
    <row r="225" ht="15" customHeight="1">
      <c r="A225" t="inlineStr">
        <is>
          <t>A 41158-2023</t>
        </is>
      </c>
      <c r="B225" s="1" t="n">
        <v>45174.31395833333</v>
      </c>
      <c r="C225" s="1" t="n">
        <v>46004</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11609-2023</t>
        </is>
      </c>
      <c r="B226" s="1" t="n">
        <v>44994.40635416667</v>
      </c>
      <c r="C226" s="1" t="n">
        <v>46004</v>
      </c>
      <c r="D226" t="inlineStr">
        <is>
          <t>KALMAR LÄN</t>
        </is>
      </c>
      <c r="E226" t="inlineStr">
        <is>
          <t>VIMMERBY</t>
        </is>
      </c>
      <c r="G226" t="n">
        <v>4.9</v>
      </c>
      <c r="H226" t="n">
        <v>0</v>
      </c>
      <c r="I226" t="n">
        <v>0</v>
      </c>
      <c r="J226" t="n">
        <v>0</v>
      </c>
      <c r="K226" t="n">
        <v>0</v>
      </c>
      <c r="L226" t="n">
        <v>0</v>
      </c>
      <c r="M226" t="n">
        <v>0</v>
      </c>
      <c r="N226" t="n">
        <v>0</v>
      </c>
      <c r="O226" t="n">
        <v>0</v>
      </c>
      <c r="P226" t="n">
        <v>0</v>
      </c>
      <c r="Q226" t="n">
        <v>0</v>
      </c>
      <c r="R226" s="2" t="inlineStr"/>
    </row>
    <row r="227" ht="15" customHeight="1">
      <c r="A227" t="inlineStr">
        <is>
          <t>A 11147-2023</t>
        </is>
      </c>
      <c r="B227" s="1" t="n">
        <v>44992</v>
      </c>
      <c r="C227" s="1" t="n">
        <v>46004</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2510-2023</t>
        </is>
      </c>
      <c r="B228" s="1" t="n">
        <v>44943.57309027778</v>
      </c>
      <c r="C228" s="1" t="n">
        <v>46004</v>
      </c>
      <c r="D228" t="inlineStr">
        <is>
          <t>KALMAR LÄN</t>
        </is>
      </c>
      <c r="E228" t="inlineStr">
        <is>
          <t>VIMMERBY</t>
        </is>
      </c>
      <c r="G228" t="n">
        <v>8.6</v>
      </c>
      <c r="H228" t="n">
        <v>0</v>
      </c>
      <c r="I228" t="n">
        <v>0</v>
      </c>
      <c r="J228" t="n">
        <v>0</v>
      </c>
      <c r="K228" t="n">
        <v>0</v>
      </c>
      <c r="L228" t="n">
        <v>0</v>
      </c>
      <c r="M228" t="n">
        <v>0</v>
      </c>
      <c r="N228" t="n">
        <v>0</v>
      </c>
      <c r="O228" t="n">
        <v>0</v>
      </c>
      <c r="P228" t="n">
        <v>0</v>
      </c>
      <c r="Q228" t="n">
        <v>0</v>
      </c>
      <c r="R228" s="2" t="inlineStr"/>
    </row>
    <row r="229" ht="15" customHeight="1">
      <c r="A229" t="inlineStr">
        <is>
          <t>A 19833-2023</t>
        </is>
      </c>
      <c r="B229" s="1" t="n">
        <v>45052</v>
      </c>
      <c r="C229" s="1" t="n">
        <v>46004</v>
      </c>
      <c r="D229" t="inlineStr">
        <is>
          <t>KALMAR LÄN</t>
        </is>
      </c>
      <c r="E229" t="inlineStr">
        <is>
          <t>VIMMERBY</t>
        </is>
      </c>
      <c r="G229" t="n">
        <v>6.7</v>
      </c>
      <c r="H229" t="n">
        <v>0</v>
      </c>
      <c r="I229" t="n">
        <v>0</v>
      </c>
      <c r="J229" t="n">
        <v>0</v>
      </c>
      <c r="K229" t="n">
        <v>0</v>
      </c>
      <c r="L229" t="n">
        <v>0</v>
      </c>
      <c r="M229" t="n">
        <v>0</v>
      </c>
      <c r="N229" t="n">
        <v>0</v>
      </c>
      <c r="O229" t="n">
        <v>0</v>
      </c>
      <c r="P229" t="n">
        <v>0</v>
      </c>
      <c r="Q229" t="n">
        <v>0</v>
      </c>
      <c r="R229" s="2" t="inlineStr"/>
    </row>
    <row r="230" ht="15" customHeight="1">
      <c r="A230" t="inlineStr">
        <is>
          <t>A 16983-2023</t>
        </is>
      </c>
      <c r="B230" s="1" t="n">
        <v>45033.76043981482</v>
      </c>
      <c r="C230" s="1" t="n">
        <v>46004</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14548-2024</t>
        </is>
      </c>
      <c r="B231" s="1" t="n">
        <v>45394.66887731481</v>
      </c>
      <c r="C231" s="1" t="n">
        <v>46004</v>
      </c>
      <c r="D231" t="inlineStr">
        <is>
          <t>KALMAR LÄN</t>
        </is>
      </c>
      <c r="E231" t="inlineStr">
        <is>
          <t>VIMMERBY</t>
        </is>
      </c>
      <c r="G231" t="n">
        <v>0.9</v>
      </c>
      <c r="H231" t="n">
        <v>0</v>
      </c>
      <c r="I231" t="n">
        <v>0</v>
      </c>
      <c r="J231" t="n">
        <v>0</v>
      </c>
      <c r="K231" t="n">
        <v>0</v>
      </c>
      <c r="L231" t="n">
        <v>0</v>
      </c>
      <c r="M231" t="n">
        <v>0</v>
      </c>
      <c r="N231" t="n">
        <v>0</v>
      </c>
      <c r="O231" t="n">
        <v>0</v>
      </c>
      <c r="P231" t="n">
        <v>0</v>
      </c>
      <c r="Q231" t="n">
        <v>0</v>
      </c>
      <c r="R231" s="2" t="inlineStr"/>
    </row>
    <row r="232" ht="15" customHeight="1">
      <c r="A232" t="inlineStr">
        <is>
          <t>A 585-2024</t>
        </is>
      </c>
      <c r="B232" s="1" t="n">
        <v>45299.62576388889</v>
      </c>
      <c r="C232" s="1" t="n">
        <v>46004</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46144-2023</t>
        </is>
      </c>
      <c r="B233" s="1" t="n">
        <v>45196.57247685185</v>
      </c>
      <c r="C233" s="1" t="n">
        <v>46004</v>
      </c>
      <c r="D233" t="inlineStr">
        <is>
          <t>KALMAR LÄN</t>
        </is>
      </c>
      <c r="E233" t="inlineStr">
        <is>
          <t>VIMMERBY</t>
        </is>
      </c>
      <c r="G233" t="n">
        <v>6.5</v>
      </c>
      <c r="H233" t="n">
        <v>0</v>
      </c>
      <c r="I233" t="n">
        <v>0</v>
      </c>
      <c r="J233" t="n">
        <v>0</v>
      </c>
      <c r="K233" t="n">
        <v>0</v>
      </c>
      <c r="L233" t="n">
        <v>0</v>
      </c>
      <c r="M233" t="n">
        <v>0</v>
      </c>
      <c r="N233" t="n">
        <v>0</v>
      </c>
      <c r="O233" t="n">
        <v>0</v>
      </c>
      <c r="P233" t="n">
        <v>0</v>
      </c>
      <c r="Q233" t="n">
        <v>0</v>
      </c>
      <c r="R233" s="2" t="inlineStr"/>
    </row>
    <row r="234" ht="15" customHeight="1">
      <c r="A234" t="inlineStr">
        <is>
          <t>A 56020-2024</t>
        </is>
      </c>
      <c r="B234" s="1" t="n">
        <v>45623.9525462963</v>
      </c>
      <c r="C234" s="1" t="n">
        <v>46004</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3269-2024</t>
        </is>
      </c>
      <c r="B235" s="1" t="n">
        <v>45317.40372685185</v>
      </c>
      <c r="C235" s="1" t="n">
        <v>46004</v>
      </c>
      <c r="D235" t="inlineStr">
        <is>
          <t>KALMAR LÄN</t>
        </is>
      </c>
      <c r="E235" t="inlineStr">
        <is>
          <t>VIMMERBY</t>
        </is>
      </c>
      <c r="F235" t="inlineStr">
        <is>
          <t>Övriga Aktiebolag</t>
        </is>
      </c>
      <c r="G235" t="n">
        <v>1.7</v>
      </c>
      <c r="H235" t="n">
        <v>0</v>
      </c>
      <c r="I235" t="n">
        <v>0</v>
      </c>
      <c r="J235" t="n">
        <v>0</v>
      </c>
      <c r="K235" t="n">
        <v>0</v>
      </c>
      <c r="L235" t="n">
        <v>0</v>
      </c>
      <c r="M235" t="n">
        <v>0</v>
      </c>
      <c r="N235" t="n">
        <v>0</v>
      </c>
      <c r="O235" t="n">
        <v>0</v>
      </c>
      <c r="P235" t="n">
        <v>0</v>
      </c>
      <c r="Q235" t="n">
        <v>0</v>
      </c>
      <c r="R235" s="2" t="inlineStr"/>
    </row>
    <row r="236" ht="15" customHeight="1">
      <c r="A236" t="inlineStr">
        <is>
          <t>A 48120-2022</t>
        </is>
      </c>
      <c r="B236" s="1" t="n">
        <v>44857.65989583333</v>
      </c>
      <c r="C236" s="1" t="n">
        <v>46004</v>
      </c>
      <c r="D236" t="inlineStr">
        <is>
          <t>KALMAR LÄN</t>
        </is>
      </c>
      <c r="E236" t="inlineStr">
        <is>
          <t>VIMMERBY</t>
        </is>
      </c>
      <c r="G236" t="n">
        <v>1.7</v>
      </c>
      <c r="H236" t="n">
        <v>0</v>
      </c>
      <c r="I236" t="n">
        <v>0</v>
      </c>
      <c r="J236" t="n">
        <v>0</v>
      </c>
      <c r="K236" t="n">
        <v>0</v>
      </c>
      <c r="L236" t="n">
        <v>0</v>
      </c>
      <c r="M236" t="n">
        <v>0</v>
      </c>
      <c r="N236" t="n">
        <v>0</v>
      </c>
      <c r="O236" t="n">
        <v>0</v>
      </c>
      <c r="P236" t="n">
        <v>0</v>
      </c>
      <c r="Q236" t="n">
        <v>0</v>
      </c>
      <c r="R236" s="2" t="inlineStr"/>
    </row>
    <row r="237" ht="15" customHeight="1">
      <c r="A237" t="inlineStr">
        <is>
          <t>A 6368-2023</t>
        </is>
      </c>
      <c r="B237" s="1" t="n">
        <v>44965</v>
      </c>
      <c r="C237" s="1" t="n">
        <v>46004</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9416-2024</t>
        </is>
      </c>
      <c r="B238" s="1" t="n">
        <v>45359.44837962963</v>
      </c>
      <c r="C238" s="1" t="n">
        <v>46004</v>
      </c>
      <c r="D238" t="inlineStr">
        <is>
          <t>KALMAR LÄN</t>
        </is>
      </c>
      <c r="E238" t="inlineStr">
        <is>
          <t>VIMMERBY</t>
        </is>
      </c>
      <c r="G238" t="n">
        <v>3.2</v>
      </c>
      <c r="H238" t="n">
        <v>0</v>
      </c>
      <c r="I238" t="n">
        <v>0</v>
      </c>
      <c r="J238" t="n">
        <v>0</v>
      </c>
      <c r="K238" t="n">
        <v>0</v>
      </c>
      <c r="L238" t="n">
        <v>0</v>
      </c>
      <c r="M238" t="n">
        <v>0</v>
      </c>
      <c r="N238" t="n">
        <v>0</v>
      </c>
      <c r="O238" t="n">
        <v>0</v>
      </c>
      <c r="P238" t="n">
        <v>0</v>
      </c>
      <c r="Q238" t="n">
        <v>0</v>
      </c>
      <c r="R238" s="2" t="inlineStr"/>
    </row>
    <row r="239" ht="15" customHeight="1">
      <c r="A239" t="inlineStr">
        <is>
          <t>A 23252-2024</t>
        </is>
      </c>
      <c r="B239" s="1" t="n">
        <v>45453.36067129629</v>
      </c>
      <c r="C239" s="1" t="n">
        <v>46004</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47263-2023</t>
        </is>
      </c>
      <c r="B240" s="1" t="n">
        <v>45202.4209837963</v>
      </c>
      <c r="C240" s="1" t="n">
        <v>46004</v>
      </c>
      <c r="D240" t="inlineStr">
        <is>
          <t>KALMAR LÄN</t>
        </is>
      </c>
      <c r="E240" t="inlineStr">
        <is>
          <t>VIMMERBY</t>
        </is>
      </c>
      <c r="G240" t="n">
        <v>1.8</v>
      </c>
      <c r="H240" t="n">
        <v>0</v>
      </c>
      <c r="I240" t="n">
        <v>0</v>
      </c>
      <c r="J240" t="n">
        <v>0</v>
      </c>
      <c r="K240" t="n">
        <v>0</v>
      </c>
      <c r="L240" t="n">
        <v>0</v>
      </c>
      <c r="M240" t="n">
        <v>0</v>
      </c>
      <c r="N240" t="n">
        <v>0</v>
      </c>
      <c r="O240" t="n">
        <v>0</v>
      </c>
      <c r="P240" t="n">
        <v>0</v>
      </c>
      <c r="Q240" t="n">
        <v>0</v>
      </c>
      <c r="R240" s="2" t="inlineStr"/>
    </row>
    <row r="241" ht="15" customHeight="1">
      <c r="A241" t="inlineStr">
        <is>
          <t>A 58100-2024</t>
        </is>
      </c>
      <c r="B241" s="1" t="n">
        <v>45632.36706018518</v>
      </c>
      <c r="C241" s="1" t="n">
        <v>46004</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2797-2023</t>
        </is>
      </c>
      <c r="B242" s="1" t="n">
        <v>44944.71386574074</v>
      </c>
      <c r="C242" s="1" t="n">
        <v>46004</v>
      </c>
      <c r="D242" t="inlineStr">
        <is>
          <t>KALMAR LÄN</t>
        </is>
      </c>
      <c r="E242" t="inlineStr">
        <is>
          <t>VIMMERBY</t>
        </is>
      </c>
      <c r="G242" t="n">
        <v>3.4</v>
      </c>
      <c r="H242" t="n">
        <v>0</v>
      </c>
      <c r="I242" t="n">
        <v>0</v>
      </c>
      <c r="J242" t="n">
        <v>0</v>
      </c>
      <c r="K242" t="n">
        <v>0</v>
      </c>
      <c r="L242" t="n">
        <v>0</v>
      </c>
      <c r="M242" t="n">
        <v>0</v>
      </c>
      <c r="N242" t="n">
        <v>0</v>
      </c>
      <c r="O242" t="n">
        <v>0</v>
      </c>
      <c r="P242" t="n">
        <v>0</v>
      </c>
      <c r="Q242" t="n">
        <v>0</v>
      </c>
      <c r="R242" s="2" t="inlineStr"/>
    </row>
    <row r="243" ht="15" customHeight="1">
      <c r="A243" t="inlineStr">
        <is>
          <t>A 2799-2023</t>
        </is>
      </c>
      <c r="B243" s="1" t="n">
        <v>44944.72100694444</v>
      </c>
      <c r="C243" s="1" t="n">
        <v>46004</v>
      </c>
      <c r="D243" t="inlineStr">
        <is>
          <t>KALMAR LÄN</t>
        </is>
      </c>
      <c r="E243" t="inlineStr">
        <is>
          <t>VIMMERBY</t>
        </is>
      </c>
      <c r="G243" t="n">
        <v>1.3</v>
      </c>
      <c r="H243" t="n">
        <v>0</v>
      </c>
      <c r="I243" t="n">
        <v>0</v>
      </c>
      <c r="J243" t="n">
        <v>0</v>
      </c>
      <c r="K243" t="n">
        <v>0</v>
      </c>
      <c r="L243" t="n">
        <v>0</v>
      </c>
      <c r="M243" t="n">
        <v>0</v>
      </c>
      <c r="N243" t="n">
        <v>0</v>
      </c>
      <c r="O243" t="n">
        <v>0</v>
      </c>
      <c r="P243" t="n">
        <v>0</v>
      </c>
      <c r="Q243" t="n">
        <v>0</v>
      </c>
      <c r="R243" s="2" t="inlineStr"/>
    </row>
    <row r="244" ht="15" customHeight="1">
      <c r="A244" t="inlineStr">
        <is>
          <t>A 31382-2023</t>
        </is>
      </c>
      <c r="B244" s="1" t="n">
        <v>45114.55136574074</v>
      </c>
      <c r="C244" s="1" t="n">
        <v>46004</v>
      </c>
      <c r="D244" t="inlineStr">
        <is>
          <t>KALMAR LÄN</t>
        </is>
      </c>
      <c r="E244" t="inlineStr">
        <is>
          <t>VIMMERBY</t>
        </is>
      </c>
      <c r="G244" t="n">
        <v>3.7</v>
      </c>
      <c r="H244" t="n">
        <v>0</v>
      </c>
      <c r="I244" t="n">
        <v>0</v>
      </c>
      <c r="J244" t="n">
        <v>0</v>
      </c>
      <c r="K244" t="n">
        <v>0</v>
      </c>
      <c r="L244" t="n">
        <v>0</v>
      </c>
      <c r="M244" t="n">
        <v>0</v>
      </c>
      <c r="N244" t="n">
        <v>0</v>
      </c>
      <c r="O244" t="n">
        <v>0</v>
      </c>
      <c r="P244" t="n">
        <v>0</v>
      </c>
      <c r="Q244" t="n">
        <v>0</v>
      </c>
      <c r="R244" s="2" t="inlineStr"/>
    </row>
    <row r="245" ht="15" customHeight="1">
      <c r="A245" t="inlineStr">
        <is>
          <t>A 15550-2023</t>
        </is>
      </c>
      <c r="B245" s="1" t="n">
        <v>45020</v>
      </c>
      <c r="C245" s="1" t="n">
        <v>46004</v>
      </c>
      <c r="D245" t="inlineStr">
        <is>
          <t>KALMAR LÄN</t>
        </is>
      </c>
      <c r="E245" t="inlineStr">
        <is>
          <t>VIMMERBY</t>
        </is>
      </c>
      <c r="G245" t="n">
        <v>0.5</v>
      </c>
      <c r="H245" t="n">
        <v>0</v>
      </c>
      <c r="I245" t="n">
        <v>0</v>
      </c>
      <c r="J245" t="n">
        <v>0</v>
      </c>
      <c r="K245" t="n">
        <v>0</v>
      </c>
      <c r="L245" t="n">
        <v>0</v>
      </c>
      <c r="M245" t="n">
        <v>0</v>
      </c>
      <c r="N245" t="n">
        <v>0</v>
      </c>
      <c r="O245" t="n">
        <v>0</v>
      </c>
      <c r="P245" t="n">
        <v>0</v>
      </c>
      <c r="Q245" t="n">
        <v>0</v>
      </c>
      <c r="R245" s="2" t="inlineStr"/>
    </row>
    <row r="246" ht="15" customHeight="1">
      <c r="A246" t="inlineStr">
        <is>
          <t>A 56213-2024</t>
        </is>
      </c>
      <c r="B246" s="1" t="n">
        <v>45624.60141203704</v>
      </c>
      <c r="C246" s="1" t="n">
        <v>46004</v>
      </c>
      <c r="D246" t="inlineStr">
        <is>
          <t>KALMAR LÄN</t>
        </is>
      </c>
      <c r="E246" t="inlineStr">
        <is>
          <t>VIMMERBY</t>
        </is>
      </c>
      <c r="G246" t="n">
        <v>1</v>
      </c>
      <c r="H246" t="n">
        <v>0</v>
      </c>
      <c r="I246" t="n">
        <v>0</v>
      </c>
      <c r="J246" t="n">
        <v>0</v>
      </c>
      <c r="K246" t="n">
        <v>0</v>
      </c>
      <c r="L246" t="n">
        <v>0</v>
      </c>
      <c r="M246" t="n">
        <v>0</v>
      </c>
      <c r="N246" t="n">
        <v>0</v>
      </c>
      <c r="O246" t="n">
        <v>0</v>
      </c>
      <c r="P246" t="n">
        <v>0</v>
      </c>
      <c r="Q246" t="n">
        <v>0</v>
      </c>
      <c r="R246" s="2" t="inlineStr"/>
    </row>
    <row r="247" ht="15" customHeight="1">
      <c r="A247" t="inlineStr">
        <is>
          <t>A 25987-2024</t>
        </is>
      </c>
      <c r="B247" s="1" t="n">
        <v>45467.74417824074</v>
      </c>
      <c r="C247" s="1" t="n">
        <v>46004</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54409-2024</t>
        </is>
      </c>
      <c r="B248" s="1" t="n">
        <v>45617.47570601852</v>
      </c>
      <c r="C248" s="1" t="n">
        <v>46004</v>
      </c>
      <c r="D248" t="inlineStr">
        <is>
          <t>KALMAR LÄN</t>
        </is>
      </c>
      <c r="E248" t="inlineStr">
        <is>
          <t>VIMMERBY</t>
        </is>
      </c>
      <c r="G248" t="n">
        <v>4.3</v>
      </c>
      <c r="H248" t="n">
        <v>0</v>
      </c>
      <c r="I248" t="n">
        <v>0</v>
      </c>
      <c r="J248" t="n">
        <v>0</v>
      </c>
      <c r="K248" t="n">
        <v>0</v>
      </c>
      <c r="L248" t="n">
        <v>0</v>
      </c>
      <c r="M248" t="n">
        <v>0</v>
      </c>
      <c r="N248" t="n">
        <v>0</v>
      </c>
      <c r="O248" t="n">
        <v>0</v>
      </c>
      <c r="P248" t="n">
        <v>0</v>
      </c>
      <c r="Q248" t="n">
        <v>0</v>
      </c>
      <c r="R248" s="2" t="inlineStr"/>
    </row>
    <row r="249" ht="15" customHeight="1">
      <c r="A249" t="inlineStr">
        <is>
          <t>A 11219-2023</t>
        </is>
      </c>
      <c r="B249" s="1" t="n">
        <v>44992.62498842592</v>
      </c>
      <c r="C249" s="1" t="n">
        <v>46004</v>
      </c>
      <c r="D249" t="inlineStr">
        <is>
          <t>KALMAR LÄN</t>
        </is>
      </c>
      <c r="E249" t="inlineStr">
        <is>
          <t>VIMMERBY</t>
        </is>
      </c>
      <c r="G249" t="n">
        <v>2.5</v>
      </c>
      <c r="H249" t="n">
        <v>0</v>
      </c>
      <c r="I249" t="n">
        <v>0</v>
      </c>
      <c r="J249" t="n">
        <v>0</v>
      </c>
      <c r="K249" t="n">
        <v>0</v>
      </c>
      <c r="L249" t="n">
        <v>0</v>
      </c>
      <c r="M249" t="n">
        <v>0</v>
      </c>
      <c r="N249" t="n">
        <v>0</v>
      </c>
      <c r="O249" t="n">
        <v>0</v>
      </c>
      <c r="P249" t="n">
        <v>0</v>
      </c>
      <c r="Q249" t="n">
        <v>0</v>
      </c>
      <c r="R249" s="2" t="inlineStr"/>
    </row>
    <row r="250" ht="15" customHeight="1">
      <c r="A250" t="inlineStr">
        <is>
          <t>A 22194-2024</t>
        </is>
      </c>
      <c r="B250" s="1" t="n">
        <v>45446.36482638889</v>
      </c>
      <c r="C250" s="1" t="n">
        <v>46004</v>
      </c>
      <c r="D250" t="inlineStr">
        <is>
          <t>KALMAR LÄN</t>
        </is>
      </c>
      <c r="E250" t="inlineStr">
        <is>
          <t>VIMMERBY</t>
        </is>
      </c>
      <c r="F250" t="inlineStr">
        <is>
          <t>Sveaskog</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16825-2024</t>
        </is>
      </c>
      <c r="B251" s="1" t="n">
        <v>45411.47335648148</v>
      </c>
      <c r="C251" s="1" t="n">
        <v>46004</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58159-2024</t>
        </is>
      </c>
      <c r="B252" s="1" t="n">
        <v>45632.44886574074</v>
      </c>
      <c r="C252" s="1" t="n">
        <v>46004</v>
      </c>
      <c r="D252" t="inlineStr">
        <is>
          <t>KALMAR LÄN</t>
        </is>
      </c>
      <c r="E252" t="inlineStr">
        <is>
          <t>VIMMERBY</t>
        </is>
      </c>
      <c r="G252" t="n">
        <v>7.5</v>
      </c>
      <c r="H252" t="n">
        <v>0</v>
      </c>
      <c r="I252" t="n">
        <v>0</v>
      </c>
      <c r="J252" t="n">
        <v>0</v>
      </c>
      <c r="K252" t="n">
        <v>0</v>
      </c>
      <c r="L252" t="n">
        <v>0</v>
      </c>
      <c r="M252" t="n">
        <v>0</v>
      </c>
      <c r="N252" t="n">
        <v>0</v>
      </c>
      <c r="O252" t="n">
        <v>0</v>
      </c>
      <c r="P252" t="n">
        <v>0</v>
      </c>
      <c r="Q252" t="n">
        <v>0</v>
      </c>
      <c r="R252" s="2" t="inlineStr"/>
    </row>
    <row r="253" ht="15" customHeight="1">
      <c r="A253" t="inlineStr">
        <is>
          <t>A 18411-2021</t>
        </is>
      </c>
      <c r="B253" s="1" t="n">
        <v>44302</v>
      </c>
      <c r="C253" s="1" t="n">
        <v>46004</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47855-2024</t>
        </is>
      </c>
      <c r="B254" s="1" t="n">
        <v>45588.66457175926</v>
      </c>
      <c r="C254" s="1" t="n">
        <v>46004</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7643-2022</t>
        </is>
      </c>
      <c r="B255" s="1" t="n">
        <v>44607</v>
      </c>
      <c r="C255" s="1" t="n">
        <v>46004</v>
      </c>
      <c r="D255" t="inlineStr">
        <is>
          <t>KALMAR LÄN</t>
        </is>
      </c>
      <c r="E255" t="inlineStr">
        <is>
          <t>VIMMERBY</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19865-2021</t>
        </is>
      </c>
      <c r="B256" s="1" t="n">
        <v>44312</v>
      </c>
      <c r="C256" s="1" t="n">
        <v>46004</v>
      </c>
      <c r="D256" t="inlineStr">
        <is>
          <t>KALMAR LÄN</t>
        </is>
      </c>
      <c r="E256" t="inlineStr">
        <is>
          <t>VIMMERBY</t>
        </is>
      </c>
      <c r="G256" t="n">
        <v>8.6</v>
      </c>
      <c r="H256" t="n">
        <v>0</v>
      </c>
      <c r="I256" t="n">
        <v>0</v>
      </c>
      <c r="J256" t="n">
        <v>0</v>
      </c>
      <c r="K256" t="n">
        <v>0</v>
      </c>
      <c r="L256" t="n">
        <v>0</v>
      </c>
      <c r="M256" t="n">
        <v>0</v>
      </c>
      <c r="N256" t="n">
        <v>0</v>
      </c>
      <c r="O256" t="n">
        <v>0</v>
      </c>
      <c r="P256" t="n">
        <v>0</v>
      </c>
      <c r="Q256" t="n">
        <v>0</v>
      </c>
      <c r="R256" s="2" t="inlineStr"/>
    </row>
    <row r="257" ht="15" customHeight="1">
      <c r="A257" t="inlineStr">
        <is>
          <t>A 172-2022</t>
        </is>
      </c>
      <c r="B257" s="1" t="n">
        <v>44564.62598379629</v>
      </c>
      <c r="C257" s="1" t="n">
        <v>46004</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39584-2024</t>
        </is>
      </c>
      <c r="B258" s="1" t="n">
        <v>45552.36759259259</v>
      </c>
      <c r="C258" s="1" t="n">
        <v>46004</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11027-2023</t>
        </is>
      </c>
      <c r="B259" s="1" t="n">
        <v>44991.89657407408</v>
      </c>
      <c r="C259" s="1" t="n">
        <v>46004</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12630-2023</t>
        </is>
      </c>
      <c r="B260" s="1" t="n">
        <v>45000.47998842593</v>
      </c>
      <c r="C260" s="1" t="n">
        <v>46004</v>
      </c>
      <c r="D260" t="inlineStr">
        <is>
          <t>KALMAR LÄN</t>
        </is>
      </c>
      <c r="E260" t="inlineStr">
        <is>
          <t>VIMMERBY</t>
        </is>
      </c>
      <c r="G260" t="n">
        <v>2.1</v>
      </c>
      <c r="H260" t="n">
        <v>0</v>
      </c>
      <c r="I260" t="n">
        <v>0</v>
      </c>
      <c r="J260" t="n">
        <v>0</v>
      </c>
      <c r="K260" t="n">
        <v>0</v>
      </c>
      <c r="L260" t="n">
        <v>0</v>
      </c>
      <c r="M260" t="n">
        <v>0</v>
      </c>
      <c r="N260" t="n">
        <v>0</v>
      </c>
      <c r="O260" t="n">
        <v>0</v>
      </c>
      <c r="P260" t="n">
        <v>0</v>
      </c>
      <c r="Q260" t="n">
        <v>0</v>
      </c>
      <c r="R260" s="2" t="inlineStr"/>
    </row>
    <row r="261" ht="15" customHeight="1">
      <c r="A261" t="inlineStr">
        <is>
          <t>A 51881-2024</t>
        </is>
      </c>
      <c r="B261" s="1" t="n">
        <v>45607.56773148148</v>
      </c>
      <c r="C261" s="1" t="n">
        <v>46004</v>
      </c>
      <c r="D261" t="inlineStr">
        <is>
          <t>KALMAR LÄN</t>
        </is>
      </c>
      <c r="E261" t="inlineStr">
        <is>
          <t>VIMMERBY</t>
        </is>
      </c>
      <c r="G261" t="n">
        <v>3.4</v>
      </c>
      <c r="H261" t="n">
        <v>0</v>
      </c>
      <c r="I261" t="n">
        <v>0</v>
      </c>
      <c r="J261" t="n">
        <v>0</v>
      </c>
      <c r="K261" t="n">
        <v>0</v>
      </c>
      <c r="L261" t="n">
        <v>0</v>
      </c>
      <c r="M261" t="n">
        <v>0</v>
      </c>
      <c r="N261" t="n">
        <v>0</v>
      </c>
      <c r="O261" t="n">
        <v>0</v>
      </c>
      <c r="P261" t="n">
        <v>0</v>
      </c>
      <c r="Q261" t="n">
        <v>0</v>
      </c>
      <c r="R261" s="2" t="inlineStr"/>
    </row>
    <row r="262" ht="15" customHeight="1">
      <c r="A262" t="inlineStr">
        <is>
          <t>A 2596-2025</t>
        </is>
      </c>
      <c r="B262" s="1" t="n">
        <v>45674.71810185185</v>
      </c>
      <c r="C262" s="1" t="n">
        <v>46004</v>
      </c>
      <c r="D262" t="inlineStr">
        <is>
          <t>KALMAR LÄN</t>
        </is>
      </c>
      <c r="E262" t="inlineStr">
        <is>
          <t>VIMMERBY</t>
        </is>
      </c>
      <c r="G262" t="n">
        <v>9</v>
      </c>
      <c r="H262" t="n">
        <v>0</v>
      </c>
      <c r="I262" t="n">
        <v>0</v>
      </c>
      <c r="J262" t="n">
        <v>0</v>
      </c>
      <c r="K262" t="n">
        <v>0</v>
      </c>
      <c r="L262" t="n">
        <v>0</v>
      </c>
      <c r="M262" t="n">
        <v>0</v>
      </c>
      <c r="N262" t="n">
        <v>0</v>
      </c>
      <c r="O262" t="n">
        <v>0</v>
      </c>
      <c r="P262" t="n">
        <v>0</v>
      </c>
      <c r="Q262" t="n">
        <v>0</v>
      </c>
      <c r="R262" s="2" t="inlineStr"/>
    </row>
    <row r="263" ht="15" customHeight="1">
      <c r="A263" t="inlineStr">
        <is>
          <t>A 53483-2022</t>
        </is>
      </c>
      <c r="B263" s="1" t="n">
        <v>44879.55940972222</v>
      </c>
      <c r="C263" s="1" t="n">
        <v>46004</v>
      </c>
      <c r="D263" t="inlineStr">
        <is>
          <t>KALMAR LÄN</t>
        </is>
      </c>
      <c r="E263" t="inlineStr">
        <is>
          <t>VIMMERBY</t>
        </is>
      </c>
      <c r="G263" t="n">
        <v>1.4</v>
      </c>
      <c r="H263" t="n">
        <v>0</v>
      </c>
      <c r="I263" t="n">
        <v>0</v>
      </c>
      <c r="J263" t="n">
        <v>0</v>
      </c>
      <c r="K263" t="n">
        <v>0</v>
      </c>
      <c r="L263" t="n">
        <v>0</v>
      </c>
      <c r="M263" t="n">
        <v>0</v>
      </c>
      <c r="N263" t="n">
        <v>0</v>
      </c>
      <c r="O263" t="n">
        <v>0</v>
      </c>
      <c r="P263" t="n">
        <v>0</v>
      </c>
      <c r="Q263" t="n">
        <v>0</v>
      </c>
      <c r="R263" s="2" t="inlineStr"/>
    </row>
    <row r="264" ht="15" customHeight="1">
      <c r="A264" t="inlineStr">
        <is>
          <t>A 18899-2025</t>
        </is>
      </c>
      <c r="B264" s="1" t="n">
        <v>45764.44931712963</v>
      </c>
      <c r="C264" s="1" t="n">
        <v>46004</v>
      </c>
      <c r="D264" t="inlineStr">
        <is>
          <t>KALMAR LÄN</t>
        </is>
      </c>
      <c r="E264" t="inlineStr">
        <is>
          <t>VIMMERBY</t>
        </is>
      </c>
      <c r="F264" t="inlineStr">
        <is>
          <t>Kommuner</t>
        </is>
      </c>
      <c r="G264" t="n">
        <v>4</v>
      </c>
      <c r="H264" t="n">
        <v>0</v>
      </c>
      <c r="I264" t="n">
        <v>0</v>
      </c>
      <c r="J264" t="n">
        <v>0</v>
      </c>
      <c r="K264" t="n">
        <v>0</v>
      </c>
      <c r="L264" t="n">
        <v>0</v>
      </c>
      <c r="M264" t="n">
        <v>0</v>
      </c>
      <c r="N264" t="n">
        <v>0</v>
      </c>
      <c r="O264" t="n">
        <v>0</v>
      </c>
      <c r="P264" t="n">
        <v>0</v>
      </c>
      <c r="Q264" t="n">
        <v>0</v>
      </c>
      <c r="R264" s="2" t="inlineStr"/>
    </row>
    <row r="265" ht="15" customHeight="1">
      <c r="A265" t="inlineStr">
        <is>
          <t>A 21109-2024</t>
        </is>
      </c>
      <c r="B265" s="1" t="n">
        <v>45440.28329861111</v>
      </c>
      <c r="C265" s="1" t="n">
        <v>46004</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20054-2023</t>
        </is>
      </c>
      <c r="B266" s="1" t="n">
        <v>45054.6750462963</v>
      </c>
      <c r="C266" s="1" t="n">
        <v>46004</v>
      </c>
      <c r="D266" t="inlineStr">
        <is>
          <t>KALMAR LÄN</t>
        </is>
      </c>
      <c r="E266" t="inlineStr">
        <is>
          <t>VIMMERBY</t>
        </is>
      </c>
      <c r="G266" t="n">
        <v>2.4</v>
      </c>
      <c r="H266" t="n">
        <v>0</v>
      </c>
      <c r="I266" t="n">
        <v>0</v>
      </c>
      <c r="J266" t="n">
        <v>0</v>
      </c>
      <c r="K266" t="n">
        <v>0</v>
      </c>
      <c r="L266" t="n">
        <v>0</v>
      </c>
      <c r="M266" t="n">
        <v>0</v>
      </c>
      <c r="N266" t="n">
        <v>0</v>
      </c>
      <c r="O266" t="n">
        <v>0</v>
      </c>
      <c r="P266" t="n">
        <v>0</v>
      </c>
      <c r="Q266" t="n">
        <v>0</v>
      </c>
      <c r="R266" s="2" t="inlineStr"/>
    </row>
    <row r="267" ht="15" customHeight="1">
      <c r="A267" t="inlineStr">
        <is>
          <t>A 30634-2024</t>
        </is>
      </c>
      <c r="B267" s="1" t="n">
        <v>45495</v>
      </c>
      <c r="C267" s="1" t="n">
        <v>46004</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57114-2023</t>
        </is>
      </c>
      <c r="B268" s="1" t="n">
        <v>45245.36174768519</v>
      </c>
      <c r="C268" s="1" t="n">
        <v>46004</v>
      </c>
      <c r="D268" t="inlineStr">
        <is>
          <t>KALMAR LÄN</t>
        </is>
      </c>
      <c r="E268" t="inlineStr">
        <is>
          <t>VIMMERBY</t>
        </is>
      </c>
      <c r="G268" t="n">
        <v>1.5</v>
      </c>
      <c r="H268" t="n">
        <v>0</v>
      </c>
      <c r="I268" t="n">
        <v>0</v>
      </c>
      <c r="J268" t="n">
        <v>0</v>
      </c>
      <c r="K268" t="n">
        <v>0</v>
      </c>
      <c r="L268" t="n">
        <v>0</v>
      </c>
      <c r="M268" t="n">
        <v>0</v>
      </c>
      <c r="N268" t="n">
        <v>0</v>
      </c>
      <c r="O268" t="n">
        <v>0</v>
      </c>
      <c r="P268" t="n">
        <v>0</v>
      </c>
      <c r="Q268" t="n">
        <v>0</v>
      </c>
      <c r="R268" s="2" t="inlineStr"/>
    </row>
    <row r="269" ht="15" customHeight="1">
      <c r="A269" t="inlineStr">
        <is>
          <t>A 40260-2024</t>
        </is>
      </c>
      <c r="B269" s="1" t="n">
        <v>45554.63225694445</v>
      </c>
      <c r="C269" s="1" t="n">
        <v>46004</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3423-2022</t>
        </is>
      </c>
      <c r="B270" s="1" t="n">
        <v>44585.50431712963</v>
      </c>
      <c r="C270" s="1" t="n">
        <v>46004</v>
      </c>
      <c r="D270" t="inlineStr">
        <is>
          <t>KALMAR LÄN</t>
        </is>
      </c>
      <c r="E270" t="inlineStr">
        <is>
          <t>VIMMERBY</t>
        </is>
      </c>
      <c r="G270" t="n">
        <v>1.7</v>
      </c>
      <c r="H270" t="n">
        <v>0</v>
      </c>
      <c r="I270" t="n">
        <v>0</v>
      </c>
      <c r="J270" t="n">
        <v>0</v>
      </c>
      <c r="K270" t="n">
        <v>0</v>
      </c>
      <c r="L270" t="n">
        <v>0</v>
      </c>
      <c r="M270" t="n">
        <v>0</v>
      </c>
      <c r="N270" t="n">
        <v>0</v>
      </c>
      <c r="O270" t="n">
        <v>0</v>
      </c>
      <c r="P270" t="n">
        <v>0</v>
      </c>
      <c r="Q270" t="n">
        <v>0</v>
      </c>
      <c r="R270" s="2" t="inlineStr"/>
    </row>
    <row r="271" ht="15" customHeight="1">
      <c r="A271" t="inlineStr">
        <is>
          <t>A 59943-2023</t>
        </is>
      </c>
      <c r="B271" s="1" t="n">
        <v>45257.67958333333</v>
      </c>
      <c r="C271" s="1" t="n">
        <v>46004</v>
      </c>
      <c r="D271" t="inlineStr">
        <is>
          <t>KALMAR LÄN</t>
        </is>
      </c>
      <c r="E271" t="inlineStr">
        <is>
          <t>VIMMERBY</t>
        </is>
      </c>
      <c r="G271" t="n">
        <v>6.4</v>
      </c>
      <c r="H271" t="n">
        <v>0</v>
      </c>
      <c r="I271" t="n">
        <v>0</v>
      </c>
      <c r="J271" t="n">
        <v>0</v>
      </c>
      <c r="K271" t="n">
        <v>0</v>
      </c>
      <c r="L271" t="n">
        <v>0</v>
      </c>
      <c r="M271" t="n">
        <v>0</v>
      </c>
      <c r="N271" t="n">
        <v>0</v>
      </c>
      <c r="O271" t="n">
        <v>0</v>
      </c>
      <c r="P271" t="n">
        <v>0</v>
      </c>
      <c r="Q271" t="n">
        <v>0</v>
      </c>
      <c r="R271" s="2" t="inlineStr"/>
    </row>
    <row r="272" ht="15" customHeight="1">
      <c r="A272" t="inlineStr">
        <is>
          <t>A 16734-2023</t>
        </is>
      </c>
      <c r="B272" s="1" t="n">
        <v>45030.71012731481</v>
      </c>
      <c r="C272" s="1" t="n">
        <v>46004</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59300-2024</t>
        </is>
      </c>
      <c r="B273" s="1" t="n">
        <v>45637.66542824074</v>
      </c>
      <c r="C273" s="1" t="n">
        <v>46004</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5527-2022</t>
        </is>
      </c>
      <c r="B274" s="1" t="n">
        <v>44595.583125</v>
      </c>
      <c r="C274" s="1" t="n">
        <v>46004</v>
      </c>
      <c r="D274" t="inlineStr">
        <is>
          <t>KALMAR LÄN</t>
        </is>
      </c>
      <c r="E274" t="inlineStr">
        <is>
          <t>VIMMERBY</t>
        </is>
      </c>
      <c r="G274" t="n">
        <v>3.6</v>
      </c>
      <c r="H274" t="n">
        <v>0</v>
      </c>
      <c r="I274" t="n">
        <v>0</v>
      </c>
      <c r="J274" t="n">
        <v>0</v>
      </c>
      <c r="K274" t="n">
        <v>0</v>
      </c>
      <c r="L274" t="n">
        <v>0</v>
      </c>
      <c r="M274" t="n">
        <v>0</v>
      </c>
      <c r="N274" t="n">
        <v>0</v>
      </c>
      <c r="O274" t="n">
        <v>0</v>
      </c>
      <c r="P274" t="n">
        <v>0</v>
      </c>
      <c r="Q274" t="n">
        <v>0</v>
      </c>
      <c r="R274" s="2" t="inlineStr"/>
    </row>
    <row r="275" ht="15" customHeight="1">
      <c r="A275" t="inlineStr">
        <is>
          <t>A 59768-2024</t>
        </is>
      </c>
      <c r="B275" s="1" t="n">
        <v>45639.56185185185</v>
      </c>
      <c r="C275" s="1" t="n">
        <v>46004</v>
      </c>
      <c r="D275" t="inlineStr">
        <is>
          <t>KALMAR LÄN</t>
        </is>
      </c>
      <c r="E275" t="inlineStr">
        <is>
          <t>VIMMERBY</t>
        </is>
      </c>
      <c r="G275" t="n">
        <v>5.9</v>
      </c>
      <c r="H275" t="n">
        <v>0</v>
      </c>
      <c r="I275" t="n">
        <v>0</v>
      </c>
      <c r="J275" t="n">
        <v>0</v>
      </c>
      <c r="K275" t="n">
        <v>0</v>
      </c>
      <c r="L275" t="n">
        <v>0</v>
      </c>
      <c r="M275" t="n">
        <v>0</v>
      </c>
      <c r="N275" t="n">
        <v>0</v>
      </c>
      <c r="O275" t="n">
        <v>0</v>
      </c>
      <c r="P275" t="n">
        <v>0</v>
      </c>
      <c r="Q275" t="n">
        <v>0</v>
      </c>
      <c r="R275" s="2" t="inlineStr"/>
    </row>
    <row r="276" ht="15" customHeight="1">
      <c r="A276" t="inlineStr">
        <is>
          <t>A 12325-2023</t>
        </is>
      </c>
      <c r="B276" s="1" t="n">
        <v>44999.35858796296</v>
      </c>
      <c r="C276" s="1" t="n">
        <v>46004</v>
      </c>
      <c r="D276" t="inlineStr">
        <is>
          <t>KALMAR LÄN</t>
        </is>
      </c>
      <c r="E276" t="inlineStr">
        <is>
          <t>VIMMERBY</t>
        </is>
      </c>
      <c r="G276" t="n">
        <v>3.4</v>
      </c>
      <c r="H276" t="n">
        <v>0</v>
      </c>
      <c r="I276" t="n">
        <v>0</v>
      </c>
      <c r="J276" t="n">
        <v>0</v>
      </c>
      <c r="K276" t="n">
        <v>0</v>
      </c>
      <c r="L276" t="n">
        <v>0</v>
      </c>
      <c r="M276" t="n">
        <v>0</v>
      </c>
      <c r="N276" t="n">
        <v>0</v>
      </c>
      <c r="O276" t="n">
        <v>0</v>
      </c>
      <c r="P276" t="n">
        <v>0</v>
      </c>
      <c r="Q276" t="n">
        <v>0</v>
      </c>
      <c r="R276" s="2" t="inlineStr"/>
    </row>
    <row r="277" ht="15" customHeight="1">
      <c r="A277" t="inlineStr">
        <is>
          <t>A 20129-2024</t>
        </is>
      </c>
      <c r="B277" s="1" t="n">
        <v>45434.55831018519</v>
      </c>
      <c r="C277" s="1" t="n">
        <v>46004</v>
      </c>
      <c r="D277" t="inlineStr">
        <is>
          <t>KALMAR LÄN</t>
        </is>
      </c>
      <c r="E277" t="inlineStr">
        <is>
          <t>VIMMERBY</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20137-2024</t>
        </is>
      </c>
      <c r="B278" s="1" t="n">
        <v>45434.56398148148</v>
      </c>
      <c r="C278" s="1" t="n">
        <v>46004</v>
      </c>
      <c r="D278" t="inlineStr">
        <is>
          <t>KALMAR LÄN</t>
        </is>
      </c>
      <c r="E278" t="inlineStr">
        <is>
          <t>VIMMERBY</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1016-2024</t>
        </is>
      </c>
      <c r="B279" s="1" t="n">
        <v>45301</v>
      </c>
      <c r="C279" s="1" t="n">
        <v>46004</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7456-2024</t>
        </is>
      </c>
      <c r="B280" s="1" t="n">
        <v>45345.83557870371</v>
      </c>
      <c r="C280" s="1" t="n">
        <v>46004</v>
      </c>
      <c r="D280" t="inlineStr">
        <is>
          <t>KALMAR LÄN</t>
        </is>
      </c>
      <c r="E280" t="inlineStr">
        <is>
          <t>VIMMERBY</t>
        </is>
      </c>
      <c r="G280" t="n">
        <v>4.1</v>
      </c>
      <c r="H280" t="n">
        <v>0</v>
      </c>
      <c r="I280" t="n">
        <v>0</v>
      </c>
      <c r="J280" t="n">
        <v>0</v>
      </c>
      <c r="K280" t="n">
        <v>0</v>
      </c>
      <c r="L280" t="n">
        <v>0</v>
      </c>
      <c r="M280" t="n">
        <v>0</v>
      </c>
      <c r="N280" t="n">
        <v>0</v>
      </c>
      <c r="O280" t="n">
        <v>0</v>
      </c>
      <c r="P280" t="n">
        <v>0</v>
      </c>
      <c r="Q280" t="n">
        <v>0</v>
      </c>
      <c r="R280" s="2" t="inlineStr"/>
    </row>
    <row r="281" ht="15" customHeight="1">
      <c r="A281" t="inlineStr">
        <is>
          <t>A 36526-2023</t>
        </is>
      </c>
      <c r="B281" s="1" t="n">
        <v>45153.32778935185</v>
      </c>
      <c r="C281" s="1" t="n">
        <v>46004</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40665-2023</t>
        </is>
      </c>
      <c r="B282" s="1" t="n">
        <v>45170</v>
      </c>
      <c r="C282" s="1" t="n">
        <v>46004</v>
      </c>
      <c r="D282" t="inlineStr">
        <is>
          <t>KALMAR LÄN</t>
        </is>
      </c>
      <c r="E282" t="inlineStr">
        <is>
          <t>VIMMERBY</t>
        </is>
      </c>
      <c r="G282" t="n">
        <v>2.6</v>
      </c>
      <c r="H282" t="n">
        <v>0</v>
      </c>
      <c r="I282" t="n">
        <v>0</v>
      </c>
      <c r="J282" t="n">
        <v>0</v>
      </c>
      <c r="K282" t="n">
        <v>0</v>
      </c>
      <c r="L282" t="n">
        <v>0</v>
      </c>
      <c r="M282" t="n">
        <v>0</v>
      </c>
      <c r="N282" t="n">
        <v>0</v>
      </c>
      <c r="O282" t="n">
        <v>0</v>
      </c>
      <c r="P282" t="n">
        <v>0</v>
      </c>
      <c r="Q282" t="n">
        <v>0</v>
      </c>
      <c r="R282" s="2" t="inlineStr"/>
    </row>
    <row r="283" ht="15" customHeight="1">
      <c r="A283" t="inlineStr">
        <is>
          <t>A 33681-2022</t>
        </is>
      </c>
      <c r="B283" s="1" t="n">
        <v>44789</v>
      </c>
      <c r="C283" s="1" t="n">
        <v>46004</v>
      </c>
      <c r="D283" t="inlineStr">
        <is>
          <t>KALMAR LÄN</t>
        </is>
      </c>
      <c r="E283" t="inlineStr">
        <is>
          <t>VIMMERBY</t>
        </is>
      </c>
      <c r="G283" t="n">
        <v>3.2</v>
      </c>
      <c r="H283" t="n">
        <v>0</v>
      </c>
      <c r="I283" t="n">
        <v>0</v>
      </c>
      <c r="J283" t="n">
        <v>0</v>
      </c>
      <c r="K283" t="n">
        <v>0</v>
      </c>
      <c r="L283" t="n">
        <v>0</v>
      </c>
      <c r="M283" t="n">
        <v>0</v>
      </c>
      <c r="N283" t="n">
        <v>0</v>
      </c>
      <c r="O283" t="n">
        <v>0</v>
      </c>
      <c r="P283" t="n">
        <v>0</v>
      </c>
      <c r="Q283" t="n">
        <v>0</v>
      </c>
      <c r="R283" s="2" t="inlineStr"/>
    </row>
    <row r="284" ht="15" customHeight="1">
      <c r="A284" t="inlineStr">
        <is>
          <t>A 52324-2023</t>
        </is>
      </c>
      <c r="B284" s="1" t="n">
        <v>45224.64659722222</v>
      </c>
      <c r="C284" s="1" t="n">
        <v>46004</v>
      </c>
      <c r="D284" t="inlineStr">
        <is>
          <t>KALMAR LÄN</t>
        </is>
      </c>
      <c r="E284" t="inlineStr">
        <is>
          <t>VIMMERBY</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58728-2024</t>
        </is>
      </c>
      <c r="B285" s="1" t="n">
        <v>45635.66695601852</v>
      </c>
      <c r="C285" s="1" t="n">
        <v>46004</v>
      </c>
      <c r="D285" t="inlineStr">
        <is>
          <t>KALMAR LÄN</t>
        </is>
      </c>
      <c r="E285" t="inlineStr">
        <is>
          <t>VIMMERBY</t>
        </is>
      </c>
      <c r="G285" t="n">
        <v>0.4</v>
      </c>
      <c r="H285" t="n">
        <v>0</v>
      </c>
      <c r="I285" t="n">
        <v>0</v>
      </c>
      <c r="J285" t="n">
        <v>0</v>
      </c>
      <c r="K285" t="n">
        <v>0</v>
      </c>
      <c r="L285" t="n">
        <v>0</v>
      </c>
      <c r="M285" t="n">
        <v>0</v>
      </c>
      <c r="N285" t="n">
        <v>0</v>
      </c>
      <c r="O285" t="n">
        <v>0</v>
      </c>
      <c r="P285" t="n">
        <v>0</v>
      </c>
      <c r="Q285" t="n">
        <v>0</v>
      </c>
      <c r="R285" s="2" t="inlineStr"/>
    </row>
    <row r="286" ht="15" customHeight="1">
      <c r="A286" t="inlineStr">
        <is>
          <t>A 49474-2023</t>
        </is>
      </c>
      <c r="B286" s="1" t="n">
        <v>45211.541875</v>
      </c>
      <c r="C286" s="1" t="n">
        <v>46004</v>
      </c>
      <c r="D286" t="inlineStr">
        <is>
          <t>KALMAR LÄN</t>
        </is>
      </c>
      <c r="E286" t="inlineStr">
        <is>
          <t>VIMMERBY</t>
        </is>
      </c>
      <c r="G286" t="n">
        <v>3.6</v>
      </c>
      <c r="H286" t="n">
        <v>0</v>
      </c>
      <c r="I286" t="n">
        <v>0</v>
      </c>
      <c r="J286" t="n">
        <v>0</v>
      </c>
      <c r="K286" t="n">
        <v>0</v>
      </c>
      <c r="L286" t="n">
        <v>0</v>
      </c>
      <c r="M286" t="n">
        <v>0</v>
      </c>
      <c r="N286" t="n">
        <v>0</v>
      </c>
      <c r="O286" t="n">
        <v>0</v>
      </c>
      <c r="P286" t="n">
        <v>0</v>
      </c>
      <c r="Q286" t="n">
        <v>0</v>
      </c>
      <c r="R286" s="2" t="inlineStr"/>
    </row>
    <row r="287" ht="15" customHeight="1">
      <c r="A287" t="inlineStr">
        <is>
          <t>A 17988-2025</t>
        </is>
      </c>
      <c r="B287" s="1" t="n">
        <v>45761.39600694444</v>
      </c>
      <c r="C287" s="1" t="n">
        <v>46004</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57682-2022</t>
        </is>
      </c>
      <c r="B288" s="1" t="n">
        <v>44890</v>
      </c>
      <c r="C288" s="1" t="n">
        <v>46004</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50860-2022</t>
        </is>
      </c>
      <c r="B289" s="1" t="n">
        <v>44867</v>
      </c>
      <c r="C289" s="1" t="n">
        <v>46004</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25370-2022</t>
        </is>
      </c>
      <c r="B290" s="1" t="n">
        <v>44732.3659837963</v>
      </c>
      <c r="C290" s="1" t="n">
        <v>46004</v>
      </c>
      <c r="D290" t="inlineStr">
        <is>
          <t>KALMAR LÄN</t>
        </is>
      </c>
      <c r="E290" t="inlineStr">
        <is>
          <t>VIMMERBY</t>
        </is>
      </c>
      <c r="G290" t="n">
        <v>1.2</v>
      </c>
      <c r="H290" t="n">
        <v>0</v>
      </c>
      <c r="I290" t="n">
        <v>0</v>
      </c>
      <c r="J290" t="n">
        <v>0</v>
      </c>
      <c r="K290" t="n">
        <v>0</v>
      </c>
      <c r="L290" t="n">
        <v>0</v>
      </c>
      <c r="M290" t="n">
        <v>0</v>
      </c>
      <c r="N290" t="n">
        <v>0</v>
      </c>
      <c r="O290" t="n">
        <v>0</v>
      </c>
      <c r="P290" t="n">
        <v>0</v>
      </c>
      <c r="Q290" t="n">
        <v>0</v>
      </c>
      <c r="R290" s="2" t="inlineStr"/>
    </row>
    <row r="291" ht="15" customHeight="1">
      <c r="A291" t="inlineStr">
        <is>
          <t>A 58577-2024</t>
        </is>
      </c>
      <c r="B291" s="1" t="n">
        <v>45635.4874537037</v>
      </c>
      <c r="C291" s="1" t="n">
        <v>46004</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14220-2021</t>
        </is>
      </c>
      <c r="B292" s="1" t="n">
        <v>44278.54855324074</v>
      </c>
      <c r="C292" s="1" t="n">
        <v>46004</v>
      </c>
      <c r="D292" t="inlineStr">
        <is>
          <t>KALMAR LÄN</t>
        </is>
      </c>
      <c r="E292" t="inlineStr">
        <is>
          <t>VIMMERBY</t>
        </is>
      </c>
      <c r="G292" t="n">
        <v>0.3</v>
      </c>
      <c r="H292" t="n">
        <v>0</v>
      </c>
      <c r="I292" t="n">
        <v>0</v>
      </c>
      <c r="J292" t="n">
        <v>0</v>
      </c>
      <c r="K292" t="n">
        <v>0</v>
      </c>
      <c r="L292" t="n">
        <v>0</v>
      </c>
      <c r="M292" t="n">
        <v>0</v>
      </c>
      <c r="N292" t="n">
        <v>0</v>
      </c>
      <c r="O292" t="n">
        <v>0</v>
      </c>
      <c r="P292" t="n">
        <v>0</v>
      </c>
      <c r="Q292" t="n">
        <v>0</v>
      </c>
      <c r="R292" s="2" t="inlineStr"/>
    </row>
    <row r="293" ht="15" customHeight="1">
      <c r="A293" t="inlineStr">
        <is>
          <t>A 23341-2022</t>
        </is>
      </c>
      <c r="B293" s="1" t="n">
        <v>44720.53898148148</v>
      </c>
      <c r="C293" s="1" t="n">
        <v>46004</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29440-2024</t>
        </is>
      </c>
      <c r="B294" s="1" t="n">
        <v>45483.82479166667</v>
      </c>
      <c r="C294" s="1" t="n">
        <v>46004</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37028-2024</t>
        </is>
      </c>
      <c r="B295" s="1" t="n">
        <v>45539.38744212963</v>
      </c>
      <c r="C295" s="1" t="n">
        <v>46004</v>
      </c>
      <c r="D295" t="inlineStr">
        <is>
          <t>KALMAR LÄN</t>
        </is>
      </c>
      <c r="E295" t="inlineStr">
        <is>
          <t>VIMMERBY</t>
        </is>
      </c>
      <c r="G295" t="n">
        <v>5.2</v>
      </c>
      <c r="H295" t="n">
        <v>0</v>
      </c>
      <c r="I295" t="n">
        <v>0</v>
      </c>
      <c r="J295" t="n">
        <v>0</v>
      </c>
      <c r="K295" t="n">
        <v>0</v>
      </c>
      <c r="L295" t="n">
        <v>0</v>
      </c>
      <c r="M295" t="n">
        <v>0</v>
      </c>
      <c r="N295" t="n">
        <v>0</v>
      </c>
      <c r="O295" t="n">
        <v>0</v>
      </c>
      <c r="P295" t="n">
        <v>0</v>
      </c>
      <c r="Q295" t="n">
        <v>0</v>
      </c>
      <c r="R295" s="2" t="inlineStr"/>
    </row>
    <row r="296" ht="15" customHeight="1">
      <c r="A296" t="inlineStr">
        <is>
          <t>A 5074-2023</t>
        </is>
      </c>
      <c r="B296" s="1" t="n">
        <v>44958.61047453704</v>
      </c>
      <c r="C296" s="1" t="n">
        <v>46004</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63950-2023</t>
        </is>
      </c>
      <c r="B297" s="1" t="n">
        <v>45278</v>
      </c>
      <c r="C297" s="1" t="n">
        <v>46004</v>
      </c>
      <c r="D297" t="inlineStr">
        <is>
          <t>KALMAR LÄN</t>
        </is>
      </c>
      <c r="E297" t="inlineStr">
        <is>
          <t>VIMMERBY</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9129-2025</t>
        </is>
      </c>
      <c r="B298" s="1" t="n">
        <v>45713.92412037037</v>
      </c>
      <c r="C298" s="1" t="n">
        <v>46004</v>
      </c>
      <c r="D298" t="inlineStr">
        <is>
          <t>KALMAR LÄN</t>
        </is>
      </c>
      <c r="E298" t="inlineStr">
        <is>
          <t>VIMMERBY</t>
        </is>
      </c>
      <c r="G298" t="n">
        <v>2.8</v>
      </c>
      <c r="H298" t="n">
        <v>0</v>
      </c>
      <c r="I298" t="n">
        <v>0</v>
      </c>
      <c r="J298" t="n">
        <v>0</v>
      </c>
      <c r="K298" t="n">
        <v>0</v>
      </c>
      <c r="L298" t="n">
        <v>0</v>
      </c>
      <c r="M298" t="n">
        <v>0</v>
      </c>
      <c r="N298" t="n">
        <v>0</v>
      </c>
      <c r="O298" t="n">
        <v>0</v>
      </c>
      <c r="P298" t="n">
        <v>0</v>
      </c>
      <c r="Q298" t="n">
        <v>0</v>
      </c>
      <c r="R298" s="2" t="inlineStr"/>
    </row>
    <row r="299" ht="15" customHeight="1">
      <c r="A299" t="inlineStr">
        <is>
          <t>A 22197-2024</t>
        </is>
      </c>
      <c r="B299" s="1" t="n">
        <v>45446.36774305555</v>
      </c>
      <c r="C299" s="1" t="n">
        <v>46004</v>
      </c>
      <c r="D299" t="inlineStr">
        <is>
          <t>KALMAR LÄN</t>
        </is>
      </c>
      <c r="E299" t="inlineStr">
        <is>
          <t>VIMMERBY</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53752-2024</t>
        </is>
      </c>
      <c r="B300" s="1" t="n">
        <v>45615.48927083334</v>
      </c>
      <c r="C300" s="1" t="n">
        <v>46004</v>
      </c>
      <c r="D300" t="inlineStr">
        <is>
          <t>KALMAR LÄN</t>
        </is>
      </c>
      <c r="E300" t="inlineStr">
        <is>
          <t>VIMMERBY</t>
        </is>
      </c>
      <c r="G300" t="n">
        <v>2.4</v>
      </c>
      <c r="H300" t="n">
        <v>0</v>
      </c>
      <c r="I300" t="n">
        <v>0</v>
      </c>
      <c r="J300" t="n">
        <v>0</v>
      </c>
      <c r="K300" t="n">
        <v>0</v>
      </c>
      <c r="L300" t="n">
        <v>0</v>
      </c>
      <c r="M300" t="n">
        <v>0</v>
      </c>
      <c r="N300" t="n">
        <v>0</v>
      </c>
      <c r="O300" t="n">
        <v>0</v>
      </c>
      <c r="P300" t="n">
        <v>0</v>
      </c>
      <c r="Q300" t="n">
        <v>0</v>
      </c>
      <c r="R300" s="2" t="inlineStr"/>
    </row>
    <row r="301" ht="15" customHeight="1">
      <c r="A301" t="inlineStr">
        <is>
          <t>A 51187-2023</t>
        </is>
      </c>
      <c r="B301" s="1" t="n">
        <v>45219.40528935185</v>
      </c>
      <c r="C301" s="1" t="n">
        <v>46004</v>
      </c>
      <c r="D301" t="inlineStr">
        <is>
          <t>KALMAR LÄN</t>
        </is>
      </c>
      <c r="E301" t="inlineStr">
        <is>
          <t>VIMMERBY</t>
        </is>
      </c>
      <c r="G301" t="n">
        <v>0.6</v>
      </c>
      <c r="H301" t="n">
        <v>0</v>
      </c>
      <c r="I301" t="n">
        <v>0</v>
      </c>
      <c r="J301" t="n">
        <v>0</v>
      </c>
      <c r="K301" t="n">
        <v>0</v>
      </c>
      <c r="L301" t="n">
        <v>0</v>
      </c>
      <c r="M301" t="n">
        <v>0</v>
      </c>
      <c r="N301" t="n">
        <v>0</v>
      </c>
      <c r="O301" t="n">
        <v>0</v>
      </c>
      <c r="P301" t="n">
        <v>0</v>
      </c>
      <c r="Q301" t="n">
        <v>0</v>
      </c>
      <c r="R301" s="2" t="inlineStr"/>
    </row>
    <row r="302" ht="15" customHeight="1">
      <c r="A302" t="inlineStr">
        <is>
          <t>A 16516-2023</t>
        </is>
      </c>
      <c r="B302" s="1" t="n">
        <v>45029</v>
      </c>
      <c r="C302" s="1" t="n">
        <v>46004</v>
      </c>
      <c r="D302" t="inlineStr">
        <is>
          <t>KALMAR LÄN</t>
        </is>
      </c>
      <c r="E302" t="inlineStr">
        <is>
          <t>VIMMERBY</t>
        </is>
      </c>
      <c r="G302" t="n">
        <v>4.3</v>
      </c>
      <c r="H302" t="n">
        <v>0</v>
      </c>
      <c r="I302" t="n">
        <v>0</v>
      </c>
      <c r="J302" t="n">
        <v>0</v>
      </c>
      <c r="K302" t="n">
        <v>0</v>
      </c>
      <c r="L302" t="n">
        <v>0</v>
      </c>
      <c r="M302" t="n">
        <v>0</v>
      </c>
      <c r="N302" t="n">
        <v>0</v>
      </c>
      <c r="O302" t="n">
        <v>0</v>
      </c>
      <c r="P302" t="n">
        <v>0</v>
      </c>
      <c r="Q302" t="n">
        <v>0</v>
      </c>
      <c r="R302" s="2" t="inlineStr"/>
    </row>
    <row r="303" ht="15" customHeight="1">
      <c r="A303" t="inlineStr">
        <is>
          <t>A 12121-2025</t>
        </is>
      </c>
      <c r="B303" s="1" t="n">
        <v>45729.36868055556</v>
      </c>
      <c r="C303" s="1" t="n">
        <v>46004</v>
      </c>
      <c r="D303" t="inlineStr">
        <is>
          <t>KALMAR LÄN</t>
        </is>
      </c>
      <c r="E303" t="inlineStr">
        <is>
          <t>VIMMERBY</t>
        </is>
      </c>
      <c r="G303" t="n">
        <v>4.3</v>
      </c>
      <c r="H303" t="n">
        <v>0</v>
      </c>
      <c r="I303" t="n">
        <v>0</v>
      </c>
      <c r="J303" t="n">
        <v>0</v>
      </c>
      <c r="K303" t="n">
        <v>0</v>
      </c>
      <c r="L303" t="n">
        <v>0</v>
      </c>
      <c r="M303" t="n">
        <v>0</v>
      </c>
      <c r="N303" t="n">
        <v>0</v>
      </c>
      <c r="O303" t="n">
        <v>0</v>
      </c>
      <c r="P303" t="n">
        <v>0</v>
      </c>
      <c r="Q303" t="n">
        <v>0</v>
      </c>
      <c r="R303" s="2" t="inlineStr"/>
    </row>
    <row r="304" ht="15" customHeight="1">
      <c r="A304" t="inlineStr">
        <is>
          <t>A 6668-2023</t>
        </is>
      </c>
      <c r="B304" s="1" t="n">
        <v>44966</v>
      </c>
      <c r="C304" s="1" t="n">
        <v>46004</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29168-2024</t>
        </is>
      </c>
      <c r="B305" s="1" t="n">
        <v>45482.49870370371</v>
      </c>
      <c r="C305" s="1" t="n">
        <v>46004</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8086-2021</t>
        </is>
      </c>
      <c r="B306" s="1" t="n">
        <v>44243</v>
      </c>
      <c r="C306" s="1" t="n">
        <v>46004</v>
      </c>
      <c r="D306" t="inlineStr">
        <is>
          <t>KALMAR LÄN</t>
        </is>
      </c>
      <c r="E306" t="inlineStr">
        <is>
          <t>VIMMERBY</t>
        </is>
      </c>
      <c r="G306" t="n">
        <v>4.1</v>
      </c>
      <c r="H306" t="n">
        <v>0</v>
      </c>
      <c r="I306" t="n">
        <v>0</v>
      </c>
      <c r="J306" t="n">
        <v>0</v>
      </c>
      <c r="K306" t="n">
        <v>0</v>
      </c>
      <c r="L306" t="n">
        <v>0</v>
      </c>
      <c r="M306" t="n">
        <v>0</v>
      </c>
      <c r="N306" t="n">
        <v>0</v>
      </c>
      <c r="O306" t="n">
        <v>0</v>
      </c>
      <c r="P306" t="n">
        <v>0</v>
      </c>
      <c r="Q306" t="n">
        <v>0</v>
      </c>
      <c r="R306" s="2" t="inlineStr"/>
    </row>
    <row r="307" ht="15" customHeight="1">
      <c r="A307" t="inlineStr">
        <is>
          <t>A 15715-2022</t>
        </is>
      </c>
      <c r="B307" s="1" t="n">
        <v>44663</v>
      </c>
      <c r="C307" s="1" t="n">
        <v>46004</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55236-2023</t>
        </is>
      </c>
      <c r="B308" s="1" t="n">
        <v>45237.63225694445</v>
      </c>
      <c r="C308" s="1" t="n">
        <v>46004</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55245-2023</t>
        </is>
      </c>
      <c r="B309" s="1" t="n">
        <v>45237.64408564815</v>
      </c>
      <c r="C309" s="1" t="n">
        <v>46004</v>
      </c>
      <c r="D309" t="inlineStr">
        <is>
          <t>KALMAR LÄN</t>
        </is>
      </c>
      <c r="E309" t="inlineStr">
        <is>
          <t>VIMMERBY</t>
        </is>
      </c>
      <c r="G309" t="n">
        <v>1.3</v>
      </c>
      <c r="H309" t="n">
        <v>0</v>
      </c>
      <c r="I309" t="n">
        <v>0</v>
      </c>
      <c r="J309" t="n">
        <v>0</v>
      </c>
      <c r="K309" t="n">
        <v>0</v>
      </c>
      <c r="L309" t="n">
        <v>0</v>
      </c>
      <c r="M309" t="n">
        <v>0</v>
      </c>
      <c r="N309" t="n">
        <v>0</v>
      </c>
      <c r="O309" t="n">
        <v>0</v>
      </c>
      <c r="P309" t="n">
        <v>0</v>
      </c>
      <c r="Q309" t="n">
        <v>0</v>
      </c>
      <c r="R309" s="2" t="inlineStr"/>
    </row>
    <row r="310" ht="15" customHeight="1">
      <c r="A310" t="inlineStr">
        <is>
          <t>A 9710-2023</t>
        </is>
      </c>
      <c r="B310" s="1" t="n">
        <v>44984</v>
      </c>
      <c r="C310" s="1" t="n">
        <v>46004</v>
      </c>
      <c r="D310" t="inlineStr">
        <is>
          <t>KALMAR LÄN</t>
        </is>
      </c>
      <c r="E310" t="inlineStr">
        <is>
          <t>VIMMERBY</t>
        </is>
      </c>
      <c r="G310" t="n">
        <v>3.7</v>
      </c>
      <c r="H310" t="n">
        <v>0</v>
      </c>
      <c r="I310" t="n">
        <v>0</v>
      </c>
      <c r="J310" t="n">
        <v>0</v>
      </c>
      <c r="K310" t="n">
        <v>0</v>
      </c>
      <c r="L310" t="n">
        <v>0</v>
      </c>
      <c r="M310" t="n">
        <v>0</v>
      </c>
      <c r="N310" t="n">
        <v>0</v>
      </c>
      <c r="O310" t="n">
        <v>0</v>
      </c>
      <c r="P310" t="n">
        <v>0</v>
      </c>
      <c r="Q310" t="n">
        <v>0</v>
      </c>
      <c r="R310" s="2" t="inlineStr"/>
    </row>
    <row r="311" ht="15" customHeight="1">
      <c r="A311" t="inlineStr">
        <is>
          <t>A 9720-2023</t>
        </is>
      </c>
      <c r="B311" s="1" t="n">
        <v>44984</v>
      </c>
      <c r="C311" s="1" t="n">
        <v>46004</v>
      </c>
      <c r="D311" t="inlineStr">
        <is>
          <t>KALMAR LÄN</t>
        </is>
      </c>
      <c r="E311" t="inlineStr">
        <is>
          <t>VIMMERBY</t>
        </is>
      </c>
      <c r="G311" t="n">
        <v>4.4</v>
      </c>
      <c r="H311" t="n">
        <v>0</v>
      </c>
      <c r="I311" t="n">
        <v>0</v>
      </c>
      <c r="J311" t="n">
        <v>0</v>
      </c>
      <c r="K311" t="n">
        <v>0</v>
      </c>
      <c r="L311" t="n">
        <v>0</v>
      </c>
      <c r="M311" t="n">
        <v>0</v>
      </c>
      <c r="N311" t="n">
        <v>0</v>
      </c>
      <c r="O311" t="n">
        <v>0</v>
      </c>
      <c r="P311" t="n">
        <v>0</v>
      </c>
      <c r="Q311" t="n">
        <v>0</v>
      </c>
      <c r="R311" s="2" t="inlineStr"/>
    </row>
    <row r="312" ht="15" customHeight="1">
      <c r="A312" t="inlineStr">
        <is>
          <t>A 43093-2024</t>
        </is>
      </c>
      <c r="B312" s="1" t="n">
        <v>45567</v>
      </c>
      <c r="C312" s="1" t="n">
        <v>46004</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15493-2023</t>
        </is>
      </c>
      <c r="B313" s="1" t="n">
        <v>45018</v>
      </c>
      <c r="C313" s="1" t="n">
        <v>46004</v>
      </c>
      <c r="D313" t="inlineStr">
        <is>
          <t>KALMAR LÄN</t>
        </is>
      </c>
      <c r="E313" t="inlineStr">
        <is>
          <t>VIMMERBY</t>
        </is>
      </c>
      <c r="G313" t="n">
        <v>1</v>
      </c>
      <c r="H313" t="n">
        <v>0</v>
      </c>
      <c r="I313" t="n">
        <v>0</v>
      </c>
      <c r="J313" t="n">
        <v>0</v>
      </c>
      <c r="K313" t="n">
        <v>0</v>
      </c>
      <c r="L313" t="n">
        <v>0</v>
      </c>
      <c r="M313" t="n">
        <v>0</v>
      </c>
      <c r="N313" t="n">
        <v>0</v>
      </c>
      <c r="O313" t="n">
        <v>0</v>
      </c>
      <c r="P313" t="n">
        <v>0</v>
      </c>
      <c r="Q313" t="n">
        <v>0</v>
      </c>
      <c r="R313" s="2" t="inlineStr"/>
    </row>
    <row r="314" ht="15" customHeight="1">
      <c r="A314" t="inlineStr">
        <is>
          <t>A 47842-2024</t>
        </is>
      </c>
      <c r="B314" s="1" t="n">
        <v>45588.65545138889</v>
      </c>
      <c r="C314" s="1" t="n">
        <v>46004</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56022-2024</t>
        </is>
      </c>
      <c r="B315" s="1" t="n">
        <v>45623.95947916667</v>
      </c>
      <c r="C315" s="1" t="n">
        <v>46004</v>
      </c>
      <c r="D315" t="inlineStr">
        <is>
          <t>KALMAR LÄN</t>
        </is>
      </c>
      <c r="E315" t="inlineStr">
        <is>
          <t>VIMMERBY</t>
        </is>
      </c>
      <c r="G315" t="n">
        <v>0.3</v>
      </c>
      <c r="H315" t="n">
        <v>0</v>
      </c>
      <c r="I315" t="n">
        <v>0</v>
      </c>
      <c r="J315" t="n">
        <v>0</v>
      </c>
      <c r="K315" t="n">
        <v>0</v>
      </c>
      <c r="L315" t="n">
        <v>0</v>
      </c>
      <c r="M315" t="n">
        <v>0</v>
      </c>
      <c r="N315" t="n">
        <v>0</v>
      </c>
      <c r="O315" t="n">
        <v>0</v>
      </c>
      <c r="P315" t="n">
        <v>0</v>
      </c>
      <c r="Q315" t="n">
        <v>0</v>
      </c>
      <c r="R315" s="2" t="inlineStr"/>
    </row>
    <row r="316" ht="15" customHeight="1">
      <c r="A316" t="inlineStr">
        <is>
          <t>A 36055-2024</t>
        </is>
      </c>
      <c r="B316" s="1" t="n">
        <v>45533.63056712963</v>
      </c>
      <c r="C316" s="1" t="n">
        <v>46004</v>
      </c>
      <c r="D316" t="inlineStr">
        <is>
          <t>KALMAR LÄN</t>
        </is>
      </c>
      <c r="E316" t="inlineStr">
        <is>
          <t>VIMMERBY</t>
        </is>
      </c>
      <c r="F316" t="inlineStr">
        <is>
          <t>Kommuner</t>
        </is>
      </c>
      <c r="G316" t="n">
        <v>1.9</v>
      </c>
      <c r="H316" t="n">
        <v>0</v>
      </c>
      <c r="I316" t="n">
        <v>0</v>
      </c>
      <c r="J316" t="n">
        <v>0</v>
      </c>
      <c r="K316" t="n">
        <v>0</v>
      </c>
      <c r="L316" t="n">
        <v>0</v>
      </c>
      <c r="M316" t="n">
        <v>0</v>
      </c>
      <c r="N316" t="n">
        <v>0</v>
      </c>
      <c r="O316" t="n">
        <v>0</v>
      </c>
      <c r="P316" t="n">
        <v>0</v>
      </c>
      <c r="Q316" t="n">
        <v>0</v>
      </c>
      <c r="R316" s="2" t="inlineStr"/>
    </row>
    <row r="317" ht="15" customHeight="1">
      <c r="A317" t="inlineStr">
        <is>
          <t>A 18330-2023</t>
        </is>
      </c>
      <c r="B317" s="1" t="n">
        <v>45041</v>
      </c>
      <c r="C317" s="1" t="n">
        <v>46004</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6408-2025</t>
        </is>
      </c>
      <c r="B318" s="1" t="n">
        <v>45699.45671296296</v>
      </c>
      <c r="C318" s="1" t="n">
        <v>46004</v>
      </c>
      <c r="D318" t="inlineStr">
        <is>
          <t>KALMAR LÄN</t>
        </is>
      </c>
      <c r="E318" t="inlineStr">
        <is>
          <t>VIMMERBY</t>
        </is>
      </c>
      <c r="G318" t="n">
        <v>1</v>
      </c>
      <c r="H318" t="n">
        <v>0</v>
      </c>
      <c r="I318" t="n">
        <v>0</v>
      </c>
      <c r="J318" t="n">
        <v>0</v>
      </c>
      <c r="K318" t="n">
        <v>0</v>
      </c>
      <c r="L318" t="n">
        <v>0</v>
      </c>
      <c r="M318" t="n">
        <v>0</v>
      </c>
      <c r="N318" t="n">
        <v>0</v>
      </c>
      <c r="O318" t="n">
        <v>0</v>
      </c>
      <c r="P318" t="n">
        <v>0</v>
      </c>
      <c r="Q318" t="n">
        <v>0</v>
      </c>
      <c r="R318" s="2" t="inlineStr"/>
    </row>
    <row r="319" ht="15" customHeight="1">
      <c r="A319" t="inlineStr">
        <is>
          <t>A 25109-2023</t>
        </is>
      </c>
      <c r="B319" s="1" t="n">
        <v>45086</v>
      </c>
      <c r="C319" s="1" t="n">
        <v>46004</v>
      </c>
      <c r="D319" t="inlineStr">
        <is>
          <t>KALMAR LÄN</t>
        </is>
      </c>
      <c r="E319" t="inlineStr">
        <is>
          <t>VIMMERBY</t>
        </is>
      </c>
      <c r="G319" t="n">
        <v>1.5</v>
      </c>
      <c r="H319" t="n">
        <v>0</v>
      </c>
      <c r="I319" t="n">
        <v>0</v>
      </c>
      <c r="J319" t="n">
        <v>0</v>
      </c>
      <c r="K319" t="n">
        <v>0</v>
      </c>
      <c r="L319" t="n">
        <v>0</v>
      </c>
      <c r="M319" t="n">
        <v>0</v>
      </c>
      <c r="N319" t="n">
        <v>0</v>
      </c>
      <c r="O319" t="n">
        <v>0</v>
      </c>
      <c r="P319" t="n">
        <v>0</v>
      </c>
      <c r="Q319" t="n">
        <v>0</v>
      </c>
      <c r="R319" s="2" t="inlineStr"/>
    </row>
    <row r="320" ht="15" customHeight="1">
      <c r="A320" t="inlineStr">
        <is>
          <t>A 33380-2023</t>
        </is>
      </c>
      <c r="B320" s="1" t="n">
        <v>45128</v>
      </c>
      <c r="C320" s="1" t="n">
        <v>46004</v>
      </c>
      <c r="D320" t="inlineStr">
        <is>
          <t>KALMAR LÄN</t>
        </is>
      </c>
      <c r="E320" t="inlineStr">
        <is>
          <t>VIMMERBY</t>
        </is>
      </c>
      <c r="G320" t="n">
        <v>5.2</v>
      </c>
      <c r="H320" t="n">
        <v>0</v>
      </c>
      <c r="I320" t="n">
        <v>0</v>
      </c>
      <c r="J320" t="n">
        <v>0</v>
      </c>
      <c r="K320" t="n">
        <v>0</v>
      </c>
      <c r="L320" t="n">
        <v>0</v>
      </c>
      <c r="M320" t="n">
        <v>0</v>
      </c>
      <c r="N320" t="n">
        <v>0</v>
      </c>
      <c r="O320" t="n">
        <v>0</v>
      </c>
      <c r="P320" t="n">
        <v>0</v>
      </c>
      <c r="Q320" t="n">
        <v>0</v>
      </c>
      <c r="R320" s="2" t="inlineStr"/>
    </row>
    <row r="321" ht="15" customHeight="1">
      <c r="A321" t="inlineStr">
        <is>
          <t>A 32639-2023</t>
        </is>
      </c>
      <c r="B321" s="1" t="n">
        <v>45121.5965162037</v>
      </c>
      <c r="C321" s="1" t="n">
        <v>46004</v>
      </c>
      <c r="D321" t="inlineStr">
        <is>
          <t>KALMAR LÄN</t>
        </is>
      </c>
      <c r="E321" t="inlineStr">
        <is>
          <t>VIMMERBY</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32642-2023</t>
        </is>
      </c>
      <c r="B322" s="1" t="n">
        <v>45121.59954861111</v>
      </c>
      <c r="C322" s="1" t="n">
        <v>46004</v>
      </c>
      <c r="D322" t="inlineStr">
        <is>
          <t>KALMAR LÄN</t>
        </is>
      </c>
      <c r="E322" t="inlineStr">
        <is>
          <t>VIMMERBY</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32651-2023</t>
        </is>
      </c>
      <c r="B323" s="1" t="n">
        <v>45121.6096875</v>
      </c>
      <c r="C323" s="1" t="n">
        <v>46004</v>
      </c>
      <c r="D323" t="inlineStr">
        <is>
          <t>KALMAR LÄN</t>
        </is>
      </c>
      <c r="E323" t="inlineStr">
        <is>
          <t>VIMMERBY</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20126-2024</t>
        </is>
      </c>
      <c r="B324" s="1" t="n">
        <v>45434.55471064815</v>
      </c>
      <c r="C324" s="1" t="n">
        <v>46004</v>
      </c>
      <c r="D324" t="inlineStr">
        <is>
          <t>KALMAR LÄN</t>
        </is>
      </c>
      <c r="E324" t="inlineStr">
        <is>
          <t>VIMMERBY</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20136-2024</t>
        </is>
      </c>
      <c r="B325" s="1" t="n">
        <v>45434.56291666667</v>
      </c>
      <c r="C325" s="1" t="n">
        <v>46004</v>
      </c>
      <c r="D325" t="inlineStr">
        <is>
          <t>KALMAR LÄN</t>
        </is>
      </c>
      <c r="E325" t="inlineStr">
        <is>
          <t>VIMMERBY</t>
        </is>
      </c>
      <c r="F325" t="inlineStr">
        <is>
          <t>Sveaskog</t>
        </is>
      </c>
      <c r="G325" t="n">
        <v>8.4</v>
      </c>
      <c r="H325" t="n">
        <v>0</v>
      </c>
      <c r="I325" t="n">
        <v>0</v>
      </c>
      <c r="J325" t="n">
        <v>0</v>
      </c>
      <c r="K325" t="n">
        <v>0</v>
      </c>
      <c r="L325" t="n">
        <v>0</v>
      </c>
      <c r="M325" t="n">
        <v>0</v>
      </c>
      <c r="N325" t="n">
        <v>0</v>
      </c>
      <c r="O325" t="n">
        <v>0</v>
      </c>
      <c r="P325" t="n">
        <v>0</v>
      </c>
      <c r="Q325" t="n">
        <v>0</v>
      </c>
      <c r="R325" s="2" t="inlineStr"/>
    </row>
    <row r="326" ht="15" customHeight="1">
      <c r="A326" t="inlineStr">
        <is>
          <t>A 11928-2022</t>
        </is>
      </c>
      <c r="B326" s="1" t="n">
        <v>44635</v>
      </c>
      <c r="C326" s="1" t="n">
        <v>46004</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46921-2023</t>
        </is>
      </c>
      <c r="B327" s="1" t="n">
        <v>45201.39996527778</v>
      </c>
      <c r="C327" s="1" t="n">
        <v>46004</v>
      </c>
      <c r="D327" t="inlineStr">
        <is>
          <t>KALMAR LÄN</t>
        </is>
      </c>
      <c r="E327" t="inlineStr">
        <is>
          <t>VIMMERBY</t>
        </is>
      </c>
      <c r="G327" t="n">
        <v>2.6</v>
      </c>
      <c r="H327" t="n">
        <v>0</v>
      </c>
      <c r="I327" t="n">
        <v>0</v>
      </c>
      <c r="J327" t="n">
        <v>0</v>
      </c>
      <c r="K327" t="n">
        <v>0</v>
      </c>
      <c r="L327" t="n">
        <v>0</v>
      </c>
      <c r="M327" t="n">
        <v>0</v>
      </c>
      <c r="N327" t="n">
        <v>0</v>
      </c>
      <c r="O327" t="n">
        <v>0</v>
      </c>
      <c r="P327" t="n">
        <v>0</v>
      </c>
      <c r="Q327" t="n">
        <v>0</v>
      </c>
      <c r="R327" s="2" t="inlineStr"/>
    </row>
    <row r="328" ht="15" customHeight="1">
      <c r="A328" t="inlineStr">
        <is>
          <t>A 25236-2023</t>
        </is>
      </c>
      <c r="B328" s="1" t="n">
        <v>45086.63334490741</v>
      </c>
      <c r="C328" s="1" t="n">
        <v>46004</v>
      </c>
      <c r="D328" t="inlineStr">
        <is>
          <t>KALMAR LÄN</t>
        </is>
      </c>
      <c r="E328" t="inlineStr">
        <is>
          <t>VIMMERBY</t>
        </is>
      </c>
      <c r="G328" t="n">
        <v>0.9</v>
      </c>
      <c r="H328" t="n">
        <v>0</v>
      </c>
      <c r="I328" t="n">
        <v>0</v>
      </c>
      <c r="J328" t="n">
        <v>0</v>
      </c>
      <c r="K328" t="n">
        <v>0</v>
      </c>
      <c r="L328" t="n">
        <v>0</v>
      </c>
      <c r="M328" t="n">
        <v>0</v>
      </c>
      <c r="N328" t="n">
        <v>0</v>
      </c>
      <c r="O328" t="n">
        <v>0</v>
      </c>
      <c r="P328" t="n">
        <v>0</v>
      </c>
      <c r="Q328" t="n">
        <v>0</v>
      </c>
      <c r="R328" s="2" t="inlineStr"/>
    </row>
    <row r="329" ht="15" customHeight="1">
      <c r="A329" t="inlineStr">
        <is>
          <t>A 27443-2023</t>
        </is>
      </c>
      <c r="B329" s="1" t="n">
        <v>45097.40524305555</v>
      </c>
      <c r="C329" s="1" t="n">
        <v>46004</v>
      </c>
      <c r="D329" t="inlineStr">
        <is>
          <t>KALMAR LÄN</t>
        </is>
      </c>
      <c r="E329" t="inlineStr">
        <is>
          <t>VIMMERBY</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845-2023</t>
        </is>
      </c>
      <c r="B330" s="1" t="n">
        <v>44931</v>
      </c>
      <c r="C330" s="1" t="n">
        <v>46004</v>
      </c>
      <c r="D330" t="inlineStr">
        <is>
          <t>KALMAR LÄN</t>
        </is>
      </c>
      <c r="E330" t="inlineStr">
        <is>
          <t>VIMMERBY</t>
        </is>
      </c>
      <c r="F330" t="inlineStr">
        <is>
          <t>Övriga Aktiebolag</t>
        </is>
      </c>
      <c r="G330" t="n">
        <v>19</v>
      </c>
      <c r="H330" t="n">
        <v>0</v>
      </c>
      <c r="I330" t="n">
        <v>0</v>
      </c>
      <c r="J330" t="n">
        <v>0</v>
      </c>
      <c r="K330" t="n">
        <v>0</v>
      </c>
      <c r="L330" t="n">
        <v>0</v>
      </c>
      <c r="M330" t="n">
        <v>0</v>
      </c>
      <c r="N330" t="n">
        <v>0</v>
      </c>
      <c r="O330" t="n">
        <v>0</v>
      </c>
      <c r="P330" t="n">
        <v>0</v>
      </c>
      <c r="Q330" t="n">
        <v>0</v>
      </c>
      <c r="R330" s="2" t="inlineStr"/>
    </row>
    <row r="331" ht="15" customHeight="1">
      <c r="A331" t="inlineStr">
        <is>
          <t>A 6082-2022</t>
        </is>
      </c>
      <c r="B331" s="1" t="n">
        <v>44599</v>
      </c>
      <c r="C331" s="1" t="n">
        <v>46004</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7068-2024</t>
        </is>
      </c>
      <c r="B332" s="1" t="n">
        <v>45343.68038194445</v>
      </c>
      <c r="C332" s="1" t="n">
        <v>46004</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29093-2023</t>
        </is>
      </c>
      <c r="B333" s="1" t="n">
        <v>45105</v>
      </c>
      <c r="C333" s="1" t="n">
        <v>46004</v>
      </c>
      <c r="D333" t="inlineStr">
        <is>
          <t>KALMAR LÄN</t>
        </is>
      </c>
      <c r="E333" t="inlineStr">
        <is>
          <t>VIMMERBY</t>
        </is>
      </c>
      <c r="G333" t="n">
        <v>2.9</v>
      </c>
      <c r="H333" t="n">
        <v>0</v>
      </c>
      <c r="I333" t="n">
        <v>0</v>
      </c>
      <c r="J333" t="n">
        <v>0</v>
      </c>
      <c r="K333" t="n">
        <v>0</v>
      </c>
      <c r="L333" t="n">
        <v>0</v>
      </c>
      <c r="M333" t="n">
        <v>0</v>
      </c>
      <c r="N333" t="n">
        <v>0</v>
      </c>
      <c r="O333" t="n">
        <v>0</v>
      </c>
      <c r="P333" t="n">
        <v>0</v>
      </c>
      <c r="Q333" t="n">
        <v>0</v>
      </c>
      <c r="R333" s="2" t="inlineStr"/>
    </row>
    <row r="334" ht="15" customHeight="1">
      <c r="A334" t="inlineStr">
        <is>
          <t>A 33352-2022</t>
        </is>
      </c>
      <c r="B334" s="1" t="n">
        <v>44788</v>
      </c>
      <c r="C334" s="1" t="n">
        <v>46004</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46234-2024</t>
        </is>
      </c>
      <c r="B335" s="1" t="n">
        <v>45581.57958333333</v>
      </c>
      <c r="C335" s="1" t="n">
        <v>46004</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37187-2024</t>
        </is>
      </c>
      <c r="B336" s="1" t="n">
        <v>45539.65212962963</v>
      </c>
      <c r="C336" s="1" t="n">
        <v>46004</v>
      </c>
      <c r="D336" t="inlineStr">
        <is>
          <t>KALMAR LÄN</t>
        </is>
      </c>
      <c r="E336" t="inlineStr">
        <is>
          <t>VIMMERBY</t>
        </is>
      </c>
      <c r="G336" t="n">
        <v>2.7</v>
      </c>
      <c r="H336" t="n">
        <v>0</v>
      </c>
      <c r="I336" t="n">
        <v>0</v>
      </c>
      <c r="J336" t="n">
        <v>0</v>
      </c>
      <c r="K336" t="n">
        <v>0</v>
      </c>
      <c r="L336" t="n">
        <v>0</v>
      </c>
      <c r="M336" t="n">
        <v>0</v>
      </c>
      <c r="N336" t="n">
        <v>0</v>
      </c>
      <c r="O336" t="n">
        <v>0</v>
      </c>
      <c r="P336" t="n">
        <v>0</v>
      </c>
      <c r="Q336" t="n">
        <v>0</v>
      </c>
      <c r="R336" s="2" t="inlineStr"/>
    </row>
    <row r="337" ht="15" customHeight="1">
      <c r="A337" t="inlineStr">
        <is>
          <t>A 2801-2023</t>
        </is>
      </c>
      <c r="B337" s="1" t="n">
        <v>44944.73487268519</v>
      </c>
      <c r="C337" s="1" t="n">
        <v>46004</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1021-2024</t>
        </is>
      </c>
      <c r="B338" s="1" t="n">
        <v>45301.67736111111</v>
      </c>
      <c r="C338" s="1" t="n">
        <v>46004</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5146-2024</t>
        </is>
      </c>
      <c r="B339" s="1" t="n">
        <v>45330</v>
      </c>
      <c r="C339" s="1" t="n">
        <v>46004</v>
      </c>
      <c r="D339" t="inlineStr">
        <is>
          <t>KALMAR LÄN</t>
        </is>
      </c>
      <c r="E339" t="inlineStr">
        <is>
          <t>VIMMERBY</t>
        </is>
      </c>
      <c r="G339" t="n">
        <v>5.3</v>
      </c>
      <c r="H339" t="n">
        <v>0</v>
      </c>
      <c r="I339" t="n">
        <v>0</v>
      </c>
      <c r="J339" t="n">
        <v>0</v>
      </c>
      <c r="K339" t="n">
        <v>0</v>
      </c>
      <c r="L339" t="n">
        <v>0</v>
      </c>
      <c r="M339" t="n">
        <v>0</v>
      </c>
      <c r="N339" t="n">
        <v>0</v>
      </c>
      <c r="O339" t="n">
        <v>0</v>
      </c>
      <c r="P339" t="n">
        <v>0</v>
      </c>
      <c r="Q339" t="n">
        <v>0</v>
      </c>
      <c r="R339" s="2" t="inlineStr"/>
    </row>
    <row r="340" ht="15" customHeight="1">
      <c r="A340" t="inlineStr">
        <is>
          <t>A 5148-2024</t>
        </is>
      </c>
      <c r="B340" s="1" t="n">
        <v>45330</v>
      </c>
      <c r="C340" s="1" t="n">
        <v>46004</v>
      </c>
      <c r="D340" t="inlineStr">
        <is>
          <t>KALMAR LÄN</t>
        </is>
      </c>
      <c r="E340" t="inlineStr">
        <is>
          <t>VIMMERBY</t>
        </is>
      </c>
      <c r="G340" t="n">
        <v>5.6</v>
      </c>
      <c r="H340" t="n">
        <v>0</v>
      </c>
      <c r="I340" t="n">
        <v>0</v>
      </c>
      <c r="J340" t="n">
        <v>0</v>
      </c>
      <c r="K340" t="n">
        <v>0</v>
      </c>
      <c r="L340" t="n">
        <v>0</v>
      </c>
      <c r="M340" t="n">
        <v>0</v>
      </c>
      <c r="N340" t="n">
        <v>0</v>
      </c>
      <c r="O340" t="n">
        <v>0</v>
      </c>
      <c r="P340" t="n">
        <v>0</v>
      </c>
      <c r="Q340" t="n">
        <v>0</v>
      </c>
      <c r="R340" s="2" t="inlineStr"/>
    </row>
    <row r="341" ht="15" customHeight="1">
      <c r="A341" t="inlineStr">
        <is>
          <t>A 10674-2021</t>
        </is>
      </c>
      <c r="B341" s="1" t="n">
        <v>44258</v>
      </c>
      <c r="C341" s="1" t="n">
        <v>46004</v>
      </c>
      <c r="D341" t="inlineStr">
        <is>
          <t>KALMAR LÄN</t>
        </is>
      </c>
      <c r="E341" t="inlineStr">
        <is>
          <t>VIMMERBY</t>
        </is>
      </c>
      <c r="G341" t="n">
        <v>8.4</v>
      </c>
      <c r="H341" t="n">
        <v>0</v>
      </c>
      <c r="I341" t="n">
        <v>0</v>
      </c>
      <c r="J341" t="n">
        <v>0</v>
      </c>
      <c r="K341" t="n">
        <v>0</v>
      </c>
      <c r="L341" t="n">
        <v>0</v>
      </c>
      <c r="M341" t="n">
        <v>0</v>
      </c>
      <c r="N341" t="n">
        <v>0</v>
      </c>
      <c r="O341" t="n">
        <v>0</v>
      </c>
      <c r="P341" t="n">
        <v>0</v>
      </c>
      <c r="Q341" t="n">
        <v>0</v>
      </c>
      <c r="R341" s="2" t="inlineStr"/>
    </row>
    <row r="342" ht="15" customHeight="1">
      <c r="A342" t="inlineStr">
        <is>
          <t>A 6321-2023</t>
        </is>
      </c>
      <c r="B342" s="1" t="n">
        <v>44965.4815162037</v>
      </c>
      <c r="C342" s="1" t="n">
        <v>46004</v>
      </c>
      <c r="D342" t="inlineStr">
        <is>
          <t>KALMAR LÄN</t>
        </is>
      </c>
      <c r="E342" t="inlineStr">
        <is>
          <t>VIMMERBY</t>
        </is>
      </c>
      <c r="G342" t="n">
        <v>1.8</v>
      </c>
      <c r="H342" t="n">
        <v>0</v>
      </c>
      <c r="I342" t="n">
        <v>0</v>
      </c>
      <c r="J342" t="n">
        <v>0</v>
      </c>
      <c r="K342" t="n">
        <v>0</v>
      </c>
      <c r="L342" t="n">
        <v>0</v>
      </c>
      <c r="M342" t="n">
        <v>0</v>
      </c>
      <c r="N342" t="n">
        <v>0</v>
      </c>
      <c r="O342" t="n">
        <v>0</v>
      </c>
      <c r="P342" t="n">
        <v>0</v>
      </c>
      <c r="Q342" t="n">
        <v>0</v>
      </c>
      <c r="R342" s="2" t="inlineStr"/>
    </row>
    <row r="343" ht="15" customHeight="1">
      <c r="A343" t="inlineStr">
        <is>
          <t>A 4624-2024</t>
        </is>
      </c>
      <c r="B343" s="1" t="n">
        <v>45328.38755787037</v>
      </c>
      <c r="C343" s="1" t="n">
        <v>46004</v>
      </c>
      <c r="D343" t="inlineStr">
        <is>
          <t>KALMAR LÄN</t>
        </is>
      </c>
      <c r="E343" t="inlineStr">
        <is>
          <t>VIMMERBY</t>
        </is>
      </c>
      <c r="G343" t="n">
        <v>1.7</v>
      </c>
      <c r="H343" t="n">
        <v>0</v>
      </c>
      <c r="I343" t="n">
        <v>0</v>
      </c>
      <c r="J343" t="n">
        <v>0</v>
      </c>
      <c r="K343" t="n">
        <v>0</v>
      </c>
      <c r="L343" t="n">
        <v>0</v>
      </c>
      <c r="M343" t="n">
        <v>0</v>
      </c>
      <c r="N343" t="n">
        <v>0</v>
      </c>
      <c r="O343" t="n">
        <v>0</v>
      </c>
      <c r="P343" t="n">
        <v>0</v>
      </c>
      <c r="Q343" t="n">
        <v>0</v>
      </c>
      <c r="R343" s="2" t="inlineStr"/>
    </row>
    <row r="344" ht="15" customHeight="1">
      <c r="A344" t="inlineStr">
        <is>
          <t>A 22264-2023</t>
        </is>
      </c>
      <c r="B344" s="1" t="n">
        <v>45070.3665625</v>
      </c>
      <c r="C344" s="1" t="n">
        <v>46004</v>
      </c>
      <c r="D344" t="inlineStr">
        <is>
          <t>KALMAR LÄN</t>
        </is>
      </c>
      <c r="E344" t="inlineStr">
        <is>
          <t>VIMMERBY</t>
        </is>
      </c>
      <c r="G344" t="n">
        <v>1</v>
      </c>
      <c r="H344" t="n">
        <v>0</v>
      </c>
      <c r="I344" t="n">
        <v>0</v>
      </c>
      <c r="J344" t="n">
        <v>0</v>
      </c>
      <c r="K344" t="n">
        <v>0</v>
      </c>
      <c r="L344" t="n">
        <v>0</v>
      </c>
      <c r="M344" t="n">
        <v>0</v>
      </c>
      <c r="N344" t="n">
        <v>0</v>
      </c>
      <c r="O344" t="n">
        <v>0</v>
      </c>
      <c r="P344" t="n">
        <v>0</v>
      </c>
      <c r="Q344" t="n">
        <v>0</v>
      </c>
      <c r="R344" s="2" t="inlineStr"/>
    </row>
    <row r="345" ht="15" customHeight="1">
      <c r="A345" t="inlineStr">
        <is>
          <t>A 72701-2021</t>
        </is>
      </c>
      <c r="B345" s="1" t="n">
        <v>44546</v>
      </c>
      <c r="C345" s="1" t="n">
        <v>46004</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19111-2025</t>
        </is>
      </c>
      <c r="B346" s="1" t="n">
        <v>45768.65611111111</v>
      </c>
      <c r="C346" s="1" t="n">
        <v>46004</v>
      </c>
      <c r="D346" t="inlineStr">
        <is>
          <t>KALMAR LÄN</t>
        </is>
      </c>
      <c r="E346" t="inlineStr">
        <is>
          <t>VIMMERBY</t>
        </is>
      </c>
      <c r="G346" t="n">
        <v>6.2</v>
      </c>
      <c r="H346" t="n">
        <v>0</v>
      </c>
      <c r="I346" t="n">
        <v>0</v>
      </c>
      <c r="J346" t="n">
        <v>0</v>
      </c>
      <c r="K346" t="n">
        <v>0</v>
      </c>
      <c r="L346" t="n">
        <v>0</v>
      </c>
      <c r="M346" t="n">
        <v>0</v>
      </c>
      <c r="N346" t="n">
        <v>0</v>
      </c>
      <c r="O346" t="n">
        <v>0</v>
      </c>
      <c r="P346" t="n">
        <v>0</v>
      </c>
      <c r="Q346" t="n">
        <v>0</v>
      </c>
      <c r="R346" s="2" t="inlineStr"/>
    </row>
    <row r="347" ht="15" customHeight="1">
      <c r="A347" t="inlineStr">
        <is>
          <t>A 40730-2024</t>
        </is>
      </c>
      <c r="B347" s="1" t="n">
        <v>45558.44914351852</v>
      </c>
      <c r="C347" s="1" t="n">
        <v>46004</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16676-2023</t>
        </is>
      </c>
      <c r="B348" s="1" t="n">
        <v>45028</v>
      </c>
      <c r="C348" s="1" t="n">
        <v>46004</v>
      </c>
      <c r="D348" t="inlineStr">
        <is>
          <t>KALMAR LÄN</t>
        </is>
      </c>
      <c r="E348" t="inlineStr">
        <is>
          <t>VIMMERBY</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33374-2021</t>
        </is>
      </c>
      <c r="B349" s="1" t="n">
        <v>44377</v>
      </c>
      <c r="C349" s="1" t="n">
        <v>46004</v>
      </c>
      <c r="D349" t="inlineStr">
        <is>
          <t>KALMAR LÄN</t>
        </is>
      </c>
      <c r="E349" t="inlineStr">
        <is>
          <t>VIMMERBY</t>
        </is>
      </c>
      <c r="G349" t="n">
        <v>3.3</v>
      </c>
      <c r="H349" t="n">
        <v>0</v>
      </c>
      <c r="I349" t="n">
        <v>0</v>
      </c>
      <c r="J349" t="n">
        <v>0</v>
      </c>
      <c r="K349" t="n">
        <v>0</v>
      </c>
      <c r="L349" t="n">
        <v>0</v>
      </c>
      <c r="M349" t="n">
        <v>0</v>
      </c>
      <c r="N349" t="n">
        <v>0</v>
      </c>
      <c r="O349" t="n">
        <v>0</v>
      </c>
      <c r="P349" t="n">
        <v>0</v>
      </c>
      <c r="Q349" t="n">
        <v>0</v>
      </c>
      <c r="R349" s="2" t="inlineStr"/>
    </row>
    <row r="350" ht="15" customHeight="1">
      <c r="A350" t="inlineStr">
        <is>
          <t>A 58278-2023</t>
        </is>
      </c>
      <c r="B350" s="1" t="n">
        <v>45250.5278587963</v>
      </c>
      <c r="C350" s="1" t="n">
        <v>46004</v>
      </c>
      <c r="D350" t="inlineStr">
        <is>
          <t>KALMAR LÄN</t>
        </is>
      </c>
      <c r="E350" t="inlineStr">
        <is>
          <t>VIMMERBY</t>
        </is>
      </c>
      <c r="G350" t="n">
        <v>1.8</v>
      </c>
      <c r="H350" t="n">
        <v>0</v>
      </c>
      <c r="I350" t="n">
        <v>0</v>
      </c>
      <c r="J350" t="n">
        <v>0</v>
      </c>
      <c r="K350" t="n">
        <v>0</v>
      </c>
      <c r="L350" t="n">
        <v>0</v>
      </c>
      <c r="M350" t="n">
        <v>0</v>
      </c>
      <c r="N350" t="n">
        <v>0</v>
      </c>
      <c r="O350" t="n">
        <v>0</v>
      </c>
      <c r="P350" t="n">
        <v>0</v>
      </c>
      <c r="Q350" t="n">
        <v>0</v>
      </c>
      <c r="R350" s="2" t="inlineStr"/>
    </row>
    <row r="351" ht="15" customHeight="1">
      <c r="A351" t="inlineStr">
        <is>
          <t>A 2157-2024</t>
        </is>
      </c>
      <c r="B351" s="1" t="n">
        <v>45309.59487268519</v>
      </c>
      <c r="C351" s="1" t="n">
        <v>46004</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22266-2023</t>
        </is>
      </c>
      <c r="B352" s="1" t="n">
        <v>45070</v>
      </c>
      <c r="C352" s="1" t="n">
        <v>46004</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52588-2023</t>
        </is>
      </c>
      <c r="B353" s="1" t="n">
        <v>45225.60192129629</v>
      </c>
      <c r="C353" s="1" t="n">
        <v>46004</v>
      </c>
      <c r="D353" t="inlineStr">
        <is>
          <t>KALMAR LÄN</t>
        </is>
      </c>
      <c r="E353" t="inlineStr">
        <is>
          <t>VIMMERBY</t>
        </is>
      </c>
      <c r="G353" t="n">
        <v>2.9</v>
      </c>
      <c r="H353" t="n">
        <v>0</v>
      </c>
      <c r="I353" t="n">
        <v>0</v>
      </c>
      <c r="J353" t="n">
        <v>0</v>
      </c>
      <c r="K353" t="n">
        <v>0</v>
      </c>
      <c r="L353" t="n">
        <v>0</v>
      </c>
      <c r="M353" t="n">
        <v>0</v>
      </c>
      <c r="N353" t="n">
        <v>0</v>
      </c>
      <c r="O353" t="n">
        <v>0</v>
      </c>
      <c r="P353" t="n">
        <v>0</v>
      </c>
      <c r="Q353" t="n">
        <v>0</v>
      </c>
      <c r="R353" s="2" t="inlineStr"/>
    </row>
    <row r="354" ht="15" customHeight="1">
      <c r="A354" t="inlineStr">
        <is>
          <t>A 10807-2024</t>
        </is>
      </c>
      <c r="B354" s="1" t="n">
        <v>45369.62780092593</v>
      </c>
      <c r="C354" s="1" t="n">
        <v>46004</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6220-2025</t>
        </is>
      </c>
      <c r="B355" s="1" t="n">
        <v>45698.53725694444</v>
      </c>
      <c r="C355" s="1" t="n">
        <v>46004</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49461-2022</t>
        </is>
      </c>
      <c r="B356" s="1" t="n">
        <v>44861</v>
      </c>
      <c r="C356" s="1" t="n">
        <v>46004</v>
      </c>
      <c r="D356" t="inlineStr">
        <is>
          <t>KALMAR LÄN</t>
        </is>
      </c>
      <c r="E356" t="inlineStr">
        <is>
          <t>VIMMERBY</t>
        </is>
      </c>
      <c r="G356" t="n">
        <v>3.2</v>
      </c>
      <c r="H356" t="n">
        <v>0</v>
      </c>
      <c r="I356" t="n">
        <v>0</v>
      </c>
      <c r="J356" t="n">
        <v>0</v>
      </c>
      <c r="K356" t="n">
        <v>0</v>
      </c>
      <c r="L356" t="n">
        <v>0</v>
      </c>
      <c r="M356" t="n">
        <v>0</v>
      </c>
      <c r="N356" t="n">
        <v>0</v>
      </c>
      <c r="O356" t="n">
        <v>0</v>
      </c>
      <c r="P356" t="n">
        <v>0</v>
      </c>
      <c r="Q356" t="n">
        <v>0</v>
      </c>
      <c r="R356" s="2" t="inlineStr"/>
    </row>
    <row r="357" ht="15" customHeight="1">
      <c r="A357" t="inlineStr">
        <is>
          <t>A 694-2024</t>
        </is>
      </c>
      <c r="B357" s="1" t="n">
        <v>45300.3794212963</v>
      </c>
      <c r="C357" s="1" t="n">
        <v>46004</v>
      </c>
      <c r="D357" t="inlineStr">
        <is>
          <t>KALMAR LÄN</t>
        </is>
      </c>
      <c r="E357" t="inlineStr">
        <is>
          <t>VIMMERBY</t>
        </is>
      </c>
      <c r="G357" t="n">
        <v>1.4</v>
      </c>
      <c r="H357" t="n">
        <v>0</v>
      </c>
      <c r="I357" t="n">
        <v>0</v>
      </c>
      <c r="J357" t="n">
        <v>0</v>
      </c>
      <c r="K357" t="n">
        <v>0</v>
      </c>
      <c r="L357" t="n">
        <v>0</v>
      </c>
      <c r="M357" t="n">
        <v>0</v>
      </c>
      <c r="N357" t="n">
        <v>0</v>
      </c>
      <c r="O357" t="n">
        <v>0</v>
      </c>
      <c r="P357" t="n">
        <v>0</v>
      </c>
      <c r="Q357" t="n">
        <v>0</v>
      </c>
      <c r="R357" s="2" t="inlineStr"/>
    </row>
    <row r="358" ht="15" customHeight="1">
      <c r="A358" t="inlineStr">
        <is>
          <t>A 33359-2021</t>
        </is>
      </c>
      <c r="B358" s="1" t="n">
        <v>44377.49684027778</v>
      </c>
      <c r="C358" s="1" t="n">
        <v>46004</v>
      </c>
      <c r="D358" t="inlineStr">
        <is>
          <t>KALMAR LÄN</t>
        </is>
      </c>
      <c r="E358" t="inlineStr">
        <is>
          <t>VIMMERBY</t>
        </is>
      </c>
      <c r="F358" t="inlineStr">
        <is>
          <t>Kommuner</t>
        </is>
      </c>
      <c r="G358" t="n">
        <v>8</v>
      </c>
      <c r="H358" t="n">
        <v>0</v>
      </c>
      <c r="I358" t="n">
        <v>0</v>
      </c>
      <c r="J358" t="n">
        <v>0</v>
      </c>
      <c r="K358" t="n">
        <v>0</v>
      </c>
      <c r="L358" t="n">
        <v>0</v>
      </c>
      <c r="M358" t="n">
        <v>0</v>
      </c>
      <c r="N358" t="n">
        <v>0</v>
      </c>
      <c r="O358" t="n">
        <v>0</v>
      </c>
      <c r="P358" t="n">
        <v>0</v>
      </c>
      <c r="Q358" t="n">
        <v>0</v>
      </c>
      <c r="R358" s="2" t="inlineStr"/>
    </row>
    <row r="359" ht="15" customHeight="1">
      <c r="A359" t="inlineStr">
        <is>
          <t>A 6802-2025</t>
        </is>
      </c>
      <c r="B359" s="1" t="n">
        <v>45700.68289351852</v>
      </c>
      <c r="C359" s="1" t="n">
        <v>46004</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71793-2021</t>
        </is>
      </c>
      <c r="B360" s="1" t="n">
        <v>44539</v>
      </c>
      <c r="C360" s="1" t="n">
        <v>46004</v>
      </c>
      <c r="D360" t="inlineStr">
        <is>
          <t>KALMAR LÄN</t>
        </is>
      </c>
      <c r="E360" t="inlineStr">
        <is>
          <t>VIMMERBY</t>
        </is>
      </c>
      <c r="G360" t="n">
        <v>2.7</v>
      </c>
      <c r="H360" t="n">
        <v>0</v>
      </c>
      <c r="I360" t="n">
        <v>0</v>
      </c>
      <c r="J360" t="n">
        <v>0</v>
      </c>
      <c r="K360" t="n">
        <v>0</v>
      </c>
      <c r="L360" t="n">
        <v>0</v>
      </c>
      <c r="M360" t="n">
        <v>0</v>
      </c>
      <c r="N360" t="n">
        <v>0</v>
      </c>
      <c r="O360" t="n">
        <v>0</v>
      </c>
      <c r="P360" t="n">
        <v>0</v>
      </c>
      <c r="Q360" t="n">
        <v>0</v>
      </c>
      <c r="R360" s="2" t="inlineStr"/>
    </row>
    <row r="361" ht="15" customHeight="1">
      <c r="A361" t="inlineStr">
        <is>
          <t>A 24096-2024</t>
        </is>
      </c>
      <c r="B361" s="1" t="n">
        <v>45456.59289351852</v>
      </c>
      <c r="C361" s="1" t="n">
        <v>46004</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59598-2023</t>
        </is>
      </c>
      <c r="B362" s="1" t="n">
        <v>45254.62489583333</v>
      </c>
      <c r="C362" s="1" t="n">
        <v>46004</v>
      </c>
      <c r="D362" t="inlineStr">
        <is>
          <t>KALMAR LÄN</t>
        </is>
      </c>
      <c r="E362" t="inlineStr">
        <is>
          <t>VIMMERBY</t>
        </is>
      </c>
      <c r="F362" t="inlineStr">
        <is>
          <t>Övriga Aktiebolag</t>
        </is>
      </c>
      <c r="G362" t="n">
        <v>4</v>
      </c>
      <c r="H362" t="n">
        <v>0</v>
      </c>
      <c r="I362" t="n">
        <v>0</v>
      </c>
      <c r="J362" t="n">
        <v>0</v>
      </c>
      <c r="K362" t="n">
        <v>0</v>
      </c>
      <c r="L362" t="n">
        <v>0</v>
      </c>
      <c r="M362" t="n">
        <v>0</v>
      </c>
      <c r="N362" t="n">
        <v>0</v>
      </c>
      <c r="O362" t="n">
        <v>0</v>
      </c>
      <c r="P362" t="n">
        <v>0</v>
      </c>
      <c r="Q362" t="n">
        <v>0</v>
      </c>
      <c r="R362" s="2" t="inlineStr"/>
    </row>
    <row r="363" ht="15" customHeight="1">
      <c r="A363" t="inlineStr">
        <is>
          <t>A 34588-2024</t>
        </is>
      </c>
      <c r="B363" s="1" t="n">
        <v>45526.3865625</v>
      </c>
      <c r="C363" s="1" t="n">
        <v>46004</v>
      </c>
      <c r="D363" t="inlineStr">
        <is>
          <t>KALMAR LÄN</t>
        </is>
      </c>
      <c r="E363" t="inlineStr">
        <is>
          <t>VIMMERBY</t>
        </is>
      </c>
      <c r="F363" t="inlineStr">
        <is>
          <t>Övriga Aktiebolag</t>
        </is>
      </c>
      <c r="G363" t="n">
        <v>3.3</v>
      </c>
      <c r="H363" t="n">
        <v>0</v>
      </c>
      <c r="I363" t="n">
        <v>0</v>
      </c>
      <c r="J363" t="n">
        <v>0</v>
      </c>
      <c r="K363" t="n">
        <v>0</v>
      </c>
      <c r="L363" t="n">
        <v>0</v>
      </c>
      <c r="M363" t="n">
        <v>0</v>
      </c>
      <c r="N363" t="n">
        <v>0</v>
      </c>
      <c r="O363" t="n">
        <v>0</v>
      </c>
      <c r="P363" t="n">
        <v>0</v>
      </c>
      <c r="Q363" t="n">
        <v>0</v>
      </c>
      <c r="R363" s="2" t="inlineStr"/>
    </row>
    <row r="364" ht="15" customHeight="1">
      <c r="A364" t="inlineStr">
        <is>
          <t>A 7944-2024</t>
        </is>
      </c>
      <c r="B364" s="1" t="n">
        <v>45350.53306712963</v>
      </c>
      <c r="C364" s="1" t="n">
        <v>46004</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527-2024</t>
        </is>
      </c>
      <c r="B365" s="1" t="n">
        <v>45299.47513888889</v>
      </c>
      <c r="C365" s="1" t="n">
        <v>46004</v>
      </c>
      <c r="D365" t="inlineStr">
        <is>
          <t>KALMAR LÄN</t>
        </is>
      </c>
      <c r="E365" t="inlineStr">
        <is>
          <t>VIMMERBY</t>
        </is>
      </c>
      <c r="G365" t="n">
        <v>2.2</v>
      </c>
      <c r="H365" t="n">
        <v>0</v>
      </c>
      <c r="I365" t="n">
        <v>0</v>
      </c>
      <c r="J365" t="n">
        <v>0</v>
      </c>
      <c r="K365" t="n">
        <v>0</v>
      </c>
      <c r="L365" t="n">
        <v>0</v>
      </c>
      <c r="M365" t="n">
        <v>0</v>
      </c>
      <c r="N365" t="n">
        <v>0</v>
      </c>
      <c r="O365" t="n">
        <v>0</v>
      </c>
      <c r="P365" t="n">
        <v>0</v>
      </c>
      <c r="Q365" t="n">
        <v>0</v>
      </c>
      <c r="R365" s="2" t="inlineStr"/>
    </row>
    <row r="366" ht="15" customHeight="1">
      <c r="A366" t="inlineStr">
        <is>
          <t>A 17084-2025</t>
        </is>
      </c>
      <c r="B366" s="1" t="n">
        <v>45755.64450231481</v>
      </c>
      <c r="C366" s="1" t="n">
        <v>46004</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29013-2024</t>
        </is>
      </c>
      <c r="B367" s="1" t="n">
        <v>45481.55984953704</v>
      </c>
      <c r="C367" s="1" t="n">
        <v>46004</v>
      </c>
      <c r="D367" t="inlineStr">
        <is>
          <t>KALMAR LÄN</t>
        </is>
      </c>
      <c r="E367" t="inlineStr">
        <is>
          <t>VIMMERBY</t>
        </is>
      </c>
      <c r="G367" t="n">
        <v>3.4</v>
      </c>
      <c r="H367" t="n">
        <v>0</v>
      </c>
      <c r="I367" t="n">
        <v>0</v>
      </c>
      <c r="J367" t="n">
        <v>0</v>
      </c>
      <c r="K367" t="n">
        <v>0</v>
      </c>
      <c r="L367" t="n">
        <v>0</v>
      </c>
      <c r="M367" t="n">
        <v>0</v>
      </c>
      <c r="N367" t="n">
        <v>0</v>
      </c>
      <c r="O367" t="n">
        <v>0</v>
      </c>
      <c r="P367" t="n">
        <v>0</v>
      </c>
      <c r="Q367" t="n">
        <v>0</v>
      </c>
      <c r="R367" s="2" t="inlineStr"/>
    </row>
    <row r="368" ht="15" customHeight="1">
      <c r="A368" t="inlineStr">
        <is>
          <t>A 21496-2023</t>
        </is>
      </c>
      <c r="B368" s="1" t="n">
        <v>45063.49936342592</v>
      </c>
      <c r="C368" s="1" t="n">
        <v>46004</v>
      </c>
      <c r="D368" t="inlineStr">
        <is>
          <t>KALMAR LÄN</t>
        </is>
      </c>
      <c r="E368" t="inlineStr">
        <is>
          <t>VIMMERBY</t>
        </is>
      </c>
      <c r="G368" t="n">
        <v>1.1</v>
      </c>
      <c r="H368" t="n">
        <v>0</v>
      </c>
      <c r="I368" t="n">
        <v>0</v>
      </c>
      <c r="J368" t="n">
        <v>0</v>
      </c>
      <c r="K368" t="n">
        <v>0</v>
      </c>
      <c r="L368" t="n">
        <v>0</v>
      </c>
      <c r="M368" t="n">
        <v>0</v>
      </c>
      <c r="N368" t="n">
        <v>0</v>
      </c>
      <c r="O368" t="n">
        <v>0</v>
      </c>
      <c r="P368" t="n">
        <v>0</v>
      </c>
      <c r="Q368" t="n">
        <v>0</v>
      </c>
      <c r="R368" s="2" t="inlineStr"/>
    </row>
    <row r="369" ht="15" customHeight="1">
      <c r="A369" t="inlineStr">
        <is>
          <t>A 60230-2022</t>
        </is>
      </c>
      <c r="B369" s="1" t="n">
        <v>44910</v>
      </c>
      <c r="C369" s="1" t="n">
        <v>46004</v>
      </c>
      <c r="D369" t="inlineStr">
        <is>
          <t>KALMAR LÄN</t>
        </is>
      </c>
      <c r="E369" t="inlineStr">
        <is>
          <t>VIMMERBY</t>
        </is>
      </c>
      <c r="G369" t="n">
        <v>11.3</v>
      </c>
      <c r="H369" t="n">
        <v>0</v>
      </c>
      <c r="I369" t="n">
        <v>0</v>
      </c>
      <c r="J369" t="n">
        <v>0</v>
      </c>
      <c r="K369" t="n">
        <v>0</v>
      </c>
      <c r="L369" t="n">
        <v>0</v>
      </c>
      <c r="M369" t="n">
        <v>0</v>
      </c>
      <c r="N369" t="n">
        <v>0</v>
      </c>
      <c r="O369" t="n">
        <v>0</v>
      </c>
      <c r="P369" t="n">
        <v>0</v>
      </c>
      <c r="Q369" t="n">
        <v>0</v>
      </c>
      <c r="R369" s="2" t="inlineStr"/>
    </row>
    <row r="370" ht="15" customHeight="1">
      <c r="A370" t="inlineStr">
        <is>
          <t>A 6066-2023</t>
        </is>
      </c>
      <c r="B370" s="1" t="n">
        <v>44964.50894675926</v>
      </c>
      <c r="C370" s="1" t="n">
        <v>46004</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59955-2023</t>
        </is>
      </c>
      <c r="B371" s="1" t="n">
        <v>45257.70313657408</v>
      </c>
      <c r="C371" s="1" t="n">
        <v>46004</v>
      </c>
      <c r="D371" t="inlineStr">
        <is>
          <t>KALMAR LÄN</t>
        </is>
      </c>
      <c r="E371" t="inlineStr">
        <is>
          <t>VIMMERBY</t>
        </is>
      </c>
      <c r="G371" t="n">
        <v>13.8</v>
      </c>
      <c r="H371" t="n">
        <v>0</v>
      </c>
      <c r="I371" t="n">
        <v>0</v>
      </c>
      <c r="J371" t="n">
        <v>0</v>
      </c>
      <c r="K371" t="n">
        <v>0</v>
      </c>
      <c r="L371" t="n">
        <v>0</v>
      </c>
      <c r="M371" t="n">
        <v>0</v>
      </c>
      <c r="N371" t="n">
        <v>0</v>
      </c>
      <c r="O371" t="n">
        <v>0</v>
      </c>
      <c r="P371" t="n">
        <v>0</v>
      </c>
      <c r="Q371" t="n">
        <v>0</v>
      </c>
      <c r="R371" s="2" t="inlineStr"/>
    </row>
    <row r="372" ht="15" customHeight="1">
      <c r="A372" t="inlineStr">
        <is>
          <t>A 33161-2024</t>
        </is>
      </c>
      <c r="B372" s="1" t="n">
        <v>45518.40657407408</v>
      </c>
      <c r="C372" s="1" t="n">
        <v>46004</v>
      </c>
      <c r="D372" t="inlineStr">
        <is>
          <t>KALMAR LÄN</t>
        </is>
      </c>
      <c r="E372" t="inlineStr">
        <is>
          <t>VIMMERBY</t>
        </is>
      </c>
      <c r="G372" t="n">
        <v>4.7</v>
      </c>
      <c r="H372" t="n">
        <v>0</v>
      </c>
      <c r="I372" t="n">
        <v>0</v>
      </c>
      <c r="J372" t="n">
        <v>0</v>
      </c>
      <c r="K372" t="n">
        <v>0</v>
      </c>
      <c r="L372" t="n">
        <v>0</v>
      </c>
      <c r="M372" t="n">
        <v>0</v>
      </c>
      <c r="N372" t="n">
        <v>0</v>
      </c>
      <c r="O372" t="n">
        <v>0</v>
      </c>
      <c r="P372" t="n">
        <v>0</v>
      </c>
      <c r="Q372" t="n">
        <v>0</v>
      </c>
      <c r="R372" s="2" t="inlineStr"/>
    </row>
    <row r="373" ht="15" customHeight="1">
      <c r="A373" t="inlineStr">
        <is>
          <t>A 5925-2022</t>
        </is>
      </c>
      <c r="B373" s="1" t="n">
        <v>44598.7384837963</v>
      </c>
      <c r="C373" s="1" t="n">
        <v>46004</v>
      </c>
      <c r="D373" t="inlineStr">
        <is>
          <t>KALMAR LÄN</t>
        </is>
      </c>
      <c r="E373" t="inlineStr">
        <is>
          <t>VIMMERBY</t>
        </is>
      </c>
      <c r="G373" t="n">
        <v>2.1</v>
      </c>
      <c r="H373" t="n">
        <v>0</v>
      </c>
      <c r="I373" t="n">
        <v>0</v>
      </c>
      <c r="J373" t="n">
        <v>0</v>
      </c>
      <c r="K373" t="n">
        <v>0</v>
      </c>
      <c r="L373" t="n">
        <v>0</v>
      </c>
      <c r="M373" t="n">
        <v>0</v>
      </c>
      <c r="N373" t="n">
        <v>0</v>
      </c>
      <c r="O373" t="n">
        <v>0</v>
      </c>
      <c r="P373" t="n">
        <v>0</v>
      </c>
      <c r="Q373" t="n">
        <v>0</v>
      </c>
      <c r="R373" s="2" t="inlineStr"/>
    </row>
    <row r="374" ht="15" customHeight="1">
      <c r="A374" t="inlineStr">
        <is>
          <t>A 36040-2024</t>
        </is>
      </c>
      <c r="B374" s="1" t="n">
        <v>45533.60232638889</v>
      </c>
      <c r="C374" s="1" t="n">
        <v>46004</v>
      </c>
      <c r="D374" t="inlineStr">
        <is>
          <t>KALMAR LÄN</t>
        </is>
      </c>
      <c r="E374" t="inlineStr">
        <is>
          <t>VIMMERBY</t>
        </is>
      </c>
      <c r="F374" t="inlineStr">
        <is>
          <t>Kommuner</t>
        </is>
      </c>
      <c r="G374" t="n">
        <v>3.6</v>
      </c>
      <c r="H374" t="n">
        <v>0</v>
      </c>
      <c r="I374" t="n">
        <v>0</v>
      </c>
      <c r="J374" t="n">
        <v>0</v>
      </c>
      <c r="K374" t="n">
        <v>0</v>
      </c>
      <c r="L374" t="n">
        <v>0</v>
      </c>
      <c r="M374" t="n">
        <v>0</v>
      </c>
      <c r="N374" t="n">
        <v>0</v>
      </c>
      <c r="O374" t="n">
        <v>0</v>
      </c>
      <c r="P374" t="n">
        <v>0</v>
      </c>
      <c r="Q374" t="n">
        <v>0</v>
      </c>
      <c r="R374" s="2" t="inlineStr"/>
    </row>
    <row r="375" ht="15" customHeight="1">
      <c r="A375" t="inlineStr">
        <is>
          <t>A 36043-2024</t>
        </is>
      </c>
      <c r="B375" s="1" t="n">
        <v>45533.60770833334</v>
      </c>
      <c r="C375" s="1" t="n">
        <v>46004</v>
      </c>
      <c r="D375" t="inlineStr">
        <is>
          <t>KALMAR LÄN</t>
        </is>
      </c>
      <c r="E375" t="inlineStr">
        <is>
          <t>VIMMERBY</t>
        </is>
      </c>
      <c r="F375" t="inlineStr">
        <is>
          <t>Kommuner</t>
        </is>
      </c>
      <c r="G375" t="n">
        <v>1.5</v>
      </c>
      <c r="H375" t="n">
        <v>0</v>
      </c>
      <c r="I375" t="n">
        <v>0</v>
      </c>
      <c r="J375" t="n">
        <v>0</v>
      </c>
      <c r="K375" t="n">
        <v>0</v>
      </c>
      <c r="L375" t="n">
        <v>0</v>
      </c>
      <c r="M375" t="n">
        <v>0</v>
      </c>
      <c r="N375" t="n">
        <v>0</v>
      </c>
      <c r="O375" t="n">
        <v>0</v>
      </c>
      <c r="P375" t="n">
        <v>0</v>
      </c>
      <c r="Q375" t="n">
        <v>0</v>
      </c>
      <c r="R375" s="2" t="inlineStr"/>
    </row>
    <row r="376" ht="15" customHeight="1">
      <c r="A376" t="inlineStr">
        <is>
          <t>A 14359-2025</t>
        </is>
      </c>
      <c r="B376" s="1" t="n">
        <v>45741.37270833334</v>
      </c>
      <c r="C376" s="1" t="n">
        <v>46004</v>
      </c>
      <c r="D376" t="inlineStr">
        <is>
          <t>KALMAR LÄN</t>
        </is>
      </c>
      <c r="E376" t="inlineStr">
        <is>
          <t>VIMMERBY</t>
        </is>
      </c>
      <c r="G376" t="n">
        <v>2</v>
      </c>
      <c r="H376" t="n">
        <v>0</v>
      </c>
      <c r="I376" t="n">
        <v>0</v>
      </c>
      <c r="J376" t="n">
        <v>0</v>
      </c>
      <c r="K376" t="n">
        <v>0</v>
      </c>
      <c r="L376" t="n">
        <v>0</v>
      </c>
      <c r="M376" t="n">
        <v>0</v>
      </c>
      <c r="N376" t="n">
        <v>0</v>
      </c>
      <c r="O376" t="n">
        <v>0</v>
      </c>
      <c r="P376" t="n">
        <v>0</v>
      </c>
      <c r="Q376" t="n">
        <v>0</v>
      </c>
      <c r="R376" s="2" t="inlineStr"/>
    </row>
    <row r="377" ht="15" customHeight="1">
      <c r="A377" t="inlineStr">
        <is>
          <t>A 12890-2023</t>
        </is>
      </c>
      <c r="B377" s="1" t="n">
        <v>45001.59209490741</v>
      </c>
      <c r="C377" s="1" t="n">
        <v>46004</v>
      </c>
      <c r="D377" t="inlineStr">
        <is>
          <t>KALMAR LÄN</t>
        </is>
      </c>
      <c r="E377" t="inlineStr">
        <is>
          <t>VIMMERBY</t>
        </is>
      </c>
      <c r="G377" t="n">
        <v>2.8</v>
      </c>
      <c r="H377" t="n">
        <v>0</v>
      </c>
      <c r="I377" t="n">
        <v>0</v>
      </c>
      <c r="J377" t="n">
        <v>0</v>
      </c>
      <c r="K377" t="n">
        <v>0</v>
      </c>
      <c r="L377" t="n">
        <v>0</v>
      </c>
      <c r="M377" t="n">
        <v>0</v>
      </c>
      <c r="N377" t="n">
        <v>0</v>
      </c>
      <c r="O377" t="n">
        <v>0</v>
      </c>
      <c r="P377" t="n">
        <v>0</v>
      </c>
      <c r="Q377" t="n">
        <v>0</v>
      </c>
      <c r="R377" s="2" t="inlineStr"/>
    </row>
    <row r="378" ht="15" customHeight="1">
      <c r="A378" t="inlineStr">
        <is>
          <t>A 46522-2022</t>
        </is>
      </c>
      <c r="B378" s="1" t="n">
        <v>44848.59133101852</v>
      </c>
      <c r="C378" s="1" t="n">
        <v>46004</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43594-2024</t>
        </is>
      </c>
      <c r="B379" s="1" t="n">
        <v>45569.44295138889</v>
      </c>
      <c r="C379" s="1" t="n">
        <v>46004</v>
      </c>
      <c r="D379" t="inlineStr">
        <is>
          <t>KALMAR LÄN</t>
        </is>
      </c>
      <c r="E379" t="inlineStr">
        <is>
          <t>VIMMERBY</t>
        </is>
      </c>
      <c r="G379" t="n">
        <v>3.9</v>
      </c>
      <c r="H379" t="n">
        <v>0</v>
      </c>
      <c r="I379" t="n">
        <v>0</v>
      </c>
      <c r="J379" t="n">
        <v>0</v>
      </c>
      <c r="K379" t="n">
        <v>0</v>
      </c>
      <c r="L379" t="n">
        <v>0</v>
      </c>
      <c r="M379" t="n">
        <v>0</v>
      </c>
      <c r="N379" t="n">
        <v>0</v>
      </c>
      <c r="O379" t="n">
        <v>0</v>
      </c>
      <c r="P379" t="n">
        <v>0</v>
      </c>
      <c r="Q379" t="n">
        <v>0</v>
      </c>
      <c r="R379" s="2" t="inlineStr"/>
    </row>
    <row r="380" ht="15" customHeight="1">
      <c r="A380" t="inlineStr">
        <is>
          <t>A 29783-2024</t>
        </is>
      </c>
      <c r="B380" s="1" t="n">
        <v>45485.45778935185</v>
      </c>
      <c r="C380" s="1" t="n">
        <v>46004</v>
      </c>
      <c r="D380" t="inlineStr">
        <is>
          <t>KALMAR LÄN</t>
        </is>
      </c>
      <c r="E380" t="inlineStr">
        <is>
          <t>VIMMERBY</t>
        </is>
      </c>
      <c r="G380" t="n">
        <v>3.1</v>
      </c>
      <c r="H380" t="n">
        <v>0</v>
      </c>
      <c r="I380" t="n">
        <v>0</v>
      </c>
      <c r="J380" t="n">
        <v>0</v>
      </c>
      <c r="K380" t="n">
        <v>0</v>
      </c>
      <c r="L380" t="n">
        <v>0</v>
      </c>
      <c r="M380" t="n">
        <v>0</v>
      </c>
      <c r="N380" t="n">
        <v>0</v>
      </c>
      <c r="O380" t="n">
        <v>0</v>
      </c>
      <c r="P380" t="n">
        <v>0</v>
      </c>
      <c r="Q380" t="n">
        <v>0</v>
      </c>
      <c r="R380" s="2" t="inlineStr"/>
    </row>
    <row r="381" ht="15" customHeight="1">
      <c r="A381" t="inlineStr">
        <is>
          <t>A 53482-2022</t>
        </is>
      </c>
      <c r="B381" s="1" t="n">
        <v>44879</v>
      </c>
      <c r="C381" s="1" t="n">
        <v>46004</v>
      </c>
      <c r="D381" t="inlineStr">
        <is>
          <t>KALMAR LÄN</t>
        </is>
      </c>
      <c r="E381" t="inlineStr">
        <is>
          <t>VIMMERBY</t>
        </is>
      </c>
      <c r="G381" t="n">
        <v>10.1</v>
      </c>
      <c r="H381" t="n">
        <v>0</v>
      </c>
      <c r="I381" t="n">
        <v>0</v>
      </c>
      <c r="J381" t="n">
        <v>0</v>
      </c>
      <c r="K381" t="n">
        <v>0</v>
      </c>
      <c r="L381" t="n">
        <v>0</v>
      </c>
      <c r="M381" t="n">
        <v>0</v>
      </c>
      <c r="N381" t="n">
        <v>0</v>
      </c>
      <c r="O381" t="n">
        <v>0</v>
      </c>
      <c r="P381" t="n">
        <v>0</v>
      </c>
      <c r="Q381" t="n">
        <v>0</v>
      </c>
      <c r="R381" s="2" t="inlineStr"/>
    </row>
    <row r="382" ht="15" customHeight="1">
      <c r="A382" t="inlineStr">
        <is>
          <t>A 41066-2024</t>
        </is>
      </c>
      <c r="B382" s="1" t="n">
        <v>45559.38876157408</v>
      </c>
      <c r="C382" s="1" t="n">
        <v>46004</v>
      </c>
      <c r="D382" t="inlineStr">
        <is>
          <t>KALMAR LÄN</t>
        </is>
      </c>
      <c r="E382" t="inlineStr">
        <is>
          <t>VIMMERBY</t>
        </is>
      </c>
      <c r="G382" t="n">
        <v>2.4</v>
      </c>
      <c r="H382" t="n">
        <v>0</v>
      </c>
      <c r="I382" t="n">
        <v>0</v>
      </c>
      <c r="J382" t="n">
        <v>0</v>
      </c>
      <c r="K382" t="n">
        <v>0</v>
      </c>
      <c r="L382" t="n">
        <v>0</v>
      </c>
      <c r="M382" t="n">
        <v>0</v>
      </c>
      <c r="N382" t="n">
        <v>0</v>
      </c>
      <c r="O382" t="n">
        <v>0</v>
      </c>
      <c r="P382" t="n">
        <v>0</v>
      </c>
      <c r="Q382" t="n">
        <v>0</v>
      </c>
      <c r="R382" s="2" t="inlineStr"/>
    </row>
    <row r="383" ht="15" customHeight="1">
      <c r="A383" t="inlineStr">
        <is>
          <t>A 7075-2021</t>
        </is>
      </c>
      <c r="B383" s="1" t="n">
        <v>44237</v>
      </c>
      <c r="C383" s="1" t="n">
        <v>46004</v>
      </c>
      <c r="D383" t="inlineStr">
        <is>
          <t>KALMAR LÄN</t>
        </is>
      </c>
      <c r="E383" t="inlineStr">
        <is>
          <t>VIMMERBY</t>
        </is>
      </c>
      <c r="G383" t="n">
        <v>3.6</v>
      </c>
      <c r="H383" t="n">
        <v>0</v>
      </c>
      <c r="I383" t="n">
        <v>0</v>
      </c>
      <c r="J383" t="n">
        <v>0</v>
      </c>
      <c r="K383" t="n">
        <v>0</v>
      </c>
      <c r="L383" t="n">
        <v>0</v>
      </c>
      <c r="M383" t="n">
        <v>0</v>
      </c>
      <c r="N383" t="n">
        <v>0</v>
      </c>
      <c r="O383" t="n">
        <v>0</v>
      </c>
      <c r="P383" t="n">
        <v>0</v>
      </c>
      <c r="Q383" t="n">
        <v>0</v>
      </c>
      <c r="R383" s="2" t="inlineStr"/>
    </row>
    <row r="384" ht="15" customHeight="1">
      <c r="A384" t="inlineStr">
        <is>
          <t>A 52279-2023</t>
        </is>
      </c>
      <c r="B384" s="1" t="n">
        <v>45224</v>
      </c>
      <c r="C384" s="1" t="n">
        <v>46004</v>
      </c>
      <c r="D384" t="inlineStr">
        <is>
          <t>KALMAR LÄN</t>
        </is>
      </c>
      <c r="E384" t="inlineStr">
        <is>
          <t>VIMMERBY</t>
        </is>
      </c>
      <c r="G384" t="n">
        <v>1.8</v>
      </c>
      <c r="H384" t="n">
        <v>0</v>
      </c>
      <c r="I384" t="n">
        <v>0</v>
      </c>
      <c r="J384" t="n">
        <v>0</v>
      </c>
      <c r="K384" t="n">
        <v>0</v>
      </c>
      <c r="L384" t="n">
        <v>0</v>
      </c>
      <c r="M384" t="n">
        <v>0</v>
      </c>
      <c r="N384" t="n">
        <v>0</v>
      </c>
      <c r="O384" t="n">
        <v>0</v>
      </c>
      <c r="P384" t="n">
        <v>0</v>
      </c>
      <c r="Q384" t="n">
        <v>0</v>
      </c>
      <c r="R384" s="2" t="inlineStr"/>
    </row>
    <row r="385" ht="15" customHeight="1">
      <c r="A385" t="inlineStr">
        <is>
          <t>A 55605-2024</t>
        </is>
      </c>
      <c r="B385" s="1" t="n">
        <v>45622</v>
      </c>
      <c r="C385" s="1" t="n">
        <v>46004</v>
      </c>
      <c r="D385" t="inlineStr">
        <is>
          <t>KALMAR LÄN</t>
        </is>
      </c>
      <c r="E385" t="inlineStr">
        <is>
          <t>VIMMERBY</t>
        </is>
      </c>
      <c r="G385" t="n">
        <v>1.1</v>
      </c>
      <c r="H385" t="n">
        <v>0</v>
      </c>
      <c r="I385" t="n">
        <v>0</v>
      </c>
      <c r="J385" t="n">
        <v>0</v>
      </c>
      <c r="K385" t="n">
        <v>0</v>
      </c>
      <c r="L385" t="n">
        <v>0</v>
      </c>
      <c r="M385" t="n">
        <v>0</v>
      </c>
      <c r="N385" t="n">
        <v>0</v>
      </c>
      <c r="O385" t="n">
        <v>0</v>
      </c>
      <c r="P385" t="n">
        <v>0</v>
      </c>
      <c r="Q385" t="n">
        <v>0</v>
      </c>
      <c r="R385" s="2" t="inlineStr"/>
    </row>
    <row r="386" ht="15" customHeight="1">
      <c r="A386" t="inlineStr">
        <is>
          <t>A 44464-2024</t>
        </is>
      </c>
      <c r="B386" s="1" t="n">
        <v>45574.35809027778</v>
      </c>
      <c r="C386" s="1" t="n">
        <v>46004</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36049-2024</t>
        </is>
      </c>
      <c r="B387" s="1" t="n">
        <v>45533.61996527778</v>
      </c>
      <c r="C387" s="1" t="n">
        <v>46004</v>
      </c>
      <c r="D387" t="inlineStr">
        <is>
          <t>KALMAR LÄN</t>
        </is>
      </c>
      <c r="E387" t="inlineStr">
        <is>
          <t>VIMMERBY</t>
        </is>
      </c>
      <c r="F387" t="inlineStr">
        <is>
          <t>Kommuner</t>
        </is>
      </c>
      <c r="G387" t="n">
        <v>2.6</v>
      </c>
      <c r="H387" t="n">
        <v>0</v>
      </c>
      <c r="I387" t="n">
        <v>0</v>
      </c>
      <c r="J387" t="n">
        <v>0</v>
      </c>
      <c r="K387" t="n">
        <v>0</v>
      </c>
      <c r="L387" t="n">
        <v>0</v>
      </c>
      <c r="M387" t="n">
        <v>0</v>
      </c>
      <c r="N387" t="n">
        <v>0</v>
      </c>
      <c r="O387" t="n">
        <v>0</v>
      </c>
      <c r="P387" t="n">
        <v>0</v>
      </c>
      <c r="Q387" t="n">
        <v>0</v>
      </c>
      <c r="R387" s="2" t="inlineStr"/>
    </row>
    <row r="388" ht="15" customHeight="1">
      <c r="A388" t="inlineStr">
        <is>
          <t>A 17486-2024</t>
        </is>
      </c>
      <c r="B388" s="1" t="n">
        <v>45415.48979166667</v>
      </c>
      <c r="C388" s="1" t="n">
        <v>46004</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4297-2022</t>
        </is>
      </c>
      <c r="B389" s="1" t="n">
        <v>44588</v>
      </c>
      <c r="C389" s="1" t="n">
        <v>46004</v>
      </c>
      <c r="D389" t="inlineStr">
        <is>
          <t>KALMAR LÄN</t>
        </is>
      </c>
      <c r="E389" t="inlineStr">
        <is>
          <t>VIMMERBY</t>
        </is>
      </c>
      <c r="G389" t="n">
        <v>1</v>
      </c>
      <c r="H389" t="n">
        <v>0</v>
      </c>
      <c r="I389" t="n">
        <v>0</v>
      </c>
      <c r="J389" t="n">
        <v>0</v>
      </c>
      <c r="K389" t="n">
        <v>0</v>
      </c>
      <c r="L389" t="n">
        <v>0</v>
      </c>
      <c r="M389" t="n">
        <v>0</v>
      </c>
      <c r="N389" t="n">
        <v>0</v>
      </c>
      <c r="O389" t="n">
        <v>0</v>
      </c>
      <c r="P389" t="n">
        <v>0</v>
      </c>
      <c r="Q389" t="n">
        <v>0</v>
      </c>
      <c r="R389" s="2" t="inlineStr"/>
    </row>
    <row r="390" ht="15" customHeight="1">
      <c r="A390" t="inlineStr">
        <is>
          <t>A 27761-2024</t>
        </is>
      </c>
      <c r="B390" s="1" t="n">
        <v>45475.49018518518</v>
      </c>
      <c r="C390" s="1" t="n">
        <v>46004</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35198-2023</t>
        </is>
      </c>
      <c r="B391" s="1" t="n">
        <v>45145</v>
      </c>
      <c r="C391" s="1" t="n">
        <v>46004</v>
      </c>
      <c r="D391" t="inlineStr">
        <is>
          <t>KALMAR LÄN</t>
        </is>
      </c>
      <c r="E391" t="inlineStr">
        <is>
          <t>VIMMERBY</t>
        </is>
      </c>
      <c r="G391" t="n">
        <v>1.6</v>
      </c>
      <c r="H391" t="n">
        <v>0</v>
      </c>
      <c r="I391" t="n">
        <v>0</v>
      </c>
      <c r="J391" t="n">
        <v>0</v>
      </c>
      <c r="K391" t="n">
        <v>0</v>
      </c>
      <c r="L391" t="n">
        <v>0</v>
      </c>
      <c r="M391" t="n">
        <v>0</v>
      </c>
      <c r="N391" t="n">
        <v>0</v>
      </c>
      <c r="O391" t="n">
        <v>0</v>
      </c>
      <c r="P391" t="n">
        <v>0</v>
      </c>
      <c r="Q391" t="n">
        <v>0</v>
      </c>
      <c r="R391" s="2" t="inlineStr"/>
    </row>
    <row r="392" ht="15" customHeight="1">
      <c r="A392" t="inlineStr">
        <is>
          <t>A 64203-2021</t>
        </is>
      </c>
      <c r="B392" s="1" t="n">
        <v>44510.60921296296</v>
      </c>
      <c r="C392" s="1" t="n">
        <v>46004</v>
      </c>
      <c r="D392" t="inlineStr">
        <is>
          <t>KALMAR LÄN</t>
        </is>
      </c>
      <c r="E392" t="inlineStr">
        <is>
          <t>VIMMERBY</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71631-2021</t>
        </is>
      </c>
      <c r="B393" s="1" t="n">
        <v>44542.90072916666</v>
      </c>
      <c r="C393" s="1" t="n">
        <v>46004</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46399-2024</t>
        </is>
      </c>
      <c r="B394" s="1" t="n">
        <v>45582.41200231481</v>
      </c>
      <c r="C394" s="1" t="n">
        <v>46004</v>
      </c>
      <c r="D394" t="inlineStr">
        <is>
          <t>KALMAR LÄN</t>
        </is>
      </c>
      <c r="E394" t="inlineStr">
        <is>
          <t>VIMMERBY</t>
        </is>
      </c>
      <c r="G394" t="n">
        <v>4.6</v>
      </c>
      <c r="H394" t="n">
        <v>0</v>
      </c>
      <c r="I394" t="n">
        <v>0</v>
      </c>
      <c r="J394" t="n">
        <v>0</v>
      </c>
      <c r="K394" t="n">
        <v>0</v>
      </c>
      <c r="L394" t="n">
        <v>0</v>
      </c>
      <c r="M394" t="n">
        <v>0</v>
      </c>
      <c r="N394" t="n">
        <v>0</v>
      </c>
      <c r="O394" t="n">
        <v>0</v>
      </c>
      <c r="P394" t="n">
        <v>0</v>
      </c>
      <c r="Q394" t="n">
        <v>0</v>
      </c>
      <c r="R394" s="2" t="inlineStr"/>
    </row>
    <row r="395" ht="15" customHeight="1">
      <c r="A395" t="inlineStr">
        <is>
          <t>A 43853-2023</t>
        </is>
      </c>
      <c r="B395" s="1" t="n">
        <v>45187.60813657408</v>
      </c>
      <c r="C395" s="1" t="n">
        <v>46004</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5720-2023</t>
        </is>
      </c>
      <c r="B396" s="1" t="n">
        <v>44961</v>
      </c>
      <c r="C396" s="1" t="n">
        <v>46004</v>
      </c>
      <c r="D396" t="inlineStr">
        <is>
          <t>KALMAR LÄN</t>
        </is>
      </c>
      <c r="E396" t="inlineStr">
        <is>
          <t>VIMMERBY</t>
        </is>
      </c>
      <c r="G396" t="n">
        <v>1.4</v>
      </c>
      <c r="H396" t="n">
        <v>0</v>
      </c>
      <c r="I396" t="n">
        <v>0</v>
      </c>
      <c r="J396" t="n">
        <v>0</v>
      </c>
      <c r="K396" t="n">
        <v>0</v>
      </c>
      <c r="L396" t="n">
        <v>0</v>
      </c>
      <c r="M396" t="n">
        <v>0</v>
      </c>
      <c r="N396" t="n">
        <v>0</v>
      </c>
      <c r="O396" t="n">
        <v>0</v>
      </c>
      <c r="P396" t="n">
        <v>0</v>
      </c>
      <c r="Q396" t="n">
        <v>0</v>
      </c>
      <c r="R396" s="2" t="inlineStr"/>
    </row>
    <row r="397" ht="15" customHeight="1">
      <c r="A397" t="inlineStr">
        <is>
          <t>A 9643-2023</t>
        </is>
      </c>
      <c r="B397" s="1" t="n">
        <v>44984</v>
      </c>
      <c r="C397" s="1" t="n">
        <v>46004</v>
      </c>
      <c r="D397" t="inlineStr">
        <is>
          <t>KALMAR LÄN</t>
        </is>
      </c>
      <c r="E397" t="inlineStr">
        <is>
          <t>VIMMERBY</t>
        </is>
      </c>
      <c r="G397" t="n">
        <v>2</v>
      </c>
      <c r="H397" t="n">
        <v>0</v>
      </c>
      <c r="I397" t="n">
        <v>0</v>
      </c>
      <c r="J397" t="n">
        <v>0</v>
      </c>
      <c r="K397" t="n">
        <v>0</v>
      </c>
      <c r="L397" t="n">
        <v>0</v>
      </c>
      <c r="M397" t="n">
        <v>0</v>
      </c>
      <c r="N397" t="n">
        <v>0</v>
      </c>
      <c r="O397" t="n">
        <v>0</v>
      </c>
      <c r="P397" t="n">
        <v>0</v>
      </c>
      <c r="Q397" t="n">
        <v>0</v>
      </c>
      <c r="R397" s="2" t="inlineStr"/>
    </row>
    <row r="398" ht="15" customHeight="1">
      <c r="A398" t="inlineStr">
        <is>
          <t>A 25728-2023</t>
        </is>
      </c>
      <c r="B398" s="1" t="n">
        <v>45090.38012731481</v>
      </c>
      <c r="C398" s="1" t="n">
        <v>46004</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16015-2025</t>
        </is>
      </c>
      <c r="B399" s="1" t="n">
        <v>45749.60487268519</v>
      </c>
      <c r="C399" s="1" t="n">
        <v>46004</v>
      </c>
      <c r="D399" t="inlineStr">
        <is>
          <t>KALMAR LÄN</t>
        </is>
      </c>
      <c r="E399" t="inlineStr">
        <is>
          <t>VIMMERBY</t>
        </is>
      </c>
      <c r="F399" t="inlineStr">
        <is>
          <t>Kyrkan</t>
        </is>
      </c>
      <c r="G399" t="n">
        <v>2.7</v>
      </c>
      <c r="H399" t="n">
        <v>0</v>
      </c>
      <c r="I399" t="n">
        <v>0</v>
      </c>
      <c r="J399" t="n">
        <v>0</v>
      </c>
      <c r="K399" t="n">
        <v>0</v>
      </c>
      <c r="L399" t="n">
        <v>0</v>
      </c>
      <c r="M399" t="n">
        <v>0</v>
      </c>
      <c r="N399" t="n">
        <v>0</v>
      </c>
      <c r="O399" t="n">
        <v>0</v>
      </c>
      <c r="P399" t="n">
        <v>0</v>
      </c>
      <c r="Q399" t="n">
        <v>0</v>
      </c>
      <c r="R399" s="2" t="inlineStr"/>
    </row>
    <row r="400" ht="15" customHeight="1">
      <c r="A400" t="inlineStr">
        <is>
          <t>A 9694-2023</t>
        </is>
      </c>
      <c r="B400" s="1" t="n">
        <v>44984.45895833334</v>
      </c>
      <c r="C400" s="1" t="n">
        <v>46004</v>
      </c>
      <c r="D400" t="inlineStr">
        <is>
          <t>KALMAR LÄN</t>
        </is>
      </c>
      <c r="E400" t="inlineStr">
        <is>
          <t>VIMMERBY</t>
        </is>
      </c>
      <c r="G400" t="n">
        <v>2.1</v>
      </c>
      <c r="H400" t="n">
        <v>0</v>
      </c>
      <c r="I400" t="n">
        <v>0</v>
      </c>
      <c r="J400" t="n">
        <v>0</v>
      </c>
      <c r="K400" t="n">
        <v>0</v>
      </c>
      <c r="L400" t="n">
        <v>0</v>
      </c>
      <c r="M400" t="n">
        <v>0</v>
      </c>
      <c r="N400" t="n">
        <v>0</v>
      </c>
      <c r="O400" t="n">
        <v>0</v>
      </c>
      <c r="P400" t="n">
        <v>0</v>
      </c>
      <c r="Q400" t="n">
        <v>0</v>
      </c>
      <c r="R400" s="2" t="inlineStr"/>
    </row>
    <row r="401" ht="15" customHeight="1">
      <c r="A401" t="inlineStr">
        <is>
          <t>A 9511-2023</t>
        </is>
      </c>
      <c r="B401" s="1" t="n">
        <v>44981.64725694444</v>
      </c>
      <c r="C401" s="1" t="n">
        <v>46004</v>
      </c>
      <c r="D401" t="inlineStr">
        <is>
          <t>KALMAR LÄN</t>
        </is>
      </c>
      <c r="E401" t="inlineStr">
        <is>
          <t>VIMMERBY</t>
        </is>
      </c>
      <c r="G401" t="n">
        <v>3.5</v>
      </c>
      <c r="H401" t="n">
        <v>0</v>
      </c>
      <c r="I401" t="n">
        <v>0</v>
      </c>
      <c r="J401" t="n">
        <v>0</v>
      </c>
      <c r="K401" t="n">
        <v>0</v>
      </c>
      <c r="L401" t="n">
        <v>0</v>
      </c>
      <c r="M401" t="n">
        <v>0</v>
      </c>
      <c r="N401" t="n">
        <v>0</v>
      </c>
      <c r="O401" t="n">
        <v>0</v>
      </c>
      <c r="P401" t="n">
        <v>0</v>
      </c>
      <c r="Q401" t="n">
        <v>0</v>
      </c>
      <c r="R401" s="2" t="inlineStr"/>
    </row>
    <row r="402" ht="15" customHeight="1">
      <c r="A402" t="inlineStr">
        <is>
          <t>A 13532-2025</t>
        </is>
      </c>
      <c r="B402" s="1" t="n">
        <v>45736.50743055555</v>
      </c>
      <c r="C402" s="1" t="n">
        <v>46004</v>
      </c>
      <c r="D402" t="inlineStr">
        <is>
          <t>KALMAR LÄN</t>
        </is>
      </c>
      <c r="E402" t="inlineStr">
        <is>
          <t>VIMMERBY</t>
        </is>
      </c>
      <c r="G402" t="n">
        <v>3.6</v>
      </c>
      <c r="H402" t="n">
        <v>0</v>
      </c>
      <c r="I402" t="n">
        <v>0</v>
      </c>
      <c r="J402" t="n">
        <v>0</v>
      </c>
      <c r="K402" t="n">
        <v>0</v>
      </c>
      <c r="L402" t="n">
        <v>0</v>
      </c>
      <c r="M402" t="n">
        <v>0</v>
      </c>
      <c r="N402" t="n">
        <v>0</v>
      </c>
      <c r="O402" t="n">
        <v>0</v>
      </c>
      <c r="P402" t="n">
        <v>0</v>
      </c>
      <c r="Q402" t="n">
        <v>0</v>
      </c>
      <c r="R402" s="2" t="inlineStr"/>
    </row>
    <row r="403" ht="15" customHeight="1">
      <c r="A403" t="inlineStr">
        <is>
          <t>A 22198-2024</t>
        </is>
      </c>
      <c r="B403" s="1" t="n">
        <v>45446.36865740741</v>
      </c>
      <c r="C403" s="1" t="n">
        <v>46004</v>
      </c>
      <c r="D403" t="inlineStr">
        <is>
          <t>KALMAR LÄN</t>
        </is>
      </c>
      <c r="E403" t="inlineStr">
        <is>
          <t>VIMMERBY</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38757-2023</t>
        </is>
      </c>
      <c r="B404" s="1" t="n">
        <v>45163.41376157408</v>
      </c>
      <c r="C404" s="1" t="n">
        <v>46004</v>
      </c>
      <c r="D404" t="inlineStr">
        <is>
          <t>KALMAR LÄN</t>
        </is>
      </c>
      <c r="E404" t="inlineStr">
        <is>
          <t>VIMMERBY</t>
        </is>
      </c>
      <c r="G404" t="n">
        <v>2.5</v>
      </c>
      <c r="H404" t="n">
        <v>0</v>
      </c>
      <c r="I404" t="n">
        <v>0</v>
      </c>
      <c r="J404" t="n">
        <v>0</v>
      </c>
      <c r="K404" t="n">
        <v>0</v>
      </c>
      <c r="L404" t="n">
        <v>0</v>
      </c>
      <c r="M404" t="n">
        <v>0</v>
      </c>
      <c r="N404" t="n">
        <v>0</v>
      </c>
      <c r="O404" t="n">
        <v>0</v>
      </c>
      <c r="P404" t="n">
        <v>0</v>
      </c>
      <c r="Q404" t="n">
        <v>0</v>
      </c>
      <c r="R404" s="2" t="inlineStr"/>
    </row>
    <row r="405" ht="15" customHeight="1">
      <c r="A405" t="inlineStr">
        <is>
          <t>A 43038-2022</t>
        </is>
      </c>
      <c r="B405" s="1" t="n">
        <v>44833.60123842592</v>
      </c>
      <c r="C405" s="1" t="n">
        <v>46004</v>
      </c>
      <c r="D405" t="inlineStr">
        <is>
          <t>KALMAR LÄN</t>
        </is>
      </c>
      <c r="E405" t="inlineStr">
        <is>
          <t>VIMMERBY</t>
        </is>
      </c>
      <c r="G405" t="n">
        <v>4.2</v>
      </c>
      <c r="H405" t="n">
        <v>0</v>
      </c>
      <c r="I405" t="n">
        <v>0</v>
      </c>
      <c r="J405" t="n">
        <v>0</v>
      </c>
      <c r="K405" t="n">
        <v>0</v>
      </c>
      <c r="L405" t="n">
        <v>0</v>
      </c>
      <c r="M405" t="n">
        <v>0</v>
      </c>
      <c r="N405" t="n">
        <v>0</v>
      </c>
      <c r="O405" t="n">
        <v>0</v>
      </c>
      <c r="P405" t="n">
        <v>0</v>
      </c>
      <c r="Q405" t="n">
        <v>0</v>
      </c>
      <c r="R405" s="2" t="inlineStr"/>
    </row>
    <row r="406" ht="15" customHeight="1">
      <c r="A406" t="inlineStr">
        <is>
          <t>A 57311-2023</t>
        </is>
      </c>
      <c r="B406" s="1" t="n">
        <v>45245.63574074074</v>
      </c>
      <c r="C406" s="1" t="n">
        <v>46004</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12588-2025</t>
        </is>
      </c>
      <c r="B407" s="1" t="n">
        <v>45732.76936342593</v>
      </c>
      <c r="C407" s="1" t="n">
        <v>46004</v>
      </c>
      <c r="D407" t="inlineStr">
        <is>
          <t>KALMAR LÄN</t>
        </is>
      </c>
      <c r="E407" t="inlineStr">
        <is>
          <t>VIMMERBY</t>
        </is>
      </c>
      <c r="G407" t="n">
        <v>1.6</v>
      </c>
      <c r="H407" t="n">
        <v>0</v>
      </c>
      <c r="I407" t="n">
        <v>0</v>
      </c>
      <c r="J407" t="n">
        <v>0</v>
      </c>
      <c r="K407" t="n">
        <v>0</v>
      </c>
      <c r="L407" t="n">
        <v>0</v>
      </c>
      <c r="M407" t="n">
        <v>0</v>
      </c>
      <c r="N407" t="n">
        <v>0</v>
      </c>
      <c r="O407" t="n">
        <v>0</v>
      </c>
      <c r="P407" t="n">
        <v>0</v>
      </c>
      <c r="Q407" t="n">
        <v>0</v>
      </c>
      <c r="R407" s="2" t="inlineStr"/>
    </row>
    <row r="408" ht="15" customHeight="1">
      <c r="A408" t="inlineStr">
        <is>
          <t>A 7932-2025</t>
        </is>
      </c>
      <c r="B408" s="1" t="n">
        <v>45707.3793287037</v>
      </c>
      <c r="C408" s="1" t="n">
        <v>46004</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29973-2023</t>
        </is>
      </c>
      <c r="B409" s="1" t="n">
        <v>45108.703125</v>
      </c>
      <c r="C409" s="1" t="n">
        <v>46004</v>
      </c>
      <c r="D409" t="inlineStr">
        <is>
          <t>KALMAR LÄN</t>
        </is>
      </c>
      <c r="E409" t="inlineStr">
        <is>
          <t>VIMMERBY</t>
        </is>
      </c>
      <c r="G409" t="n">
        <v>4</v>
      </c>
      <c r="H409" t="n">
        <v>0</v>
      </c>
      <c r="I409" t="n">
        <v>0</v>
      </c>
      <c r="J409" t="n">
        <v>0</v>
      </c>
      <c r="K409" t="n">
        <v>0</v>
      </c>
      <c r="L409" t="n">
        <v>0</v>
      </c>
      <c r="M409" t="n">
        <v>0</v>
      </c>
      <c r="N409" t="n">
        <v>0</v>
      </c>
      <c r="O409" t="n">
        <v>0</v>
      </c>
      <c r="P409" t="n">
        <v>0</v>
      </c>
      <c r="Q409" t="n">
        <v>0</v>
      </c>
      <c r="R409" s="2" t="inlineStr"/>
    </row>
    <row r="410" ht="15" customHeight="1">
      <c r="A410" t="inlineStr">
        <is>
          <t>A 64143-2021</t>
        </is>
      </c>
      <c r="B410" s="1" t="n">
        <v>44510.52157407408</v>
      </c>
      <c r="C410" s="1" t="n">
        <v>46004</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12596-2021</t>
        </is>
      </c>
      <c r="B411" s="1" t="n">
        <v>44270.39765046296</v>
      </c>
      <c r="C411" s="1" t="n">
        <v>46004</v>
      </c>
      <c r="D411" t="inlineStr">
        <is>
          <t>KALMAR LÄN</t>
        </is>
      </c>
      <c r="E411" t="inlineStr">
        <is>
          <t>VIMMERBY</t>
        </is>
      </c>
      <c r="F411" t="inlineStr">
        <is>
          <t>Sveaskog</t>
        </is>
      </c>
      <c r="G411" t="n">
        <v>3.1</v>
      </c>
      <c r="H411" t="n">
        <v>0</v>
      </c>
      <c r="I411" t="n">
        <v>0</v>
      </c>
      <c r="J411" t="n">
        <v>0</v>
      </c>
      <c r="K411" t="n">
        <v>0</v>
      </c>
      <c r="L411" t="n">
        <v>0</v>
      </c>
      <c r="M411" t="n">
        <v>0</v>
      </c>
      <c r="N411" t="n">
        <v>0</v>
      </c>
      <c r="O411" t="n">
        <v>0</v>
      </c>
      <c r="P411" t="n">
        <v>0</v>
      </c>
      <c r="Q411" t="n">
        <v>0</v>
      </c>
      <c r="R411" s="2" t="inlineStr"/>
    </row>
    <row r="412" ht="15" customHeight="1">
      <c r="A412" t="inlineStr">
        <is>
          <t>A 73938-2021</t>
        </is>
      </c>
      <c r="B412" s="1" t="n">
        <v>44553</v>
      </c>
      <c r="C412" s="1" t="n">
        <v>46004</v>
      </c>
      <c r="D412" t="inlineStr">
        <is>
          <t>KALMAR LÄN</t>
        </is>
      </c>
      <c r="E412" t="inlineStr">
        <is>
          <t>VIMMERBY</t>
        </is>
      </c>
      <c r="G412" t="n">
        <v>3.2</v>
      </c>
      <c r="H412" t="n">
        <v>0</v>
      </c>
      <c r="I412" t="n">
        <v>0</v>
      </c>
      <c r="J412" t="n">
        <v>0</v>
      </c>
      <c r="K412" t="n">
        <v>0</v>
      </c>
      <c r="L412" t="n">
        <v>0</v>
      </c>
      <c r="M412" t="n">
        <v>0</v>
      </c>
      <c r="N412" t="n">
        <v>0</v>
      </c>
      <c r="O412" t="n">
        <v>0</v>
      </c>
      <c r="P412" t="n">
        <v>0</v>
      </c>
      <c r="Q412" t="n">
        <v>0</v>
      </c>
      <c r="R412" s="2" t="inlineStr"/>
    </row>
    <row r="413" ht="15" customHeight="1">
      <c r="A413" t="inlineStr">
        <is>
          <t>A 57799-2022</t>
        </is>
      </c>
      <c r="B413" s="1" t="n">
        <v>44897</v>
      </c>
      <c r="C413" s="1" t="n">
        <v>46004</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30921-2024</t>
        </is>
      </c>
      <c r="B414" s="1" t="n">
        <v>45498</v>
      </c>
      <c r="C414" s="1" t="n">
        <v>46004</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41311-2023</t>
        </is>
      </c>
      <c r="B415" s="1" t="n">
        <v>45174</v>
      </c>
      <c r="C415" s="1" t="n">
        <v>46004</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40076-2021</t>
        </is>
      </c>
      <c r="B416" s="1" t="n">
        <v>44418</v>
      </c>
      <c r="C416" s="1" t="n">
        <v>46004</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50648-2023</t>
        </is>
      </c>
      <c r="B417" s="1" t="n">
        <v>45217.47834490741</v>
      </c>
      <c r="C417" s="1" t="n">
        <v>46004</v>
      </c>
      <c r="D417" t="inlineStr">
        <is>
          <t>KALMAR LÄN</t>
        </is>
      </c>
      <c r="E417" t="inlineStr">
        <is>
          <t>VIMMERBY</t>
        </is>
      </c>
      <c r="G417" t="n">
        <v>1.6</v>
      </c>
      <c r="H417" t="n">
        <v>0</v>
      </c>
      <c r="I417" t="n">
        <v>0</v>
      </c>
      <c r="J417" t="n">
        <v>0</v>
      </c>
      <c r="K417" t="n">
        <v>0</v>
      </c>
      <c r="L417" t="n">
        <v>0</v>
      </c>
      <c r="M417" t="n">
        <v>0</v>
      </c>
      <c r="N417" t="n">
        <v>0</v>
      </c>
      <c r="O417" t="n">
        <v>0</v>
      </c>
      <c r="P417" t="n">
        <v>0</v>
      </c>
      <c r="Q417" t="n">
        <v>0</v>
      </c>
      <c r="R417" s="2" t="inlineStr"/>
    </row>
    <row r="418" ht="15" customHeight="1">
      <c r="A418" t="inlineStr">
        <is>
          <t>A 529-2022</t>
        </is>
      </c>
      <c r="B418" s="1" t="n">
        <v>44566</v>
      </c>
      <c r="C418" s="1" t="n">
        <v>46004</v>
      </c>
      <c r="D418" t="inlineStr">
        <is>
          <t>KALMAR LÄN</t>
        </is>
      </c>
      <c r="E418" t="inlineStr">
        <is>
          <t>VIMMERBY</t>
        </is>
      </c>
      <c r="G418" t="n">
        <v>1.5</v>
      </c>
      <c r="H418" t="n">
        <v>0</v>
      </c>
      <c r="I418" t="n">
        <v>0</v>
      </c>
      <c r="J418" t="n">
        <v>0</v>
      </c>
      <c r="K418" t="n">
        <v>0</v>
      </c>
      <c r="L418" t="n">
        <v>0</v>
      </c>
      <c r="M418" t="n">
        <v>0</v>
      </c>
      <c r="N418" t="n">
        <v>0</v>
      </c>
      <c r="O418" t="n">
        <v>0</v>
      </c>
      <c r="P418" t="n">
        <v>0</v>
      </c>
      <c r="Q418" t="n">
        <v>0</v>
      </c>
      <c r="R418" s="2" t="inlineStr"/>
    </row>
    <row r="419" ht="15" customHeight="1">
      <c r="A419" t="inlineStr">
        <is>
          <t>A 58318-2021</t>
        </is>
      </c>
      <c r="B419" s="1" t="n">
        <v>44488.35878472222</v>
      </c>
      <c r="C419" s="1" t="n">
        <v>46004</v>
      </c>
      <c r="D419" t="inlineStr">
        <is>
          <t>KALMAR LÄN</t>
        </is>
      </c>
      <c r="E419" t="inlineStr">
        <is>
          <t>VIMMERBY</t>
        </is>
      </c>
      <c r="G419" t="n">
        <v>4</v>
      </c>
      <c r="H419" t="n">
        <v>0</v>
      </c>
      <c r="I419" t="n">
        <v>0</v>
      </c>
      <c r="J419" t="n">
        <v>0</v>
      </c>
      <c r="K419" t="n">
        <v>0</v>
      </c>
      <c r="L419" t="n">
        <v>0</v>
      </c>
      <c r="M419" t="n">
        <v>0</v>
      </c>
      <c r="N419" t="n">
        <v>0</v>
      </c>
      <c r="O419" t="n">
        <v>0</v>
      </c>
      <c r="P419" t="n">
        <v>0</v>
      </c>
      <c r="Q419" t="n">
        <v>0</v>
      </c>
      <c r="R419" s="2" t="inlineStr"/>
    </row>
    <row r="420" ht="15" customHeight="1">
      <c r="A420" t="inlineStr">
        <is>
          <t>A 89-2023</t>
        </is>
      </c>
      <c r="B420" s="1" t="n">
        <v>44918</v>
      </c>
      <c r="C420" s="1" t="n">
        <v>46004</v>
      </c>
      <c r="D420" t="inlineStr">
        <is>
          <t>KALMAR LÄN</t>
        </is>
      </c>
      <c r="E420" t="inlineStr">
        <is>
          <t>VIMMERBY</t>
        </is>
      </c>
      <c r="G420" t="n">
        <v>16.1</v>
      </c>
      <c r="H420" t="n">
        <v>0</v>
      </c>
      <c r="I420" t="n">
        <v>0</v>
      </c>
      <c r="J420" t="n">
        <v>0</v>
      </c>
      <c r="K420" t="n">
        <v>0</v>
      </c>
      <c r="L420" t="n">
        <v>0</v>
      </c>
      <c r="M420" t="n">
        <v>0</v>
      </c>
      <c r="N420" t="n">
        <v>0</v>
      </c>
      <c r="O420" t="n">
        <v>0</v>
      </c>
      <c r="P420" t="n">
        <v>0</v>
      </c>
      <c r="Q420" t="n">
        <v>0</v>
      </c>
      <c r="R420" s="2" t="inlineStr"/>
    </row>
    <row r="421" ht="15" customHeight="1">
      <c r="A421" t="inlineStr">
        <is>
          <t>A 23088-2024</t>
        </is>
      </c>
      <c r="B421" s="1" t="n">
        <v>45450.51092592593</v>
      </c>
      <c r="C421" s="1" t="n">
        <v>46004</v>
      </c>
      <c r="D421" t="inlineStr">
        <is>
          <t>KALMAR LÄN</t>
        </is>
      </c>
      <c r="E421" t="inlineStr">
        <is>
          <t>VIMMERBY</t>
        </is>
      </c>
      <c r="G421" t="n">
        <v>1.9</v>
      </c>
      <c r="H421" t="n">
        <v>0</v>
      </c>
      <c r="I421" t="n">
        <v>0</v>
      </c>
      <c r="J421" t="n">
        <v>0</v>
      </c>
      <c r="K421" t="n">
        <v>0</v>
      </c>
      <c r="L421" t="n">
        <v>0</v>
      </c>
      <c r="M421" t="n">
        <v>0</v>
      </c>
      <c r="N421" t="n">
        <v>0</v>
      </c>
      <c r="O421" t="n">
        <v>0</v>
      </c>
      <c r="P421" t="n">
        <v>0</v>
      </c>
      <c r="Q421" t="n">
        <v>0</v>
      </c>
      <c r="R421" s="2" t="inlineStr"/>
    </row>
    <row r="422" ht="15" customHeight="1">
      <c r="A422" t="inlineStr">
        <is>
          <t>A 26318-2023</t>
        </is>
      </c>
      <c r="B422" s="1" t="n">
        <v>45091.67936342592</v>
      </c>
      <c r="C422" s="1" t="n">
        <v>46004</v>
      </c>
      <c r="D422" t="inlineStr">
        <is>
          <t>KALMAR LÄN</t>
        </is>
      </c>
      <c r="E422" t="inlineStr">
        <is>
          <t>VIMMERBY</t>
        </is>
      </c>
      <c r="G422" t="n">
        <v>3.8</v>
      </c>
      <c r="H422" t="n">
        <v>0</v>
      </c>
      <c r="I422" t="n">
        <v>0</v>
      </c>
      <c r="J422" t="n">
        <v>0</v>
      </c>
      <c r="K422" t="n">
        <v>0</v>
      </c>
      <c r="L422" t="n">
        <v>0</v>
      </c>
      <c r="M422" t="n">
        <v>0</v>
      </c>
      <c r="N422" t="n">
        <v>0</v>
      </c>
      <c r="O422" t="n">
        <v>0</v>
      </c>
      <c r="P422" t="n">
        <v>0</v>
      </c>
      <c r="Q422" t="n">
        <v>0</v>
      </c>
      <c r="R422" s="2" t="inlineStr"/>
    </row>
    <row r="423" ht="15" customHeight="1">
      <c r="A423" t="inlineStr">
        <is>
          <t>A 2121-2022</t>
        </is>
      </c>
      <c r="B423" s="1" t="n">
        <v>44578.32717592592</v>
      </c>
      <c r="C423" s="1" t="n">
        <v>46004</v>
      </c>
      <c r="D423" t="inlineStr">
        <is>
          <t>KALMAR LÄN</t>
        </is>
      </c>
      <c r="E423" t="inlineStr">
        <is>
          <t>VIMMERBY</t>
        </is>
      </c>
      <c r="G423" t="n">
        <v>2</v>
      </c>
      <c r="H423" t="n">
        <v>0</v>
      </c>
      <c r="I423" t="n">
        <v>0</v>
      </c>
      <c r="J423" t="n">
        <v>0</v>
      </c>
      <c r="K423" t="n">
        <v>0</v>
      </c>
      <c r="L423" t="n">
        <v>0</v>
      </c>
      <c r="M423" t="n">
        <v>0</v>
      </c>
      <c r="N423" t="n">
        <v>0</v>
      </c>
      <c r="O423" t="n">
        <v>0</v>
      </c>
      <c r="P423" t="n">
        <v>0</v>
      </c>
      <c r="Q423" t="n">
        <v>0</v>
      </c>
      <c r="R423" s="2" t="inlineStr"/>
    </row>
    <row r="424" ht="15" customHeight="1">
      <c r="A424" t="inlineStr">
        <is>
          <t>A 34386-2024</t>
        </is>
      </c>
      <c r="B424" s="1" t="n">
        <v>45525.41762731481</v>
      </c>
      <c r="C424" s="1" t="n">
        <v>46004</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14137-2023</t>
        </is>
      </c>
      <c r="B425" s="1" t="n">
        <v>45009.4671875</v>
      </c>
      <c r="C425" s="1" t="n">
        <v>46004</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38851-2023</t>
        </is>
      </c>
      <c r="B426" s="1" t="n">
        <v>45163</v>
      </c>
      <c r="C426" s="1" t="n">
        <v>46004</v>
      </c>
      <c r="D426" t="inlineStr">
        <is>
          <t>KALMAR LÄN</t>
        </is>
      </c>
      <c r="E426" t="inlineStr">
        <is>
          <t>VIMMERBY</t>
        </is>
      </c>
      <c r="G426" t="n">
        <v>4.3</v>
      </c>
      <c r="H426" t="n">
        <v>0</v>
      </c>
      <c r="I426" t="n">
        <v>0</v>
      </c>
      <c r="J426" t="n">
        <v>0</v>
      </c>
      <c r="K426" t="n">
        <v>0</v>
      </c>
      <c r="L426" t="n">
        <v>0</v>
      </c>
      <c r="M426" t="n">
        <v>0</v>
      </c>
      <c r="N426" t="n">
        <v>0</v>
      </c>
      <c r="O426" t="n">
        <v>0</v>
      </c>
      <c r="P426" t="n">
        <v>0</v>
      </c>
      <c r="Q426" t="n">
        <v>0</v>
      </c>
      <c r="R426" s="2" t="inlineStr"/>
    </row>
    <row r="427" ht="15" customHeight="1">
      <c r="A427" t="inlineStr">
        <is>
          <t>A 10759-2023</t>
        </is>
      </c>
      <c r="B427" s="1" t="n">
        <v>44988</v>
      </c>
      <c r="C427" s="1" t="n">
        <v>46004</v>
      </c>
      <c r="D427" t="inlineStr">
        <is>
          <t>KALMAR LÄN</t>
        </is>
      </c>
      <c r="E427" t="inlineStr">
        <is>
          <t>VIMMERBY</t>
        </is>
      </c>
      <c r="G427" t="n">
        <v>0.4</v>
      </c>
      <c r="H427" t="n">
        <v>0</v>
      </c>
      <c r="I427" t="n">
        <v>0</v>
      </c>
      <c r="J427" t="n">
        <v>0</v>
      </c>
      <c r="K427" t="n">
        <v>0</v>
      </c>
      <c r="L427" t="n">
        <v>0</v>
      </c>
      <c r="M427" t="n">
        <v>0</v>
      </c>
      <c r="N427" t="n">
        <v>0</v>
      </c>
      <c r="O427" t="n">
        <v>0</v>
      </c>
      <c r="P427" t="n">
        <v>0</v>
      </c>
      <c r="Q427" t="n">
        <v>0</v>
      </c>
      <c r="R427" s="2" t="inlineStr"/>
    </row>
    <row r="428" ht="15" customHeight="1">
      <c r="A428" t="inlineStr">
        <is>
          <t>A 6069-2023</t>
        </is>
      </c>
      <c r="B428" s="1" t="n">
        <v>44964.5115162037</v>
      </c>
      <c r="C428" s="1" t="n">
        <v>46004</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63583-2023</t>
        </is>
      </c>
      <c r="B429" s="1" t="n">
        <v>45275.41833333333</v>
      </c>
      <c r="C429" s="1" t="n">
        <v>46004</v>
      </c>
      <c r="D429" t="inlineStr">
        <is>
          <t>KALMAR LÄN</t>
        </is>
      </c>
      <c r="E429" t="inlineStr">
        <is>
          <t>VIMMERBY</t>
        </is>
      </c>
      <c r="G429" t="n">
        <v>1.4</v>
      </c>
      <c r="H429" t="n">
        <v>0</v>
      </c>
      <c r="I429" t="n">
        <v>0</v>
      </c>
      <c r="J429" t="n">
        <v>0</v>
      </c>
      <c r="K429" t="n">
        <v>0</v>
      </c>
      <c r="L429" t="n">
        <v>0</v>
      </c>
      <c r="M429" t="n">
        <v>0</v>
      </c>
      <c r="N429" t="n">
        <v>0</v>
      </c>
      <c r="O429" t="n">
        <v>0</v>
      </c>
      <c r="P429" t="n">
        <v>0</v>
      </c>
      <c r="Q429" t="n">
        <v>0</v>
      </c>
      <c r="R429" s="2" t="inlineStr"/>
    </row>
    <row r="430" ht="15" customHeight="1">
      <c r="A430" t="inlineStr">
        <is>
          <t>A 40079-2023</t>
        </is>
      </c>
      <c r="B430" s="1" t="n">
        <v>45168.89298611111</v>
      </c>
      <c r="C430" s="1" t="n">
        <v>46004</v>
      </c>
      <c r="D430" t="inlineStr">
        <is>
          <t>KALMAR LÄN</t>
        </is>
      </c>
      <c r="E430" t="inlineStr">
        <is>
          <t>VIMMERBY</t>
        </is>
      </c>
      <c r="G430" t="n">
        <v>1.2</v>
      </c>
      <c r="H430" t="n">
        <v>0</v>
      </c>
      <c r="I430" t="n">
        <v>0</v>
      </c>
      <c r="J430" t="n">
        <v>0</v>
      </c>
      <c r="K430" t="n">
        <v>0</v>
      </c>
      <c r="L430" t="n">
        <v>0</v>
      </c>
      <c r="M430" t="n">
        <v>0</v>
      </c>
      <c r="N430" t="n">
        <v>0</v>
      </c>
      <c r="O430" t="n">
        <v>0</v>
      </c>
      <c r="P430" t="n">
        <v>0</v>
      </c>
      <c r="Q430" t="n">
        <v>0</v>
      </c>
      <c r="R430" s="2" t="inlineStr"/>
    </row>
    <row r="431" ht="15" customHeight="1">
      <c r="A431" t="inlineStr">
        <is>
          <t>A 43774-2023</t>
        </is>
      </c>
      <c r="B431" s="1" t="n">
        <v>45187</v>
      </c>
      <c r="C431" s="1" t="n">
        <v>46004</v>
      </c>
      <c r="D431" t="inlineStr">
        <is>
          <t>KALMAR LÄN</t>
        </is>
      </c>
      <c r="E431" t="inlineStr">
        <is>
          <t>VIMMERBY</t>
        </is>
      </c>
      <c r="G431" t="n">
        <v>3.4</v>
      </c>
      <c r="H431" t="n">
        <v>0</v>
      </c>
      <c r="I431" t="n">
        <v>0</v>
      </c>
      <c r="J431" t="n">
        <v>0</v>
      </c>
      <c r="K431" t="n">
        <v>0</v>
      </c>
      <c r="L431" t="n">
        <v>0</v>
      </c>
      <c r="M431" t="n">
        <v>0</v>
      </c>
      <c r="N431" t="n">
        <v>0</v>
      </c>
      <c r="O431" t="n">
        <v>0</v>
      </c>
      <c r="P431" t="n">
        <v>0</v>
      </c>
      <c r="Q431" t="n">
        <v>0</v>
      </c>
      <c r="R431" s="2" t="inlineStr"/>
    </row>
    <row r="432" ht="15" customHeight="1">
      <c r="A432" t="inlineStr">
        <is>
          <t>A 11152-2023</t>
        </is>
      </c>
      <c r="B432" s="1" t="n">
        <v>44992</v>
      </c>
      <c r="C432" s="1" t="n">
        <v>46004</v>
      </c>
      <c r="D432" t="inlineStr">
        <is>
          <t>KALMAR LÄN</t>
        </is>
      </c>
      <c r="E432" t="inlineStr">
        <is>
          <t>VIMMERBY</t>
        </is>
      </c>
      <c r="G432" t="n">
        <v>10.6</v>
      </c>
      <c r="H432" t="n">
        <v>0</v>
      </c>
      <c r="I432" t="n">
        <v>0</v>
      </c>
      <c r="J432" t="n">
        <v>0</v>
      </c>
      <c r="K432" t="n">
        <v>0</v>
      </c>
      <c r="L432" t="n">
        <v>0</v>
      </c>
      <c r="M432" t="n">
        <v>0</v>
      </c>
      <c r="N432" t="n">
        <v>0</v>
      </c>
      <c r="O432" t="n">
        <v>0</v>
      </c>
      <c r="P432" t="n">
        <v>0</v>
      </c>
      <c r="Q432" t="n">
        <v>0</v>
      </c>
      <c r="R432" s="2" t="inlineStr"/>
    </row>
    <row r="433" ht="15" customHeight="1">
      <c r="A433" t="inlineStr">
        <is>
          <t>A 29616-2022</t>
        </is>
      </c>
      <c r="B433" s="1" t="n">
        <v>44754</v>
      </c>
      <c r="C433" s="1" t="n">
        <v>46004</v>
      </c>
      <c r="D433" t="inlineStr">
        <is>
          <t>KALMAR LÄN</t>
        </is>
      </c>
      <c r="E433" t="inlineStr">
        <is>
          <t>VIMMERBY</t>
        </is>
      </c>
      <c r="G433" t="n">
        <v>1.1</v>
      </c>
      <c r="H433" t="n">
        <v>0</v>
      </c>
      <c r="I433" t="n">
        <v>0</v>
      </c>
      <c r="J433" t="n">
        <v>0</v>
      </c>
      <c r="K433" t="n">
        <v>0</v>
      </c>
      <c r="L433" t="n">
        <v>0</v>
      </c>
      <c r="M433" t="n">
        <v>0</v>
      </c>
      <c r="N433" t="n">
        <v>0</v>
      </c>
      <c r="O433" t="n">
        <v>0</v>
      </c>
      <c r="P433" t="n">
        <v>0</v>
      </c>
      <c r="Q433" t="n">
        <v>0</v>
      </c>
      <c r="R433" s="2" t="inlineStr"/>
    </row>
    <row r="434" ht="15" customHeight="1">
      <c r="A434" t="inlineStr">
        <is>
          <t>A 32633-2023</t>
        </is>
      </c>
      <c r="B434" s="1" t="n">
        <v>45121.58699074074</v>
      </c>
      <c r="C434" s="1" t="n">
        <v>46004</v>
      </c>
      <c r="D434" t="inlineStr">
        <is>
          <t>KALMAR LÄN</t>
        </is>
      </c>
      <c r="E434" t="inlineStr">
        <is>
          <t>VIMMERBY</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12499-2023</t>
        </is>
      </c>
      <c r="B435" s="1" t="n">
        <v>44999.86172453704</v>
      </c>
      <c r="C435" s="1" t="n">
        <v>46004</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12500-2023</t>
        </is>
      </c>
      <c r="B436" s="1" t="n">
        <v>44999.8625</v>
      </c>
      <c r="C436" s="1" t="n">
        <v>46004</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39578-2024</t>
        </is>
      </c>
      <c r="B437" s="1" t="n">
        <v>45552.36484953704</v>
      </c>
      <c r="C437" s="1" t="n">
        <v>46004</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35846-2023</t>
        </is>
      </c>
      <c r="B438" s="1" t="n">
        <v>45148</v>
      </c>
      <c r="C438" s="1" t="n">
        <v>46004</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24707-2024</t>
        </is>
      </c>
      <c r="B439" s="1" t="n">
        <v>45460.62172453704</v>
      </c>
      <c r="C439" s="1" t="n">
        <v>46004</v>
      </c>
      <c r="D439" t="inlineStr">
        <is>
          <t>KALMAR LÄN</t>
        </is>
      </c>
      <c r="E439" t="inlineStr">
        <is>
          <t>VIMMERBY</t>
        </is>
      </c>
      <c r="G439" t="n">
        <v>1.7</v>
      </c>
      <c r="H439" t="n">
        <v>0</v>
      </c>
      <c r="I439" t="n">
        <v>0</v>
      </c>
      <c r="J439" t="n">
        <v>0</v>
      </c>
      <c r="K439" t="n">
        <v>0</v>
      </c>
      <c r="L439" t="n">
        <v>0</v>
      </c>
      <c r="M439" t="n">
        <v>0</v>
      </c>
      <c r="N439" t="n">
        <v>0</v>
      </c>
      <c r="O439" t="n">
        <v>0</v>
      </c>
      <c r="P439" t="n">
        <v>0</v>
      </c>
      <c r="Q439" t="n">
        <v>0</v>
      </c>
      <c r="R439" s="2" t="inlineStr"/>
    </row>
    <row r="440" ht="15" customHeight="1">
      <c r="A440" t="inlineStr">
        <is>
          <t>A 49039-2021</t>
        </is>
      </c>
      <c r="B440" s="1" t="n">
        <v>44453.56578703703</v>
      </c>
      <c r="C440" s="1" t="n">
        <v>46004</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49461-2023</t>
        </is>
      </c>
      <c r="B441" s="1" t="n">
        <v>45211.52642361111</v>
      </c>
      <c r="C441" s="1" t="n">
        <v>46004</v>
      </c>
      <c r="D441" t="inlineStr">
        <is>
          <t>KALMAR LÄN</t>
        </is>
      </c>
      <c r="E441" t="inlineStr">
        <is>
          <t>VIMMERBY</t>
        </is>
      </c>
      <c r="G441" t="n">
        <v>1.5</v>
      </c>
      <c r="H441" t="n">
        <v>0</v>
      </c>
      <c r="I441" t="n">
        <v>0</v>
      </c>
      <c r="J441" t="n">
        <v>0</v>
      </c>
      <c r="K441" t="n">
        <v>0</v>
      </c>
      <c r="L441" t="n">
        <v>0</v>
      </c>
      <c r="M441" t="n">
        <v>0</v>
      </c>
      <c r="N441" t="n">
        <v>0</v>
      </c>
      <c r="O441" t="n">
        <v>0</v>
      </c>
      <c r="P441" t="n">
        <v>0</v>
      </c>
      <c r="Q441" t="n">
        <v>0</v>
      </c>
      <c r="R441" s="2" t="inlineStr"/>
    </row>
    <row r="442" ht="15" customHeight="1">
      <c r="A442" t="inlineStr">
        <is>
          <t>A 23095-2023</t>
        </is>
      </c>
      <c r="B442" s="1" t="n">
        <v>45075.43059027778</v>
      </c>
      <c r="C442" s="1" t="n">
        <v>46004</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61355-2024</t>
        </is>
      </c>
      <c r="B443" s="1" t="n">
        <v>45646.38200231481</v>
      </c>
      <c r="C443" s="1" t="n">
        <v>46004</v>
      </c>
      <c r="D443" t="inlineStr">
        <is>
          <t>KALMAR LÄN</t>
        </is>
      </c>
      <c r="E443" t="inlineStr">
        <is>
          <t>VIMMERBY</t>
        </is>
      </c>
      <c r="G443" t="n">
        <v>2.7</v>
      </c>
      <c r="H443" t="n">
        <v>0</v>
      </c>
      <c r="I443" t="n">
        <v>0</v>
      </c>
      <c r="J443" t="n">
        <v>0</v>
      </c>
      <c r="K443" t="n">
        <v>0</v>
      </c>
      <c r="L443" t="n">
        <v>0</v>
      </c>
      <c r="M443" t="n">
        <v>0</v>
      </c>
      <c r="N443" t="n">
        <v>0</v>
      </c>
      <c r="O443" t="n">
        <v>0</v>
      </c>
      <c r="P443" t="n">
        <v>0</v>
      </c>
      <c r="Q443" t="n">
        <v>0</v>
      </c>
      <c r="R443" s="2" t="inlineStr"/>
    </row>
    <row r="444" ht="15" customHeight="1">
      <c r="A444" t="inlineStr">
        <is>
          <t>A 11429-2022</t>
        </is>
      </c>
      <c r="B444" s="1" t="n">
        <v>44630</v>
      </c>
      <c r="C444" s="1" t="n">
        <v>46004</v>
      </c>
      <c r="D444" t="inlineStr">
        <is>
          <t>KALMAR LÄN</t>
        </is>
      </c>
      <c r="E444" t="inlineStr">
        <is>
          <t>VIMMERBY</t>
        </is>
      </c>
      <c r="G444" t="n">
        <v>2.6</v>
      </c>
      <c r="H444" t="n">
        <v>0</v>
      </c>
      <c r="I444" t="n">
        <v>0</v>
      </c>
      <c r="J444" t="n">
        <v>0</v>
      </c>
      <c r="K444" t="n">
        <v>0</v>
      </c>
      <c r="L444" t="n">
        <v>0</v>
      </c>
      <c r="M444" t="n">
        <v>0</v>
      </c>
      <c r="N444" t="n">
        <v>0</v>
      </c>
      <c r="O444" t="n">
        <v>0</v>
      </c>
      <c r="P444" t="n">
        <v>0</v>
      </c>
      <c r="Q444" t="n">
        <v>0</v>
      </c>
      <c r="R444" s="2" t="inlineStr"/>
    </row>
    <row r="445" ht="15" customHeight="1">
      <c r="A445" t="inlineStr">
        <is>
          <t>A 31056-2022</t>
        </is>
      </c>
      <c r="B445" s="1" t="n">
        <v>44769.45805555556</v>
      </c>
      <c r="C445" s="1" t="n">
        <v>46004</v>
      </c>
      <c r="D445" t="inlineStr">
        <is>
          <t>KALMAR LÄN</t>
        </is>
      </c>
      <c r="E445" t="inlineStr">
        <is>
          <t>VIMMERBY</t>
        </is>
      </c>
      <c r="G445" t="n">
        <v>2</v>
      </c>
      <c r="H445" t="n">
        <v>0</v>
      </c>
      <c r="I445" t="n">
        <v>0</v>
      </c>
      <c r="J445" t="n">
        <v>0</v>
      </c>
      <c r="K445" t="n">
        <v>0</v>
      </c>
      <c r="L445" t="n">
        <v>0</v>
      </c>
      <c r="M445" t="n">
        <v>0</v>
      </c>
      <c r="N445" t="n">
        <v>0</v>
      </c>
      <c r="O445" t="n">
        <v>0</v>
      </c>
      <c r="P445" t="n">
        <v>0</v>
      </c>
      <c r="Q445" t="n">
        <v>0</v>
      </c>
      <c r="R445" s="2" t="inlineStr"/>
    </row>
    <row r="446" ht="15" customHeight="1">
      <c r="A446" t="inlineStr">
        <is>
          <t>A 33383-2023</t>
        </is>
      </c>
      <c r="B446" s="1" t="n">
        <v>45128.58414351852</v>
      </c>
      <c r="C446" s="1" t="n">
        <v>46004</v>
      </c>
      <c r="D446" t="inlineStr">
        <is>
          <t>KALMAR LÄN</t>
        </is>
      </c>
      <c r="E446" t="inlineStr">
        <is>
          <t>VIMMERBY</t>
        </is>
      </c>
      <c r="G446" t="n">
        <v>2.3</v>
      </c>
      <c r="H446" t="n">
        <v>0</v>
      </c>
      <c r="I446" t="n">
        <v>0</v>
      </c>
      <c r="J446" t="n">
        <v>0</v>
      </c>
      <c r="K446" t="n">
        <v>0</v>
      </c>
      <c r="L446" t="n">
        <v>0</v>
      </c>
      <c r="M446" t="n">
        <v>0</v>
      </c>
      <c r="N446" t="n">
        <v>0</v>
      </c>
      <c r="O446" t="n">
        <v>0</v>
      </c>
      <c r="P446" t="n">
        <v>0</v>
      </c>
      <c r="Q446" t="n">
        <v>0</v>
      </c>
      <c r="R446" s="2" t="inlineStr"/>
    </row>
    <row r="447" ht="15" customHeight="1">
      <c r="A447" t="inlineStr">
        <is>
          <t>A 40828-2023</t>
        </is>
      </c>
      <c r="B447" s="1" t="n">
        <v>45171.96248842592</v>
      </c>
      <c r="C447" s="1" t="n">
        <v>46004</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11141-2024</t>
        </is>
      </c>
      <c r="B448" s="1" t="n">
        <v>45371.45865740741</v>
      </c>
      <c r="C448" s="1" t="n">
        <v>46004</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28395-2023</t>
        </is>
      </c>
      <c r="B449" s="1" t="n">
        <v>45100.4062962963</v>
      </c>
      <c r="C449" s="1" t="n">
        <v>46004</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46224-2024</t>
        </is>
      </c>
      <c r="B450" s="1" t="n">
        <v>45581.57016203704</v>
      </c>
      <c r="C450" s="1" t="n">
        <v>46004</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46238-2024</t>
        </is>
      </c>
      <c r="B451" s="1" t="n">
        <v>45581.58418981481</v>
      </c>
      <c r="C451" s="1" t="n">
        <v>46004</v>
      </c>
      <c r="D451" t="inlineStr">
        <is>
          <t>KALMAR LÄN</t>
        </is>
      </c>
      <c r="E451" t="inlineStr">
        <is>
          <t>VIMMERBY</t>
        </is>
      </c>
      <c r="G451" t="n">
        <v>2.1</v>
      </c>
      <c r="H451" t="n">
        <v>0</v>
      </c>
      <c r="I451" t="n">
        <v>0</v>
      </c>
      <c r="J451" t="n">
        <v>0</v>
      </c>
      <c r="K451" t="n">
        <v>0</v>
      </c>
      <c r="L451" t="n">
        <v>0</v>
      </c>
      <c r="M451" t="n">
        <v>0</v>
      </c>
      <c r="N451" t="n">
        <v>0</v>
      </c>
      <c r="O451" t="n">
        <v>0</v>
      </c>
      <c r="P451" t="n">
        <v>0</v>
      </c>
      <c r="Q451" t="n">
        <v>0</v>
      </c>
      <c r="R451" s="2" t="inlineStr"/>
    </row>
    <row r="452" ht="15" customHeight="1">
      <c r="A452" t="inlineStr">
        <is>
          <t>A 30633-2024</t>
        </is>
      </c>
      <c r="B452" s="1" t="n">
        <v>45495</v>
      </c>
      <c r="C452" s="1" t="n">
        <v>46004</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61861-2024</t>
        </is>
      </c>
      <c r="B453" s="1" t="n">
        <v>45650.37370370371</v>
      </c>
      <c r="C453" s="1" t="n">
        <v>46004</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36802-2021</t>
        </is>
      </c>
      <c r="B454" s="1" t="n">
        <v>44392</v>
      </c>
      <c r="C454" s="1" t="n">
        <v>46004</v>
      </c>
      <c r="D454" t="inlineStr">
        <is>
          <t>KALMAR LÄN</t>
        </is>
      </c>
      <c r="E454" t="inlineStr">
        <is>
          <t>VIMMERBY</t>
        </is>
      </c>
      <c r="F454" t="inlineStr">
        <is>
          <t>Sveaskog</t>
        </is>
      </c>
      <c r="G454" t="n">
        <v>4.6</v>
      </c>
      <c r="H454" t="n">
        <v>0</v>
      </c>
      <c r="I454" t="n">
        <v>0</v>
      </c>
      <c r="J454" t="n">
        <v>0</v>
      </c>
      <c r="K454" t="n">
        <v>0</v>
      </c>
      <c r="L454" t="n">
        <v>0</v>
      </c>
      <c r="M454" t="n">
        <v>0</v>
      </c>
      <c r="N454" t="n">
        <v>0</v>
      </c>
      <c r="O454" t="n">
        <v>0</v>
      </c>
      <c r="P454" t="n">
        <v>0</v>
      </c>
      <c r="Q454" t="n">
        <v>0</v>
      </c>
      <c r="R454" s="2" t="inlineStr"/>
    </row>
    <row r="455" ht="15" customHeight="1">
      <c r="A455" t="inlineStr">
        <is>
          <t>A 34597-2022</t>
        </is>
      </c>
      <c r="B455" s="1" t="n">
        <v>44795</v>
      </c>
      <c r="C455" s="1" t="n">
        <v>46004</v>
      </c>
      <c r="D455" t="inlineStr">
        <is>
          <t>KALMAR LÄN</t>
        </is>
      </c>
      <c r="E455" t="inlineStr">
        <is>
          <t>VIMMERBY</t>
        </is>
      </c>
      <c r="G455" t="n">
        <v>2.2</v>
      </c>
      <c r="H455" t="n">
        <v>0</v>
      </c>
      <c r="I455" t="n">
        <v>0</v>
      </c>
      <c r="J455" t="n">
        <v>0</v>
      </c>
      <c r="K455" t="n">
        <v>0</v>
      </c>
      <c r="L455" t="n">
        <v>0</v>
      </c>
      <c r="M455" t="n">
        <v>0</v>
      </c>
      <c r="N455" t="n">
        <v>0</v>
      </c>
      <c r="O455" t="n">
        <v>0</v>
      </c>
      <c r="P455" t="n">
        <v>0</v>
      </c>
      <c r="Q455" t="n">
        <v>0</v>
      </c>
      <c r="R455" s="2" t="inlineStr"/>
    </row>
    <row r="456" ht="15" customHeight="1">
      <c r="A456" t="inlineStr">
        <is>
          <t>A 54838-2024</t>
        </is>
      </c>
      <c r="B456" s="1" t="n">
        <v>45618.56787037037</v>
      </c>
      <c r="C456" s="1" t="n">
        <v>46004</v>
      </c>
      <c r="D456" t="inlineStr">
        <is>
          <t>KALMAR LÄN</t>
        </is>
      </c>
      <c r="E456" t="inlineStr">
        <is>
          <t>VIMMERBY</t>
        </is>
      </c>
      <c r="G456" t="n">
        <v>3.3</v>
      </c>
      <c r="H456" t="n">
        <v>0</v>
      </c>
      <c r="I456" t="n">
        <v>0</v>
      </c>
      <c r="J456" t="n">
        <v>0</v>
      </c>
      <c r="K456" t="n">
        <v>0</v>
      </c>
      <c r="L456" t="n">
        <v>0</v>
      </c>
      <c r="M456" t="n">
        <v>0</v>
      </c>
      <c r="N456" t="n">
        <v>0</v>
      </c>
      <c r="O456" t="n">
        <v>0</v>
      </c>
      <c r="P456" t="n">
        <v>0</v>
      </c>
      <c r="Q456" t="n">
        <v>0</v>
      </c>
      <c r="R456" s="2" t="inlineStr"/>
    </row>
    <row r="457" ht="15" customHeight="1">
      <c r="A457" t="inlineStr">
        <is>
          <t>A 6405-2025</t>
        </is>
      </c>
      <c r="B457" s="1" t="n">
        <v>45699.45392361111</v>
      </c>
      <c r="C457" s="1" t="n">
        <v>46004</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8650-2022</t>
        </is>
      </c>
      <c r="B458" s="1" t="n">
        <v>44613</v>
      </c>
      <c r="C458" s="1" t="n">
        <v>46004</v>
      </c>
      <c r="D458" t="inlineStr">
        <is>
          <t>KALMAR LÄN</t>
        </is>
      </c>
      <c r="E458" t="inlineStr">
        <is>
          <t>VIMMERBY</t>
        </is>
      </c>
      <c r="G458" t="n">
        <v>1.4</v>
      </c>
      <c r="H458" t="n">
        <v>0</v>
      </c>
      <c r="I458" t="n">
        <v>0</v>
      </c>
      <c r="J458" t="n">
        <v>0</v>
      </c>
      <c r="K458" t="n">
        <v>0</v>
      </c>
      <c r="L458" t="n">
        <v>0</v>
      </c>
      <c r="M458" t="n">
        <v>0</v>
      </c>
      <c r="N458" t="n">
        <v>0</v>
      </c>
      <c r="O458" t="n">
        <v>0</v>
      </c>
      <c r="P458" t="n">
        <v>0</v>
      </c>
      <c r="Q458" t="n">
        <v>0</v>
      </c>
      <c r="R458" s="2" t="inlineStr"/>
    </row>
    <row r="459" ht="15" customHeight="1">
      <c r="A459" t="inlineStr">
        <is>
          <t>A 33340-2023</t>
        </is>
      </c>
      <c r="B459" s="1" t="n">
        <v>45128.37305555555</v>
      </c>
      <c r="C459" s="1" t="n">
        <v>46004</v>
      </c>
      <c r="D459" t="inlineStr">
        <is>
          <t>KALMAR LÄN</t>
        </is>
      </c>
      <c r="E459" t="inlineStr">
        <is>
          <t>VIMMERBY</t>
        </is>
      </c>
      <c r="G459" t="n">
        <v>1.5</v>
      </c>
      <c r="H459" t="n">
        <v>0</v>
      </c>
      <c r="I459" t="n">
        <v>0</v>
      </c>
      <c r="J459" t="n">
        <v>0</v>
      </c>
      <c r="K459" t="n">
        <v>0</v>
      </c>
      <c r="L459" t="n">
        <v>0</v>
      </c>
      <c r="M459" t="n">
        <v>0</v>
      </c>
      <c r="N459" t="n">
        <v>0</v>
      </c>
      <c r="O459" t="n">
        <v>0</v>
      </c>
      <c r="P459" t="n">
        <v>0</v>
      </c>
      <c r="Q459" t="n">
        <v>0</v>
      </c>
      <c r="R459" s="2" t="inlineStr"/>
    </row>
    <row r="460" ht="15" customHeight="1">
      <c r="A460" t="inlineStr">
        <is>
          <t>A 44423-2023</t>
        </is>
      </c>
      <c r="B460" s="1" t="n">
        <v>45189</v>
      </c>
      <c r="C460" s="1" t="n">
        <v>46004</v>
      </c>
      <c r="D460" t="inlineStr">
        <is>
          <t>KALMAR LÄN</t>
        </is>
      </c>
      <c r="E460" t="inlineStr">
        <is>
          <t>VIMMERBY</t>
        </is>
      </c>
      <c r="G460" t="n">
        <v>0.7</v>
      </c>
      <c r="H460" t="n">
        <v>0</v>
      </c>
      <c r="I460" t="n">
        <v>0</v>
      </c>
      <c r="J460" t="n">
        <v>0</v>
      </c>
      <c r="K460" t="n">
        <v>0</v>
      </c>
      <c r="L460" t="n">
        <v>0</v>
      </c>
      <c r="M460" t="n">
        <v>0</v>
      </c>
      <c r="N460" t="n">
        <v>0</v>
      </c>
      <c r="O460" t="n">
        <v>0</v>
      </c>
      <c r="P460" t="n">
        <v>0</v>
      </c>
      <c r="Q460" t="n">
        <v>0</v>
      </c>
      <c r="R460" s="2" t="inlineStr"/>
    </row>
    <row r="461" ht="15" customHeight="1">
      <c r="A461" t="inlineStr">
        <is>
          <t>A 38198-2024</t>
        </is>
      </c>
      <c r="B461" s="1" t="n">
        <v>45545.49508101852</v>
      </c>
      <c r="C461" s="1" t="n">
        <v>46004</v>
      </c>
      <c r="D461" t="inlineStr">
        <is>
          <t>KALMAR LÄN</t>
        </is>
      </c>
      <c r="E461" t="inlineStr">
        <is>
          <t>VIMMERBY</t>
        </is>
      </c>
      <c r="G461" t="n">
        <v>7.9</v>
      </c>
      <c r="H461" t="n">
        <v>0</v>
      </c>
      <c r="I461" t="n">
        <v>0</v>
      </c>
      <c r="J461" t="n">
        <v>0</v>
      </c>
      <c r="K461" t="n">
        <v>0</v>
      </c>
      <c r="L461" t="n">
        <v>0</v>
      </c>
      <c r="M461" t="n">
        <v>0</v>
      </c>
      <c r="N461" t="n">
        <v>0</v>
      </c>
      <c r="O461" t="n">
        <v>0</v>
      </c>
      <c r="P461" t="n">
        <v>0</v>
      </c>
      <c r="Q461" t="n">
        <v>0</v>
      </c>
      <c r="R461" s="2" t="inlineStr"/>
    </row>
    <row r="462" ht="15" customHeight="1">
      <c r="A462" t="inlineStr">
        <is>
          <t>A 9623-2024</t>
        </is>
      </c>
      <c r="B462" s="1" t="n">
        <v>45361.87975694444</v>
      </c>
      <c r="C462" s="1" t="n">
        <v>46004</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37323-2024</t>
        </is>
      </c>
      <c r="B463" s="1" t="n">
        <v>45540.50098379629</v>
      </c>
      <c r="C463" s="1" t="n">
        <v>46004</v>
      </c>
      <c r="D463" t="inlineStr">
        <is>
          <t>KALMAR LÄN</t>
        </is>
      </c>
      <c r="E463" t="inlineStr">
        <is>
          <t>VIMMERBY</t>
        </is>
      </c>
      <c r="G463" t="n">
        <v>1.2</v>
      </c>
      <c r="H463" t="n">
        <v>0</v>
      </c>
      <c r="I463" t="n">
        <v>0</v>
      </c>
      <c r="J463" t="n">
        <v>0</v>
      </c>
      <c r="K463" t="n">
        <v>0</v>
      </c>
      <c r="L463" t="n">
        <v>0</v>
      </c>
      <c r="M463" t="n">
        <v>0</v>
      </c>
      <c r="N463" t="n">
        <v>0</v>
      </c>
      <c r="O463" t="n">
        <v>0</v>
      </c>
      <c r="P463" t="n">
        <v>0</v>
      </c>
      <c r="Q463" t="n">
        <v>0</v>
      </c>
      <c r="R463" s="2" t="inlineStr"/>
    </row>
    <row r="464" ht="15" customHeight="1">
      <c r="A464" t="inlineStr">
        <is>
          <t>A 58967-2022</t>
        </is>
      </c>
      <c r="B464" s="1" t="n">
        <v>44896</v>
      </c>
      <c r="C464" s="1" t="n">
        <v>46004</v>
      </c>
      <c r="D464" t="inlineStr">
        <is>
          <t>KALMAR LÄN</t>
        </is>
      </c>
      <c r="E464" t="inlineStr">
        <is>
          <t>VIMMERBY</t>
        </is>
      </c>
      <c r="G464" t="n">
        <v>5</v>
      </c>
      <c r="H464" t="n">
        <v>0</v>
      </c>
      <c r="I464" t="n">
        <v>0</v>
      </c>
      <c r="J464" t="n">
        <v>0</v>
      </c>
      <c r="K464" t="n">
        <v>0</v>
      </c>
      <c r="L464" t="n">
        <v>0</v>
      </c>
      <c r="M464" t="n">
        <v>0</v>
      </c>
      <c r="N464" t="n">
        <v>0</v>
      </c>
      <c r="O464" t="n">
        <v>0</v>
      </c>
      <c r="P464" t="n">
        <v>0</v>
      </c>
      <c r="Q464" t="n">
        <v>0</v>
      </c>
      <c r="R464" s="2" t="inlineStr"/>
    </row>
    <row r="465" ht="15" customHeight="1">
      <c r="A465" t="inlineStr">
        <is>
          <t>A 60437-2023</t>
        </is>
      </c>
      <c r="B465" s="1" t="n">
        <v>45259.51916666667</v>
      </c>
      <c r="C465" s="1" t="n">
        <v>46004</v>
      </c>
      <c r="D465" t="inlineStr">
        <is>
          <t>KALMAR LÄN</t>
        </is>
      </c>
      <c r="E465" t="inlineStr">
        <is>
          <t>VIMMERBY</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60438-2023</t>
        </is>
      </c>
      <c r="B466" s="1" t="n">
        <v>45259.52020833334</v>
      </c>
      <c r="C466" s="1" t="n">
        <v>46004</v>
      </c>
      <c r="D466" t="inlineStr">
        <is>
          <t>KALMAR LÄN</t>
        </is>
      </c>
      <c r="E466" t="inlineStr">
        <is>
          <t>VIMMERBY</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42165-2024</t>
        </is>
      </c>
      <c r="B467" s="1" t="n">
        <v>45562.46342592593</v>
      </c>
      <c r="C467" s="1" t="n">
        <v>46004</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6399-2025</t>
        </is>
      </c>
      <c r="B468" s="1" t="n">
        <v>45699.44291666667</v>
      </c>
      <c r="C468" s="1" t="n">
        <v>46004</v>
      </c>
      <c r="D468" t="inlineStr">
        <is>
          <t>KALMAR LÄN</t>
        </is>
      </c>
      <c r="E468" t="inlineStr">
        <is>
          <t>VIMMERBY</t>
        </is>
      </c>
      <c r="G468" t="n">
        <v>3.1</v>
      </c>
      <c r="H468" t="n">
        <v>0</v>
      </c>
      <c r="I468" t="n">
        <v>0</v>
      </c>
      <c r="J468" t="n">
        <v>0</v>
      </c>
      <c r="K468" t="n">
        <v>0</v>
      </c>
      <c r="L468" t="n">
        <v>0</v>
      </c>
      <c r="M468" t="n">
        <v>0</v>
      </c>
      <c r="N468" t="n">
        <v>0</v>
      </c>
      <c r="O468" t="n">
        <v>0</v>
      </c>
      <c r="P468" t="n">
        <v>0</v>
      </c>
      <c r="Q468" t="n">
        <v>0</v>
      </c>
      <c r="R468" s="2" t="inlineStr"/>
    </row>
    <row r="469" ht="15" customHeight="1">
      <c r="A469" t="inlineStr">
        <is>
          <t>A 64428-2023</t>
        </is>
      </c>
      <c r="B469" s="1" t="n">
        <v>45280.66769675926</v>
      </c>
      <c r="C469" s="1" t="n">
        <v>46004</v>
      </c>
      <c r="D469" t="inlineStr">
        <is>
          <t>KALMAR LÄN</t>
        </is>
      </c>
      <c r="E469" t="inlineStr">
        <is>
          <t>VIMMERBY</t>
        </is>
      </c>
      <c r="G469" t="n">
        <v>1.2</v>
      </c>
      <c r="H469" t="n">
        <v>0</v>
      </c>
      <c r="I469" t="n">
        <v>0</v>
      </c>
      <c r="J469" t="n">
        <v>0</v>
      </c>
      <c r="K469" t="n">
        <v>0</v>
      </c>
      <c r="L469" t="n">
        <v>0</v>
      </c>
      <c r="M469" t="n">
        <v>0</v>
      </c>
      <c r="N469" t="n">
        <v>0</v>
      </c>
      <c r="O469" t="n">
        <v>0</v>
      </c>
      <c r="P469" t="n">
        <v>0</v>
      </c>
      <c r="Q469" t="n">
        <v>0</v>
      </c>
      <c r="R469" s="2" t="inlineStr"/>
    </row>
    <row r="470" ht="15" customHeight="1">
      <c r="A470" t="inlineStr">
        <is>
          <t>A 31355-2023</t>
        </is>
      </c>
      <c r="B470" s="1" t="n">
        <v>45114.49505787037</v>
      </c>
      <c r="C470" s="1" t="n">
        <v>46004</v>
      </c>
      <c r="D470" t="inlineStr">
        <is>
          <t>KALMAR LÄN</t>
        </is>
      </c>
      <c r="E470" t="inlineStr">
        <is>
          <t>VIMMERBY</t>
        </is>
      </c>
      <c r="G470" t="n">
        <v>1.3</v>
      </c>
      <c r="H470" t="n">
        <v>0</v>
      </c>
      <c r="I470" t="n">
        <v>0</v>
      </c>
      <c r="J470" t="n">
        <v>0</v>
      </c>
      <c r="K470" t="n">
        <v>0</v>
      </c>
      <c r="L470" t="n">
        <v>0</v>
      </c>
      <c r="M470" t="n">
        <v>0</v>
      </c>
      <c r="N470" t="n">
        <v>0</v>
      </c>
      <c r="O470" t="n">
        <v>0</v>
      </c>
      <c r="P470" t="n">
        <v>0</v>
      </c>
      <c r="Q470" t="n">
        <v>0</v>
      </c>
      <c r="R470" s="2" t="inlineStr"/>
    </row>
    <row r="471" ht="15" customHeight="1">
      <c r="A471" t="inlineStr">
        <is>
          <t>A 30588-2023</t>
        </is>
      </c>
      <c r="B471" s="1" t="n">
        <v>45112.33599537037</v>
      </c>
      <c r="C471" s="1" t="n">
        <v>46004</v>
      </c>
      <c r="D471" t="inlineStr">
        <is>
          <t>KALMAR LÄN</t>
        </is>
      </c>
      <c r="E471" t="inlineStr">
        <is>
          <t>VIMMERBY</t>
        </is>
      </c>
      <c r="G471" t="n">
        <v>2.7</v>
      </c>
      <c r="H471" t="n">
        <v>0</v>
      </c>
      <c r="I471" t="n">
        <v>0</v>
      </c>
      <c r="J471" t="n">
        <v>0</v>
      </c>
      <c r="K471" t="n">
        <v>0</v>
      </c>
      <c r="L471" t="n">
        <v>0</v>
      </c>
      <c r="M471" t="n">
        <v>0</v>
      </c>
      <c r="N471" t="n">
        <v>0</v>
      </c>
      <c r="O471" t="n">
        <v>0</v>
      </c>
      <c r="P471" t="n">
        <v>0</v>
      </c>
      <c r="Q471" t="n">
        <v>0</v>
      </c>
      <c r="R471" s="2" t="inlineStr"/>
    </row>
    <row r="472" ht="15" customHeight="1">
      <c r="A472" t="inlineStr">
        <is>
          <t>A 30503-2023</t>
        </is>
      </c>
      <c r="B472" s="1" t="n">
        <v>45111</v>
      </c>
      <c r="C472" s="1" t="n">
        <v>46004</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30400-2023</t>
        </is>
      </c>
      <c r="B473" s="1" t="n">
        <v>45111.48225694444</v>
      </c>
      <c r="C473" s="1" t="n">
        <v>46004</v>
      </c>
      <c r="D473" t="inlineStr">
        <is>
          <t>KALMAR LÄN</t>
        </is>
      </c>
      <c r="E473" t="inlineStr">
        <is>
          <t>VIMMERBY</t>
        </is>
      </c>
      <c r="G473" t="n">
        <v>2.7</v>
      </c>
      <c r="H473" t="n">
        <v>0</v>
      </c>
      <c r="I473" t="n">
        <v>0</v>
      </c>
      <c r="J473" t="n">
        <v>0</v>
      </c>
      <c r="K473" t="n">
        <v>0</v>
      </c>
      <c r="L473" t="n">
        <v>0</v>
      </c>
      <c r="M473" t="n">
        <v>0</v>
      </c>
      <c r="N473" t="n">
        <v>0</v>
      </c>
      <c r="O473" t="n">
        <v>0</v>
      </c>
      <c r="P473" t="n">
        <v>0</v>
      </c>
      <c r="Q473" t="n">
        <v>0</v>
      </c>
      <c r="R473" s="2" t="inlineStr"/>
    </row>
    <row r="474" ht="15" customHeight="1">
      <c r="A474" t="inlineStr">
        <is>
          <t>A 30404-2023</t>
        </is>
      </c>
      <c r="B474" s="1" t="n">
        <v>45111.48636574074</v>
      </c>
      <c r="C474" s="1" t="n">
        <v>46004</v>
      </c>
      <c r="D474" t="inlineStr">
        <is>
          <t>KALMAR LÄN</t>
        </is>
      </c>
      <c r="E474" t="inlineStr">
        <is>
          <t>VIMMERBY</t>
        </is>
      </c>
      <c r="G474" t="n">
        <v>0.6</v>
      </c>
      <c r="H474" t="n">
        <v>0</v>
      </c>
      <c r="I474" t="n">
        <v>0</v>
      </c>
      <c r="J474" t="n">
        <v>0</v>
      </c>
      <c r="K474" t="n">
        <v>0</v>
      </c>
      <c r="L474" t="n">
        <v>0</v>
      </c>
      <c r="M474" t="n">
        <v>0</v>
      </c>
      <c r="N474" t="n">
        <v>0</v>
      </c>
      <c r="O474" t="n">
        <v>0</v>
      </c>
      <c r="P474" t="n">
        <v>0</v>
      </c>
      <c r="Q474" t="n">
        <v>0</v>
      </c>
      <c r="R474" s="2" t="inlineStr"/>
    </row>
    <row r="475" ht="15" customHeight="1">
      <c r="A475" t="inlineStr">
        <is>
          <t>A 27705-2023</t>
        </is>
      </c>
      <c r="B475" s="1" t="n">
        <v>45098.30535879629</v>
      </c>
      <c r="C475" s="1" t="n">
        <v>46004</v>
      </c>
      <c r="D475" t="inlineStr">
        <is>
          <t>KALMAR LÄN</t>
        </is>
      </c>
      <c r="E475" t="inlineStr">
        <is>
          <t>VIMMERBY</t>
        </is>
      </c>
      <c r="G475" t="n">
        <v>1</v>
      </c>
      <c r="H475" t="n">
        <v>0</v>
      </c>
      <c r="I475" t="n">
        <v>0</v>
      </c>
      <c r="J475" t="n">
        <v>0</v>
      </c>
      <c r="K475" t="n">
        <v>0</v>
      </c>
      <c r="L475" t="n">
        <v>0</v>
      </c>
      <c r="M475" t="n">
        <v>0</v>
      </c>
      <c r="N475" t="n">
        <v>0</v>
      </c>
      <c r="O475" t="n">
        <v>0</v>
      </c>
      <c r="P475" t="n">
        <v>0</v>
      </c>
      <c r="Q475" t="n">
        <v>0</v>
      </c>
      <c r="R475" s="2" t="inlineStr"/>
    </row>
    <row r="476" ht="15" customHeight="1">
      <c r="A476" t="inlineStr">
        <is>
          <t>A 25244-2023</t>
        </is>
      </c>
      <c r="B476" s="1" t="n">
        <v>45086</v>
      </c>
      <c r="C476" s="1" t="n">
        <v>46004</v>
      </c>
      <c r="D476" t="inlineStr">
        <is>
          <t>KALMAR LÄN</t>
        </is>
      </c>
      <c r="E476" t="inlineStr">
        <is>
          <t>VIMMERBY</t>
        </is>
      </c>
      <c r="G476" t="n">
        <v>4.7</v>
      </c>
      <c r="H476" t="n">
        <v>0</v>
      </c>
      <c r="I476" t="n">
        <v>0</v>
      </c>
      <c r="J476" t="n">
        <v>0</v>
      </c>
      <c r="K476" t="n">
        <v>0</v>
      </c>
      <c r="L476" t="n">
        <v>0</v>
      </c>
      <c r="M476" t="n">
        <v>0</v>
      </c>
      <c r="N476" t="n">
        <v>0</v>
      </c>
      <c r="O476" t="n">
        <v>0</v>
      </c>
      <c r="P476" t="n">
        <v>0</v>
      </c>
      <c r="Q476" t="n">
        <v>0</v>
      </c>
      <c r="R476" s="2" t="inlineStr"/>
    </row>
    <row r="477" ht="15" customHeight="1">
      <c r="A477" t="inlineStr">
        <is>
          <t>A 36843-2023</t>
        </is>
      </c>
      <c r="B477" s="1" t="n">
        <v>45154.49831018518</v>
      </c>
      <c r="C477" s="1" t="n">
        <v>46004</v>
      </c>
      <c r="D477" t="inlineStr">
        <is>
          <t>KALMAR LÄN</t>
        </is>
      </c>
      <c r="E477" t="inlineStr">
        <is>
          <t>VIMMERBY</t>
        </is>
      </c>
      <c r="G477" t="n">
        <v>2</v>
      </c>
      <c r="H477" t="n">
        <v>0</v>
      </c>
      <c r="I477" t="n">
        <v>0</v>
      </c>
      <c r="J477" t="n">
        <v>0</v>
      </c>
      <c r="K477" t="n">
        <v>0</v>
      </c>
      <c r="L477" t="n">
        <v>0</v>
      </c>
      <c r="M477" t="n">
        <v>0</v>
      </c>
      <c r="N477" t="n">
        <v>0</v>
      </c>
      <c r="O477" t="n">
        <v>0</v>
      </c>
      <c r="P477" t="n">
        <v>0</v>
      </c>
      <c r="Q477" t="n">
        <v>0</v>
      </c>
      <c r="R477" s="2" t="inlineStr"/>
    </row>
    <row r="478" ht="15" customHeight="1">
      <c r="A478" t="inlineStr">
        <is>
          <t>A 49313-2022</t>
        </is>
      </c>
      <c r="B478" s="1" t="n">
        <v>44861.52505787037</v>
      </c>
      <c r="C478" s="1" t="n">
        <v>46004</v>
      </c>
      <c r="D478" t="inlineStr">
        <is>
          <t>KALMAR LÄN</t>
        </is>
      </c>
      <c r="E478" t="inlineStr">
        <is>
          <t>VIMMERBY</t>
        </is>
      </c>
      <c r="G478" t="n">
        <v>1.9</v>
      </c>
      <c r="H478" t="n">
        <v>0</v>
      </c>
      <c r="I478" t="n">
        <v>0</v>
      </c>
      <c r="J478" t="n">
        <v>0</v>
      </c>
      <c r="K478" t="n">
        <v>0</v>
      </c>
      <c r="L478" t="n">
        <v>0</v>
      </c>
      <c r="M478" t="n">
        <v>0</v>
      </c>
      <c r="N478" t="n">
        <v>0</v>
      </c>
      <c r="O478" t="n">
        <v>0</v>
      </c>
      <c r="P478" t="n">
        <v>0</v>
      </c>
      <c r="Q478" t="n">
        <v>0</v>
      </c>
      <c r="R478" s="2" t="inlineStr"/>
    </row>
    <row r="479" ht="15" customHeight="1">
      <c r="A479" t="inlineStr">
        <is>
          <t>A 66022-2021</t>
        </is>
      </c>
      <c r="B479" s="1" t="n">
        <v>44517</v>
      </c>
      <c r="C479" s="1" t="n">
        <v>46004</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1987-2024</t>
        </is>
      </c>
      <c r="B480" s="1" t="n">
        <v>45308.61152777778</v>
      </c>
      <c r="C480" s="1" t="n">
        <v>46004</v>
      </c>
      <c r="D480" t="inlineStr">
        <is>
          <t>KALMAR LÄN</t>
        </is>
      </c>
      <c r="E480" t="inlineStr">
        <is>
          <t>VIMMERBY</t>
        </is>
      </c>
      <c r="G480" t="n">
        <v>3</v>
      </c>
      <c r="H480" t="n">
        <v>0</v>
      </c>
      <c r="I480" t="n">
        <v>0</v>
      </c>
      <c r="J480" t="n">
        <v>0</v>
      </c>
      <c r="K480" t="n">
        <v>0</v>
      </c>
      <c r="L480" t="n">
        <v>0</v>
      </c>
      <c r="M480" t="n">
        <v>0</v>
      </c>
      <c r="N480" t="n">
        <v>0</v>
      </c>
      <c r="O480" t="n">
        <v>0</v>
      </c>
      <c r="P480" t="n">
        <v>0</v>
      </c>
      <c r="Q480" t="n">
        <v>0</v>
      </c>
      <c r="R480" s="2" t="inlineStr"/>
    </row>
    <row r="481" ht="15" customHeight="1">
      <c r="A481" t="inlineStr">
        <is>
          <t>A 35895-2024</t>
        </is>
      </c>
      <c r="B481" s="1" t="n">
        <v>45533.38870370371</v>
      </c>
      <c r="C481" s="1" t="n">
        <v>46004</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10785-2025</t>
        </is>
      </c>
      <c r="B482" s="1" t="n">
        <v>45722.48634259259</v>
      </c>
      <c r="C482" s="1" t="n">
        <v>46004</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11073-2023</t>
        </is>
      </c>
      <c r="B483" s="1" t="n">
        <v>44992</v>
      </c>
      <c r="C483" s="1" t="n">
        <v>46004</v>
      </c>
      <c r="D483" t="inlineStr">
        <is>
          <t>KALMAR LÄN</t>
        </is>
      </c>
      <c r="E483" t="inlineStr">
        <is>
          <t>VIMMERBY</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18501-2024</t>
        </is>
      </c>
      <c r="B484" s="1" t="n">
        <v>45425.57538194444</v>
      </c>
      <c r="C484" s="1" t="n">
        <v>46004</v>
      </c>
      <c r="D484" t="inlineStr">
        <is>
          <t>KALMAR LÄN</t>
        </is>
      </c>
      <c r="E484" t="inlineStr">
        <is>
          <t>VIMMERBY</t>
        </is>
      </c>
      <c r="G484" t="n">
        <v>2</v>
      </c>
      <c r="H484" t="n">
        <v>0</v>
      </c>
      <c r="I484" t="n">
        <v>0</v>
      </c>
      <c r="J484" t="n">
        <v>0</v>
      </c>
      <c r="K484" t="n">
        <v>0</v>
      </c>
      <c r="L484" t="n">
        <v>0</v>
      </c>
      <c r="M484" t="n">
        <v>0</v>
      </c>
      <c r="N484" t="n">
        <v>0</v>
      </c>
      <c r="O484" t="n">
        <v>0</v>
      </c>
      <c r="P484" t="n">
        <v>0</v>
      </c>
      <c r="Q484" t="n">
        <v>0</v>
      </c>
      <c r="R484" s="2" t="inlineStr"/>
    </row>
    <row r="485" ht="15" customHeight="1">
      <c r="A485" t="inlineStr">
        <is>
          <t>A 29017-2024</t>
        </is>
      </c>
      <c r="B485" s="1" t="n">
        <v>45481.56722222222</v>
      </c>
      <c r="C485" s="1" t="n">
        <v>46004</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23263-2024</t>
        </is>
      </c>
      <c r="B486" s="1" t="n">
        <v>45453.36854166666</v>
      </c>
      <c r="C486" s="1" t="n">
        <v>46004</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11074-2023</t>
        </is>
      </c>
      <c r="B487" s="1" t="n">
        <v>44992.34151620371</v>
      </c>
      <c r="C487" s="1" t="n">
        <v>46004</v>
      </c>
      <c r="D487" t="inlineStr">
        <is>
          <t>KALMAR LÄN</t>
        </is>
      </c>
      <c r="E487" t="inlineStr">
        <is>
          <t>VIMMERBY</t>
        </is>
      </c>
      <c r="F487" t="inlineStr">
        <is>
          <t>Sveaskog</t>
        </is>
      </c>
      <c r="G487" t="n">
        <v>3.1</v>
      </c>
      <c r="H487" t="n">
        <v>0</v>
      </c>
      <c r="I487" t="n">
        <v>0</v>
      </c>
      <c r="J487" t="n">
        <v>0</v>
      </c>
      <c r="K487" t="n">
        <v>0</v>
      </c>
      <c r="L487" t="n">
        <v>0</v>
      </c>
      <c r="M487" t="n">
        <v>0</v>
      </c>
      <c r="N487" t="n">
        <v>0</v>
      </c>
      <c r="O487" t="n">
        <v>0</v>
      </c>
      <c r="P487" t="n">
        <v>0</v>
      </c>
      <c r="Q487" t="n">
        <v>0</v>
      </c>
      <c r="R487" s="2" t="inlineStr"/>
    </row>
    <row r="488" ht="15" customHeight="1">
      <c r="A488" t="inlineStr">
        <is>
          <t>A 61939-2021</t>
        </is>
      </c>
      <c r="B488" s="1" t="n">
        <v>44502</v>
      </c>
      <c r="C488" s="1" t="n">
        <v>46004</v>
      </c>
      <c r="D488" t="inlineStr">
        <is>
          <t>KALMAR LÄN</t>
        </is>
      </c>
      <c r="E488" t="inlineStr">
        <is>
          <t>VIMMERBY</t>
        </is>
      </c>
      <c r="G488" t="n">
        <v>2.7</v>
      </c>
      <c r="H488" t="n">
        <v>0</v>
      </c>
      <c r="I488" t="n">
        <v>0</v>
      </c>
      <c r="J488" t="n">
        <v>0</v>
      </c>
      <c r="K488" t="n">
        <v>0</v>
      </c>
      <c r="L488" t="n">
        <v>0</v>
      </c>
      <c r="M488" t="n">
        <v>0</v>
      </c>
      <c r="N488" t="n">
        <v>0</v>
      </c>
      <c r="O488" t="n">
        <v>0</v>
      </c>
      <c r="P488" t="n">
        <v>0</v>
      </c>
      <c r="Q488" t="n">
        <v>0</v>
      </c>
      <c r="R488" s="2" t="inlineStr"/>
    </row>
    <row r="489" ht="15" customHeight="1">
      <c r="A489" t="inlineStr">
        <is>
          <t>A 21507-2023</t>
        </is>
      </c>
      <c r="B489" s="1" t="n">
        <v>45063.508125</v>
      </c>
      <c r="C489" s="1" t="n">
        <v>46004</v>
      </c>
      <c r="D489" t="inlineStr">
        <is>
          <t>KALMAR LÄN</t>
        </is>
      </c>
      <c r="E489" t="inlineStr">
        <is>
          <t>VIMMERBY</t>
        </is>
      </c>
      <c r="G489" t="n">
        <v>2.8</v>
      </c>
      <c r="H489" t="n">
        <v>0</v>
      </c>
      <c r="I489" t="n">
        <v>0</v>
      </c>
      <c r="J489" t="n">
        <v>0</v>
      </c>
      <c r="K489" t="n">
        <v>0</v>
      </c>
      <c r="L489" t="n">
        <v>0</v>
      </c>
      <c r="M489" t="n">
        <v>0</v>
      </c>
      <c r="N489" t="n">
        <v>0</v>
      </c>
      <c r="O489" t="n">
        <v>0</v>
      </c>
      <c r="P489" t="n">
        <v>0</v>
      </c>
      <c r="Q489" t="n">
        <v>0</v>
      </c>
      <c r="R489" s="2" t="inlineStr"/>
    </row>
    <row r="490" ht="15" customHeight="1">
      <c r="A490" t="inlineStr">
        <is>
          <t>A 57189-2022</t>
        </is>
      </c>
      <c r="B490" s="1" t="n">
        <v>44895.62296296296</v>
      </c>
      <c r="C490" s="1" t="n">
        <v>46004</v>
      </c>
      <c r="D490" t="inlineStr">
        <is>
          <t>KALMAR LÄN</t>
        </is>
      </c>
      <c r="E490" t="inlineStr">
        <is>
          <t>VIMMERBY</t>
        </is>
      </c>
      <c r="G490" t="n">
        <v>0.8</v>
      </c>
      <c r="H490" t="n">
        <v>0</v>
      </c>
      <c r="I490" t="n">
        <v>0</v>
      </c>
      <c r="J490" t="n">
        <v>0</v>
      </c>
      <c r="K490" t="n">
        <v>0</v>
      </c>
      <c r="L490" t="n">
        <v>0</v>
      </c>
      <c r="M490" t="n">
        <v>0</v>
      </c>
      <c r="N490" t="n">
        <v>0</v>
      </c>
      <c r="O490" t="n">
        <v>0</v>
      </c>
      <c r="P490" t="n">
        <v>0</v>
      </c>
      <c r="Q490" t="n">
        <v>0</v>
      </c>
      <c r="R490" s="2" t="inlineStr"/>
    </row>
    <row r="491" ht="15" customHeight="1">
      <c r="A491" t="inlineStr">
        <is>
          <t>A 48673-2021</t>
        </is>
      </c>
      <c r="B491" s="1" t="n">
        <v>44452</v>
      </c>
      <c r="C491" s="1" t="n">
        <v>46004</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11111-2024</t>
        </is>
      </c>
      <c r="B492" s="1" t="n">
        <v>45371.36359953704</v>
      </c>
      <c r="C492" s="1" t="n">
        <v>46004</v>
      </c>
      <c r="D492" t="inlineStr">
        <is>
          <t>KALMAR LÄN</t>
        </is>
      </c>
      <c r="E492" t="inlineStr">
        <is>
          <t>VIMMERBY</t>
        </is>
      </c>
      <c r="G492" t="n">
        <v>1.4</v>
      </c>
      <c r="H492" t="n">
        <v>0</v>
      </c>
      <c r="I492" t="n">
        <v>0</v>
      </c>
      <c r="J492" t="n">
        <v>0</v>
      </c>
      <c r="K492" t="n">
        <v>0</v>
      </c>
      <c r="L492" t="n">
        <v>0</v>
      </c>
      <c r="M492" t="n">
        <v>0</v>
      </c>
      <c r="N492" t="n">
        <v>0</v>
      </c>
      <c r="O492" t="n">
        <v>0</v>
      </c>
      <c r="P492" t="n">
        <v>0</v>
      </c>
      <c r="Q492" t="n">
        <v>0</v>
      </c>
      <c r="R492" s="2" t="inlineStr"/>
    </row>
    <row r="493" ht="15" customHeight="1">
      <c r="A493" t="inlineStr">
        <is>
          <t>A 17-2025</t>
        </is>
      </c>
      <c r="B493" s="1" t="n">
        <v>45658.78774305555</v>
      </c>
      <c r="C493" s="1" t="n">
        <v>46004</v>
      </c>
      <c r="D493" t="inlineStr">
        <is>
          <t>KALMAR LÄN</t>
        </is>
      </c>
      <c r="E493" t="inlineStr">
        <is>
          <t>VIMMERBY</t>
        </is>
      </c>
      <c r="G493" t="n">
        <v>4.4</v>
      </c>
      <c r="H493" t="n">
        <v>0</v>
      </c>
      <c r="I493" t="n">
        <v>0</v>
      </c>
      <c r="J493" t="n">
        <v>0</v>
      </c>
      <c r="K493" t="n">
        <v>0</v>
      </c>
      <c r="L493" t="n">
        <v>0</v>
      </c>
      <c r="M493" t="n">
        <v>0</v>
      </c>
      <c r="N493" t="n">
        <v>0</v>
      </c>
      <c r="O493" t="n">
        <v>0</v>
      </c>
      <c r="P493" t="n">
        <v>0</v>
      </c>
      <c r="Q493" t="n">
        <v>0</v>
      </c>
      <c r="R493" s="2" t="inlineStr"/>
    </row>
    <row r="494" ht="15" customHeight="1">
      <c r="A494" t="inlineStr">
        <is>
          <t>A 14248-2023</t>
        </is>
      </c>
      <c r="B494" s="1" t="n">
        <v>45009</v>
      </c>
      <c r="C494" s="1" t="n">
        <v>46004</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12480-2024</t>
        </is>
      </c>
      <c r="B495" s="1" t="n">
        <v>45379</v>
      </c>
      <c r="C495" s="1" t="n">
        <v>46004</v>
      </c>
      <c r="D495" t="inlineStr">
        <is>
          <t>KALMAR LÄN</t>
        </is>
      </c>
      <c r="E495" t="inlineStr">
        <is>
          <t>VIMMERBY</t>
        </is>
      </c>
      <c r="G495" t="n">
        <v>2.8</v>
      </c>
      <c r="H495" t="n">
        <v>0</v>
      </c>
      <c r="I495" t="n">
        <v>0</v>
      </c>
      <c r="J495" t="n">
        <v>0</v>
      </c>
      <c r="K495" t="n">
        <v>0</v>
      </c>
      <c r="L495" t="n">
        <v>0</v>
      </c>
      <c r="M495" t="n">
        <v>0</v>
      </c>
      <c r="N495" t="n">
        <v>0</v>
      </c>
      <c r="O495" t="n">
        <v>0</v>
      </c>
      <c r="P495" t="n">
        <v>0</v>
      </c>
      <c r="Q495" t="n">
        <v>0</v>
      </c>
      <c r="R495" s="2" t="inlineStr"/>
    </row>
    <row r="496" ht="15" customHeight="1">
      <c r="A496" t="inlineStr">
        <is>
          <t>A 32655-2023</t>
        </is>
      </c>
      <c r="B496" s="1" t="n">
        <v>45121.61318287037</v>
      </c>
      <c r="C496" s="1" t="n">
        <v>46004</v>
      </c>
      <c r="D496" t="inlineStr">
        <is>
          <t>KALMAR LÄN</t>
        </is>
      </c>
      <c r="E496" t="inlineStr">
        <is>
          <t>VIMMERBY</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63541-2023</t>
        </is>
      </c>
      <c r="B497" s="1" t="n">
        <v>45275.32266203704</v>
      </c>
      <c r="C497" s="1" t="n">
        <v>46004</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1687-2023</t>
        </is>
      </c>
      <c r="B498" s="1" t="n">
        <v>44938</v>
      </c>
      <c r="C498" s="1" t="n">
        <v>46004</v>
      </c>
      <c r="D498" t="inlineStr">
        <is>
          <t>KALMAR LÄN</t>
        </is>
      </c>
      <c r="E498" t="inlineStr">
        <is>
          <t>VIMMERBY</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40095-2022</t>
        </is>
      </c>
      <c r="B499" s="1" t="n">
        <v>44820</v>
      </c>
      <c r="C499" s="1" t="n">
        <v>46004</v>
      </c>
      <c r="D499" t="inlineStr">
        <is>
          <t>KALMAR LÄN</t>
        </is>
      </c>
      <c r="E499" t="inlineStr">
        <is>
          <t>VIMMERBY</t>
        </is>
      </c>
      <c r="G499" t="n">
        <v>2.4</v>
      </c>
      <c r="H499" t="n">
        <v>0</v>
      </c>
      <c r="I499" t="n">
        <v>0</v>
      </c>
      <c r="J499" t="n">
        <v>0</v>
      </c>
      <c r="K499" t="n">
        <v>0</v>
      </c>
      <c r="L499" t="n">
        <v>0</v>
      </c>
      <c r="M499" t="n">
        <v>0</v>
      </c>
      <c r="N499" t="n">
        <v>0</v>
      </c>
      <c r="O499" t="n">
        <v>0</v>
      </c>
      <c r="P499" t="n">
        <v>0</v>
      </c>
      <c r="Q499" t="n">
        <v>0</v>
      </c>
      <c r="R499" s="2" t="inlineStr"/>
    </row>
    <row r="500" ht="15" customHeight="1">
      <c r="A500" t="inlineStr">
        <is>
          <t>A 28034-2022</t>
        </is>
      </c>
      <c r="B500" s="1" t="n">
        <v>44746.38834490741</v>
      </c>
      <c r="C500" s="1" t="n">
        <v>46004</v>
      </c>
      <c r="D500" t="inlineStr">
        <is>
          <t>KALMAR LÄN</t>
        </is>
      </c>
      <c r="E500" t="inlineStr">
        <is>
          <t>VIMMERBY</t>
        </is>
      </c>
      <c r="G500" t="n">
        <v>2</v>
      </c>
      <c r="H500" t="n">
        <v>0</v>
      </c>
      <c r="I500" t="n">
        <v>0</v>
      </c>
      <c r="J500" t="n">
        <v>0</v>
      </c>
      <c r="K500" t="n">
        <v>0</v>
      </c>
      <c r="L500" t="n">
        <v>0</v>
      </c>
      <c r="M500" t="n">
        <v>0</v>
      </c>
      <c r="N500" t="n">
        <v>0</v>
      </c>
      <c r="O500" t="n">
        <v>0</v>
      </c>
      <c r="P500" t="n">
        <v>0</v>
      </c>
      <c r="Q500" t="n">
        <v>0</v>
      </c>
      <c r="R500" s="2" t="inlineStr"/>
    </row>
    <row r="501" ht="15" customHeight="1">
      <c r="A501" t="inlineStr">
        <is>
          <t>A 12215-2024</t>
        </is>
      </c>
      <c r="B501" s="1" t="n">
        <v>45378.32185185186</v>
      </c>
      <c r="C501" s="1" t="n">
        <v>46004</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5938-2022</t>
        </is>
      </c>
      <c r="B502" s="1" t="n">
        <v>44598</v>
      </c>
      <c r="C502" s="1" t="n">
        <v>46004</v>
      </c>
      <c r="D502" t="inlineStr">
        <is>
          <t>KALMAR LÄN</t>
        </is>
      </c>
      <c r="E502" t="inlineStr">
        <is>
          <t>VIMMERBY</t>
        </is>
      </c>
      <c r="G502" t="n">
        <v>2.4</v>
      </c>
      <c r="H502" t="n">
        <v>0</v>
      </c>
      <c r="I502" t="n">
        <v>0</v>
      </c>
      <c r="J502" t="n">
        <v>0</v>
      </c>
      <c r="K502" t="n">
        <v>0</v>
      </c>
      <c r="L502" t="n">
        <v>0</v>
      </c>
      <c r="M502" t="n">
        <v>0</v>
      </c>
      <c r="N502" t="n">
        <v>0</v>
      </c>
      <c r="O502" t="n">
        <v>0</v>
      </c>
      <c r="P502" t="n">
        <v>0</v>
      </c>
      <c r="Q502" t="n">
        <v>0</v>
      </c>
      <c r="R502" s="2" t="inlineStr"/>
    </row>
    <row r="503" ht="15" customHeight="1">
      <c r="A503" t="inlineStr">
        <is>
          <t>A 50085-2023</t>
        </is>
      </c>
      <c r="B503" s="1" t="n">
        <v>45215.5959375</v>
      </c>
      <c r="C503" s="1" t="n">
        <v>46004</v>
      </c>
      <c r="D503" t="inlineStr">
        <is>
          <t>KALMAR LÄN</t>
        </is>
      </c>
      <c r="E503" t="inlineStr">
        <is>
          <t>VIMMERBY</t>
        </is>
      </c>
      <c r="G503" t="n">
        <v>1.1</v>
      </c>
      <c r="H503" t="n">
        <v>0</v>
      </c>
      <c r="I503" t="n">
        <v>0</v>
      </c>
      <c r="J503" t="n">
        <v>0</v>
      </c>
      <c r="K503" t="n">
        <v>0</v>
      </c>
      <c r="L503" t="n">
        <v>0</v>
      </c>
      <c r="M503" t="n">
        <v>0</v>
      </c>
      <c r="N503" t="n">
        <v>0</v>
      </c>
      <c r="O503" t="n">
        <v>0</v>
      </c>
      <c r="P503" t="n">
        <v>0</v>
      </c>
      <c r="Q503" t="n">
        <v>0</v>
      </c>
      <c r="R503" s="2" t="inlineStr"/>
    </row>
    <row r="504" ht="15" customHeight="1">
      <c r="A504" t="inlineStr">
        <is>
          <t>A 50087-2023</t>
        </is>
      </c>
      <c r="B504" s="1" t="n">
        <v>45215.59743055556</v>
      </c>
      <c r="C504" s="1" t="n">
        <v>46004</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8167-2024</t>
        </is>
      </c>
      <c r="B505" s="1" t="n">
        <v>45351.6062962963</v>
      </c>
      <c r="C505" s="1" t="n">
        <v>46004</v>
      </c>
      <c r="D505" t="inlineStr">
        <is>
          <t>KALMAR LÄN</t>
        </is>
      </c>
      <c r="E505" t="inlineStr">
        <is>
          <t>VIMMERBY</t>
        </is>
      </c>
      <c r="G505" t="n">
        <v>3.8</v>
      </c>
      <c r="H505" t="n">
        <v>0</v>
      </c>
      <c r="I505" t="n">
        <v>0</v>
      </c>
      <c r="J505" t="n">
        <v>0</v>
      </c>
      <c r="K505" t="n">
        <v>0</v>
      </c>
      <c r="L505" t="n">
        <v>0</v>
      </c>
      <c r="M505" t="n">
        <v>0</v>
      </c>
      <c r="N505" t="n">
        <v>0</v>
      </c>
      <c r="O505" t="n">
        <v>0</v>
      </c>
      <c r="P505" t="n">
        <v>0</v>
      </c>
      <c r="Q505" t="n">
        <v>0</v>
      </c>
      <c r="R505" s="2" t="inlineStr"/>
    </row>
    <row r="506" ht="15" customHeight="1">
      <c r="A506" t="inlineStr">
        <is>
          <t>A 3494-2023</t>
        </is>
      </c>
      <c r="B506" s="1" t="n">
        <v>44949</v>
      </c>
      <c r="C506" s="1" t="n">
        <v>46004</v>
      </c>
      <c r="D506" t="inlineStr">
        <is>
          <t>KALMAR LÄN</t>
        </is>
      </c>
      <c r="E506" t="inlineStr">
        <is>
          <t>VIMMERBY</t>
        </is>
      </c>
      <c r="F506" t="inlineStr">
        <is>
          <t>Kyrkan</t>
        </is>
      </c>
      <c r="G506" t="n">
        <v>0.8</v>
      </c>
      <c r="H506" t="n">
        <v>0</v>
      </c>
      <c r="I506" t="n">
        <v>0</v>
      </c>
      <c r="J506" t="n">
        <v>0</v>
      </c>
      <c r="K506" t="n">
        <v>0</v>
      </c>
      <c r="L506" t="n">
        <v>0</v>
      </c>
      <c r="M506" t="n">
        <v>0</v>
      </c>
      <c r="N506" t="n">
        <v>0</v>
      </c>
      <c r="O506" t="n">
        <v>0</v>
      </c>
      <c r="P506" t="n">
        <v>0</v>
      </c>
      <c r="Q506" t="n">
        <v>0</v>
      </c>
      <c r="R506" s="2" t="inlineStr"/>
    </row>
    <row r="507" ht="15" customHeight="1">
      <c r="A507" t="inlineStr">
        <is>
          <t>A 24283-2023</t>
        </is>
      </c>
      <c r="B507" s="1" t="n">
        <v>45079.87827546296</v>
      </c>
      <c r="C507" s="1" t="n">
        <v>46004</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15449-2023</t>
        </is>
      </c>
      <c r="B508" s="1" t="n">
        <v>45020</v>
      </c>
      <c r="C508" s="1" t="n">
        <v>46004</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2462-2022</t>
        </is>
      </c>
      <c r="B509" s="1" t="n">
        <v>44579.62225694444</v>
      </c>
      <c r="C509" s="1" t="n">
        <v>46004</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43242-2024</t>
        </is>
      </c>
      <c r="B510" s="1" t="n">
        <v>45568.30189814815</v>
      </c>
      <c r="C510" s="1" t="n">
        <v>46004</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60228-2021</t>
        </is>
      </c>
      <c r="B511" s="1" t="n">
        <v>44495</v>
      </c>
      <c r="C511" s="1" t="n">
        <v>46004</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2604-2025</t>
        </is>
      </c>
      <c r="B512" s="1" t="n">
        <v>45674.74094907408</v>
      </c>
      <c r="C512" s="1" t="n">
        <v>46004</v>
      </c>
      <c r="D512" t="inlineStr">
        <is>
          <t>KALMAR LÄN</t>
        </is>
      </c>
      <c r="E512" t="inlineStr">
        <is>
          <t>VIMMERBY</t>
        </is>
      </c>
      <c r="G512" t="n">
        <v>7.6</v>
      </c>
      <c r="H512" t="n">
        <v>0</v>
      </c>
      <c r="I512" t="n">
        <v>0</v>
      </c>
      <c r="J512" t="n">
        <v>0</v>
      </c>
      <c r="K512" t="n">
        <v>0</v>
      </c>
      <c r="L512" t="n">
        <v>0</v>
      </c>
      <c r="M512" t="n">
        <v>0</v>
      </c>
      <c r="N512" t="n">
        <v>0</v>
      </c>
      <c r="O512" t="n">
        <v>0</v>
      </c>
      <c r="P512" t="n">
        <v>0</v>
      </c>
      <c r="Q512" t="n">
        <v>0</v>
      </c>
      <c r="R512" s="2" t="inlineStr"/>
    </row>
    <row r="513" ht="15" customHeight="1">
      <c r="A513" t="inlineStr">
        <is>
          <t>A 25979-2023</t>
        </is>
      </c>
      <c r="B513" s="1" t="n">
        <v>45090.89653935185</v>
      </c>
      <c r="C513" s="1" t="n">
        <v>46004</v>
      </c>
      <c r="D513" t="inlineStr">
        <is>
          <t>KALMAR LÄN</t>
        </is>
      </c>
      <c r="E513" t="inlineStr">
        <is>
          <t>VIMMERBY</t>
        </is>
      </c>
      <c r="G513" t="n">
        <v>2</v>
      </c>
      <c r="H513" t="n">
        <v>0</v>
      </c>
      <c r="I513" t="n">
        <v>0</v>
      </c>
      <c r="J513" t="n">
        <v>0</v>
      </c>
      <c r="K513" t="n">
        <v>0</v>
      </c>
      <c r="L513" t="n">
        <v>0</v>
      </c>
      <c r="M513" t="n">
        <v>0</v>
      </c>
      <c r="N513" t="n">
        <v>0</v>
      </c>
      <c r="O513" t="n">
        <v>0</v>
      </c>
      <c r="P513" t="n">
        <v>0</v>
      </c>
      <c r="Q513" t="n">
        <v>0</v>
      </c>
      <c r="R513" s="2" t="inlineStr"/>
    </row>
    <row r="514" ht="15" customHeight="1">
      <c r="A514" t="inlineStr">
        <is>
          <t>A 25980-2023</t>
        </is>
      </c>
      <c r="B514" s="1" t="n">
        <v>45090.89880787037</v>
      </c>
      <c r="C514" s="1" t="n">
        <v>46004</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12510-2022</t>
        </is>
      </c>
      <c r="B515" s="1" t="n">
        <v>44638.55256944444</v>
      </c>
      <c r="C515" s="1" t="n">
        <v>46004</v>
      </c>
      <c r="D515" t="inlineStr">
        <is>
          <t>KALMAR LÄN</t>
        </is>
      </c>
      <c r="E515" t="inlineStr">
        <is>
          <t>VIMMERBY</t>
        </is>
      </c>
      <c r="G515" t="n">
        <v>2.4</v>
      </c>
      <c r="H515" t="n">
        <v>0</v>
      </c>
      <c r="I515" t="n">
        <v>0</v>
      </c>
      <c r="J515" t="n">
        <v>0</v>
      </c>
      <c r="K515" t="n">
        <v>0</v>
      </c>
      <c r="L515" t="n">
        <v>0</v>
      </c>
      <c r="M515" t="n">
        <v>0</v>
      </c>
      <c r="N515" t="n">
        <v>0</v>
      </c>
      <c r="O515" t="n">
        <v>0</v>
      </c>
      <c r="P515" t="n">
        <v>0</v>
      </c>
      <c r="Q515" t="n">
        <v>0</v>
      </c>
      <c r="R515" s="2" t="inlineStr"/>
    </row>
    <row r="516" ht="15" customHeight="1">
      <c r="A516" t="inlineStr">
        <is>
          <t>A 6358-2022</t>
        </is>
      </c>
      <c r="B516" s="1" t="n">
        <v>44600</v>
      </c>
      <c r="C516" s="1" t="n">
        <v>46004</v>
      </c>
      <c r="D516" t="inlineStr">
        <is>
          <t>KALMAR LÄN</t>
        </is>
      </c>
      <c r="E516" t="inlineStr">
        <is>
          <t>VIMMERBY</t>
        </is>
      </c>
      <c r="G516" t="n">
        <v>1.7</v>
      </c>
      <c r="H516" t="n">
        <v>0</v>
      </c>
      <c r="I516" t="n">
        <v>0</v>
      </c>
      <c r="J516" t="n">
        <v>0</v>
      </c>
      <c r="K516" t="n">
        <v>0</v>
      </c>
      <c r="L516" t="n">
        <v>0</v>
      </c>
      <c r="M516" t="n">
        <v>0</v>
      </c>
      <c r="N516" t="n">
        <v>0</v>
      </c>
      <c r="O516" t="n">
        <v>0</v>
      </c>
      <c r="P516" t="n">
        <v>0</v>
      </c>
      <c r="Q516" t="n">
        <v>0</v>
      </c>
      <c r="R516" s="2" t="inlineStr"/>
    </row>
    <row r="517" ht="15" customHeight="1">
      <c r="A517" t="inlineStr">
        <is>
          <t>A 11303-2025</t>
        </is>
      </c>
      <c r="B517" s="1" t="n">
        <v>45726.44471064815</v>
      </c>
      <c r="C517" s="1" t="n">
        <v>46004</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37192-2024</t>
        </is>
      </c>
      <c r="B518" s="1" t="n">
        <v>45539.66027777778</v>
      </c>
      <c r="C518" s="1" t="n">
        <v>46004</v>
      </c>
      <c r="D518" t="inlineStr">
        <is>
          <t>KALMAR LÄN</t>
        </is>
      </c>
      <c r="E518" t="inlineStr">
        <is>
          <t>VIMMERBY</t>
        </is>
      </c>
      <c r="G518" t="n">
        <v>1</v>
      </c>
      <c r="H518" t="n">
        <v>0</v>
      </c>
      <c r="I518" t="n">
        <v>0</v>
      </c>
      <c r="J518" t="n">
        <v>0</v>
      </c>
      <c r="K518" t="n">
        <v>0</v>
      </c>
      <c r="L518" t="n">
        <v>0</v>
      </c>
      <c r="M518" t="n">
        <v>0</v>
      </c>
      <c r="N518" t="n">
        <v>0</v>
      </c>
      <c r="O518" t="n">
        <v>0</v>
      </c>
      <c r="P518" t="n">
        <v>0</v>
      </c>
      <c r="Q518" t="n">
        <v>0</v>
      </c>
      <c r="R518" s="2" t="inlineStr"/>
    </row>
    <row r="519" ht="15" customHeight="1">
      <c r="A519" t="inlineStr">
        <is>
          <t>A 56853-2022</t>
        </is>
      </c>
      <c r="B519" s="1" t="n">
        <v>44894.49538194444</v>
      </c>
      <c r="C519" s="1" t="n">
        <v>46004</v>
      </c>
      <c r="D519" t="inlineStr">
        <is>
          <t>KALMAR LÄN</t>
        </is>
      </c>
      <c r="E519" t="inlineStr">
        <is>
          <t>VIMMERBY</t>
        </is>
      </c>
      <c r="G519" t="n">
        <v>4.3</v>
      </c>
      <c r="H519" t="n">
        <v>0</v>
      </c>
      <c r="I519" t="n">
        <v>0</v>
      </c>
      <c r="J519" t="n">
        <v>0</v>
      </c>
      <c r="K519" t="n">
        <v>0</v>
      </c>
      <c r="L519" t="n">
        <v>0</v>
      </c>
      <c r="M519" t="n">
        <v>0</v>
      </c>
      <c r="N519" t="n">
        <v>0</v>
      </c>
      <c r="O519" t="n">
        <v>0</v>
      </c>
      <c r="P519" t="n">
        <v>0</v>
      </c>
      <c r="Q519" t="n">
        <v>0</v>
      </c>
      <c r="R519" s="2" t="inlineStr"/>
    </row>
    <row r="520" ht="15" customHeight="1">
      <c r="A520" t="inlineStr">
        <is>
          <t>A 42429-2024</t>
        </is>
      </c>
      <c r="B520" s="1" t="n">
        <v>45565.40657407408</v>
      </c>
      <c r="C520" s="1" t="n">
        <v>46004</v>
      </c>
      <c r="D520" t="inlineStr">
        <is>
          <t>KALMAR LÄN</t>
        </is>
      </c>
      <c r="E520" t="inlineStr">
        <is>
          <t>VIMMERBY</t>
        </is>
      </c>
      <c r="G520" t="n">
        <v>1</v>
      </c>
      <c r="H520" t="n">
        <v>0</v>
      </c>
      <c r="I520" t="n">
        <v>0</v>
      </c>
      <c r="J520" t="n">
        <v>0</v>
      </c>
      <c r="K520" t="n">
        <v>0</v>
      </c>
      <c r="L520" t="n">
        <v>0</v>
      </c>
      <c r="M520" t="n">
        <v>0</v>
      </c>
      <c r="N520" t="n">
        <v>0</v>
      </c>
      <c r="O520" t="n">
        <v>0</v>
      </c>
      <c r="P520" t="n">
        <v>0</v>
      </c>
      <c r="Q520" t="n">
        <v>0</v>
      </c>
      <c r="R520" s="2" t="inlineStr"/>
    </row>
    <row r="521" ht="15" customHeight="1">
      <c r="A521" t="inlineStr">
        <is>
          <t>A 29180-2024</t>
        </is>
      </c>
      <c r="B521" s="1" t="n">
        <v>45482.54108796296</v>
      </c>
      <c r="C521" s="1" t="n">
        <v>46004</v>
      </c>
      <c r="D521" t="inlineStr">
        <is>
          <t>KALMAR LÄN</t>
        </is>
      </c>
      <c r="E521" t="inlineStr">
        <is>
          <t>VIMMERBY</t>
        </is>
      </c>
      <c r="G521" t="n">
        <v>3.8</v>
      </c>
      <c r="H521" t="n">
        <v>0</v>
      </c>
      <c r="I521" t="n">
        <v>0</v>
      </c>
      <c r="J521" t="n">
        <v>0</v>
      </c>
      <c r="K521" t="n">
        <v>0</v>
      </c>
      <c r="L521" t="n">
        <v>0</v>
      </c>
      <c r="M521" t="n">
        <v>0</v>
      </c>
      <c r="N521" t="n">
        <v>0</v>
      </c>
      <c r="O521" t="n">
        <v>0</v>
      </c>
      <c r="P521" t="n">
        <v>0</v>
      </c>
      <c r="Q521" t="n">
        <v>0</v>
      </c>
      <c r="R521" s="2" t="inlineStr"/>
    </row>
    <row r="522" ht="15" customHeight="1">
      <c r="A522" t="inlineStr">
        <is>
          <t>A 48373-2021</t>
        </is>
      </c>
      <c r="B522" s="1" t="n">
        <v>44451</v>
      </c>
      <c r="C522" s="1" t="n">
        <v>46004</v>
      </c>
      <c r="D522" t="inlineStr">
        <is>
          <t>KALMAR LÄN</t>
        </is>
      </c>
      <c r="E522" t="inlineStr">
        <is>
          <t>VIMMERBY</t>
        </is>
      </c>
      <c r="G522" t="n">
        <v>2.2</v>
      </c>
      <c r="H522" t="n">
        <v>0</v>
      </c>
      <c r="I522" t="n">
        <v>0</v>
      </c>
      <c r="J522" t="n">
        <v>0</v>
      </c>
      <c r="K522" t="n">
        <v>0</v>
      </c>
      <c r="L522" t="n">
        <v>0</v>
      </c>
      <c r="M522" t="n">
        <v>0</v>
      </c>
      <c r="N522" t="n">
        <v>0</v>
      </c>
      <c r="O522" t="n">
        <v>0</v>
      </c>
      <c r="P522" t="n">
        <v>0</v>
      </c>
      <c r="Q522" t="n">
        <v>0</v>
      </c>
      <c r="R522" s="2" t="inlineStr"/>
    </row>
    <row r="523" ht="15" customHeight="1">
      <c r="A523" t="inlineStr">
        <is>
          <t>A 45846-2023</t>
        </is>
      </c>
      <c r="B523" s="1" t="n">
        <v>45195.58452546296</v>
      </c>
      <c r="C523" s="1" t="n">
        <v>46004</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12033-2024</t>
        </is>
      </c>
      <c r="B524" s="1" t="n">
        <v>45377.40043981482</v>
      </c>
      <c r="C524" s="1" t="n">
        <v>46004</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33815-2022</t>
        </is>
      </c>
      <c r="B525" s="1" t="n">
        <v>44790.45876157407</v>
      </c>
      <c r="C525" s="1" t="n">
        <v>46004</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33842-2022</t>
        </is>
      </c>
      <c r="B526" s="1" t="n">
        <v>44790.49523148148</v>
      </c>
      <c r="C526" s="1" t="n">
        <v>46004</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16020-2023</t>
        </is>
      </c>
      <c r="B527" s="1" t="n">
        <v>45026.82216435186</v>
      </c>
      <c r="C527" s="1" t="n">
        <v>46004</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51408-2023</t>
        </is>
      </c>
      <c r="B528" s="1" t="n">
        <v>45219.69356481481</v>
      </c>
      <c r="C528" s="1" t="n">
        <v>46004</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61820-2023</t>
        </is>
      </c>
      <c r="B529" s="1" t="n">
        <v>45266.32614583334</v>
      </c>
      <c r="C529" s="1" t="n">
        <v>46004</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57256-2023</t>
        </is>
      </c>
      <c r="B530" s="1" t="n">
        <v>45245.5735300926</v>
      </c>
      <c r="C530" s="1" t="n">
        <v>46004</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17482-2024</t>
        </is>
      </c>
      <c r="B531" s="1" t="n">
        <v>45415.47848379629</v>
      </c>
      <c r="C531" s="1" t="n">
        <v>46004</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49408-2023</t>
        </is>
      </c>
      <c r="B532" s="1" t="n">
        <v>45211.43555555555</v>
      </c>
      <c r="C532" s="1" t="n">
        <v>46004</v>
      </c>
      <c r="D532" t="inlineStr">
        <is>
          <t>KALMAR LÄN</t>
        </is>
      </c>
      <c r="E532" t="inlineStr">
        <is>
          <t>VIMMERBY</t>
        </is>
      </c>
      <c r="G532" t="n">
        <v>13.1</v>
      </c>
      <c r="H532" t="n">
        <v>0</v>
      </c>
      <c r="I532" t="n">
        <v>0</v>
      </c>
      <c r="J532" t="n">
        <v>0</v>
      </c>
      <c r="K532" t="n">
        <v>0</v>
      </c>
      <c r="L532" t="n">
        <v>0</v>
      </c>
      <c r="M532" t="n">
        <v>0</v>
      </c>
      <c r="N532" t="n">
        <v>0</v>
      </c>
      <c r="O532" t="n">
        <v>0</v>
      </c>
      <c r="P532" t="n">
        <v>0</v>
      </c>
      <c r="Q532" t="n">
        <v>0</v>
      </c>
      <c r="R532" s="2" t="inlineStr"/>
    </row>
    <row r="533" ht="15" customHeight="1">
      <c r="A533" t="inlineStr">
        <is>
          <t>A 56536-2022</t>
        </is>
      </c>
      <c r="B533" s="1" t="n">
        <v>44893</v>
      </c>
      <c r="C533" s="1" t="n">
        <v>46004</v>
      </c>
      <c r="D533" t="inlineStr">
        <is>
          <t>KALMAR LÄN</t>
        </is>
      </c>
      <c r="E533" t="inlineStr">
        <is>
          <t>VIMMERBY</t>
        </is>
      </c>
      <c r="G533" t="n">
        <v>3.2</v>
      </c>
      <c r="H533" t="n">
        <v>0</v>
      </c>
      <c r="I533" t="n">
        <v>0</v>
      </c>
      <c r="J533" t="n">
        <v>0</v>
      </c>
      <c r="K533" t="n">
        <v>0</v>
      </c>
      <c r="L533" t="n">
        <v>0</v>
      </c>
      <c r="M533" t="n">
        <v>0</v>
      </c>
      <c r="N533" t="n">
        <v>0</v>
      </c>
      <c r="O533" t="n">
        <v>0</v>
      </c>
      <c r="P533" t="n">
        <v>0</v>
      </c>
      <c r="Q533" t="n">
        <v>0</v>
      </c>
      <c r="R533" s="2" t="inlineStr"/>
    </row>
    <row r="534" ht="15" customHeight="1">
      <c r="A534" t="inlineStr">
        <is>
          <t>A 41199-2023</t>
        </is>
      </c>
      <c r="B534" s="1" t="n">
        <v>45174.40454861111</v>
      </c>
      <c r="C534" s="1" t="n">
        <v>46004</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55123-2024</t>
        </is>
      </c>
      <c r="B535" s="1" t="n">
        <v>45621.46103009259</v>
      </c>
      <c r="C535" s="1" t="n">
        <v>46004</v>
      </c>
      <c r="D535" t="inlineStr">
        <is>
          <t>KALMAR LÄN</t>
        </is>
      </c>
      <c r="E535" t="inlineStr">
        <is>
          <t>VIMMERBY</t>
        </is>
      </c>
      <c r="G535" t="n">
        <v>3.1</v>
      </c>
      <c r="H535" t="n">
        <v>0</v>
      </c>
      <c r="I535" t="n">
        <v>0</v>
      </c>
      <c r="J535" t="n">
        <v>0</v>
      </c>
      <c r="K535" t="n">
        <v>0</v>
      </c>
      <c r="L535" t="n">
        <v>0</v>
      </c>
      <c r="M535" t="n">
        <v>0</v>
      </c>
      <c r="N535" t="n">
        <v>0</v>
      </c>
      <c r="O535" t="n">
        <v>0</v>
      </c>
      <c r="P535" t="n">
        <v>0</v>
      </c>
      <c r="Q535" t="n">
        <v>0</v>
      </c>
      <c r="R535" s="2" t="inlineStr"/>
    </row>
    <row r="536" ht="15" customHeight="1">
      <c r="A536" t="inlineStr">
        <is>
          <t>A 45560-2021</t>
        </is>
      </c>
      <c r="B536" s="1" t="n">
        <v>44440</v>
      </c>
      <c r="C536" s="1" t="n">
        <v>46004</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49488-2023</t>
        </is>
      </c>
      <c r="B537" s="1" t="n">
        <v>45211.55472222222</v>
      </c>
      <c r="C537" s="1" t="n">
        <v>46004</v>
      </c>
      <c r="D537" t="inlineStr">
        <is>
          <t>KALMAR LÄN</t>
        </is>
      </c>
      <c r="E537" t="inlineStr">
        <is>
          <t>VIMMERBY</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8945-2025</t>
        </is>
      </c>
      <c r="B538" s="1" t="n">
        <v>45713.45311342592</v>
      </c>
      <c r="C538" s="1" t="n">
        <v>46004</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40256-2024</t>
        </is>
      </c>
      <c r="B539" s="1" t="n">
        <v>45554.62944444444</v>
      </c>
      <c r="C539" s="1" t="n">
        <v>46004</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58104-2024</t>
        </is>
      </c>
      <c r="B540" s="1" t="n">
        <v>45632.37459490741</v>
      </c>
      <c r="C540" s="1" t="n">
        <v>46004</v>
      </c>
      <c r="D540" t="inlineStr">
        <is>
          <t>KALMAR LÄN</t>
        </is>
      </c>
      <c r="E540" t="inlineStr">
        <is>
          <t>VIMMERBY</t>
        </is>
      </c>
      <c r="G540" t="n">
        <v>5</v>
      </c>
      <c r="H540" t="n">
        <v>0</v>
      </c>
      <c r="I540" t="n">
        <v>0</v>
      </c>
      <c r="J540" t="n">
        <v>0</v>
      </c>
      <c r="K540" t="n">
        <v>0</v>
      </c>
      <c r="L540" t="n">
        <v>0</v>
      </c>
      <c r="M540" t="n">
        <v>0</v>
      </c>
      <c r="N540" t="n">
        <v>0</v>
      </c>
      <c r="O540" t="n">
        <v>0</v>
      </c>
      <c r="P540" t="n">
        <v>0</v>
      </c>
      <c r="Q540" t="n">
        <v>0</v>
      </c>
      <c r="R540" s="2" t="inlineStr"/>
    </row>
    <row r="541" ht="15" customHeight="1">
      <c r="A541" t="inlineStr">
        <is>
          <t>A 36259-2022</t>
        </is>
      </c>
      <c r="B541" s="1" t="n">
        <v>44803.59118055556</v>
      </c>
      <c r="C541" s="1" t="n">
        <v>46004</v>
      </c>
      <c r="D541" t="inlineStr">
        <is>
          <t>KALMAR LÄN</t>
        </is>
      </c>
      <c r="E541" t="inlineStr">
        <is>
          <t>VIMMERBY</t>
        </is>
      </c>
      <c r="G541" t="n">
        <v>3.9</v>
      </c>
      <c r="H541" t="n">
        <v>0</v>
      </c>
      <c r="I541" t="n">
        <v>0</v>
      </c>
      <c r="J541" t="n">
        <v>0</v>
      </c>
      <c r="K541" t="n">
        <v>0</v>
      </c>
      <c r="L541" t="n">
        <v>0</v>
      </c>
      <c r="M541" t="n">
        <v>0</v>
      </c>
      <c r="N541" t="n">
        <v>0</v>
      </c>
      <c r="O541" t="n">
        <v>0</v>
      </c>
      <c r="P541" t="n">
        <v>0</v>
      </c>
      <c r="Q541" t="n">
        <v>0</v>
      </c>
      <c r="R541" s="2" t="inlineStr"/>
    </row>
    <row r="542" ht="15" customHeight="1">
      <c r="A542" t="inlineStr">
        <is>
          <t>A 11619-2023</t>
        </is>
      </c>
      <c r="B542" s="1" t="n">
        <v>44994.42113425926</v>
      </c>
      <c r="C542" s="1" t="n">
        <v>46004</v>
      </c>
      <c r="D542" t="inlineStr">
        <is>
          <t>KALMAR LÄN</t>
        </is>
      </c>
      <c r="E542" t="inlineStr">
        <is>
          <t>VIMMERBY</t>
        </is>
      </c>
      <c r="G542" t="n">
        <v>2.5</v>
      </c>
      <c r="H542" t="n">
        <v>0</v>
      </c>
      <c r="I542" t="n">
        <v>0</v>
      </c>
      <c r="J542" t="n">
        <v>0</v>
      </c>
      <c r="K542" t="n">
        <v>0</v>
      </c>
      <c r="L542" t="n">
        <v>0</v>
      </c>
      <c r="M542" t="n">
        <v>0</v>
      </c>
      <c r="N542" t="n">
        <v>0</v>
      </c>
      <c r="O542" t="n">
        <v>0</v>
      </c>
      <c r="P542" t="n">
        <v>0</v>
      </c>
      <c r="Q542" t="n">
        <v>0</v>
      </c>
      <c r="R542" s="2" t="inlineStr"/>
    </row>
    <row r="543" ht="15" customHeight="1">
      <c r="A543" t="inlineStr">
        <is>
          <t>A 43034-2024</t>
        </is>
      </c>
      <c r="B543" s="1" t="n">
        <v>45567.42011574074</v>
      </c>
      <c r="C543" s="1" t="n">
        <v>46004</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41896-2023</t>
        </is>
      </c>
      <c r="B544" s="1" t="n">
        <v>45176.72427083334</v>
      </c>
      <c r="C544" s="1" t="n">
        <v>46004</v>
      </c>
      <c r="D544" t="inlineStr">
        <is>
          <t>KALMAR LÄN</t>
        </is>
      </c>
      <c r="E544" t="inlineStr">
        <is>
          <t>VIMMERBY</t>
        </is>
      </c>
      <c r="G544" t="n">
        <v>1.3</v>
      </c>
      <c r="H544" t="n">
        <v>0</v>
      </c>
      <c r="I544" t="n">
        <v>0</v>
      </c>
      <c r="J544" t="n">
        <v>0</v>
      </c>
      <c r="K544" t="n">
        <v>0</v>
      </c>
      <c r="L544" t="n">
        <v>0</v>
      </c>
      <c r="M544" t="n">
        <v>0</v>
      </c>
      <c r="N544" t="n">
        <v>0</v>
      </c>
      <c r="O544" t="n">
        <v>0</v>
      </c>
      <c r="P544" t="n">
        <v>0</v>
      </c>
      <c r="Q544" t="n">
        <v>0</v>
      </c>
      <c r="R544" s="2" t="inlineStr"/>
    </row>
    <row r="545" ht="15" customHeight="1">
      <c r="A545" t="inlineStr">
        <is>
          <t>A 3902-2022</t>
        </is>
      </c>
      <c r="B545" s="1" t="n">
        <v>44587.48847222222</v>
      </c>
      <c r="C545" s="1" t="n">
        <v>46004</v>
      </c>
      <c r="D545" t="inlineStr">
        <is>
          <t>KALMAR LÄN</t>
        </is>
      </c>
      <c r="E545" t="inlineStr">
        <is>
          <t>VIMMERBY</t>
        </is>
      </c>
      <c r="G545" t="n">
        <v>2.6</v>
      </c>
      <c r="H545" t="n">
        <v>0</v>
      </c>
      <c r="I545" t="n">
        <v>0</v>
      </c>
      <c r="J545" t="n">
        <v>0</v>
      </c>
      <c r="K545" t="n">
        <v>0</v>
      </c>
      <c r="L545" t="n">
        <v>0</v>
      </c>
      <c r="M545" t="n">
        <v>0</v>
      </c>
      <c r="N545" t="n">
        <v>0</v>
      </c>
      <c r="O545" t="n">
        <v>0</v>
      </c>
      <c r="P545" t="n">
        <v>0</v>
      </c>
      <c r="Q545" t="n">
        <v>0</v>
      </c>
      <c r="R545" s="2" t="inlineStr"/>
    </row>
    <row r="546" ht="15" customHeight="1">
      <c r="A546" t="inlineStr">
        <is>
          <t>A 8410-2023</t>
        </is>
      </c>
      <c r="B546" s="1" t="n">
        <v>44977</v>
      </c>
      <c r="C546" s="1" t="n">
        <v>46004</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30070-2023</t>
        </is>
      </c>
      <c r="B547" s="1" t="n">
        <v>45110.4275</v>
      </c>
      <c r="C547" s="1" t="n">
        <v>46004</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30920-2024</t>
        </is>
      </c>
      <c r="B548" s="1" t="n">
        <v>45498.673125</v>
      </c>
      <c r="C548" s="1" t="n">
        <v>46004</v>
      </c>
      <c r="D548" t="inlineStr">
        <is>
          <t>KALMAR LÄN</t>
        </is>
      </c>
      <c r="E548" t="inlineStr">
        <is>
          <t>VIMMERBY</t>
        </is>
      </c>
      <c r="G548" t="n">
        <v>1.3</v>
      </c>
      <c r="H548" t="n">
        <v>0</v>
      </c>
      <c r="I548" t="n">
        <v>0</v>
      </c>
      <c r="J548" t="n">
        <v>0</v>
      </c>
      <c r="K548" t="n">
        <v>0</v>
      </c>
      <c r="L548" t="n">
        <v>0</v>
      </c>
      <c r="M548" t="n">
        <v>0</v>
      </c>
      <c r="N548" t="n">
        <v>0</v>
      </c>
      <c r="O548" t="n">
        <v>0</v>
      </c>
      <c r="P548" t="n">
        <v>0</v>
      </c>
      <c r="Q548" t="n">
        <v>0</v>
      </c>
      <c r="R548" s="2" t="inlineStr"/>
    </row>
    <row r="549" ht="15" customHeight="1">
      <c r="A549" t="inlineStr">
        <is>
          <t>A 17926-2025</t>
        </is>
      </c>
      <c r="B549" s="1" t="n">
        <v>45759.38987268518</v>
      </c>
      <c r="C549" s="1" t="n">
        <v>46004</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31209-2024</t>
        </is>
      </c>
      <c r="B550" s="1" t="n">
        <v>45503.5658912037</v>
      </c>
      <c r="C550" s="1" t="n">
        <v>46004</v>
      </c>
      <c r="D550" t="inlineStr">
        <is>
          <t>KALMAR LÄN</t>
        </is>
      </c>
      <c r="E550" t="inlineStr">
        <is>
          <t>VIMMERBY</t>
        </is>
      </c>
      <c r="G550" t="n">
        <v>1.7</v>
      </c>
      <c r="H550" t="n">
        <v>0</v>
      </c>
      <c r="I550" t="n">
        <v>0</v>
      </c>
      <c r="J550" t="n">
        <v>0</v>
      </c>
      <c r="K550" t="n">
        <v>0</v>
      </c>
      <c r="L550" t="n">
        <v>0</v>
      </c>
      <c r="M550" t="n">
        <v>0</v>
      </c>
      <c r="N550" t="n">
        <v>0</v>
      </c>
      <c r="O550" t="n">
        <v>0</v>
      </c>
      <c r="P550" t="n">
        <v>0</v>
      </c>
      <c r="Q550" t="n">
        <v>0</v>
      </c>
      <c r="R550" s="2" t="inlineStr"/>
    </row>
    <row r="551" ht="15" customHeight="1">
      <c r="A551" t="inlineStr">
        <is>
          <t>A 21028-2023</t>
        </is>
      </c>
      <c r="B551" s="1" t="n">
        <v>45061</v>
      </c>
      <c r="C551" s="1" t="n">
        <v>46004</v>
      </c>
      <c r="D551" t="inlineStr">
        <is>
          <t>KALMAR LÄN</t>
        </is>
      </c>
      <c r="E551" t="inlineStr">
        <is>
          <t>VIMMERBY</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4527-2023</t>
        </is>
      </c>
      <c r="B552" s="1" t="n">
        <v>44956</v>
      </c>
      <c r="C552" s="1" t="n">
        <v>46004</v>
      </c>
      <c r="D552" t="inlineStr">
        <is>
          <t>KALMAR LÄN</t>
        </is>
      </c>
      <c r="E552" t="inlineStr">
        <is>
          <t>VIMMERBY</t>
        </is>
      </c>
      <c r="F552" t="inlineStr">
        <is>
          <t>Kommuner</t>
        </is>
      </c>
      <c r="G552" t="n">
        <v>8.5</v>
      </c>
      <c r="H552" t="n">
        <v>0</v>
      </c>
      <c r="I552" t="n">
        <v>0</v>
      </c>
      <c r="J552" t="n">
        <v>0</v>
      </c>
      <c r="K552" t="n">
        <v>0</v>
      </c>
      <c r="L552" t="n">
        <v>0</v>
      </c>
      <c r="M552" t="n">
        <v>0</v>
      </c>
      <c r="N552" t="n">
        <v>0</v>
      </c>
      <c r="O552" t="n">
        <v>0</v>
      </c>
      <c r="P552" t="n">
        <v>0</v>
      </c>
      <c r="Q552" t="n">
        <v>0</v>
      </c>
      <c r="R552" s="2" t="inlineStr"/>
    </row>
    <row r="553" ht="15" customHeight="1">
      <c r="A553" t="inlineStr">
        <is>
          <t>A 12586-2021</t>
        </is>
      </c>
      <c r="B553" s="1" t="n">
        <v>44270.38002314815</v>
      </c>
      <c r="C553" s="1" t="n">
        <v>46004</v>
      </c>
      <c r="D553" t="inlineStr">
        <is>
          <t>KALMAR LÄN</t>
        </is>
      </c>
      <c r="E553" t="inlineStr">
        <is>
          <t>VIMMERBY</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19445-2021</t>
        </is>
      </c>
      <c r="B554" s="1" t="n">
        <v>44310</v>
      </c>
      <c r="C554" s="1" t="n">
        <v>46004</v>
      </c>
      <c r="D554" t="inlineStr">
        <is>
          <t>KALMAR LÄN</t>
        </is>
      </c>
      <c r="E554" t="inlineStr">
        <is>
          <t>VIMMERBY</t>
        </is>
      </c>
      <c r="G554" t="n">
        <v>6.8</v>
      </c>
      <c r="H554" t="n">
        <v>0</v>
      </c>
      <c r="I554" t="n">
        <v>0</v>
      </c>
      <c r="J554" t="n">
        <v>0</v>
      </c>
      <c r="K554" t="n">
        <v>0</v>
      </c>
      <c r="L554" t="n">
        <v>0</v>
      </c>
      <c r="M554" t="n">
        <v>0</v>
      </c>
      <c r="N554" t="n">
        <v>0</v>
      </c>
      <c r="O554" t="n">
        <v>0</v>
      </c>
      <c r="P554" t="n">
        <v>0</v>
      </c>
      <c r="Q554" t="n">
        <v>0</v>
      </c>
      <c r="R554" s="2" t="inlineStr"/>
    </row>
    <row r="555" ht="15" customHeight="1">
      <c r="A555" t="inlineStr">
        <is>
          <t>A 27122-2023</t>
        </is>
      </c>
      <c r="B555" s="1" t="n">
        <v>45096.45247685185</v>
      </c>
      <c r="C555" s="1" t="n">
        <v>46004</v>
      </c>
      <c r="D555" t="inlineStr">
        <is>
          <t>KALMAR LÄN</t>
        </is>
      </c>
      <c r="E555" t="inlineStr">
        <is>
          <t>VIMMERBY</t>
        </is>
      </c>
      <c r="G555" t="n">
        <v>1.7</v>
      </c>
      <c r="H555" t="n">
        <v>0</v>
      </c>
      <c r="I555" t="n">
        <v>0</v>
      </c>
      <c r="J555" t="n">
        <v>0</v>
      </c>
      <c r="K555" t="n">
        <v>0</v>
      </c>
      <c r="L555" t="n">
        <v>0</v>
      </c>
      <c r="M555" t="n">
        <v>0</v>
      </c>
      <c r="N555" t="n">
        <v>0</v>
      </c>
      <c r="O555" t="n">
        <v>0</v>
      </c>
      <c r="P555" t="n">
        <v>0</v>
      </c>
      <c r="Q555" t="n">
        <v>0</v>
      </c>
      <c r="R555" s="2" t="inlineStr"/>
    </row>
    <row r="556" ht="15" customHeight="1">
      <c r="A556" t="inlineStr">
        <is>
          <t>A 5864-2022</t>
        </is>
      </c>
      <c r="B556" s="1" t="n">
        <v>44596</v>
      </c>
      <c r="C556" s="1" t="n">
        <v>46004</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13813-2024</t>
        </is>
      </c>
      <c r="B557" s="1" t="n">
        <v>45391.41310185185</v>
      </c>
      <c r="C557" s="1" t="n">
        <v>46004</v>
      </c>
      <c r="D557" t="inlineStr">
        <is>
          <t>KALMAR LÄN</t>
        </is>
      </c>
      <c r="E557" t="inlineStr">
        <is>
          <t>VIMMERBY</t>
        </is>
      </c>
      <c r="G557" t="n">
        <v>0.4</v>
      </c>
      <c r="H557" t="n">
        <v>0</v>
      </c>
      <c r="I557" t="n">
        <v>0</v>
      </c>
      <c r="J557" t="n">
        <v>0</v>
      </c>
      <c r="K557" t="n">
        <v>0</v>
      </c>
      <c r="L557" t="n">
        <v>0</v>
      </c>
      <c r="M557" t="n">
        <v>0</v>
      </c>
      <c r="N557" t="n">
        <v>0</v>
      </c>
      <c r="O557" t="n">
        <v>0</v>
      </c>
      <c r="P557" t="n">
        <v>0</v>
      </c>
      <c r="Q557" t="n">
        <v>0</v>
      </c>
      <c r="R557" s="2" t="inlineStr"/>
    </row>
    <row r="558" ht="15" customHeight="1">
      <c r="A558" t="inlineStr">
        <is>
          <t>A 38969-2023</t>
        </is>
      </c>
      <c r="B558" s="1" t="n">
        <v>45163.63621527778</v>
      </c>
      <c r="C558" s="1" t="n">
        <v>46004</v>
      </c>
      <c r="D558" t="inlineStr">
        <is>
          <t>KALMAR LÄN</t>
        </is>
      </c>
      <c r="E558" t="inlineStr">
        <is>
          <t>VIMMERBY</t>
        </is>
      </c>
      <c r="F558" t="inlineStr">
        <is>
          <t>Sveaskog</t>
        </is>
      </c>
      <c r="G558" t="n">
        <v>2.4</v>
      </c>
      <c r="H558" t="n">
        <v>0</v>
      </c>
      <c r="I558" t="n">
        <v>0</v>
      </c>
      <c r="J558" t="n">
        <v>0</v>
      </c>
      <c r="K558" t="n">
        <v>0</v>
      </c>
      <c r="L558" t="n">
        <v>0</v>
      </c>
      <c r="M558" t="n">
        <v>0</v>
      </c>
      <c r="N558" t="n">
        <v>0</v>
      </c>
      <c r="O558" t="n">
        <v>0</v>
      </c>
      <c r="P558" t="n">
        <v>0</v>
      </c>
      <c r="Q558" t="n">
        <v>0</v>
      </c>
      <c r="R558" s="2" t="inlineStr"/>
    </row>
    <row r="559" ht="15" customHeight="1">
      <c r="A559" t="inlineStr">
        <is>
          <t>A 30912-2023</t>
        </is>
      </c>
      <c r="B559" s="1" t="n">
        <v>45113.41633101852</v>
      </c>
      <c r="C559" s="1" t="n">
        <v>46004</v>
      </c>
      <c r="D559" t="inlineStr">
        <is>
          <t>KALMAR LÄN</t>
        </is>
      </c>
      <c r="E559" t="inlineStr">
        <is>
          <t>VIMMERBY</t>
        </is>
      </c>
      <c r="G559" t="n">
        <v>5</v>
      </c>
      <c r="H559" t="n">
        <v>0</v>
      </c>
      <c r="I559" t="n">
        <v>0</v>
      </c>
      <c r="J559" t="n">
        <v>0</v>
      </c>
      <c r="K559" t="n">
        <v>0</v>
      </c>
      <c r="L559" t="n">
        <v>0</v>
      </c>
      <c r="M559" t="n">
        <v>0</v>
      </c>
      <c r="N559" t="n">
        <v>0</v>
      </c>
      <c r="O559" t="n">
        <v>0</v>
      </c>
      <c r="P559" t="n">
        <v>0</v>
      </c>
      <c r="Q559" t="n">
        <v>0</v>
      </c>
      <c r="R559" s="2" t="inlineStr"/>
    </row>
    <row r="560" ht="15" customHeight="1">
      <c r="A560" t="inlineStr">
        <is>
          <t>A 1146-2025</t>
        </is>
      </c>
      <c r="B560" s="1" t="n">
        <v>45666</v>
      </c>
      <c r="C560" s="1" t="n">
        <v>46004</v>
      </c>
      <c r="D560" t="inlineStr">
        <is>
          <t>KALMAR LÄN</t>
        </is>
      </c>
      <c r="E560" t="inlineStr">
        <is>
          <t>VIMMERBY</t>
        </is>
      </c>
      <c r="G560" t="n">
        <v>4</v>
      </c>
      <c r="H560" t="n">
        <v>0</v>
      </c>
      <c r="I560" t="n">
        <v>0</v>
      </c>
      <c r="J560" t="n">
        <v>0</v>
      </c>
      <c r="K560" t="n">
        <v>0</v>
      </c>
      <c r="L560" t="n">
        <v>0</v>
      </c>
      <c r="M560" t="n">
        <v>0</v>
      </c>
      <c r="N560" t="n">
        <v>0</v>
      </c>
      <c r="O560" t="n">
        <v>0</v>
      </c>
      <c r="P560" t="n">
        <v>0</v>
      </c>
      <c r="Q560" t="n">
        <v>0</v>
      </c>
      <c r="R560" s="2" t="inlineStr"/>
    </row>
    <row r="561" ht="15" customHeight="1">
      <c r="A561" t="inlineStr">
        <is>
          <t>A 26937-2023</t>
        </is>
      </c>
      <c r="B561" s="1" t="n">
        <v>45093.62777777778</v>
      </c>
      <c r="C561" s="1" t="n">
        <v>46004</v>
      </c>
      <c r="D561" t="inlineStr">
        <is>
          <t>KALMAR LÄN</t>
        </is>
      </c>
      <c r="E561" t="inlineStr">
        <is>
          <t>VIMMERBY</t>
        </is>
      </c>
      <c r="F561" t="inlineStr">
        <is>
          <t>Sveaskog</t>
        </is>
      </c>
      <c r="G561" t="n">
        <v>14.5</v>
      </c>
      <c r="H561" t="n">
        <v>0</v>
      </c>
      <c r="I561" t="n">
        <v>0</v>
      </c>
      <c r="J561" t="n">
        <v>0</v>
      </c>
      <c r="K561" t="n">
        <v>0</v>
      </c>
      <c r="L561" t="n">
        <v>0</v>
      </c>
      <c r="M561" t="n">
        <v>0</v>
      </c>
      <c r="N561" t="n">
        <v>0</v>
      </c>
      <c r="O561" t="n">
        <v>0</v>
      </c>
      <c r="P561" t="n">
        <v>0</v>
      </c>
      <c r="Q561" t="n">
        <v>0</v>
      </c>
      <c r="R561" s="2" t="inlineStr"/>
    </row>
    <row r="562" ht="15" customHeight="1">
      <c r="A562" t="inlineStr">
        <is>
          <t>A 57486-2024</t>
        </is>
      </c>
      <c r="B562" s="1" t="n">
        <v>45630.35827546296</v>
      </c>
      <c r="C562" s="1" t="n">
        <v>46004</v>
      </c>
      <c r="D562" t="inlineStr">
        <is>
          <t>KALMAR LÄN</t>
        </is>
      </c>
      <c r="E562" t="inlineStr">
        <is>
          <t>VIMMERBY</t>
        </is>
      </c>
      <c r="G562" t="n">
        <v>0.4</v>
      </c>
      <c r="H562" t="n">
        <v>0</v>
      </c>
      <c r="I562" t="n">
        <v>0</v>
      </c>
      <c r="J562" t="n">
        <v>0</v>
      </c>
      <c r="K562" t="n">
        <v>0</v>
      </c>
      <c r="L562" t="n">
        <v>0</v>
      </c>
      <c r="M562" t="n">
        <v>0</v>
      </c>
      <c r="N562" t="n">
        <v>0</v>
      </c>
      <c r="O562" t="n">
        <v>0</v>
      </c>
      <c r="P562" t="n">
        <v>0</v>
      </c>
      <c r="Q562" t="n">
        <v>0</v>
      </c>
      <c r="R562" s="2" t="inlineStr"/>
    </row>
    <row r="563" ht="15" customHeight="1">
      <c r="A563" t="inlineStr">
        <is>
          <t>A 43186-2021</t>
        </is>
      </c>
      <c r="B563" s="1" t="n">
        <v>44431.84840277778</v>
      </c>
      <c r="C563" s="1" t="n">
        <v>46004</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40929-2022</t>
        </is>
      </c>
      <c r="B564" s="1" t="n">
        <v>44825.4336574074</v>
      </c>
      <c r="C564" s="1" t="n">
        <v>46004</v>
      </c>
      <c r="D564" t="inlineStr">
        <is>
          <t>KALMAR LÄN</t>
        </is>
      </c>
      <c r="E564" t="inlineStr">
        <is>
          <t>VIMMERBY</t>
        </is>
      </c>
      <c r="G564" t="n">
        <v>2.5</v>
      </c>
      <c r="H564" t="n">
        <v>0</v>
      </c>
      <c r="I564" t="n">
        <v>0</v>
      </c>
      <c r="J564" t="n">
        <v>0</v>
      </c>
      <c r="K564" t="n">
        <v>0</v>
      </c>
      <c r="L564" t="n">
        <v>0</v>
      </c>
      <c r="M564" t="n">
        <v>0</v>
      </c>
      <c r="N564" t="n">
        <v>0</v>
      </c>
      <c r="O564" t="n">
        <v>0</v>
      </c>
      <c r="P564" t="n">
        <v>0</v>
      </c>
      <c r="Q564" t="n">
        <v>0</v>
      </c>
      <c r="R564" s="2" t="inlineStr"/>
    </row>
    <row r="565" ht="15" customHeight="1">
      <c r="A565" t="inlineStr">
        <is>
          <t>A 1799-2025</t>
        </is>
      </c>
      <c r="B565" s="1" t="n">
        <v>45671.46746527778</v>
      </c>
      <c r="C565" s="1" t="n">
        <v>46004</v>
      </c>
      <c r="D565" t="inlineStr">
        <is>
          <t>KALMAR LÄN</t>
        </is>
      </c>
      <c r="E565" t="inlineStr">
        <is>
          <t>VIMMERBY</t>
        </is>
      </c>
      <c r="G565" t="n">
        <v>3.3</v>
      </c>
      <c r="H565" t="n">
        <v>0</v>
      </c>
      <c r="I565" t="n">
        <v>0</v>
      </c>
      <c r="J565" t="n">
        <v>0</v>
      </c>
      <c r="K565" t="n">
        <v>0</v>
      </c>
      <c r="L565" t="n">
        <v>0</v>
      </c>
      <c r="M565" t="n">
        <v>0</v>
      </c>
      <c r="N565" t="n">
        <v>0</v>
      </c>
      <c r="O565" t="n">
        <v>0</v>
      </c>
      <c r="P565" t="n">
        <v>0</v>
      </c>
      <c r="Q565" t="n">
        <v>0</v>
      </c>
      <c r="R565" s="2" t="inlineStr"/>
    </row>
    <row r="566" ht="15" customHeight="1">
      <c r="A566" t="inlineStr">
        <is>
          <t>A 50091-2023</t>
        </is>
      </c>
      <c r="B566" s="1" t="n">
        <v>45215.60199074074</v>
      </c>
      <c r="C566" s="1" t="n">
        <v>46004</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30063-2023</t>
        </is>
      </c>
      <c r="B567" s="1" t="n">
        <v>45110.4184375</v>
      </c>
      <c r="C567" s="1" t="n">
        <v>46004</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62023-2022</t>
        </is>
      </c>
      <c r="B568" s="1" t="n">
        <v>44918.50106481482</v>
      </c>
      <c r="C568" s="1" t="n">
        <v>46004</v>
      </c>
      <c r="D568" t="inlineStr">
        <is>
          <t>KALMAR LÄN</t>
        </is>
      </c>
      <c r="E568" t="inlineStr">
        <is>
          <t>VIMMERBY</t>
        </is>
      </c>
      <c r="G568" t="n">
        <v>0.3</v>
      </c>
      <c r="H568" t="n">
        <v>0</v>
      </c>
      <c r="I568" t="n">
        <v>0</v>
      </c>
      <c r="J568" t="n">
        <v>0</v>
      </c>
      <c r="K568" t="n">
        <v>0</v>
      </c>
      <c r="L568" t="n">
        <v>0</v>
      </c>
      <c r="M568" t="n">
        <v>0</v>
      </c>
      <c r="N568" t="n">
        <v>0</v>
      </c>
      <c r="O568" t="n">
        <v>0</v>
      </c>
      <c r="P568" t="n">
        <v>0</v>
      </c>
      <c r="Q568" t="n">
        <v>0</v>
      </c>
      <c r="R568" s="2" t="inlineStr"/>
    </row>
    <row r="569" ht="15" customHeight="1">
      <c r="A569" t="inlineStr">
        <is>
          <t>A 36008-2024</t>
        </is>
      </c>
      <c r="B569" s="1" t="n">
        <v>45533.55362268518</v>
      </c>
      <c r="C569" s="1" t="n">
        <v>46004</v>
      </c>
      <c r="D569" t="inlineStr">
        <is>
          <t>KALMAR LÄN</t>
        </is>
      </c>
      <c r="E569" t="inlineStr">
        <is>
          <t>VIMMERBY</t>
        </is>
      </c>
      <c r="G569" t="n">
        <v>3.7</v>
      </c>
      <c r="H569" t="n">
        <v>0</v>
      </c>
      <c r="I569" t="n">
        <v>0</v>
      </c>
      <c r="J569" t="n">
        <v>0</v>
      </c>
      <c r="K569" t="n">
        <v>0</v>
      </c>
      <c r="L569" t="n">
        <v>0</v>
      </c>
      <c r="M569" t="n">
        <v>0</v>
      </c>
      <c r="N569" t="n">
        <v>0</v>
      </c>
      <c r="O569" t="n">
        <v>0</v>
      </c>
      <c r="P569" t="n">
        <v>0</v>
      </c>
      <c r="Q569" t="n">
        <v>0</v>
      </c>
      <c r="R569" s="2" t="inlineStr"/>
    </row>
    <row r="570" ht="15" customHeight="1">
      <c r="A570" t="inlineStr">
        <is>
          <t>A 43068-2023</t>
        </is>
      </c>
      <c r="B570" s="1" t="n">
        <v>45182.78834490741</v>
      </c>
      <c r="C570" s="1" t="n">
        <v>46004</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16119-2023</t>
        </is>
      </c>
      <c r="B571" s="1" t="n">
        <v>45027.59450231482</v>
      </c>
      <c r="C571" s="1" t="n">
        <v>46004</v>
      </c>
      <c r="D571" t="inlineStr">
        <is>
          <t>KALMAR LÄN</t>
        </is>
      </c>
      <c r="E571" t="inlineStr">
        <is>
          <t>VIMMERBY</t>
        </is>
      </c>
      <c r="F571" t="inlineStr">
        <is>
          <t>Kommuner</t>
        </is>
      </c>
      <c r="G571" t="n">
        <v>4.4</v>
      </c>
      <c r="H571" t="n">
        <v>0</v>
      </c>
      <c r="I571" t="n">
        <v>0</v>
      </c>
      <c r="J571" t="n">
        <v>0</v>
      </c>
      <c r="K571" t="n">
        <v>0</v>
      </c>
      <c r="L571" t="n">
        <v>0</v>
      </c>
      <c r="M571" t="n">
        <v>0</v>
      </c>
      <c r="N571" t="n">
        <v>0</v>
      </c>
      <c r="O571" t="n">
        <v>0</v>
      </c>
      <c r="P571" t="n">
        <v>0</v>
      </c>
      <c r="Q571" t="n">
        <v>0</v>
      </c>
      <c r="R571" s="2" t="inlineStr"/>
    </row>
    <row r="572" ht="15" customHeight="1">
      <c r="A572" t="inlineStr">
        <is>
          <t>A 38604-2025</t>
        </is>
      </c>
      <c r="B572" s="1" t="n">
        <v>45884.50613425926</v>
      </c>
      <c r="C572" s="1" t="n">
        <v>46004</v>
      </c>
      <c r="D572" t="inlineStr">
        <is>
          <t>KALMAR LÄN</t>
        </is>
      </c>
      <c r="E572" t="inlineStr">
        <is>
          <t>VIMMERBY</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52327-2023</t>
        </is>
      </c>
      <c r="B573" s="1" t="n">
        <v>45224.6515162037</v>
      </c>
      <c r="C573" s="1" t="n">
        <v>46004</v>
      </c>
      <c r="D573" t="inlineStr">
        <is>
          <t>KALMAR LÄN</t>
        </is>
      </c>
      <c r="E573" t="inlineStr">
        <is>
          <t>VIMMERBY</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12075-2024</t>
        </is>
      </c>
      <c r="B574" s="1" t="n">
        <v>45377</v>
      </c>
      <c r="C574" s="1" t="n">
        <v>46004</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29348-2023</t>
        </is>
      </c>
      <c r="B575" s="1" t="n">
        <v>45106.25025462963</v>
      </c>
      <c r="C575" s="1" t="n">
        <v>46004</v>
      </c>
      <c r="D575" t="inlineStr">
        <is>
          <t>KALMAR LÄN</t>
        </is>
      </c>
      <c r="E575" t="inlineStr">
        <is>
          <t>VIMMERBY</t>
        </is>
      </c>
      <c r="G575" t="n">
        <v>2.4</v>
      </c>
      <c r="H575" t="n">
        <v>0</v>
      </c>
      <c r="I575" t="n">
        <v>0</v>
      </c>
      <c r="J575" t="n">
        <v>0</v>
      </c>
      <c r="K575" t="n">
        <v>0</v>
      </c>
      <c r="L575" t="n">
        <v>0</v>
      </c>
      <c r="M575" t="n">
        <v>0</v>
      </c>
      <c r="N575" t="n">
        <v>0</v>
      </c>
      <c r="O575" t="n">
        <v>0</v>
      </c>
      <c r="P575" t="n">
        <v>0</v>
      </c>
      <c r="Q575" t="n">
        <v>0</v>
      </c>
      <c r="R575" s="2" t="inlineStr"/>
    </row>
    <row r="576" ht="15" customHeight="1">
      <c r="A576" t="inlineStr">
        <is>
          <t>A 18020-2025</t>
        </is>
      </c>
      <c r="B576" s="1" t="n">
        <v>45761.4437962963</v>
      </c>
      <c r="C576" s="1" t="n">
        <v>46004</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31340-2023</t>
        </is>
      </c>
      <c r="B577" s="1" t="n">
        <v>45114.47895833333</v>
      </c>
      <c r="C577" s="1" t="n">
        <v>46004</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33424-2023</t>
        </is>
      </c>
      <c r="B578" s="1" t="n">
        <v>45128.9325</v>
      </c>
      <c r="C578" s="1" t="n">
        <v>46004</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33425-2023</t>
        </is>
      </c>
      <c r="B579" s="1" t="n">
        <v>45128.93540509259</v>
      </c>
      <c r="C579" s="1" t="n">
        <v>46004</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16622-2025</t>
        </is>
      </c>
      <c r="B580" s="1" t="n">
        <v>45754.33641203704</v>
      </c>
      <c r="C580" s="1" t="n">
        <v>46004</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12327-2023</t>
        </is>
      </c>
      <c r="B581" s="1" t="n">
        <v>44999.36081018519</v>
      </c>
      <c r="C581" s="1" t="n">
        <v>46004</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43092-2024</t>
        </is>
      </c>
      <c r="B582" s="1" t="n">
        <v>45567</v>
      </c>
      <c r="C582" s="1" t="n">
        <v>46004</v>
      </c>
      <c r="D582" t="inlineStr">
        <is>
          <t>KALMAR LÄN</t>
        </is>
      </c>
      <c r="E582" t="inlineStr">
        <is>
          <t>VIMMERBY</t>
        </is>
      </c>
      <c r="G582" t="n">
        <v>2.7</v>
      </c>
      <c r="H582" t="n">
        <v>0</v>
      </c>
      <c r="I582" t="n">
        <v>0</v>
      </c>
      <c r="J582" t="n">
        <v>0</v>
      </c>
      <c r="K582" t="n">
        <v>0</v>
      </c>
      <c r="L582" t="n">
        <v>0</v>
      </c>
      <c r="M582" t="n">
        <v>0</v>
      </c>
      <c r="N582" t="n">
        <v>0</v>
      </c>
      <c r="O582" t="n">
        <v>0</v>
      </c>
      <c r="P582" t="n">
        <v>0</v>
      </c>
      <c r="Q582" t="n">
        <v>0</v>
      </c>
      <c r="R582" s="2" t="inlineStr"/>
    </row>
    <row r="583" ht="15" customHeight="1">
      <c r="A583" t="inlineStr">
        <is>
          <t>A 17511-2024</t>
        </is>
      </c>
      <c r="B583" s="1" t="n">
        <v>45415.57682870371</v>
      </c>
      <c r="C583" s="1" t="n">
        <v>46004</v>
      </c>
      <c r="D583" t="inlineStr">
        <is>
          <t>KALMAR LÄN</t>
        </is>
      </c>
      <c r="E583" t="inlineStr">
        <is>
          <t>VIMMERBY</t>
        </is>
      </c>
      <c r="G583" t="n">
        <v>5.3</v>
      </c>
      <c r="H583" t="n">
        <v>0</v>
      </c>
      <c r="I583" t="n">
        <v>0</v>
      </c>
      <c r="J583" t="n">
        <v>0</v>
      </c>
      <c r="K583" t="n">
        <v>0</v>
      </c>
      <c r="L583" t="n">
        <v>0</v>
      </c>
      <c r="M583" t="n">
        <v>0</v>
      </c>
      <c r="N583" t="n">
        <v>0</v>
      </c>
      <c r="O583" t="n">
        <v>0</v>
      </c>
      <c r="P583" t="n">
        <v>0</v>
      </c>
      <c r="Q583" t="n">
        <v>0</v>
      </c>
      <c r="R583" s="2" t="inlineStr"/>
    </row>
    <row r="584" ht="15" customHeight="1">
      <c r="A584" t="inlineStr">
        <is>
          <t>A 43705-2023</t>
        </is>
      </c>
      <c r="B584" s="1" t="n">
        <v>45187.42854166667</v>
      </c>
      <c r="C584" s="1" t="n">
        <v>46004</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52435-2021</t>
        </is>
      </c>
      <c r="B585" s="1" t="n">
        <v>44466.34962962963</v>
      </c>
      <c r="C585" s="1" t="n">
        <v>46004</v>
      </c>
      <c r="D585" t="inlineStr">
        <is>
          <t>KALMAR LÄN</t>
        </is>
      </c>
      <c r="E585" t="inlineStr">
        <is>
          <t>VIMMERBY</t>
        </is>
      </c>
      <c r="G585" t="n">
        <v>2.8</v>
      </c>
      <c r="H585" t="n">
        <v>0</v>
      </c>
      <c r="I585" t="n">
        <v>0</v>
      </c>
      <c r="J585" t="n">
        <v>0</v>
      </c>
      <c r="K585" t="n">
        <v>0</v>
      </c>
      <c r="L585" t="n">
        <v>0</v>
      </c>
      <c r="M585" t="n">
        <v>0</v>
      </c>
      <c r="N585" t="n">
        <v>0</v>
      </c>
      <c r="O585" t="n">
        <v>0</v>
      </c>
      <c r="P585" t="n">
        <v>0</v>
      </c>
      <c r="Q585" t="n">
        <v>0</v>
      </c>
      <c r="R585" s="2" t="inlineStr"/>
    </row>
    <row r="586" ht="15" customHeight="1">
      <c r="A586" t="inlineStr">
        <is>
          <t>A 35127-2024</t>
        </is>
      </c>
      <c r="B586" s="1" t="n">
        <v>45530.33202546297</v>
      </c>
      <c r="C586" s="1" t="n">
        <v>46004</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60215-2022</t>
        </is>
      </c>
      <c r="B587" s="1" t="n">
        <v>44910.41346064815</v>
      </c>
      <c r="C587" s="1" t="n">
        <v>46004</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29441-2024</t>
        </is>
      </c>
      <c r="B588" s="1" t="n">
        <v>45483.82834490741</v>
      </c>
      <c r="C588" s="1" t="n">
        <v>46004</v>
      </c>
      <c r="D588" t="inlineStr">
        <is>
          <t>KALMAR LÄN</t>
        </is>
      </c>
      <c r="E588" t="inlineStr">
        <is>
          <t>VIMMERBY</t>
        </is>
      </c>
      <c r="G588" t="n">
        <v>1.3</v>
      </c>
      <c r="H588" t="n">
        <v>0</v>
      </c>
      <c r="I588" t="n">
        <v>0</v>
      </c>
      <c r="J588" t="n">
        <v>0</v>
      </c>
      <c r="K588" t="n">
        <v>0</v>
      </c>
      <c r="L588" t="n">
        <v>0</v>
      </c>
      <c r="M588" t="n">
        <v>0</v>
      </c>
      <c r="N588" t="n">
        <v>0</v>
      </c>
      <c r="O588" t="n">
        <v>0</v>
      </c>
      <c r="P588" t="n">
        <v>0</v>
      </c>
      <c r="Q588" t="n">
        <v>0</v>
      </c>
      <c r="R588" s="2" t="inlineStr"/>
    </row>
    <row r="589" ht="15" customHeight="1">
      <c r="A589" t="inlineStr">
        <is>
          <t>A 29726-2025</t>
        </is>
      </c>
      <c r="B589" s="1" t="n">
        <v>45825.57805555555</v>
      </c>
      <c r="C589" s="1" t="n">
        <v>46004</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55300-2021</t>
        </is>
      </c>
      <c r="B590" s="1" t="n">
        <v>44475</v>
      </c>
      <c r="C590" s="1" t="n">
        <v>46004</v>
      </c>
      <c r="D590" t="inlineStr">
        <is>
          <t>KALMAR LÄN</t>
        </is>
      </c>
      <c r="E590" t="inlineStr">
        <is>
          <t>VIMMERBY</t>
        </is>
      </c>
      <c r="G590" t="n">
        <v>3.4</v>
      </c>
      <c r="H590" t="n">
        <v>0</v>
      </c>
      <c r="I590" t="n">
        <v>0</v>
      </c>
      <c r="J590" t="n">
        <v>0</v>
      </c>
      <c r="K590" t="n">
        <v>0</v>
      </c>
      <c r="L590" t="n">
        <v>0</v>
      </c>
      <c r="M590" t="n">
        <v>0</v>
      </c>
      <c r="N590" t="n">
        <v>0</v>
      </c>
      <c r="O590" t="n">
        <v>0</v>
      </c>
      <c r="P590" t="n">
        <v>0</v>
      </c>
      <c r="Q590" t="n">
        <v>0</v>
      </c>
      <c r="R590" s="2" t="inlineStr"/>
    </row>
    <row r="591" ht="15" customHeight="1">
      <c r="A591" t="inlineStr">
        <is>
          <t>A 7758-2024</t>
        </is>
      </c>
      <c r="B591" s="1" t="n">
        <v>45349.54434027777</v>
      </c>
      <c r="C591" s="1" t="n">
        <v>46004</v>
      </c>
      <c r="D591" t="inlineStr">
        <is>
          <t>KALMAR LÄN</t>
        </is>
      </c>
      <c r="E591" t="inlineStr">
        <is>
          <t>VIMMERBY</t>
        </is>
      </c>
      <c r="G591" t="n">
        <v>3.5</v>
      </c>
      <c r="H591" t="n">
        <v>0</v>
      </c>
      <c r="I591" t="n">
        <v>0</v>
      </c>
      <c r="J591" t="n">
        <v>0</v>
      </c>
      <c r="K591" t="n">
        <v>0</v>
      </c>
      <c r="L591" t="n">
        <v>0</v>
      </c>
      <c r="M591" t="n">
        <v>0</v>
      </c>
      <c r="N591" t="n">
        <v>0</v>
      </c>
      <c r="O591" t="n">
        <v>0</v>
      </c>
      <c r="P591" t="n">
        <v>0</v>
      </c>
      <c r="Q591" t="n">
        <v>0</v>
      </c>
      <c r="R591" s="2" t="inlineStr"/>
    </row>
    <row r="592" ht="15" customHeight="1">
      <c r="A592" t="inlineStr">
        <is>
          <t>A 5701-2024</t>
        </is>
      </c>
      <c r="B592" s="1" t="n">
        <v>45334.78826388889</v>
      </c>
      <c r="C592" s="1" t="n">
        <v>46004</v>
      </c>
      <c r="D592" t="inlineStr">
        <is>
          <t>KALMAR LÄN</t>
        </is>
      </c>
      <c r="E592" t="inlineStr">
        <is>
          <t>VIMMERBY</t>
        </is>
      </c>
      <c r="G592" t="n">
        <v>2.3</v>
      </c>
      <c r="H592" t="n">
        <v>0</v>
      </c>
      <c r="I592" t="n">
        <v>0</v>
      </c>
      <c r="J592" t="n">
        <v>0</v>
      </c>
      <c r="K592" t="n">
        <v>0</v>
      </c>
      <c r="L592" t="n">
        <v>0</v>
      </c>
      <c r="M592" t="n">
        <v>0</v>
      </c>
      <c r="N592" t="n">
        <v>0</v>
      </c>
      <c r="O592" t="n">
        <v>0</v>
      </c>
      <c r="P592" t="n">
        <v>0</v>
      </c>
      <c r="Q592" t="n">
        <v>0</v>
      </c>
      <c r="R592" s="2" t="inlineStr"/>
    </row>
    <row r="593" ht="15" customHeight="1">
      <c r="A593" t="inlineStr">
        <is>
          <t>A 31405-2023</t>
        </is>
      </c>
      <c r="B593" s="1" t="n">
        <v>45114.58148148148</v>
      </c>
      <c r="C593" s="1" t="n">
        <v>46004</v>
      </c>
      <c r="D593" t="inlineStr">
        <is>
          <t>KALMAR LÄN</t>
        </is>
      </c>
      <c r="E593" t="inlineStr">
        <is>
          <t>VIMMERBY</t>
        </is>
      </c>
      <c r="G593" t="n">
        <v>2.6</v>
      </c>
      <c r="H593" t="n">
        <v>0</v>
      </c>
      <c r="I593" t="n">
        <v>0</v>
      </c>
      <c r="J593" t="n">
        <v>0</v>
      </c>
      <c r="K593" t="n">
        <v>0</v>
      </c>
      <c r="L593" t="n">
        <v>0</v>
      </c>
      <c r="M593" t="n">
        <v>0</v>
      </c>
      <c r="N593" t="n">
        <v>0</v>
      </c>
      <c r="O593" t="n">
        <v>0</v>
      </c>
      <c r="P593" t="n">
        <v>0</v>
      </c>
      <c r="Q593" t="n">
        <v>0</v>
      </c>
      <c r="R593" s="2" t="inlineStr"/>
    </row>
    <row r="594" ht="15" customHeight="1">
      <c r="A594" t="inlineStr">
        <is>
          <t>A 6216-2025</t>
        </is>
      </c>
      <c r="B594" s="1" t="n">
        <v>45698.52806712963</v>
      </c>
      <c r="C594" s="1" t="n">
        <v>46004</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62779-2023</t>
        </is>
      </c>
      <c r="B595" s="1" t="n">
        <v>45271.66576388889</v>
      </c>
      <c r="C595" s="1" t="n">
        <v>46004</v>
      </c>
      <c r="D595" t="inlineStr">
        <is>
          <t>KALMAR LÄN</t>
        </is>
      </c>
      <c r="E595" t="inlineStr">
        <is>
          <t>VIMMERBY</t>
        </is>
      </c>
      <c r="G595" t="n">
        <v>1.1</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46004</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52294-2023</t>
        </is>
      </c>
      <c r="B597" s="1" t="n">
        <v>45224.60075231481</v>
      </c>
      <c r="C597" s="1" t="n">
        <v>46004</v>
      </c>
      <c r="D597" t="inlineStr">
        <is>
          <t>KALMAR LÄN</t>
        </is>
      </c>
      <c r="E597" t="inlineStr">
        <is>
          <t>VIMMERBY</t>
        </is>
      </c>
      <c r="F597" t="inlineStr">
        <is>
          <t>Sveaskog</t>
        </is>
      </c>
      <c r="G597" t="n">
        <v>2.5</v>
      </c>
      <c r="H597" t="n">
        <v>0</v>
      </c>
      <c r="I597" t="n">
        <v>0</v>
      </c>
      <c r="J597" t="n">
        <v>0</v>
      </c>
      <c r="K597" t="n">
        <v>0</v>
      </c>
      <c r="L597" t="n">
        <v>0</v>
      </c>
      <c r="M597" t="n">
        <v>0</v>
      </c>
      <c r="N597" t="n">
        <v>0</v>
      </c>
      <c r="O597" t="n">
        <v>0</v>
      </c>
      <c r="P597" t="n">
        <v>0</v>
      </c>
      <c r="Q597" t="n">
        <v>0</v>
      </c>
      <c r="R597" s="2" t="inlineStr"/>
    </row>
    <row r="598" ht="15" customHeight="1">
      <c r="A598" t="inlineStr">
        <is>
          <t>A 46225-2024</t>
        </is>
      </c>
      <c r="B598" s="1" t="n">
        <v>45581.57333333333</v>
      </c>
      <c r="C598" s="1" t="n">
        <v>46004</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31013-2023</t>
        </is>
      </c>
      <c r="B599" s="1" t="n">
        <v>45113.56574074074</v>
      </c>
      <c r="C599" s="1" t="n">
        <v>46004</v>
      </c>
      <c r="D599" t="inlineStr">
        <is>
          <t>KALMAR LÄN</t>
        </is>
      </c>
      <c r="E599" t="inlineStr">
        <is>
          <t>VIMMERBY</t>
        </is>
      </c>
      <c r="G599" t="n">
        <v>1</v>
      </c>
      <c r="H599" t="n">
        <v>0</v>
      </c>
      <c r="I599" t="n">
        <v>0</v>
      </c>
      <c r="J599" t="n">
        <v>0</v>
      </c>
      <c r="K599" t="n">
        <v>0</v>
      </c>
      <c r="L599" t="n">
        <v>0</v>
      </c>
      <c r="M599" t="n">
        <v>0</v>
      </c>
      <c r="N599" t="n">
        <v>0</v>
      </c>
      <c r="O599" t="n">
        <v>0</v>
      </c>
      <c r="P599" t="n">
        <v>0</v>
      </c>
      <c r="Q599" t="n">
        <v>0</v>
      </c>
      <c r="R599" s="2" t="inlineStr"/>
    </row>
    <row r="600" ht="15" customHeight="1">
      <c r="A600" t="inlineStr">
        <is>
          <t>A 9418-2024</t>
        </is>
      </c>
      <c r="B600" s="1" t="n">
        <v>45359.45038194444</v>
      </c>
      <c r="C600" s="1" t="n">
        <v>46004</v>
      </c>
      <c r="D600" t="inlineStr">
        <is>
          <t>KALMAR LÄN</t>
        </is>
      </c>
      <c r="E600" t="inlineStr">
        <is>
          <t>VIMMERBY</t>
        </is>
      </c>
      <c r="G600" t="n">
        <v>1.9</v>
      </c>
      <c r="H600" t="n">
        <v>0</v>
      </c>
      <c r="I600" t="n">
        <v>0</v>
      </c>
      <c r="J600" t="n">
        <v>0</v>
      </c>
      <c r="K600" t="n">
        <v>0</v>
      </c>
      <c r="L600" t="n">
        <v>0</v>
      </c>
      <c r="M600" t="n">
        <v>0</v>
      </c>
      <c r="N600" t="n">
        <v>0</v>
      </c>
      <c r="O600" t="n">
        <v>0</v>
      </c>
      <c r="P600" t="n">
        <v>0</v>
      </c>
      <c r="Q600" t="n">
        <v>0</v>
      </c>
      <c r="R600" s="2" t="inlineStr"/>
    </row>
    <row r="601" ht="15" customHeight="1">
      <c r="A601" t="inlineStr">
        <is>
          <t>A 39801-2025</t>
        </is>
      </c>
      <c r="B601" s="1" t="n">
        <v>45891.50216435185</v>
      </c>
      <c r="C601" s="1" t="n">
        <v>46004</v>
      </c>
      <c r="D601" t="inlineStr">
        <is>
          <t>KALMAR LÄN</t>
        </is>
      </c>
      <c r="E601" t="inlineStr">
        <is>
          <t>VIMMERBY</t>
        </is>
      </c>
      <c r="G601" t="n">
        <v>2</v>
      </c>
      <c r="H601" t="n">
        <v>0</v>
      </c>
      <c r="I601" t="n">
        <v>0</v>
      </c>
      <c r="J601" t="n">
        <v>0</v>
      </c>
      <c r="K601" t="n">
        <v>0</v>
      </c>
      <c r="L601" t="n">
        <v>0</v>
      </c>
      <c r="M601" t="n">
        <v>0</v>
      </c>
      <c r="N601" t="n">
        <v>0</v>
      </c>
      <c r="O601" t="n">
        <v>0</v>
      </c>
      <c r="P601" t="n">
        <v>0</v>
      </c>
      <c r="Q601" t="n">
        <v>0</v>
      </c>
      <c r="R601" s="2" t="inlineStr"/>
    </row>
    <row r="602" ht="15" customHeight="1">
      <c r="A602" t="inlineStr">
        <is>
          <t>A 72067-2021</t>
        </is>
      </c>
      <c r="B602" s="1" t="n">
        <v>44540</v>
      </c>
      <c r="C602" s="1" t="n">
        <v>46004</v>
      </c>
      <c r="D602" t="inlineStr">
        <is>
          <t>KALMAR LÄN</t>
        </is>
      </c>
      <c r="E602" t="inlineStr">
        <is>
          <t>VIMMERBY</t>
        </is>
      </c>
      <c r="G602" t="n">
        <v>1.6</v>
      </c>
      <c r="H602" t="n">
        <v>0</v>
      </c>
      <c r="I602" t="n">
        <v>0</v>
      </c>
      <c r="J602" t="n">
        <v>0</v>
      </c>
      <c r="K602" t="n">
        <v>0</v>
      </c>
      <c r="L602" t="n">
        <v>0</v>
      </c>
      <c r="M602" t="n">
        <v>0</v>
      </c>
      <c r="N602" t="n">
        <v>0</v>
      </c>
      <c r="O602" t="n">
        <v>0</v>
      </c>
      <c r="P602" t="n">
        <v>0</v>
      </c>
      <c r="Q602" t="n">
        <v>0</v>
      </c>
      <c r="R602" s="2" t="inlineStr"/>
    </row>
    <row r="603" ht="15" customHeight="1">
      <c r="A603" t="inlineStr">
        <is>
          <t>A 57091-2022</t>
        </is>
      </c>
      <c r="B603" s="1" t="n">
        <v>44895.46524305556</v>
      </c>
      <c r="C603" s="1" t="n">
        <v>46004</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3816-2022</t>
        </is>
      </c>
      <c r="B604" s="1" t="n">
        <v>44587</v>
      </c>
      <c r="C604" s="1" t="n">
        <v>46004</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61538-2022</t>
        </is>
      </c>
      <c r="B605" s="1" t="n">
        <v>44916.55414351852</v>
      </c>
      <c r="C605" s="1" t="n">
        <v>46004</v>
      </c>
      <c r="D605" t="inlineStr">
        <is>
          <t>KALMAR LÄN</t>
        </is>
      </c>
      <c r="E605" t="inlineStr">
        <is>
          <t>VIMMERBY</t>
        </is>
      </c>
      <c r="G605" t="n">
        <v>1.5</v>
      </c>
      <c r="H605" t="n">
        <v>0</v>
      </c>
      <c r="I605" t="n">
        <v>0</v>
      </c>
      <c r="J605" t="n">
        <v>0</v>
      </c>
      <c r="K605" t="n">
        <v>0</v>
      </c>
      <c r="L605" t="n">
        <v>0</v>
      </c>
      <c r="M605" t="n">
        <v>0</v>
      </c>
      <c r="N605" t="n">
        <v>0</v>
      </c>
      <c r="O605" t="n">
        <v>0</v>
      </c>
      <c r="P605" t="n">
        <v>0</v>
      </c>
      <c r="Q605" t="n">
        <v>0</v>
      </c>
      <c r="R605" s="2" t="inlineStr"/>
    </row>
    <row r="606" ht="15" customHeight="1">
      <c r="A606" t="inlineStr">
        <is>
          <t>A 44179-2022</t>
        </is>
      </c>
      <c r="B606" s="1" t="n">
        <v>44839.4528125</v>
      </c>
      <c r="C606" s="1" t="n">
        <v>46004</v>
      </c>
      <c r="D606" t="inlineStr">
        <is>
          <t>KALMAR LÄN</t>
        </is>
      </c>
      <c r="E606" t="inlineStr">
        <is>
          <t>VIMMERBY</t>
        </is>
      </c>
      <c r="G606" t="n">
        <v>2.8</v>
      </c>
      <c r="H606" t="n">
        <v>0</v>
      </c>
      <c r="I606" t="n">
        <v>0</v>
      </c>
      <c r="J606" t="n">
        <v>0</v>
      </c>
      <c r="K606" t="n">
        <v>0</v>
      </c>
      <c r="L606" t="n">
        <v>0</v>
      </c>
      <c r="M606" t="n">
        <v>0</v>
      </c>
      <c r="N606" t="n">
        <v>0</v>
      </c>
      <c r="O606" t="n">
        <v>0</v>
      </c>
      <c r="P606" t="n">
        <v>0</v>
      </c>
      <c r="Q606" t="n">
        <v>0</v>
      </c>
      <c r="R606" s="2" t="inlineStr"/>
    </row>
    <row r="607" ht="15" customHeight="1">
      <c r="A607" t="inlineStr">
        <is>
          <t>A 39807-2025</t>
        </is>
      </c>
      <c r="B607" s="1" t="n">
        <v>45891.50986111111</v>
      </c>
      <c r="C607" s="1" t="n">
        <v>46004</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43606-2024</t>
        </is>
      </c>
      <c r="B608" s="1" t="n">
        <v>45569.45017361111</v>
      </c>
      <c r="C608" s="1" t="n">
        <v>46004</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43617-2024</t>
        </is>
      </c>
      <c r="B609" s="1" t="n">
        <v>45569.47494212963</v>
      </c>
      <c r="C609" s="1" t="n">
        <v>46004</v>
      </c>
      <c r="D609" t="inlineStr">
        <is>
          <t>KALMAR LÄN</t>
        </is>
      </c>
      <c r="E609" t="inlineStr">
        <is>
          <t>VIMMERBY</t>
        </is>
      </c>
      <c r="G609" t="n">
        <v>2.7</v>
      </c>
      <c r="H609" t="n">
        <v>0</v>
      </c>
      <c r="I609" t="n">
        <v>0</v>
      </c>
      <c r="J609" t="n">
        <v>0</v>
      </c>
      <c r="K609" t="n">
        <v>0</v>
      </c>
      <c r="L609" t="n">
        <v>0</v>
      </c>
      <c r="M609" t="n">
        <v>0</v>
      </c>
      <c r="N609" t="n">
        <v>0</v>
      </c>
      <c r="O609" t="n">
        <v>0</v>
      </c>
      <c r="P609" t="n">
        <v>0</v>
      </c>
      <c r="Q609" t="n">
        <v>0</v>
      </c>
      <c r="R609" s="2" t="inlineStr"/>
    </row>
    <row r="610" ht="15" customHeight="1">
      <c r="A610" t="inlineStr">
        <is>
          <t>A 39736-2025</t>
        </is>
      </c>
      <c r="B610" s="1" t="n">
        <v>45891</v>
      </c>
      <c r="C610" s="1" t="n">
        <v>46004</v>
      </c>
      <c r="D610" t="inlineStr">
        <is>
          <t>KALMAR LÄN</t>
        </is>
      </c>
      <c r="E610" t="inlineStr">
        <is>
          <t>VIMMERBY</t>
        </is>
      </c>
      <c r="G610" t="n">
        <v>12.8</v>
      </c>
      <c r="H610" t="n">
        <v>0</v>
      </c>
      <c r="I610" t="n">
        <v>0</v>
      </c>
      <c r="J610" t="n">
        <v>0</v>
      </c>
      <c r="K610" t="n">
        <v>0</v>
      </c>
      <c r="L610" t="n">
        <v>0</v>
      </c>
      <c r="M610" t="n">
        <v>0</v>
      </c>
      <c r="N610" t="n">
        <v>0</v>
      </c>
      <c r="O610" t="n">
        <v>0</v>
      </c>
      <c r="P610" t="n">
        <v>0</v>
      </c>
      <c r="Q610" t="n">
        <v>0</v>
      </c>
      <c r="R610" s="2" t="inlineStr"/>
    </row>
    <row r="611" ht="15" customHeight="1">
      <c r="A611" t="inlineStr">
        <is>
          <t>A 47859-2024</t>
        </is>
      </c>
      <c r="B611" s="1" t="n">
        <v>45588.67070601852</v>
      </c>
      <c r="C611" s="1" t="n">
        <v>46004</v>
      </c>
      <c r="D611" t="inlineStr">
        <is>
          <t>KALMAR LÄN</t>
        </is>
      </c>
      <c r="E611" t="inlineStr">
        <is>
          <t>VIMMERBY</t>
        </is>
      </c>
      <c r="G611" t="n">
        <v>1.7</v>
      </c>
      <c r="H611" t="n">
        <v>0</v>
      </c>
      <c r="I611" t="n">
        <v>0</v>
      </c>
      <c r="J611" t="n">
        <v>0</v>
      </c>
      <c r="K611" t="n">
        <v>0</v>
      </c>
      <c r="L611" t="n">
        <v>0</v>
      </c>
      <c r="M611" t="n">
        <v>0</v>
      </c>
      <c r="N611" t="n">
        <v>0</v>
      </c>
      <c r="O611" t="n">
        <v>0</v>
      </c>
      <c r="P611" t="n">
        <v>0</v>
      </c>
      <c r="Q611" t="n">
        <v>0</v>
      </c>
      <c r="R611" s="2" t="inlineStr"/>
    </row>
    <row r="612" ht="15" customHeight="1">
      <c r="A612" t="inlineStr">
        <is>
          <t>A 36155-2023</t>
        </is>
      </c>
      <c r="B612" s="1" t="n">
        <v>45149.60917824074</v>
      </c>
      <c r="C612" s="1" t="n">
        <v>46004</v>
      </c>
      <c r="D612" t="inlineStr">
        <is>
          <t>KALMAR LÄN</t>
        </is>
      </c>
      <c r="E612" t="inlineStr">
        <is>
          <t>VIMMERBY</t>
        </is>
      </c>
      <c r="G612" t="n">
        <v>5</v>
      </c>
      <c r="H612" t="n">
        <v>0</v>
      </c>
      <c r="I612" t="n">
        <v>0</v>
      </c>
      <c r="J612" t="n">
        <v>0</v>
      </c>
      <c r="K612" t="n">
        <v>0</v>
      </c>
      <c r="L612" t="n">
        <v>0</v>
      </c>
      <c r="M612" t="n">
        <v>0</v>
      </c>
      <c r="N612" t="n">
        <v>0</v>
      </c>
      <c r="O612" t="n">
        <v>0</v>
      </c>
      <c r="P612" t="n">
        <v>0</v>
      </c>
      <c r="Q612" t="n">
        <v>0</v>
      </c>
      <c r="R612" s="2" t="inlineStr"/>
    </row>
    <row r="613" ht="15" customHeight="1">
      <c r="A613" t="inlineStr">
        <is>
          <t>A 29173-2024</t>
        </is>
      </c>
      <c r="B613" s="1" t="n">
        <v>45482.52887731481</v>
      </c>
      <c r="C613" s="1" t="n">
        <v>46004</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53542-2022</t>
        </is>
      </c>
      <c r="B614" s="1" t="n">
        <v>44879.62173611111</v>
      </c>
      <c r="C614" s="1" t="n">
        <v>46004</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8540-2024</t>
        </is>
      </c>
      <c r="B615" s="1" t="n">
        <v>45355.54138888889</v>
      </c>
      <c r="C615" s="1" t="n">
        <v>46004</v>
      </c>
      <c r="D615" t="inlineStr">
        <is>
          <t>KALMAR LÄN</t>
        </is>
      </c>
      <c r="E615" t="inlineStr">
        <is>
          <t>VIMMERBY</t>
        </is>
      </c>
      <c r="G615" t="n">
        <v>1.9</v>
      </c>
      <c r="H615" t="n">
        <v>0</v>
      </c>
      <c r="I615" t="n">
        <v>0</v>
      </c>
      <c r="J615" t="n">
        <v>0</v>
      </c>
      <c r="K615" t="n">
        <v>0</v>
      </c>
      <c r="L615" t="n">
        <v>0</v>
      </c>
      <c r="M615" t="n">
        <v>0</v>
      </c>
      <c r="N615" t="n">
        <v>0</v>
      </c>
      <c r="O615" t="n">
        <v>0</v>
      </c>
      <c r="P615" t="n">
        <v>0</v>
      </c>
      <c r="Q615" t="n">
        <v>0</v>
      </c>
      <c r="R615" s="2" t="inlineStr"/>
    </row>
    <row r="616" ht="15" customHeight="1">
      <c r="A616" t="inlineStr">
        <is>
          <t>A 52755-2022</t>
        </is>
      </c>
      <c r="B616" s="1" t="n">
        <v>44875.27736111111</v>
      </c>
      <c r="C616" s="1" t="n">
        <v>46004</v>
      </c>
      <c r="D616" t="inlineStr">
        <is>
          <t>KALMAR LÄN</t>
        </is>
      </c>
      <c r="E616" t="inlineStr">
        <is>
          <t>VIMMERBY</t>
        </is>
      </c>
      <c r="G616" t="n">
        <v>1.1</v>
      </c>
      <c r="H616" t="n">
        <v>0</v>
      </c>
      <c r="I616" t="n">
        <v>0</v>
      </c>
      <c r="J616" t="n">
        <v>0</v>
      </c>
      <c r="K616" t="n">
        <v>0</v>
      </c>
      <c r="L616" t="n">
        <v>0</v>
      </c>
      <c r="M616" t="n">
        <v>0</v>
      </c>
      <c r="N616" t="n">
        <v>0</v>
      </c>
      <c r="O616" t="n">
        <v>0</v>
      </c>
      <c r="P616" t="n">
        <v>0</v>
      </c>
      <c r="Q616" t="n">
        <v>0</v>
      </c>
      <c r="R616" s="2" t="inlineStr"/>
    </row>
    <row r="617" ht="15" customHeight="1">
      <c r="A617" t="inlineStr">
        <is>
          <t>A 3331-2023</t>
        </is>
      </c>
      <c r="B617" s="1" t="n">
        <v>44949</v>
      </c>
      <c r="C617" s="1" t="n">
        <v>46004</v>
      </c>
      <c r="D617" t="inlineStr">
        <is>
          <t>KALMAR LÄN</t>
        </is>
      </c>
      <c r="E617" t="inlineStr">
        <is>
          <t>VIMMERBY</t>
        </is>
      </c>
      <c r="G617" t="n">
        <v>6.2</v>
      </c>
      <c r="H617" t="n">
        <v>0</v>
      </c>
      <c r="I617" t="n">
        <v>0</v>
      </c>
      <c r="J617" t="n">
        <v>0</v>
      </c>
      <c r="K617" t="n">
        <v>0</v>
      </c>
      <c r="L617" t="n">
        <v>0</v>
      </c>
      <c r="M617" t="n">
        <v>0</v>
      </c>
      <c r="N617" t="n">
        <v>0</v>
      </c>
      <c r="O617" t="n">
        <v>0</v>
      </c>
      <c r="P617" t="n">
        <v>0</v>
      </c>
      <c r="Q617" t="n">
        <v>0</v>
      </c>
      <c r="R617" s="2" t="inlineStr"/>
    </row>
    <row r="618" ht="15" customHeight="1">
      <c r="A618" t="inlineStr">
        <is>
          <t>A 35998-2024</t>
        </is>
      </c>
      <c r="B618" s="1" t="n">
        <v>45533.54429398148</v>
      </c>
      <c r="C618" s="1" t="n">
        <v>46004</v>
      </c>
      <c r="D618" t="inlineStr">
        <is>
          <t>KALMAR LÄN</t>
        </is>
      </c>
      <c r="E618" t="inlineStr">
        <is>
          <t>VIMMERBY</t>
        </is>
      </c>
      <c r="G618" t="n">
        <v>8.6</v>
      </c>
      <c r="H618" t="n">
        <v>0</v>
      </c>
      <c r="I618" t="n">
        <v>0</v>
      </c>
      <c r="J618" t="n">
        <v>0</v>
      </c>
      <c r="K618" t="n">
        <v>0</v>
      </c>
      <c r="L618" t="n">
        <v>0</v>
      </c>
      <c r="M618" t="n">
        <v>0</v>
      </c>
      <c r="N618" t="n">
        <v>0</v>
      </c>
      <c r="O618" t="n">
        <v>0</v>
      </c>
      <c r="P618" t="n">
        <v>0</v>
      </c>
      <c r="Q618" t="n">
        <v>0</v>
      </c>
      <c r="R618" s="2" t="inlineStr"/>
    </row>
    <row r="619" ht="15" customHeight="1">
      <c r="A619" t="inlineStr">
        <is>
          <t>A 39803-2025</t>
        </is>
      </c>
      <c r="B619" s="1" t="n">
        <v>45891.50525462963</v>
      </c>
      <c r="C619" s="1" t="n">
        <v>46004</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39889-2025</t>
        </is>
      </c>
      <c r="B620" s="1" t="n">
        <v>45891</v>
      </c>
      <c r="C620" s="1" t="n">
        <v>46004</v>
      </c>
      <c r="D620" t="inlineStr">
        <is>
          <t>KALMAR LÄN</t>
        </is>
      </c>
      <c r="E620" t="inlineStr">
        <is>
          <t>VIMMERBY</t>
        </is>
      </c>
      <c r="G620" t="n">
        <v>4.5</v>
      </c>
      <c r="H620" t="n">
        <v>0</v>
      </c>
      <c r="I620" t="n">
        <v>0</v>
      </c>
      <c r="J620" t="n">
        <v>0</v>
      </c>
      <c r="K620" t="n">
        <v>0</v>
      </c>
      <c r="L620" t="n">
        <v>0</v>
      </c>
      <c r="M620" t="n">
        <v>0</v>
      </c>
      <c r="N620" t="n">
        <v>0</v>
      </c>
      <c r="O620" t="n">
        <v>0</v>
      </c>
      <c r="P620" t="n">
        <v>0</v>
      </c>
      <c r="Q620" t="n">
        <v>0</v>
      </c>
      <c r="R620" s="2" t="inlineStr"/>
    </row>
    <row r="621" ht="15" customHeight="1">
      <c r="A621" t="inlineStr">
        <is>
          <t>A 598-2025</t>
        </is>
      </c>
      <c r="B621" s="1" t="n">
        <v>45660</v>
      </c>
      <c r="C621" s="1" t="n">
        <v>46004</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7797-2023</t>
        </is>
      </c>
      <c r="B622" s="1" t="n">
        <v>44973.43075231482</v>
      </c>
      <c r="C622" s="1" t="n">
        <v>46004</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25799-2023</t>
        </is>
      </c>
      <c r="B623" s="1" t="n">
        <v>45090</v>
      </c>
      <c r="C623" s="1" t="n">
        <v>46004</v>
      </c>
      <c r="D623" t="inlineStr">
        <is>
          <t>KALMAR LÄN</t>
        </is>
      </c>
      <c r="E623" t="inlineStr">
        <is>
          <t>VIMMERBY</t>
        </is>
      </c>
      <c r="G623" t="n">
        <v>7.7</v>
      </c>
      <c r="H623" t="n">
        <v>0</v>
      </c>
      <c r="I623" t="n">
        <v>0</v>
      </c>
      <c r="J623" t="n">
        <v>0</v>
      </c>
      <c r="K623" t="n">
        <v>0</v>
      </c>
      <c r="L623" t="n">
        <v>0</v>
      </c>
      <c r="M623" t="n">
        <v>0</v>
      </c>
      <c r="N623" t="n">
        <v>0</v>
      </c>
      <c r="O623" t="n">
        <v>0</v>
      </c>
      <c r="P623" t="n">
        <v>0</v>
      </c>
      <c r="Q623" t="n">
        <v>0</v>
      </c>
      <c r="R623" s="2" t="inlineStr"/>
    </row>
    <row r="624" ht="15" customHeight="1">
      <c r="A624" t="inlineStr">
        <is>
          <t>A 29351-2023</t>
        </is>
      </c>
      <c r="B624" s="1" t="n">
        <v>45106.2610300926</v>
      </c>
      <c r="C624" s="1" t="n">
        <v>46004</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7630-2025</t>
        </is>
      </c>
      <c r="B625" s="1" t="n">
        <v>45705.74418981482</v>
      </c>
      <c r="C625" s="1" t="n">
        <v>46004</v>
      </c>
      <c r="D625" t="inlineStr">
        <is>
          <t>KALMAR LÄN</t>
        </is>
      </c>
      <c r="E625" t="inlineStr">
        <is>
          <t>VIMMERBY</t>
        </is>
      </c>
      <c r="G625" t="n">
        <v>2.5</v>
      </c>
      <c r="H625" t="n">
        <v>0</v>
      </c>
      <c r="I625" t="n">
        <v>0</v>
      </c>
      <c r="J625" t="n">
        <v>0</v>
      </c>
      <c r="K625" t="n">
        <v>0</v>
      </c>
      <c r="L625" t="n">
        <v>0</v>
      </c>
      <c r="M625" t="n">
        <v>0</v>
      </c>
      <c r="N625" t="n">
        <v>0</v>
      </c>
      <c r="O625" t="n">
        <v>0</v>
      </c>
      <c r="P625" t="n">
        <v>0</v>
      </c>
      <c r="Q625" t="n">
        <v>0</v>
      </c>
      <c r="R625" s="2" t="inlineStr"/>
    </row>
    <row r="626" ht="15" customHeight="1">
      <c r="A626" t="inlineStr">
        <is>
          <t>A 1024-2024</t>
        </is>
      </c>
      <c r="B626" s="1" t="n">
        <v>45301.68237268519</v>
      </c>
      <c r="C626" s="1" t="n">
        <v>46004</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53083-2021</t>
        </is>
      </c>
      <c r="B627" s="1" t="n">
        <v>44467.83386574074</v>
      </c>
      <c r="C627" s="1" t="n">
        <v>46004</v>
      </c>
      <c r="D627" t="inlineStr">
        <is>
          <t>KALMAR LÄN</t>
        </is>
      </c>
      <c r="E627" t="inlineStr">
        <is>
          <t>VIMMERBY</t>
        </is>
      </c>
      <c r="G627" t="n">
        <v>6.8</v>
      </c>
      <c r="H627" t="n">
        <v>0</v>
      </c>
      <c r="I627" t="n">
        <v>0</v>
      </c>
      <c r="J627" t="n">
        <v>0</v>
      </c>
      <c r="K627" t="n">
        <v>0</v>
      </c>
      <c r="L627" t="n">
        <v>0</v>
      </c>
      <c r="M627" t="n">
        <v>0</v>
      </c>
      <c r="N627" t="n">
        <v>0</v>
      </c>
      <c r="O627" t="n">
        <v>0</v>
      </c>
      <c r="P627" t="n">
        <v>0</v>
      </c>
      <c r="Q627" t="n">
        <v>0</v>
      </c>
      <c r="R627" s="2" t="inlineStr"/>
    </row>
    <row r="628" ht="15" customHeight="1">
      <c r="A628" t="inlineStr">
        <is>
          <t>A 24655-2021</t>
        </is>
      </c>
      <c r="B628" s="1" t="n">
        <v>44340</v>
      </c>
      <c r="C628" s="1" t="n">
        <v>46004</v>
      </c>
      <c r="D628" t="inlineStr">
        <is>
          <t>KALMAR LÄN</t>
        </is>
      </c>
      <c r="E628" t="inlineStr">
        <is>
          <t>VIMMERBY</t>
        </is>
      </c>
      <c r="G628" t="n">
        <v>14.9</v>
      </c>
      <c r="H628" t="n">
        <v>0</v>
      </c>
      <c r="I628" t="n">
        <v>0</v>
      </c>
      <c r="J628" t="n">
        <v>0</v>
      </c>
      <c r="K628" t="n">
        <v>0</v>
      </c>
      <c r="L628" t="n">
        <v>0</v>
      </c>
      <c r="M628" t="n">
        <v>0</v>
      </c>
      <c r="N628" t="n">
        <v>0</v>
      </c>
      <c r="O628" t="n">
        <v>0</v>
      </c>
      <c r="P628" t="n">
        <v>0</v>
      </c>
      <c r="Q628" t="n">
        <v>0</v>
      </c>
      <c r="R628" s="2" t="inlineStr"/>
    </row>
    <row r="629" ht="15" customHeight="1">
      <c r="A629" t="inlineStr">
        <is>
          <t>A 6807-2025</t>
        </is>
      </c>
      <c r="B629" s="1" t="n">
        <v>45700.68672453704</v>
      </c>
      <c r="C629" s="1" t="n">
        <v>46004</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7047-2022</t>
        </is>
      </c>
      <c r="B630" s="1" t="n">
        <v>44603</v>
      </c>
      <c r="C630" s="1" t="n">
        <v>46004</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10787-2025</t>
        </is>
      </c>
      <c r="B631" s="1" t="n">
        <v>45722.48915509259</v>
      </c>
      <c r="C631" s="1" t="n">
        <v>46004</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35711-2023</t>
        </is>
      </c>
      <c r="B632" s="1" t="n">
        <v>45147.67172453704</v>
      </c>
      <c r="C632" s="1" t="n">
        <v>46004</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5382-2023</t>
        </is>
      </c>
      <c r="B633" s="1" t="n">
        <v>44959.66407407408</v>
      </c>
      <c r="C633" s="1" t="n">
        <v>46004</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40925-2025</t>
        </is>
      </c>
      <c r="B634" s="1" t="n">
        <v>45897.64208333333</v>
      </c>
      <c r="C634" s="1" t="n">
        <v>46004</v>
      </c>
      <c r="D634" t="inlineStr">
        <is>
          <t>KALMAR LÄN</t>
        </is>
      </c>
      <c r="E634" t="inlineStr">
        <is>
          <t>VIMMERBY</t>
        </is>
      </c>
      <c r="G634" t="n">
        <v>1.9</v>
      </c>
      <c r="H634" t="n">
        <v>0</v>
      </c>
      <c r="I634" t="n">
        <v>0</v>
      </c>
      <c r="J634" t="n">
        <v>0</v>
      </c>
      <c r="K634" t="n">
        <v>0</v>
      </c>
      <c r="L634" t="n">
        <v>0</v>
      </c>
      <c r="M634" t="n">
        <v>0</v>
      </c>
      <c r="N634" t="n">
        <v>0</v>
      </c>
      <c r="O634" t="n">
        <v>0</v>
      </c>
      <c r="P634" t="n">
        <v>0</v>
      </c>
      <c r="Q634" t="n">
        <v>0</v>
      </c>
      <c r="R634" s="2" t="inlineStr"/>
    </row>
    <row r="635" ht="15" customHeight="1">
      <c r="A635" t="inlineStr">
        <is>
          <t>A 33838-2022</t>
        </is>
      </c>
      <c r="B635" s="1" t="n">
        <v>44790.49040509259</v>
      </c>
      <c r="C635" s="1" t="n">
        <v>46004</v>
      </c>
      <c r="D635" t="inlineStr">
        <is>
          <t>KALMAR LÄN</t>
        </is>
      </c>
      <c r="E635" t="inlineStr">
        <is>
          <t>VIMMERBY</t>
        </is>
      </c>
      <c r="G635" t="n">
        <v>0.7</v>
      </c>
      <c r="H635" t="n">
        <v>0</v>
      </c>
      <c r="I635" t="n">
        <v>0</v>
      </c>
      <c r="J635" t="n">
        <v>0</v>
      </c>
      <c r="K635" t="n">
        <v>0</v>
      </c>
      <c r="L635" t="n">
        <v>0</v>
      </c>
      <c r="M635" t="n">
        <v>0</v>
      </c>
      <c r="N635" t="n">
        <v>0</v>
      </c>
      <c r="O635" t="n">
        <v>0</v>
      </c>
      <c r="P635" t="n">
        <v>0</v>
      </c>
      <c r="Q635" t="n">
        <v>0</v>
      </c>
      <c r="R635" s="2" t="inlineStr"/>
    </row>
    <row r="636" ht="15" customHeight="1">
      <c r="A636" t="inlineStr">
        <is>
          <t>A 40921-2025</t>
        </is>
      </c>
      <c r="B636" s="1" t="n">
        <v>45897.63520833333</v>
      </c>
      <c r="C636" s="1" t="n">
        <v>46004</v>
      </c>
      <c r="D636" t="inlineStr">
        <is>
          <t>KALMAR LÄN</t>
        </is>
      </c>
      <c r="E636" t="inlineStr">
        <is>
          <t>VIMMERBY</t>
        </is>
      </c>
      <c r="G636" t="n">
        <v>4.2</v>
      </c>
      <c r="H636" t="n">
        <v>0</v>
      </c>
      <c r="I636" t="n">
        <v>0</v>
      </c>
      <c r="J636" t="n">
        <v>0</v>
      </c>
      <c r="K636" t="n">
        <v>0</v>
      </c>
      <c r="L636" t="n">
        <v>0</v>
      </c>
      <c r="M636" t="n">
        <v>0</v>
      </c>
      <c r="N636" t="n">
        <v>0</v>
      </c>
      <c r="O636" t="n">
        <v>0</v>
      </c>
      <c r="P636" t="n">
        <v>0</v>
      </c>
      <c r="Q636" t="n">
        <v>0</v>
      </c>
      <c r="R636" s="2" t="inlineStr"/>
    </row>
    <row r="637" ht="15" customHeight="1">
      <c r="A637" t="inlineStr">
        <is>
          <t>A 40823-2023</t>
        </is>
      </c>
      <c r="B637" s="1" t="n">
        <v>45171.77335648148</v>
      </c>
      <c r="C637" s="1" t="n">
        <v>46004</v>
      </c>
      <c r="D637" t="inlineStr">
        <is>
          <t>KALMAR LÄN</t>
        </is>
      </c>
      <c r="E637" t="inlineStr">
        <is>
          <t>VIMMERBY</t>
        </is>
      </c>
      <c r="G637" t="n">
        <v>2.7</v>
      </c>
      <c r="H637" t="n">
        <v>0</v>
      </c>
      <c r="I637" t="n">
        <v>0</v>
      </c>
      <c r="J637" t="n">
        <v>0</v>
      </c>
      <c r="K637" t="n">
        <v>0</v>
      </c>
      <c r="L637" t="n">
        <v>0</v>
      </c>
      <c r="M637" t="n">
        <v>0</v>
      </c>
      <c r="N637" t="n">
        <v>0</v>
      </c>
      <c r="O637" t="n">
        <v>0</v>
      </c>
      <c r="P637" t="n">
        <v>0</v>
      </c>
      <c r="Q637" t="n">
        <v>0</v>
      </c>
      <c r="R637" s="2" t="inlineStr"/>
    </row>
    <row r="638" ht="15" customHeight="1">
      <c r="A638" t="inlineStr">
        <is>
          <t>A 32835-2022</t>
        </is>
      </c>
      <c r="B638" s="1" t="n">
        <v>44784.42528935185</v>
      </c>
      <c r="C638" s="1" t="n">
        <v>46004</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6218-2025</t>
        </is>
      </c>
      <c r="B639" s="1" t="n">
        <v>45698.53336805556</v>
      </c>
      <c r="C639" s="1" t="n">
        <v>46004</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30920-2023</t>
        </is>
      </c>
      <c r="B640" s="1" t="n">
        <v>45113.43921296296</v>
      </c>
      <c r="C640" s="1" t="n">
        <v>46004</v>
      </c>
      <c r="D640" t="inlineStr">
        <is>
          <t>KALMAR LÄN</t>
        </is>
      </c>
      <c r="E640" t="inlineStr">
        <is>
          <t>VIMMERBY</t>
        </is>
      </c>
      <c r="G640" t="n">
        <v>3.1</v>
      </c>
      <c r="H640" t="n">
        <v>0</v>
      </c>
      <c r="I640" t="n">
        <v>0</v>
      </c>
      <c r="J640" t="n">
        <v>0</v>
      </c>
      <c r="K640" t="n">
        <v>0</v>
      </c>
      <c r="L640" t="n">
        <v>0</v>
      </c>
      <c r="M640" t="n">
        <v>0</v>
      </c>
      <c r="N640" t="n">
        <v>0</v>
      </c>
      <c r="O640" t="n">
        <v>0</v>
      </c>
      <c r="P640" t="n">
        <v>0</v>
      </c>
      <c r="Q640" t="n">
        <v>0</v>
      </c>
      <c r="R640" s="2" t="inlineStr"/>
    </row>
    <row r="641" ht="15" customHeight="1">
      <c r="A641" t="inlineStr">
        <is>
          <t>A 1081-2023</t>
        </is>
      </c>
      <c r="B641" s="1" t="n">
        <v>44935</v>
      </c>
      <c r="C641" s="1" t="n">
        <v>46004</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47063-2022</t>
        </is>
      </c>
      <c r="B642" s="1" t="n">
        <v>44852</v>
      </c>
      <c r="C642" s="1" t="n">
        <v>46004</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28403-2023</t>
        </is>
      </c>
      <c r="B643" s="1" t="n">
        <v>45100.85270833333</v>
      </c>
      <c r="C643" s="1" t="n">
        <v>46004</v>
      </c>
      <c r="D643" t="inlineStr">
        <is>
          <t>KALMAR LÄN</t>
        </is>
      </c>
      <c r="E643" t="inlineStr">
        <is>
          <t>VIMMERBY</t>
        </is>
      </c>
      <c r="G643" t="n">
        <v>1.8</v>
      </c>
      <c r="H643" t="n">
        <v>0</v>
      </c>
      <c r="I643" t="n">
        <v>0</v>
      </c>
      <c r="J643" t="n">
        <v>0</v>
      </c>
      <c r="K643" t="n">
        <v>0</v>
      </c>
      <c r="L643" t="n">
        <v>0</v>
      </c>
      <c r="M643" t="n">
        <v>0</v>
      </c>
      <c r="N643" t="n">
        <v>0</v>
      </c>
      <c r="O643" t="n">
        <v>0</v>
      </c>
      <c r="P643" t="n">
        <v>0</v>
      </c>
      <c r="Q643" t="n">
        <v>0</v>
      </c>
      <c r="R643" s="2" t="inlineStr"/>
    </row>
    <row r="644" ht="15" customHeight="1">
      <c r="A644" t="inlineStr">
        <is>
          <t>A 29350-2023</t>
        </is>
      </c>
      <c r="B644" s="1" t="n">
        <v>45106</v>
      </c>
      <c r="C644" s="1" t="n">
        <v>46004</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33103-2024</t>
        </is>
      </c>
      <c r="B645" s="1" t="n">
        <v>45517.8162037037</v>
      </c>
      <c r="C645" s="1" t="n">
        <v>46004</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6857-2023</t>
        </is>
      </c>
      <c r="B646" s="1" t="n">
        <v>44967.45122685185</v>
      </c>
      <c r="C646" s="1" t="n">
        <v>46004</v>
      </c>
      <c r="D646" t="inlineStr">
        <is>
          <t>KALMAR LÄN</t>
        </is>
      </c>
      <c r="E646" t="inlineStr">
        <is>
          <t>VIMMERBY</t>
        </is>
      </c>
      <c r="G646" t="n">
        <v>2.1</v>
      </c>
      <c r="H646" t="n">
        <v>0</v>
      </c>
      <c r="I646" t="n">
        <v>0</v>
      </c>
      <c r="J646" t="n">
        <v>0</v>
      </c>
      <c r="K646" t="n">
        <v>0</v>
      </c>
      <c r="L646" t="n">
        <v>0</v>
      </c>
      <c r="M646" t="n">
        <v>0</v>
      </c>
      <c r="N646" t="n">
        <v>0</v>
      </c>
      <c r="O646" t="n">
        <v>0</v>
      </c>
      <c r="P646" t="n">
        <v>0</v>
      </c>
      <c r="Q646" t="n">
        <v>0</v>
      </c>
      <c r="R646" s="2" t="inlineStr"/>
    </row>
    <row r="647" ht="15" customHeight="1">
      <c r="A647" t="inlineStr">
        <is>
          <t>A 41224-2025</t>
        </is>
      </c>
      <c r="B647" s="1" t="n">
        <v>45898.58861111111</v>
      </c>
      <c r="C647" s="1" t="n">
        <v>46004</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14855-2025</t>
        </is>
      </c>
      <c r="B648" s="1" t="n">
        <v>45743.41148148148</v>
      </c>
      <c r="C648" s="1" t="n">
        <v>46004</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43601-2024</t>
        </is>
      </c>
      <c r="B649" s="1" t="n">
        <v>45569.44684027778</v>
      </c>
      <c r="C649" s="1" t="n">
        <v>46004</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41591-2025</t>
        </is>
      </c>
      <c r="B650" s="1" t="n">
        <v>45901.6327662037</v>
      </c>
      <c r="C650" s="1" t="n">
        <v>46004</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40971-2025</t>
        </is>
      </c>
      <c r="B651" s="1" t="n">
        <v>45897.88836805556</v>
      </c>
      <c r="C651" s="1" t="n">
        <v>46004</v>
      </c>
      <c r="D651" t="inlineStr">
        <is>
          <t>KALMAR LÄN</t>
        </is>
      </c>
      <c r="E651" t="inlineStr">
        <is>
          <t>VIMMERBY</t>
        </is>
      </c>
      <c r="G651" t="n">
        <v>1.5</v>
      </c>
      <c r="H651" t="n">
        <v>0</v>
      </c>
      <c r="I651" t="n">
        <v>0</v>
      </c>
      <c r="J651" t="n">
        <v>0</v>
      </c>
      <c r="K651" t="n">
        <v>0</v>
      </c>
      <c r="L651" t="n">
        <v>0</v>
      </c>
      <c r="M651" t="n">
        <v>0</v>
      </c>
      <c r="N651" t="n">
        <v>0</v>
      </c>
      <c r="O651" t="n">
        <v>0</v>
      </c>
      <c r="P651" t="n">
        <v>0</v>
      </c>
      <c r="Q651" t="n">
        <v>0</v>
      </c>
      <c r="R651" s="2" t="inlineStr"/>
    </row>
    <row r="652" ht="15" customHeight="1">
      <c r="A652" t="inlineStr">
        <is>
          <t>A 41589-2025</t>
        </is>
      </c>
      <c r="B652" s="1" t="n">
        <v>45901.63219907408</v>
      </c>
      <c r="C652" s="1" t="n">
        <v>46004</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35913-2023</t>
        </is>
      </c>
      <c r="B653" s="1" t="n">
        <v>45148</v>
      </c>
      <c r="C653" s="1" t="n">
        <v>46004</v>
      </c>
      <c r="D653" t="inlineStr">
        <is>
          <t>KALMAR LÄN</t>
        </is>
      </c>
      <c r="E653" t="inlineStr">
        <is>
          <t>VIMMERBY</t>
        </is>
      </c>
      <c r="G653" t="n">
        <v>6.9</v>
      </c>
      <c r="H653" t="n">
        <v>0</v>
      </c>
      <c r="I653" t="n">
        <v>0</v>
      </c>
      <c r="J653" t="n">
        <v>0</v>
      </c>
      <c r="K653" t="n">
        <v>0</v>
      </c>
      <c r="L653" t="n">
        <v>0</v>
      </c>
      <c r="M653" t="n">
        <v>0</v>
      </c>
      <c r="N653" t="n">
        <v>0</v>
      </c>
      <c r="O653" t="n">
        <v>0</v>
      </c>
      <c r="P653" t="n">
        <v>0</v>
      </c>
      <c r="Q653" t="n">
        <v>0</v>
      </c>
      <c r="R653" s="2" t="inlineStr"/>
    </row>
    <row r="654" ht="15" customHeight="1">
      <c r="A654" t="inlineStr">
        <is>
          <t>A 2260-2022</t>
        </is>
      </c>
      <c r="B654" s="1" t="n">
        <v>44578.62943287037</v>
      </c>
      <c r="C654" s="1" t="n">
        <v>46004</v>
      </c>
      <c r="D654" t="inlineStr">
        <is>
          <t>KALMAR LÄN</t>
        </is>
      </c>
      <c r="E654" t="inlineStr">
        <is>
          <t>VIMMERBY</t>
        </is>
      </c>
      <c r="G654" t="n">
        <v>1.4</v>
      </c>
      <c r="H654" t="n">
        <v>0</v>
      </c>
      <c r="I654" t="n">
        <v>0</v>
      </c>
      <c r="J654" t="n">
        <v>0</v>
      </c>
      <c r="K654" t="n">
        <v>0</v>
      </c>
      <c r="L654" t="n">
        <v>0</v>
      </c>
      <c r="M654" t="n">
        <v>0</v>
      </c>
      <c r="N654" t="n">
        <v>0</v>
      </c>
      <c r="O654" t="n">
        <v>0</v>
      </c>
      <c r="P654" t="n">
        <v>0</v>
      </c>
      <c r="Q654" t="n">
        <v>0</v>
      </c>
      <c r="R654" s="2" t="inlineStr"/>
    </row>
    <row r="655" ht="15" customHeight="1">
      <c r="A655" t="inlineStr">
        <is>
          <t>A 40970-2025</t>
        </is>
      </c>
      <c r="B655" s="1" t="n">
        <v>45897.88706018519</v>
      </c>
      <c r="C655" s="1" t="n">
        <v>46004</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40973-2025</t>
        </is>
      </c>
      <c r="B656" s="1" t="n">
        <v>45897.89737268518</v>
      </c>
      <c r="C656" s="1" t="n">
        <v>46004</v>
      </c>
      <c r="D656" t="inlineStr">
        <is>
          <t>KALMAR LÄN</t>
        </is>
      </c>
      <c r="E656" t="inlineStr">
        <is>
          <t>VIMMERBY</t>
        </is>
      </c>
      <c r="G656" t="n">
        <v>1.8</v>
      </c>
      <c r="H656" t="n">
        <v>0</v>
      </c>
      <c r="I656" t="n">
        <v>0</v>
      </c>
      <c r="J656" t="n">
        <v>0</v>
      </c>
      <c r="K656" t="n">
        <v>0</v>
      </c>
      <c r="L656" t="n">
        <v>0</v>
      </c>
      <c r="M656" t="n">
        <v>0</v>
      </c>
      <c r="N656" t="n">
        <v>0</v>
      </c>
      <c r="O656" t="n">
        <v>0</v>
      </c>
      <c r="P656" t="n">
        <v>0</v>
      </c>
      <c r="Q656" t="n">
        <v>0</v>
      </c>
      <c r="R656" s="2" t="inlineStr"/>
    </row>
    <row r="657" ht="15" customHeight="1">
      <c r="A657" t="inlineStr">
        <is>
          <t>A 11661-2023</t>
        </is>
      </c>
      <c r="B657" s="1" t="n">
        <v>44994.46908564815</v>
      </c>
      <c r="C657" s="1" t="n">
        <v>46004</v>
      </c>
      <c r="D657" t="inlineStr">
        <is>
          <t>KALMAR LÄN</t>
        </is>
      </c>
      <c r="E657" t="inlineStr">
        <is>
          <t>VIMMERBY</t>
        </is>
      </c>
      <c r="G657" t="n">
        <v>2.7</v>
      </c>
      <c r="H657" t="n">
        <v>0</v>
      </c>
      <c r="I657" t="n">
        <v>0</v>
      </c>
      <c r="J657" t="n">
        <v>0</v>
      </c>
      <c r="K657" t="n">
        <v>0</v>
      </c>
      <c r="L657" t="n">
        <v>0</v>
      </c>
      <c r="M657" t="n">
        <v>0</v>
      </c>
      <c r="N657" t="n">
        <v>0</v>
      </c>
      <c r="O657" t="n">
        <v>0</v>
      </c>
      <c r="P657" t="n">
        <v>0</v>
      </c>
      <c r="Q657" t="n">
        <v>0</v>
      </c>
      <c r="R657" s="2" t="inlineStr"/>
    </row>
    <row r="658" ht="15" customHeight="1">
      <c r="A658" t="inlineStr">
        <is>
          <t>A 9624-2024</t>
        </is>
      </c>
      <c r="B658" s="1" t="n">
        <v>45361.90282407407</v>
      </c>
      <c r="C658" s="1" t="n">
        <v>46004</v>
      </c>
      <c r="D658" t="inlineStr">
        <is>
          <t>KALMAR LÄN</t>
        </is>
      </c>
      <c r="E658" t="inlineStr">
        <is>
          <t>VIMMERBY</t>
        </is>
      </c>
      <c r="G658" t="n">
        <v>3.8</v>
      </c>
      <c r="H658" t="n">
        <v>0</v>
      </c>
      <c r="I658" t="n">
        <v>0</v>
      </c>
      <c r="J658" t="n">
        <v>0</v>
      </c>
      <c r="K658" t="n">
        <v>0</v>
      </c>
      <c r="L658" t="n">
        <v>0</v>
      </c>
      <c r="M658" t="n">
        <v>0</v>
      </c>
      <c r="N658" t="n">
        <v>0</v>
      </c>
      <c r="O658" t="n">
        <v>0</v>
      </c>
      <c r="P658" t="n">
        <v>0</v>
      </c>
      <c r="Q658" t="n">
        <v>0</v>
      </c>
      <c r="R658" s="2" t="inlineStr"/>
    </row>
    <row r="659" ht="15" customHeight="1">
      <c r="A659" t="inlineStr">
        <is>
          <t>A 3938-2023</t>
        </is>
      </c>
      <c r="B659" s="1" t="n">
        <v>44952.35775462963</v>
      </c>
      <c r="C659" s="1" t="n">
        <v>46004</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58046-2022</t>
        </is>
      </c>
      <c r="B660" s="1" t="n">
        <v>44900.57393518519</v>
      </c>
      <c r="C660" s="1" t="n">
        <v>46004</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45528-2021</t>
        </is>
      </c>
      <c r="B661" s="1" t="n">
        <v>44440.60415509259</v>
      </c>
      <c r="C661" s="1" t="n">
        <v>46004</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46979-2023</t>
        </is>
      </c>
      <c r="B662" s="1" t="n">
        <v>45201</v>
      </c>
      <c r="C662" s="1" t="n">
        <v>46004</v>
      </c>
      <c r="D662" t="inlineStr">
        <is>
          <t>KALMAR LÄN</t>
        </is>
      </c>
      <c r="E662" t="inlineStr">
        <is>
          <t>VIMMERBY</t>
        </is>
      </c>
      <c r="G662" t="n">
        <v>1</v>
      </c>
      <c r="H662" t="n">
        <v>0</v>
      </c>
      <c r="I662" t="n">
        <v>0</v>
      </c>
      <c r="J662" t="n">
        <v>0</v>
      </c>
      <c r="K662" t="n">
        <v>0</v>
      </c>
      <c r="L662" t="n">
        <v>0</v>
      </c>
      <c r="M662" t="n">
        <v>0</v>
      </c>
      <c r="N662" t="n">
        <v>0</v>
      </c>
      <c r="O662" t="n">
        <v>0</v>
      </c>
      <c r="P662" t="n">
        <v>0</v>
      </c>
      <c r="Q662" t="n">
        <v>0</v>
      </c>
      <c r="R662" s="2" t="inlineStr"/>
    </row>
    <row r="663" ht="15" customHeight="1">
      <c r="A663" t="inlineStr">
        <is>
          <t>A 39053-2024</t>
        </is>
      </c>
      <c r="B663" s="1" t="n">
        <v>45548</v>
      </c>
      <c r="C663" s="1" t="n">
        <v>46004</v>
      </c>
      <c r="D663" t="inlineStr">
        <is>
          <t>KALMAR LÄN</t>
        </is>
      </c>
      <c r="E663" t="inlineStr">
        <is>
          <t>VIMMERBY</t>
        </is>
      </c>
      <c r="G663" t="n">
        <v>5</v>
      </c>
      <c r="H663" t="n">
        <v>0</v>
      </c>
      <c r="I663" t="n">
        <v>0</v>
      </c>
      <c r="J663" t="n">
        <v>0</v>
      </c>
      <c r="K663" t="n">
        <v>0</v>
      </c>
      <c r="L663" t="n">
        <v>0</v>
      </c>
      <c r="M663" t="n">
        <v>0</v>
      </c>
      <c r="N663" t="n">
        <v>0</v>
      </c>
      <c r="O663" t="n">
        <v>0</v>
      </c>
      <c r="P663" t="n">
        <v>0</v>
      </c>
      <c r="Q663" t="n">
        <v>0</v>
      </c>
      <c r="R663" s="2" t="inlineStr"/>
    </row>
    <row r="664" ht="15" customHeight="1">
      <c r="A664" t="inlineStr">
        <is>
          <t>A 6574-2023</t>
        </is>
      </c>
      <c r="B664" s="1" t="n">
        <v>44966</v>
      </c>
      <c r="C664" s="1" t="n">
        <v>46004</v>
      </c>
      <c r="D664" t="inlineStr">
        <is>
          <t>KALMAR LÄN</t>
        </is>
      </c>
      <c r="E664" t="inlineStr">
        <is>
          <t>VIMMERBY</t>
        </is>
      </c>
      <c r="G664" t="n">
        <v>2.5</v>
      </c>
      <c r="H664" t="n">
        <v>0</v>
      </c>
      <c r="I664" t="n">
        <v>0</v>
      </c>
      <c r="J664" t="n">
        <v>0</v>
      </c>
      <c r="K664" t="n">
        <v>0</v>
      </c>
      <c r="L664" t="n">
        <v>0</v>
      </c>
      <c r="M664" t="n">
        <v>0</v>
      </c>
      <c r="N664" t="n">
        <v>0</v>
      </c>
      <c r="O664" t="n">
        <v>0</v>
      </c>
      <c r="P664" t="n">
        <v>0</v>
      </c>
      <c r="Q664" t="n">
        <v>0</v>
      </c>
      <c r="R664" s="2" t="inlineStr"/>
    </row>
    <row r="665" ht="15" customHeight="1">
      <c r="A665" t="inlineStr">
        <is>
          <t>A 34090-2025</t>
        </is>
      </c>
      <c r="B665" s="1" t="n">
        <v>45845</v>
      </c>
      <c r="C665" s="1" t="n">
        <v>46004</v>
      </c>
      <c r="D665" t="inlineStr">
        <is>
          <t>KALMAR LÄN</t>
        </is>
      </c>
      <c r="E665" t="inlineStr">
        <is>
          <t>VIMMERBY</t>
        </is>
      </c>
      <c r="G665" t="n">
        <v>2.8</v>
      </c>
      <c r="H665" t="n">
        <v>0</v>
      </c>
      <c r="I665" t="n">
        <v>0</v>
      </c>
      <c r="J665" t="n">
        <v>0</v>
      </c>
      <c r="K665" t="n">
        <v>0</v>
      </c>
      <c r="L665" t="n">
        <v>0</v>
      </c>
      <c r="M665" t="n">
        <v>0</v>
      </c>
      <c r="N665" t="n">
        <v>0</v>
      </c>
      <c r="O665" t="n">
        <v>0</v>
      </c>
      <c r="P665" t="n">
        <v>0</v>
      </c>
      <c r="Q665" t="n">
        <v>0</v>
      </c>
      <c r="R665" s="2" t="inlineStr"/>
    </row>
    <row r="666" ht="15" customHeight="1">
      <c r="A666" t="inlineStr">
        <is>
          <t>A 5792-2023</t>
        </is>
      </c>
      <c r="B666" s="1" t="n">
        <v>44963.44769675926</v>
      </c>
      <c r="C666" s="1" t="n">
        <v>46004</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10303-2025</t>
        </is>
      </c>
      <c r="B667" s="1" t="n">
        <v>45720.44217592593</v>
      </c>
      <c r="C667" s="1" t="n">
        <v>46004</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14451-2024</t>
        </is>
      </c>
      <c r="B668" s="1" t="n">
        <v>45394.50028935185</v>
      </c>
      <c r="C668" s="1" t="n">
        <v>46004</v>
      </c>
      <c r="D668" t="inlineStr">
        <is>
          <t>KALMAR LÄN</t>
        </is>
      </c>
      <c r="E668" t="inlineStr">
        <is>
          <t>VIMMERBY</t>
        </is>
      </c>
      <c r="G668" t="n">
        <v>1.9</v>
      </c>
      <c r="H668" t="n">
        <v>0</v>
      </c>
      <c r="I668" t="n">
        <v>0</v>
      </c>
      <c r="J668" t="n">
        <v>0</v>
      </c>
      <c r="K668" t="n">
        <v>0</v>
      </c>
      <c r="L668" t="n">
        <v>0</v>
      </c>
      <c r="M668" t="n">
        <v>0</v>
      </c>
      <c r="N668" t="n">
        <v>0</v>
      </c>
      <c r="O668" t="n">
        <v>0</v>
      </c>
      <c r="P668" t="n">
        <v>0</v>
      </c>
      <c r="Q668" t="n">
        <v>0</v>
      </c>
      <c r="R668" s="2" t="inlineStr"/>
    </row>
    <row r="669" ht="15" customHeight="1">
      <c r="A669" t="inlineStr">
        <is>
          <t>A 60110-2022</t>
        </is>
      </c>
      <c r="B669" s="1" t="n">
        <v>44909</v>
      </c>
      <c r="C669" s="1" t="n">
        <v>46004</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15394-2025</t>
        </is>
      </c>
      <c r="B670" s="1" t="n">
        <v>45747.43196759259</v>
      </c>
      <c r="C670" s="1" t="n">
        <v>46004</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15388-2025</t>
        </is>
      </c>
      <c r="B671" s="1" t="n">
        <v>45747.42633101852</v>
      </c>
      <c r="C671" s="1" t="n">
        <v>46004</v>
      </c>
      <c r="D671" t="inlineStr">
        <is>
          <t>KALMAR LÄN</t>
        </is>
      </c>
      <c r="E671" t="inlineStr">
        <is>
          <t>VIMMERBY</t>
        </is>
      </c>
      <c r="G671" t="n">
        <v>1.3</v>
      </c>
      <c r="H671" t="n">
        <v>0</v>
      </c>
      <c r="I671" t="n">
        <v>0</v>
      </c>
      <c r="J671" t="n">
        <v>0</v>
      </c>
      <c r="K671" t="n">
        <v>0</v>
      </c>
      <c r="L671" t="n">
        <v>0</v>
      </c>
      <c r="M671" t="n">
        <v>0</v>
      </c>
      <c r="N671" t="n">
        <v>0</v>
      </c>
      <c r="O671" t="n">
        <v>0</v>
      </c>
      <c r="P671" t="n">
        <v>0</v>
      </c>
      <c r="Q671" t="n">
        <v>0</v>
      </c>
      <c r="R671" s="2" t="inlineStr"/>
    </row>
    <row r="672" ht="15" customHeight="1">
      <c r="A672" t="inlineStr">
        <is>
          <t>A 15391-2025</t>
        </is>
      </c>
      <c r="B672" s="1" t="n">
        <v>45747.42958333333</v>
      </c>
      <c r="C672" s="1" t="n">
        <v>46004</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4058-2024</t>
        </is>
      </c>
      <c r="B673" s="1" t="n">
        <v>45323.53744212963</v>
      </c>
      <c r="C673" s="1" t="n">
        <v>46004</v>
      </c>
      <c r="D673" t="inlineStr">
        <is>
          <t>KALMAR LÄN</t>
        </is>
      </c>
      <c r="E673" t="inlineStr">
        <is>
          <t>VIMMERBY</t>
        </is>
      </c>
      <c r="G673" t="n">
        <v>6.5</v>
      </c>
      <c r="H673" t="n">
        <v>0</v>
      </c>
      <c r="I673" t="n">
        <v>0</v>
      </c>
      <c r="J673" t="n">
        <v>0</v>
      </c>
      <c r="K673" t="n">
        <v>0</v>
      </c>
      <c r="L673" t="n">
        <v>0</v>
      </c>
      <c r="M673" t="n">
        <v>0</v>
      </c>
      <c r="N673" t="n">
        <v>0</v>
      </c>
      <c r="O673" t="n">
        <v>0</v>
      </c>
      <c r="P673" t="n">
        <v>0</v>
      </c>
      <c r="Q673" t="n">
        <v>0</v>
      </c>
      <c r="R673" s="2" t="inlineStr"/>
    </row>
    <row r="674" ht="15" customHeight="1">
      <c r="A674" t="inlineStr">
        <is>
          <t>A 34205-2023</t>
        </is>
      </c>
      <c r="B674" s="1" t="n">
        <v>45138</v>
      </c>
      <c r="C674" s="1" t="n">
        <v>46004</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6474-2025</t>
        </is>
      </c>
      <c r="B675" s="1" t="n">
        <v>45699.60055555555</v>
      </c>
      <c r="C675" s="1" t="n">
        <v>46004</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32919-2022</t>
        </is>
      </c>
      <c r="B676" s="1" t="n">
        <v>44784.62724537037</v>
      </c>
      <c r="C676" s="1" t="n">
        <v>46004</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1978-2024</t>
        </is>
      </c>
      <c r="B677" s="1" t="n">
        <v>45308.59001157407</v>
      </c>
      <c r="C677" s="1" t="n">
        <v>46004</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30318-2023</t>
        </is>
      </c>
      <c r="B678" s="1" t="n">
        <v>45111.30824074074</v>
      </c>
      <c r="C678" s="1" t="n">
        <v>46004</v>
      </c>
      <c r="D678" t="inlineStr">
        <is>
          <t>KALMAR LÄN</t>
        </is>
      </c>
      <c r="E678" t="inlineStr">
        <is>
          <t>VIMMERBY</t>
        </is>
      </c>
      <c r="G678" t="n">
        <v>2.6</v>
      </c>
      <c r="H678" t="n">
        <v>0</v>
      </c>
      <c r="I678" t="n">
        <v>0</v>
      </c>
      <c r="J678" t="n">
        <v>0</v>
      </c>
      <c r="K678" t="n">
        <v>0</v>
      </c>
      <c r="L678" t="n">
        <v>0</v>
      </c>
      <c r="M678" t="n">
        <v>0</v>
      </c>
      <c r="N678" t="n">
        <v>0</v>
      </c>
      <c r="O678" t="n">
        <v>0</v>
      </c>
      <c r="P678" t="n">
        <v>0</v>
      </c>
      <c r="Q678" t="n">
        <v>0</v>
      </c>
      <c r="R678" s="2" t="inlineStr"/>
    </row>
    <row r="679" ht="15" customHeight="1">
      <c r="A679" t="inlineStr">
        <is>
          <t>A 41735-2025</t>
        </is>
      </c>
      <c r="B679" s="1" t="n">
        <v>45902.47164351852</v>
      </c>
      <c r="C679" s="1" t="n">
        <v>46004</v>
      </c>
      <c r="D679" t="inlineStr">
        <is>
          <t>KALMAR LÄN</t>
        </is>
      </c>
      <c r="E679" t="inlineStr">
        <is>
          <t>VIMMERBY</t>
        </is>
      </c>
      <c r="G679" t="n">
        <v>3</v>
      </c>
      <c r="H679" t="n">
        <v>0</v>
      </c>
      <c r="I679" t="n">
        <v>0</v>
      </c>
      <c r="J679" t="n">
        <v>0</v>
      </c>
      <c r="K679" t="n">
        <v>0</v>
      </c>
      <c r="L679" t="n">
        <v>0</v>
      </c>
      <c r="M679" t="n">
        <v>0</v>
      </c>
      <c r="N679" t="n">
        <v>0</v>
      </c>
      <c r="O679" t="n">
        <v>0</v>
      </c>
      <c r="P679" t="n">
        <v>0</v>
      </c>
      <c r="Q679" t="n">
        <v>0</v>
      </c>
      <c r="R679" s="2" t="inlineStr"/>
    </row>
    <row r="680" ht="15" customHeight="1">
      <c r="A680" t="inlineStr">
        <is>
          <t>A 25234-2023</t>
        </is>
      </c>
      <c r="B680" s="1" t="n">
        <v>45086.63194444445</v>
      </c>
      <c r="C680" s="1" t="n">
        <v>46004</v>
      </c>
      <c r="D680" t="inlineStr">
        <is>
          <t>KALMAR LÄN</t>
        </is>
      </c>
      <c r="E680" t="inlineStr">
        <is>
          <t>VIMMERBY</t>
        </is>
      </c>
      <c r="G680" t="n">
        <v>2.1</v>
      </c>
      <c r="H680" t="n">
        <v>0</v>
      </c>
      <c r="I680" t="n">
        <v>0</v>
      </c>
      <c r="J680" t="n">
        <v>0</v>
      </c>
      <c r="K680" t="n">
        <v>0</v>
      </c>
      <c r="L680" t="n">
        <v>0</v>
      </c>
      <c r="M680" t="n">
        <v>0</v>
      </c>
      <c r="N680" t="n">
        <v>0</v>
      </c>
      <c r="O680" t="n">
        <v>0</v>
      </c>
      <c r="P680" t="n">
        <v>0</v>
      </c>
      <c r="Q680" t="n">
        <v>0</v>
      </c>
      <c r="R680" s="2" t="inlineStr"/>
    </row>
    <row r="681" ht="15" customHeight="1">
      <c r="A681" t="inlineStr">
        <is>
          <t>A 46078-2023</t>
        </is>
      </c>
      <c r="B681" s="1" t="n">
        <v>45196</v>
      </c>
      <c r="C681" s="1" t="n">
        <v>46004</v>
      </c>
      <c r="D681" t="inlineStr">
        <is>
          <t>KALMAR LÄN</t>
        </is>
      </c>
      <c r="E681" t="inlineStr">
        <is>
          <t>VIMMERBY</t>
        </is>
      </c>
      <c r="G681" t="n">
        <v>0.7</v>
      </c>
      <c r="H681" t="n">
        <v>0</v>
      </c>
      <c r="I681" t="n">
        <v>0</v>
      </c>
      <c r="J681" t="n">
        <v>0</v>
      </c>
      <c r="K681" t="n">
        <v>0</v>
      </c>
      <c r="L681" t="n">
        <v>0</v>
      </c>
      <c r="M681" t="n">
        <v>0</v>
      </c>
      <c r="N681" t="n">
        <v>0</v>
      </c>
      <c r="O681" t="n">
        <v>0</v>
      </c>
      <c r="P681" t="n">
        <v>0</v>
      </c>
      <c r="Q681" t="n">
        <v>0</v>
      </c>
      <c r="R681" s="2" t="inlineStr"/>
    </row>
    <row r="682" ht="15" customHeight="1">
      <c r="A682" t="inlineStr">
        <is>
          <t>A 56659-2023</t>
        </is>
      </c>
      <c r="B682" s="1" t="n">
        <v>45243.84869212963</v>
      </c>
      <c r="C682" s="1" t="n">
        <v>46004</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13015-2022</t>
        </is>
      </c>
      <c r="B683" s="1" t="n">
        <v>44643</v>
      </c>
      <c r="C683" s="1" t="n">
        <v>46004</v>
      </c>
      <c r="D683" t="inlineStr">
        <is>
          <t>KALMAR LÄN</t>
        </is>
      </c>
      <c r="E683" t="inlineStr">
        <is>
          <t>VIMMERBY</t>
        </is>
      </c>
      <c r="G683" t="n">
        <v>2.4</v>
      </c>
      <c r="H683" t="n">
        <v>0</v>
      </c>
      <c r="I683" t="n">
        <v>0</v>
      </c>
      <c r="J683" t="n">
        <v>0</v>
      </c>
      <c r="K683" t="n">
        <v>0</v>
      </c>
      <c r="L683" t="n">
        <v>0</v>
      </c>
      <c r="M683" t="n">
        <v>0</v>
      </c>
      <c r="N683" t="n">
        <v>0</v>
      </c>
      <c r="O683" t="n">
        <v>0</v>
      </c>
      <c r="P683" t="n">
        <v>0</v>
      </c>
      <c r="Q683" t="n">
        <v>0</v>
      </c>
      <c r="R683" s="2" t="inlineStr"/>
    </row>
    <row r="684" ht="15" customHeight="1">
      <c r="A684" t="inlineStr">
        <is>
          <t>A 17968-2025</t>
        </is>
      </c>
      <c r="B684" s="1" t="n">
        <v>45761.35990740741</v>
      </c>
      <c r="C684" s="1" t="n">
        <v>46004</v>
      </c>
      <c r="D684" t="inlineStr">
        <is>
          <t>KALMAR LÄN</t>
        </is>
      </c>
      <c r="E684" t="inlineStr">
        <is>
          <t>VIMMERBY</t>
        </is>
      </c>
      <c r="G684" t="n">
        <v>3.3</v>
      </c>
      <c r="H684" t="n">
        <v>0</v>
      </c>
      <c r="I684" t="n">
        <v>0</v>
      </c>
      <c r="J684" t="n">
        <v>0</v>
      </c>
      <c r="K684" t="n">
        <v>0</v>
      </c>
      <c r="L684" t="n">
        <v>0</v>
      </c>
      <c r="M684" t="n">
        <v>0</v>
      </c>
      <c r="N684" t="n">
        <v>0</v>
      </c>
      <c r="O684" t="n">
        <v>0</v>
      </c>
      <c r="P684" t="n">
        <v>0</v>
      </c>
      <c r="Q684" t="n">
        <v>0</v>
      </c>
      <c r="R684" s="2" t="inlineStr"/>
    </row>
    <row r="685" ht="15" customHeight="1">
      <c r="A685" t="inlineStr">
        <is>
          <t>A 6028-2023</t>
        </is>
      </c>
      <c r="B685" s="1" t="n">
        <v>44964.44356481481</v>
      </c>
      <c r="C685" s="1" t="n">
        <v>46004</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55436-2023</t>
        </is>
      </c>
      <c r="B686" s="1" t="n">
        <v>45238.4328587963</v>
      </c>
      <c r="C686" s="1" t="n">
        <v>46004</v>
      </c>
      <c r="D686" t="inlineStr">
        <is>
          <t>KALMAR LÄN</t>
        </is>
      </c>
      <c r="E686" t="inlineStr">
        <is>
          <t>VIMMERBY</t>
        </is>
      </c>
      <c r="G686" t="n">
        <v>5.6</v>
      </c>
      <c r="H686" t="n">
        <v>0</v>
      </c>
      <c r="I686" t="n">
        <v>0</v>
      </c>
      <c r="J686" t="n">
        <v>0</v>
      </c>
      <c r="K686" t="n">
        <v>0</v>
      </c>
      <c r="L686" t="n">
        <v>0</v>
      </c>
      <c r="M686" t="n">
        <v>0</v>
      </c>
      <c r="N686" t="n">
        <v>0</v>
      </c>
      <c r="O686" t="n">
        <v>0</v>
      </c>
      <c r="P686" t="n">
        <v>0</v>
      </c>
      <c r="Q686" t="n">
        <v>0</v>
      </c>
      <c r="R686" s="2" t="inlineStr"/>
    </row>
    <row r="687" ht="15" customHeight="1">
      <c r="A687" t="inlineStr">
        <is>
          <t>A 3609-2024</t>
        </is>
      </c>
      <c r="B687" s="1" t="n">
        <v>45320.89128472222</v>
      </c>
      <c r="C687" s="1" t="n">
        <v>46004</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56582-2022</t>
        </is>
      </c>
      <c r="B688" s="1" t="n">
        <v>44893</v>
      </c>
      <c r="C688" s="1" t="n">
        <v>46004</v>
      </c>
      <c r="D688" t="inlineStr">
        <is>
          <t>KALMAR LÄN</t>
        </is>
      </c>
      <c r="E688" t="inlineStr">
        <is>
          <t>VIMMERBY</t>
        </is>
      </c>
      <c r="G688" t="n">
        <v>2.2</v>
      </c>
      <c r="H688" t="n">
        <v>0</v>
      </c>
      <c r="I688" t="n">
        <v>0</v>
      </c>
      <c r="J688" t="n">
        <v>0</v>
      </c>
      <c r="K688" t="n">
        <v>0</v>
      </c>
      <c r="L688" t="n">
        <v>0</v>
      </c>
      <c r="M688" t="n">
        <v>0</v>
      </c>
      <c r="N688" t="n">
        <v>0</v>
      </c>
      <c r="O688" t="n">
        <v>0</v>
      </c>
      <c r="P688" t="n">
        <v>0</v>
      </c>
      <c r="Q688" t="n">
        <v>0</v>
      </c>
      <c r="R688" s="2" t="inlineStr"/>
    </row>
    <row r="689" ht="15" customHeight="1">
      <c r="A689" t="inlineStr">
        <is>
          <t>A 10424-2023</t>
        </is>
      </c>
      <c r="B689" s="1" t="n">
        <v>44987.54104166666</v>
      </c>
      <c r="C689" s="1" t="n">
        <v>46004</v>
      </c>
      <c r="D689" t="inlineStr">
        <is>
          <t>KALMAR LÄN</t>
        </is>
      </c>
      <c r="E689" t="inlineStr">
        <is>
          <t>VIMMERBY</t>
        </is>
      </c>
      <c r="G689" t="n">
        <v>0.5</v>
      </c>
      <c r="H689" t="n">
        <v>0</v>
      </c>
      <c r="I689" t="n">
        <v>0</v>
      </c>
      <c r="J689" t="n">
        <v>0</v>
      </c>
      <c r="K689" t="n">
        <v>0</v>
      </c>
      <c r="L689" t="n">
        <v>0</v>
      </c>
      <c r="M689" t="n">
        <v>0</v>
      </c>
      <c r="N689" t="n">
        <v>0</v>
      </c>
      <c r="O689" t="n">
        <v>0</v>
      </c>
      <c r="P689" t="n">
        <v>0</v>
      </c>
      <c r="Q689" t="n">
        <v>0</v>
      </c>
      <c r="R689" s="2" t="inlineStr"/>
    </row>
    <row r="690" ht="15" customHeight="1">
      <c r="A690" t="inlineStr">
        <is>
          <t>A 20-2025</t>
        </is>
      </c>
      <c r="B690" s="1" t="n">
        <v>45658.80232638889</v>
      </c>
      <c r="C690" s="1" t="n">
        <v>46004</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23-2025</t>
        </is>
      </c>
      <c r="B691" s="1" t="n">
        <v>45658.80827546296</v>
      </c>
      <c r="C691" s="1" t="n">
        <v>46004</v>
      </c>
      <c r="D691" t="inlineStr">
        <is>
          <t>KALMAR LÄN</t>
        </is>
      </c>
      <c r="E691" t="inlineStr">
        <is>
          <t>VIMMERBY</t>
        </is>
      </c>
      <c r="G691" t="n">
        <v>1.8</v>
      </c>
      <c r="H691" t="n">
        <v>0</v>
      </c>
      <c r="I691" t="n">
        <v>0</v>
      </c>
      <c r="J691" t="n">
        <v>0</v>
      </c>
      <c r="K691" t="n">
        <v>0</v>
      </c>
      <c r="L691" t="n">
        <v>0</v>
      </c>
      <c r="M691" t="n">
        <v>0</v>
      </c>
      <c r="N691" t="n">
        <v>0</v>
      </c>
      <c r="O691" t="n">
        <v>0</v>
      </c>
      <c r="P691" t="n">
        <v>0</v>
      </c>
      <c r="Q691" t="n">
        <v>0</v>
      </c>
      <c r="R691" s="2" t="inlineStr"/>
    </row>
    <row r="692" ht="15" customHeight="1">
      <c r="A692" t="inlineStr">
        <is>
          <t>A 43962-2024</t>
        </is>
      </c>
      <c r="B692" s="1" t="n">
        <v>45572.48293981481</v>
      </c>
      <c r="C692" s="1" t="n">
        <v>46004</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35713-2023</t>
        </is>
      </c>
      <c r="B693" s="1" t="n">
        <v>45147</v>
      </c>
      <c r="C693" s="1" t="n">
        <v>46004</v>
      </c>
      <c r="D693" t="inlineStr">
        <is>
          <t>KALMAR LÄN</t>
        </is>
      </c>
      <c r="E693" t="inlineStr">
        <is>
          <t>VIMMERBY</t>
        </is>
      </c>
      <c r="G693" t="n">
        <v>1.6</v>
      </c>
      <c r="H693" t="n">
        <v>0</v>
      </c>
      <c r="I693" t="n">
        <v>0</v>
      </c>
      <c r="J693" t="n">
        <v>0</v>
      </c>
      <c r="K693" t="n">
        <v>0</v>
      </c>
      <c r="L693" t="n">
        <v>0</v>
      </c>
      <c r="M693" t="n">
        <v>0</v>
      </c>
      <c r="N693" t="n">
        <v>0</v>
      </c>
      <c r="O693" t="n">
        <v>0</v>
      </c>
      <c r="P693" t="n">
        <v>0</v>
      </c>
      <c r="Q693" t="n">
        <v>0</v>
      </c>
      <c r="R693" s="2" t="inlineStr"/>
    </row>
    <row r="694" ht="15" customHeight="1">
      <c r="A694" t="inlineStr">
        <is>
          <t>A 49382-2023</t>
        </is>
      </c>
      <c r="B694" s="1" t="n">
        <v>45208</v>
      </c>
      <c r="C694" s="1" t="n">
        <v>46004</v>
      </c>
      <c r="D694" t="inlineStr">
        <is>
          <t>KALMAR LÄN</t>
        </is>
      </c>
      <c r="E694" t="inlineStr">
        <is>
          <t>VIMMERBY</t>
        </is>
      </c>
      <c r="G694" t="n">
        <v>2.2</v>
      </c>
      <c r="H694" t="n">
        <v>0</v>
      </c>
      <c r="I694" t="n">
        <v>0</v>
      </c>
      <c r="J694" t="n">
        <v>0</v>
      </c>
      <c r="K694" t="n">
        <v>0</v>
      </c>
      <c r="L694" t="n">
        <v>0</v>
      </c>
      <c r="M694" t="n">
        <v>0</v>
      </c>
      <c r="N694" t="n">
        <v>0</v>
      </c>
      <c r="O694" t="n">
        <v>0</v>
      </c>
      <c r="P694" t="n">
        <v>0</v>
      </c>
      <c r="Q694" t="n">
        <v>0</v>
      </c>
      <c r="R694" s="2" t="inlineStr"/>
    </row>
    <row r="695" ht="15" customHeight="1">
      <c r="A695" t="inlineStr">
        <is>
          <t>A 12810-2023</t>
        </is>
      </c>
      <c r="B695" s="1" t="n">
        <v>45001.43854166667</v>
      </c>
      <c r="C695" s="1" t="n">
        <v>46004</v>
      </c>
      <c r="D695" t="inlineStr">
        <is>
          <t>KALMAR LÄN</t>
        </is>
      </c>
      <c r="E695" t="inlineStr">
        <is>
          <t>VIMMERBY</t>
        </is>
      </c>
      <c r="G695" t="n">
        <v>1.5</v>
      </c>
      <c r="H695" t="n">
        <v>0</v>
      </c>
      <c r="I695" t="n">
        <v>0</v>
      </c>
      <c r="J695" t="n">
        <v>0</v>
      </c>
      <c r="K695" t="n">
        <v>0</v>
      </c>
      <c r="L695" t="n">
        <v>0</v>
      </c>
      <c r="M695" t="n">
        <v>0</v>
      </c>
      <c r="N695" t="n">
        <v>0</v>
      </c>
      <c r="O695" t="n">
        <v>0</v>
      </c>
      <c r="P695" t="n">
        <v>0</v>
      </c>
      <c r="Q695" t="n">
        <v>0</v>
      </c>
      <c r="R695" s="2" t="inlineStr"/>
    </row>
    <row r="696" ht="15" customHeight="1">
      <c r="A696" t="inlineStr">
        <is>
          <t>A 3425-2022</t>
        </is>
      </c>
      <c r="B696" s="1" t="n">
        <v>44585.51060185185</v>
      </c>
      <c r="C696" s="1" t="n">
        <v>46004</v>
      </c>
      <c r="D696" t="inlineStr">
        <is>
          <t>KALMAR LÄN</t>
        </is>
      </c>
      <c r="E696" t="inlineStr">
        <is>
          <t>VIMMERBY</t>
        </is>
      </c>
      <c r="G696" t="n">
        <v>1.3</v>
      </c>
      <c r="H696" t="n">
        <v>0</v>
      </c>
      <c r="I696" t="n">
        <v>0</v>
      </c>
      <c r="J696" t="n">
        <v>0</v>
      </c>
      <c r="K696" t="n">
        <v>0</v>
      </c>
      <c r="L696" t="n">
        <v>0</v>
      </c>
      <c r="M696" t="n">
        <v>0</v>
      </c>
      <c r="N696" t="n">
        <v>0</v>
      </c>
      <c r="O696" t="n">
        <v>0</v>
      </c>
      <c r="P696" t="n">
        <v>0</v>
      </c>
      <c r="Q696" t="n">
        <v>0</v>
      </c>
      <c r="R696" s="2" t="inlineStr"/>
    </row>
    <row r="697" ht="15" customHeight="1">
      <c r="A697" t="inlineStr">
        <is>
          <t>A 60675-2023</t>
        </is>
      </c>
      <c r="B697" s="1" t="n">
        <v>45260.4716550926</v>
      </c>
      <c r="C697" s="1" t="n">
        <v>46004</v>
      </c>
      <c r="D697" t="inlineStr">
        <is>
          <t>KALMAR LÄN</t>
        </is>
      </c>
      <c r="E697" t="inlineStr">
        <is>
          <t>VIMMERBY</t>
        </is>
      </c>
      <c r="G697" t="n">
        <v>1.2</v>
      </c>
      <c r="H697" t="n">
        <v>0</v>
      </c>
      <c r="I697" t="n">
        <v>0</v>
      </c>
      <c r="J697" t="n">
        <v>0</v>
      </c>
      <c r="K697" t="n">
        <v>0</v>
      </c>
      <c r="L697" t="n">
        <v>0</v>
      </c>
      <c r="M697" t="n">
        <v>0</v>
      </c>
      <c r="N697" t="n">
        <v>0</v>
      </c>
      <c r="O697" t="n">
        <v>0</v>
      </c>
      <c r="P697" t="n">
        <v>0</v>
      </c>
      <c r="Q697" t="n">
        <v>0</v>
      </c>
      <c r="R697" s="2" t="inlineStr"/>
    </row>
    <row r="698" ht="15" customHeight="1">
      <c r="A698" t="inlineStr">
        <is>
          <t>A 42828-2025</t>
        </is>
      </c>
      <c r="B698" s="1" t="n">
        <v>45908.57716435185</v>
      </c>
      <c r="C698" s="1" t="n">
        <v>46004</v>
      </c>
      <c r="D698" t="inlineStr">
        <is>
          <t>KALMAR LÄN</t>
        </is>
      </c>
      <c r="E698" t="inlineStr">
        <is>
          <t>VIMMERBY</t>
        </is>
      </c>
      <c r="G698" t="n">
        <v>5.2</v>
      </c>
      <c r="H698" t="n">
        <v>0</v>
      </c>
      <c r="I698" t="n">
        <v>0</v>
      </c>
      <c r="J698" t="n">
        <v>0</v>
      </c>
      <c r="K698" t="n">
        <v>0</v>
      </c>
      <c r="L698" t="n">
        <v>0</v>
      </c>
      <c r="M698" t="n">
        <v>0</v>
      </c>
      <c r="N698" t="n">
        <v>0</v>
      </c>
      <c r="O698" t="n">
        <v>0</v>
      </c>
      <c r="P698" t="n">
        <v>0</v>
      </c>
      <c r="Q698" t="n">
        <v>0</v>
      </c>
      <c r="R698" s="2" t="inlineStr"/>
    </row>
    <row r="699" ht="15" customHeight="1">
      <c r="A699" t="inlineStr">
        <is>
          <t>A 2536-2023</t>
        </is>
      </c>
      <c r="B699" s="1" t="n">
        <v>44943.62954861111</v>
      </c>
      <c r="C699" s="1" t="n">
        <v>46004</v>
      </c>
      <c r="D699" t="inlineStr">
        <is>
          <t>KALMAR LÄN</t>
        </is>
      </c>
      <c r="E699" t="inlineStr">
        <is>
          <t>VIMMERBY</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42794-2025</t>
        </is>
      </c>
      <c r="B700" s="1" t="n">
        <v>45908</v>
      </c>
      <c r="C700" s="1" t="n">
        <v>46004</v>
      </c>
      <c r="D700" t="inlineStr">
        <is>
          <t>KALMAR LÄN</t>
        </is>
      </c>
      <c r="E700" t="inlineStr">
        <is>
          <t>VIMMERBY</t>
        </is>
      </c>
      <c r="G700" t="n">
        <v>0.9</v>
      </c>
      <c r="H700" t="n">
        <v>0</v>
      </c>
      <c r="I700" t="n">
        <v>0</v>
      </c>
      <c r="J700" t="n">
        <v>0</v>
      </c>
      <c r="K700" t="n">
        <v>0</v>
      </c>
      <c r="L700" t="n">
        <v>0</v>
      </c>
      <c r="M700" t="n">
        <v>0</v>
      </c>
      <c r="N700" t="n">
        <v>0</v>
      </c>
      <c r="O700" t="n">
        <v>0</v>
      </c>
      <c r="P700" t="n">
        <v>0</v>
      </c>
      <c r="Q700" t="n">
        <v>0</v>
      </c>
      <c r="R700" s="2" t="inlineStr"/>
    </row>
    <row r="701" ht="15" customHeight="1">
      <c r="A701" t="inlineStr">
        <is>
          <t>A 42820-2025</t>
        </is>
      </c>
      <c r="B701" s="1" t="n">
        <v>45908</v>
      </c>
      <c r="C701" s="1" t="n">
        <v>46004</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40147-2023</t>
        </is>
      </c>
      <c r="B702" s="1" t="n">
        <v>45169</v>
      </c>
      <c r="C702" s="1" t="n">
        <v>46004</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3268-2024</t>
        </is>
      </c>
      <c r="B703" s="1" t="n">
        <v>45317</v>
      </c>
      <c r="C703" s="1" t="n">
        <v>46004</v>
      </c>
      <c r="D703" t="inlineStr">
        <is>
          <t>KALMAR LÄN</t>
        </is>
      </c>
      <c r="E703" t="inlineStr">
        <is>
          <t>VIMMERBY</t>
        </is>
      </c>
      <c r="F703" t="inlineStr">
        <is>
          <t>Övriga Aktiebolag</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46004</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12819-2024</t>
        </is>
      </c>
      <c r="B705" s="1" t="n">
        <v>45384.66917824074</v>
      </c>
      <c r="C705" s="1" t="n">
        <v>46004</v>
      </c>
      <c r="D705" t="inlineStr">
        <is>
          <t>KALMAR LÄN</t>
        </is>
      </c>
      <c r="E705" t="inlineStr">
        <is>
          <t>VIMMERBY</t>
        </is>
      </c>
      <c r="G705" t="n">
        <v>5.1</v>
      </c>
      <c r="H705" t="n">
        <v>0</v>
      </c>
      <c r="I705" t="n">
        <v>0</v>
      </c>
      <c r="J705" t="n">
        <v>0</v>
      </c>
      <c r="K705" t="n">
        <v>0</v>
      </c>
      <c r="L705" t="n">
        <v>0</v>
      </c>
      <c r="M705" t="n">
        <v>0</v>
      </c>
      <c r="N705" t="n">
        <v>0</v>
      </c>
      <c r="O705" t="n">
        <v>0</v>
      </c>
      <c r="P705" t="n">
        <v>0</v>
      </c>
      <c r="Q705" t="n">
        <v>0</v>
      </c>
      <c r="R705" s="2" t="inlineStr"/>
    </row>
    <row r="706" ht="15" customHeight="1">
      <c r="A706" t="inlineStr">
        <is>
          <t>A 34060-2025</t>
        </is>
      </c>
      <c r="B706" s="1" t="n">
        <v>45845.42015046296</v>
      </c>
      <c r="C706" s="1" t="n">
        <v>46004</v>
      </c>
      <c r="D706" t="inlineStr">
        <is>
          <t>KALMAR LÄN</t>
        </is>
      </c>
      <c r="E706" t="inlineStr">
        <is>
          <t>VIMMERBY</t>
        </is>
      </c>
      <c r="G706" t="n">
        <v>5.7</v>
      </c>
      <c r="H706" t="n">
        <v>0</v>
      </c>
      <c r="I706" t="n">
        <v>0</v>
      </c>
      <c r="J706" t="n">
        <v>0</v>
      </c>
      <c r="K706" t="n">
        <v>0</v>
      </c>
      <c r="L706" t="n">
        <v>0</v>
      </c>
      <c r="M706" t="n">
        <v>0</v>
      </c>
      <c r="N706" t="n">
        <v>0</v>
      </c>
      <c r="O706" t="n">
        <v>0</v>
      </c>
      <c r="P706" t="n">
        <v>0</v>
      </c>
      <c r="Q706" t="n">
        <v>0</v>
      </c>
      <c r="R706" s="2" t="inlineStr"/>
    </row>
    <row r="707" ht="15" customHeight="1">
      <c r="A707" t="inlineStr">
        <is>
          <t>A 43465-2025</t>
        </is>
      </c>
      <c r="B707" s="1" t="n">
        <v>45911.47138888889</v>
      </c>
      <c r="C707" s="1" t="n">
        <v>46004</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43617-2025</t>
        </is>
      </c>
      <c r="B708" s="1" t="n">
        <v>45911.67798611111</v>
      </c>
      <c r="C708" s="1" t="n">
        <v>46004</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27993-2022</t>
        </is>
      </c>
      <c r="B709" s="1" t="n">
        <v>44745.84396990741</v>
      </c>
      <c r="C709" s="1" t="n">
        <v>46004</v>
      </c>
      <c r="D709" t="inlineStr">
        <is>
          <t>KALMAR LÄN</t>
        </is>
      </c>
      <c r="E709" t="inlineStr">
        <is>
          <t>VIMMERBY</t>
        </is>
      </c>
      <c r="G709" t="n">
        <v>2.8</v>
      </c>
      <c r="H709" t="n">
        <v>0</v>
      </c>
      <c r="I709" t="n">
        <v>0</v>
      </c>
      <c r="J709" t="n">
        <v>0</v>
      </c>
      <c r="K709" t="n">
        <v>0</v>
      </c>
      <c r="L709" t="n">
        <v>0</v>
      </c>
      <c r="M709" t="n">
        <v>0</v>
      </c>
      <c r="N709" t="n">
        <v>0</v>
      </c>
      <c r="O709" t="n">
        <v>0</v>
      </c>
      <c r="P709" t="n">
        <v>0</v>
      </c>
      <c r="Q709" t="n">
        <v>0</v>
      </c>
      <c r="R709" s="2" t="inlineStr"/>
    </row>
    <row r="710" ht="15" customHeight="1">
      <c r="A710" t="inlineStr">
        <is>
          <t>A 57555-2024</t>
        </is>
      </c>
      <c r="B710" s="1" t="n">
        <v>45630.45069444444</v>
      </c>
      <c r="C710" s="1" t="n">
        <v>46004</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6214-2025</t>
        </is>
      </c>
      <c r="B711" s="1" t="n">
        <v>45698.51711805556</v>
      </c>
      <c r="C711" s="1" t="n">
        <v>46004</v>
      </c>
      <c r="D711" t="inlineStr">
        <is>
          <t>KALMAR LÄN</t>
        </is>
      </c>
      <c r="E711" t="inlineStr">
        <is>
          <t>VIMMERBY</t>
        </is>
      </c>
      <c r="G711" t="n">
        <v>1.2</v>
      </c>
      <c r="H711" t="n">
        <v>0</v>
      </c>
      <c r="I711" t="n">
        <v>0</v>
      </c>
      <c r="J711" t="n">
        <v>0</v>
      </c>
      <c r="K711" t="n">
        <v>0</v>
      </c>
      <c r="L711" t="n">
        <v>0</v>
      </c>
      <c r="M711" t="n">
        <v>0</v>
      </c>
      <c r="N711" t="n">
        <v>0</v>
      </c>
      <c r="O711" t="n">
        <v>0</v>
      </c>
      <c r="P711" t="n">
        <v>0</v>
      </c>
      <c r="Q711" t="n">
        <v>0</v>
      </c>
      <c r="R711" s="2" t="inlineStr"/>
    </row>
    <row r="712" ht="15" customHeight="1">
      <c r="A712" t="inlineStr">
        <is>
          <t>A 32569-2024</t>
        </is>
      </c>
      <c r="B712" s="1" t="n">
        <v>45513.55840277778</v>
      </c>
      <c r="C712" s="1" t="n">
        <v>46004</v>
      </c>
      <c r="D712" t="inlineStr">
        <is>
          <t>KALMAR LÄN</t>
        </is>
      </c>
      <c r="E712" t="inlineStr">
        <is>
          <t>VIMMERBY</t>
        </is>
      </c>
      <c r="G712" t="n">
        <v>3.7</v>
      </c>
      <c r="H712" t="n">
        <v>0</v>
      </c>
      <c r="I712" t="n">
        <v>0</v>
      </c>
      <c r="J712" t="n">
        <v>0</v>
      </c>
      <c r="K712" t="n">
        <v>0</v>
      </c>
      <c r="L712" t="n">
        <v>0</v>
      </c>
      <c r="M712" t="n">
        <v>0</v>
      </c>
      <c r="N712" t="n">
        <v>0</v>
      </c>
      <c r="O712" t="n">
        <v>0</v>
      </c>
      <c r="P712" t="n">
        <v>0</v>
      </c>
      <c r="Q712" t="n">
        <v>0</v>
      </c>
      <c r="R712" s="2" t="inlineStr"/>
    </row>
    <row r="713" ht="15" customHeight="1">
      <c r="A713" t="inlineStr">
        <is>
          <t>A 32575-2024</t>
        </is>
      </c>
      <c r="B713" s="1" t="n">
        <v>45513.56527777778</v>
      </c>
      <c r="C713" s="1" t="n">
        <v>46004</v>
      </c>
      <c r="D713" t="inlineStr">
        <is>
          <t>KALMAR LÄN</t>
        </is>
      </c>
      <c r="E713" t="inlineStr">
        <is>
          <t>VIMMERBY</t>
        </is>
      </c>
      <c r="G713" t="n">
        <v>1.5</v>
      </c>
      <c r="H713" t="n">
        <v>0</v>
      </c>
      <c r="I713" t="n">
        <v>0</v>
      </c>
      <c r="J713" t="n">
        <v>0</v>
      </c>
      <c r="K713" t="n">
        <v>0</v>
      </c>
      <c r="L713" t="n">
        <v>0</v>
      </c>
      <c r="M713" t="n">
        <v>0</v>
      </c>
      <c r="N713" t="n">
        <v>0</v>
      </c>
      <c r="O713" t="n">
        <v>0</v>
      </c>
      <c r="P713" t="n">
        <v>0</v>
      </c>
      <c r="Q713" t="n">
        <v>0</v>
      </c>
      <c r="R713" s="2" t="inlineStr"/>
    </row>
    <row r="714" ht="15" customHeight="1">
      <c r="A714" t="inlineStr">
        <is>
          <t>A 44095-2025</t>
        </is>
      </c>
      <c r="B714" s="1" t="n">
        <v>45915.56430555556</v>
      </c>
      <c r="C714" s="1" t="n">
        <v>46004</v>
      </c>
      <c r="D714" t="inlineStr">
        <is>
          <t>KALMAR LÄN</t>
        </is>
      </c>
      <c r="E714" t="inlineStr">
        <is>
          <t>VIMMERBY</t>
        </is>
      </c>
      <c r="G714" t="n">
        <v>2.4</v>
      </c>
      <c r="H714" t="n">
        <v>0</v>
      </c>
      <c r="I714" t="n">
        <v>0</v>
      </c>
      <c r="J714" t="n">
        <v>0</v>
      </c>
      <c r="K714" t="n">
        <v>0</v>
      </c>
      <c r="L714" t="n">
        <v>0</v>
      </c>
      <c r="M714" t="n">
        <v>0</v>
      </c>
      <c r="N714" t="n">
        <v>0</v>
      </c>
      <c r="O714" t="n">
        <v>0</v>
      </c>
      <c r="P714" t="n">
        <v>0</v>
      </c>
      <c r="Q714" t="n">
        <v>0</v>
      </c>
      <c r="R714" s="2" t="inlineStr"/>
    </row>
    <row r="715" ht="15" customHeight="1">
      <c r="A715" t="inlineStr">
        <is>
          <t>A 36014-2024</t>
        </is>
      </c>
      <c r="B715" s="1" t="n">
        <v>45533.56108796296</v>
      </c>
      <c r="C715" s="1" t="n">
        <v>46004</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36030-2024</t>
        </is>
      </c>
      <c r="B716" s="1" t="n">
        <v>45533.58302083334</v>
      </c>
      <c r="C716" s="1" t="n">
        <v>46004</v>
      </c>
      <c r="D716" t="inlineStr">
        <is>
          <t>KALMAR LÄN</t>
        </is>
      </c>
      <c r="E716" t="inlineStr">
        <is>
          <t>VIMMERBY</t>
        </is>
      </c>
      <c r="F716" t="inlineStr">
        <is>
          <t>Kommuner</t>
        </is>
      </c>
      <c r="G716" t="n">
        <v>4</v>
      </c>
      <c r="H716" t="n">
        <v>0</v>
      </c>
      <c r="I716" t="n">
        <v>0</v>
      </c>
      <c r="J716" t="n">
        <v>0</v>
      </c>
      <c r="K716" t="n">
        <v>0</v>
      </c>
      <c r="L716" t="n">
        <v>0</v>
      </c>
      <c r="M716" t="n">
        <v>0</v>
      </c>
      <c r="N716" t="n">
        <v>0</v>
      </c>
      <c r="O716" t="n">
        <v>0</v>
      </c>
      <c r="P716" t="n">
        <v>0</v>
      </c>
      <c r="Q716" t="n">
        <v>0</v>
      </c>
      <c r="R716" s="2" t="inlineStr"/>
    </row>
    <row r="717" ht="15" customHeight="1">
      <c r="A717" t="inlineStr">
        <is>
          <t>A 32865-2023</t>
        </is>
      </c>
      <c r="B717" s="1" t="n">
        <v>45124</v>
      </c>
      <c r="C717" s="1" t="n">
        <v>46004</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44091-2025</t>
        </is>
      </c>
      <c r="B718" s="1" t="n">
        <v>45915.55950231481</v>
      </c>
      <c r="C718" s="1" t="n">
        <v>46004</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42918-2021</t>
        </is>
      </c>
      <c r="B719" s="1" t="n">
        <v>44431</v>
      </c>
      <c r="C719" s="1" t="n">
        <v>46004</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44517-2025</t>
        </is>
      </c>
      <c r="B720" s="1" t="n">
        <v>45916.7103587963</v>
      </c>
      <c r="C720" s="1" t="n">
        <v>46004</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44742-2025</t>
        </is>
      </c>
      <c r="B721" s="1" t="n">
        <v>45917.67054398148</v>
      </c>
      <c r="C721" s="1" t="n">
        <v>46004</v>
      </c>
      <c r="D721" t="inlineStr">
        <is>
          <t>KALMAR LÄN</t>
        </is>
      </c>
      <c r="E721" t="inlineStr">
        <is>
          <t>VIMMERBY</t>
        </is>
      </c>
      <c r="G721" t="n">
        <v>4.7</v>
      </c>
      <c r="H721" t="n">
        <v>0</v>
      </c>
      <c r="I721" t="n">
        <v>0</v>
      </c>
      <c r="J721" t="n">
        <v>0</v>
      </c>
      <c r="K721" t="n">
        <v>0</v>
      </c>
      <c r="L721" t="n">
        <v>0</v>
      </c>
      <c r="M721" t="n">
        <v>0</v>
      </c>
      <c r="N721" t="n">
        <v>0</v>
      </c>
      <c r="O721" t="n">
        <v>0</v>
      </c>
      <c r="P721" t="n">
        <v>0</v>
      </c>
      <c r="Q721" t="n">
        <v>0</v>
      </c>
      <c r="R721" s="2" t="inlineStr"/>
    </row>
    <row r="722" ht="15" customHeight="1">
      <c r="A722" t="inlineStr">
        <is>
          <t>A 44329-2025</t>
        </is>
      </c>
      <c r="B722" s="1" t="n">
        <v>45916.41019675926</v>
      </c>
      <c r="C722" s="1" t="n">
        <v>46004</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22643-2023</t>
        </is>
      </c>
      <c r="B723" s="1" t="n">
        <v>45071</v>
      </c>
      <c r="C723" s="1" t="n">
        <v>46004</v>
      </c>
      <c r="D723" t="inlineStr">
        <is>
          <t>KALMAR LÄN</t>
        </is>
      </c>
      <c r="E723" t="inlineStr">
        <is>
          <t>VIMMERBY</t>
        </is>
      </c>
      <c r="G723" t="n">
        <v>3.9</v>
      </c>
      <c r="H723" t="n">
        <v>0</v>
      </c>
      <c r="I723" t="n">
        <v>0</v>
      </c>
      <c r="J723" t="n">
        <v>0</v>
      </c>
      <c r="K723" t="n">
        <v>0</v>
      </c>
      <c r="L723" t="n">
        <v>0</v>
      </c>
      <c r="M723" t="n">
        <v>0</v>
      </c>
      <c r="N723" t="n">
        <v>0</v>
      </c>
      <c r="O723" t="n">
        <v>0</v>
      </c>
      <c r="P723" t="n">
        <v>0</v>
      </c>
      <c r="Q723" t="n">
        <v>0</v>
      </c>
      <c r="R723" s="2" t="inlineStr"/>
    </row>
    <row r="724" ht="15" customHeight="1">
      <c r="A724" t="inlineStr">
        <is>
          <t>A 41896-2025</t>
        </is>
      </c>
      <c r="B724" s="1" t="n">
        <v>45903.38800925926</v>
      </c>
      <c r="C724" s="1" t="n">
        <v>46004</v>
      </c>
      <c r="D724" t="inlineStr">
        <is>
          <t>KALMAR LÄN</t>
        </is>
      </c>
      <c r="E724" t="inlineStr">
        <is>
          <t>VIMMERBY</t>
        </is>
      </c>
      <c r="G724" t="n">
        <v>2.9</v>
      </c>
      <c r="H724" t="n">
        <v>0</v>
      </c>
      <c r="I724" t="n">
        <v>0</v>
      </c>
      <c r="J724" t="n">
        <v>0</v>
      </c>
      <c r="K724" t="n">
        <v>0</v>
      </c>
      <c r="L724" t="n">
        <v>0</v>
      </c>
      <c r="M724" t="n">
        <v>0</v>
      </c>
      <c r="N724" t="n">
        <v>0</v>
      </c>
      <c r="O724" t="n">
        <v>0</v>
      </c>
      <c r="P724" t="n">
        <v>0</v>
      </c>
      <c r="Q724" t="n">
        <v>0</v>
      </c>
      <c r="R724" s="2" t="inlineStr"/>
    </row>
    <row r="725" ht="15" customHeight="1">
      <c r="A725" t="inlineStr">
        <is>
          <t>A 18669-2025</t>
        </is>
      </c>
      <c r="B725" s="1" t="n">
        <v>45763.59436342592</v>
      </c>
      <c r="C725" s="1" t="n">
        <v>46004</v>
      </c>
      <c r="D725" t="inlineStr">
        <is>
          <t>KALMAR LÄN</t>
        </is>
      </c>
      <c r="E725" t="inlineStr">
        <is>
          <t>VIMMERBY</t>
        </is>
      </c>
      <c r="G725" t="n">
        <v>2.7</v>
      </c>
      <c r="H725" t="n">
        <v>0</v>
      </c>
      <c r="I725" t="n">
        <v>0</v>
      </c>
      <c r="J725" t="n">
        <v>0</v>
      </c>
      <c r="K725" t="n">
        <v>0</v>
      </c>
      <c r="L725" t="n">
        <v>0</v>
      </c>
      <c r="M725" t="n">
        <v>0</v>
      </c>
      <c r="N725" t="n">
        <v>0</v>
      </c>
      <c r="O725" t="n">
        <v>0</v>
      </c>
      <c r="P725" t="n">
        <v>0</v>
      </c>
      <c r="Q725" t="n">
        <v>0</v>
      </c>
      <c r="R725" s="2" t="inlineStr"/>
    </row>
    <row r="726" ht="15" customHeight="1">
      <c r="A726" t="inlineStr">
        <is>
          <t>A 38780-2021</t>
        </is>
      </c>
      <c r="B726" s="1" t="n">
        <v>44410</v>
      </c>
      <c r="C726" s="1" t="n">
        <v>46004</v>
      </c>
      <c r="D726" t="inlineStr">
        <is>
          <t>KALMAR LÄN</t>
        </is>
      </c>
      <c r="E726" t="inlineStr">
        <is>
          <t>VIMMERBY</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29020-2024</t>
        </is>
      </c>
      <c r="B727" s="1" t="n">
        <v>45481.58048611111</v>
      </c>
      <c r="C727" s="1" t="n">
        <v>46004</v>
      </c>
      <c r="D727" t="inlineStr">
        <is>
          <t>KALMAR LÄN</t>
        </is>
      </c>
      <c r="E727" t="inlineStr">
        <is>
          <t>VIMMERBY</t>
        </is>
      </c>
      <c r="G727" t="n">
        <v>2.3</v>
      </c>
      <c r="H727" t="n">
        <v>0</v>
      </c>
      <c r="I727" t="n">
        <v>0</v>
      </c>
      <c r="J727" t="n">
        <v>0</v>
      </c>
      <c r="K727" t="n">
        <v>0</v>
      </c>
      <c r="L727" t="n">
        <v>0</v>
      </c>
      <c r="M727" t="n">
        <v>0</v>
      </c>
      <c r="N727" t="n">
        <v>0</v>
      </c>
      <c r="O727" t="n">
        <v>0</v>
      </c>
      <c r="P727" t="n">
        <v>0</v>
      </c>
      <c r="Q727" t="n">
        <v>0</v>
      </c>
      <c r="R727" s="2" t="inlineStr"/>
    </row>
    <row r="728" ht="15" customHeight="1">
      <c r="A728" t="inlineStr">
        <is>
          <t>A 30406-2023</t>
        </is>
      </c>
      <c r="B728" s="1" t="n">
        <v>45111.48787037037</v>
      </c>
      <c r="C728" s="1" t="n">
        <v>46004</v>
      </c>
      <c r="D728" t="inlineStr">
        <is>
          <t>KALMAR LÄN</t>
        </is>
      </c>
      <c r="E728" t="inlineStr">
        <is>
          <t>VIMMERBY</t>
        </is>
      </c>
      <c r="G728" t="n">
        <v>2.4</v>
      </c>
      <c r="H728" t="n">
        <v>0</v>
      </c>
      <c r="I728" t="n">
        <v>0</v>
      </c>
      <c r="J728" t="n">
        <v>0</v>
      </c>
      <c r="K728" t="n">
        <v>0</v>
      </c>
      <c r="L728" t="n">
        <v>0</v>
      </c>
      <c r="M728" t="n">
        <v>0</v>
      </c>
      <c r="N728" t="n">
        <v>0</v>
      </c>
      <c r="O728" t="n">
        <v>0</v>
      </c>
      <c r="P728" t="n">
        <v>0</v>
      </c>
      <c r="Q728" t="n">
        <v>0</v>
      </c>
      <c r="R728" s="2" t="inlineStr"/>
    </row>
    <row r="729" ht="15" customHeight="1">
      <c r="A729" t="inlineStr">
        <is>
          <t>A 13817-2024</t>
        </is>
      </c>
      <c r="B729" s="1" t="n">
        <v>45391.41976851852</v>
      </c>
      <c r="C729" s="1" t="n">
        <v>46004</v>
      </c>
      <c r="D729" t="inlineStr">
        <is>
          <t>KALMAR LÄN</t>
        </is>
      </c>
      <c r="E729" t="inlineStr">
        <is>
          <t>VIMMERBY</t>
        </is>
      </c>
      <c r="G729" t="n">
        <v>1</v>
      </c>
      <c r="H729" t="n">
        <v>0</v>
      </c>
      <c r="I729" t="n">
        <v>0</v>
      </c>
      <c r="J729" t="n">
        <v>0</v>
      </c>
      <c r="K729" t="n">
        <v>0</v>
      </c>
      <c r="L729" t="n">
        <v>0</v>
      </c>
      <c r="M729" t="n">
        <v>0</v>
      </c>
      <c r="N729" t="n">
        <v>0</v>
      </c>
      <c r="O729" t="n">
        <v>0</v>
      </c>
      <c r="P729" t="n">
        <v>0</v>
      </c>
      <c r="Q729" t="n">
        <v>0</v>
      </c>
      <c r="R729" s="2" t="inlineStr"/>
    </row>
    <row r="730" ht="15" customHeight="1">
      <c r="A730" t="inlineStr">
        <is>
          <t>A 45114-2025</t>
        </is>
      </c>
      <c r="B730" s="1" t="n">
        <v>45919.42387731482</v>
      </c>
      <c r="C730" s="1" t="n">
        <v>46004</v>
      </c>
      <c r="D730" t="inlineStr">
        <is>
          <t>KALMAR LÄN</t>
        </is>
      </c>
      <c r="E730" t="inlineStr">
        <is>
          <t>VIMMERBY</t>
        </is>
      </c>
      <c r="G730" t="n">
        <v>2.7</v>
      </c>
      <c r="H730" t="n">
        <v>0</v>
      </c>
      <c r="I730" t="n">
        <v>0</v>
      </c>
      <c r="J730" t="n">
        <v>0</v>
      </c>
      <c r="K730" t="n">
        <v>0</v>
      </c>
      <c r="L730" t="n">
        <v>0</v>
      </c>
      <c r="M730" t="n">
        <v>0</v>
      </c>
      <c r="N730" t="n">
        <v>0</v>
      </c>
      <c r="O730" t="n">
        <v>0</v>
      </c>
      <c r="P730" t="n">
        <v>0</v>
      </c>
      <c r="Q730" t="n">
        <v>0</v>
      </c>
      <c r="R730" s="2" t="inlineStr"/>
    </row>
    <row r="731" ht="15" customHeight="1">
      <c r="A731" t="inlineStr">
        <is>
          <t>A 45319-2025</t>
        </is>
      </c>
      <c r="B731" s="1" t="n">
        <v>45921.95611111111</v>
      </c>
      <c r="C731" s="1" t="n">
        <v>46004</v>
      </c>
      <c r="D731" t="inlineStr">
        <is>
          <t>KALMAR LÄN</t>
        </is>
      </c>
      <c r="E731" t="inlineStr">
        <is>
          <t>VIMMERBY</t>
        </is>
      </c>
      <c r="G731" t="n">
        <v>1</v>
      </c>
      <c r="H731" t="n">
        <v>0</v>
      </c>
      <c r="I731" t="n">
        <v>0</v>
      </c>
      <c r="J731" t="n">
        <v>0</v>
      </c>
      <c r="K731" t="n">
        <v>0</v>
      </c>
      <c r="L731" t="n">
        <v>0</v>
      </c>
      <c r="M731" t="n">
        <v>0</v>
      </c>
      <c r="N731" t="n">
        <v>0</v>
      </c>
      <c r="O731" t="n">
        <v>0</v>
      </c>
      <c r="P731" t="n">
        <v>0</v>
      </c>
      <c r="Q731" t="n">
        <v>0</v>
      </c>
      <c r="R731" s="2" t="inlineStr"/>
    </row>
    <row r="732" ht="15" customHeight="1">
      <c r="A732" t="inlineStr">
        <is>
          <t>A 54236-2025</t>
        </is>
      </c>
      <c r="B732" s="1" t="n">
        <v>45964.62671296296</v>
      </c>
      <c r="C732" s="1" t="n">
        <v>46004</v>
      </c>
      <c r="D732" t="inlineStr">
        <is>
          <t>KALMAR LÄN</t>
        </is>
      </c>
      <c r="E732" t="inlineStr">
        <is>
          <t>VIMMERBY</t>
        </is>
      </c>
      <c r="G732" t="n">
        <v>1.3</v>
      </c>
      <c r="H732" t="n">
        <v>0</v>
      </c>
      <c r="I732" t="n">
        <v>0</v>
      </c>
      <c r="J732" t="n">
        <v>0</v>
      </c>
      <c r="K732" t="n">
        <v>0</v>
      </c>
      <c r="L732" t="n">
        <v>0</v>
      </c>
      <c r="M732" t="n">
        <v>0</v>
      </c>
      <c r="N732" t="n">
        <v>0</v>
      </c>
      <c r="O732" t="n">
        <v>0</v>
      </c>
      <c r="P732" t="n">
        <v>0</v>
      </c>
      <c r="Q732" t="n">
        <v>0</v>
      </c>
      <c r="R732" s="2" t="inlineStr"/>
    </row>
    <row r="733" ht="15" customHeight="1">
      <c r="A733" t="inlineStr">
        <is>
          <t>A 45320-2025</t>
        </is>
      </c>
      <c r="B733" s="1" t="n">
        <v>45921.96395833333</v>
      </c>
      <c r="C733" s="1" t="n">
        <v>46004</v>
      </c>
      <c r="D733" t="inlineStr">
        <is>
          <t>KALMAR LÄN</t>
        </is>
      </c>
      <c r="E733" t="inlineStr">
        <is>
          <t>VIMMERBY</t>
        </is>
      </c>
      <c r="G733" t="n">
        <v>1.3</v>
      </c>
      <c r="H733" t="n">
        <v>0</v>
      </c>
      <c r="I733" t="n">
        <v>0</v>
      </c>
      <c r="J733" t="n">
        <v>0</v>
      </c>
      <c r="K733" t="n">
        <v>0</v>
      </c>
      <c r="L733" t="n">
        <v>0</v>
      </c>
      <c r="M733" t="n">
        <v>0</v>
      </c>
      <c r="N733" t="n">
        <v>0</v>
      </c>
      <c r="O733" t="n">
        <v>0</v>
      </c>
      <c r="P733" t="n">
        <v>0</v>
      </c>
      <c r="Q733" t="n">
        <v>0</v>
      </c>
      <c r="R733" s="2" t="inlineStr"/>
    </row>
    <row r="734" ht="15" customHeight="1">
      <c r="A734" t="inlineStr">
        <is>
          <t>A 54234-2025</t>
        </is>
      </c>
      <c r="B734" s="1" t="n">
        <v>45964.62486111111</v>
      </c>
      <c r="C734" s="1" t="n">
        <v>46004</v>
      </c>
      <c r="D734" t="inlineStr">
        <is>
          <t>KALMAR LÄN</t>
        </is>
      </c>
      <c r="E734" t="inlineStr">
        <is>
          <t>VIMMERBY</t>
        </is>
      </c>
      <c r="G734" t="n">
        <v>4.1</v>
      </c>
      <c r="H734" t="n">
        <v>0</v>
      </c>
      <c r="I734" t="n">
        <v>0</v>
      </c>
      <c r="J734" t="n">
        <v>0</v>
      </c>
      <c r="K734" t="n">
        <v>0</v>
      </c>
      <c r="L734" t="n">
        <v>0</v>
      </c>
      <c r="M734" t="n">
        <v>0</v>
      </c>
      <c r="N734" t="n">
        <v>0</v>
      </c>
      <c r="O734" t="n">
        <v>0</v>
      </c>
      <c r="P734" t="n">
        <v>0</v>
      </c>
      <c r="Q734" t="n">
        <v>0</v>
      </c>
      <c r="R734" s="2" t="inlineStr"/>
    </row>
    <row r="735" ht="15" customHeight="1">
      <c r="A735" t="inlineStr">
        <is>
          <t>A 46118-2025</t>
        </is>
      </c>
      <c r="B735" s="1" t="n">
        <v>45924.57697916667</v>
      </c>
      <c r="C735" s="1" t="n">
        <v>46004</v>
      </c>
      <c r="D735" t="inlineStr">
        <is>
          <t>KALMAR LÄN</t>
        </is>
      </c>
      <c r="E735" t="inlineStr">
        <is>
          <t>VIMMERBY</t>
        </is>
      </c>
      <c r="G735" t="n">
        <v>2.9</v>
      </c>
      <c r="H735" t="n">
        <v>0</v>
      </c>
      <c r="I735" t="n">
        <v>0</v>
      </c>
      <c r="J735" t="n">
        <v>0</v>
      </c>
      <c r="K735" t="n">
        <v>0</v>
      </c>
      <c r="L735" t="n">
        <v>0</v>
      </c>
      <c r="M735" t="n">
        <v>0</v>
      </c>
      <c r="N735" t="n">
        <v>0</v>
      </c>
      <c r="O735" t="n">
        <v>0</v>
      </c>
      <c r="P735" t="n">
        <v>0</v>
      </c>
      <c r="Q735" t="n">
        <v>0</v>
      </c>
      <c r="R735" s="2" t="inlineStr"/>
    </row>
    <row r="736" ht="15" customHeight="1">
      <c r="A736" t="inlineStr">
        <is>
          <t>A 46365-2025</t>
        </is>
      </c>
      <c r="B736" s="1" t="n">
        <v>45925.50075231482</v>
      </c>
      <c r="C736" s="1" t="n">
        <v>46004</v>
      </c>
      <c r="D736" t="inlineStr">
        <is>
          <t>KALMAR LÄN</t>
        </is>
      </c>
      <c r="E736" t="inlineStr">
        <is>
          <t>VIMMERBY</t>
        </is>
      </c>
      <c r="G736" t="n">
        <v>5.6</v>
      </c>
      <c r="H736" t="n">
        <v>0</v>
      </c>
      <c r="I736" t="n">
        <v>0</v>
      </c>
      <c r="J736" t="n">
        <v>0</v>
      </c>
      <c r="K736" t="n">
        <v>0</v>
      </c>
      <c r="L736" t="n">
        <v>0</v>
      </c>
      <c r="M736" t="n">
        <v>0</v>
      </c>
      <c r="N736" t="n">
        <v>0</v>
      </c>
      <c r="O736" t="n">
        <v>0</v>
      </c>
      <c r="P736" t="n">
        <v>0</v>
      </c>
      <c r="Q736" t="n">
        <v>0</v>
      </c>
      <c r="R736" s="2" t="inlineStr"/>
    </row>
    <row r="737" ht="15" customHeight="1">
      <c r="A737" t="inlineStr">
        <is>
          <t>A 54737-2025</t>
        </is>
      </c>
      <c r="B737" s="1" t="n">
        <v>45966.56826388889</v>
      </c>
      <c r="C737" s="1" t="n">
        <v>46004</v>
      </c>
      <c r="D737" t="inlineStr">
        <is>
          <t>KALMAR LÄN</t>
        </is>
      </c>
      <c r="E737" t="inlineStr">
        <is>
          <t>VIMMERBY</t>
        </is>
      </c>
      <c r="G737" t="n">
        <v>2.1</v>
      </c>
      <c r="H737" t="n">
        <v>0</v>
      </c>
      <c r="I737" t="n">
        <v>0</v>
      </c>
      <c r="J737" t="n">
        <v>0</v>
      </c>
      <c r="K737" t="n">
        <v>0</v>
      </c>
      <c r="L737" t="n">
        <v>0</v>
      </c>
      <c r="M737" t="n">
        <v>0</v>
      </c>
      <c r="N737" t="n">
        <v>0</v>
      </c>
      <c r="O737" t="n">
        <v>0</v>
      </c>
      <c r="P737" t="n">
        <v>0</v>
      </c>
      <c r="Q737" t="n">
        <v>0</v>
      </c>
      <c r="R737" s="2" t="inlineStr"/>
    </row>
    <row r="738" ht="15" customHeight="1">
      <c r="A738" t="inlineStr">
        <is>
          <t>A 46361-2025</t>
        </is>
      </c>
      <c r="B738" s="1" t="n">
        <v>45925.49670138889</v>
      </c>
      <c r="C738" s="1" t="n">
        <v>46004</v>
      </c>
      <c r="D738" t="inlineStr">
        <is>
          <t>KALMAR LÄN</t>
        </is>
      </c>
      <c r="E738" t="inlineStr">
        <is>
          <t>VIMMERBY</t>
        </is>
      </c>
      <c r="G738" t="n">
        <v>4.2</v>
      </c>
      <c r="H738" t="n">
        <v>0</v>
      </c>
      <c r="I738" t="n">
        <v>0</v>
      </c>
      <c r="J738" t="n">
        <v>0</v>
      </c>
      <c r="K738" t="n">
        <v>0</v>
      </c>
      <c r="L738" t="n">
        <v>0</v>
      </c>
      <c r="M738" t="n">
        <v>0</v>
      </c>
      <c r="N738" t="n">
        <v>0</v>
      </c>
      <c r="O738" t="n">
        <v>0</v>
      </c>
      <c r="P738" t="n">
        <v>0</v>
      </c>
      <c r="Q738" t="n">
        <v>0</v>
      </c>
      <c r="R738" s="2" t="inlineStr"/>
    </row>
    <row r="739" ht="15" customHeight="1">
      <c r="A739" t="inlineStr">
        <is>
          <t>A 22399-2025</t>
        </is>
      </c>
      <c r="B739" s="1" t="n">
        <v>45786.52996527778</v>
      </c>
      <c r="C739" s="1" t="n">
        <v>46004</v>
      </c>
      <c r="D739" t="inlineStr">
        <is>
          <t>KALMAR LÄN</t>
        </is>
      </c>
      <c r="E739" t="inlineStr">
        <is>
          <t>VIMMERBY</t>
        </is>
      </c>
      <c r="G739" t="n">
        <v>2.1</v>
      </c>
      <c r="H739" t="n">
        <v>0</v>
      </c>
      <c r="I739" t="n">
        <v>0</v>
      </c>
      <c r="J739" t="n">
        <v>0</v>
      </c>
      <c r="K739" t="n">
        <v>0</v>
      </c>
      <c r="L739" t="n">
        <v>0</v>
      </c>
      <c r="M739" t="n">
        <v>0</v>
      </c>
      <c r="N739" t="n">
        <v>0</v>
      </c>
      <c r="O739" t="n">
        <v>0</v>
      </c>
      <c r="P739" t="n">
        <v>0</v>
      </c>
      <c r="Q739" t="n">
        <v>0</v>
      </c>
      <c r="R739" s="2" t="inlineStr"/>
    </row>
    <row r="740" ht="15" customHeight="1">
      <c r="A740" t="inlineStr">
        <is>
          <t>A 22397-2025</t>
        </is>
      </c>
      <c r="B740" s="1" t="n">
        <v>45786.52878472222</v>
      </c>
      <c r="C740" s="1" t="n">
        <v>46004</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25582-2024</t>
        </is>
      </c>
      <c r="B741" s="1" t="n">
        <v>45463</v>
      </c>
      <c r="C741" s="1" t="n">
        <v>46004</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54813-2025</t>
        </is>
      </c>
      <c r="B742" s="1" t="n">
        <v>45966.64881944445</v>
      </c>
      <c r="C742" s="1" t="n">
        <v>46004</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46887-2025</t>
        </is>
      </c>
      <c r="B743" s="1" t="n">
        <v>45929.3672337963</v>
      </c>
      <c r="C743" s="1" t="n">
        <v>46004</v>
      </c>
      <c r="D743" t="inlineStr">
        <is>
          <t>KALMAR LÄN</t>
        </is>
      </c>
      <c r="E743" t="inlineStr">
        <is>
          <t>VIMMERBY</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45856-2025</t>
        </is>
      </c>
      <c r="B744" s="1" t="n">
        <v>45923</v>
      </c>
      <c r="C744" s="1" t="n">
        <v>46004</v>
      </c>
      <c r="D744" t="inlineStr">
        <is>
          <t>KALMAR LÄN</t>
        </is>
      </c>
      <c r="E744" t="inlineStr">
        <is>
          <t>VIMMERBY</t>
        </is>
      </c>
      <c r="G744" t="n">
        <v>2.1</v>
      </c>
      <c r="H744" t="n">
        <v>0</v>
      </c>
      <c r="I744" t="n">
        <v>0</v>
      </c>
      <c r="J744" t="n">
        <v>0</v>
      </c>
      <c r="K744" t="n">
        <v>0</v>
      </c>
      <c r="L744" t="n">
        <v>0</v>
      </c>
      <c r="M744" t="n">
        <v>0</v>
      </c>
      <c r="N744" t="n">
        <v>0</v>
      </c>
      <c r="O744" t="n">
        <v>0</v>
      </c>
      <c r="P744" t="n">
        <v>0</v>
      </c>
      <c r="Q744" t="n">
        <v>0</v>
      </c>
      <c r="R744" s="2" t="inlineStr"/>
    </row>
    <row r="745" ht="15" customHeight="1">
      <c r="A745" t="inlineStr">
        <is>
          <t>A 57578-2024</t>
        </is>
      </c>
      <c r="B745" s="1" t="n">
        <v>45630.47564814815</v>
      </c>
      <c r="C745" s="1" t="n">
        <v>46004</v>
      </c>
      <c r="D745" t="inlineStr">
        <is>
          <t>KALMAR LÄN</t>
        </is>
      </c>
      <c r="E745" t="inlineStr">
        <is>
          <t>VIMMERBY</t>
        </is>
      </c>
      <c r="G745" t="n">
        <v>2.6</v>
      </c>
      <c r="H745" t="n">
        <v>0</v>
      </c>
      <c r="I745" t="n">
        <v>0</v>
      </c>
      <c r="J745" t="n">
        <v>0</v>
      </c>
      <c r="K745" t="n">
        <v>0</v>
      </c>
      <c r="L745" t="n">
        <v>0</v>
      </c>
      <c r="M745" t="n">
        <v>0</v>
      </c>
      <c r="N745" t="n">
        <v>0</v>
      </c>
      <c r="O745" t="n">
        <v>0</v>
      </c>
      <c r="P745" t="n">
        <v>0</v>
      </c>
      <c r="Q745" t="n">
        <v>0</v>
      </c>
      <c r="R745" s="2" t="inlineStr"/>
    </row>
    <row r="746" ht="15" customHeight="1">
      <c r="A746" t="inlineStr">
        <is>
          <t>A 6307-2025</t>
        </is>
      </c>
      <c r="B746" s="1" t="n">
        <v>45698.69016203703</v>
      </c>
      <c r="C746" s="1" t="n">
        <v>46004</v>
      </c>
      <c r="D746" t="inlineStr">
        <is>
          <t>KALMAR LÄN</t>
        </is>
      </c>
      <c r="E746" t="inlineStr">
        <is>
          <t>VIMMERBY</t>
        </is>
      </c>
      <c r="G746" t="n">
        <v>3</v>
      </c>
      <c r="H746" t="n">
        <v>0</v>
      </c>
      <c r="I746" t="n">
        <v>0</v>
      </c>
      <c r="J746" t="n">
        <v>0</v>
      </c>
      <c r="K746" t="n">
        <v>0</v>
      </c>
      <c r="L746" t="n">
        <v>0</v>
      </c>
      <c r="M746" t="n">
        <v>0</v>
      </c>
      <c r="N746" t="n">
        <v>0</v>
      </c>
      <c r="O746" t="n">
        <v>0</v>
      </c>
      <c r="P746" t="n">
        <v>0</v>
      </c>
      <c r="Q746" t="n">
        <v>0</v>
      </c>
      <c r="R746" s="2" t="inlineStr"/>
    </row>
    <row r="747" ht="15" customHeight="1">
      <c r="A747" t="inlineStr">
        <is>
          <t>A 45854-2025</t>
        </is>
      </c>
      <c r="B747" s="1" t="n">
        <v>45923</v>
      </c>
      <c r="C747" s="1" t="n">
        <v>46004</v>
      </c>
      <c r="D747" t="inlineStr">
        <is>
          <t>KALMAR LÄN</t>
        </is>
      </c>
      <c r="E747" t="inlineStr">
        <is>
          <t>VIMMERBY</t>
        </is>
      </c>
      <c r="G747" t="n">
        <v>2.2</v>
      </c>
      <c r="H747" t="n">
        <v>0</v>
      </c>
      <c r="I747" t="n">
        <v>0</v>
      </c>
      <c r="J747" t="n">
        <v>0</v>
      </c>
      <c r="K747" t="n">
        <v>0</v>
      </c>
      <c r="L747" t="n">
        <v>0</v>
      </c>
      <c r="M747" t="n">
        <v>0</v>
      </c>
      <c r="N747" t="n">
        <v>0</v>
      </c>
      <c r="O747" t="n">
        <v>0</v>
      </c>
      <c r="P747" t="n">
        <v>0</v>
      </c>
      <c r="Q747" t="n">
        <v>0</v>
      </c>
      <c r="R747" s="2" t="inlineStr"/>
    </row>
    <row r="748" ht="15" customHeight="1">
      <c r="A748" t="inlineStr">
        <is>
          <t>A 45855-2025</t>
        </is>
      </c>
      <c r="B748" s="1" t="n">
        <v>45923</v>
      </c>
      <c r="C748" s="1" t="n">
        <v>46004</v>
      </c>
      <c r="D748" t="inlineStr">
        <is>
          <t>KALMAR LÄN</t>
        </is>
      </c>
      <c r="E748" t="inlineStr">
        <is>
          <t>VIMMERBY</t>
        </is>
      </c>
      <c r="G748" t="n">
        <v>1.4</v>
      </c>
      <c r="H748" t="n">
        <v>0</v>
      </c>
      <c r="I748" t="n">
        <v>0</v>
      </c>
      <c r="J748" t="n">
        <v>0</v>
      </c>
      <c r="K748" t="n">
        <v>0</v>
      </c>
      <c r="L748" t="n">
        <v>0</v>
      </c>
      <c r="M748" t="n">
        <v>0</v>
      </c>
      <c r="N748" t="n">
        <v>0</v>
      </c>
      <c r="O748" t="n">
        <v>0</v>
      </c>
      <c r="P748" t="n">
        <v>0</v>
      </c>
      <c r="Q748" t="n">
        <v>0</v>
      </c>
      <c r="R748" s="2" t="inlineStr"/>
    </row>
    <row r="749" ht="15" customHeight="1">
      <c r="A749" t="inlineStr">
        <is>
          <t>A 11442-2025</t>
        </is>
      </c>
      <c r="B749" s="1" t="n">
        <v>45726.62721064815</v>
      </c>
      <c r="C749" s="1" t="n">
        <v>46004</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55384-2025</t>
        </is>
      </c>
      <c r="B750" s="1" t="n">
        <v>45971.43178240741</v>
      </c>
      <c r="C750" s="1" t="n">
        <v>46004</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55385-2025</t>
        </is>
      </c>
      <c r="B751" s="1" t="n">
        <v>45971.43350694444</v>
      </c>
      <c r="C751" s="1" t="n">
        <v>46004</v>
      </c>
      <c r="D751" t="inlineStr">
        <is>
          <t>KALMAR LÄN</t>
        </is>
      </c>
      <c r="E751" t="inlineStr">
        <is>
          <t>VIMMERBY</t>
        </is>
      </c>
      <c r="G751" t="n">
        <v>5</v>
      </c>
      <c r="H751" t="n">
        <v>0</v>
      </c>
      <c r="I751" t="n">
        <v>0</v>
      </c>
      <c r="J751" t="n">
        <v>0</v>
      </c>
      <c r="K751" t="n">
        <v>0</v>
      </c>
      <c r="L751" t="n">
        <v>0</v>
      </c>
      <c r="M751" t="n">
        <v>0</v>
      </c>
      <c r="N751" t="n">
        <v>0</v>
      </c>
      <c r="O751" t="n">
        <v>0</v>
      </c>
      <c r="P751" t="n">
        <v>0</v>
      </c>
      <c r="Q751" t="n">
        <v>0</v>
      </c>
      <c r="R751" s="2" t="inlineStr"/>
    </row>
    <row r="752" ht="15" customHeight="1">
      <c r="A752" t="inlineStr">
        <is>
          <t>A 55604-2025</t>
        </is>
      </c>
      <c r="B752" s="1" t="n">
        <v>45971</v>
      </c>
      <c r="C752" s="1" t="n">
        <v>46004</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55602-2025</t>
        </is>
      </c>
      <c r="B753" s="1" t="n">
        <v>45971</v>
      </c>
      <c r="C753" s="1" t="n">
        <v>46004</v>
      </c>
      <c r="D753" t="inlineStr">
        <is>
          <t>KALMAR LÄN</t>
        </is>
      </c>
      <c r="E753" t="inlineStr">
        <is>
          <t>VIMMERBY</t>
        </is>
      </c>
      <c r="G753" t="n">
        <v>2.7</v>
      </c>
      <c r="H753" t="n">
        <v>0</v>
      </c>
      <c r="I753" t="n">
        <v>0</v>
      </c>
      <c r="J753" t="n">
        <v>0</v>
      </c>
      <c r="K753" t="n">
        <v>0</v>
      </c>
      <c r="L753" t="n">
        <v>0</v>
      </c>
      <c r="M753" t="n">
        <v>0</v>
      </c>
      <c r="N753" t="n">
        <v>0</v>
      </c>
      <c r="O753" t="n">
        <v>0</v>
      </c>
      <c r="P753" t="n">
        <v>0</v>
      </c>
      <c r="Q753" t="n">
        <v>0</v>
      </c>
      <c r="R753" s="2" t="inlineStr"/>
    </row>
    <row r="754" ht="15" customHeight="1">
      <c r="A754" t="inlineStr">
        <is>
          <t>A 47227-2025</t>
        </is>
      </c>
      <c r="B754" s="1" t="n">
        <v>45930.39769675926</v>
      </c>
      <c r="C754" s="1" t="n">
        <v>46004</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23394-2025</t>
        </is>
      </c>
      <c r="B755" s="1" t="n">
        <v>45791.89865740741</v>
      </c>
      <c r="C755" s="1" t="n">
        <v>46004</v>
      </c>
      <c r="D755" t="inlineStr">
        <is>
          <t>KALMAR LÄN</t>
        </is>
      </c>
      <c r="E755" t="inlineStr">
        <is>
          <t>VIMMERBY</t>
        </is>
      </c>
      <c r="G755" t="n">
        <v>3.1</v>
      </c>
      <c r="H755" t="n">
        <v>0</v>
      </c>
      <c r="I755" t="n">
        <v>0</v>
      </c>
      <c r="J755" t="n">
        <v>0</v>
      </c>
      <c r="K755" t="n">
        <v>0</v>
      </c>
      <c r="L755" t="n">
        <v>0</v>
      </c>
      <c r="M755" t="n">
        <v>0</v>
      </c>
      <c r="N755" t="n">
        <v>0</v>
      </c>
      <c r="O755" t="n">
        <v>0</v>
      </c>
      <c r="P755" t="n">
        <v>0</v>
      </c>
      <c r="Q755" t="n">
        <v>0</v>
      </c>
      <c r="R755" s="2" t="inlineStr"/>
    </row>
    <row r="756" ht="15" customHeight="1">
      <c r="A756" t="inlineStr">
        <is>
          <t>A 55603-2025</t>
        </is>
      </c>
      <c r="B756" s="1" t="n">
        <v>45971</v>
      </c>
      <c r="C756" s="1" t="n">
        <v>46004</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55605-2025</t>
        </is>
      </c>
      <c r="B757" s="1" t="n">
        <v>45971</v>
      </c>
      <c r="C757" s="1" t="n">
        <v>46004</v>
      </c>
      <c r="D757" t="inlineStr">
        <is>
          <t>KALMAR LÄN</t>
        </is>
      </c>
      <c r="E757" t="inlineStr">
        <is>
          <t>VIMMERBY</t>
        </is>
      </c>
      <c r="G757" t="n">
        <v>1.4</v>
      </c>
      <c r="H757" t="n">
        <v>0</v>
      </c>
      <c r="I757" t="n">
        <v>0</v>
      </c>
      <c r="J757" t="n">
        <v>0</v>
      </c>
      <c r="K757" t="n">
        <v>0</v>
      </c>
      <c r="L757" t="n">
        <v>0</v>
      </c>
      <c r="M757" t="n">
        <v>0</v>
      </c>
      <c r="N757" t="n">
        <v>0</v>
      </c>
      <c r="O757" t="n">
        <v>0</v>
      </c>
      <c r="P757" t="n">
        <v>0</v>
      </c>
      <c r="Q757" t="n">
        <v>0</v>
      </c>
      <c r="R757" s="2" t="inlineStr"/>
    </row>
    <row r="758" ht="15" customHeight="1">
      <c r="A758" t="inlineStr">
        <is>
          <t>A 48299-2025</t>
        </is>
      </c>
      <c r="B758" s="1" t="n">
        <v>45933.60982638889</v>
      </c>
      <c r="C758" s="1" t="n">
        <v>46004</v>
      </c>
      <c r="D758" t="inlineStr">
        <is>
          <t>KALMAR LÄN</t>
        </is>
      </c>
      <c r="E758" t="inlineStr">
        <is>
          <t>VIMMERBY</t>
        </is>
      </c>
      <c r="G758" t="n">
        <v>1.8</v>
      </c>
      <c r="H758" t="n">
        <v>0</v>
      </c>
      <c r="I758" t="n">
        <v>0</v>
      </c>
      <c r="J758" t="n">
        <v>0</v>
      </c>
      <c r="K758" t="n">
        <v>0</v>
      </c>
      <c r="L758" t="n">
        <v>0</v>
      </c>
      <c r="M758" t="n">
        <v>0</v>
      </c>
      <c r="N758" t="n">
        <v>0</v>
      </c>
      <c r="O758" t="n">
        <v>0</v>
      </c>
      <c r="P758" t="n">
        <v>0</v>
      </c>
      <c r="Q758" t="n">
        <v>0</v>
      </c>
      <c r="R758" s="2" t="inlineStr"/>
    </row>
    <row r="759" ht="15" customHeight="1">
      <c r="A759" t="inlineStr">
        <is>
          <t>A 23984-2025</t>
        </is>
      </c>
      <c r="B759" s="1" t="n">
        <v>45796</v>
      </c>
      <c r="C759" s="1" t="n">
        <v>46004</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47965-2025</t>
        </is>
      </c>
      <c r="B760" s="1" t="n">
        <v>45932.59597222223</v>
      </c>
      <c r="C760" s="1" t="n">
        <v>46004</v>
      </c>
      <c r="D760" t="inlineStr">
        <is>
          <t>KALMAR LÄN</t>
        </is>
      </c>
      <c r="E760" t="inlineStr">
        <is>
          <t>VIMMERBY</t>
        </is>
      </c>
      <c r="G760" t="n">
        <v>2.2</v>
      </c>
      <c r="H760" t="n">
        <v>0</v>
      </c>
      <c r="I760" t="n">
        <v>0</v>
      </c>
      <c r="J760" t="n">
        <v>0</v>
      </c>
      <c r="K760" t="n">
        <v>0</v>
      </c>
      <c r="L760" t="n">
        <v>0</v>
      </c>
      <c r="M760" t="n">
        <v>0</v>
      </c>
      <c r="N760" t="n">
        <v>0</v>
      </c>
      <c r="O760" t="n">
        <v>0</v>
      </c>
      <c r="P760" t="n">
        <v>0</v>
      </c>
      <c r="Q760" t="n">
        <v>0</v>
      </c>
      <c r="R760" s="2" t="inlineStr"/>
    </row>
    <row r="761" ht="15" customHeight="1">
      <c r="A761" t="inlineStr">
        <is>
          <t>A 47955-2025</t>
        </is>
      </c>
      <c r="B761" s="1" t="n">
        <v>45932.58896990741</v>
      </c>
      <c r="C761" s="1" t="n">
        <v>46004</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48723-2025</t>
        </is>
      </c>
      <c r="B762" s="1" t="n">
        <v>45936.65121527778</v>
      </c>
      <c r="C762" s="1" t="n">
        <v>46004</v>
      </c>
      <c r="D762" t="inlineStr">
        <is>
          <t>KALMAR LÄN</t>
        </is>
      </c>
      <c r="E762" t="inlineStr">
        <is>
          <t>VIMMERBY</t>
        </is>
      </c>
      <c r="G762" t="n">
        <v>3</v>
      </c>
      <c r="H762" t="n">
        <v>0</v>
      </c>
      <c r="I762" t="n">
        <v>0</v>
      </c>
      <c r="J762" t="n">
        <v>0</v>
      </c>
      <c r="K762" t="n">
        <v>0</v>
      </c>
      <c r="L762" t="n">
        <v>0</v>
      </c>
      <c r="M762" t="n">
        <v>0</v>
      </c>
      <c r="N762" t="n">
        <v>0</v>
      </c>
      <c r="O762" t="n">
        <v>0</v>
      </c>
      <c r="P762" t="n">
        <v>0</v>
      </c>
      <c r="Q762" t="n">
        <v>0</v>
      </c>
      <c r="R762" s="2" t="inlineStr"/>
    </row>
    <row r="763" ht="15" customHeight="1">
      <c r="A763" t="inlineStr">
        <is>
          <t>A 35082-2024</t>
        </is>
      </c>
      <c r="B763" s="1" t="n">
        <v>45527.68784722222</v>
      </c>
      <c r="C763" s="1" t="n">
        <v>46004</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48712-2025</t>
        </is>
      </c>
      <c r="B764" s="1" t="n">
        <v>45936.63373842592</v>
      </c>
      <c r="C764" s="1" t="n">
        <v>46004</v>
      </c>
      <c r="D764" t="inlineStr">
        <is>
          <t>KALMAR LÄN</t>
        </is>
      </c>
      <c r="E764" t="inlineStr">
        <is>
          <t>VIMMERBY</t>
        </is>
      </c>
      <c r="G764" t="n">
        <v>3</v>
      </c>
      <c r="H764" t="n">
        <v>0</v>
      </c>
      <c r="I764" t="n">
        <v>0</v>
      </c>
      <c r="J764" t="n">
        <v>0</v>
      </c>
      <c r="K764" t="n">
        <v>0</v>
      </c>
      <c r="L764" t="n">
        <v>0</v>
      </c>
      <c r="M764" t="n">
        <v>0</v>
      </c>
      <c r="N764" t="n">
        <v>0</v>
      </c>
      <c r="O764" t="n">
        <v>0</v>
      </c>
      <c r="P764" t="n">
        <v>0</v>
      </c>
      <c r="Q764" t="n">
        <v>0</v>
      </c>
      <c r="R764" s="2" t="inlineStr"/>
    </row>
    <row r="765" ht="15" customHeight="1">
      <c r="A765" t="inlineStr">
        <is>
          <t>A 51278-2024</t>
        </is>
      </c>
      <c r="B765" s="1" t="n">
        <v>45603.74959490741</v>
      </c>
      <c r="C765" s="1" t="n">
        <v>46004</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48408-2025</t>
        </is>
      </c>
      <c r="B766" s="1" t="n">
        <v>45934.40527777778</v>
      </c>
      <c r="C766" s="1" t="n">
        <v>46004</v>
      </c>
      <c r="D766" t="inlineStr">
        <is>
          <t>KALMAR LÄN</t>
        </is>
      </c>
      <c r="E766" t="inlineStr">
        <is>
          <t>VIMMERBY</t>
        </is>
      </c>
      <c r="G766" t="n">
        <v>2.4</v>
      </c>
      <c r="H766" t="n">
        <v>0</v>
      </c>
      <c r="I766" t="n">
        <v>0</v>
      </c>
      <c r="J766" t="n">
        <v>0</v>
      </c>
      <c r="K766" t="n">
        <v>0</v>
      </c>
      <c r="L766" t="n">
        <v>0</v>
      </c>
      <c r="M766" t="n">
        <v>0</v>
      </c>
      <c r="N766" t="n">
        <v>0</v>
      </c>
      <c r="O766" t="n">
        <v>0</v>
      </c>
      <c r="P766" t="n">
        <v>0</v>
      </c>
      <c r="Q766" t="n">
        <v>0</v>
      </c>
      <c r="R766" s="2" t="inlineStr"/>
    </row>
    <row r="767" ht="15" customHeight="1">
      <c r="A767" t="inlineStr">
        <is>
          <t>A 9456-2025</t>
        </is>
      </c>
      <c r="B767" s="1" t="n">
        <v>45715.44159722222</v>
      </c>
      <c r="C767" s="1" t="n">
        <v>46004</v>
      </c>
      <c r="D767" t="inlineStr">
        <is>
          <t>KALMAR LÄN</t>
        </is>
      </c>
      <c r="E767" t="inlineStr">
        <is>
          <t>VIMMERBY</t>
        </is>
      </c>
      <c r="G767" t="n">
        <v>1.5</v>
      </c>
      <c r="H767" t="n">
        <v>0</v>
      </c>
      <c r="I767" t="n">
        <v>0</v>
      </c>
      <c r="J767" t="n">
        <v>0</v>
      </c>
      <c r="K767" t="n">
        <v>0</v>
      </c>
      <c r="L767" t="n">
        <v>0</v>
      </c>
      <c r="M767" t="n">
        <v>0</v>
      </c>
      <c r="N767" t="n">
        <v>0</v>
      </c>
      <c r="O767" t="n">
        <v>0</v>
      </c>
      <c r="P767" t="n">
        <v>0</v>
      </c>
      <c r="Q767" t="n">
        <v>0</v>
      </c>
      <c r="R767" s="2" t="inlineStr"/>
    </row>
    <row r="768" ht="15" customHeight="1">
      <c r="A768" t="inlineStr">
        <is>
          <t>A 11111-2023</t>
        </is>
      </c>
      <c r="B768" s="1" t="n">
        <v>44992.4255787037</v>
      </c>
      <c r="C768" s="1" t="n">
        <v>46004</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44582-2024</t>
        </is>
      </c>
      <c r="B769" s="1" t="n">
        <v>45574.49298611111</v>
      </c>
      <c r="C769" s="1" t="n">
        <v>46004</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48409-2025</t>
        </is>
      </c>
      <c r="B770" s="1" t="n">
        <v>45934.41387731482</v>
      </c>
      <c r="C770" s="1" t="n">
        <v>46004</v>
      </c>
      <c r="D770" t="inlineStr">
        <is>
          <t>KALMAR LÄN</t>
        </is>
      </c>
      <c r="E770" t="inlineStr">
        <is>
          <t>VIMMERBY</t>
        </is>
      </c>
      <c r="G770" t="n">
        <v>1.2</v>
      </c>
      <c r="H770" t="n">
        <v>0</v>
      </c>
      <c r="I770" t="n">
        <v>0</v>
      </c>
      <c r="J770" t="n">
        <v>0</v>
      </c>
      <c r="K770" t="n">
        <v>0</v>
      </c>
      <c r="L770" t="n">
        <v>0</v>
      </c>
      <c r="M770" t="n">
        <v>0</v>
      </c>
      <c r="N770" t="n">
        <v>0</v>
      </c>
      <c r="O770" t="n">
        <v>0</v>
      </c>
      <c r="P770" t="n">
        <v>0</v>
      </c>
      <c r="Q770" t="n">
        <v>0</v>
      </c>
      <c r="R770" s="2" t="inlineStr"/>
    </row>
    <row r="771" ht="15" customHeight="1">
      <c r="A771" t="inlineStr">
        <is>
          <t>A 48600-2025</t>
        </is>
      </c>
      <c r="B771" s="1" t="n">
        <v>45935</v>
      </c>
      <c r="C771" s="1" t="n">
        <v>46004</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15494-2024</t>
        </is>
      </c>
      <c r="B772" s="1" t="n">
        <v>45401.53033564815</v>
      </c>
      <c r="C772" s="1" t="n">
        <v>46004</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58724-2024</t>
        </is>
      </c>
      <c r="B773" s="1" t="n">
        <v>45635.66409722222</v>
      </c>
      <c r="C773" s="1" t="n">
        <v>46004</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25792-2025</t>
        </is>
      </c>
      <c r="B774" s="1" t="n">
        <v>45804.39141203704</v>
      </c>
      <c r="C774" s="1" t="n">
        <v>46004</v>
      </c>
      <c r="D774" t="inlineStr">
        <is>
          <t>KALMAR LÄN</t>
        </is>
      </c>
      <c r="E774" t="inlineStr">
        <is>
          <t>VIMMERBY</t>
        </is>
      </c>
      <c r="G774" t="n">
        <v>0.8</v>
      </c>
      <c r="H774" t="n">
        <v>0</v>
      </c>
      <c r="I774" t="n">
        <v>0</v>
      </c>
      <c r="J774" t="n">
        <v>0</v>
      </c>
      <c r="K774" t="n">
        <v>0</v>
      </c>
      <c r="L774" t="n">
        <v>0</v>
      </c>
      <c r="M774" t="n">
        <v>0</v>
      </c>
      <c r="N774" t="n">
        <v>0</v>
      </c>
      <c r="O774" t="n">
        <v>0</v>
      </c>
      <c r="P774" t="n">
        <v>0</v>
      </c>
      <c r="Q774" t="n">
        <v>0</v>
      </c>
      <c r="R774" s="2" t="inlineStr"/>
    </row>
    <row r="775" ht="15" customHeight="1">
      <c r="A775" t="inlineStr">
        <is>
          <t>A 26039-2025</t>
        </is>
      </c>
      <c r="B775" s="1" t="n">
        <v>45804.6953587963</v>
      </c>
      <c r="C775" s="1" t="n">
        <v>46004</v>
      </c>
      <c r="D775" t="inlineStr">
        <is>
          <t>KALMAR LÄN</t>
        </is>
      </c>
      <c r="E775" t="inlineStr">
        <is>
          <t>VIMMERBY</t>
        </is>
      </c>
      <c r="F775" t="inlineStr">
        <is>
          <t>Sveaskog</t>
        </is>
      </c>
      <c r="G775" t="n">
        <v>5.2</v>
      </c>
      <c r="H775" t="n">
        <v>0</v>
      </c>
      <c r="I775" t="n">
        <v>0</v>
      </c>
      <c r="J775" t="n">
        <v>0</v>
      </c>
      <c r="K775" t="n">
        <v>0</v>
      </c>
      <c r="L775" t="n">
        <v>0</v>
      </c>
      <c r="M775" t="n">
        <v>0</v>
      </c>
      <c r="N775" t="n">
        <v>0</v>
      </c>
      <c r="O775" t="n">
        <v>0</v>
      </c>
      <c r="P775" t="n">
        <v>0</v>
      </c>
      <c r="Q775" t="n">
        <v>0</v>
      </c>
      <c r="R775" s="2" t="inlineStr"/>
    </row>
    <row r="776" ht="15" customHeight="1">
      <c r="A776" t="inlineStr">
        <is>
          <t>A 26046-2025</t>
        </is>
      </c>
      <c r="B776" s="1" t="n">
        <v>45804.708125</v>
      </c>
      <c r="C776" s="1" t="n">
        <v>46004</v>
      </c>
      <c r="D776" t="inlineStr">
        <is>
          <t>KALMAR LÄN</t>
        </is>
      </c>
      <c r="E776" t="inlineStr">
        <is>
          <t>VIMMERBY</t>
        </is>
      </c>
      <c r="F776" t="inlineStr">
        <is>
          <t>Sveaskog</t>
        </is>
      </c>
      <c r="G776" t="n">
        <v>5.1</v>
      </c>
      <c r="H776" t="n">
        <v>0</v>
      </c>
      <c r="I776" t="n">
        <v>0</v>
      </c>
      <c r="J776" t="n">
        <v>0</v>
      </c>
      <c r="K776" t="n">
        <v>0</v>
      </c>
      <c r="L776" t="n">
        <v>0</v>
      </c>
      <c r="M776" t="n">
        <v>0</v>
      </c>
      <c r="N776" t="n">
        <v>0</v>
      </c>
      <c r="O776" t="n">
        <v>0</v>
      </c>
      <c r="P776" t="n">
        <v>0</v>
      </c>
      <c r="Q776" t="n">
        <v>0</v>
      </c>
      <c r="R776" s="2" t="inlineStr"/>
    </row>
    <row r="777" ht="15" customHeight="1">
      <c r="A777" t="inlineStr">
        <is>
          <t>A 26124-2025</t>
        </is>
      </c>
      <c r="B777" s="1" t="n">
        <v>45805.39247685186</v>
      </c>
      <c r="C777" s="1" t="n">
        <v>46004</v>
      </c>
      <c r="D777" t="inlineStr">
        <is>
          <t>KALMAR LÄN</t>
        </is>
      </c>
      <c r="E777" t="inlineStr">
        <is>
          <t>VIMMERBY</t>
        </is>
      </c>
      <c r="G777" t="n">
        <v>6.6</v>
      </c>
      <c r="H777" t="n">
        <v>0</v>
      </c>
      <c r="I777" t="n">
        <v>0</v>
      </c>
      <c r="J777" t="n">
        <v>0</v>
      </c>
      <c r="K777" t="n">
        <v>0</v>
      </c>
      <c r="L777" t="n">
        <v>0</v>
      </c>
      <c r="M777" t="n">
        <v>0</v>
      </c>
      <c r="N777" t="n">
        <v>0</v>
      </c>
      <c r="O777" t="n">
        <v>0</v>
      </c>
      <c r="P777" t="n">
        <v>0</v>
      </c>
      <c r="Q777" t="n">
        <v>0</v>
      </c>
      <c r="R777" s="2" t="inlineStr"/>
    </row>
    <row r="778" ht="15" customHeight="1">
      <c r="A778" t="inlineStr">
        <is>
          <t>A 26207-2025</t>
        </is>
      </c>
      <c r="B778" s="1" t="n">
        <v>45805.52983796296</v>
      </c>
      <c r="C778" s="1" t="n">
        <v>46004</v>
      </c>
      <c r="D778" t="inlineStr">
        <is>
          <t>KALMAR LÄN</t>
        </is>
      </c>
      <c r="E778" t="inlineStr">
        <is>
          <t>VIMMERBY</t>
        </is>
      </c>
      <c r="G778" t="n">
        <v>0.7</v>
      </c>
      <c r="H778" t="n">
        <v>0</v>
      </c>
      <c r="I778" t="n">
        <v>0</v>
      </c>
      <c r="J778" t="n">
        <v>0</v>
      </c>
      <c r="K778" t="n">
        <v>0</v>
      </c>
      <c r="L778" t="n">
        <v>0</v>
      </c>
      <c r="M778" t="n">
        <v>0</v>
      </c>
      <c r="N778" t="n">
        <v>0</v>
      </c>
      <c r="O778" t="n">
        <v>0</v>
      </c>
      <c r="P778" t="n">
        <v>0</v>
      </c>
      <c r="Q778" t="n">
        <v>0</v>
      </c>
      <c r="R778" s="2" t="inlineStr"/>
    </row>
    <row r="779" ht="15" customHeight="1">
      <c r="A779" t="inlineStr">
        <is>
          <t>A 25830-2025</t>
        </is>
      </c>
      <c r="B779" s="1" t="n">
        <v>45804.44519675926</v>
      </c>
      <c r="C779" s="1" t="n">
        <v>46004</v>
      </c>
      <c r="D779" t="inlineStr">
        <is>
          <t>KALMAR LÄN</t>
        </is>
      </c>
      <c r="E779" t="inlineStr">
        <is>
          <t>VIMMERBY</t>
        </is>
      </c>
      <c r="G779" t="n">
        <v>4.9</v>
      </c>
      <c r="H779" t="n">
        <v>0</v>
      </c>
      <c r="I779" t="n">
        <v>0</v>
      </c>
      <c r="J779" t="n">
        <v>0</v>
      </c>
      <c r="K779" t="n">
        <v>0</v>
      </c>
      <c r="L779" t="n">
        <v>0</v>
      </c>
      <c r="M779" t="n">
        <v>0</v>
      </c>
      <c r="N779" t="n">
        <v>0</v>
      </c>
      <c r="O779" t="n">
        <v>0</v>
      </c>
      <c r="P779" t="n">
        <v>0</v>
      </c>
      <c r="Q779" t="n">
        <v>0</v>
      </c>
      <c r="R779" s="2" t="inlineStr"/>
    </row>
    <row r="780" ht="15" customHeight="1">
      <c r="A780" t="inlineStr">
        <is>
          <t>A 26254-2025</t>
        </is>
      </c>
      <c r="B780" s="1" t="n">
        <v>45805</v>
      </c>
      <c r="C780" s="1" t="n">
        <v>46004</v>
      </c>
      <c r="D780" t="inlineStr">
        <is>
          <t>KALMAR LÄN</t>
        </is>
      </c>
      <c r="E780" t="inlineStr">
        <is>
          <t>VIMMERBY</t>
        </is>
      </c>
      <c r="G780" t="n">
        <v>2</v>
      </c>
      <c r="H780" t="n">
        <v>0</v>
      </c>
      <c r="I780" t="n">
        <v>0</v>
      </c>
      <c r="J780" t="n">
        <v>0</v>
      </c>
      <c r="K780" t="n">
        <v>0</v>
      </c>
      <c r="L780" t="n">
        <v>0</v>
      </c>
      <c r="M780" t="n">
        <v>0</v>
      </c>
      <c r="N780" t="n">
        <v>0</v>
      </c>
      <c r="O780" t="n">
        <v>0</v>
      </c>
      <c r="P780" t="n">
        <v>0</v>
      </c>
      <c r="Q780" t="n">
        <v>0</v>
      </c>
      <c r="R780" s="2" t="inlineStr"/>
    </row>
    <row r="781" ht="15" customHeight="1">
      <c r="A781" t="inlineStr">
        <is>
          <t>A 58442-2025</t>
        </is>
      </c>
      <c r="B781" s="1" t="n">
        <v>45985.61635416667</v>
      </c>
      <c r="C781" s="1" t="n">
        <v>46004</v>
      </c>
      <c r="D781" t="inlineStr">
        <is>
          <t>KALMAR LÄN</t>
        </is>
      </c>
      <c r="E781" t="inlineStr">
        <is>
          <t>VIMMERBY</t>
        </is>
      </c>
      <c r="G781" t="n">
        <v>0.8</v>
      </c>
      <c r="H781" t="n">
        <v>0</v>
      </c>
      <c r="I781" t="n">
        <v>0</v>
      </c>
      <c r="J781" t="n">
        <v>0</v>
      </c>
      <c r="K781" t="n">
        <v>0</v>
      </c>
      <c r="L781" t="n">
        <v>0</v>
      </c>
      <c r="M781" t="n">
        <v>0</v>
      </c>
      <c r="N781" t="n">
        <v>0</v>
      </c>
      <c r="O781" t="n">
        <v>0</v>
      </c>
      <c r="P781" t="n">
        <v>0</v>
      </c>
      <c r="Q781" t="n">
        <v>0</v>
      </c>
      <c r="R781" s="2" t="inlineStr"/>
    </row>
    <row r="782" ht="15" customHeight="1">
      <c r="A782" t="inlineStr">
        <is>
          <t>A 58435-2025</t>
        </is>
      </c>
      <c r="B782" s="1" t="n">
        <v>45985.61501157407</v>
      </c>
      <c r="C782" s="1" t="n">
        <v>46004</v>
      </c>
      <c r="D782" t="inlineStr">
        <is>
          <t>KALMAR LÄN</t>
        </is>
      </c>
      <c r="E782" t="inlineStr">
        <is>
          <t>VIMMERBY</t>
        </is>
      </c>
      <c r="G782" t="n">
        <v>1.3</v>
      </c>
      <c r="H782" t="n">
        <v>0</v>
      </c>
      <c r="I782" t="n">
        <v>0</v>
      </c>
      <c r="J782" t="n">
        <v>0</v>
      </c>
      <c r="K782" t="n">
        <v>0</v>
      </c>
      <c r="L782" t="n">
        <v>0</v>
      </c>
      <c r="M782" t="n">
        <v>0</v>
      </c>
      <c r="N782" t="n">
        <v>0</v>
      </c>
      <c r="O782" t="n">
        <v>0</v>
      </c>
      <c r="P782" t="n">
        <v>0</v>
      </c>
      <c r="Q782" t="n">
        <v>0</v>
      </c>
      <c r="R782" s="2" t="inlineStr"/>
    </row>
    <row r="783" ht="15" customHeight="1">
      <c r="A783" t="inlineStr">
        <is>
          <t>A 58498-2025</t>
        </is>
      </c>
      <c r="B783" s="1" t="n">
        <v>45985.68671296296</v>
      </c>
      <c r="C783" s="1" t="n">
        <v>46004</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58501-2025</t>
        </is>
      </c>
      <c r="B784" s="1" t="n">
        <v>45985.69153935185</v>
      </c>
      <c r="C784" s="1" t="n">
        <v>46004</v>
      </c>
      <c r="D784" t="inlineStr">
        <is>
          <t>KALMAR LÄN</t>
        </is>
      </c>
      <c r="E784" t="inlineStr">
        <is>
          <t>VIMMERBY</t>
        </is>
      </c>
      <c r="G784" t="n">
        <v>1</v>
      </c>
      <c r="H784" t="n">
        <v>0</v>
      </c>
      <c r="I784" t="n">
        <v>0</v>
      </c>
      <c r="J784" t="n">
        <v>0</v>
      </c>
      <c r="K784" t="n">
        <v>0</v>
      </c>
      <c r="L784" t="n">
        <v>0</v>
      </c>
      <c r="M784" t="n">
        <v>0</v>
      </c>
      <c r="N784" t="n">
        <v>0</v>
      </c>
      <c r="O784" t="n">
        <v>0</v>
      </c>
      <c r="P784" t="n">
        <v>0</v>
      </c>
      <c r="Q784" t="n">
        <v>0</v>
      </c>
      <c r="R784" s="2" t="inlineStr"/>
    </row>
    <row r="785" ht="15" customHeight="1">
      <c r="A785" t="inlineStr">
        <is>
          <t>A 58514-2025</t>
        </is>
      </c>
      <c r="B785" s="1" t="n">
        <v>45985.70513888889</v>
      </c>
      <c r="C785" s="1" t="n">
        <v>46004</v>
      </c>
      <c r="D785" t="inlineStr">
        <is>
          <t>KALMAR LÄN</t>
        </is>
      </c>
      <c r="E785" t="inlineStr">
        <is>
          <t>VIMMERBY</t>
        </is>
      </c>
      <c r="G785" t="n">
        <v>3.7</v>
      </c>
      <c r="H785" t="n">
        <v>0</v>
      </c>
      <c r="I785" t="n">
        <v>0</v>
      </c>
      <c r="J785" t="n">
        <v>0</v>
      </c>
      <c r="K785" t="n">
        <v>0</v>
      </c>
      <c r="L785" t="n">
        <v>0</v>
      </c>
      <c r="M785" t="n">
        <v>0</v>
      </c>
      <c r="N785" t="n">
        <v>0</v>
      </c>
      <c r="O785" t="n">
        <v>0</v>
      </c>
      <c r="P785" t="n">
        <v>0</v>
      </c>
      <c r="Q785" t="n">
        <v>0</v>
      </c>
      <c r="R785" s="2" t="inlineStr"/>
    </row>
    <row r="786" ht="15" customHeight="1">
      <c r="A786" t="inlineStr">
        <is>
          <t>A 58500-2025</t>
        </is>
      </c>
      <c r="B786" s="1" t="n">
        <v>45985.69008101852</v>
      </c>
      <c r="C786" s="1" t="n">
        <v>46004</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58503-2025</t>
        </is>
      </c>
      <c r="B787" s="1" t="n">
        <v>45985.69509259259</v>
      </c>
      <c r="C787" s="1" t="n">
        <v>46004</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58446-2025</t>
        </is>
      </c>
      <c r="B788" s="1" t="n">
        <v>45985.62168981481</v>
      </c>
      <c r="C788" s="1" t="n">
        <v>46004</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49871-2025</t>
        </is>
      </c>
      <c r="B789" s="1" t="n">
        <v>45940.54104166666</v>
      </c>
      <c r="C789" s="1" t="n">
        <v>46004</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57728-2025</t>
        </is>
      </c>
      <c r="B790" s="1" t="n">
        <v>45981</v>
      </c>
      <c r="C790" s="1" t="n">
        <v>46004</v>
      </c>
      <c r="D790" t="inlineStr">
        <is>
          <t>KALMAR LÄN</t>
        </is>
      </c>
      <c r="E790" t="inlineStr">
        <is>
          <t>VIMMERBY</t>
        </is>
      </c>
      <c r="G790" t="n">
        <v>0.8</v>
      </c>
      <c r="H790" t="n">
        <v>0</v>
      </c>
      <c r="I790" t="n">
        <v>0</v>
      </c>
      <c r="J790" t="n">
        <v>0</v>
      </c>
      <c r="K790" t="n">
        <v>0</v>
      </c>
      <c r="L790" t="n">
        <v>0</v>
      </c>
      <c r="M790" t="n">
        <v>0</v>
      </c>
      <c r="N790" t="n">
        <v>0</v>
      </c>
      <c r="O790" t="n">
        <v>0</v>
      </c>
      <c r="P790" t="n">
        <v>0</v>
      </c>
      <c r="Q790" t="n">
        <v>0</v>
      </c>
      <c r="R790" s="2" t="inlineStr"/>
    </row>
    <row r="791" ht="15" customHeight="1">
      <c r="A791" t="inlineStr">
        <is>
          <t>A 58841-2025</t>
        </is>
      </c>
      <c r="B791" s="1" t="n">
        <v>45987.36275462963</v>
      </c>
      <c r="C791" s="1" t="n">
        <v>46004</v>
      </c>
      <c r="D791" t="inlineStr">
        <is>
          <t>KALMAR LÄN</t>
        </is>
      </c>
      <c r="E791" t="inlineStr">
        <is>
          <t>VIMMERBY</t>
        </is>
      </c>
      <c r="G791" t="n">
        <v>3.5</v>
      </c>
      <c r="H791" t="n">
        <v>0</v>
      </c>
      <c r="I791" t="n">
        <v>0</v>
      </c>
      <c r="J791" t="n">
        <v>0</v>
      </c>
      <c r="K791" t="n">
        <v>0</v>
      </c>
      <c r="L791" t="n">
        <v>0</v>
      </c>
      <c r="M791" t="n">
        <v>0</v>
      </c>
      <c r="N791" t="n">
        <v>0</v>
      </c>
      <c r="O791" t="n">
        <v>0</v>
      </c>
      <c r="P791" t="n">
        <v>0</v>
      </c>
      <c r="Q791" t="n">
        <v>0</v>
      </c>
      <c r="R791" s="2" t="inlineStr"/>
    </row>
    <row r="792" ht="15" customHeight="1">
      <c r="A792" t="inlineStr">
        <is>
          <t>A 50544-2025</t>
        </is>
      </c>
      <c r="B792" s="1" t="n">
        <v>45945.50736111111</v>
      </c>
      <c r="C792" s="1" t="n">
        <v>46004</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28286-2025</t>
        </is>
      </c>
      <c r="B793" s="1" t="n">
        <v>45818.58993055556</v>
      </c>
      <c r="C793" s="1" t="n">
        <v>46004</v>
      </c>
      <c r="D793" t="inlineStr">
        <is>
          <t>KALMAR LÄN</t>
        </is>
      </c>
      <c r="E793" t="inlineStr">
        <is>
          <t>VIMMERBY</t>
        </is>
      </c>
      <c r="F793" t="inlineStr">
        <is>
          <t>Sveaskog</t>
        </is>
      </c>
      <c r="G793" t="n">
        <v>8</v>
      </c>
      <c r="H793" t="n">
        <v>0</v>
      </c>
      <c r="I793" t="n">
        <v>0</v>
      </c>
      <c r="J793" t="n">
        <v>0</v>
      </c>
      <c r="K793" t="n">
        <v>0</v>
      </c>
      <c r="L793" t="n">
        <v>0</v>
      </c>
      <c r="M793" t="n">
        <v>0</v>
      </c>
      <c r="N793" t="n">
        <v>0</v>
      </c>
      <c r="O793" t="n">
        <v>0</v>
      </c>
      <c r="P793" t="n">
        <v>0</v>
      </c>
      <c r="Q793" t="n">
        <v>0</v>
      </c>
      <c r="R793" s="2" t="inlineStr"/>
    </row>
    <row r="794" ht="15" customHeight="1">
      <c r="A794" t="inlineStr">
        <is>
          <t>A 28282-2025</t>
        </is>
      </c>
      <c r="B794" s="1" t="n">
        <v>45818.58769675926</v>
      </c>
      <c r="C794" s="1" t="n">
        <v>46004</v>
      </c>
      <c r="D794" t="inlineStr">
        <is>
          <t>KALMAR LÄN</t>
        </is>
      </c>
      <c r="E794" t="inlineStr">
        <is>
          <t>VIMMERBY</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28294-2025</t>
        </is>
      </c>
      <c r="B795" s="1" t="n">
        <v>45818.595625</v>
      </c>
      <c r="C795" s="1" t="n">
        <v>46004</v>
      </c>
      <c r="D795" t="inlineStr">
        <is>
          <t>KALMAR LÄN</t>
        </is>
      </c>
      <c r="E795" t="inlineStr">
        <is>
          <t>VIMMERBY</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28290-2025</t>
        </is>
      </c>
      <c r="B796" s="1" t="n">
        <v>45818.59261574074</v>
      </c>
      <c r="C796" s="1" t="n">
        <v>46004</v>
      </c>
      <c r="D796" t="inlineStr">
        <is>
          <t>KALMAR LÄN</t>
        </is>
      </c>
      <c r="E796" t="inlineStr">
        <is>
          <t>VIMMERBY</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58858-2025</t>
        </is>
      </c>
      <c r="B797" s="1" t="n">
        <v>45987.4243287037</v>
      </c>
      <c r="C797" s="1" t="n">
        <v>46004</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28280-2025</t>
        </is>
      </c>
      <c r="B798" s="1" t="n">
        <v>45818.5862037037</v>
      </c>
      <c r="C798" s="1" t="n">
        <v>46004</v>
      </c>
      <c r="D798" t="inlineStr">
        <is>
          <t>KALMAR LÄN</t>
        </is>
      </c>
      <c r="E798" t="inlineStr">
        <is>
          <t>VIMMERBY</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50324-2025</t>
        </is>
      </c>
      <c r="B799" s="1" t="n">
        <v>45944.45962962963</v>
      </c>
      <c r="C799" s="1" t="n">
        <v>46004</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28620-2025</t>
        </is>
      </c>
      <c r="B800" s="1" t="n">
        <v>45819.61060185185</v>
      </c>
      <c r="C800" s="1" t="n">
        <v>46004</v>
      </c>
      <c r="D800" t="inlineStr">
        <is>
          <t>KALMAR LÄN</t>
        </is>
      </c>
      <c r="E800" t="inlineStr">
        <is>
          <t>VIMMERBY</t>
        </is>
      </c>
      <c r="G800" t="n">
        <v>5.6</v>
      </c>
      <c r="H800" t="n">
        <v>0</v>
      </c>
      <c r="I800" t="n">
        <v>0</v>
      </c>
      <c r="J800" t="n">
        <v>0</v>
      </c>
      <c r="K800" t="n">
        <v>0</v>
      </c>
      <c r="L800" t="n">
        <v>0</v>
      </c>
      <c r="M800" t="n">
        <v>0</v>
      </c>
      <c r="N800" t="n">
        <v>0</v>
      </c>
      <c r="O800" t="n">
        <v>0</v>
      </c>
      <c r="P800" t="n">
        <v>0</v>
      </c>
      <c r="Q800" t="n">
        <v>0</v>
      </c>
      <c r="R800" s="2" t="inlineStr"/>
    </row>
    <row r="801" ht="15" customHeight="1">
      <c r="A801" t="inlineStr">
        <is>
          <t>A 28712-2025</t>
        </is>
      </c>
      <c r="B801" s="1" t="n">
        <v>45820.33708333333</v>
      </c>
      <c r="C801" s="1" t="n">
        <v>46004</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28714-2025</t>
        </is>
      </c>
      <c r="B802" s="1" t="n">
        <v>45820.34128472222</v>
      </c>
      <c r="C802" s="1" t="n">
        <v>46004</v>
      </c>
      <c r="D802" t="inlineStr">
        <is>
          <t>KALMAR LÄN</t>
        </is>
      </c>
      <c r="E802" t="inlineStr">
        <is>
          <t>VIMMERBY</t>
        </is>
      </c>
      <c r="G802" t="n">
        <v>1.8</v>
      </c>
      <c r="H802" t="n">
        <v>0</v>
      </c>
      <c r="I802" t="n">
        <v>0</v>
      </c>
      <c r="J802" t="n">
        <v>0</v>
      </c>
      <c r="K802" t="n">
        <v>0</v>
      </c>
      <c r="L802" t="n">
        <v>0</v>
      </c>
      <c r="M802" t="n">
        <v>0</v>
      </c>
      <c r="N802" t="n">
        <v>0</v>
      </c>
      <c r="O802" t="n">
        <v>0</v>
      </c>
      <c r="P802" t="n">
        <v>0</v>
      </c>
      <c r="Q802" t="n">
        <v>0</v>
      </c>
      <c r="R802" s="2" t="inlineStr"/>
    </row>
    <row r="803" ht="15" customHeight="1">
      <c r="A803" t="inlineStr">
        <is>
          <t>A 28713-2025</t>
        </is>
      </c>
      <c r="B803" s="1" t="n">
        <v>45820.33930555556</v>
      </c>
      <c r="C803" s="1" t="n">
        <v>46004</v>
      </c>
      <c r="D803" t="inlineStr">
        <is>
          <t>KALMAR LÄN</t>
        </is>
      </c>
      <c r="E803" t="inlineStr">
        <is>
          <t>VIMMERBY</t>
        </is>
      </c>
      <c r="G803" t="n">
        <v>2.3</v>
      </c>
      <c r="H803" t="n">
        <v>0</v>
      </c>
      <c r="I803" t="n">
        <v>0</v>
      </c>
      <c r="J803" t="n">
        <v>0</v>
      </c>
      <c r="K803" t="n">
        <v>0</v>
      </c>
      <c r="L803" t="n">
        <v>0</v>
      </c>
      <c r="M803" t="n">
        <v>0</v>
      </c>
      <c r="N803" t="n">
        <v>0</v>
      </c>
      <c r="O803" t="n">
        <v>0</v>
      </c>
      <c r="P803" t="n">
        <v>0</v>
      </c>
      <c r="Q803" t="n">
        <v>0</v>
      </c>
      <c r="R803" s="2" t="inlineStr"/>
    </row>
    <row r="804" ht="15" customHeight="1">
      <c r="A804" t="inlineStr">
        <is>
          <t>A 51062-2025</t>
        </is>
      </c>
      <c r="B804" s="1" t="n">
        <v>45947.44685185186</v>
      </c>
      <c r="C804" s="1" t="n">
        <v>46004</v>
      </c>
      <c r="D804" t="inlineStr">
        <is>
          <t>KALMAR LÄN</t>
        </is>
      </c>
      <c r="E804" t="inlineStr">
        <is>
          <t>VIMMERBY</t>
        </is>
      </c>
      <c r="G804" t="n">
        <v>0.6</v>
      </c>
      <c r="H804" t="n">
        <v>0</v>
      </c>
      <c r="I804" t="n">
        <v>0</v>
      </c>
      <c r="J804" t="n">
        <v>0</v>
      </c>
      <c r="K804" t="n">
        <v>0</v>
      </c>
      <c r="L804" t="n">
        <v>0</v>
      </c>
      <c r="M804" t="n">
        <v>0</v>
      </c>
      <c r="N804" t="n">
        <v>0</v>
      </c>
      <c r="O804" t="n">
        <v>0</v>
      </c>
      <c r="P804" t="n">
        <v>0</v>
      </c>
      <c r="Q804" t="n">
        <v>0</v>
      </c>
      <c r="R804" s="2" t="inlineStr"/>
    </row>
    <row r="805" ht="15" customHeight="1">
      <c r="A805" t="inlineStr">
        <is>
          <t>A 59037-2025</t>
        </is>
      </c>
      <c r="B805" s="1" t="n">
        <v>45988.36508101852</v>
      </c>
      <c r="C805" s="1" t="n">
        <v>46004</v>
      </c>
      <c r="D805" t="inlineStr">
        <is>
          <t>KALMAR LÄN</t>
        </is>
      </c>
      <c r="E805" t="inlineStr">
        <is>
          <t>VIMMERBY</t>
        </is>
      </c>
      <c r="F805" t="inlineStr">
        <is>
          <t>Sveaskog</t>
        </is>
      </c>
      <c r="G805" t="n">
        <v>4</v>
      </c>
      <c r="H805" t="n">
        <v>0</v>
      </c>
      <c r="I805" t="n">
        <v>0</v>
      </c>
      <c r="J805" t="n">
        <v>0</v>
      </c>
      <c r="K805" t="n">
        <v>0</v>
      </c>
      <c r="L805" t="n">
        <v>0</v>
      </c>
      <c r="M805" t="n">
        <v>0</v>
      </c>
      <c r="N805" t="n">
        <v>0</v>
      </c>
      <c r="O805" t="n">
        <v>0</v>
      </c>
      <c r="P805" t="n">
        <v>0</v>
      </c>
      <c r="Q805" t="n">
        <v>0</v>
      </c>
      <c r="R805" s="2" t="inlineStr"/>
    </row>
    <row r="806" ht="15" customHeight="1">
      <c r="A806" t="inlineStr">
        <is>
          <t>A 59039-2025</t>
        </is>
      </c>
      <c r="B806" s="1" t="n">
        <v>45988.36790509259</v>
      </c>
      <c r="C806" s="1" t="n">
        <v>46004</v>
      </c>
      <c r="D806" t="inlineStr">
        <is>
          <t>KALMAR LÄN</t>
        </is>
      </c>
      <c r="E806" t="inlineStr">
        <is>
          <t>VIMMERBY</t>
        </is>
      </c>
      <c r="F806" t="inlineStr">
        <is>
          <t>Sveaskog</t>
        </is>
      </c>
      <c r="G806" t="n">
        <v>3.2</v>
      </c>
      <c r="H806" t="n">
        <v>0</v>
      </c>
      <c r="I806" t="n">
        <v>0</v>
      </c>
      <c r="J806" t="n">
        <v>0</v>
      </c>
      <c r="K806" t="n">
        <v>0</v>
      </c>
      <c r="L806" t="n">
        <v>0</v>
      </c>
      <c r="M806" t="n">
        <v>0</v>
      </c>
      <c r="N806" t="n">
        <v>0</v>
      </c>
      <c r="O806" t="n">
        <v>0</v>
      </c>
      <c r="P806" t="n">
        <v>0</v>
      </c>
      <c r="Q806" t="n">
        <v>0</v>
      </c>
      <c r="R806" s="2" t="inlineStr"/>
    </row>
    <row r="807" ht="15" customHeight="1">
      <c r="A807" t="inlineStr">
        <is>
          <t>A 29737-2025</t>
        </is>
      </c>
      <c r="B807" s="1" t="n">
        <v>45825.58672453704</v>
      </c>
      <c r="C807" s="1" t="n">
        <v>46004</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59034-2025</t>
        </is>
      </c>
      <c r="B808" s="1" t="n">
        <v>45988.36243055556</v>
      </c>
      <c r="C808" s="1" t="n">
        <v>46004</v>
      </c>
      <c r="D808" t="inlineStr">
        <is>
          <t>KALMAR LÄN</t>
        </is>
      </c>
      <c r="E808" t="inlineStr">
        <is>
          <t>VIMMERBY</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59068-2025</t>
        </is>
      </c>
      <c r="B809" s="1" t="n">
        <v>45988.41725694444</v>
      </c>
      <c r="C809" s="1" t="n">
        <v>46004</v>
      </c>
      <c r="D809" t="inlineStr">
        <is>
          <t>KALMAR LÄN</t>
        </is>
      </c>
      <c r="E809" t="inlineStr">
        <is>
          <t>VIMMERBY</t>
        </is>
      </c>
      <c r="G809" t="n">
        <v>1.3</v>
      </c>
      <c r="H809" t="n">
        <v>0</v>
      </c>
      <c r="I809" t="n">
        <v>0</v>
      </c>
      <c r="J809" t="n">
        <v>0</v>
      </c>
      <c r="K809" t="n">
        <v>0</v>
      </c>
      <c r="L809" t="n">
        <v>0</v>
      </c>
      <c r="M809" t="n">
        <v>0</v>
      </c>
      <c r="N809" t="n">
        <v>0</v>
      </c>
      <c r="O809" t="n">
        <v>0</v>
      </c>
      <c r="P809" t="n">
        <v>0</v>
      </c>
      <c r="Q809" t="n">
        <v>0</v>
      </c>
      <c r="R809" s="2" t="inlineStr"/>
    </row>
    <row r="810" ht="15" customHeight="1">
      <c r="A810" t="inlineStr">
        <is>
          <t>A 29727-2025</t>
        </is>
      </c>
      <c r="B810" s="1" t="n">
        <v>45825.5796875</v>
      </c>
      <c r="C810" s="1" t="n">
        <v>46004</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58997-2025</t>
        </is>
      </c>
      <c r="B811" s="1" t="n">
        <v>45987</v>
      </c>
      <c r="C811" s="1" t="n">
        <v>46004</v>
      </c>
      <c r="D811" t="inlineStr">
        <is>
          <t>KALMAR LÄN</t>
        </is>
      </c>
      <c r="E811" t="inlineStr">
        <is>
          <t>VIMMERBY</t>
        </is>
      </c>
      <c r="G811" t="n">
        <v>7.9</v>
      </c>
      <c r="H811" t="n">
        <v>0</v>
      </c>
      <c r="I811" t="n">
        <v>0</v>
      </c>
      <c r="J811" t="n">
        <v>0</v>
      </c>
      <c r="K811" t="n">
        <v>0</v>
      </c>
      <c r="L811" t="n">
        <v>0</v>
      </c>
      <c r="M811" t="n">
        <v>0</v>
      </c>
      <c r="N811" t="n">
        <v>0</v>
      </c>
      <c r="O811" t="n">
        <v>0</v>
      </c>
      <c r="P811" t="n">
        <v>0</v>
      </c>
      <c r="Q811" t="n">
        <v>0</v>
      </c>
      <c r="R811" s="2" t="inlineStr"/>
    </row>
    <row r="812" ht="15" customHeight="1">
      <c r="A812" t="inlineStr">
        <is>
          <t>A 30293-2025</t>
        </is>
      </c>
      <c r="B812" s="1" t="n">
        <v>45827</v>
      </c>
      <c r="C812" s="1" t="n">
        <v>46004</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30290-2025</t>
        </is>
      </c>
      <c r="B813" s="1" t="n">
        <v>45827</v>
      </c>
      <c r="C813" s="1" t="n">
        <v>46004</v>
      </c>
      <c r="D813" t="inlineStr">
        <is>
          <t>KALMAR LÄN</t>
        </is>
      </c>
      <c r="E813" t="inlineStr">
        <is>
          <t>VIMMERBY</t>
        </is>
      </c>
      <c r="G813" t="n">
        <v>1</v>
      </c>
      <c r="H813" t="n">
        <v>0</v>
      </c>
      <c r="I813" t="n">
        <v>0</v>
      </c>
      <c r="J813" t="n">
        <v>0</v>
      </c>
      <c r="K813" t="n">
        <v>0</v>
      </c>
      <c r="L813" t="n">
        <v>0</v>
      </c>
      <c r="M813" t="n">
        <v>0</v>
      </c>
      <c r="N813" t="n">
        <v>0</v>
      </c>
      <c r="O813" t="n">
        <v>0</v>
      </c>
      <c r="P813" t="n">
        <v>0</v>
      </c>
      <c r="Q813" t="n">
        <v>0</v>
      </c>
      <c r="R813" s="2" t="inlineStr"/>
    </row>
    <row r="814" ht="15" customHeight="1">
      <c r="A814" t="inlineStr">
        <is>
          <t>A 30850-2025</t>
        </is>
      </c>
      <c r="B814" s="1" t="n">
        <v>45831</v>
      </c>
      <c r="C814" s="1" t="n">
        <v>46004</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59579-2025</t>
        </is>
      </c>
      <c r="B815" s="1" t="n">
        <v>45992.30569444445</v>
      </c>
      <c r="C815" s="1" t="n">
        <v>46004</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31552-2025</t>
        </is>
      </c>
      <c r="B816" s="1" t="n">
        <v>45833.64563657407</v>
      </c>
      <c r="C816" s="1" t="n">
        <v>46004</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31555-2025</t>
        </is>
      </c>
      <c r="B817" s="1" t="n">
        <v>45833.64814814815</v>
      </c>
      <c r="C817" s="1" t="n">
        <v>46004</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30971-2025</t>
        </is>
      </c>
      <c r="B818" s="1" t="n">
        <v>45832.46146990741</v>
      </c>
      <c r="C818" s="1" t="n">
        <v>46004</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31551-2025</t>
        </is>
      </c>
      <c r="B819" s="1" t="n">
        <v>45833.64237268519</v>
      </c>
      <c r="C819" s="1" t="n">
        <v>46004</v>
      </c>
      <c r="D819" t="inlineStr">
        <is>
          <t>KALMAR LÄN</t>
        </is>
      </c>
      <c r="E819" t="inlineStr">
        <is>
          <t>VIMMERBY</t>
        </is>
      </c>
      <c r="G819" t="n">
        <v>1.9</v>
      </c>
      <c r="H819" t="n">
        <v>0</v>
      </c>
      <c r="I819" t="n">
        <v>0</v>
      </c>
      <c r="J819" t="n">
        <v>0</v>
      </c>
      <c r="K819" t="n">
        <v>0</v>
      </c>
      <c r="L819" t="n">
        <v>0</v>
      </c>
      <c r="M819" t="n">
        <v>0</v>
      </c>
      <c r="N819" t="n">
        <v>0</v>
      </c>
      <c r="O819" t="n">
        <v>0</v>
      </c>
      <c r="P819" t="n">
        <v>0</v>
      </c>
      <c r="Q819" t="n">
        <v>0</v>
      </c>
      <c r="R819" s="2" t="inlineStr"/>
    </row>
    <row r="820" ht="15" customHeight="1">
      <c r="A820" t="inlineStr">
        <is>
          <t>A 51990-2025</t>
        </is>
      </c>
      <c r="B820" s="1" t="n">
        <v>45952.58061342593</v>
      </c>
      <c r="C820" s="1" t="n">
        <v>46004</v>
      </c>
      <c r="D820" t="inlineStr">
        <is>
          <t>KALMAR LÄN</t>
        </is>
      </c>
      <c r="E820" t="inlineStr">
        <is>
          <t>VIMMERBY</t>
        </is>
      </c>
      <c r="G820" t="n">
        <v>2.4</v>
      </c>
      <c r="H820" t="n">
        <v>0</v>
      </c>
      <c r="I820" t="n">
        <v>0</v>
      </c>
      <c r="J820" t="n">
        <v>0</v>
      </c>
      <c r="K820" t="n">
        <v>0</v>
      </c>
      <c r="L820" t="n">
        <v>0</v>
      </c>
      <c r="M820" t="n">
        <v>0</v>
      </c>
      <c r="N820" t="n">
        <v>0</v>
      </c>
      <c r="O820" t="n">
        <v>0</v>
      </c>
      <c r="P820" t="n">
        <v>0</v>
      </c>
      <c r="Q820" t="n">
        <v>0</v>
      </c>
      <c r="R820" s="2" t="inlineStr"/>
    </row>
    <row r="821" ht="15" customHeight="1">
      <c r="A821" t="inlineStr">
        <is>
          <t>A 30882-2025</t>
        </is>
      </c>
      <c r="B821" s="1" t="n">
        <v>45832.34540509259</v>
      </c>
      <c r="C821" s="1" t="n">
        <v>46004</v>
      </c>
      <c r="D821" t="inlineStr">
        <is>
          <t>KALMAR LÄN</t>
        </is>
      </c>
      <c r="E821" t="inlineStr">
        <is>
          <t>VIMMERBY</t>
        </is>
      </c>
      <c r="G821" t="n">
        <v>0.7</v>
      </c>
      <c r="H821" t="n">
        <v>0</v>
      </c>
      <c r="I821" t="n">
        <v>0</v>
      </c>
      <c r="J821" t="n">
        <v>0</v>
      </c>
      <c r="K821" t="n">
        <v>0</v>
      </c>
      <c r="L821" t="n">
        <v>0</v>
      </c>
      <c r="M821" t="n">
        <v>0</v>
      </c>
      <c r="N821" t="n">
        <v>0</v>
      </c>
      <c r="O821" t="n">
        <v>0</v>
      </c>
      <c r="P821" t="n">
        <v>0</v>
      </c>
      <c r="Q821" t="n">
        <v>0</v>
      </c>
      <c r="R821" s="2" t="inlineStr"/>
    </row>
    <row r="822" ht="15" customHeight="1">
      <c r="A822" t="inlineStr">
        <is>
          <t>A 60297-2025</t>
        </is>
      </c>
      <c r="B822" s="1" t="n">
        <v>45994</v>
      </c>
      <c r="C822" s="1" t="n">
        <v>46004</v>
      </c>
      <c r="D822" t="inlineStr">
        <is>
          <t>KALMAR LÄN</t>
        </is>
      </c>
      <c r="E822" t="inlineStr">
        <is>
          <t>VIMMERBY</t>
        </is>
      </c>
      <c r="G822" t="n">
        <v>4.2</v>
      </c>
      <c r="H822" t="n">
        <v>0</v>
      </c>
      <c r="I822" t="n">
        <v>0</v>
      </c>
      <c r="J822" t="n">
        <v>0</v>
      </c>
      <c r="K822" t="n">
        <v>0</v>
      </c>
      <c r="L822" t="n">
        <v>0</v>
      </c>
      <c r="M822" t="n">
        <v>0</v>
      </c>
      <c r="N822" t="n">
        <v>0</v>
      </c>
      <c r="O822" t="n">
        <v>0</v>
      </c>
      <c r="P822" t="n">
        <v>0</v>
      </c>
      <c r="Q822" t="n">
        <v>0</v>
      </c>
      <c r="R822" s="2" t="inlineStr"/>
    </row>
    <row r="823" ht="15" customHeight="1">
      <c r="A823" t="inlineStr">
        <is>
          <t>A 31872-2025</t>
        </is>
      </c>
      <c r="B823" s="1" t="n">
        <v>45834.65040509259</v>
      </c>
      <c r="C823" s="1" t="n">
        <v>46004</v>
      </c>
      <c r="D823" t="inlineStr">
        <is>
          <t>KALMAR LÄN</t>
        </is>
      </c>
      <c r="E823" t="inlineStr">
        <is>
          <t>VIMMERBY</t>
        </is>
      </c>
      <c r="F823" t="inlineStr">
        <is>
          <t>Sveaskog</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8559-2025</t>
        </is>
      </c>
      <c r="B824" s="1" t="n">
        <v>45709.62280092593</v>
      </c>
      <c r="C824" s="1" t="n">
        <v>46004</v>
      </c>
      <c r="D824" t="inlineStr">
        <is>
          <t>KALMAR LÄN</t>
        </is>
      </c>
      <c r="E824" t="inlineStr">
        <is>
          <t>VIMMERBY</t>
        </is>
      </c>
      <c r="G824" t="n">
        <v>8.9</v>
      </c>
      <c r="H824" t="n">
        <v>0</v>
      </c>
      <c r="I824" t="n">
        <v>0</v>
      </c>
      <c r="J824" t="n">
        <v>0</v>
      </c>
      <c r="K824" t="n">
        <v>0</v>
      </c>
      <c r="L824" t="n">
        <v>0</v>
      </c>
      <c r="M824" t="n">
        <v>0</v>
      </c>
      <c r="N824" t="n">
        <v>0</v>
      </c>
      <c r="O824" t="n">
        <v>0</v>
      </c>
      <c r="P824" t="n">
        <v>0</v>
      </c>
      <c r="Q824" t="n">
        <v>0</v>
      </c>
      <c r="R824" s="2" t="inlineStr"/>
    </row>
    <row r="825" ht="15" customHeight="1">
      <c r="A825" t="inlineStr">
        <is>
          <t>A 51993-2025</t>
        </is>
      </c>
      <c r="B825" s="1" t="n">
        <v>45952.58194444444</v>
      </c>
      <c r="C825" s="1" t="n">
        <v>46004</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32064-2025</t>
        </is>
      </c>
      <c r="B826" s="1" t="n">
        <v>45835.44709490741</v>
      </c>
      <c r="C826" s="1" t="n">
        <v>46004</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32109-2025</t>
        </is>
      </c>
      <c r="B827" s="1" t="n">
        <v>45835.48267361111</v>
      </c>
      <c r="C827" s="1" t="n">
        <v>46004</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32113-2025</t>
        </is>
      </c>
      <c r="B828" s="1" t="n">
        <v>45835.48445601852</v>
      </c>
      <c r="C828" s="1" t="n">
        <v>46004</v>
      </c>
      <c r="D828" t="inlineStr">
        <is>
          <t>KALMAR LÄN</t>
        </is>
      </c>
      <c r="E828" t="inlineStr">
        <is>
          <t>VIMMERBY</t>
        </is>
      </c>
      <c r="G828" t="n">
        <v>3.5</v>
      </c>
      <c r="H828" t="n">
        <v>0</v>
      </c>
      <c r="I828" t="n">
        <v>0</v>
      </c>
      <c r="J828" t="n">
        <v>0</v>
      </c>
      <c r="K828" t="n">
        <v>0</v>
      </c>
      <c r="L828" t="n">
        <v>0</v>
      </c>
      <c r="M828" t="n">
        <v>0</v>
      </c>
      <c r="N828" t="n">
        <v>0</v>
      </c>
      <c r="O828" t="n">
        <v>0</v>
      </c>
      <c r="P828" t="n">
        <v>0</v>
      </c>
      <c r="Q828" t="n">
        <v>0</v>
      </c>
      <c r="R828" s="2" t="inlineStr"/>
    </row>
    <row r="829" ht="15" customHeight="1">
      <c r="A829" t="inlineStr">
        <is>
          <t>A 32116-2025</t>
        </is>
      </c>
      <c r="B829" s="1" t="n">
        <v>45835.48862268519</v>
      </c>
      <c r="C829" s="1" t="n">
        <v>46004</v>
      </c>
      <c r="D829" t="inlineStr">
        <is>
          <t>KALMAR LÄN</t>
        </is>
      </c>
      <c r="E829" t="inlineStr">
        <is>
          <t>VIMMERBY</t>
        </is>
      </c>
      <c r="G829" t="n">
        <v>0.9</v>
      </c>
      <c r="H829" t="n">
        <v>0</v>
      </c>
      <c r="I829" t="n">
        <v>0</v>
      </c>
      <c r="J829" t="n">
        <v>0</v>
      </c>
      <c r="K829" t="n">
        <v>0</v>
      </c>
      <c r="L829" t="n">
        <v>0</v>
      </c>
      <c r="M829" t="n">
        <v>0</v>
      </c>
      <c r="N829" t="n">
        <v>0</v>
      </c>
      <c r="O829" t="n">
        <v>0</v>
      </c>
      <c r="P829" t="n">
        <v>0</v>
      </c>
      <c r="Q829" t="n">
        <v>0</v>
      </c>
      <c r="R829" s="2" t="inlineStr"/>
    </row>
    <row r="830" ht="15" customHeight="1">
      <c r="A830" t="inlineStr">
        <is>
          <t>A 31870-2025</t>
        </is>
      </c>
      <c r="B830" s="1" t="n">
        <v>45834.64667824074</v>
      </c>
      <c r="C830" s="1" t="n">
        <v>46004</v>
      </c>
      <c r="D830" t="inlineStr">
        <is>
          <t>KALMAR LÄN</t>
        </is>
      </c>
      <c r="E830" t="inlineStr">
        <is>
          <t>VIMMERBY</t>
        </is>
      </c>
      <c r="F830" t="inlineStr">
        <is>
          <t>Sveaskog</t>
        </is>
      </c>
      <c r="G830" t="n">
        <v>3.5</v>
      </c>
      <c r="H830" t="n">
        <v>0</v>
      </c>
      <c r="I830" t="n">
        <v>0</v>
      </c>
      <c r="J830" t="n">
        <v>0</v>
      </c>
      <c r="K830" t="n">
        <v>0</v>
      </c>
      <c r="L830" t="n">
        <v>0</v>
      </c>
      <c r="M830" t="n">
        <v>0</v>
      </c>
      <c r="N830" t="n">
        <v>0</v>
      </c>
      <c r="O830" t="n">
        <v>0</v>
      </c>
      <c r="P830" t="n">
        <v>0</v>
      </c>
      <c r="Q830" t="n">
        <v>0</v>
      </c>
      <c r="R830" s="2" t="inlineStr"/>
    </row>
    <row r="831" ht="15" customHeight="1">
      <c r="A831" t="inlineStr">
        <is>
          <t>A 32065-2025</t>
        </is>
      </c>
      <c r="B831" s="1" t="n">
        <v>45835.44732638889</v>
      </c>
      <c r="C831" s="1" t="n">
        <v>46004</v>
      </c>
      <c r="D831" t="inlineStr">
        <is>
          <t>KALMAR LÄN</t>
        </is>
      </c>
      <c r="E831" t="inlineStr">
        <is>
          <t>VIMMERBY</t>
        </is>
      </c>
      <c r="G831" t="n">
        <v>1</v>
      </c>
      <c r="H831" t="n">
        <v>0</v>
      </c>
      <c r="I831" t="n">
        <v>0</v>
      </c>
      <c r="J831" t="n">
        <v>0</v>
      </c>
      <c r="K831" t="n">
        <v>0</v>
      </c>
      <c r="L831" t="n">
        <v>0</v>
      </c>
      <c r="M831" t="n">
        <v>0</v>
      </c>
      <c r="N831" t="n">
        <v>0</v>
      </c>
      <c r="O831" t="n">
        <v>0</v>
      </c>
      <c r="P831" t="n">
        <v>0</v>
      </c>
      <c r="Q831" t="n">
        <v>0</v>
      </c>
      <c r="R831" s="2" t="inlineStr"/>
    </row>
    <row r="832" ht="15" customHeight="1">
      <c r="A832" t="inlineStr">
        <is>
          <t>A 31987-2025</t>
        </is>
      </c>
      <c r="B832" s="1" t="n">
        <v>45835.36229166666</v>
      </c>
      <c r="C832" s="1" t="n">
        <v>46004</v>
      </c>
      <c r="D832" t="inlineStr">
        <is>
          <t>KALMAR LÄN</t>
        </is>
      </c>
      <c r="E832" t="inlineStr">
        <is>
          <t>VIMMERBY</t>
        </is>
      </c>
      <c r="F832" t="inlineStr">
        <is>
          <t>Kyrkan</t>
        </is>
      </c>
      <c r="G832" t="n">
        <v>1.2</v>
      </c>
      <c r="H832" t="n">
        <v>0</v>
      </c>
      <c r="I832" t="n">
        <v>0</v>
      </c>
      <c r="J832" t="n">
        <v>0</v>
      </c>
      <c r="K832" t="n">
        <v>0</v>
      </c>
      <c r="L832" t="n">
        <v>0</v>
      </c>
      <c r="M832" t="n">
        <v>0</v>
      </c>
      <c r="N832" t="n">
        <v>0</v>
      </c>
      <c r="O832" t="n">
        <v>0</v>
      </c>
      <c r="P832" t="n">
        <v>0</v>
      </c>
      <c r="Q832" t="n">
        <v>0</v>
      </c>
      <c r="R832" s="2" t="inlineStr"/>
    </row>
    <row r="833" ht="15" customHeight="1">
      <c r="A833" t="inlineStr">
        <is>
          <t>A 32077-2025</t>
        </is>
      </c>
      <c r="B833" s="1" t="n">
        <v>45835.45099537037</v>
      </c>
      <c r="C833" s="1" t="n">
        <v>46004</v>
      </c>
      <c r="D833" t="inlineStr">
        <is>
          <t>KALMAR LÄN</t>
        </is>
      </c>
      <c r="E833" t="inlineStr">
        <is>
          <t>VIMMERBY</t>
        </is>
      </c>
      <c r="G833" t="n">
        <v>1.8</v>
      </c>
      <c r="H833" t="n">
        <v>0</v>
      </c>
      <c r="I833" t="n">
        <v>0</v>
      </c>
      <c r="J833" t="n">
        <v>0</v>
      </c>
      <c r="K833" t="n">
        <v>0</v>
      </c>
      <c r="L833" t="n">
        <v>0</v>
      </c>
      <c r="M833" t="n">
        <v>0</v>
      </c>
      <c r="N833" t="n">
        <v>0</v>
      </c>
      <c r="O833" t="n">
        <v>0</v>
      </c>
      <c r="P833" t="n">
        <v>0</v>
      </c>
      <c r="Q833" t="n">
        <v>0</v>
      </c>
      <c r="R833" s="2" t="inlineStr"/>
    </row>
    <row r="834" ht="15" customHeight="1">
      <c r="A834" t="inlineStr">
        <is>
          <t>A 32120-2025</t>
        </is>
      </c>
      <c r="B834" s="1" t="n">
        <v>45835.4924537037</v>
      </c>
      <c r="C834" s="1" t="n">
        <v>46004</v>
      </c>
      <c r="D834" t="inlineStr">
        <is>
          <t>KALMAR LÄN</t>
        </is>
      </c>
      <c r="E834" t="inlineStr">
        <is>
          <t>VIMMERBY</t>
        </is>
      </c>
      <c r="G834" t="n">
        <v>0.8</v>
      </c>
      <c r="H834" t="n">
        <v>0</v>
      </c>
      <c r="I834" t="n">
        <v>0</v>
      </c>
      <c r="J834" t="n">
        <v>0</v>
      </c>
      <c r="K834" t="n">
        <v>0</v>
      </c>
      <c r="L834" t="n">
        <v>0</v>
      </c>
      <c r="M834" t="n">
        <v>0</v>
      </c>
      <c r="N834" t="n">
        <v>0</v>
      </c>
      <c r="O834" t="n">
        <v>0</v>
      </c>
      <c r="P834" t="n">
        <v>0</v>
      </c>
      <c r="Q834" t="n">
        <v>0</v>
      </c>
      <c r="R834" s="2" t="inlineStr"/>
    </row>
    <row r="835" ht="15" customHeight="1">
      <c r="A835" t="inlineStr">
        <is>
          <t>A 31876-2025</t>
        </is>
      </c>
      <c r="B835" s="1" t="n">
        <v>45834.65197916667</v>
      </c>
      <c r="C835" s="1" t="n">
        <v>46004</v>
      </c>
      <c r="D835" t="inlineStr">
        <is>
          <t>KALMAR LÄN</t>
        </is>
      </c>
      <c r="E835" t="inlineStr">
        <is>
          <t>VIMMERBY</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60180-2025</t>
        </is>
      </c>
      <c r="B836" s="1" t="n">
        <v>45994.46428240741</v>
      </c>
      <c r="C836" s="1" t="n">
        <v>46004</v>
      </c>
      <c r="D836" t="inlineStr">
        <is>
          <t>KALMAR LÄN</t>
        </is>
      </c>
      <c r="E836" t="inlineStr">
        <is>
          <t>VIMMERBY</t>
        </is>
      </c>
      <c r="G836" t="n">
        <v>6.8</v>
      </c>
      <c r="H836" t="n">
        <v>0</v>
      </c>
      <c r="I836" t="n">
        <v>0</v>
      </c>
      <c r="J836" t="n">
        <v>0</v>
      </c>
      <c r="K836" t="n">
        <v>0</v>
      </c>
      <c r="L836" t="n">
        <v>0</v>
      </c>
      <c r="M836" t="n">
        <v>0</v>
      </c>
      <c r="N836" t="n">
        <v>0</v>
      </c>
      <c r="O836" t="n">
        <v>0</v>
      </c>
      <c r="P836" t="n">
        <v>0</v>
      </c>
      <c r="Q836" t="n">
        <v>0</v>
      </c>
      <c r="R836" s="2" t="inlineStr"/>
    </row>
    <row r="837" ht="15" customHeight="1">
      <c r="A837" t="inlineStr">
        <is>
          <t>A 52465-2025</t>
        </is>
      </c>
      <c r="B837" s="1" t="n">
        <v>45954.44543981482</v>
      </c>
      <c r="C837" s="1" t="n">
        <v>46004</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52451-2025</t>
        </is>
      </c>
      <c r="B838" s="1" t="n">
        <v>45954.42326388889</v>
      </c>
      <c r="C838" s="1" t="n">
        <v>46004</v>
      </c>
      <c r="D838" t="inlineStr">
        <is>
          <t>KALMAR LÄN</t>
        </is>
      </c>
      <c r="E838" t="inlineStr">
        <is>
          <t>VIMMERBY</t>
        </is>
      </c>
      <c r="G838" t="n">
        <v>2.8</v>
      </c>
      <c r="H838" t="n">
        <v>0</v>
      </c>
      <c r="I838" t="n">
        <v>0</v>
      </c>
      <c r="J838" t="n">
        <v>0</v>
      </c>
      <c r="K838" t="n">
        <v>0</v>
      </c>
      <c r="L838" t="n">
        <v>0</v>
      </c>
      <c r="M838" t="n">
        <v>0</v>
      </c>
      <c r="N838" t="n">
        <v>0</v>
      </c>
      <c r="O838" t="n">
        <v>0</v>
      </c>
      <c r="P838" t="n">
        <v>0</v>
      </c>
      <c r="Q838" t="n">
        <v>0</v>
      </c>
      <c r="R838" s="2" t="inlineStr"/>
    </row>
    <row r="839" ht="15" customHeight="1">
      <c r="A839" t="inlineStr">
        <is>
          <t>A 32380-2025</t>
        </is>
      </c>
      <c r="B839" s="1" t="n">
        <v>45837.77701388889</v>
      </c>
      <c r="C839" s="1" t="n">
        <v>46004</v>
      </c>
      <c r="D839" t="inlineStr">
        <is>
          <t>KALMAR LÄN</t>
        </is>
      </c>
      <c r="E839" t="inlineStr">
        <is>
          <t>VIMMERBY</t>
        </is>
      </c>
      <c r="G839" t="n">
        <v>3.1</v>
      </c>
      <c r="H839" t="n">
        <v>0</v>
      </c>
      <c r="I839" t="n">
        <v>0</v>
      </c>
      <c r="J839" t="n">
        <v>0</v>
      </c>
      <c r="K839" t="n">
        <v>0</v>
      </c>
      <c r="L839" t="n">
        <v>0</v>
      </c>
      <c r="M839" t="n">
        <v>0</v>
      </c>
      <c r="N839" t="n">
        <v>0</v>
      </c>
      <c r="O839" t="n">
        <v>0</v>
      </c>
      <c r="P839" t="n">
        <v>0</v>
      </c>
      <c r="Q839" t="n">
        <v>0</v>
      </c>
      <c r="R839" s="2" t="inlineStr"/>
    </row>
    <row r="840" ht="15" customHeight="1">
      <c r="A840" t="inlineStr">
        <is>
          <t>A 33186-2025</t>
        </is>
      </c>
      <c r="B840" s="1" t="n">
        <v>45840.59474537037</v>
      </c>
      <c r="C840" s="1" t="n">
        <v>46004</v>
      </c>
      <c r="D840" t="inlineStr">
        <is>
          <t>KALMAR LÄN</t>
        </is>
      </c>
      <c r="E840" t="inlineStr">
        <is>
          <t>VIMMERBY</t>
        </is>
      </c>
      <c r="G840" t="n">
        <v>2.6</v>
      </c>
      <c r="H840" t="n">
        <v>0</v>
      </c>
      <c r="I840" t="n">
        <v>0</v>
      </c>
      <c r="J840" t="n">
        <v>0</v>
      </c>
      <c r="K840" t="n">
        <v>0</v>
      </c>
      <c r="L840" t="n">
        <v>0</v>
      </c>
      <c r="M840" t="n">
        <v>0</v>
      </c>
      <c r="N840" t="n">
        <v>0</v>
      </c>
      <c r="O840" t="n">
        <v>0</v>
      </c>
      <c r="P840" t="n">
        <v>0</v>
      </c>
      <c r="Q840" t="n">
        <v>0</v>
      </c>
      <c r="R840" s="2" t="inlineStr"/>
    </row>
    <row r="841" ht="15" customHeight="1">
      <c r="A841" t="inlineStr">
        <is>
          <t>A 33695-2025</t>
        </is>
      </c>
      <c r="B841" s="1" t="n">
        <v>45841.70569444444</v>
      </c>
      <c r="C841" s="1" t="n">
        <v>46004</v>
      </c>
      <c r="D841" t="inlineStr">
        <is>
          <t>KALMAR LÄN</t>
        </is>
      </c>
      <c r="E841" t="inlineStr">
        <is>
          <t>VIMMERBY</t>
        </is>
      </c>
      <c r="G841" t="n">
        <v>2.7</v>
      </c>
      <c r="H841" t="n">
        <v>0</v>
      </c>
      <c r="I841" t="n">
        <v>0</v>
      </c>
      <c r="J841" t="n">
        <v>0</v>
      </c>
      <c r="K841" t="n">
        <v>0</v>
      </c>
      <c r="L841" t="n">
        <v>0</v>
      </c>
      <c r="M841" t="n">
        <v>0</v>
      </c>
      <c r="N841" t="n">
        <v>0</v>
      </c>
      <c r="O841" t="n">
        <v>0</v>
      </c>
      <c r="P841" t="n">
        <v>0</v>
      </c>
      <c r="Q841" t="n">
        <v>0</v>
      </c>
      <c r="R841" s="2" t="inlineStr"/>
    </row>
    <row r="842" ht="15" customHeight="1">
      <c r="A842" t="inlineStr">
        <is>
          <t>A 33698-2025</t>
        </is>
      </c>
      <c r="B842" s="1" t="n">
        <v>45841.70868055556</v>
      </c>
      <c r="C842" s="1" t="n">
        <v>46004</v>
      </c>
      <c r="D842" t="inlineStr">
        <is>
          <t>KALMAR LÄN</t>
        </is>
      </c>
      <c r="E842" t="inlineStr">
        <is>
          <t>VIMMERBY</t>
        </is>
      </c>
      <c r="G842" t="n">
        <v>3.7</v>
      </c>
      <c r="H842" t="n">
        <v>0</v>
      </c>
      <c r="I842" t="n">
        <v>0</v>
      </c>
      <c r="J842" t="n">
        <v>0</v>
      </c>
      <c r="K842" t="n">
        <v>0</v>
      </c>
      <c r="L842" t="n">
        <v>0</v>
      </c>
      <c r="M842" t="n">
        <v>0</v>
      </c>
      <c r="N842" t="n">
        <v>0</v>
      </c>
      <c r="O842" t="n">
        <v>0</v>
      </c>
      <c r="P842" t="n">
        <v>0</v>
      </c>
      <c r="Q842" t="n">
        <v>0</v>
      </c>
      <c r="R842" s="2" t="inlineStr"/>
    </row>
    <row r="843" ht="15" customHeight="1">
      <c r="A843" t="inlineStr">
        <is>
          <t>A 52516-2025</t>
        </is>
      </c>
      <c r="B843" s="1" t="n">
        <v>45954.51412037037</v>
      </c>
      <c r="C843" s="1" t="n">
        <v>46004</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52466-2025</t>
        </is>
      </c>
      <c r="B844" s="1" t="n">
        <v>45954.44707175926</v>
      </c>
      <c r="C844" s="1" t="n">
        <v>46004</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52473-2025</t>
        </is>
      </c>
      <c r="B845" s="1" t="n">
        <v>45954.45947916667</v>
      </c>
      <c r="C845" s="1" t="n">
        <v>46004</v>
      </c>
      <c r="D845" t="inlineStr">
        <is>
          <t>KALMAR LÄN</t>
        </is>
      </c>
      <c r="E845" t="inlineStr">
        <is>
          <t>VIMMERBY</t>
        </is>
      </c>
      <c r="G845" t="n">
        <v>2.4</v>
      </c>
      <c r="H845" t="n">
        <v>0</v>
      </c>
      <c r="I845" t="n">
        <v>0</v>
      </c>
      <c r="J845" t="n">
        <v>0</v>
      </c>
      <c r="K845" t="n">
        <v>0</v>
      </c>
      <c r="L845" t="n">
        <v>0</v>
      </c>
      <c r="M845" t="n">
        <v>0</v>
      </c>
      <c r="N845" t="n">
        <v>0</v>
      </c>
      <c r="O845" t="n">
        <v>0</v>
      </c>
      <c r="P845" t="n">
        <v>0</v>
      </c>
      <c r="Q845" t="n">
        <v>0</v>
      </c>
      <c r="R845" s="2" t="inlineStr"/>
    </row>
    <row r="846" ht="15" customHeight="1">
      <c r="A846" t="inlineStr">
        <is>
          <t>A 52480-2025</t>
        </is>
      </c>
      <c r="B846" s="1" t="n">
        <v>45954.47172453703</v>
      </c>
      <c r="C846" s="1" t="n">
        <v>46004</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30977-2025</t>
        </is>
      </c>
      <c r="B847" s="1" t="n">
        <v>45832.46649305556</v>
      </c>
      <c r="C847" s="1" t="n">
        <v>46004</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33696-2025</t>
        </is>
      </c>
      <c r="B848" s="1" t="n">
        <v>45841.7072337963</v>
      </c>
      <c r="C848" s="1" t="n">
        <v>46004</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52475-2025</t>
        </is>
      </c>
      <c r="B849" s="1" t="n">
        <v>45954.468125</v>
      </c>
      <c r="C849" s="1" t="n">
        <v>46004</v>
      </c>
      <c r="D849" t="inlineStr">
        <is>
          <t>KALMAR LÄN</t>
        </is>
      </c>
      <c r="E849" t="inlineStr">
        <is>
          <t>VIMMERBY</t>
        </is>
      </c>
      <c r="G849" t="n">
        <v>1.5</v>
      </c>
      <c r="H849" t="n">
        <v>0</v>
      </c>
      <c r="I849" t="n">
        <v>0</v>
      </c>
      <c r="J849" t="n">
        <v>0</v>
      </c>
      <c r="K849" t="n">
        <v>0</v>
      </c>
      <c r="L849" t="n">
        <v>0</v>
      </c>
      <c r="M849" t="n">
        <v>0</v>
      </c>
      <c r="N849" t="n">
        <v>0</v>
      </c>
      <c r="O849" t="n">
        <v>0</v>
      </c>
      <c r="P849" t="n">
        <v>0</v>
      </c>
      <c r="Q849" t="n">
        <v>0</v>
      </c>
      <c r="R849" s="2" t="inlineStr"/>
    </row>
    <row r="850" ht="15" customHeight="1">
      <c r="A850" t="inlineStr">
        <is>
          <t>A 26956-2025</t>
        </is>
      </c>
      <c r="B850" s="1" t="n">
        <v>45811.45460648148</v>
      </c>
      <c r="C850" s="1" t="n">
        <v>46004</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53396-2025</t>
        </is>
      </c>
      <c r="B851" s="1" t="n">
        <v>45959.55577546296</v>
      </c>
      <c r="C851" s="1" t="n">
        <v>46004</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53416-2025</t>
        </is>
      </c>
      <c r="B852" s="1" t="n">
        <v>45959.58387731481</v>
      </c>
      <c r="C852" s="1" t="n">
        <v>46004</v>
      </c>
      <c r="D852" t="inlineStr">
        <is>
          <t>KALMAR LÄN</t>
        </is>
      </c>
      <c r="E852" t="inlineStr">
        <is>
          <t>VIMMERBY</t>
        </is>
      </c>
      <c r="G852" t="n">
        <v>4.4</v>
      </c>
      <c r="H852" t="n">
        <v>0</v>
      </c>
      <c r="I852" t="n">
        <v>0</v>
      </c>
      <c r="J852" t="n">
        <v>0</v>
      </c>
      <c r="K852" t="n">
        <v>0</v>
      </c>
      <c r="L852" t="n">
        <v>0</v>
      </c>
      <c r="M852" t="n">
        <v>0</v>
      </c>
      <c r="N852" t="n">
        <v>0</v>
      </c>
      <c r="O852" t="n">
        <v>0</v>
      </c>
      <c r="P852" t="n">
        <v>0</v>
      </c>
      <c r="Q852" t="n">
        <v>0</v>
      </c>
      <c r="R852" s="2" t="inlineStr"/>
    </row>
    <row r="853" ht="15" customHeight="1">
      <c r="A853" t="inlineStr">
        <is>
          <t>A 34071-2025</t>
        </is>
      </c>
      <c r="B853" s="1" t="n">
        <v>45845.43803240741</v>
      </c>
      <c r="C853" s="1" t="n">
        <v>46004</v>
      </c>
      <c r="D853" t="inlineStr">
        <is>
          <t>KALMAR LÄN</t>
        </is>
      </c>
      <c r="E853" t="inlineStr">
        <is>
          <t>VIMMERBY</t>
        </is>
      </c>
      <c r="G853" t="n">
        <v>6.8</v>
      </c>
      <c r="H853" t="n">
        <v>0</v>
      </c>
      <c r="I853" t="n">
        <v>0</v>
      </c>
      <c r="J853" t="n">
        <v>0</v>
      </c>
      <c r="K853" t="n">
        <v>0</v>
      </c>
      <c r="L853" t="n">
        <v>0</v>
      </c>
      <c r="M853" t="n">
        <v>0</v>
      </c>
      <c r="N853" t="n">
        <v>0</v>
      </c>
      <c r="O853" t="n">
        <v>0</v>
      </c>
      <c r="P853" t="n">
        <v>0</v>
      </c>
      <c r="Q853" t="n">
        <v>0</v>
      </c>
      <c r="R853" s="2" t="inlineStr"/>
    </row>
    <row r="854" ht="15" customHeight="1">
      <c r="A854" t="inlineStr">
        <is>
          <t>A 34106-2025</t>
        </is>
      </c>
      <c r="B854" s="1" t="n">
        <v>45845.49414351852</v>
      </c>
      <c r="C854" s="1" t="n">
        <v>46004</v>
      </c>
      <c r="D854" t="inlineStr">
        <is>
          <t>KALMAR LÄN</t>
        </is>
      </c>
      <c r="E854" t="inlineStr">
        <is>
          <t>VIMMERBY</t>
        </is>
      </c>
      <c r="G854" t="n">
        <v>6</v>
      </c>
      <c r="H854" t="n">
        <v>0</v>
      </c>
      <c r="I854" t="n">
        <v>0</v>
      </c>
      <c r="J854" t="n">
        <v>0</v>
      </c>
      <c r="K854" t="n">
        <v>0</v>
      </c>
      <c r="L854" t="n">
        <v>0</v>
      </c>
      <c r="M854" t="n">
        <v>0</v>
      </c>
      <c r="N854" t="n">
        <v>0</v>
      </c>
      <c r="O854" t="n">
        <v>0</v>
      </c>
      <c r="P854" t="n">
        <v>0</v>
      </c>
      <c r="Q854" t="n">
        <v>0</v>
      </c>
      <c r="R854" s="2" t="inlineStr"/>
    </row>
    <row r="855" ht="15" customHeight="1">
      <c r="A855" t="inlineStr">
        <is>
          <t>A 28702-2025</t>
        </is>
      </c>
      <c r="B855" s="1" t="n">
        <v>45820.03976851852</v>
      </c>
      <c r="C855" s="1" t="n">
        <v>46004</v>
      </c>
      <c r="D855" t="inlineStr">
        <is>
          <t>KALMAR LÄN</t>
        </is>
      </c>
      <c r="E855" t="inlineStr">
        <is>
          <t>VIMMERBY</t>
        </is>
      </c>
      <c r="G855" t="n">
        <v>2.1</v>
      </c>
      <c r="H855" t="n">
        <v>0</v>
      </c>
      <c r="I855" t="n">
        <v>0</v>
      </c>
      <c r="J855" t="n">
        <v>0</v>
      </c>
      <c r="K855" t="n">
        <v>0</v>
      </c>
      <c r="L855" t="n">
        <v>0</v>
      </c>
      <c r="M855" t="n">
        <v>0</v>
      </c>
      <c r="N855" t="n">
        <v>0</v>
      </c>
      <c r="O855" t="n">
        <v>0</v>
      </c>
      <c r="P855" t="n">
        <v>0</v>
      </c>
      <c r="Q855" t="n">
        <v>0</v>
      </c>
      <c r="R855" s="2" t="inlineStr"/>
    </row>
    <row r="856" ht="15" customHeight="1">
      <c r="A856" t="inlineStr">
        <is>
          <t>A 53398-2025</t>
        </is>
      </c>
      <c r="B856" s="1" t="n">
        <v>45959.56247685185</v>
      </c>
      <c r="C856" s="1" t="n">
        <v>46004</v>
      </c>
      <c r="D856" t="inlineStr">
        <is>
          <t>KALMAR LÄN</t>
        </is>
      </c>
      <c r="E856" t="inlineStr">
        <is>
          <t>VIMMERBY</t>
        </is>
      </c>
      <c r="G856" t="n">
        <v>0.8</v>
      </c>
      <c r="H856" t="n">
        <v>0</v>
      </c>
      <c r="I856" t="n">
        <v>0</v>
      </c>
      <c r="J856" t="n">
        <v>0</v>
      </c>
      <c r="K856" t="n">
        <v>0</v>
      </c>
      <c r="L856" t="n">
        <v>0</v>
      </c>
      <c r="M856" t="n">
        <v>0</v>
      </c>
      <c r="N856" t="n">
        <v>0</v>
      </c>
      <c r="O856" t="n">
        <v>0</v>
      </c>
      <c r="P856" t="n">
        <v>0</v>
      </c>
      <c r="Q856" t="n">
        <v>0</v>
      </c>
      <c r="R856" s="2" t="inlineStr"/>
    </row>
    <row r="857" ht="15" customHeight="1">
      <c r="A857" t="inlineStr">
        <is>
          <t>A 53397-2025</t>
        </is>
      </c>
      <c r="B857" s="1" t="n">
        <v>45959.55918981481</v>
      </c>
      <c r="C857" s="1" t="n">
        <v>46004</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53220-2025</t>
        </is>
      </c>
      <c r="B858" s="1" t="n">
        <v>45958.60146990741</v>
      </c>
      <c r="C858" s="1" t="n">
        <v>46004</v>
      </c>
      <c r="D858" t="inlineStr">
        <is>
          <t>KALMAR LÄN</t>
        </is>
      </c>
      <c r="E858" t="inlineStr">
        <is>
          <t>VIMMERBY</t>
        </is>
      </c>
      <c r="G858" t="n">
        <v>2.2</v>
      </c>
      <c r="H858" t="n">
        <v>0</v>
      </c>
      <c r="I858" t="n">
        <v>0</v>
      </c>
      <c r="J858" t="n">
        <v>0</v>
      </c>
      <c r="K858" t="n">
        <v>0</v>
      </c>
      <c r="L858" t="n">
        <v>0</v>
      </c>
      <c r="M858" t="n">
        <v>0</v>
      </c>
      <c r="N858" t="n">
        <v>0</v>
      </c>
      <c r="O858" t="n">
        <v>0</v>
      </c>
      <c r="P858" t="n">
        <v>0</v>
      </c>
      <c r="Q858" t="n">
        <v>0</v>
      </c>
      <c r="R858" s="2" t="inlineStr"/>
    </row>
    <row r="859" ht="15" customHeight="1">
      <c r="A859" t="inlineStr">
        <is>
          <t>A 53393-2025</t>
        </is>
      </c>
      <c r="B859" s="1" t="n">
        <v>45959.55284722222</v>
      </c>
      <c r="C859" s="1" t="n">
        <v>46004</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34628-2025</t>
        </is>
      </c>
      <c r="B860" s="1" t="n">
        <v>45847.91280092593</v>
      </c>
      <c r="C860" s="1" t="n">
        <v>46004</v>
      </c>
      <c r="D860" t="inlineStr">
        <is>
          <t>KALMAR LÄN</t>
        </is>
      </c>
      <c r="E860" t="inlineStr">
        <is>
          <t>VIMMERBY</t>
        </is>
      </c>
      <c r="G860" t="n">
        <v>4.2</v>
      </c>
      <c r="H860" t="n">
        <v>0</v>
      </c>
      <c r="I860" t="n">
        <v>0</v>
      </c>
      <c r="J860" t="n">
        <v>0</v>
      </c>
      <c r="K860" t="n">
        <v>0</v>
      </c>
      <c r="L860" t="n">
        <v>0</v>
      </c>
      <c r="M860" t="n">
        <v>0</v>
      </c>
      <c r="N860" t="n">
        <v>0</v>
      </c>
      <c r="O860" t="n">
        <v>0</v>
      </c>
      <c r="P860" t="n">
        <v>0</v>
      </c>
      <c r="Q860" t="n">
        <v>0</v>
      </c>
      <c r="R860" s="2" t="inlineStr"/>
    </row>
    <row r="861" ht="15" customHeight="1">
      <c r="A861" t="inlineStr">
        <is>
          <t>A 53413-2025</t>
        </is>
      </c>
      <c r="B861" s="1" t="n">
        <v>45959.5787037037</v>
      </c>
      <c r="C861" s="1" t="n">
        <v>46004</v>
      </c>
      <c r="D861" t="inlineStr">
        <is>
          <t>KALMAR LÄN</t>
        </is>
      </c>
      <c r="E861" t="inlineStr">
        <is>
          <t>VIMMERBY</t>
        </is>
      </c>
      <c r="G861" t="n">
        <v>4.3</v>
      </c>
      <c r="H861" t="n">
        <v>0</v>
      </c>
      <c r="I861" t="n">
        <v>0</v>
      </c>
      <c r="J861" t="n">
        <v>0</v>
      </c>
      <c r="K861" t="n">
        <v>0</v>
      </c>
      <c r="L861" t="n">
        <v>0</v>
      </c>
      <c r="M861" t="n">
        <v>0</v>
      </c>
      <c r="N861" t="n">
        <v>0</v>
      </c>
      <c r="O861" t="n">
        <v>0</v>
      </c>
      <c r="P861" t="n">
        <v>0</v>
      </c>
      <c r="Q861" t="n">
        <v>0</v>
      </c>
      <c r="R861" s="2" t="inlineStr"/>
    </row>
    <row r="862" ht="15" customHeight="1">
      <c r="A862" t="inlineStr">
        <is>
          <t>A 53903-2025</t>
        </is>
      </c>
      <c r="B862" s="1" t="n">
        <v>45961.43738425926</v>
      </c>
      <c r="C862" s="1" t="n">
        <v>46004</v>
      </c>
      <c r="D862" t="inlineStr">
        <is>
          <t>KALMAR LÄN</t>
        </is>
      </c>
      <c r="E862" t="inlineStr">
        <is>
          <t>VIMMERBY</t>
        </is>
      </c>
      <c r="G862" t="n">
        <v>0.8</v>
      </c>
      <c r="H862" t="n">
        <v>0</v>
      </c>
      <c r="I862" t="n">
        <v>0</v>
      </c>
      <c r="J862" t="n">
        <v>0</v>
      </c>
      <c r="K862" t="n">
        <v>0</v>
      </c>
      <c r="L862" t="n">
        <v>0</v>
      </c>
      <c r="M862" t="n">
        <v>0</v>
      </c>
      <c r="N862" t="n">
        <v>0</v>
      </c>
      <c r="O862" t="n">
        <v>0</v>
      </c>
      <c r="P862" t="n">
        <v>0</v>
      </c>
      <c r="Q862" t="n">
        <v>0</v>
      </c>
      <c r="R862" s="2" t="inlineStr"/>
    </row>
    <row r="863" ht="15" customHeight="1">
      <c r="A863" t="inlineStr">
        <is>
          <t>A 53920-2025</t>
        </is>
      </c>
      <c r="B863" s="1" t="n">
        <v>45961.44951388889</v>
      </c>
      <c r="C863" s="1" t="n">
        <v>46004</v>
      </c>
      <c r="D863" t="inlineStr">
        <is>
          <t>KALMAR LÄN</t>
        </is>
      </c>
      <c r="E863" t="inlineStr">
        <is>
          <t>VIMMERBY</t>
        </is>
      </c>
      <c r="G863" t="n">
        <v>1.4</v>
      </c>
      <c r="H863" t="n">
        <v>0</v>
      </c>
      <c r="I863" t="n">
        <v>0</v>
      </c>
      <c r="J863" t="n">
        <v>0</v>
      </c>
      <c r="K863" t="n">
        <v>0</v>
      </c>
      <c r="L863" t="n">
        <v>0</v>
      </c>
      <c r="M863" t="n">
        <v>0</v>
      </c>
      <c r="N863" t="n">
        <v>0</v>
      </c>
      <c r="O863" t="n">
        <v>0</v>
      </c>
      <c r="P863" t="n">
        <v>0</v>
      </c>
      <c r="Q863" t="n">
        <v>0</v>
      </c>
      <c r="R863" s="2" t="inlineStr"/>
    </row>
    <row r="864" ht="15" customHeight="1">
      <c r="A864" t="inlineStr">
        <is>
          <t>A 53927-2025</t>
        </is>
      </c>
      <c r="B864" s="1" t="n">
        <v>45961.46740740741</v>
      </c>
      <c r="C864" s="1" t="n">
        <v>46004</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61725-2025</t>
        </is>
      </c>
      <c r="B865" s="1" t="n">
        <v>46002.58680555555</v>
      </c>
      <c r="C865" s="1" t="n">
        <v>46004</v>
      </c>
      <c r="D865" t="inlineStr">
        <is>
          <t>KALMAR LÄN</t>
        </is>
      </c>
      <c r="E865" t="inlineStr">
        <is>
          <t>VIMMERBY</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53789-2025</t>
        </is>
      </c>
      <c r="B866" s="1" t="n">
        <v>45960</v>
      </c>
      <c r="C866" s="1" t="n">
        <v>46004</v>
      </c>
      <c r="D866" t="inlineStr">
        <is>
          <t>KALMAR LÄN</t>
        </is>
      </c>
      <c r="E866" t="inlineStr">
        <is>
          <t>VIMMERBY</t>
        </is>
      </c>
      <c r="F866" t="inlineStr">
        <is>
          <t>Övriga statliga verk och myndigheter</t>
        </is>
      </c>
      <c r="G866" t="n">
        <v>1.6</v>
      </c>
      <c r="H866" t="n">
        <v>0</v>
      </c>
      <c r="I866" t="n">
        <v>0</v>
      </c>
      <c r="J866" t="n">
        <v>0</v>
      </c>
      <c r="K866" t="n">
        <v>0</v>
      </c>
      <c r="L866" t="n">
        <v>0</v>
      </c>
      <c r="M866" t="n">
        <v>0</v>
      </c>
      <c r="N866" t="n">
        <v>0</v>
      </c>
      <c r="O866" t="n">
        <v>0</v>
      </c>
      <c r="P866" t="n">
        <v>0</v>
      </c>
      <c r="Q866" t="n">
        <v>0</v>
      </c>
      <c r="R866" s="2" t="inlineStr"/>
    </row>
    <row r="867" ht="15" customHeight="1">
      <c r="A867" t="inlineStr">
        <is>
          <t>A 61726-2025</t>
        </is>
      </c>
      <c r="B867" s="1" t="n">
        <v>46002.58822916666</v>
      </c>
      <c r="C867" s="1" t="n">
        <v>46004</v>
      </c>
      <c r="D867" t="inlineStr">
        <is>
          <t>KALMAR LÄN</t>
        </is>
      </c>
      <c r="E867" t="inlineStr">
        <is>
          <t>VIMMERBY</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53923-2025</t>
        </is>
      </c>
      <c r="B868" s="1" t="n">
        <v>45961.4569212963</v>
      </c>
      <c r="C868" s="1" t="n">
        <v>46004</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35270-2025</t>
        </is>
      </c>
      <c r="B869" s="1" t="n">
        <v>45853.87112268519</v>
      </c>
      <c r="C869" s="1" t="n">
        <v>46004</v>
      </c>
      <c r="D869" t="inlineStr">
        <is>
          <t>KALMAR LÄN</t>
        </is>
      </c>
      <c r="E869" t="inlineStr">
        <is>
          <t>VIMMERBY</t>
        </is>
      </c>
      <c r="G869" t="n">
        <v>2.4</v>
      </c>
      <c r="H869" t="n">
        <v>0</v>
      </c>
      <c r="I869" t="n">
        <v>0</v>
      </c>
      <c r="J869" t="n">
        <v>0</v>
      </c>
      <c r="K869" t="n">
        <v>0</v>
      </c>
      <c r="L869" t="n">
        <v>0</v>
      </c>
      <c r="M869" t="n">
        <v>0</v>
      </c>
      <c r="N869" t="n">
        <v>0</v>
      </c>
      <c r="O869" t="n">
        <v>0</v>
      </c>
      <c r="P869" t="n">
        <v>0</v>
      </c>
      <c r="Q869" t="n">
        <v>0</v>
      </c>
      <c r="R869" s="2" t="inlineStr"/>
    </row>
    <row r="870" ht="15" customHeight="1">
      <c r="A870" t="inlineStr">
        <is>
          <t>A 35271-2025</t>
        </is>
      </c>
      <c r="B870" s="1" t="n">
        <v>45853.87599537037</v>
      </c>
      <c r="C870" s="1" t="n">
        <v>46004</v>
      </c>
      <c r="D870" t="inlineStr">
        <is>
          <t>KALMAR LÄN</t>
        </is>
      </c>
      <c r="E870" t="inlineStr">
        <is>
          <t>VIMMERBY</t>
        </is>
      </c>
      <c r="G870" t="n">
        <v>0.4</v>
      </c>
      <c r="H870" t="n">
        <v>0</v>
      </c>
      <c r="I870" t="n">
        <v>0</v>
      </c>
      <c r="J870" t="n">
        <v>0</v>
      </c>
      <c r="K870" t="n">
        <v>0</v>
      </c>
      <c r="L870" t="n">
        <v>0</v>
      </c>
      <c r="M870" t="n">
        <v>0</v>
      </c>
      <c r="N870" t="n">
        <v>0</v>
      </c>
      <c r="O870" t="n">
        <v>0</v>
      </c>
      <c r="P870" t="n">
        <v>0</v>
      </c>
      <c r="Q870" t="n">
        <v>0</v>
      </c>
      <c r="R870" s="2" t="inlineStr"/>
    </row>
    <row r="871" ht="15" customHeight="1">
      <c r="A871" t="inlineStr">
        <is>
          <t>A 35272-2025</t>
        </is>
      </c>
      <c r="B871" s="1" t="n">
        <v>45853.88070601852</v>
      </c>
      <c r="C871" s="1" t="n">
        <v>46004</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16953-2025</t>
        </is>
      </c>
      <c r="B872" s="1" t="n">
        <v>45755.44333333334</v>
      </c>
      <c r="C872" s="1" t="n">
        <v>46004</v>
      </c>
      <c r="D872" t="inlineStr">
        <is>
          <t>KALMAR LÄN</t>
        </is>
      </c>
      <c r="E872" t="inlineStr">
        <is>
          <t>VIMMERBY</t>
        </is>
      </c>
      <c r="G872" t="n">
        <v>2</v>
      </c>
      <c r="H872" t="n">
        <v>0</v>
      </c>
      <c r="I872" t="n">
        <v>0</v>
      </c>
      <c r="J872" t="n">
        <v>0</v>
      </c>
      <c r="K872" t="n">
        <v>0</v>
      </c>
      <c r="L872" t="n">
        <v>0</v>
      </c>
      <c r="M872" t="n">
        <v>0</v>
      </c>
      <c r="N872" t="n">
        <v>0</v>
      </c>
      <c r="O872" t="n">
        <v>0</v>
      </c>
      <c r="P872" t="n">
        <v>0</v>
      </c>
      <c r="Q872" t="n">
        <v>0</v>
      </c>
      <c r="R872" s="2" t="inlineStr"/>
    </row>
    <row r="873" ht="15" customHeight="1">
      <c r="A873" t="inlineStr">
        <is>
          <t>A 35596-2025</t>
        </is>
      </c>
      <c r="B873" s="1" t="n">
        <v>45858.60641203704</v>
      </c>
      <c r="C873" s="1" t="n">
        <v>46004</v>
      </c>
      <c r="D873" t="inlineStr">
        <is>
          <t>KALMAR LÄN</t>
        </is>
      </c>
      <c r="E873" t="inlineStr">
        <is>
          <t>VIMMERBY</t>
        </is>
      </c>
      <c r="G873" t="n">
        <v>2.8</v>
      </c>
      <c r="H873" t="n">
        <v>0</v>
      </c>
      <c r="I873" t="n">
        <v>0</v>
      </c>
      <c r="J873" t="n">
        <v>0</v>
      </c>
      <c r="K873" t="n">
        <v>0</v>
      </c>
      <c r="L873" t="n">
        <v>0</v>
      </c>
      <c r="M873" t="n">
        <v>0</v>
      </c>
      <c r="N873" t="n">
        <v>0</v>
      </c>
      <c r="O873" t="n">
        <v>0</v>
      </c>
      <c r="P873" t="n">
        <v>0</v>
      </c>
      <c r="Q873" t="n">
        <v>0</v>
      </c>
      <c r="R873" s="2" t="inlineStr"/>
    </row>
    <row r="874" ht="15" customHeight="1">
      <c r="A874" t="inlineStr">
        <is>
          <t>A 35597-2025</t>
        </is>
      </c>
      <c r="B874" s="1" t="n">
        <v>45858.66019675926</v>
      </c>
      <c r="C874" s="1" t="n">
        <v>46004</v>
      </c>
      <c r="D874" t="inlineStr">
        <is>
          <t>KALMAR LÄN</t>
        </is>
      </c>
      <c r="E874" t="inlineStr">
        <is>
          <t>VIMMERBY</t>
        </is>
      </c>
      <c r="G874" t="n">
        <v>6.4</v>
      </c>
      <c r="H874" t="n">
        <v>0</v>
      </c>
      <c r="I874" t="n">
        <v>0</v>
      </c>
      <c r="J874" t="n">
        <v>0</v>
      </c>
      <c r="K874" t="n">
        <v>0</v>
      </c>
      <c r="L874" t="n">
        <v>0</v>
      </c>
      <c r="M874" t="n">
        <v>0</v>
      </c>
      <c r="N874" t="n">
        <v>0</v>
      </c>
      <c r="O874" t="n">
        <v>0</v>
      </c>
      <c r="P874" t="n">
        <v>0</v>
      </c>
      <c r="Q874" t="n">
        <v>0</v>
      </c>
      <c r="R874" s="2" t="inlineStr"/>
    </row>
    <row r="875" ht="15" customHeight="1">
      <c r="A875" t="inlineStr">
        <is>
          <t>A 61790-2025</t>
        </is>
      </c>
      <c r="B875" s="1" t="n">
        <v>46002.68768518518</v>
      </c>
      <c r="C875" s="1" t="n">
        <v>46004</v>
      </c>
      <c r="D875" t="inlineStr">
        <is>
          <t>KALMAR LÄN</t>
        </is>
      </c>
      <c r="E875" t="inlineStr">
        <is>
          <t>VIMMERBY</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53933-2025</t>
        </is>
      </c>
      <c r="B876" s="1" t="n">
        <v>45961.47650462963</v>
      </c>
      <c r="C876" s="1" t="n">
        <v>46004</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53788-2025</t>
        </is>
      </c>
      <c r="B877" s="1" t="n">
        <v>45960</v>
      </c>
      <c r="C877" s="1" t="n">
        <v>46004</v>
      </c>
      <c r="D877" t="inlineStr">
        <is>
          <t>KALMAR LÄN</t>
        </is>
      </c>
      <c r="E877" t="inlineStr">
        <is>
          <t>VIMMERBY</t>
        </is>
      </c>
      <c r="F877" t="inlineStr">
        <is>
          <t>Övriga statliga verk och myndigheter</t>
        </is>
      </c>
      <c r="G877" t="n">
        <v>6.3</v>
      </c>
      <c r="H877" t="n">
        <v>0</v>
      </c>
      <c r="I877" t="n">
        <v>0</v>
      </c>
      <c r="J877" t="n">
        <v>0</v>
      </c>
      <c r="K877" t="n">
        <v>0</v>
      </c>
      <c r="L877" t="n">
        <v>0</v>
      </c>
      <c r="M877" t="n">
        <v>0</v>
      </c>
      <c r="N877" t="n">
        <v>0</v>
      </c>
      <c r="O877" t="n">
        <v>0</v>
      </c>
      <c r="P877" t="n">
        <v>0</v>
      </c>
      <c r="Q877" t="n">
        <v>0</v>
      </c>
      <c r="R877" s="2" t="inlineStr"/>
    </row>
    <row r="878" ht="15" customHeight="1">
      <c r="A878" t="inlineStr">
        <is>
          <t>A 36226-2025</t>
        </is>
      </c>
      <c r="B878" s="1" t="n">
        <v>45867.51630787037</v>
      </c>
      <c r="C878" s="1" t="n">
        <v>46004</v>
      </c>
      <c r="D878" t="inlineStr">
        <is>
          <t>KALMAR LÄN</t>
        </is>
      </c>
      <c r="E878" t="inlineStr">
        <is>
          <t>VIMMERBY</t>
        </is>
      </c>
      <c r="G878" t="n">
        <v>3.1</v>
      </c>
      <c r="H878" t="n">
        <v>0</v>
      </c>
      <c r="I878" t="n">
        <v>0</v>
      </c>
      <c r="J878" t="n">
        <v>0</v>
      </c>
      <c r="K878" t="n">
        <v>0</v>
      </c>
      <c r="L878" t="n">
        <v>0</v>
      </c>
      <c r="M878" t="n">
        <v>0</v>
      </c>
      <c r="N878" t="n">
        <v>0</v>
      </c>
      <c r="O878" t="n">
        <v>0</v>
      </c>
      <c r="P878" t="n">
        <v>0</v>
      </c>
      <c r="Q878" t="n">
        <v>0</v>
      </c>
      <c r="R878" s="2" t="inlineStr"/>
    </row>
    <row r="879" ht="15" customHeight="1">
      <c r="A879" t="inlineStr">
        <is>
          <t>A 36273-2025</t>
        </is>
      </c>
      <c r="B879" s="1" t="n">
        <v>45867.63094907408</v>
      </c>
      <c r="C879" s="1" t="n">
        <v>46004</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36282-2025</t>
        </is>
      </c>
      <c r="B880" s="1" t="n">
        <v>45867.64663194444</v>
      </c>
      <c r="C880" s="1" t="n">
        <v>46004</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36246-2025</t>
        </is>
      </c>
      <c r="B881" s="1" t="n">
        <v>45867.56320601852</v>
      </c>
      <c r="C881" s="1" t="n">
        <v>46004</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36297-2025</t>
        </is>
      </c>
      <c r="B882" s="1" t="n">
        <v>45867.68625</v>
      </c>
      <c r="C882" s="1" t="n">
        <v>46004</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36221-2025</t>
        </is>
      </c>
      <c r="B883" s="1" t="n">
        <v>45867.50792824074</v>
      </c>
      <c r="C883" s="1" t="n">
        <v>46004</v>
      </c>
      <c r="D883" t="inlineStr">
        <is>
          <t>KALMAR LÄN</t>
        </is>
      </c>
      <c r="E883" t="inlineStr">
        <is>
          <t>VIMMERBY</t>
        </is>
      </c>
      <c r="G883" t="n">
        <v>2.5</v>
      </c>
      <c r="H883" t="n">
        <v>0</v>
      </c>
      <c r="I883" t="n">
        <v>0</v>
      </c>
      <c r="J883" t="n">
        <v>0</v>
      </c>
      <c r="K883" t="n">
        <v>0</v>
      </c>
      <c r="L883" t="n">
        <v>0</v>
      </c>
      <c r="M883" t="n">
        <v>0</v>
      </c>
      <c r="N883" t="n">
        <v>0</v>
      </c>
      <c r="O883" t="n">
        <v>0</v>
      </c>
      <c r="P883" t="n">
        <v>0</v>
      </c>
      <c r="Q883" t="n">
        <v>0</v>
      </c>
      <c r="R883" s="2" t="inlineStr"/>
    </row>
    <row r="884" ht="15" customHeight="1">
      <c r="A884" t="inlineStr">
        <is>
          <t>A 19502-2025</t>
        </is>
      </c>
      <c r="B884" s="1" t="n">
        <v>45769</v>
      </c>
      <c r="C884" s="1" t="n">
        <v>46004</v>
      </c>
      <c r="D884" t="inlineStr">
        <is>
          <t>KALMAR LÄN</t>
        </is>
      </c>
      <c r="E884" t="inlineStr">
        <is>
          <t>VIMMERBY</t>
        </is>
      </c>
      <c r="G884" t="n">
        <v>1.9</v>
      </c>
      <c r="H884" t="n">
        <v>0</v>
      </c>
      <c r="I884" t="n">
        <v>0</v>
      </c>
      <c r="J884" t="n">
        <v>0</v>
      </c>
      <c r="K884" t="n">
        <v>0</v>
      </c>
      <c r="L884" t="n">
        <v>0</v>
      </c>
      <c r="M884" t="n">
        <v>0</v>
      </c>
      <c r="N884" t="n">
        <v>0</v>
      </c>
      <c r="O884" t="n">
        <v>0</v>
      </c>
      <c r="P884" t="n">
        <v>0</v>
      </c>
      <c r="Q884" t="n">
        <v>0</v>
      </c>
      <c r="R884" s="2" t="inlineStr"/>
    </row>
    <row r="885" ht="15" customHeight="1">
      <c r="A885" t="inlineStr">
        <is>
          <t>A 36299-2025</t>
        </is>
      </c>
      <c r="B885" s="1" t="n">
        <v>45867.69346064814</v>
      </c>
      <c r="C885" s="1" t="n">
        <v>46004</v>
      </c>
      <c r="D885" t="inlineStr">
        <is>
          <t>KALMAR LÄN</t>
        </is>
      </c>
      <c r="E885" t="inlineStr">
        <is>
          <t>VIMMERBY</t>
        </is>
      </c>
      <c r="G885" t="n">
        <v>7.6</v>
      </c>
      <c r="H885" t="n">
        <v>0</v>
      </c>
      <c r="I885" t="n">
        <v>0</v>
      </c>
      <c r="J885" t="n">
        <v>0</v>
      </c>
      <c r="K885" t="n">
        <v>0</v>
      </c>
      <c r="L885" t="n">
        <v>0</v>
      </c>
      <c r="M885" t="n">
        <v>0</v>
      </c>
      <c r="N885" t="n">
        <v>0</v>
      </c>
      <c r="O885" t="n">
        <v>0</v>
      </c>
      <c r="P885" t="n">
        <v>0</v>
      </c>
      <c r="Q885" t="n">
        <v>0</v>
      </c>
      <c r="R885" s="2" t="inlineStr"/>
    </row>
    <row r="886" ht="15" customHeight="1">
      <c r="A886" t="inlineStr">
        <is>
          <t>A 36538-2025</t>
        </is>
      </c>
      <c r="B886" s="1" t="n">
        <v>45869.62276620371</v>
      </c>
      <c r="C886" s="1" t="n">
        <v>46004</v>
      </c>
      <c r="D886" t="inlineStr">
        <is>
          <t>KALMAR LÄN</t>
        </is>
      </c>
      <c r="E886" t="inlineStr">
        <is>
          <t>VIMMERBY</t>
        </is>
      </c>
      <c r="G886" t="n">
        <v>2.6</v>
      </c>
      <c r="H886" t="n">
        <v>0</v>
      </c>
      <c r="I886" t="n">
        <v>0</v>
      </c>
      <c r="J886" t="n">
        <v>0</v>
      </c>
      <c r="K886" t="n">
        <v>0</v>
      </c>
      <c r="L886" t="n">
        <v>0</v>
      </c>
      <c r="M886" t="n">
        <v>0</v>
      </c>
      <c r="N886" t="n">
        <v>0</v>
      </c>
      <c r="O886" t="n">
        <v>0</v>
      </c>
      <c r="P886" t="n">
        <v>0</v>
      </c>
      <c r="Q886" t="n">
        <v>0</v>
      </c>
      <c r="R886" s="2" t="inlineStr"/>
    </row>
    <row r="887" ht="15" customHeight="1">
      <c r="A887" t="inlineStr">
        <is>
          <t>A 36598-2025</t>
        </is>
      </c>
      <c r="B887" s="1" t="n">
        <v>45870.51708333333</v>
      </c>
      <c r="C887" s="1" t="n">
        <v>46004</v>
      </c>
      <c r="D887" t="inlineStr">
        <is>
          <t>KALMAR LÄN</t>
        </is>
      </c>
      <c r="E887" t="inlineStr">
        <is>
          <t>VIMMERBY</t>
        </is>
      </c>
      <c r="G887" t="n">
        <v>3.7</v>
      </c>
      <c r="H887" t="n">
        <v>0</v>
      </c>
      <c r="I887" t="n">
        <v>0</v>
      </c>
      <c r="J887" t="n">
        <v>0</v>
      </c>
      <c r="K887" t="n">
        <v>0</v>
      </c>
      <c r="L887" t="n">
        <v>0</v>
      </c>
      <c r="M887" t="n">
        <v>0</v>
      </c>
      <c r="N887" t="n">
        <v>0</v>
      </c>
      <c r="O887" t="n">
        <v>0</v>
      </c>
      <c r="P887" t="n">
        <v>0</v>
      </c>
      <c r="Q887" t="n">
        <v>0</v>
      </c>
      <c r="R887" s="2" t="inlineStr"/>
    </row>
    <row r="888" ht="15" customHeight="1">
      <c r="A888" t="inlineStr">
        <is>
          <t>A 36602-2025</t>
        </is>
      </c>
      <c r="B888" s="1" t="n">
        <v>45870.52111111111</v>
      </c>
      <c r="C888" s="1" t="n">
        <v>46004</v>
      </c>
      <c r="D888" t="inlineStr">
        <is>
          <t>KALMAR LÄN</t>
        </is>
      </c>
      <c r="E888" t="inlineStr">
        <is>
          <t>VIMMERBY</t>
        </is>
      </c>
      <c r="G888" t="n">
        <v>0.6</v>
      </c>
      <c r="H888" t="n">
        <v>0</v>
      </c>
      <c r="I888" t="n">
        <v>0</v>
      </c>
      <c r="J888" t="n">
        <v>0</v>
      </c>
      <c r="K888" t="n">
        <v>0</v>
      </c>
      <c r="L888" t="n">
        <v>0</v>
      </c>
      <c r="M888" t="n">
        <v>0</v>
      </c>
      <c r="N888" t="n">
        <v>0</v>
      </c>
      <c r="O888" t="n">
        <v>0</v>
      </c>
      <c r="P888" t="n">
        <v>0</v>
      </c>
      <c r="Q888" t="n">
        <v>0</v>
      </c>
      <c r="R888" s="2" t="inlineStr"/>
    </row>
    <row r="889" ht="15" customHeight="1">
      <c r="A889" t="inlineStr">
        <is>
          <t>A 36603-2025</t>
        </is>
      </c>
      <c r="B889" s="1" t="n">
        <v>45870.52142361111</v>
      </c>
      <c r="C889" s="1" t="n">
        <v>46004</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36600-2025</t>
        </is>
      </c>
      <c r="B890" s="1" t="n">
        <v>45870.51958333333</v>
      </c>
      <c r="C890" s="1" t="n">
        <v>46004</v>
      </c>
      <c r="D890" t="inlineStr">
        <is>
          <t>KALMAR LÄN</t>
        </is>
      </c>
      <c r="E890" t="inlineStr">
        <is>
          <t>VIMMERBY</t>
        </is>
      </c>
      <c r="G890" t="n">
        <v>2</v>
      </c>
      <c r="H890" t="n">
        <v>0</v>
      </c>
      <c r="I890" t="n">
        <v>0</v>
      </c>
      <c r="J890" t="n">
        <v>0</v>
      </c>
      <c r="K890" t="n">
        <v>0</v>
      </c>
      <c r="L890" t="n">
        <v>0</v>
      </c>
      <c r="M890" t="n">
        <v>0</v>
      </c>
      <c r="N890" t="n">
        <v>0</v>
      </c>
      <c r="O890" t="n">
        <v>0</v>
      </c>
      <c r="P890" t="n">
        <v>0</v>
      </c>
      <c r="Q890" t="n">
        <v>0</v>
      </c>
      <c r="R890" s="2" t="inlineStr"/>
    </row>
    <row r="891" ht="15" customHeight="1">
      <c r="A891" t="inlineStr">
        <is>
          <t>A 36601-2025</t>
        </is>
      </c>
      <c r="B891" s="1" t="n">
        <v>45870.52005787037</v>
      </c>
      <c r="C891" s="1" t="n">
        <v>46004</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37088-2025</t>
        </is>
      </c>
      <c r="B892" s="1" t="n">
        <v>45875.45716435185</v>
      </c>
      <c r="C892" s="1" t="n">
        <v>46004</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37102-2025</t>
        </is>
      </c>
      <c r="B893" s="1" t="n">
        <v>45875.47454861111</v>
      </c>
      <c r="C893" s="1" t="n">
        <v>46004</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37079-2025</t>
        </is>
      </c>
      <c r="B894" s="1" t="n">
        <v>45875.42716435185</v>
      </c>
      <c r="C894" s="1" t="n">
        <v>46004</v>
      </c>
      <c r="D894" t="inlineStr">
        <is>
          <t>KALMAR LÄN</t>
        </is>
      </c>
      <c r="E894" t="inlineStr">
        <is>
          <t>VIMMERBY</t>
        </is>
      </c>
      <c r="G894" t="n">
        <v>0.8</v>
      </c>
      <c r="H894" t="n">
        <v>0</v>
      </c>
      <c r="I894" t="n">
        <v>0</v>
      </c>
      <c r="J894" t="n">
        <v>0</v>
      </c>
      <c r="K894" t="n">
        <v>0</v>
      </c>
      <c r="L894" t="n">
        <v>0</v>
      </c>
      <c r="M894" t="n">
        <v>0</v>
      </c>
      <c r="N894" t="n">
        <v>0</v>
      </c>
      <c r="O894" t="n">
        <v>0</v>
      </c>
      <c r="P894" t="n">
        <v>0</v>
      </c>
      <c r="Q894" t="n">
        <v>0</v>
      </c>
      <c r="R894" s="2" t="inlineStr"/>
    </row>
    <row r="895" ht="15" customHeight="1">
      <c r="A895" t="inlineStr">
        <is>
          <t>A 36934-2025</t>
        </is>
      </c>
      <c r="B895" s="1" t="n">
        <v>45874.57109953704</v>
      </c>
      <c r="C895" s="1" t="n">
        <v>46004</v>
      </c>
      <c r="D895" t="inlineStr">
        <is>
          <t>KALMAR LÄN</t>
        </is>
      </c>
      <c r="E895" t="inlineStr">
        <is>
          <t>VIMMERBY</t>
        </is>
      </c>
      <c r="G895" t="n">
        <v>4.2</v>
      </c>
      <c r="H895" t="n">
        <v>0</v>
      </c>
      <c r="I895" t="n">
        <v>0</v>
      </c>
      <c r="J895" t="n">
        <v>0</v>
      </c>
      <c r="K895" t="n">
        <v>0</v>
      </c>
      <c r="L895" t="n">
        <v>0</v>
      </c>
      <c r="M895" t="n">
        <v>0</v>
      </c>
      <c r="N895" t="n">
        <v>0</v>
      </c>
      <c r="O895" t="n">
        <v>0</v>
      </c>
      <c r="P895" t="n">
        <v>0</v>
      </c>
      <c r="Q895" t="n">
        <v>0</v>
      </c>
      <c r="R895" s="2" t="inlineStr"/>
    </row>
    <row r="896" ht="15" customHeight="1">
      <c r="A896" t="inlineStr">
        <is>
          <t>A 37578-2025</t>
        </is>
      </c>
      <c r="B896" s="1" t="n">
        <v>45880.38380787037</v>
      </c>
      <c r="C896" s="1" t="n">
        <v>46004</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37668-2025</t>
        </is>
      </c>
      <c r="B897" s="1" t="n">
        <v>45880.51550925926</v>
      </c>
      <c r="C897" s="1" t="n">
        <v>46004</v>
      </c>
      <c r="D897" t="inlineStr">
        <is>
          <t>KALMAR LÄN</t>
        </is>
      </c>
      <c r="E897" t="inlineStr">
        <is>
          <t>VIMMERBY</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37939-2025</t>
        </is>
      </c>
      <c r="B898" s="1" t="n">
        <v>45881.59877314815</v>
      </c>
      <c r="C898" s="1" t="n">
        <v>46004</v>
      </c>
      <c r="D898" t="inlineStr">
        <is>
          <t>KALMAR LÄN</t>
        </is>
      </c>
      <c r="E898" t="inlineStr">
        <is>
          <t>VIMMERBY</t>
        </is>
      </c>
      <c r="G898" t="n">
        <v>1.3</v>
      </c>
      <c r="H898" t="n">
        <v>0</v>
      </c>
      <c r="I898" t="n">
        <v>0</v>
      </c>
      <c r="J898" t="n">
        <v>0</v>
      </c>
      <c r="K898" t="n">
        <v>0</v>
      </c>
      <c r="L898" t="n">
        <v>0</v>
      </c>
      <c r="M898" t="n">
        <v>0</v>
      </c>
      <c r="N898" t="n">
        <v>0</v>
      </c>
      <c r="O898" t="n">
        <v>0</v>
      </c>
      <c r="P898" t="n">
        <v>0</v>
      </c>
      <c r="Q898" t="n">
        <v>0</v>
      </c>
      <c r="R898" s="2" t="inlineStr"/>
    </row>
    <row r="899" ht="15" customHeight="1">
      <c r="A899" t="inlineStr">
        <is>
          <t>A 37866-2025</t>
        </is>
      </c>
      <c r="B899" s="1" t="n">
        <v>45881</v>
      </c>
      <c r="C899" s="1" t="n">
        <v>46004</v>
      </c>
      <c r="D899" t="inlineStr">
        <is>
          <t>KALMAR LÄN</t>
        </is>
      </c>
      <c r="E899" t="inlineStr">
        <is>
          <t>VIMMERBY</t>
        </is>
      </c>
      <c r="G899" t="n">
        <v>3.4</v>
      </c>
      <c r="H899" t="n">
        <v>0</v>
      </c>
      <c r="I899" t="n">
        <v>0</v>
      </c>
      <c r="J899" t="n">
        <v>0</v>
      </c>
      <c r="K899" t="n">
        <v>0</v>
      </c>
      <c r="L899" t="n">
        <v>0</v>
      </c>
      <c r="M899" t="n">
        <v>0</v>
      </c>
      <c r="N899" t="n">
        <v>0</v>
      </c>
      <c r="O899" t="n">
        <v>0</v>
      </c>
      <c r="P899" t="n">
        <v>0</v>
      </c>
      <c r="Q899" t="n">
        <v>0</v>
      </c>
      <c r="R899" s="2" t="inlineStr"/>
    </row>
    <row r="900">
      <c r="A900" t="inlineStr">
        <is>
          <t>A 38964-2025</t>
        </is>
      </c>
      <c r="B900" s="1" t="n">
        <v>45887.68759259259</v>
      </c>
      <c r="C900" s="1" t="n">
        <v>46004</v>
      </c>
      <c r="D900" t="inlineStr">
        <is>
          <t>KALMAR LÄN</t>
        </is>
      </c>
      <c r="E900" t="inlineStr">
        <is>
          <t>VIMMERBY</t>
        </is>
      </c>
      <c r="G900" t="n">
        <v>7.5</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2025-12-13T10:29:49Z</dcterms:created>
  <dcterms:modified xmlns:dcterms="http://purl.org/dc/terms/" xmlns:xsi="http://www.w3.org/2001/XMLSchema-instance" xsi:type="dcterms:W3CDTF">2025-12-13T10:29:50Z</dcterms:modified>
</cp:coreProperties>
</file>