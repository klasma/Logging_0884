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45703</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45703</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45703</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45703</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45703</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45703</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45703</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45703</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45703</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45703</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45703</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45703</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45703</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45703</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45703</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45703</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6449-2025</t>
        </is>
      </c>
      <c r="B81" s="1" t="n">
        <v>45699</v>
      </c>
      <c r="C81" s="1" t="n">
        <v>45703</v>
      </c>
      <c r="D81" t="inlineStr">
        <is>
          <t>KALMAR LÄN</t>
        </is>
      </c>
      <c r="E81" t="inlineStr">
        <is>
          <t>VIMMERBY</t>
        </is>
      </c>
      <c r="G81" t="n">
        <v>0.7</v>
      </c>
      <c r="H81" t="n">
        <v>0</v>
      </c>
      <c r="I81" t="n">
        <v>0</v>
      </c>
      <c r="J81" t="n">
        <v>1</v>
      </c>
      <c r="K81" t="n">
        <v>0</v>
      </c>
      <c r="L81" t="n">
        <v>0</v>
      </c>
      <c r="M81" t="n">
        <v>0</v>
      </c>
      <c r="N81" t="n">
        <v>0</v>
      </c>
      <c r="O81" t="n">
        <v>1</v>
      </c>
      <c r="P81" t="n">
        <v>0</v>
      </c>
      <c r="Q81" t="n">
        <v>1</v>
      </c>
      <c r="R81" s="2" t="inlineStr">
        <is>
          <t>Skogshare</t>
        </is>
      </c>
      <c r="S81">
        <f>HYPERLINK("https://klasma.github.io/Logging_0884/artfynd/A 6449-2025 artfynd.xlsx", "A 6449-2025")</f>
        <v/>
      </c>
      <c r="T81">
        <f>HYPERLINK("https://klasma.github.io/Logging_0884/kartor/A 6449-2025 karta.png", "A 6449-2025")</f>
        <v/>
      </c>
      <c r="V81">
        <f>HYPERLINK("https://klasma.github.io/Logging_0884/klagomål/A 6449-2025 FSC-klagomål.docx", "A 6449-2025")</f>
        <v/>
      </c>
      <c r="W81">
        <f>HYPERLINK("https://klasma.github.io/Logging_0884/klagomålsmail/A 6449-2025 FSC-klagomål mail.docx", "A 6449-2025")</f>
        <v/>
      </c>
      <c r="X81">
        <f>HYPERLINK("https://klasma.github.io/Logging_0884/tillsyn/A 6449-2025 tillsynsbegäran.docx", "A 6449-2025")</f>
        <v/>
      </c>
      <c r="Y81">
        <f>HYPERLINK("https://klasma.github.io/Logging_0884/tillsynsmail/A 6449-2025 tillsynsbegäran mail.docx", "A 6449-2025")</f>
        <v/>
      </c>
    </row>
    <row r="82" ht="15" customHeight="1">
      <c r="A82" t="inlineStr">
        <is>
          <t>A 18658-2019</t>
        </is>
      </c>
      <c r="B82" s="1" t="n">
        <v>43559</v>
      </c>
      <c r="C82" s="1" t="n">
        <v>45703</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18656-2019</t>
        </is>
      </c>
      <c r="B83" s="1" t="n">
        <v>43559</v>
      </c>
      <c r="C83" s="1" t="n">
        <v>45703</v>
      </c>
      <c r="D83" t="inlineStr">
        <is>
          <t>KALMAR LÄN</t>
        </is>
      </c>
      <c r="E83" t="inlineStr">
        <is>
          <t>VIMMERBY</t>
        </is>
      </c>
      <c r="G83" t="n">
        <v>2.1</v>
      </c>
      <c r="H83" t="n">
        <v>0</v>
      </c>
      <c r="I83" t="n">
        <v>0</v>
      </c>
      <c r="J83" t="n">
        <v>0</v>
      </c>
      <c r="K83" t="n">
        <v>0</v>
      </c>
      <c r="L83" t="n">
        <v>0</v>
      </c>
      <c r="M83" t="n">
        <v>0</v>
      </c>
      <c r="N83" t="n">
        <v>0</v>
      </c>
      <c r="O83" t="n">
        <v>0</v>
      </c>
      <c r="P83" t="n">
        <v>0</v>
      </c>
      <c r="Q83" t="n">
        <v>0</v>
      </c>
      <c r="R83" s="2" t="inlineStr"/>
    </row>
    <row r="84" ht="15" customHeight="1">
      <c r="A84" t="inlineStr">
        <is>
          <t>A 18755-2019</t>
        </is>
      </c>
      <c r="B84" s="1" t="n">
        <v>43560</v>
      </c>
      <c r="C84" s="1" t="n">
        <v>45703</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19057-2019</t>
        </is>
      </c>
      <c r="B85" s="1" t="n">
        <v>43563</v>
      </c>
      <c r="C85" s="1" t="n">
        <v>45703</v>
      </c>
      <c r="D85" t="inlineStr">
        <is>
          <t>KALMAR LÄN</t>
        </is>
      </c>
      <c r="E85" t="inlineStr">
        <is>
          <t>VIMMERBY</t>
        </is>
      </c>
      <c r="G85" t="n">
        <v>10.1</v>
      </c>
      <c r="H85" t="n">
        <v>0</v>
      </c>
      <c r="I85" t="n">
        <v>0</v>
      </c>
      <c r="J85" t="n">
        <v>0</v>
      </c>
      <c r="K85" t="n">
        <v>0</v>
      </c>
      <c r="L85" t="n">
        <v>0</v>
      </c>
      <c r="M85" t="n">
        <v>0</v>
      </c>
      <c r="N85" t="n">
        <v>0</v>
      </c>
      <c r="O85" t="n">
        <v>0</v>
      </c>
      <c r="P85" t="n">
        <v>0</v>
      </c>
      <c r="Q85" t="n">
        <v>0</v>
      </c>
      <c r="R85" s="2" t="inlineStr"/>
    </row>
    <row r="86" ht="15" customHeight="1">
      <c r="A86" t="inlineStr">
        <is>
          <t>A 19056-2019</t>
        </is>
      </c>
      <c r="B86" s="1" t="n">
        <v>43563</v>
      </c>
      <c r="C86" s="1" t="n">
        <v>45703</v>
      </c>
      <c r="D86" t="inlineStr">
        <is>
          <t>KALMAR LÄN</t>
        </is>
      </c>
      <c r="E86" t="inlineStr">
        <is>
          <t>VIMMERBY</t>
        </is>
      </c>
      <c r="G86" t="n">
        <v>3.2</v>
      </c>
      <c r="H86" t="n">
        <v>0</v>
      </c>
      <c r="I86" t="n">
        <v>0</v>
      </c>
      <c r="J86" t="n">
        <v>0</v>
      </c>
      <c r="K86" t="n">
        <v>0</v>
      </c>
      <c r="L86" t="n">
        <v>0</v>
      </c>
      <c r="M86" t="n">
        <v>0</v>
      </c>
      <c r="N86" t="n">
        <v>0</v>
      </c>
      <c r="O86" t="n">
        <v>0</v>
      </c>
      <c r="P86" t="n">
        <v>0</v>
      </c>
      <c r="Q86" t="n">
        <v>0</v>
      </c>
      <c r="R86" s="2" t="inlineStr"/>
    </row>
    <row r="87" ht="15" customHeight="1">
      <c r="A87" t="inlineStr">
        <is>
          <t>A 19054-2019</t>
        </is>
      </c>
      <c r="B87" s="1" t="n">
        <v>43563</v>
      </c>
      <c r="C87" s="1" t="n">
        <v>45703</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19616-2019</t>
        </is>
      </c>
      <c r="B88" s="1" t="n">
        <v>43566</v>
      </c>
      <c r="C88" s="1" t="n">
        <v>45703</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19632-2019</t>
        </is>
      </c>
      <c r="B89" s="1" t="n">
        <v>43566</v>
      </c>
      <c r="C89" s="1" t="n">
        <v>45703</v>
      </c>
      <c r="D89" t="inlineStr">
        <is>
          <t>KALMAR LÄN</t>
        </is>
      </c>
      <c r="E89" t="inlineStr">
        <is>
          <t>VIMMERBY</t>
        </is>
      </c>
      <c r="G89" t="n">
        <v>4.1</v>
      </c>
      <c r="H89" t="n">
        <v>0</v>
      </c>
      <c r="I89" t="n">
        <v>0</v>
      </c>
      <c r="J89" t="n">
        <v>0</v>
      </c>
      <c r="K89" t="n">
        <v>0</v>
      </c>
      <c r="L89" t="n">
        <v>0</v>
      </c>
      <c r="M89" t="n">
        <v>0</v>
      </c>
      <c r="N89" t="n">
        <v>0</v>
      </c>
      <c r="O89" t="n">
        <v>0</v>
      </c>
      <c r="P89" t="n">
        <v>0</v>
      </c>
      <c r="Q89" t="n">
        <v>0</v>
      </c>
      <c r="R89" s="2" t="inlineStr"/>
    </row>
    <row r="90" ht="15" customHeight="1">
      <c r="A90" t="inlineStr">
        <is>
          <t>A 19899-2019</t>
        </is>
      </c>
      <c r="B90" s="1" t="n">
        <v>43567</v>
      </c>
      <c r="C90" s="1" t="n">
        <v>45703</v>
      </c>
      <c r="D90" t="inlineStr">
        <is>
          <t>KALMAR LÄN</t>
        </is>
      </c>
      <c r="E90" t="inlineStr">
        <is>
          <t>VIMMERBY</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20035-2019</t>
        </is>
      </c>
      <c r="B91" s="1" t="n">
        <v>43570</v>
      </c>
      <c r="C91" s="1" t="n">
        <v>45703</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19983-2019</t>
        </is>
      </c>
      <c r="B92" s="1" t="n">
        <v>43570</v>
      </c>
      <c r="C92" s="1" t="n">
        <v>45703</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20080-2019</t>
        </is>
      </c>
      <c r="B93" s="1" t="n">
        <v>43570</v>
      </c>
      <c r="C93" s="1" t="n">
        <v>45703</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20069-2019</t>
        </is>
      </c>
      <c r="B94" s="1" t="n">
        <v>43570</v>
      </c>
      <c r="C94" s="1" t="n">
        <v>45703</v>
      </c>
      <c r="D94" t="inlineStr">
        <is>
          <t>KALMAR LÄN</t>
        </is>
      </c>
      <c r="E94" t="inlineStr">
        <is>
          <t>VIMMERBY</t>
        </is>
      </c>
      <c r="G94" t="n">
        <v>4.9</v>
      </c>
      <c r="H94" t="n">
        <v>0</v>
      </c>
      <c r="I94" t="n">
        <v>0</v>
      </c>
      <c r="J94" t="n">
        <v>0</v>
      </c>
      <c r="K94" t="n">
        <v>0</v>
      </c>
      <c r="L94" t="n">
        <v>0</v>
      </c>
      <c r="M94" t="n">
        <v>0</v>
      </c>
      <c r="N94" t="n">
        <v>0</v>
      </c>
      <c r="O94" t="n">
        <v>0</v>
      </c>
      <c r="P94" t="n">
        <v>0</v>
      </c>
      <c r="Q94" t="n">
        <v>0</v>
      </c>
      <c r="R94" s="2" t="inlineStr"/>
    </row>
    <row r="95" ht="15" customHeight="1">
      <c r="A95" t="inlineStr">
        <is>
          <t>A 20314-2019</t>
        </is>
      </c>
      <c r="B95" s="1" t="n">
        <v>43571</v>
      </c>
      <c r="C95" s="1" t="n">
        <v>45703</v>
      </c>
      <c r="D95" t="inlineStr">
        <is>
          <t>KALMAR LÄN</t>
        </is>
      </c>
      <c r="E95" t="inlineStr">
        <is>
          <t>VIMMERBY</t>
        </is>
      </c>
      <c r="G95" t="n">
        <v>2.2</v>
      </c>
      <c r="H95" t="n">
        <v>0</v>
      </c>
      <c r="I95" t="n">
        <v>0</v>
      </c>
      <c r="J95" t="n">
        <v>0</v>
      </c>
      <c r="K95" t="n">
        <v>0</v>
      </c>
      <c r="L95" t="n">
        <v>0</v>
      </c>
      <c r="M95" t="n">
        <v>0</v>
      </c>
      <c r="N95" t="n">
        <v>0</v>
      </c>
      <c r="O95" t="n">
        <v>0</v>
      </c>
      <c r="P95" t="n">
        <v>0</v>
      </c>
      <c r="Q95" t="n">
        <v>0</v>
      </c>
      <c r="R95" s="2" t="inlineStr"/>
    </row>
    <row r="96" ht="15" customHeight="1">
      <c r="A96" t="inlineStr">
        <is>
          <t>A 20312-2019</t>
        </is>
      </c>
      <c r="B96" s="1" t="n">
        <v>43571</v>
      </c>
      <c r="C96" s="1" t="n">
        <v>45703</v>
      </c>
      <c r="D96" t="inlineStr">
        <is>
          <t>KALMAR LÄN</t>
        </is>
      </c>
      <c r="E96" t="inlineStr">
        <is>
          <t>VIMMERBY</t>
        </is>
      </c>
      <c r="G96" t="n">
        <v>4.2</v>
      </c>
      <c r="H96" t="n">
        <v>0</v>
      </c>
      <c r="I96" t="n">
        <v>0</v>
      </c>
      <c r="J96" t="n">
        <v>0</v>
      </c>
      <c r="K96" t="n">
        <v>0</v>
      </c>
      <c r="L96" t="n">
        <v>0</v>
      </c>
      <c r="M96" t="n">
        <v>0</v>
      </c>
      <c r="N96" t="n">
        <v>0</v>
      </c>
      <c r="O96" t="n">
        <v>0</v>
      </c>
      <c r="P96" t="n">
        <v>0</v>
      </c>
      <c r="Q96" t="n">
        <v>0</v>
      </c>
      <c r="R96" s="2" t="inlineStr"/>
    </row>
    <row r="97" ht="15" customHeight="1">
      <c r="A97" t="inlineStr">
        <is>
          <t>A 20565-2019</t>
        </is>
      </c>
      <c r="B97" s="1" t="n">
        <v>43572</v>
      </c>
      <c r="C97" s="1" t="n">
        <v>45703</v>
      </c>
      <c r="D97" t="inlineStr">
        <is>
          <t>KALMAR LÄN</t>
        </is>
      </c>
      <c r="E97" t="inlineStr">
        <is>
          <t>VIMMERBY</t>
        </is>
      </c>
      <c r="G97" t="n">
        <v>5.5</v>
      </c>
      <c r="H97" t="n">
        <v>0</v>
      </c>
      <c r="I97" t="n">
        <v>0</v>
      </c>
      <c r="J97" t="n">
        <v>0</v>
      </c>
      <c r="K97" t="n">
        <v>0</v>
      </c>
      <c r="L97" t="n">
        <v>0</v>
      </c>
      <c r="M97" t="n">
        <v>0</v>
      </c>
      <c r="N97" t="n">
        <v>0</v>
      </c>
      <c r="O97" t="n">
        <v>0</v>
      </c>
      <c r="P97" t="n">
        <v>0</v>
      </c>
      <c r="Q97" t="n">
        <v>0</v>
      </c>
      <c r="R97" s="2" t="inlineStr"/>
    </row>
    <row r="98" ht="15" customHeight="1">
      <c r="A98" t="inlineStr">
        <is>
          <t>A 20856-2019</t>
        </is>
      </c>
      <c r="B98" s="1" t="n">
        <v>43578</v>
      </c>
      <c r="C98" s="1" t="n">
        <v>45703</v>
      </c>
      <c r="D98" t="inlineStr">
        <is>
          <t>KALMAR LÄN</t>
        </is>
      </c>
      <c r="E98" t="inlineStr">
        <is>
          <t>VIMMERBY</t>
        </is>
      </c>
      <c r="G98" t="n">
        <v>0.8</v>
      </c>
      <c r="H98" t="n">
        <v>0</v>
      </c>
      <c r="I98" t="n">
        <v>0</v>
      </c>
      <c r="J98" t="n">
        <v>0</v>
      </c>
      <c r="K98" t="n">
        <v>0</v>
      </c>
      <c r="L98" t="n">
        <v>0</v>
      </c>
      <c r="M98" t="n">
        <v>0</v>
      </c>
      <c r="N98" t="n">
        <v>0</v>
      </c>
      <c r="O98" t="n">
        <v>0</v>
      </c>
      <c r="P98" t="n">
        <v>0</v>
      </c>
      <c r="Q98" t="n">
        <v>0</v>
      </c>
      <c r="R98" s="2" t="inlineStr"/>
    </row>
    <row r="99" ht="15" customHeight="1">
      <c r="A99" t="inlineStr">
        <is>
          <t>A 21557-2019</t>
        </is>
      </c>
      <c r="B99" s="1" t="n">
        <v>43580</v>
      </c>
      <c r="C99" s="1" t="n">
        <v>45703</v>
      </c>
      <c r="D99" t="inlineStr">
        <is>
          <t>KALMAR LÄN</t>
        </is>
      </c>
      <c r="E99" t="inlineStr">
        <is>
          <t>VIMMERBY</t>
        </is>
      </c>
      <c r="G99" t="n">
        <v>13.8</v>
      </c>
      <c r="H99" t="n">
        <v>0</v>
      </c>
      <c r="I99" t="n">
        <v>0</v>
      </c>
      <c r="J99" t="n">
        <v>0</v>
      </c>
      <c r="K99" t="n">
        <v>0</v>
      </c>
      <c r="L99" t="n">
        <v>0</v>
      </c>
      <c r="M99" t="n">
        <v>0</v>
      </c>
      <c r="N99" t="n">
        <v>0</v>
      </c>
      <c r="O99" t="n">
        <v>0</v>
      </c>
      <c r="P99" t="n">
        <v>0</v>
      </c>
      <c r="Q99" t="n">
        <v>0</v>
      </c>
      <c r="R99" s="2" t="inlineStr"/>
    </row>
    <row r="100" ht="15" customHeight="1">
      <c r="A100" t="inlineStr">
        <is>
          <t>A 21500-2019</t>
        </is>
      </c>
      <c r="B100" s="1" t="n">
        <v>43580</v>
      </c>
      <c r="C100" s="1" t="n">
        <v>45703</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21688-2019</t>
        </is>
      </c>
      <c r="B101" s="1" t="n">
        <v>43581</v>
      </c>
      <c r="C101" s="1" t="n">
        <v>45703</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22372-2019</t>
        </is>
      </c>
      <c r="B102" s="1" t="n">
        <v>43587</v>
      </c>
      <c r="C102" s="1" t="n">
        <v>45703</v>
      </c>
      <c r="D102" t="inlineStr">
        <is>
          <t>KALMAR LÄN</t>
        </is>
      </c>
      <c r="E102" t="inlineStr">
        <is>
          <t>VIMMERBY</t>
        </is>
      </c>
      <c r="G102" t="n">
        <v>0.3</v>
      </c>
      <c r="H102" t="n">
        <v>0</v>
      </c>
      <c r="I102" t="n">
        <v>0</v>
      </c>
      <c r="J102" t="n">
        <v>0</v>
      </c>
      <c r="K102" t="n">
        <v>0</v>
      </c>
      <c r="L102" t="n">
        <v>0</v>
      </c>
      <c r="M102" t="n">
        <v>0</v>
      </c>
      <c r="N102" t="n">
        <v>0</v>
      </c>
      <c r="O102" t="n">
        <v>0</v>
      </c>
      <c r="P102" t="n">
        <v>0</v>
      </c>
      <c r="Q102" t="n">
        <v>0</v>
      </c>
      <c r="R102" s="2" t="inlineStr"/>
    </row>
    <row r="103" ht="15" customHeight="1">
      <c r="A103" t="inlineStr">
        <is>
          <t>A 22659-2019</t>
        </is>
      </c>
      <c r="B103" s="1" t="n">
        <v>43588</v>
      </c>
      <c r="C103" s="1" t="n">
        <v>45703</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23498-2019</t>
        </is>
      </c>
      <c r="B104" s="1" t="n">
        <v>43593</v>
      </c>
      <c r="C104" s="1" t="n">
        <v>45703</v>
      </c>
      <c r="D104" t="inlineStr">
        <is>
          <t>KALMAR LÄN</t>
        </is>
      </c>
      <c r="E104" t="inlineStr">
        <is>
          <t>VIMMERBY</t>
        </is>
      </c>
      <c r="G104" t="n">
        <v>1.9</v>
      </c>
      <c r="H104" t="n">
        <v>0</v>
      </c>
      <c r="I104" t="n">
        <v>0</v>
      </c>
      <c r="J104" t="n">
        <v>0</v>
      </c>
      <c r="K104" t="n">
        <v>0</v>
      </c>
      <c r="L104" t="n">
        <v>0</v>
      </c>
      <c r="M104" t="n">
        <v>0</v>
      </c>
      <c r="N104" t="n">
        <v>0</v>
      </c>
      <c r="O104" t="n">
        <v>0</v>
      </c>
      <c r="P104" t="n">
        <v>0</v>
      </c>
      <c r="Q104" t="n">
        <v>0</v>
      </c>
      <c r="R104" s="2" t="inlineStr"/>
    </row>
    <row r="105" ht="15" customHeight="1">
      <c r="A105" t="inlineStr">
        <is>
          <t>A 24254-2019</t>
        </is>
      </c>
      <c r="B105" s="1" t="n">
        <v>43599</v>
      </c>
      <c r="C105" s="1" t="n">
        <v>45703</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24937-2019</t>
        </is>
      </c>
      <c r="B106" s="1" t="n">
        <v>43602</v>
      </c>
      <c r="C106" s="1" t="n">
        <v>45703</v>
      </c>
      <c r="D106" t="inlineStr">
        <is>
          <t>KALMAR LÄN</t>
        </is>
      </c>
      <c r="E106" t="inlineStr">
        <is>
          <t>VIMMERBY</t>
        </is>
      </c>
      <c r="G106" t="n">
        <v>0.9</v>
      </c>
      <c r="H106" t="n">
        <v>0</v>
      </c>
      <c r="I106" t="n">
        <v>0</v>
      </c>
      <c r="J106" t="n">
        <v>0</v>
      </c>
      <c r="K106" t="n">
        <v>0</v>
      </c>
      <c r="L106" t="n">
        <v>0</v>
      </c>
      <c r="M106" t="n">
        <v>0</v>
      </c>
      <c r="N106" t="n">
        <v>0</v>
      </c>
      <c r="O106" t="n">
        <v>0</v>
      </c>
      <c r="P106" t="n">
        <v>0</v>
      </c>
      <c r="Q106" t="n">
        <v>0</v>
      </c>
      <c r="R106" s="2" t="inlineStr"/>
    </row>
    <row r="107" ht="15" customHeight="1">
      <c r="A107" t="inlineStr">
        <is>
          <t>A 26073-2019</t>
        </is>
      </c>
      <c r="B107" s="1" t="n">
        <v>43609</v>
      </c>
      <c r="C107" s="1" t="n">
        <v>45703</v>
      </c>
      <c r="D107" t="inlineStr">
        <is>
          <t>KALMAR LÄN</t>
        </is>
      </c>
      <c r="E107" t="inlineStr">
        <is>
          <t>VIMMERBY</t>
        </is>
      </c>
      <c r="G107" t="n">
        <v>0.4</v>
      </c>
      <c r="H107" t="n">
        <v>0</v>
      </c>
      <c r="I107" t="n">
        <v>0</v>
      </c>
      <c r="J107" t="n">
        <v>0</v>
      </c>
      <c r="K107" t="n">
        <v>0</v>
      </c>
      <c r="L107" t="n">
        <v>0</v>
      </c>
      <c r="M107" t="n">
        <v>0</v>
      </c>
      <c r="N107" t="n">
        <v>0</v>
      </c>
      <c r="O107" t="n">
        <v>0</v>
      </c>
      <c r="P107" t="n">
        <v>0</v>
      </c>
      <c r="Q107" t="n">
        <v>0</v>
      </c>
      <c r="R107" s="2" t="inlineStr"/>
    </row>
    <row r="108" ht="15" customHeight="1">
      <c r="A108" t="inlineStr">
        <is>
          <t>A 26660-2019</t>
        </is>
      </c>
      <c r="B108" s="1" t="n">
        <v>43613</v>
      </c>
      <c r="C108" s="1" t="n">
        <v>45703</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28013-2019</t>
        </is>
      </c>
      <c r="B109" s="1" t="n">
        <v>43621</v>
      </c>
      <c r="C109" s="1" t="n">
        <v>45703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28348-2019</t>
        </is>
      </c>
      <c r="B110" s="1" t="n">
        <v>43624</v>
      </c>
      <c r="C110" s="1" t="n">
        <v>45703</v>
      </c>
      <c r="D110" t="inlineStr">
        <is>
          <t>KALMAR LÄN</t>
        </is>
      </c>
      <c r="E110" t="inlineStr">
        <is>
          <t>VIMMERBY</t>
        </is>
      </c>
      <c r="G110" t="n">
        <v>1</v>
      </c>
      <c r="H110" t="n">
        <v>0</v>
      </c>
      <c r="I110" t="n">
        <v>0</v>
      </c>
      <c r="J110" t="n">
        <v>0</v>
      </c>
      <c r="K110" t="n">
        <v>0</v>
      </c>
      <c r="L110" t="n">
        <v>0</v>
      </c>
      <c r="M110" t="n">
        <v>0</v>
      </c>
      <c r="N110" t="n">
        <v>0</v>
      </c>
      <c r="O110" t="n">
        <v>0</v>
      </c>
      <c r="P110" t="n">
        <v>0</v>
      </c>
      <c r="Q110" t="n">
        <v>0</v>
      </c>
      <c r="R110" s="2" t="inlineStr"/>
    </row>
    <row r="111" ht="15" customHeight="1">
      <c r="A111" t="inlineStr">
        <is>
          <t>A 28414-2019</t>
        </is>
      </c>
      <c r="B111" s="1" t="n">
        <v>43626</v>
      </c>
      <c r="C111" s="1" t="n">
        <v>45703</v>
      </c>
      <c r="D111" t="inlineStr">
        <is>
          <t>KALMAR LÄN</t>
        </is>
      </c>
      <c r="E111" t="inlineStr">
        <is>
          <t>VIMMERBY</t>
        </is>
      </c>
      <c r="G111" t="n">
        <v>1.4</v>
      </c>
      <c r="H111" t="n">
        <v>0</v>
      </c>
      <c r="I111" t="n">
        <v>0</v>
      </c>
      <c r="J111" t="n">
        <v>0</v>
      </c>
      <c r="K111" t="n">
        <v>0</v>
      </c>
      <c r="L111" t="n">
        <v>0</v>
      </c>
      <c r="M111" t="n">
        <v>0</v>
      </c>
      <c r="N111" t="n">
        <v>0</v>
      </c>
      <c r="O111" t="n">
        <v>0</v>
      </c>
      <c r="P111" t="n">
        <v>0</v>
      </c>
      <c r="Q111" t="n">
        <v>0</v>
      </c>
      <c r="R111" s="2" t="inlineStr"/>
    </row>
    <row r="112" ht="15" customHeight="1">
      <c r="A112" t="inlineStr">
        <is>
          <t>A 29004-2019</t>
        </is>
      </c>
      <c r="B112" s="1" t="n">
        <v>43628</v>
      </c>
      <c r="C112" s="1" t="n">
        <v>45703</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29228-2019</t>
        </is>
      </c>
      <c r="B113" s="1" t="n">
        <v>43629</v>
      </c>
      <c r="C113" s="1" t="n">
        <v>45703</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29408-2019</t>
        </is>
      </c>
      <c r="B114" s="1" t="n">
        <v>43629</v>
      </c>
      <c r="C114" s="1" t="n">
        <v>45703</v>
      </c>
      <c r="D114" t="inlineStr">
        <is>
          <t>KALMAR LÄN</t>
        </is>
      </c>
      <c r="E114" t="inlineStr">
        <is>
          <t>VIMMERBY</t>
        </is>
      </c>
      <c r="G114" t="n">
        <v>10.2</v>
      </c>
      <c r="H114" t="n">
        <v>0</v>
      </c>
      <c r="I114" t="n">
        <v>0</v>
      </c>
      <c r="J114" t="n">
        <v>0</v>
      </c>
      <c r="K114" t="n">
        <v>0</v>
      </c>
      <c r="L114" t="n">
        <v>0</v>
      </c>
      <c r="M114" t="n">
        <v>0</v>
      </c>
      <c r="N114" t="n">
        <v>0</v>
      </c>
      <c r="O114" t="n">
        <v>0</v>
      </c>
      <c r="P114" t="n">
        <v>0</v>
      </c>
      <c r="Q114" t="n">
        <v>0</v>
      </c>
      <c r="R114" s="2" t="inlineStr"/>
    </row>
    <row r="115" ht="15" customHeight="1">
      <c r="A115" t="inlineStr">
        <is>
          <t>A 29693-2019</t>
        </is>
      </c>
      <c r="B115" s="1" t="n">
        <v>43630</v>
      </c>
      <c r="C115" s="1" t="n">
        <v>45703</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29675-2019</t>
        </is>
      </c>
      <c r="B116" s="1" t="n">
        <v>43630</v>
      </c>
      <c r="C116" s="1" t="n">
        <v>45703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29775-2019</t>
        </is>
      </c>
      <c r="B117" s="1" t="n">
        <v>43632</v>
      </c>
      <c r="C117" s="1" t="n">
        <v>45703</v>
      </c>
      <c r="D117" t="inlineStr">
        <is>
          <t>KALMAR LÄN</t>
        </is>
      </c>
      <c r="E117" t="inlineStr">
        <is>
          <t>VIMMERBY</t>
        </is>
      </c>
      <c r="G117" t="n">
        <v>2</v>
      </c>
      <c r="H117" t="n">
        <v>0</v>
      </c>
      <c r="I117" t="n">
        <v>0</v>
      </c>
      <c r="J117" t="n">
        <v>0</v>
      </c>
      <c r="K117" t="n">
        <v>0</v>
      </c>
      <c r="L117" t="n">
        <v>0</v>
      </c>
      <c r="M117" t="n">
        <v>0</v>
      </c>
      <c r="N117" t="n">
        <v>0</v>
      </c>
      <c r="O117" t="n">
        <v>0</v>
      </c>
      <c r="P117" t="n">
        <v>0</v>
      </c>
      <c r="Q117" t="n">
        <v>0</v>
      </c>
      <c r="R117" s="2" t="inlineStr"/>
    </row>
    <row r="118" ht="15" customHeight="1">
      <c r="A118" t="inlineStr">
        <is>
          <t>A 29773-2019</t>
        </is>
      </c>
      <c r="B118" s="1" t="n">
        <v>43632</v>
      </c>
      <c r="C118" s="1" t="n">
        <v>45703</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31027-2019</t>
        </is>
      </c>
      <c r="B119" s="1" t="n">
        <v>43636</v>
      </c>
      <c r="C119" s="1" t="n">
        <v>45703</v>
      </c>
      <c r="D119" t="inlineStr">
        <is>
          <t>KALMAR LÄN</t>
        </is>
      </c>
      <c r="E119" t="inlineStr">
        <is>
          <t>VIMMERBY</t>
        </is>
      </c>
      <c r="F119" t="inlineStr">
        <is>
          <t>Övriga statliga verk och myndigheter</t>
        </is>
      </c>
      <c r="G119" t="n">
        <v>0.5</v>
      </c>
      <c r="H119" t="n">
        <v>0</v>
      </c>
      <c r="I119" t="n">
        <v>0</v>
      </c>
      <c r="J119" t="n">
        <v>0</v>
      </c>
      <c r="K119" t="n">
        <v>0</v>
      </c>
      <c r="L119" t="n">
        <v>0</v>
      </c>
      <c r="M119" t="n">
        <v>0</v>
      </c>
      <c r="N119" t="n">
        <v>0</v>
      </c>
      <c r="O119" t="n">
        <v>0</v>
      </c>
      <c r="P119" t="n">
        <v>0</v>
      </c>
      <c r="Q119" t="n">
        <v>0</v>
      </c>
      <c r="R119" s="2" t="inlineStr"/>
    </row>
    <row r="120" ht="15" customHeight="1">
      <c r="A120" t="inlineStr">
        <is>
          <t>A 30994-2019</t>
        </is>
      </c>
      <c r="B120" s="1" t="n">
        <v>43640</v>
      </c>
      <c r="C120" s="1" t="n">
        <v>45703</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31859-2019</t>
        </is>
      </c>
      <c r="B121" s="1" t="n">
        <v>43642</v>
      </c>
      <c r="C121" s="1" t="n">
        <v>45703</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32911-2019</t>
        </is>
      </c>
      <c r="B122" s="1" t="n">
        <v>43648</v>
      </c>
      <c r="C122" s="1" t="n">
        <v>45703</v>
      </c>
      <c r="D122" t="inlineStr">
        <is>
          <t>KALMAR LÄN</t>
        </is>
      </c>
      <c r="E122" t="inlineStr">
        <is>
          <t>VIMMERBY</t>
        </is>
      </c>
      <c r="G122" t="n">
        <v>5</v>
      </c>
      <c r="H122" t="n">
        <v>0</v>
      </c>
      <c r="I122" t="n">
        <v>0</v>
      </c>
      <c r="J122" t="n">
        <v>0</v>
      </c>
      <c r="K122" t="n">
        <v>0</v>
      </c>
      <c r="L122" t="n">
        <v>0</v>
      </c>
      <c r="M122" t="n">
        <v>0</v>
      </c>
      <c r="N122" t="n">
        <v>0</v>
      </c>
      <c r="O122" t="n">
        <v>0</v>
      </c>
      <c r="P122" t="n">
        <v>0</v>
      </c>
      <c r="Q122" t="n">
        <v>0</v>
      </c>
      <c r="R122" s="2" t="inlineStr"/>
    </row>
    <row r="123" ht="15" customHeight="1">
      <c r="A123" t="inlineStr">
        <is>
          <t>A 32924-2019</t>
        </is>
      </c>
      <c r="B123" s="1" t="n">
        <v>43648</v>
      </c>
      <c r="C123" s="1" t="n">
        <v>45703</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32918-2019</t>
        </is>
      </c>
      <c r="B124" s="1" t="n">
        <v>43648</v>
      </c>
      <c r="C124" s="1" t="n">
        <v>45703</v>
      </c>
      <c r="D124" t="inlineStr">
        <is>
          <t>KALMAR LÄN</t>
        </is>
      </c>
      <c r="E124" t="inlineStr">
        <is>
          <t>VIMMERBY</t>
        </is>
      </c>
      <c r="G124" t="n">
        <v>4.1</v>
      </c>
      <c r="H124" t="n">
        <v>0</v>
      </c>
      <c r="I124" t="n">
        <v>0</v>
      </c>
      <c r="J124" t="n">
        <v>0</v>
      </c>
      <c r="K124" t="n">
        <v>0</v>
      </c>
      <c r="L124" t="n">
        <v>0</v>
      </c>
      <c r="M124" t="n">
        <v>0</v>
      </c>
      <c r="N124" t="n">
        <v>0</v>
      </c>
      <c r="O124" t="n">
        <v>0</v>
      </c>
      <c r="P124" t="n">
        <v>0</v>
      </c>
      <c r="Q124" t="n">
        <v>0</v>
      </c>
      <c r="R124" s="2" t="inlineStr"/>
    </row>
    <row r="125" ht="15" customHeight="1">
      <c r="A125" t="inlineStr">
        <is>
          <t>A 32910-2019</t>
        </is>
      </c>
      <c r="B125" s="1" t="n">
        <v>43648</v>
      </c>
      <c r="C125" s="1" t="n">
        <v>45703</v>
      </c>
      <c r="D125" t="inlineStr">
        <is>
          <t>KALMAR LÄN</t>
        </is>
      </c>
      <c r="E125" t="inlineStr">
        <is>
          <t>VIMMERBY</t>
        </is>
      </c>
      <c r="G125" t="n">
        <v>6</v>
      </c>
      <c r="H125" t="n">
        <v>0</v>
      </c>
      <c r="I125" t="n">
        <v>0</v>
      </c>
      <c r="J125" t="n">
        <v>0</v>
      </c>
      <c r="K125" t="n">
        <v>0</v>
      </c>
      <c r="L125" t="n">
        <v>0</v>
      </c>
      <c r="M125" t="n">
        <v>0</v>
      </c>
      <c r="N125" t="n">
        <v>0</v>
      </c>
      <c r="O125" t="n">
        <v>0</v>
      </c>
      <c r="P125" t="n">
        <v>0</v>
      </c>
      <c r="Q125" t="n">
        <v>0</v>
      </c>
      <c r="R125" s="2" t="inlineStr"/>
    </row>
    <row r="126" ht="15" customHeight="1">
      <c r="A126" t="inlineStr">
        <is>
          <t>A 34765-2019</t>
        </is>
      </c>
      <c r="B126" s="1" t="n">
        <v>43649</v>
      </c>
      <c r="C126" s="1" t="n">
        <v>45703</v>
      </c>
      <c r="D126" t="inlineStr">
        <is>
          <t>KALMAR LÄN</t>
        </is>
      </c>
      <c r="E126" t="inlineStr">
        <is>
          <t>VIMMERBY</t>
        </is>
      </c>
      <c r="G126" t="n">
        <v>6.9</v>
      </c>
      <c r="H126" t="n">
        <v>0</v>
      </c>
      <c r="I126" t="n">
        <v>0</v>
      </c>
      <c r="J126" t="n">
        <v>0</v>
      </c>
      <c r="K126" t="n">
        <v>0</v>
      </c>
      <c r="L126" t="n">
        <v>0</v>
      </c>
      <c r="M126" t="n">
        <v>0</v>
      </c>
      <c r="N126" t="n">
        <v>0</v>
      </c>
      <c r="O126" t="n">
        <v>0</v>
      </c>
      <c r="P126" t="n">
        <v>0</v>
      </c>
      <c r="Q126" t="n">
        <v>0</v>
      </c>
      <c r="R126" s="2" t="inlineStr"/>
    </row>
    <row r="127" ht="15" customHeight="1">
      <c r="A127" t="inlineStr">
        <is>
          <t>A 33411-2019</t>
        </is>
      </c>
      <c r="B127" s="1" t="n">
        <v>43650</v>
      </c>
      <c r="C127" s="1" t="n">
        <v>45703</v>
      </c>
      <c r="D127" t="inlineStr">
        <is>
          <t>KALMAR LÄN</t>
        </is>
      </c>
      <c r="E127" t="inlineStr">
        <is>
          <t>VIMMERBY</t>
        </is>
      </c>
      <c r="G127" t="n">
        <v>1.6</v>
      </c>
      <c r="H127" t="n">
        <v>0</v>
      </c>
      <c r="I127" t="n">
        <v>0</v>
      </c>
      <c r="J127" t="n">
        <v>0</v>
      </c>
      <c r="K127" t="n">
        <v>0</v>
      </c>
      <c r="L127" t="n">
        <v>0</v>
      </c>
      <c r="M127" t="n">
        <v>0</v>
      </c>
      <c r="N127" t="n">
        <v>0</v>
      </c>
      <c r="O127" t="n">
        <v>0</v>
      </c>
      <c r="P127" t="n">
        <v>0</v>
      </c>
      <c r="Q127" t="n">
        <v>0</v>
      </c>
      <c r="R127" s="2" t="inlineStr"/>
    </row>
    <row r="128" ht="15" customHeight="1">
      <c r="A128" t="inlineStr">
        <is>
          <t>A 33410-2019</t>
        </is>
      </c>
      <c r="B128" s="1" t="n">
        <v>43650</v>
      </c>
      <c r="C128" s="1" t="n">
        <v>45703</v>
      </c>
      <c r="D128" t="inlineStr">
        <is>
          <t>KALMAR LÄN</t>
        </is>
      </c>
      <c r="E128" t="inlineStr">
        <is>
          <t>VIMMERBY</t>
        </is>
      </c>
      <c r="G128" t="n">
        <v>4.4</v>
      </c>
      <c r="H128" t="n">
        <v>0</v>
      </c>
      <c r="I128" t="n">
        <v>0</v>
      </c>
      <c r="J128" t="n">
        <v>0</v>
      </c>
      <c r="K128" t="n">
        <v>0</v>
      </c>
      <c r="L128" t="n">
        <v>0</v>
      </c>
      <c r="M128" t="n">
        <v>0</v>
      </c>
      <c r="N128" t="n">
        <v>0</v>
      </c>
      <c r="O128" t="n">
        <v>0</v>
      </c>
      <c r="P128" t="n">
        <v>0</v>
      </c>
      <c r="Q128" t="n">
        <v>0</v>
      </c>
      <c r="R128" s="2" t="inlineStr"/>
    </row>
    <row r="129" ht="15" customHeight="1">
      <c r="A129" t="inlineStr">
        <is>
          <t>A 35259-2019</t>
        </is>
      </c>
      <c r="B129" s="1" t="n">
        <v>43651</v>
      </c>
      <c r="C129" s="1" t="n">
        <v>45703</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33869-2019</t>
        </is>
      </c>
      <c r="B130" s="1" t="n">
        <v>43652</v>
      </c>
      <c r="C130" s="1" t="n">
        <v>45703</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34241-2019</t>
        </is>
      </c>
      <c r="B131" s="1" t="n">
        <v>43655</v>
      </c>
      <c r="C131" s="1" t="n">
        <v>45703</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34244-2019</t>
        </is>
      </c>
      <c r="B132" s="1" t="n">
        <v>43655</v>
      </c>
      <c r="C132" s="1" t="n">
        <v>45703</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34273-2019</t>
        </is>
      </c>
      <c r="B133" s="1" t="n">
        <v>43655</v>
      </c>
      <c r="C133" s="1" t="n">
        <v>45703</v>
      </c>
      <c r="D133" t="inlineStr">
        <is>
          <t>KALMAR LÄN</t>
        </is>
      </c>
      <c r="E133" t="inlineStr">
        <is>
          <t>VIMMERBY</t>
        </is>
      </c>
      <c r="G133" t="n">
        <v>3.1</v>
      </c>
      <c r="H133" t="n">
        <v>0</v>
      </c>
      <c r="I133" t="n">
        <v>0</v>
      </c>
      <c r="J133" t="n">
        <v>0</v>
      </c>
      <c r="K133" t="n">
        <v>0</v>
      </c>
      <c r="L133" t="n">
        <v>0</v>
      </c>
      <c r="M133" t="n">
        <v>0</v>
      </c>
      <c r="N133" t="n">
        <v>0</v>
      </c>
      <c r="O133" t="n">
        <v>0</v>
      </c>
      <c r="P133" t="n">
        <v>0</v>
      </c>
      <c r="Q133" t="n">
        <v>0</v>
      </c>
      <c r="R133" s="2" t="inlineStr"/>
    </row>
    <row r="134" ht="15" customHeight="1">
      <c r="A134" t="inlineStr">
        <is>
          <t>A 35701-2019</t>
        </is>
      </c>
      <c r="B134" s="1" t="n">
        <v>43655</v>
      </c>
      <c r="C134" s="1" t="n">
        <v>45703</v>
      </c>
      <c r="D134" t="inlineStr">
        <is>
          <t>KALMAR LÄN</t>
        </is>
      </c>
      <c r="E134" t="inlineStr">
        <is>
          <t>VIMMERBY</t>
        </is>
      </c>
      <c r="G134" t="n">
        <v>1.3</v>
      </c>
      <c r="H134" t="n">
        <v>0</v>
      </c>
      <c r="I134" t="n">
        <v>0</v>
      </c>
      <c r="J134" t="n">
        <v>0</v>
      </c>
      <c r="K134" t="n">
        <v>0</v>
      </c>
      <c r="L134" t="n">
        <v>0</v>
      </c>
      <c r="M134" t="n">
        <v>0</v>
      </c>
      <c r="N134" t="n">
        <v>0</v>
      </c>
      <c r="O134" t="n">
        <v>0</v>
      </c>
      <c r="P134" t="n">
        <v>0</v>
      </c>
      <c r="Q134" t="n">
        <v>0</v>
      </c>
      <c r="R134" s="2" t="inlineStr"/>
    </row>
    <row r="135" ht="15" customHeight="1">
      <c r="A135" t="inlineStr">
        <is>
          <t>A 34672-2019</t>
        </is>
      </c>
      <c r="B135" s="1" t="n">
        <v>43657</v>
      </c>
      <c r="C135" s="1" t="n">
        <v>45703</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35780-2019</t>
        </is>
      </c>
      <c r="B136" s="1" t="n">
        <v>43665</v>
      </c>
      <c r="C136" s="1" t="n">
        <v>45703</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35834-2019</t>
        </is>
      </c>
      <c r="B137" s="1" t="n">
        <v>43665</v>
      </c>
      <c r="C137" s="1" t="n">
        <v>45703</v>
      </c>
      <c r="D137" t="inlineStr">
        <is>
          <t>KALMAR LÄN</t>
        </is>
      </c>
      <c r="E137" t="inlineStr">
        <is>
          <t>VIMMERBY</t>
        </is>
      </c>
      <c r="G137" t="n">
        <v>0.2</v>
      </c>
      <c r="H137" t="n">
        <v>0</v>
      </c>
      <c r="I137" t="n">
        <v>0</v>
      </c>
      <c r="J137" t="n">
        <v>0</v>
      </c>
      <c r="K137" t="n">
        <v>0</v>
      </c>
      <c r="L137" t="n">
        <v>0</v>
      </c>
      <c r="M137" t="n">
        <v>0</v>
      </c>
      <c r="N137" t="n">
        <v>0</v>
      </c>
      <c r="O137" t="n">
        <v>0</v>
      </c>
      <c r="P137" t="n">
        <v>0</v>
      </c>
      <c r="Q137" t="n">
        <v>0</v>
      </c>
      <c r="R137" s="2" t="inlineStr"/>
    </row>
    <row r="138" ht="15" customHeight="1">
      <c r="A138" t="inlineStr">
        <is>
          <t>A 35829-2019</t>
        </is>
      </c>
      <c r="B138" s="1" t="n">
        <v>43665</v>
      </c>
      <c r="C138" s="1" t="n">
        <v>45703</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35919-2019</t>
        </is>
      </c>
      <c r="B139" s="1" t="n">
        <v>43665</v>
      </c>
      <c r="C139" s="1" t="n">
        <v>45703</v>
      </c>
      <c r="D139" t="inlineStr">
        <is>
          <t>KALMAR LÄN</t>
        </is>
      </c>
      <c r="E139" t="inlineStr">
        <is>
          <t>VIMMERBY</t>
        </is>
      </c>
      <c r="G139" t="n">
        <v>7.1</v>
      </c>
      <c r="H139" t="n">
        <v>0</v>
      </c>
      <c r="I139" t="n">
        <v>0</v>
      </c>
      <c r="J139" t="n">
        <v>0</v>
      </c>
      <c r="K139" t="n">
        <v>0</v>
      </c>
      <c r="L139" t="n">
        <v>0</v>
      </c>
      <c r="M139" t="n">
        <v>0</v>
      </c>
      <c r="N139" t="n">
        <v>0</v>
      </c>
      <c r="O139" t="n">
        <v>0</v>
      </c>
      <c r="P139" t="n">
        <v>0</v>
      </c>
      <c r="Q139" t="n">
        <v>0</v>
      </c>
      <c r="R139" s="2" t="inlineStr"/>
    </row>
    <row r="140" ht="15" customHeight="1">
      <c r="A140" t="inlineStr">
        <is>
          <t>A 36027-2019</t>
        </is>
      </c>
      <c r="B140" s="1" t="n">
        <v>43668</v>
      </c>
      <c r="C140" s="1" t="n">
        <v>45703</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36024-2019</t>
        </is>
      </c>
      <c r="B141" s="1" t="n">
        <v>43668</v>
      </c>
      <c r="C141" s="1" t="n">
        <v>45703</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36716-2019</t>
        </is>
      </c>
      <c r="B142" s="1" t="n">
        <v>43669</v>
      </c>
      <c r="C142" s="1" t="n">
        <v>45703</v>
      </c>
      <c r="D142" t="inlineStr">
        <is>
          <t>KALMAR LÄN</t>
        </is>
      </c>
      <c r="E142" t="inlineStr">
        <is>
          <t>VIMMERBY</t>
        </is>
      </c>
      <c r="G142" t="n">
        <v>3.6</v>
      </c>
      <c r="H142" t="n">
        <v>0</v>
      </c>
      <c r="I142" t="n">
        <v>0</v>
      </c>
      <c r="J142" t="n">
        <v>0</v>
      </c>
      <c r="K142" t="n">
        <v>0</v>
      </c>
      <c r="L142" t="n">
        <v>0</v>
      </c>
      <c r="M142" t="n">
        <v>0</v>
      </c>
      <c r="N142" t="n">
        <v>0</v>
      </c>
      <c r="O142" t="n">
        <v>0</v>
      </c>
      <c r="P142" t="n">
        <v>0</v>
      </c>
      <c r="Q142" t="n">
        <v>0</v>
      </c>
      <c r="R142" s="2" t="inlineStr"/>
    </row>
    <row r="143" ht="15" customHeight="1">
      <c r="A143" t="inlineStr">
        <is>
          <t>A 36454-2019</t>
        </is>
      </c>
      <c r="B143" s="1" t="n">
        <v>43670</v>
      </c>
      <c r="C143" s="1" t="n">
        <v>45703</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37031-2019</t>
        </is>
      </c>
      <c r="B144" s="1" t="n">
        <v>43672</v>
      </c>
      <c r="C144" s="1" t="n">
        <v>45703</v>
      </c>
      <c r="D144" t="inlineStr">
        <is>
          <t>KALMAR LÄN</t>
        </is>
      </c>
      <c r="E144" t="inlineStr">
        <is>
          <t>VIMMERBY</t>
        </is>
      </c>
      <c r="G144" t="n">
        <v>16.8</v>
      </c>
      <c r="H144" t="n">
        <v>0</v>
      </c>
      <c r="I144" t="n">
        <v>0</v>
      </c>
      <c r="J144" t="n">
        <v>0</v>
      </c>
      <c r="K144" t="n">
        <v>0</v>
      </c>
      <c r="L144" t="n">
        <v>0</v>
      </c>
      <c r="M144" t="n">
        <v>0</v>
      </c>
      <c r="N144" t="n">
        <v>0</v>
      </c>
      <c r="O144" t="n">
        <v>0</v>
      </c>
      <c r="P144" t="n">
        <v>0</v>
      </c>
      <c r="Q144" t="n">
        <v>0</v>
      </c>
      <c r="R144" s="2" t="inlineStr"/>
    </row>
    <row r="145" ht="15" customHeight="1">
      <c r="A145" t="inlineStr">
        <is>
          <t>A 36830-2019</t>
        </is>
      </c>
      <c r="B145" s="1" t="n">
        <v>43674</v>
      </c>
      <c r="C145" s="1" t="n">
        <v>45703</v>
      </c>
      <c r="D145" t="inlineStr">
        <is>
          <t>KALMAR LÄN</t>
        </is>
      </c>
      <c r="E145" t="inlineStr">
        <is>
          <t>VIMMERBY</t>
        </is>
      </c>
      <c r="G145" t="n">
        <v>7.2</v>
      </c>
      <c r="H145" t="n">
        <v>0</v>
      </c>
      <c r="I145" t="n">
        <v>0</v>
      </c>
      <c r="J145" t="n">
        <v>0</v>
      </c>
      <c r="K145" t="n">
        <v>0</v>
      </c>
      <c r="L145" t="n">
        <v>0</v>
      </c>
      <c r="M145" t="n">
        <v>0</v>
      </c>
      <c r="N145" t="n">
        <v>0</v>
      </c>
      <c r="O145" t="n">
        <v>0</v>
      </c>
      <c r="P145" t="n">
        <v>0</v>
      </c>
      <c r="Q145" t="n">
        <v>0</v>
      </c>
      <c r="R145" s="2" t="inlineStr"/>
    </row>
    <row r="146" ht="15" customHeight="1">
      <c r="A146" t="inlineStr">
        <is>
          <t>A 36936-2019</t>
        </is>
      </c>
      <c r="B146" s="1" t="n">
        <v>43675</v>
      </c>
      <c r="C146" s="1" t="n">
        <v>45703</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37063-2019</t>
        </is>
      </c>
      <c r="B147" s="1" t="n">
        <v>43676</v>
      </c>
      <c r="C147" s="1" t="n">
        <v>45703</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37209-2019</t>
        </is>
      </c>
      <c r="B148" s="1" t="n">
        <v>43677</v>
      </c>
      <c r="C148" s="1" t="n">
        <v>45703</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37412-2019</t>
        </is>
      </c>
      <c r="B149" s="1" t="n">
        <v>43678</v>
      </c>
      <c r="C149" s="1" t="n">
        <v>45703</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38602-2019</t>
        </is>
      </c>
      <c r="B150" s="1" t="n">
        <v>43684</v>
      </c>
      <c r="C150" s="1" t="n">
        <v>45703</v>
      </c>
      <c r="D150" t="inlineStr">
        <is>
          <t>KALMAR LÄN</t>
        </is>
      </c>
      <c r="E150" t="inlineStr">
        <is>
          <t>VIMMERBY</t>
        </is>
      </c>
      <c r="G150" t="n">
        <v>2.7</v>
      </c>
      <c r="H150" t="n">
        <v>0</v>
      </c>
      <c r="I150" t="n">
        <v>0</v>
      </c>
      <c r="J150" t="n">
        <v>0</v>
      </c>
      <c r="K150" t="n">
        <v>0</v>
      </c>
      <c r="L150" t="n">
        <v>0</v>
      </c>
      <c r="M150" t="n">
        <v>0</v>
      </c>
      <c r="N150" t="n">
        <v>0</v>
      </c>
      <c r="O150" t="n">
        <v>0</v>
      </c>
      <c r="P150" t="n">
        <v>0</v>
      </c>
      <c r="Q150" t="n">
        <v>0</v>
      </c>
      <c r="R150" s="2" t="inlineStr"/>
    </row>
    <row r="151" ht="15" customHeight="1">
      <c r="A151" t="inlineStr">
        <is>
          <t>A 38866-2019</t>
        </is>
      </c>
      <c r="B151" s="1" t="n">
        <v>43685</v>
      </c>
      <c r="C151" s="1" t="n">
        <v>45703</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38789-2019</t>
        </is>
      </c>
      <c r="B152" s="1" t="n">
        <v>43687</v>
      </c>
      <c r="C152" s="1" t="n">
        <v>45703</v>
      </c>
      <c r="D152" t="inlineStr">
        <is>
          <t>KALMAR LÄN</t>
        </is>
      </c>
      <c r="E152" t="inlineStr">
        <is>
          <t>VIMMERBY</t>
        </is>
      </c>
      <c r="G152" t="n">
        <v>0.3</v>
      </c>
      <c r="H152" t="n">
        <v>0</v>
      </c>
      <c r="I152" t="n">
        <v>0</v>
      </c>
      <c r="J152" t="n">
        <v>0</v>
      </c>
      <c r="K152" t="n">
        <v>0</v>
      </c>
      <c r="L152" t="n">
        <v>0</v>
      </c>
      <c r="M152" t="n">
        <v>0</v>
      </c>
      <c r="N152" t="n">
        <v>0</v>
      </c>
      <c r="O152" t="n">
        <v>0</v>
      </c>
      <c r="P152" t="n">
        <v>0</v>
      </c>
      <c r="Q152" t="n">
        <v>0</v>
      </c>
      <c r="R152" s="2" t="inlineStr"/>
    </row>
    <row r="153" ht="15" customHeight="1">
      <c r="A153" t="inlineStr">
        <is>
          <t>A 38835-2019</t>
        </is>
      </c>
      <c r="B153" s="1" t="n">
        <v>43689</v>
      </c>
      <c r="C153" s="1" t="n">
        <v>45703</v>
      </c>
      <c r="D153" t="inlineStr">
        <is>
          <t>KALMAR LÄN</t>
        </is>
      </c>
      <c r="E153" t="inlineStr">
        <is>
          <t>VIMMERBY</t>
        </is>
      </c>
      <c r="G153" t="n">
        <v>3.8</v>
      </c>
      <c r="H153" t="n">
        <v>0</v>
      </c>
      <c r="I153" t="n">
        <v>0</v>
      </c>
      <c r="J153" t="n">
        <v>0</v>
      </c>
      <c r="K153" t="n">
        <v>0</v>
      </c>
      <c r="L153" t="n">
        <v>0</v>
      </c>
      <c r="M153" t="n">
        <v>0</v>
      </c>
      <c r="N153" t="n">
        <v>0</v>
      </c>
      <c r="O153" t="n">
        <v>0</v>
      </c>
      <c r="P153" t="n">
        <v>0</v>
      </c>
      <c r="Q153" t="n">
        <v>0</v>
      </c>
      <c r="R153" s="2" t="inlineStr"/>
    </row>
    <row r="154" ht="15" customHeight="1">
      <c r="A154" t="inlineStr">
        <is>
          <t>A 38823-2019</t>
        </is>
      </c>
      <c r="B154" s="1" t="n">
        <v>43689</v>
      </c>
      <c r="C154" s="1" t="n">
        <v>45703</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38837-2019</t>
        </is>
      </c>
      <c r="B155" s="1" t="n">
        <v>43689</v>
      </c>
      <c r="C155" s="1" t="n">
        <v>45703</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38831-2019</t>
        </is>
      </c>
      <c r="B156" s="1" t="n">
        <v>43689</v>
      </c>
      <c r="C156" s="1" t="n">
        <v>45703</v>
      </c>
      <c r="D156" t="inlineStr">
        <is>
          <t>KALMAR LÄN</t>
        </is>
      </c>
      <c r="E156" t="inlineStr">
        <is>
          <t>VIMMERBY</t>
        </is>
      </c>
      <c r="G156" t="n">
        <v>3</v>
      </c>
      <c r="H156" t="n">
        <v>0</v>
      </c>
      <c r="I156" t="n">
        <v>0</v>
      </c>
      <c r="J156" t="n">
        <v>0</v>
      </c>
      <c r="K156" t="n">
        <v>0</v>
      </c>
      <c r="L156" t="n">
        <v>0</v>
      </c>
      <c r="M156" t="n">
        <v>0</v>
      </c>
      <c r="N156" t="n">
        <v>0</v>
      </c>
      <c r="O156" t="n">
        <v>0</v>
      </c>
      <c r="P156" t="n">
        <v>0</v>
      </c>
      <c r="Q156" t="n">
        <v>0</v>
      </c>
      <c r="R156" s="2" t="inlineStr"/>
    </row>
    <row r="157" ht="15" customHeight="1">
      <c r="A157" t="inlineStr">
        <is>
          <t>A 39442-2019</t>
        </is>
      </c>
      <c r="B157" s="1" t="n">
        <v>43691</v>
      </c>
      <c r="C157" s="1" t="n">
        <v>45703</v>
      </c>
      <c r="D157" t="inlineStr">
        <is>
          <t>KALMAR LÄN</t>
        </is>
      </c>
      <c r="E157" t="inlineStr">
        <is>
          <t>VIMMERBY</t>
        </is>
      </c>
      <c r="G157" t="n">
        <v>1</v>
      </c>
      <c r="H157" t="n">
        <v>0</v>
      </c>
      <c r="I157" t="n">
        <v>0</v>
      </c>
      <c r="J157" t="n">
        <v>0</v>
      </c>
      <c r="K157" t="n">
        <v>0</v>
      </c>
      <c r="L157" t="n">
        <v>0</v>
      </c>
      <c r="M157" t="n">
        <v>0</v>
      </c>
      <c r="N157" t="n">
        <v>0</v>
      </c>
      <c r="O157" t="n">
        <v>0</v>
      </c>
      <c r="P157" t="n">
        <v>0</v>
      </c>
      <c r="Q157" t="n">
        <v>0</v>
      </c>
      <c r="R157" s="2" t="inlineStr"/>
    </row>
    <row r="158" ht="15" customHeight="1">
      <c r="A158" t="inlineStr">
        <is>
          <t>A 39575-2019</t>
        </is>
      </c>
      <c r="B158" s="1" t="n">
        <v>43691</v>
      </c>
      <c r="C158" s="1" t="n">
        <v>45703</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39568-2019</t>
        </is>
      </c>
      <c r="B159" s="1" t="n">
        <v>43691</v>
      </c>
      <c r="C159" s="1" t="n">
        <v>45703</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39564-2019</t>
        </is>
      </c>
      <c r="B160" s="1" t="n">
        <v>43691</v>
      </c>
      <c r="C160" s="1" t="n">
        <v>45703</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39577-2019</t>
        </is>
      </c>
      <c r="B161" s="1" t="n">
        <v>43691</v>
      </c>
      <c r="C161" s="1" t="n">
        <v>45703</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39856-2019</t>
        </is>
      </c>
      <c r="B162" s="1" t="n">
        <v>43692</v>
      </c>
      <c r="C162" s="1" t="n">
        <v>45703</v>
      </c>
      <c r="D162" t="inlineStr">
        <is>
          <t>KALMAR LÄN</t>
        </is>
      </c>
      <c r="E162" t="inlineStr">
        <is>
          <t>VIMMERBY</t>
        </is>
      </c>
      <c r="G162" t="n">
        <v>1.9</v>
      </c>
      <c r="H162" t="n">
        <v>0</v>
      </c>
      <c r="I162" t="n">
        <v>0</v>
      </c>
      <c r="J162" t="n">
        <v>0</v>
      </c>
      <c r="K162" t="n">
        <v>0</v>
      </c>
      <c r="L162" t="n">
        <v>0</v>
      </c>
      <c r="M162" t="n">
        <v>0</v>
      </c>
      <c r="N162" t="n">
        <v>0</v>
      </c>
      <c r="O162" t="n">
        <v>0</v>
      </c>
      <c r="P162" t="n">
        <v>0</v>
      </c>
      <c r="Q162" t="n">
        <v>0</v>
      </c>
      <c r="R162" s="2" t="inlineStr"/>
    </row>
    <row r="163" ht="15" customHeight="1">
      <c r="A163" t="inlineStr">
        <is>
          <t>A 39901-2019</t>
        </is>
      </c>
      <c r="B163" s="1" t="n">
        <v>43692</v>
      </c>
      <c r="C163" s="1" t="n">
        <v>45703</v>
      </c>
      <c r="D163" t="inlineStr">
        <is>
          <t>KALMAR LÄN</t>
        </is>
      </c>
      <c r="E163" t="inlineStr">
        <is>
          <t>VIMMERBY</t>
        </is>
      </c>
      <c r="G163" t="n">
        <v>1.5</v>
      </c>
      <c r="H163" t="n">
        <v>0</v>
      </c>
      <c r="I163" t="n">
        <v>0</v>
      </c>
      <c r="J163" t="n">
        <v>0</v>
      </c>
      <c r="K163" t="n">
        <v>0</v>
      </c>
      <c r="L163" t="n">
        <v>0</v>
      </c>
      <c r="M163" t="n">
        <v>0</v>
      </c>
      <c r="N163" t="n">
        <v>0</v>
      </c>
      <c r="O163" t="n">
        <v>0</v>
      </c>
      <c r="P163" t="n">
        <v>0</v>
      </c>
      <c r="Q163" t="n">
        <v>0</v>
      </c>
      <c r="R163" s="2" t="inlineStr"/>
    </row>
    <row r="164" ht="15" customHeight="1">
      <c r="A164" t="inlineStr">
        <is>
          <t>A 39962-2019</t>
        </is>
      </c>
      <c r="B164" s="1" t="n">
        <v>43692</v>
      </c>
      <c r="C164" s="1" t="n">
        <v>45703</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39899-2019</t>
        </is>
      </c>
      <c r="B165" s="1" t="n">
        <v>43692</v>
      </c>
      <c r="C165" s="1" t="n">
        <v>45703</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39894-2019</t>
        </is>
      </c>
      <c r="B166" s="1" t="n">
        <v>43692</v>
      </c>
      <c r="C166" s="1" t="n">
        <v>45703</v>
      </c>
      <c r="D166" t="inlineStr">
        <is>
          <t>KALMAR LÄN</t>
        </is>
      </c>
      <c r="E166" t="inlineStr">
        <is>
          <t>VIMMERBY</t>
        </is>
      </c>
      <c r="G166" t="n">
        <v>3.3</v>
      </c>
      <c r="H166" t="n">
        <v>0</v>
      </c>
      <c r="I166" t="n">
        <v>0</v>
      </c>
      <c r="J166" t="n">
        <v>0</v>
      </c>
      <c r="K166" t="n">
        <v>0</v>
      </c>
      <c r="L166" t="n">
        <v>0</v>
      </c>
      <c r="M166" t="n">
        <v>0</v>
      </c>
      <c r="N166" t="n">
        <v>0</v>
      </c>
      <c r="O166" t="n">
        <v>0</v>
      </c>
      <c r="P166" t="n">
        <v>0</v>
      </c>
      <c r="Q166" t="n">
        <v>0</v>
      </c>
      <c r="R166" s="2" t="inlineStr"/>
    </row>
    <row r="167" ht="15" customHeight="1">
      <c r="A167" t="inlineStr">
        <is>
          <t>A 39920-2019</t>
        </is>
      </c>
      <c r="B167" s="1" t="n">
        <v>43692</v>
      </c>
      <c r="C167" s="1" t="n">
        <v>45703</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39897-2019</t>
        </is>
      </c>
      <c r="B168" s="1" t="n">
        <v>43692</v>
      </c>
      <c r="C168" s="1" t="n">
        <v>45703</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40140-2019</t>
        </is>
      </c>
      <c r="B169" s="1" t="n">
        <v>43693</v>
      </c>
      <c r="C169" s="1" t="n">
        <v>45703</v>
      </c>
      <c r="D169" t="inlineStr">
        <is>
          <t>KALMAR LÄN</t>
        </is>
      </c>
      <c r="E169" t="inlineStr">
        <is>
          <t>VIMMERBY</t>
        </is>
      </c>
      <c r="F169" t="inlineStr">
        <is>
          <t>Kommuner</t>
        </is>
      </c>
      <c r="G169" t="n">
        <v>1.3</v>
      </c>
      <c r="H169" t="n">
        <v>0</v>
      </c>
      <c r="I169" t="n">
        <v>0</v>
      </c>
      <c r="J169" t="n">
        <v>0</v>
      </c>
      <c r="K169" t="n">
        <v>0</v>
      </c>
      <c r="L169" t="n">
        <v>0</v>
      </c>
      <c r="M169" t="n">
        <v>0</v>
      </c>
      <c r="N169" t="n">
        <v>0</v>
      </c>
      <c r="O169" t="n">
        <v>0</v>
      </c>
      <c r="P169" t="n">
        <v>0</v>
      </c>
      <c r="Q169" t="n">
        <v>0</v>
      </c>
      <c r="R169" s="2" t="inlineStr"/>
    </row>
    <row r="170" ht="15" customHeight="1">
      <c r="A170" t="inlineStr">
        <is>
          <t>A 40691-2019</t>
        </is>
      </c>
      <c r="B170" s="1" t="n">
        <v>43696</v>
      </c>
      <c r="C170" s="1" t="n">
        <v>45703</v>
      </c>
      <c r="D170" t="inlineStr">
        <is>
          <t>KALMAR LÄN</t>
        </is>
      </c>
      <c r="E170" t="inlineStr">
        <is>
          <t>VIMMERBY</t>
        </is>
      </c>
      <c r="G170" t="n">
        <v>10.9</v>
      </c>
      <c r="H170" t="n">
        <v>0</v>
      </c>
      <c r="I170" t="n">
        <v>0</v>
      </c>
      <c r="J170" t="n">
        <v>0</v>
      </c>
      <c r="K170" t="n">
        <v>0</v>
      </c>
      <c r="L170" t="n">
        <v>0</v>
      </c>
      <c r="M170" t="n">
        <v>0</v>
      </c>
      <c r="N170" t="n">
        <v>0</v>
      </c>
      <c r="O170" t="n">
        <v>0</v>
      </c>
      <c r="P170" t="n">
        <v>0</v>
      </c>
      <c r="Q170" t="n">
        <v>0</v>
      </c>
      <c r="R170" s="2" t="inlineStr"/>
    </row>
    <row r="171" ht="15" customHeight="1">
      <c r="A171" t="inlineStr">
        <is>
          <t>A 40692-2019</t>
        </is>
      </c>
      <c r="B171" s="1" t="n">
        <v>43696</v>
      </c>
      <c r="C171" s="1" t="n">
        <v>45703</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41347-2019</t>
        </is>
      </c>
      <c r="B172" s="1" t="n">
        <v>43698</v>
      </c>
      <c r="C172" s="1" t="n">
        <v>45703</v>
      </c>
      <c r="D172" t="inlineStr">
        <is>
          <t>KALMAR LÄN</t>
        </is>
      </c>
      <c r="E172" t="inlineStr">
        <is>
          <t>VIMMERBY</t>
        </is>
      </c>
      <c r="G172" t="n">
        <v>1.8</v>
      </c>
      <c r="H172" t="n">
        <v>0</v>
      </c>
      <c r="I172" t="n">
        <v>0</v>
      </c>
      <c r="J172" t="n">
        <v>0</v>
      </c>
      <c r="K172" t="n">
        <v>0</v>
      </c>
      <c r="L172" t="n">
        <v>0</v>
      </c>
      <c r="M172" t="n">
        <v>0</v>
      </c>
      <c r="N172" t="n">
        <v>0</v>
      </c>
      <c r="O172" t="n">
        <v>0</v>
      </c>
      <c r="P172" t="n">
        <v>0</v>
      </c>
      <c r="Q172" t="n">
        <v>0</v>
      </c>
      <c r="R172" s="2" t="inlineStr"/>
    </row>
    <row r="173" ht="15" customHeight="1">
      <c r="A173" t="inlineStr">
        <is>
          <t>A 42142-2019</t>
        </is>
      </c>
      <c r="B173" s="1" t="n">
        <v>43703</v>
      </c>
      <c r="C173" s="1" t="n">
        <v>45703</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42759-2019</t>
        </is>
      </c>
      <c r="B174" s="1" t="n">
        <v>43704</v>
      </c>
      <c r="C174" s="1" t="n">
        <v>45703</v>
      </c>
      <c r="D174" t="inlineStr">
        <is>
          <t>KALMAR LÄN</t>
        </is>
      </c>
      <c r="E174" t="inlineStr">
        <is>
          <t>VIMMERBY</t>
        </is>
      </c>
      <c r="G174" t="n">
        <v>4.6</v>
      </c>
      <c r="H174" t="n">
        <v>0</v>
      </c>
      <c r="I174" t="n">
        <v>0</v>
      </c>
      <c r="J174" t="n">
        <v>0</v>
      </c>
      <c r="K174" t="n">
        <v>0</v>
      </c>
      <c r="L174" t="n">
        <v>0</v>
      </c>
      <c r="M174" t="n">
        <v>0</v>
      </c>
      <c r="N174" t="n">
        <v>0</v>
      </c>
      <c r="O174" t="n">
        <v>0</v>
      </c>
      <c r="P174" t="n">
        <v>0</v>
      </c>
      <c r="Q174" t="n">
        <v>0</v>
      </c>
      <c r="R174" s="2" t="inlineStr"/>
    </row>
    <row r="175" ht="15" customHeight="1">
      <c r="A175" t="inlineStr">
        <is>
          <t>A 42758-2019</t>
        </is>
      </c>
      <c r="B175" s="1" t="n">
        <v>43704</v>
      </c>
      <c r="C175" s="1" t="n">
        <v>45703</v>
      </c>
      <c r="D175" t="inlineStr">
        <is>
          <t>KALMAR LÄN</t>
        </is>
      </c>
      <c r="E175" t="inlineStr">
        <is>
          <t>VIMMERBY</t>
        </is>
      </c>
      <c r="G175" t="n">
        <v>6.2</v>
      </c>
      <c r="H175" t="n">
        <v>0</v>
      </c>
      <c r="I175" t="n">
        <v>0</v>
      </c>
      <c r="J175" t="n">
        <v>0</v>
      </c>
      <c r="K175" t="n">
        <v>0</v>
      </c>
      <c r="L175" t="n">
        <v>0</v>
      </c>
      <c r="M175" t="n">
        <v>0</v>
      </c>
      <c r="N175" t="n">
        <v>0</v>
      </c>
      <c r="O175" t="n">
        <v>0</v>
      </c>
      <c r="P175" t="n">
        <v>0</v>
      </c>
      <c r="Q175" t="n">
        <v>0</v>
      </c>
      <c r="R175" s="2" t="inlineStr"/>
    </row>
    <row r="176" ht="15" customHeight="1">
      <c r="A176" t="inlineStr">
        <is>
          <t>A 42947-2019</t>
        </is>
      </c>
      <c r="B176" s="1" t="n">
        <v>43705</v>
      </c>
      <c r="C176" s="1" t="n">
        <v>45703</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42972-2019</t>
        </is>
      </c>
      <c r="B177" s="1" t="n">
        <v>43705</v>
      </c>
      <c r="C177" s="1" t="n">
        <v>45703</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44202-2019</t>
        </is>
      </c>
      <c r="B178" s="1" t="n">
        <v>43710</v>
      </c>
      <c r="C178" s="1" t="n">
        <v>45703</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44630-2019</t>
        </is>
      </c>
      <c r="B179" s="1" t="n">
        <v>43712</v>
      </c>
      <c r="C179" s="1" t="n">
        <v>45703</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45446-2019</t>
        </is>
      </c>
      <c r="B180" s="1" t="n">
        <v>43714</v>
      </c>
      <c r="C180" s="1" t="n">
        <v>45703</v>
      </c>
      <c r="D180" t="inlineStr">
        <is>
          <t>KALMAR LÄN</t>
        </is>
      </c>
      <c r="E180" t="inlineStr">
        <is>
          <t>VIMMERBY</t>
        </is>
      </c>
      <c r="G180" t="n">
        <v>3.8</v>
      </c>
      <c r="H180" t="n">
        <v>0</v>
      </c>
      <c r="I180" t="n">
        <v>0</v>
      </c>
      <c r="J180" t="n">
        <v>0</v>
      </c>
      <c r="K180" t="n">
        <v>0</v>
      </c>
      <c r="L180" t="n">
        <v>0</v>
      </c>
      <c r="M180" t="n">
        <v>0</v>
      </c>
      <c r="N180" t="n">
        <v>0</v>
      </c>
      <c r="O180" t="n">
        <v>0</v>
      </c>
      <c r="P180" t="n">
        <v>0</v>
      </c>
      <c r="Q180" t="n">
        <v>0</v>
      </c>
      <c r="R180" s="2" t="inlineStr"/>
    </row>
    <row r="181" ht="15" customHeight="1">
      <c r="A181" t="inlineStr">
        <is>
          <t>A 45413-2019</t>
        </is>
      </c>
      <c r="B181" s="1" t="n">
        <v>43714</v>
      </c>
      <c r="C181" s="1" t="n">
        <v>45703</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45515-2019</t>
        </is>
      </c>
      <c r="B182" s="1" t="n">
        <v>43714</v>
      </c>
      <c r="C182" s="1" t="n">
        <v>45703</v>
      </c>
      <c r="D182" t="inlineStr">
        <is>
          <t>KALMAR LÄN</t>
        </is>
      </c>
      <c r="E182" t="inlineStr">
        <is>
          <t>VIMMERBY</t>
        </is>
      </c>
      <c r="G182" t="n">
        <v>2.4</v>
      </c>
      <c r="H182" t="n">
        <v>0</v>
      </c>
      <c r="I182" t="n">
        <v>0</v>
      </c>
      <c r="J182" t="n">
        <v>0</v>
      </c>
      <c r="K182" t="n">
        <v>0</v>
      </c>
      <c r="L182" t="n">
        <v>0</v>
      </c>
      <c r="M182" t="n">
        <v>0</v>
      </c>
      <c r="N182" t="n">
        <v>0</v>
      </c>
      <c r="O182" t="n">
        <v>0</v>
      </c>
      <c r="P182" t="n">
        <v>0</v>
      </c>
      <c r="Q182" t="n">
        <v>0</v>
      </c>
      <c r="R182" s="2" t="inlineStr"/>
    </row>
    <row r="183" ht="15" customHeight="1">
      <c r="A183" t="inlineStr">
        <is>
          <t>A 46242-2019</t>
        </is>
      </c>
      <c r="B183" s="1" t="n">
        <v>43718</v>
      </c>
      <c r="C183" s="1" t="n">
        <v>45703</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46845-2019</t>
        </is>
      </c>
      <c r="B184" s="1" t="n">
        <v>43718</v>
      </c>
      <c r="C184" s="1" t="n">
        <v>45703</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46291-2019</t>
        </is>
      </c>
      <c r="B185" s="1" t="n">
        <v>43718</v>
      </c>
      <c r="C185" s="1" t="n">
        <v>45703</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47187-2019</t>
        </is>
      </c>
      <c r="B186" s="1" t="n">
        <v>43719</v>
      </c>
      <c r="C186" s="1" t="n">
        <v>45703</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46619-2019</t>
        </is>
      </c>
      <c r="B187" s="1" t="n">
        <v>43719</v>
      </c>
      <c r="C187" s="1" t="n">
        <v>45703</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46988-2019</t>
        </is>
      </c>
      <c r="B188" s="1" t="n">
        <v>43720</v>
      </c>
      <c r="C188" s="1" t="n">
        <v>45703</v>
      </c>
      <c r="D188" t="inlineStr">
        <is>
          <t>KALMAR LÄN</t>
        </is>
      </c>
      <c r="E188" t="inlineStr">
        <is>
          <t>VIMMERBY</t>
        </is>
      </c>
      <c r="F188" t="inlineStr">
        <is>
          <t>Kommuner</t>
        </is>
      </c>
      <c r="G188" t="n">
        <v>0.5</v>
      </c>
      <c r="H188" t="n">
        <v>0</v>
      </c>
      <c r="I188" t="n">
        <v>0</v>
      </c>
      <c r="J188" t="n">
        <v>0</v>
      </c>
      <c r="K188" t="n">
        <v>0</v>
      </c>
      <c r="L188" t="n">
        <v>0</v>
      </c>
      <c r="M188" t="n">
        <v>0</v>
      </c>
      <c r="N188" t="n">
        <v>0</v>
      </c>
      <c r="O188" t="n">
        <v>0</v>
      </c>
      <c r="P188" t="n">
        <v>0</v>
      </c>
      <c r="Q188" t="n">
        <v>0</v>
      </c>
      <c r="R188" s="2" t="inlineStr"/>
    </row>
    <row r="189" ht="15" customHeight="1">
      <c r="A189" t="inlineStr">
        <is>
          <t>A 48029-2019</t>
        </is>
      </c>
      <c r="B189" s="1" t="n">
        <v>43725</v>
      </c>
      <c r="C189" s="1" t="n">
        <v>45703</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48051-2019</t>
        </is>
      </c>
      <c r="B190" s="1" t="n">
        <v>43725</v>
      </c>
      <c r="C190" s="1" t="n">
        <v>45703</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48164-2019</t>
        </is>
      </c>
      <c r="B191" s="1" t="n">
        <v>43726</v>
      </c>
      <c r="C191" s="1" t="n">
        <v>45703</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48381-2019</t>
        </is>
      </c>
      <c r="B192" s="1" t="n">
        <v>43726</v>
      </c>
      <c r="C192" s="1" t="n">
        <v>45703</v>
      </c>
      <c r="D192" t="inlineStr">
        <is>
          <t>KALMAR LÄN</t>
        </is>
      </c>
      <c r="E192" t="inlineStr">
        <is>
          <t>VIMMERBY</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48380-2019</t>
        </is>
      </c>
      <c r="B193" s="1" t="n">
        <v>43726</v>
      </c>
      <c r="C193" s="1" t="n">
        <v>45703</v>
      </c>
      <c r="D193" t="inlineStr">
        <is>
          <t>KALMAR LÄN</t>
        </is>
      </c>
      <c r="E193" t="inlineStr">
        <is>
          <t>VIMMERBY</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48834-2019</t>
        </is>
      </c>
      <c r="B194" s="1" t="n">
        <v>43728</v>
      </c>
      <c r="C194" s="1" t="n">
        <v>45703</v>
      </c>
      <c r="D194" t="inlineStr">
        <is>
          <t>KALMAR LÄN</t>
        </is>
      </c>
      <c r="E194" t="inlineStr">
        <is>
          <t>VIMMERBY</t>
        </is>
      </c>
      <c r="G194" t="n">
        <v>5.3</v>
      </c>
      <c r="H194" t="n">
        <v>0</v>
      </c>
      <c r="I194" t="n">
        <v>0</v>
      </c>
      <c r="J194" t="n">
        <v>0</v>
      </c>
      <c r="K194" t="n">
        <v>0</v>
      </c>
      <c r="L194" t="n">
        <v>0</v>
      </c>
      <c r="M194" t="n">
        <v>0</v>
      </c>
      <c r="N194" t="n">
        <v>0</v>
      </c>
      <c r="O194" t="n">
        <v>0</v>
      </c>
      <c r="P194" t="n">
        <v>0</v>
      </c>
      <c r="Q194" t="n">
        <v>0</v>
      </c>
      <c r="R194" s="2" t="inlineStr"/>
    </row>
    <row r="195" ht="15" customHeight="1">
      <c r="A195" t="inlineStr">
        <is>
          <t>A 48921-2019</t>
        </is>
      </c>
      <c r="B195" s="1" t="n">
        <v>43728</v>
      </c>
      <c r="C195" s="1" t="n">
        <v>45703</v>
      </c>
      <c r="D195" t="inlineStr">
        <is>
          <t>KALMAR LÄN</t>
        </is>
      </c>
      <c r="E195" t="inlineStr">
        <is>
          <t>VIMMERBY</t>
        </is>
      </c>
      <c r="G195" t="n">
        <v>1.7</v>
      </c>
      <c r="H195" t="n">
        <v>0</v>
      </c>
      <c r="I195" t="n">
        <v>0</v>
      </c>
      <c r="J195" t="n">
        <v>0</v>
      </c>
      <c r="K195" t="n">
        <v>0</v>
      </c>
      <c r="L195" t="n">
        <v>0</v>
      </c>
      <c r="M195" t="n">
        <v>0</v>
      </c>
      <c r="N195" t="n">
        <v>0</v>
      </c>
      <c r="O195" t="n">
        <v>0</v>
      </c>
      <c r="P195" t="n">
        <v>0</v>
      </c>
      <c r="Q195" t="n">
        <v>0</v>
      </c>
      <c r="R195" s="2" t="inlineStr"/>
    </row>
    <row r="196" ht="15" customHeight="1">
      <c r="A196" t="inlineStr">
        <is>
          <t>A 49212-2019</t>
        </is>
      </c>
      <c r="B196" s="1" t="n">
        <v>43731</v>
      </c>
      <c r="C196" s="1" t="n">
        <v>45703</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49208-2019</t>
        </is>
      </c>
      <c r="B197" s="1" t="n">
        <v>43731</v>
      </c>
      <c r="C197" s="1" t="n">
        <v>45703</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49206-2019</t>
        </is>
      </c>
      <c r="B198" s="1" t="n">
        <v>43731</v>
      </c>
      <c r="C198" s="1" t="n">
        <v>45703</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49741-2019</t>
        </is>
      </c>
      <c r="B199" s="1" t="n">
        <v>43733</v>
      </c>
      <c r="C199" s="1" t="n">
        <v>45703</v>
      </c>
      <c r="D199" t="inlineStr">
        <is>
          <t>KALMAR LÄN</t>
        </is>
      </c>
      <c r="E199" t="inlineStr">
        <is>
          <t>VIMMERBY</t>
        </is>
      </c>
      <c r="G199" t="n">
        <v>2.2</v>
      </c>
      <c r="H199" t="n">
        <v>0</v>
      </c>
      <c r="I199" t="n">
        <v>0</v>
      </c>
      <c r="J199" t="n">
        <v>0</v>
      </c>
      <c r="K199" t="n">
        <v>0</v>
      </c>
      <c r="L199" t="n">
        <v>0</v>
      </c>
      <c r="M199" t="n">
        <v>0</v>
      </c>
      <c r="N199" t="n">
        <v>0</v>
      </c>
      <c r="O199" t="n">
        <v>0</v>
      </c>
      <c r="P199" t="n">
        <v>0</v>
      </c>
      <c r="Q199" t="n">
        <v>0</v>
      </c>
      <c r="R199" s="2" t="inlineStr"/>
    </row>
    <row r="200" ht="15" customHeight="1">
      <c r="A200" t="inlineStr">
        <is>
          <t>A 49760-2019</t>
        </is>
      </c>
      <c r="B200" s="1" t="n">
        <v>43733</v>
      </c>
      <c r="C200" s="1" t="n">
        <v>45703</v>
      </c>
      <c r="D200" t="inlineStr">
        <is>
          <t>KALMAR LÄN</t>
        </is>
      </c>
      <c r="E200" t="inlineStr">
        <is>
          <t>VIMMERBY</t>
        </is>
      </c>
      <c r="G200" t="n">
        <v>2.3</v>
      </c>
      <c r="H200" t="n">
        <v>0</v>
      </c>
      <c r="I200" t="n">
        <v>0</v>
      </c>
      <c r="J200" t="n">
        <v>0</v>
      </c>
      <c r="K200" t="n">
        <v>0</v>
      </c>
      <c r="L200" t="n">
        <v>0</v>
      </c>
      <c r="M200" t="n">
        <v>0</v>
      </c>
      <c r="N200" t="n">
        <v>0</v>
      </c>
      <c r="O200" t="n">
        <v>0</v>
      </c>
      <c r="P200" t="n">
        <v>0</v>
      </c>
      <c r="Q200" t="n">
        <v>0</v>
      </c>
      <c r="R200" s="2" t="inlineStr"/>
    </row>
    <row r="201" ht="15" customHeight="1">
      <c r="A201" t="inlineStr">
        <is>
          <t>A 49747-2019</t>
        </is>
      </c>
      <c r="B201" s="1" t="n">
        <v>43733</v>
      </c>
      <c r="C201" s="1" t="n">
        <v>45703</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49855-2019</t>
        </is>
      </c>
      <c r="B202" s="1" t="n">
        <v>43733</v>
      </c>
      <c r="C202" s="1" t="n">
        <v>45703</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49871-2019</t>
        </is>
      </c>
      <c r="B203" s="1" t="n">
        <v>43733</v>
      </c>
      <c r="C203" s="1" t="n">
        <v>45703</v>
      </c>
      <c r="D203" t="inlineStr">
        <is>
          <t>KALMAR LÄN</t>
        </is>
      </c>
      <c r="E203" t="inlineStr">
        <is>
          <t>VIMMERBY</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49880-2019</t>
        </is>
      </c>
      <c r="B204" s="1" t="n">
        <v>43733</v>
      </c>
      <c r="C204" s="1" t="n">
        <v>45703</v>
      </c>
      <c r="D204" t="inlineStr">
        <is>
          <t>KALMAR LÄN</t>
        </is>
      </c>
      <c r="E204" t="inlineStr">
        <is>
          <t>VIMMERBY</t>
        </is>
      </c>
      <c r="F204" t="inlineStr">
        <is>
          <t>Sveaskog</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49885-2019</t>
        </is>
      </c>
      <c r="B205" s="1" t="n">
        <v>43733</v>
      </c>
      <c r="C205" s="1" t="n">
        <v>45703</v>
      </c>
      <c r="D205" t="inlineStr">
        <is>
          <t>KALMAR LÄN</t>
        </is>
      </c>
      <c r="E205" t="inlineStr">
        <is>
          <t>VIMMERBY</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49901-2019</t>
        </is>
      </c>
      <c r="B206" s="1" t="n">
        <v>43733</v>
      </c>
      <c r="C206" s="1" t="n">
        <v>45703</v>
      </c>
      <c r="D206" t="inlineStr">
        <is>
          <t>KALMAR LÄN</t>
        </is>
      </c>
      <c r="E206" t="inlineStr">
        <is>
          <t>VIMMERBY</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49891-2019</t>
        </is>
      </c>
      <c r="B207" s="1" t="n">
        <v>43733</v>
      </c>
      <c r="C207" s="1" t="n">
        <v>45703</v>
      </c>
      <c r="D207" t="inlineStr">
        <is>
          <t>KALMAR LÄN</t>
        </is>
      </c>
      <c r="E207" t="inlineStr">
        <is>
          <t>VIMMERBY</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49695-2019</t>
        </is>
      </c>
      <c r="B208" s="1" t="n">
        <v>43733</v>
      </c>
      <c r="C208" s="1" t="n">
        <v>45703</v>
      </c>
      <c r="D208" t="inlineStr">
        <is>
          <t>KALMAR LÄN</t>
        </is>
      </c>
      <c r="E208" t="inlineStr">
        <is>
          <t>VIMMERBY</t>
        </is>
      </c>
      <c r="G208" t="n">
        <v>4.6</v>
      </c>
      <c r="H208" t="n">
        <v>0</v>
      </c>
      <c r="I208" t="n">
        <v>0</v>
      </c>
      <c r="J208" t="n">
        <v>0</v>
      </c>
      <c r="K208" t="n">
        <v>0</v>
      </c>
      <c r="L208" t="n">
        <v>0</v>
      </c>
      <c r="M208" t="n">
        <v>0</v>
      </c>
      <c r="N208" t="n">
        <v>0</v>
      </c>
      <c r="O208" t="n">
        <v>0</v>
      </c>
      <c r="P208" t="n">
        <v>0</v>
      </c>
      <c r="Q208" t="n">
        <v>0</v>
      </c>
      <c r="R208" s="2" t="inlineStr"/>
    </row>
    <row r="209" ht="15" customHeight="1">
      <c r="A209" t="inlineStr">
        <is>
          <t>A 50214-2019</t>
        </is>
      </c>
      <c r="B209" s="1" t="n">
        <v>43734</v>
      </c>
      <c r="C209" s="1" t="n">
        <v>45703</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50317-2019</t>
        </is>
      </c>
      <c r="B210" s="1" t="n">
        <v>43735</v>
      </c>
      <c r="C210" s="1" t="n">
        <v>45703</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50761-2019</t>
        </is>
      </c>
      <c r="B211" s="1" t="n">
        <v>43738</v>
      </c>
      <c r="C211" s="1" t="n">
        <v>45703</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51273-2019</t>
        </is>
      </c>
      <c r="B212" s="1" t="n">
        <v>43739</v>
      </c>
      <c r="C212" s="1" t="n">
        <v>45703</v>
      </c>
      <c r="D212" t="inlineStr">
        <is>
          <t>KALMAR LÄN</t>
        </is>
      </c>
      <c r="E212" t="inlineStr">
        <is>
          <t>VIMMERBY</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51277-2019</t>
        </is>
      </c>
      <c r="B213" s="1" t="n">
        <v>43739</v>
      </c>
      <c r="C213" s="1" t="n">
        <v>45703</v>
      </c>
      <c r="D213" t="inlineStr">
        <is>
          <t>KALMAR LÄN</t>
        </is>
      </c>
      <c r="E213" t="inlineStr">
        <is>
          <t>VIMMERBY</t>
        </is>
      </c>
      <c r="F213" t="inlineStr">
        <is>
          <t>Sveaskog</t>
        </is>
      </c>
      <c r="G213" t="n">
        <v>7.9</v>
      </c>
      <c r="H213" t="n">
        <v>0</v>
      </c>
      <c r="I213" t="n">
        <v>0</v>
      </c>
      <c r="J213" t="n">
        <v>0</v>
      </c>
      <c r="K213" t="n">
        <v>0</v>
      </c>
      <c r="L213" t="n">
        <v>0</v>
      </c>
      <c r="M213" t="n">
        <v>0</v>
      </c>
      <c r="N213" t="n">
        <v>0</v>
      </c>
      <c r="O213" t="n">
        <v>0</v>
      </c>
      <c r="P213" t="n">
        <v>0</v>
      </c>
      <c r="Q213" t="n">
        <v>0</v>
      </c>
      <c r="R213" s="2" t="inlineStr"/>
    </row>
    <row r="214" ht="15" customHeight="1">
      <c r="A214" t="inlineStr">
        <is>
          <t>A 51362-2019</t>
        </is>
      </c>
      <c r="B214" s="1" t="n">
        <v>43740</v>
      </c>
      <c r="C214" s="1" t="n">
        <v>45703</v>
      </c>
      <c r="D214" t="inlineStr">
        <is>
          <t>KALMAR LÄN</t>
        </is>
      </c>
      <c r="E214" t="inlineStr">
        <is>
          <t>VIMMERBY</t>
        </is>
      </c>
      <c r="G214" t="n">
        <v>2.4</v>
      </c>
      <c r="H214" t="n">
        <v>0</v>
      </c>
      <c r="I214" t="n">
        <v>0</v>
      </c>
      <c r="J214" t="n">
        <v>0</v>
      </c>
      <c r="K214" t="n">
        <v>0</v>
      </c>
      <c r="L214" t="n">
        <v>0</v>
      </c>
      <c r="M214" t="n">
        <v>0</v>
      </c>
      <c r="N214" t="n">
        <v>0</v>
      </c>
      <c r="O214" t="n">
        <v>0</v>
      </c>
      <c r="P214" t="n">
        <v>0</v>
      </c>
      <c r="Q214" t="n">
        <v>0</v>
      </c>
      <c r="R214" s="2" t="inlineStr"/>
    </row>
    <row r="215" ht="15" customHeight="1">
      <c r="A215" t="inlineStr">
        <is>
          <t>A 51552-2019</t>
        </is>
      </c>
      <c r="B215" s="1" t="n">
        <v>43740</v>
      </c>
      <c r="C215" s="1" t="n">
        <v>45703</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51719-2019</t>
        </is>
      </c>
      <c r="B216" s="1" t="n">
        <v>43741</v>
      </c>
      <c r="C216" s="1" t="n">
        <v>45703</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52173-2019</t>
        </is>
      </c>
      <c r="B217" s="1" t="n">
        <v>43742</v>
      </c>
      <c r="C217" s="1" t="n">
        <v>45703</v>
      </c>
      <c r="D217" t="inlineStr">
        <is>
          <t>KALMAR LÄN</t>
        </is>
      </c>
      <c r="E217" t="inlineStr">
        <is>
          <t>VIMMERBY</t>
        </is>
      </c>
      <c r="G217" t="n">
        <v>3.9</v>
      </c>
      <c r="H217" t="n">
        <v>0</v>
      </c>
      <c r="I217" t="n">
        <v>0</v>
      </c>
      <c r="J217" t="n">
        <v>0</v>
      </c>
      <c r="K217" t="n">
        <v>0</v>
      </c>
      <c r="L217" t="n">
        <v>0</v>
      </c>
      <c r="M217" t="n">
        <v>0</v>
      </c>
      <c r="N217" t="n">
        <v>0</v>
      </c>
      <c r="O217" t="n">
        <v>0</v>
      </c>
      <c r="P217" t="n">
        <v>0</v>
      </c>
      <c r="Q217" t="n">
        <v>0</v>
      </c>
      <c r="R217" s="2" t="inlineStr"/>
    </row>
    <row r="218" ht="15" customHeight="1">
      <c r="A218" t="inlineStr">
        <is>
          <t>A 52356-2019</t>
        </is>
      </c>
      <c r="B218" s="1" t="n">
        <v>43745</v>
      </c>
      <c r="C218" s="1" t="n">
        <v>45703</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52909-2019</t>
        </is>
      </c>
      <c r="B219" s="1" t="n">
        <v>43746</v>
      </c>
      <c r="C219" s="1" t="n">
        <v>45703</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52908-2019</t>
        </is>
      </c>
      <c r="B220" s="1" t="n">
        <v>43746</v>
      </c>
      <c r="C220" s="1" t="n">
        <v>45703</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52780-2019</t>
        </is>
      </c>
      <c r="B221" s="1" t="n">
        <v>43746</v>
      </c>
      <c r="C221" s="1" t="n">
        <v>45703</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53691-2019</t>
        </is>
      </c>
      <c r="B222" s="1" t="n">
        <v>43749</v>
      </c>
      <c r="C222" s="1" t="n">
        <v>45703</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54593-2019</t>
        </is>
      </c>
      <c r="B223" s="1" t="n">
        <v>43754</v>
      </c>
      <c r="C223" s="1" t="n">
        <v>45703</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54794-2019</t>
        </is>
      </c>
      <c r="B224" s="1" t="n">
        <v>43755</v>
      </c>
      <c r="C224" s="1" t="n">
        <v>45703</v>
      </c>
      <c r="D224" t="inlineStr">
        <is>
          <t>KALMAR LÄN</t>
        </is>
      </c>
      <c r="E224" t="inlineStr">
        <is>
          <t>VIMMERBY</t>
        </is>
      </c>
      <c r="G224" t="n">
        <v>3.2</v>
      </c>
      <c r="H224" t="n">
        <v>0</v>
      </c>
      <c r="I224" t="n">
        <v>0</v>
      </c>
      <c r="J224" t="n">
        <v>0</v>
      </c>
      <c r="K224" t="n">
        <v>0</v>
      </c>
      <c r="L224" t="n">
        <v>0</v>
      </c>
      <c r="M224" t="n">
        <v>0</v>
      </c>
      <c r="N224" t="n">
        <v>0</v>
      </c>
      <c r="O224" t="n">
        <v>0</v>
      </c>
      <c r="P224" t="n">
        <v>0</v>
      </c>
      <c r="Q224" t="n">
        <v>0</v>
      </c>
      <c r="R224" s="2" t="inlineStr"/>
    </row>
    <row r="225" ht="15" customHeight="1">
      <c r="A225" t="inlineStr">
        <is>
          <t>A 55757-2019</t>
        </is>
      </c>
      <c r="B225" s="1" t="n">
        <v>43759</v>
      </c>
      <c r="C225" s="1" t="n">
        <v>45703</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57998-2019</t>
        </is>
      </c>
      <c r="B226" s="1" t="n">
        <v>43762</v>
      </c>
      <c r="C226" s="1" t="n">
        <v>45703</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57509-2019</t>
        </is>
      </c>
      <c r="B227" s="1" t="n">
        <v>43767</v>
      </c>
      <c r="C227" s="1" t="n">
        <v>45703</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57886-2019</t>
        </is>
      </c>
      <c r="B228" s="1" t="n">
        <v>43768</v>
      </c>
      <c r="C228" s="1" t="n">
        <v>45703</v>
      </c>
      <c r="D228" t="inlineStr">
        <is>
          <t>KALMAR LÄN</t>
        </is>
      </c>
      <c r="E228" t="inlineStr">
        <is>
          <t>VIMMERBY</t>
        </is>
      </c>
      <c r="G228" t="n">
        <v>1.3</v>
      </c>
      <c r="H228" t="n">
        <v>0</v>
      </c>
      <c r="I228" t="n">
        <v>0</v>
      </c>
      <c r="J228" t="n">
        <v>0</v>
      </c>
      <c r="K228" t="n">
        <v>0</v>
      </c>
      <c r="L228" t="n">
        <v>0</v>
      </c>
      <c r="M228" t="n">
        <v>0</v>
      </c>
      <c r="N228" t="n">
        <v>0</v>
      </c>
      <c r="O228" t="n">
        <v>0</v>
      </c>
      <c r="P228" t="n">
        <v>0</v>
      </c>
      <c r="Q228" t="n">
        <v>0</v>
      </c>
      <c r="R228" s="2" t="inlineStr"/>
    </row>
    <row r="229" ht="15" customHeight="1">
      <c r="A229" t="inlineStr">
        <is>
          <t>A 59256-2019</t>
        </is>
      </c>
      <c r="B229" s="1" t="n">
        <v>43773</v>
      </c>
      <c r="C229" s="1" t="n">
        <v>45703</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58812-2019</t>
        </is>
      </c>
      <c r="B230" s="1" t="n">
        <v>43774</v>
      </c>
      <c r="C230" s="1" t="n">
        <v>45703</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60253-2019</t>
        </is>
      </c>
      <c r="B231" s="1" t="n">
        <v>43780</v>
      </c>
      <c r="C231" s="1" t="n">
        <v>45703</v>
      </c>
      <c r="D231" t="inlineStr">
        <is>
          <t>KALMAR LÄN</t>
        </is>
      </c>
      <c r="E231" t="inlineStr">
        <is>
          <t>VIMMERBY</t>
        </is>
      </c>
      <c r="G231" t="n">
        <v>4.4</v>
      </c>
      <c r="H231" t="n">
        <v>0</v>
      </c>
      <c r="I231" t="n">
        <v>0</v>
      </c>
      <c r="J231" t="n">
        <v>0</v>
      </c>
      <c r="K231" t="n">
        <v>0</v>
      </c>
      <c r="L231" t="n">
        <v>0</v>
      </c>
      <c r="M231" t="n">
        <v>0</v>
      </c>
      <c r="N231" t="n">
        <v>0</v>
      </c>
      <c r="O231" t="n">
        <v>0</v>
      </c>
      <c r="P231" t="n">
        <v>0</v>
      </c>
      <c r="Q231" t="n">
        <v>0</v>
      </c>
      <c r="R231" s="2" t="inlineStr"/>
    </row>
    <row r="232" ht="15" customHeight="1">
      <c r="A232" t="inlineStr">
        <is>
          <t>A 60673-2019</t>
        </is>
      </c>
      <c r="B232" s="1" t="n">
        <v>43781</v>
      </c>
      <c r="C232" s="1" t="n">
        <v>45703</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60802-2019</t>
        </is>
      </c>
      <c r="B233" s="1" t="n">
        <v>43781</v>
      </c>
      <c r="C233" s="1" t="n">
        <v>45703</v>
      </c>
      <c r="D233" t="inlineStr">
        <is>
          <t>KALMAR LÄN</t>
        </is>
      </c>
      <c r="E233" t="inlineStr">
        <is>
          <t>VIMMERBY</t>
        </is>
      </c>
      <c r="G233" t="n">
        <v>2.8</v>
      </c>
      <c r="H233" t="n">
        <v>0</v>
      </c>
      <c r="I233" t="n">
        <v>0</v>
      </c>
      <c r="J233" t="n">
        <v>0</v>
      </c>
      <c r="K233" t="n">
        <v>0</v>
      </c>
      <c r="L233" t="n">
        <v>0</v>
      </c>
      <c r="M233" t="n">
        <v>0</v>
      </c>
      <c r="N233" t="n">
        <v>0</v>
      </c>
      <c r="O233" t="n">
        <v>0</v>
      </c>
      <c r="P233" t="n">
        <v>0</v>
      </c>
      <c r="Q233" t="n">
        <v>0</v>
      </c>
      <c r="R233" s="2" t="inlineStr"/>
    </row>
    <row r="234" ht="15" customHeight="1">
      <c r="A234" t="inlineStr">
        <is>
          <t>A 61049-2019</t>
        </is>
      </c>
      <c r="B234" s="1" t="n">
        <v>43782</v>
      </c>
      <c r="C234" s="1" t="n">
        <v>45703</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63362-2019</t>
        </is>
      </c>
      <c r="B235" s="1" t="n">
        <v>43787</v>
      </c>
      <c r="C235" s="1" t="n">
        <v>45703</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62625-2019</t>
        </is>
      </c>
      <c r="B236" s="1" t="n">
        <v>43789</v>
      </c>
      <c r="C236" s="1" t="n">
        <v>45703</v>
      </c>
      <c r="D236" t="inlineStr">
        <is>
          <t>KALMAR LÄN</t>
        </is>
      </c>
      <c r="E236" t="inlineStr">
        <is>
          <t>VIMMERBY</t>
        </is>
      </c>
      <c r="F236" t="inlineStr">
        <is>
          <t>Övriga Aktiebolag</t>
        </is>
      </c>
      <c r="G236" t="n">
        <v>8.1</v>
      </c>
      <c r="H236" t="n">
        <v>0</v>
      </c>
      <c r="I236" t="n">
        <v>0</v>
      </c>
      <c r="J236" t="n">
        <v>0</v>
      </c>
      <c r="K236" t="n">
        <v>0</v>
      </c>
      <c r="L236" t="n">
        <v>0</v>
      </c>
      <c r="M236" t="n">
        <v>0</v>
      </c>
      <c r="N236" t="n">
        <v>0</v>
      </c>
      <c r="O236" t="n">
        <v>0</v>
      </c>
      <c r="P236" t="n">
        <v>0</v>
      </c>
      <c r="Q236" t="n">
        <v>0</v>
      </c>
      <c r="R236" s="2" t="inlineStr"/>
    </row>
    <row r="237" ht="15" customHeight="1">
      <c r="A237" t="inlineStr">
        <is>
          <t>A 63029-2019</t>
        </is>
      </c>
      <c r="B237" s="1" t="n">
        <v>43791</v>
      </c>
      <c r="C237" s="1" t="n">
        <v>45703</v>
      </c>
      <c r="D237" t="inlineStr">
        <is>
          <t>KALMAR LÄN</t>
        </is>
      </c>
      <c r="E237" t="inlineStr">
        <is>
          <t>VIMMERBY</t>
        </is>
      </c>
      <c r="F237" t="inlineStr">
        <is>
          <t>Kyrkan</t>
        </is>
      </c>
      <c r="G237" t="n">
        <v>3.1</v>
      </c>
      <c r="H237" t="n">
        <v>0</v>
      </c>
      <c r="I237" t="n">
        <v>0</v>
      </c>
      <c r="J237" t="n">
        <v>0</v>
      </c>
      <c r="K237" t="n">
        <v>0</v>
      </c>
      <c r="L237" t="n">
        <v>0</v>
      </c>
      <c r="M237" t="n">
        <v>0</v>
      </c>
      <c r="N237" t="n">
        <v>0</v>
      </c>
      <c r="O237" t="n">
        <v>0</v>
      </c>
      <c r="P237" t="n">
        <v>0</v>
      </c>
      <c r="Q237" t="n">
        <v>0</v>
      </c>
      <c r="R237" s="2" t="inlineStr"/>
    </row>
    <row r="238" ht="15" customHeight="1">
      <c r="A238" t="inlineStr">
        <is>
          <t>A 63746-2019</t>
        </is>
      </c>
      <c r="B238" s="1" t="n">
        <v>43795</v>
      </c>
      <c r="C238" s="1" t="n">
        <v>45703</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64119-2019</t>
        </is>
      </c>
      <c r="B239" s="1" t="n">
        <v>43796</v>
      </c>
      <c r="C239" s="1" t="n">
        <v>45703</v>
      </c>
      <c r="D239" t="inlineStr">
        <is>
          <t>KALMAR LÄN</t>
        </is>
      </c>
      <c r="E239" t="inlineStr">
        <is>
          <t>VIMMERBY</t>
        </is>
      </c>
      <c r="G239" t="n">
        <v>4.6</v>
      </c>
      <c r="H239" t="n">
        <v>0</v>
      </c>
      <c r="I239" t="n">
        <v>0</v>
      </c>
      <c r="J239" t="n">
        <v>0</v>
      </c>
      <c r="K239" t="n">
        <v>0</v>
      </c>
      <c r="L239" t="n">
        <v>0</v>
      </c>
      <c r="M239" t="n">
        <v>0</v>
      </c>
      <c r="N239" t="n">
        <v>0</v>
      </c>
      <c r="O239" t="n">
        <v>0</v>
      </c>
      <c r="P239" t="n">
        <v>0</v>
      </c>
      <c r="Q239" t="n">
        <v>0</v>
      </c>
      <c r="R239" s="2" t="inlineStr"/>
    </row>
    <row r="240" ht="15" customHeight="1">
      <c r="A240" t="inlineStr">
        <is>
          <t>A 64345-2019</t>
        </is>
      </c>
      <c r="B240" s="1" t="n">
        <v>43797</v>
      </c>
      <c r="C240" s="1" t="n">
        <v>45703</v>
      </c>
      <c r="D240" t="inlineStr">
        <is>
          <t>KALMAR LÄN</t>
        </is>
      </c>
      <c r="E240" t="inlineStr">
        <is>
          <t>VIMMERBY</t>
        </is>
      </c>
      <c r="G240" t="n">
        <v>0.9</v>
      </c>
      <c r="H240" t="n">
        <v>0</v>
      </c>
      <c r="I240" t="n">
        <v>0</v>
      </c>
      <c r="J240" t="n">
        <v>0</v>
      </c>
      <c r="K240" t="n">
        <v>0</v>
      </c>
      <c r="L240" t="n">
        <v>0</v>
      </c>
      <c r="M240" t="n">
        <v>0</v>
      </c>
      <c r="N240" t="n">
        <v>0</v>
      </c>
      <c r="O240" t="n">
        <v>0</v>
      </c>
      <c r="P240" t="n">
        <v>0</v>
      </c>
      <c r="Q240" t="n">
        <v>0</v>
      </c>
      <c r="R240" s="2" t="inlineStr"/>
    </row>
    <row r="241" ht="15" customHeight="1">
      <c r="A241" t="inlineStr">
        <is>
          <t>A 64334-2019</t>
        </is>
      </c>
      <c r="B241" s="1" t="n">
        <v>43797</v>
      </c>
      <c r="C241" s="1" t="n">
        <v>45703</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65267-2019</t>
        </is>
      </c>
      <c r="B242" s="1" t="n">
        <v>43802</v>
      </c>
      <c r="C242" s="1" t="n">
        <v>45703</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66169-2019</t>
        </is>
      </c>
      <c r="B243" s="1" t="n">
        <v>43808</v>
      </c>
      <c r="C243" s="1" t="n">
        <v>45703</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66172-2019</t>
        </is>
      </c>
      <c r="B244" s="1" t="n">
        <v>43808</v>
      </c>
      <c r="C244" s="1" t="n">
        <v>45703</v>
      </c>
      <c r="D244" t="inlineStr">
        <is>
          <t>KALMAR LÄN</t>
        </is>
      </c>
      <c r="E244" t="inlineStr">
        <is>
          <t>VIMMERBY</t>
        </is>
      </c>
      <c r="G244" t="n">
        <v>3.6</v>
      </c>
      <c r="H244" t="n">
        <v>0</v>
      </c>
      <c r="I244" t="n">
        <v>0</v>
      </c>
      <c r="J244" t="n">
        <v>0</v>
      </c>
      <c r="K244" t="n">
        <v>0</v>
      </c>
      <c r="L244" t="n">
        <v>0</v>
      </c>
      <c r="M244" t="n">
        <v>0</v>
      </c>
      <c r="N244" t="n">
        <v>0</v>
      </c>
      <c r="O244" t="n">
        <v>0</v>
      </c>
      <c r="P244" t="n">
        <v>0</v>
      </c>
      <c r="Q244" t="n">
        <v>0</v>
      </c>
      <c r="R244" s="2" t="inlineStr"/>
    </row>
    <row r="245" ht="15" customHeight="1">
      <c r="A245" t="inlineStr">
        <is>
          <t>A 66151-2019</t>
        </is>
      </c>
      <c r="B245" s="1" t="n">
        <v>43808</v>
      </c>
      <c r="C245" s="1" t="n">
        <v>45703</v>
      </c>
      <c r="D245" t="inlineStr">
        <is>
          <t>KALMAR LÄN</t>
        </is>
      </c>
      <c r="E245" t="inlineStr">
        <is>
          <t>VIMMERBY</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67293-2019</t>
        </is>
      </c>
      <c r="B246" s="1" t="n">
        <v>43812</v>
      </c>
      <c r="C246" s="1" t="n">
        <v>45703</v>
      </c>
      <c r="D246" t="inlineStr">
        <is>
          <t>KALMAR LÄN</t>
        </is>
      </c>
      <c r="E246" t="inlineStr">
        <is>
          <t>VIMMERBY</t>
        </is>
      </c>
      <c r="F246" t="inlineStr">
        <is>
          <t>Kommuner</t>
        </is>
      </c>
      <c r="G246" t="n">
        <v>1.2</v>
      </c>
      <c r="H246" t="n">
        <v>0</v>
      </c>
      <c r="I246" t="n">
        <v>0</v>
      </c>
      <c r="J246" t="n">
        <v>0</v>
      </c>
      <c r="K246" t="n">
        <v>0</v>
      </c>
      <c r="L246" t="n">
        <v>0</v>
      </c>
      <c r="M246" t="n">
        <v>0</v>
      </c>
      <c r="N246" t="n">
        <v>0</v>
      </c>
      <c r="O246" t="n">
        <v>0</v>
      </c>
      <c r="P246" t="n">
        <v>0</v>
      </c>
      <c r="Q246" t="n">
        <v>0</v>
      </c>
      <c r="R246" s="2" t="inlineStr"/>
    </row>
    <row r="247" ht="15" customHeight="1">
      <c r="A247" t="inlineStr">
        <is>
          <t>A 67359-2019</t>
        </is>
      </c>
      <c r="B247" s="1" t="n">
        <v>43812</v>
      </c>
      <c r="C247" s="1" t="n">
        <v>45703</v>
      </c>
      <c r="D247" t="inlineStr">
        <is>
          <t>KALMAR LÄN</t>
        </is>
      </c>
      <c r="E247" t="inlineStr">
        <is>
          <t>VIMMERBY</t>
        </is>
      </c>
      <c r="F247" t="inlineStr">
        <is>
          <t>Kommuner</t>
        </is>
      </c>
      <c r="G247" t="n">
        <v>1</v>
      </c>
      <c r="H247" t="n">
        <v>0</v>
      </c>
      <c r="I247" t="n">
        <v>0</v>
      </c>
      <c r="J247" t="n">
        <v>0</v>
      </c>
      <c r="K247" t="n">
        <v>0</v>
      </c>
      <c r="L247" t="n">
        <v>0</v>
      </c>
      <c r="M247" t="n">
        <v>0</v>
      </c>
      <c r="N247" t="n">
        <v>0</v>
      </c>
      <c r="O247" t="n">
        <v>0</v>
      </c>
      <c r="P247" t="n">
        <v>0</v>
      </c>
      <c r="Q247" t="n">
        <v>0</v>
      </c>
      <c r="R247" s="2" t="inlineStr"/>
    </row>
    <row r="248" ht="15" customHeight="1">
      <c r="A248" t="inlineStr">
        <is>
          <t>A 67346-2019</t>
        </is>
      </c>
      <c r="B248" s="1" t="n">
        <v>43812</v>
      </c>
      <c r="C248" s="1" t="n">
        <v>45703</v>
      </c>
      <c r="D248" t="inlineStr">
        <is>
          <t>KALMAR LÄN</t>
        </is>
      </c>
      <c r="E248" t="inlineStr">
        <is>
          <t>VIMMERBY</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447-2020</t>
        </is>
      </c>
      <c r="B249" s="1" t="n">
        <v>43837</v>
      </c>
      <c r="C249" s="1" t="n">
        <v>45703</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306-2020</t>
        </is>
      </c>
      <c r="B250" s="1" t="n">
        <v>43837</v>
      </c>
      <c r="C250" s="1" t="n">
        <v>45703</v>
      </c>
      <c r="D250" t="inlineStr">
        <is>
          <t>KALMAR LÄN</t>
        </is>
      </c>
      <c r="E250" t="inlineStr">
        <is>
          <t>VIMMERBY</t>
        </is>
      </c>
      <c r="G250" t="n">
        <v>9.9</v>
      </c>
      <c r="H250" t="n">
        <v>0</v>
      </c>
      <c r="I250" t="n">
        <v>0</v>
      </c>
      <c r="J250" t="n">
        <v>0</v>
      </c>
      <c r="K250" t="n">
        <v>0</v>
      </c>
      <c r="L250" t="n">
        <v>0</v>
      </c>
      <c r="M250" t="n">
        <v>0</v>
      </c>
      <c r="N250" t="n">
        <v>0</v>
      </c>
      <c r="O250" t="n">
        <v>0</v>
      </c>
      <c r="P250" t="n">
        <v>0</v>
      </c>
      <c r="Q250" t="n">
        <v>0</v>
      </c>
      <c r="R250" s="2" t="inlineStr"/>
    </row>
    <row r="251" ht="15" customHeight="1">
      <c r="A251" t="inlineStr">
        <is>
          <t>A 593-2020</t>
        </is>
      </c>
      <c r="B251" s="1" t="n">
        <v>43838</v>
      </c>
      <c r="C251" s="1" t="n">
        <v>45703</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2473-2020</t>
        </is>
      </c>
      <c r="B252" s="1" t="n">
        <v>43840</v>
      </c>
      <c r="C252" s="1" t="n">
        <v>45703</v>
      </c>
      <c r="D252" t="inlineStr">
        <is>
          <t>KALMAR LÄN</t>
        </is>
      </c>
      <c r="E252" t="inlineStr">
        <is>
          <t>VIMMERBY</t>
        </is>
      </c>
      <c r="G252" t="n">
        <v>4.5</v>
      </c>
      <c r="H252" t="n">
        <v>0</v>
      </c>
      <c r="I252" t="n">
        <v>0</v>
      </c>
      <c r="J252" t="n">
        <v>0</v>
      </c>
      <c r="K252" t="n">
        <v>0</v>
      </c>
      <c r="L252" t="n">
        <v>0</v>
      </c>
      <c r="M252" t="n">
        <v>0</v>
      </c>
      <c r="N252" t="n">
        <v>0</v>
      </c>
      <c r="O252" t="n">
        <v>0</v>
      </c>
      <c r="P252" t="n">
        <v>0</v>
      </c>
      <c r="Q252" t="n">
        <v>0</v>
      </c>
      <c r="R252" s="2" t="inlineStr"/>
    </row>
    <row r="253" ht="15" customHeight="1">
      <c r="A253" t="inlineStr">
        <is>
          <t>A 1967-2020</t>
        </is>
      </c>
      <c r="B253" s="1" t="n">
        <v>43845</v>
      </c>
      <c r="C253" s="1" t="n">
        <v>45703</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2070-2020</t>
        </is>
      </c>
      <c r="B254" s="1" t="n">
        <v>43845</v>
      </c>
      <c r="C254" s="1" t="n">
        <v>45703</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3434-2020</t>
        </is>
      </c>
      <c r="B255" s="1" t="n">
        <v>43845</v>
      </c>
      <c r="C255" s="1" t="n">
        <v>45703</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2756-2020</t>
        </is>
      </c>
      <c r="B256" s="1" t="n">
        <v>43850</v>
      </c>
      <c r="C256" s="1" t="n">
        <v>45703</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2856-2020</t>
        </is>
      </c>
      <c r="B257" s="1" t="n">
        <v>43850</v>
      </c>
      <c r="C257" s="1" t="n">
        <v>45703</v>
      </c>
      <c r="D257" t="inlineStr">
        <is>
          <t>KALMAR LÄN</t>
        </is>
      </c>
      <c r="E257" t="inlineStr">
        <is>
          <t>VIMMERBY</t>
        </is>
      </c>
      <c r="G257" t="n">
        <v>3.2</v>
      </c>
      <c r="H257" t="n">
        <v>0</v>
      </c>
      <c r="I257" t="n">
        <v>0</v>
      </c>
      <c r="J257" t="n">
        <v>0</v>
      </c>
      <c r="K257" t="n">
        <v>0</v>
      </c>
      <c r="L257" t="n">
        <v>0</v>
      </c>
      <c r="M257" t="n">
        <v>0</v>
      </c>
      <c r="N257" t="n">
        <v>0</v>
      </c>
      <c r="O257" t="n">
        <v>0</v>
      </c>
      <c r="P257" t="n">
        <v>0</v>
      </c>
      <c r="Q257" t="n">
        <v>0</v>
      </c>
      <c r="R257" s="2" t="inlineStr"/>
    </row>
    <row r="258" ht="15" customHeight="1">
      <c r="A258" t="inlineStr">
        <is>
          <t>A 3211-2020</t>
        </is>
      </c>
      <c r="B258" s="1" t="n">
        <v>43851</v>
      </c>
      <c r="C258" s="1" t="n">
        <v>45703</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3414-2020</t>
        </is>
      </c>
      <c r="B259" s="1" t="n">
        <v>43852</v>
      </c>
      <c r="C259" s="1" t="n">
        <v>45703</v>
      </c>
      <c r="D259" t="inlineStr">
        <is>
          <t>KALMAR LÄN</t>
        </is>
      </c>
      <c r="E259" t="inlineStr">
        <is>
          <t>VIMMERBY</t>
        </is>
      </c>
      <c r="G259" t="n">
        <v>4</v>
      </c>
      <c r="H259" t="n">
        <v>0</v>
      </c>
      <c r="I259" t="n">
        <v>0</v>
      </c>
      <c r="J259" t="n">
        <v>0</v>
      </c>
      <c r="K259" t="n">
        <v>0</v>
      </c>
      <c r="L259" t="n">
        <v>0</v>
      </c>
      <c r="M259" t="n">
        <v>0</v>
      </c>
      <c r="N259" t="n">
        <v>0</v>
      </c>
      <c r="O259" t="n">
        <v>0</v>
      </c>
      <c r="P259" t="n">
        <v>0</v>
      </c>
      <c r="Q259" t="n">
        <v>0</v>
      </c>
      <c r="R259" s="2" t="inlineStr"/>
    </row>
    <row r="260" ht="15" customHeight="1">
      <c r="A260" t="inlineStr">
        <is>
          <t>A 3672-2020</t>
        </is>
      </c>
      <c r="B260" s="1" t="n">
        <v>43853</v>
      </c>
      <c r="C260" s="1" t="n">
        <v>45703</v>
      </c>
      <c r="D260" t="inlineStr">
        <is>
          <t>KALMAR LÄN</t>
        </is>
      </c>
      <c r="E260" t="inlineStr">
        <is>
          <t>VIMMERBY</t>
        </is>
      </c>
      <c r="G260" t="n">
        <v>3.7</v>
      </c>
      <c r="H260" t="n">
        <v>0</v>
      </c>
      <c r="I260" t="n">
        <v>0</v>
      </c>
      <c r="J260" t="n">
        <v>0</v>
      </c>
      <c r="K260" t="n">
        <v>0</v>
      </c>
      <c r="L260" t="n">
        <v>0</v>
      </c>
      <c r="M260" t="n">
        <v>0</v>
      </c>
      <c r="N260" t="n">
        <v>0</v>
      </c>
      <c r="O260" t="n">
        <v>0</v>
      </c>
      <c r="P260" t="n">
        <v>0</v>
      </c>
      <c r="Q260" t="n">
        <v>0</v>
      </c>
      <c r="R260" s="2" t="inlineStr"/>
    </row>
    <row r="261" ht="15" customHeight="1">
      <c r="A261" t="inlineStr">
        <is>
          <t>A 5047-2020</t>
        </is>
      </c>
      <c r="B261" s="1" t="n">
        <v>43853</v>
      </c>
      <c r="C261" s="1" t="n">
        <v>45703</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5043-2020</t>
        </is>
      </c>
      <c r="B262" s="1" t="n">
        <v>43853</v>
      </c>
      <c r="C262" s="1" t="n">
        <v>45703</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4194-2020</t>
        </is>
      </c>
      <c r="B263" s="1" t="n">
        <v>43857</v>
      </c>
      <c r="C263" s="1" t="n">
        <v>45703</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5362-2020</t>
        </is>
      </c>
      <c r="B264" s="1" t="n">
        <v>43857</v>
      </c>
      <c r="C264" s="1" t="n">
        <v>45703</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4472-2020</t>
        </is>
      </c>
      <c r="B265" s="1" t="n">
        <v>43858</v>
      </c>
      <c r="C265" s="1" t="n">
        <v>45703</v>
      </c>
      <c r="D265" t="inlineStr">
        <is>
          <t>KALMAR LÄN</t>
        </is>
      </c>
      <c r="E265" t="inlineStr">
        <is>
          <t>VIMMERBY</t>
        </is>
      </c>
      <c r="G265" t="n">
        <v>0.9</v>
      </c>
      <c r="H265" t="n">
        <v>0</v>
      </c>
      <c r="I265" t="n">
        <v>0</v>
      </c>
      <c r="J265" t="n">
        <v>0</v>
      </c>
      <c r="K265" t="n">
        <v>0</v>
      </c>
      <c r="L265" t="n">
        <v>0</v>
      </c>
      <c r="M265" t="n">
        <v>0</v>
      </c>
      <c r="N265" t="n">
        <v>0</v>
      </c>
      <c r="O265" t="n">
        <v>0</v>
      </c>
      <c r="P265" t="n">
        <v>0</v>
      </c>
      <c r="Q265" t="n">
        <v>0</v>
      </c>
      <c r="R265" s="2" t="inlineStr"/>
    </row>
    <row r="266" ht="15" customHeight="1">
      <c r="A266" t="inlineStr">
        <is>
          <t>A 5548-2020</t>
        </is>
      </c>
      <c r="B266" s="1" t="n">
        <v>43861</v>
      </c>
      <c r="C266" s="1" t="n">
        <v>45703</v>
      </c>
      <c r="D266" t="inlineStr">
        <is>
          <t>KALMAR LÄN</t>
        </is>
      </c>
      <c r="E266" t="inlineStr">
        <is>
          <t>VIMMERBY</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6042-2020</t>
        </is>
      </c>
      <c r="B267" s="1" t="n">
        <v>43865</v>
      </c>
      <c r="C267" s="1" t="n">
        <v>45703</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7870-2020</t>
        </is>
      </c>
      <c r="B268" s="1" t="n">
        <v>43873</v>
      </c>
      <c r="C268" s="1" t="n">
        <v>45703</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8691-2020</t>
        </is>
      </c>
      <c r="B269" s="1" t="n">
        <v>43878</v>
      </c>
      <c r="C269" s="1" t="n">
        <v>45703</v>
      </c>
      <c r="D269" t="inlineStr">
        <is>
          <t>KALMAR LÄN</t>
        </is>
      </c>
      <c r="E269" t="inlineStr">
        <is>
          <t>VIMMERBY</t>
        </is>
      </c>
      <c r="G269" t="n">
        <v>5.1</v>
      </c>
      <c r="H269" t="n">
        <v>0</v>
      </c>
      <c r="I269" t="n">
        <v>0</v>
      </c>
      <c r="J269" t="n">
        <v>0</v>
      </c>
      <c r="K269" t="n">
        <v>0</v>
      </c>
      <c r="L269" t="n">
        <v>0</v>
      </c>
      <c r="M269" t="n">
        <v>0</v>
      </c>
      <c r="N269" t="n">
        <v>0</v>
      </c>
      <c r="O269" t="n">
        <v>0</v>
      </c>
      <c r="P269" t="n">
        <v>0</v>
      </c>
      <c r="Q269" t="n">
        <v>0</v>
      </c>
      <c r="R269" s="2" t="inlineStr"/>
    </row>
    <row r="270" ht="15" customHeight="1">
      <c r="A270" t="inlineStr">
        <is>
          <t>A 9151-2020</t>
        </is>
      </c>
      <c r="B270" s="1" t="n">
        <v>43879</v>
      </c>
      <c r="C270" s="1" t="n">
        <v>45703</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9382-2020</t>
        </is>
      </c>
      <c r="B271" s="1" t="n">
        <v>43880</v>
      </c>
      <c r="C271" s="1" t="n">
        <v>45703</v>
      </c>
      <c r="D271" t="inlineStr">
        <is>
          <t>KALMAR LÄN</t>
        </is>
      </c>
      <c r="E271" t="inlineStr">
        <is>
          <t>VIMMERBY</t>
        </is>
      </c>
      <c r="G271" t="n">
        <v>2.5</v>
      </c>
      <c r="H271" t="n">
        <v>0</v>
      </c>
      <c r="I271" t="n">
        <v>0</v>
      </c>
      <c r="J271" t="n">
        <v>0</v>
      </c>
      <c r="K271" t="n">
        <v>0</v>
      </c>
      <c r="L271" t="n">
        <v>0</v>
      </c>
      <c r="M271" t="n">
        <v>0</v>
      </c>
      <c r="N271" t="n">
        <v>0</v>
      </c>
      <c r="O271" t="n">
        <v>0</v>
      </c>
      <c r="P271" t="n">
        <v>0</v>
      </c>
      <c r="Q271" t="n">
        <v>0</v>
      </c>
      <c r="R271" s="2" t="inlineStr"/>
    </row>
    <row r="272" ht="15" customHeight="1">
      <c r="A272" t="inlineStr">
        <is>
          <t>A 9718-2020</t>
        </is>
      </c>
      <c r="B272" s="1" t="n">
        <v>43881</v>
      </c>
      <c r="C272" s="1" t="n">
        <v>45703</v>
      </c>
      <c r="D272" t="inlineStr">
        <is>
          <t>KALMAR LÄN</t>
        </is>
      </c>
      <c r="E272" t="inlineStr">
        <is>
          <t>VIMMERBY</t>
        </is>
      </c>
      <c r="G272" t="n">
        <v>1.9</v>
      </c>
      <c r="H272" t="n">
        <v>0</v>
      </c>
      <c r="I272" t="n">
        <v>0</v>
      </c>
      <c r="J272" t="n">
        <v>0</v>
      </c>
      <c r="K272" t="n">
        <v>0</v>
      </c>
      <c r="L272" t="n">
        <v>0</v>
      </c>
      <c r="M272" t="n">
        <v>0</v>
      </c>
      <c r="N272" t="n">
        <v>0</v>
      </c>
      <c r="O272" t="n">
        <v>0</v>
      </c>
      <c r="P272" t="n">
        <v>0</v>
      </c>
      <c r="Q272" t="n">
        <v>0</v>
      </c>
      <c r="R272" s="2" t="inlineStr"/>
    </row>
    <row r="273" ht="15" customHeight="1">
      <c r="A273" t="inlineStr">
        <is>
          <t>A 10474-2020</t>
        </is>
      </c>
      <c r="B273" s="1" t="n">
        <v>43887</v>
      </c>
      <c r="C273" s="1" t="n">
        <v>45703</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10484-2020</t>
        </is>
      </c>
      <c r="B274" s="1" t="n">
        <v>43887</v>
      </c>
      <c r="C274" s="1" t="n">
        <v>45703</v>
      </c>
      <c r="D274" t="inlineStr">
        <is>
          <t>KALMAR LÄN</t>
        </is>
      </c>
      <c r="E274" t="inlineStr">
        <is>
          <t>VIMMERBY</t>
        </is>
      </c>
      <c r="G274" t="n">
        <v>0.7</v>
      </c>
      <c r="H274" t="n">
        <v>0</v>
      </c>
      <c r="I274" t="n">
        <v>0</v>
      </c>
      <c r="J274" t="n">
        <v>0</v>
      </c>
      <c r="K274" t="n">
        <v>0</v>
      </c>
      <c r="L274" t="n">
        <v>0</v>
      </c>
      <c r="M274" t="n">
        <v>0</v>
      </c>
      <c r="N274" t="n">
        <v>0</v>
      </c>
      <c r="O274" t="n">
        <v>0</v>
      </c>
      <c r="P274" t="n">
        <v>0</v>
      </c>
      <c r="Q274" t="n">
        <v>0</v>
      </c>
      <c r="R274" s="2" t="inlineStr"/>
    </row>
    <row r="275" ht="15" customHeight="1">
      <c r="A275" t="inlineStr">
        <is>
          <t>A 10923-2020</t>
        </is>
      </c>
      <c r="B275" s="1" t="n">
        <v>43889</v>
      </c>
      <c r="C275" s="1" t="n">
        <v>45703</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11243-2020</t>
        </is>
      </c>
      <c r="B276" s="1" t="n">
        <v>43892</v>
      </c>
      <c r="C276" s="1" t="n">
        <v>45703</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12823-2020</t>
        </is>
      </c>
      <c r="B277" s="1" t="n">
        <v>43899</v>
      </c>
      <c r="C277" s="1" t="n">
        <v>45703</v>
      </c>
      <c r="D277" t="inlineStr">
        <is>
          <t>KALMAR LÄN</t>
        </is>
      </c>
      <c r="E277" t="inlineStr">
        <is>
          <t>VIMMERBY</t>
        </is>
      </c>
      <c r="G277" t="n">
        <v>3.3</v>
      </c>
      <c r="H277" t="n">
        <v>0</v>
      </c>
      <c r="I277" t="n">
        <v>0</v>
      </c>
      <c r="J277" t="n">
        <v>0</v>
      </c>
      <c r="K277" t="n">
        <v>0</v>
      </c>
      <c r="L277" t="n">
        <v>0</v>
      </c>
      <c r="M277" t="n">
        <v>0</v>
      </c>
      <c r="N277" t="n">
        <v>0</v>
      </c>
      <c r="O277" t="n">
        <v>0</v>
      </c>
      <c r="P277" t="n">
        <v>0</v>
      </c>
      <c r="Q277" t="n">
        <v>0</v>
      </c>
      <c r="R277" s="2" t="inlineStr"/>
    </row>
    <row r="278" ht="15" customHeight="1">
      <c r="A278" t="inlineStr">
        <is>
          <t>A 13496-2020</t>
        </is>
      </c>
      <c r="B278" s="1" t="n">
        <v>43900</v>
      </c>
      <c r="C278" s="1" t="n">
        <v>45703</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14410-2020</t>
        </is>
      </c>
      <c r="B279" s="1" t="n">
        <v>43902</v>
      </c>
      <c r="C279" s="1" t="n">
        <v>45703</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13606-2020</t>
        </is>
      </c>
      <c r="B280" s="1" t="n">
        <v>43903</v>
      </c>
      <c r="C280" s="1" t="n">
        <v>45703</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14022-2020</t>
        </is>
      </c>
      <c r="B281" s="1" t="n">
        <v>43906</v>
      </c>
      <c r="C281" s="1" t="n">
        <v>45703</v>
      </c>
      <c r="D281" t="inlineStr">
        <is>
          <t>KALMAR LÄN</t>
        </is>
      </c>
      <c r="E281" t="inlineStr">
        <is>
          <t>VIMMERBY</t>
        </is>
      </c>
      <c r="F281" t="inlineStr">
        <is>
          <t>Kommuner</t>
        </is>
      </c>
      <c r="G281" t="n">
        <v>2</v>
      </c>
      <c r="H281" t="n">
        <v>0</v>
      </c>
      <c r="I281" t="n">
        <v>0</v>
      </c>
      <c r="J281" t="n">
        <v>0</v>
      </c>
      <c r="K281" t="n">
        <v>0</v>
      </c>
      <c r="L281" t="n">
        <v>0</v>
      </c>
      <c r="M281" t="n">
        <v>0</v>
      </c>
      <c r="N281" t="n">
        <v>0</v>
      </c>
      <c r="O281" t="n">
        <v>0</v>
      </c>
      <c r="P281" t="n">
        <v>0</v>
      </c>
      <c r="Q281" t="n">
        <v>0</v>
      </c>
      <c r="R281" s="2" t="inlineStr"/>
    </row>
    <row r="282" ht="15" customHeight="1">
      <c r="A282" t="inlineStr">
        <is>
          <t>A 16222-2020</t>
        </is>
      </c>
      <c r="B282" s="1" t="n">
        <v>43917</v>
      </c>
      <c r="C282" s="1" t="n">
        <v>45703</v>
      </c>
      <c r="D282" t="inlineStr">
        <is>
          <t>KALMAR LÄN</t>
        </is>
      </c>
      <c r="E282" t="inlineStr">
        <is>
          <t>VIMMERBY</t>
        </is>
      </c>
      <c r="G282" t="n">
        <v>1.8</v>
      </c>
      <c r="H282" t="n">
        <v>0</v>
      </c>
      <c r="I282" t="n">
        <v>0</v>
      </c>
      <c r="J282" t="n">
        <v>0</v>
      </c>
      <c r="K282" t="n">
        <v>0</v>
      </c>
      <c r="L282" t="n">
        <v>0</v>
      </c>
      <c r="M282" t="n">
        <v>0</v>
      </c>
      <c r="N282" t="n">
        <v>0</v>
      </c>
      <c r="O282" t="n">
        <v>0</v>
      </c>
      <c r="P282" t="n">
        <v>0</v>
      </c>
      <c r="Q282" t="n">
        <v>0</v>
      </c>
      <c r="R282" s="2" t="inlineStr"/>
    </row>
    <row r="283" ht="15" customHeight="1">
      <c r="A283" t="inlineStr">
        <is>
          <t>A 18676-2020</t>
        </is>
      </c>
      <c r="B283" s="1" t="n">
        <v>43930</v>
      </c>
      <c r="C283" s="1" t="n">
        <v>45703</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18855-2020</t>
        </is>
      </c>
      <c r="B284" s="1" t="n">
        <v>43930</v>
      </c>
      <c r="C284" s="1" t="n">
        <v>45703</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18885-2020</t>
        </is>
      </c>
      <c r="B285" s="1" t="n">
        <v>43935</v>
      </c>
      <c r="C285" s="1" t="n">
        <v>45703</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18909-2020</t>
        </is>
      </c>
      <c r="B286" s="1" t="n">
        <v>43935</v>
      </c>
      <c r="C286" s="1" t="n">
        <v>45703</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20291-2020</t>
        </is>
      </c>
      <c r="B287" s="1" t="n">
        <v>43945</v>
      </c>
      <c r="C287" s="1" t="n">
        <v>45703</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21408-2020</t>
        </is>
      </c>
      <c r="B288" s="1" t="n">
        <v>43955</v>
      </c>
      <c r="C288" s="1" t="n">
        <v>45703</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21581-2020</t>
        </is>
      </c>
      <c r="B289" s="1" t="n">
        <v>43956</v>
      </c>
      <c r="C289" s="1" t="n">
        <v>45703</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21891-2020</t>
        </is>
      </c>
      <c r="B290" s="1" t="n">
        <v>43958</v>
      </c>
      <c r="C290" s="1" t="n">
        <v>45703</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22267-2020</t>
        </is>
      </c>
      <c r="B291" s="1" t="n">
        <v>43962</v>
      </c>
      <c r="C291" s="1" t="n">
        <v>45703</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22574-2020</t>
        </is>
      </c>
      <c r="B292" s="1" t="n">
        <v>43963</v>
      </c>
      <c r="C292" s="1" t="n">
        <v>45703</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22637-2020</t>
        </is>
      </c>
      <c r="B293" s="1" t="n">
        <v>43963</v>
      </c>
      <c r="C293" s="1" t="n">
        <v>45703</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22828-2020</t>
        </is>
      </c>
      <c r="B294" s="1" t="n">
        <v>43964</v>
      </c>
      <c r="C294" s="1" t="n">
        <v>45703</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23391-2020</t>
        </is>
      </c>
      <c r="B295" s="1" t="n">
        <v>43968</v>
      </c>
      <c r="C295" s="1" t="n">
        <v>45703</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23394-2020</t>
        </is>
      </c>
      <c r="B296" s="1" t="n">
        <v>43968</v>
      </c>
      <c r="C296" s="1" t="n">
        <v>45703</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23705-2020</t>
        </is>
      </c>
      <c r="B297" s="1" t="n">
        <v>43970</v>
      </c>
      <c r="C297" s="1" t="n">
        <v>45703</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23877-2020</t>
        </is>
      </c>
      <c r="B298" s="1" t="n">
        <v>43971</v>
      </c>
      <c r="C298" s="1" t="n">
        <v>45703</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24016-2020</t>
        </is>
      </c>
      <c r="B299" s="1" t="n">
        <v>43971</v>
      </c>
      <c r="C299" s="1" t="n">
        <v>45703</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24770-2020</t>
        </is>
      </c>
      <c r="B300" s="1" t="n">
        <v>43978</v>
      </c>
      <c r="C300" s="1" t="n">
        <v>45703</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24784-2020</t>
        </is>
      </c>
      <c r="B301" s="1" t="n">
        <v>43978</v>
      </c>
      <c r="C301" s="1" t="n">
        <v>45703</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24782-2020</t>
        </is>
      </c>
      <c r="B302" s="1" t="n">
        <v>43978</v>
      </c>
      <c r="C302" s="1" t="n">
        <v>45703</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25761-2020</t>
        </is>
      </c>
      <c r="B303" s="1" t="n">
        <v>43984</v>
      </c>
      <c r="C303" s="1" t="n">
        <v>45703</v>
      </c>
      <c r="D303" t="inlineStr">
        <is>
          <t>KALMAR LÄN</t>
        </is>
      </c>
      <c r="E303" t="inlineStr">
        <is>
          <t>VIMMERBY</t>
        </is>
      </c>
      <c r="G303" t="n">
        <v>2.3</v>
      </c>
      <c r="H303" t="n">
        <v>0</v>
      </c>
      <c r="I303" t="n">
        <v>0</v>
      </c>
      <c r="J303" t="n">
        <v>0</v>
      </c>
      <c r="K303" t="n">
        <v>0</v>
      </c>
      <c r="L303" t="n">
        <v>0</v>
      </c>
      <c r="M303" t="n">
        <v>0</v>
      </c>
      <c r="N303" t="n">
        <v>0</v>
      </c>
      <c r="O303" t="n">
        <v>0</v>
      </c>
      <c r="P303" t="n">
        <v>0</v>
      </c>
      <c r="Q303" t="n">
        <v>0</v>
      </c>
      <c r="R303" s="2" t="inlineStr"/>
    </row>
    <row r="304" ht="15" customHeight="1">
      <c r="A304" t="inlineStr">
        <is>
          <t>A 26723-2020</t>
        </is>
      </c>
      <c r="B304" s="1" t="n">
        <v>43990</v>
      </c>
      <c r="C304" s="1" t="n">
        <v>45703</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27104-2020</t>
        </is>
      </c>
      <c r="B305" s="1" t="n">
        <v>43991</v>
      </c>
      <c r="C305" s="1" t="n">
        <v>45703</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27212-2020</t>
        </is>
      </c>
      <c r="B306" s="1" t="n">
        <v>43992</v>
      </c>
      <c r="C306" s="1" t="n">
        <v>45703</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27316-2020</t>
        </is>
      </c>
      <c r="B307" s="1" t="n">
        <v>43992</v>
      </c>
      <c r="C307" s="1" t="n">
        <v>45703</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27214-2020</t>
        </is>
      </c>
      <c r="B308" s="1" t="n">
        <v>43992</v>
      </c>
      <c r="C308" s="1" t="n">
        <v>45703</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27213-2020</t>
        </is>
      </c>
      <c r="B309" s="1" t="n">
        <v>43992</v>
      </c>
      <c r="C309" s="1" t="n">
        <v>45703</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27236-2020</t>
        </is>
      </c>
      <c r="B310" s="1" t="n">
        <v>43992</v>
      </c>
      <c r="C310" s="1" t="n">
        <v>45703</v>
      </c>
      <c r="D310" t="inlineStr">
        <is>
          <t>KALMAR LÄN</t>
        </is>
      </c>
      <c r="E310" t="inlineStr">
        <is>
          <t>VIMMERBY</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28853-2020</t>
        </is>
      </c>
      <c r="B311" s="1" t="n">
        <v>44000</v>
      </c>
      <c r="C311" s="1" t="n">
        <v>45703</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28885-2020</t>
        </is>
      </c>
      <c r="B312" s="1" t="n">
        <v>44000</v>
      </c>
      <c r="C312" s="1" t="n">
        <v>45703</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28969-2020</t>
        </is>
      </c>
      <c r="B313" s="1" t="n">
        <v>44000</v>
      </c>
      <c r="C313" s="1" t="n">
        <v>45703</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29235-2020</t>
        </is>
      </c>
      <c r="B314" s="1" t="n">
        <v>44004</v>
      </c>
      <c r="C314" s="1" t="n">
        <v>45703</v>
      </c>
      <c r="D314" t="inlineStr">
        <is>
          <t>KALMAR LÄN</t>
        </is>
      </c>
      <c r="E314" t="inlineStr">
        <is>
          <t>VIMMERBY</t>
        </is>
      </c>
      <c r="G314" t="n">
        <v>3</v>
      </c>
      <c r="H314" t="n">
        <v>0</v>
      </c>
      <c r="I314" t="n">
        <v>0</v>
      </c>
      <c r="J314" t="n">
        <v>0</v>
      </c>
      <c r="K314" t="n">
        <v>0</v>
      </c>
      <c r="L314" t="n">
        <v>0</v>
      </c>
      <c r="M314" t="n">
        <v>0</v>
      </c>
      <c r="N314" t="n">
        <v>0</v>
      </c>
      <c r="O314" t="n">
        <v>0</v>
      </c>
      <c r="P314" t="n">
        <v>0</v>
      </c>
      <c r="Q314" t="n">
        <v>0</v>
      </c>
      <c r="R314" s="2" t="inlineStr"/>
    </row>
    <row r="315" ht="15" customHeight="1">
      <c r="A315" t="inlineStr">
        <is>
          <t>A 29913-2020</t>
        </is>
      </c>
      <c r="B315" s="1" t="n">
        <v>44006</v>
      </c>
      <c r="C315" s="1" t="n">
        <v>45703</v>
      </c>
      <c r="D315" t="inlineStr">
        <is>
          <t>KALMAR LÄN</t>
        </is>
      </c>
      <c r="E315" t="inlineStr">
        <is>
          <t>VIMMERBY</t>
        </is>
      </c>
      <c r="F315" t="inlineStr">
        <is>
          <t>Kommuner</t>
        </is>
      </c>
      <c r="G315" t="n">
        <v>3.8</v>
      </c>
      <c r="H315" t="n">
        <v>0</v>
      </c>
      <c r="I315" t="n">
        <v>0</v>
      </c>
      <c r="J315" t="n">
        <v>0</v>
      </c>
      <c r="K315" t="n">
        <v>0</v>
      </c>
      <c r="L315" t="n">
        <v>0</v>
      </c>
      <c r="M315" t="n">
        <v>0</v>
      </c>
      <c r="N315" t="n">
        <v>0</v>
      </c>
      <c r="O315" t="n">
        <v>0</v>
      </c>
      <c r="P315" t="n">
        <v>0</v>
      </c>
      <c r="Q315" t="n">
        <v>0</v>
      </c>
      <c r="R315" s="2" t="inlineStr"/>
    </row>
    <row r="316" ht="15" customHeight="1">
      <c r="A316" t="inlineStr">
        <is>
          <t>A 29918-2020</t>
        </is>
      </c>
      <c r="B316" s="1" t="n">
        <v>44006</v>
      </c>
      <c r="C316" s="1" t="n">
        <v>45703</v>
      </c>
      <c r="D316" t="inlineStr">
        <is>
          <t>KALMAR LÄN</t>
        </is>
      </c>
      <c r="E316" t="inlineStr">
        <is>
          <t>VIMMERBY</t>
        </is>
      </c>
      <c r="F316" t="inlineStr">
        <is>
          <t>Kommuner</t>
        </is>
      </c>
      <c r="G316" t="n">
        <v>2.5</v>
      </c>
      <c r="H316" t="n">
        <v>0</v>
      </c>
      <c r="I316" t="n">
        <v>0</v>
      </c>
      <c r="J316" t="n">
        <v>0</v>
      </c>
      <c r="K316" t="n">
        <v>0</v>
      </c>
      <c r="L316" t="n">
        <v>0</v>
      </c>
      <c r="M316" t="n">
        <v>0</v>
      </c>
      <c r="N316" t="n">
        <v>0</v>
      </c>
      <c r="O316" t="n">
        <v>0</v>
      </c>
      <c r="P316" t="n">
        <v>0</v>
      </c>
      <c r="Q316" t="n">
        <v>0</v>
      </c>
      <c r="R316" s="2" t="inlineStr"/>
    </row>
    <row r="317" ht="15" customHeight="1">
      <c r="A317" t="inlineStr">
        <is>
          <t>A 29979-2020</t>
        </is>
      </c>
      <c r="B317" s="1" t="n">
        <v>44006</v>
      </c>
      <c r="C317" s="1" t="n">
        <v>45703</v>
      </c>
      <c r="D317" t="inlineStr">
        <is>
          <t>KALMAR LÄN</t>
        </is>
      </c>
      <c r="E317" t="inlineStr">
        <is>
          <t>VIMMERBY</t>
        </is>
      </c>
      <c r="F317" t="inlineStr">
        <is>
          <t>Kommuner</t>
        </is>
      </c>
      <c r="G317" t="n">
        <v>1.4</v>
      </c>
      <c r="H317" t="n">
        <v>0</v>
      </c>
      <c r="I317" t="n">
        <v>0</v>
      </c>
      <c r="J317" t="n">
        <v>0</v>
      </c>
      <c r="K317" t="n">
        <v>0</v>
      </c>
      <c r="L317" t="n">
        <v>0</v>
      </c>
      <c r="M317" t="n">
        <v>0</v>
      </c>
      <c r="N317" t="n">
        <v>0</v>
      </c>
      <c r="O317" t="n">
        <v>0</v>
      </c>
      <c r="P317" t="n">
        <v>0</v>
      </c>
      <c r="Q317" t="n">
        <v>0</v>
      </c>
      <c r="R317" s="2" t="inlineStr"/>
    </row>
    <row r="318" ht="15" customHeight="1">
      <c r="A318" t="inlineStr">
        <is>
          <t>A 29935-2020</t>
        </is>
      </c>
      <c r="B318" s="1" t="n">
        <v>44006</v>
      </c>
      <c r="C318" s="1" t="n">
        <v>45703</v>
      </c>
      <c r="D318" t="inlineStr">
        <is>
          <t>KALMAR LÄN</t>
        </is>
      </c>
      <c r="E318" t="inlineStr">
        <is>
          <t>VIMMERBY</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30206-2020</t>
        </is>
      </c>
      <c r="B319" s="1" t="n">
        <v>44007</v>
      </c>
      <c r="C319" s="1" t="n">
        <v>45703</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31289-2020</t>
        </is>
      </c>
      <c r="B320" s="1" t="n">
        <v>44012</v>
      </c>
      <c r="C320" s="1" t="n">
        <v>45703</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33159-2020</t>
        </is>
      </c>
      <c r="B321" s="1" t="n">
        <v>44021</v>
      </c>
      <c r="C321" s="1" t="n">
        <v>45703</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33279-2020</t>
        </is>
      </c>
      <c r="B322" s="1" t="n">
        <v>44022</v>
      </c>
      <c r="C322" s="1" t="n">
        <v>45703</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33856-2020</t>
        </is>
      </c>
      <c r="B323" s="1" t="n">
        <v>44027</v>
      </c>
      <c r="C323" s="1" t="n">
        <v>45703</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34350-2020</t>
        </is>
      </c>
      <c r="B324" s="1" t="n">
        <v>44028</v>
      </c>
      <c r="C324" s="1" t="n">
        <v>45703</v>
      </c>
      <c r="D324" t="inlineStr">
        <is>
          <t>KALMAR LÄN</t>
        </is>
      </c>
      <c r="E324" t="inlineStr">
        <is>
          <t>VIMMERBY</t>
        </is>
      </c>
      <c r="G324" t="n">
        <v>4.3</v>
      </c>
      <c r="H324" t="n">
        <v>0</v>
      </c>
      <c r="I324" t="n">
        <v>0</v>
      </c>
      <c r="J324" t="n">
        <v>0</v>
      </c>
      <c r="K324" t="n">
        <v>0</v>
      </c>
      <c r="L324" t="n">
        <v>0</v>
      </c>
      <c r="M324" t="n">
        <v>0</v>
      </c>
      <c r="N324" t="n">
        <v>0</v>
      </c>
      <c r="O324" t="n">
        <v>0</v>
      </c>
      <c r="P324" t="n">
        <v>0</v>
      </c>
      <c r="Q324" t="n">
        <v>0</v>
      </c>
      <c r="R324" s="2" t="inlineStr"/>
    </row>
    <row r="325" ht="15" customHeight="1">
      <c r="A325" t="inlineStr">
        <is>
          <t>A 34345-2020</t>
        </is>
      </c>
      <c r="B325" s="1" t="n">
        <v>44028</v>
      </c>
      <c r="C325" s="1" t="n">
        <v>45703</v>
      </c>
      <c r="D325" t="inlineStr">
        <is>
          <t>KALMAR LÄN</t>
        </is>
      </c>
      <c r="E325" t="inlineStr">
        <is>
          <t>VIMMERBY</t>
        </is>
      </c>
      <c r="G325" t="n">
        <v>5.1</v>
      </c>
      <c r="H325" t="n">
        <v>0</v>
      </c>
      <c r="I325" t="n">
        <v>0</v>
      </c>
      <c r="J325" t="n">
        <v>0</v>
      </c>
      <c r="K325" t="n">
        <v>0</v>
      </c>
      <c r="L325" t="n">
        <v>0</v>
      </c>
      <c r="M325" t="n">
        <v>0</v>
      </c>
      <c r="N325" t="n">
        <v>0</v>
      </c>
      <c r="O325" t="n">
        <v>0</v>
      </c>
      <c r="P325" t="n">
        <v>0</v>
      </c>
      <c r="Q325" t="n">
        <v>0</v>
      </c>
      <c r="R325" s="2" t="inlineStr"/>
    </row>
    <row r="326" ht="15" customHeight="1">
      <c r="A326" t="inlineStr">
        <is>
          <t>A 34719-2020</t>
        </is>
      </c>
      <c r="B326" s="1" t="n">
        <v>44035</v>
      </c>
      <c r="C326" s="1" t="n">
        <v>45703</v>
      </c>
      <c r="D326" t="inlineStr">
        <is>
          <t>KALMAR LÄN</t>
        </is>
      </c>
      <c r="E326" t="inlineStr">
        <is>
          <t>VIMMERBY</t>
        </is>
      </c>
      <c r="G326" t="n">
        <v>3.5</v>
      </c>
      <c r="H326" t="n">
        <v>0</v>
      </c>
      <c r="I326" t="n">
        <v>0</v>
      </c>
      <c r="J326" t="n">
        <v>0</v>
      </c>
      <c r="K326" t="n">
        <v>0</v>
      </c>
      <c r="L326" t="n">
        <v>0</v>
      </c>
      <c r="M326" t="n">
        <v>0</v>
      </c>
      <c r="N326" t="n">
        <v>0</v>
      </c>
      <c r="O326" t="n">
        <v>0</v>
      </c>
      <c r="P326" t="n">
        <v>0</v>
      </c>
      <c r="Q326" t="n">
        <v>0</v>
      </c>
      <c r="R326" s="2" t="inlineStr"/>
    </row>
    <row r="327" ht="15" customHeight="1">
      <c r="A327" t="inlineStr">
        <is>
          <t>A 34907-2020</t>
        </is>
      </c>
      <c r="B327" s="1" t="n">
        <v>44036</v>
      </c>
      <c r="C327" s="1" t="n">
        <v>45703</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35350-2020</t>
        </is>
      </c>
      <c r="B328" s="1" t="n">
        <v>44041</v>
      </c>
      <c r="C328" s="1" t="n">
        <v>45703</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35462-2020</t>
        </is>
      </c>
      <c r="B329" s="1" t="n">
        <v>44042</v>
      </c>
      <c r="C329" s="1" t="n">
        <v>45703</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35886-2020</t>
        </is>
      </c>
      <c r="B330" s="1" t="n">
        <v>44047</v>
      </c>
      <c r="C330" s="1" t="n">
        <v>45703</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36085-2020</t>
        </is>
      </c>
      <c r="B331" s="1" t="n">
        <v>44048</v>
      </c>
      <c r="C331" s="1" t="n">
        <v>45703</v>
      </c>
      <c r="D331" t="inlineStr">
        <is>
          <t>KALMAR LÄN</t>
        </is>
      </c>
      <c r="E331" t="inlineStr">
        <is>
          <t>VIMMERBY</t>
        </is>
      </c>
      <c r="G331" t="n">
        <v>2.5</v>
      </c>
      <c r="H331" t="n">
        <v>0</v>
      </c>
      <c r="I331" t="n">
        <v>0</v>
      </c>
      <c r="J331" t="n">
        <v>0</v>
      </c>
      <c r="K331" t="n">
        <v>0</v>
      </c>
      <c r="L331" t="n">
        <v>0</v>
      </c>
      <c r="M331" t="n">
        <v>0</v>
      </c>
      <c r="N331" t="n">
        <v>0</v>
      </c>
      <c r="O331" t="n">
        <v>0</v>
      </c>
      <c r="P331" t="n">
        <v>0</v>
      </c>
      <c r="Q331" t="n">
        <v>0</v>
      </c>
      <c r="R331" s="2" t="inlineStr"/>
    </row>
    <row r="332" ht="15" customHeight="1">
      <c r="A332" t="inlineStr">
        <is>
          <t>A 36161-2020</t>
        </is>
      </c>
      <c r="B332" s="1" t="n">
        <v>44048</v>
      </c>
      <c r="C332" s="1" t="n">
        <v>45703</v>
      </c>
      <c r="D332" t="inlineStr">
        <is>
          <t>KALMAR LÄN</t>
        </is>
      </c>
      <c r="E332" t="inlineStr">
        <is>
          <t>VIMMERBY</t>
        </is>
      </c>
      <c r="G332" t="n">
        <v>12.5</v>
      </c>
      <c r="H332" t="n">
        <v>0</v>
      </c>
      <c r="I332" t="n">
        <v>0</v>
      </c>
      <c r="J332" t="n">
        <v>0</v>
      </c>
      <c r="K332" t="n">
        <v>0</v>
      </c>
      <c r="L332" t="n">
        <v>0</v>
      </c>
      <c r="M332" t="n">
        <v>0</v>
      </c>
      <c r="N332" t="n">
        <v>0</v>
      </c>
      <c r="O332" t="n">
        <v>0</v>
      </c>
      <c r="P332" t="n">
        <v>0</v>
      </c>
      <c r="Q332" t="n">
        <v>0</v>
      </c>
      <c r="R332" s="2" t="inlineStr"/>
    </row>
    <row r="333" ht="15" customHeight="1">
      <c r="A333" t="inlineStr">
        <is>
          <t>A 37104-2020</t>
        </is>
      </c>
      <c r="B333" s="1" t="n">
        <v>44054</v>
      </c>
      <c r="C333" s="1" t="n">
        <v>45703</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37201-2020</t>
        </is>
      </c>
      <c r="B334" s="1" t="n">
        <v>44054</v>
      </c>
      <c r="C334" s="1" t="n">
        <v>45703</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37078-2020</t>
        </is>
      </c>
      <c r="B335" s="1" t="n">
        <v>44054</v>
      </c>
      <c r="C335" s="1" t="n">
        <v>45703</v>
      </c>
      <c r="D335" t="inlineStr">
        <is>
          <t>KALMAR LÄN</t>
        </is>
      </c>
      <c r="E335" t="inlineStr">
        <is>
          <t>VIMMERBY</t>
        </is>
      </c>
      <c r="G335" t="n">
        <v>4.5</v>
      </c>
      <c r="H335" t="n">
        <v>0</v>
      </c>
      <c r="I335" t="n">
        <v>0</v>
      </c>
      <c r="J335" t="n">
        <v>0</v>
      </c>
      <c r="K335" t="n">
        <v>0</v>
      </c>
      <c r="L335" t="n">
        <v>0</v>
      </c>
      <c r="M335" t="n">
        <v>0</v>
      </c>
      <c r="N335" t="n">
        <v>0</v>
      </c>
      <c r="O335" t="n">
        <v>0</v>
      </c>
      <c r="P335" t="n">
        <v>0</v>
      </c>
      <c r="Q335" t="n">
        <v>0</v>
      </c>
      <c r="R335" s="2" t="inlineStr"/>
    </row>
    <row r="336" ht="15" customHeight="1">
      <c r="A336" t="inlineStr">
        <is>
          <t>A 37362-2020</t>
        </is>
      </c>
      <c r="B336" s="1" t="n">
        <v>44055</v>
      </c>
      <c r="C336" s="1" t="n">
        <v>45703</v>
      </c>
      <c r="D336" t="inlineStr">
        <is>
          <t>KALMAR LÄN</t>
        </is>
      </c>
      <c r="E336" t="inlineStr">
        <is>
          <t>VIMMERBY</t>
        </is>
      </c>
      <c r="F336" t="inlineStr">
        <is>
          <t>Övriga Aktiebolag</t>
        </is>
      </c>
      <c r="G336" t="n">
        <v>3</v>
      </c>
      <c r="H336" t="n">
        <v>0</v>
      </c>
      <c r="I336" t="n">
        <v>0</v>
      </c>
      <c r="J336" t="n">
        <v>0</v>
      </c>
      <c r="K336" t="n">
        <v>0</v>
      </c>
      <c r="L336" t="n">
        <v>0</v>
      </c>
      <c r="M336" t="n">
        <v>0</v>
      </c>
      <c r="N336" t="n">
        <v>0</v>
      </c>
      <c r="O336" t="n">
        <v>0</v>
      </c>
      <c r="P336" t="n">
        <v>0</v>
      </c>
      <c r="Q336" t="n">
        <v>0</v>
      </c>
      <c r="R336" s="2" t="inlineStr"/>
    </row>
    <row r="337" ht="15" customHeight="1">
      <c r="A337" t="inlineStr">
        <is>
          <t>A 37813-2020</t>
        </is>
      </c>
      <c r="B337" s="1" t="n">
        <v>44057</v>
      </c>
      <c r="C337" s="1" t="n">
        <v>45703</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37973-2020</t>
        </is>
      </c>
      <c r="B338" s="1" t="n">
        <v>44057</v>
      </c>
      <c r="C338" s="1" t="n">
        <v>45703</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38153-2020</t>
        </is>
      </c>
      <c r="B339" s="1" t="n">
        <v>44060</v>
      </c>
      <c r="C339" s="1" t="n">
        <v>45703</v>
      </c>
      <c r="D339" t="inlineStr">
        <is>
          <t>KALMAR LÄN</t>
        </is>
      </c>
      <c r="E339" t="inlineStr">
        <is>
          <t>VIMMERBY</t>
        </is>
      </c>
      <c r="G339" t="n">
        <v>6</v>
      </c>
      <c r="H339" t="n">
        <v>0</v>
      </c>
      <c r="I339" t="n">
        <v>0</v>
      </c>
      <c r="J339" t="n">
        <v>0</v>
      </c>
      <c r="K339" t="n">
        <v>0</v>
      </c>
      <c r="L339" t="n">
        <v>0</v>
      </c>
      <c r="M339" t="n">
        <v>0</v>
      </c>
      <c r="N339" t="n">
        <v>0</v>
      </c>
      <c r="O339" t="n">
        <v>0</v>
      </c>
      <c r="P339" t="n">
        <v>0</v>
      </c>
      <c r="Q339" t="n">
        <v>0</v>
      </c>
      <c r="R339" s="2" t="inlineStr"/>
    </row>
    <row r="340" ht="15" customHeight="1">
      <c r="A340" t="inlineStr">
        <is>
          <t>A 38397-2020</t>
        </is>
      </c>
      <c r="B340" s="1" t="n">
        <v>44060</v>
      </c>
      <c r="C340" s="1" t="n">
        <v>45703</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38530-2020</t>
        </is>
      </c>
      <c r="B341" s="1" t="n">
        <v>44061</v>
      </c>
      <c r="C341" s="1" t="n">
        <v>45703</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38710-2020</t>
        </is>
      </c>
      <c r="B342" s="1" t="n">
        <v>44061</v>
      </c>
      <c r="C342" s="1" t="n">
        <v>45703</v>
      </c>
      <c r="D342" t="inlineStr">
        <is>
          <t>KALMAR LÄN</t>
        </is>
      </c>
      <c r="E342" t="inlineStr">
        <is>
          <t>VIMMERBY</t>
        </is>
      </c>
      <c r="G342" t="n">
        <v>2.2</v>
      </c>
      <c r="H342" t="n">
        <v>0</v>
      </c>
      <c r="I342" t="n">
        <v>0</v>
      </c>
      <c r="J342" t="n">
        <v>0</v>
      </c>
      <c r="K342" t="n">
        <v>0</v>
      </c>
      <c r="L342" t="n">
        <v>0</v>
      </c>
      <c r="M342" t="n">
        <v>0</v>
      </c>
      <c r="N342" t="n">
        <v>0</v>
      </c>
      <c r="O342" t="n">
        <v>0</v>
      </c>
      <c r="P342" t="n">
        <v>0</v>
      </c>
      <c r="Q342" t="n">
        <v>0</v>
      </c>
      <c r="R342" s="2" t="inlineStr"/>
    </row>
    <row r="343" ht="15" customHeight="1">
      <c r="A343" t="inlineStr">
        <is>
          <t>A 38844-2020</t>
        </is>
      </c>
      <c r="B343" s="1" t="n">
        <v>44062</v>
      </c>
      <c r="C343" s="1" t="n">
        <v>45703</v>
      </c>
      <c r="D343" t="inlineStr">
        <is>
          <t>KALMAR LÄN</t>
        </is>
      </c>
      <c r="E343" t="inlineStr">
        <is>
          <t>VIMMERBY</t>
        </is>
      </c>
      <c r="G343" t="n">
        <v>3</v>
      </c>
      <c r="H343" t="n">
        <v>0</v>
      </c>
      <c r="I343" t="n">
        <v>0</v>
      </c>
      <c r="J343" t="n">
        <v>0</v>
      </c>
      <c r="K343" t="n">
        <v>0</v>
      </c>
      <c r="L343" t="n">
        <v>0</v>
      </c>
      <c r="M343" t="n">
        <v>0</v>
      </c>
      <c r="N343" t="n">
        <v>0</v>
      </c>
      <c r="O343" t="n">
        <v>0</v>
      </c>
      <c r="P343" t="n">
        <v>0</v>
      </c>
      <c r="Q343" t="n">
        <v>0</v>
      </c>
      <c r="R343" s="2" t="inlineStr"/>
    </row>
    <row r="344" ht="15" customHeight="1">
      <c r="A344" t="inlineStr">
        <is>
          <t>A 39191-2020</t>
        </is>
      </c>
      <c r="B344" s="1" t="n">
        <v>44063</v>
      </c>
      <c r="C344" s="1" t="n">
        <v>45703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39251-2020</t>
        </is>
      </c>
      <c r="B345" s="1" t="n">
        <v>44063</v>
      </c>
      <c r="C345" s="1" t="n">
        <v>45703</v>
      </c>
      <c r="D345" t="inlineStr">
        <is>
          <t>KALMAR LÄN</t>
        </is>
      </c>
      <c r="E345" t="inlineStr">
        <is>
          <t>VIMMERBY</t>
        </is>
      </c>
      <c r="G345" t="n">
        <v>6.1</v>
      </c>
      <c r="H345" t="n">
        <v>0</v>
      </c>
      <c r="I345" t="n">
        <v>0</v>
      </c>
      <c r="J345" t="n">
        <v>0</v>
      </c>
      <c r="K345" t="n">
        <v>0</v>
      </c>
      <c r="L345" t="n">
        <v>0</v>
      </c>
      <c r="M345" t="n">
        <v>0</v>
      </c>
      <c r="N345" t="n">
        <v>0</v>
      </c>
      <c r="O345" t="n">
        <v>0</v>
      </c>
      <c r="P345" t="n">
        <v>0</v>
      </c>
      <c r="Q345" t="n">
        <v>0</v>
      </c>
      <c r="R345" s="2" t="inlineStr"/>
    </row>
    <row r="346" ht="15" customHeight="1">
      <c r="A346" t="inlineStr">
        <is>
          <t>A 39125-2020</t>
        </is>
      </c>
      <c r="B346" s="1" t="n">
        <v>44063</v>
      </c>
      <c r="C346" s="1" t="n">
        <v>45703</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39300-2020</t>
        </is>
      </c>
      <c r="B347" s="1" t="n">
        <v>44063</v>
      </c>
      <c r="C347" s="1" t="n">
        <v>45703</v>
      </c>
      <c r="D347" t="inlineStr">
        <is>
          <t>KALMAR LÄN</t>
        </is>
      </c>
      <c r="E347" t="inlineStr">
        <is>
          <t>VIMMERBY</t>
        </is>
      </c>
      <c r="G347" t="n">
        <v>5.1</v>
      </c>
      <c r="H347" t="n">
        <v>0</v>
      </c>
      <c r="I347" t="n">
        <v>0</v>
      </c>
      <c r="J347" t="n">
        <v>0</v>
      </c>
      <c r="K347" t="n">
        <v>0</v>
      </c>
      <c r="L347" t="n">
        <v>0</v>
      </c>
      <c r="M347" t="n">
        <v>0</v>
      </c>
      <c r="N347" t="n">
        <v>0</v>
      </c>
      <c r="O347" t="n">
        <v>0</v>
      </c>
      <c r="P347" t="n">
        <v>0</v>
      </c>
      <c r="Q347" t="n">
        <v>0</v>
      </c>
      <c r="R347" s="2" t="inlineStr"/>
    </row>
    <row r="348" ht="15" customHeight="1">
      <c r="A348" t="inlineStr">
        <is>
          <t>A 39288-2020</t>
        </is>
      </c>
      <c r="B348" s="1" t="n">
        <v>44063</v>
      </c>
      <c r="C348" s="1" t="n">
        <v>45703</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39508-2020</t>
        </is>
      </c>
      <c r="B349" s="1" t="n">
        <v>44064</v>
      </c>
      <c r="C349" s="1" t="n">
        <v>45703</v>
      </c>
      <c r="D349" t="inlineStr">
        <is>
          <t>KALMAR LÄN</t>
        </is>
      </c>
      <c r="E349" t="inlineStr">
        <is>
          <t>VIMMERBY</t>
        </is>
      </c>
      <c r="G349" t="n">
        <v>4.7</v>
      </c>
      <c r="H349" t="n">
        <v>0</v>
      </c>
      <c r="I349" t="n">
        <v>0</v>
      </c>
      <c r="J349" t="n">
        <v>0</v>
      </c>
      <c r="K349" t="n">
        <v>0</v>
      </c>
      <c r="L349" t="n">
        <v>0</v>
      </c>
      <c r="M349" t="n">
        <v>0</v>
      </c>
      <c r="N349" t="n">
        <v>0</v>
      </c>
      <c r="O349" t="n">
        <v>0</v>
      </c>
      <c r="P349" t="n">
        <v>0</v>
      </c>
      <c r="Q349" t="n">
        <v>0</v>
      </c>
      <c r="R349" s="2" t="inlineStr"/>
    </row>
    <row r="350" ht="15" customHeight="1">
      <c r="A350" t="inlineStr">
        <is>
          <t>A 39769-2020</t>
        </is>
      </c>
      <c r="B350" s="1" t="n">
        <v>44064</v>
      </c>
      <c r="C350" s="1" t="n">
        <v>45703</v>
      </c>
      <c r="D350" t="inlineStr">
        <is>
          <t>KALMAR LÄN</t>
        </is>
      </c>
      <c r="E350" t="inlineStr">
        <is>
          <t>VIMMERBY</t>
        </is>
      </c>
      <c r="G350" t="n">
        <v>24.6</v>
      </c>
      <c r="H350" t="n">
        <v>0</v>
      </c>
      <c r="I350" t="n">
        <v>0</v>
      </c>
      <c r="J350" t="n">
        <v>0</v>
      </c>
      <c r="K350" t="n">
        <v>0</v>
      </c>
      <c r="L350" t="n">
        <v>0</v>
      </c>
      <c r="M350" t="n">
        <v>0</v>
      </c>
      <c r="N350" t="n">
        <v>0</v>
      </c>
      <c r="O350" t="n">
        <v>0</v>
      </c>
      <c r="P350" t="n">
        <v>0</v>
      </c>
      <c r="Q350" t="n">
        <v>0</v>
      </c>
      <c r="R350" s="2" t="inlineStr"/>
    </row>
    <row r="351" ht="15" customHeight="1">
      <c r="A351" t="inlineStr">
        <is>
          <t>A 40239-2020</t>
        </is>
      </c>
      <c r="B351" s="1" t="n">
        <v>44068</v>
      </c>
      <c r="C351" s="1" t="n">
        <v>45703</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40766-2020</t>
        </is>
      </c>
      <c r="B352" s="1" t="n">
        <v>44070</v>
      </c>
      <c r="C352" s="1" t="n">
        <v>45703</v>
      </c>
      <c r="D352" t="inlineStr">
        <is>
          <t>KALMAR LÄN</t>
        </is>
      </c>
      <c r="E352" t="inlineStr">
        <is>
          <t>VIMMERBY</t>
        </is>
      </c>
      <c r="G352" t="n">
        <v>4.2</v>
      </c>
      <c r="H352" t="n">
        <v>0</v>
      </c>
      <c r="I352" t="n">
        <v>0</v>
      </c>
      <c r="J352" t="n">
        <v>0</v>
      </c>
      <c r="K352" t="n">
        <v>0</v>
      </c>
      <c r="L352" t="n">
        <v>0</v>
      </c>
      <c r="M352" t="n">
        <v>0</v>
      </c>
      <c r="N352" t="n">
        <v>0</v>
      </c>
      <c r="O352" t="n">
        <v>0</v>
      </c>
      <c r="P352" t="n">
        <v>0</v>
      </c>
      <c r="Q352" t="n">
        <v>0</v>
      </c>
      <c r="R352" s="2" t="inlineStr"/>
    </row>
    <row r="353" ht="15" customHeight="1">
      <c r="A353" t="inlineStr">
        <is>
          <t>A 40890-2020</t>
        </is>
      </c>
      <c r="B353" s="1" t="n">
        <v>44070</v>
      </c>
      <c r="C353" s="1" t="n">
        <v>45703</v>
      </c>
      <c r="D353" t="inlineStr">
        <is>
          <t>KALMAR LÄN</t>
        </is>
      </c>
      <c r="E353" t="inlineStr">
        <is>
          <t>VIMMERBY</t>
        </is>
      </c>
      <c r="G353" t="n">
        <v>1.6</v>
      </c>
      <c r="H353" t="n">
        <v>0</v>
      </c>
      <c r="I353" t="n">
        <v>0</v>
      </c>
      <c r="J353" t="n">
        <v>0</v>
      </c>
      <c r="K353" t="n">
        <v>0</v>
      </c>
      <c r="L353" t="n">
        <v>0</v>
      </c>
      <c r="M353" t="n">
        <v>0</v>
      </c>
      <c r="N353" t="n">
        <v>0</v>
      </c>
      <c r="O353" t="n">
        <v>0</v>
      </c>
      <c r="P353" t="n">
        <v>0</v>
      </c>
      <c r="Q353" t="n">
        <v>0</v>
      </c>
      <c r="R353" s="2" t="inlineStr"/>
    </row>
    <row r="354" ht="15" customHeight="1">
      <c r="A354" t="inlineStr">
        <is>
          <t>A 40812-2020</t>
        </is>
      </c>
      <c r="B354" s="1" t="n">
        <v>44070</v>
      </c>
      <c r="C354" s="1" t="n">
        <v>45703</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40889-2020</t>
        </is>
      </c>
      <c r="B355" s="1" t="n">
        <v>44070</v>
      </c>
      <c r="C355" s="1" t="n">
        <v>45703</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40818-2020</t>
        </is>
      </c>
      <c r="B356" s="1" t="n">
        <v>44070</v>
      </c>
      <c r="C356" s="1" t="n">
        <v>45703</v>
      </c>
      <c r="D356" t="inlineStr">
        <is>
          <t>KALMAR LÄN</t>
        </is>
      </c>
      <c r="E356" t="inlineStr">
        <is>
          <t>VIMMERBY</t>
        </is>
      </c>
      <c r="G356" t="n">
        <v>2.2</v>
      </c>
      <c r="H356" t="n">
        <v>0</v>
      </c>
      <c r="I356" t="n">
        <v>0</v>
      </c>
      <c r="J356" t="n">
        <v>0</v>
      </c>
      <c r="K356" t="n">
        <v>0</v>
      </c>
      <c r="L356" t="n">
        <v>0</v>
      </c>
      <c r="M356" t="n">
        <v>0</v>
      </c>
      <c r="N356" t="n">
        <v>0</v>
      </c>
      <c r="O356" t="n">
        <v>0</v>
      </c>
      <c r="P356" t="n">
        <v>0</v>
      </c>
      <c r="Q356" t="n">
        <v>0</v>
      </c>
      <c r="R356" s="2" t="inlineStr"/>
    </row>
    <row r="357" ht="15" customHeight="1">
      <c r="A357" t="inlineStr">
        <is>
          <t>A 40808-2020</t>
        </is>
      </c>
      <c r="B357" s="1" t="n">
        <v>44070</v>
      </c>
      <c r="C357" s="1" t="n">
        <v>45703</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42067-2020</t>
        </is>
      </c>
      <c r="B358" s="1" t="n">
        <v>44075</v>
      </c>
      <c r="C358" s="1" t="n">
        <v>45703</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42494-2020</t>
        </is>
      </c>
      <c r="B359" s="1" t="n">
        <v>44077</v>
      </c>
      <c r="C359" s="1" t="n">
        <v>45703</v>
      </c>
      <c r="D359" t="inlineStr">
        <is>
          <t>KALMAR LÄN</t>
        </is>
      </c>
      <c r="E359" t="inlineStr">
        <is>
          <t>VIMMERBY</t>
        </is>
      </c>
      <c r="G359" t="n">
        <v>2</v>
      </c>
      <c r="H359" t="n">
        <v>0</v>
      </c>
      <c r="I359" t="n">
        <v>0</v>
      </c>
      <c r="J359" t="n">
        <v>0</v>
      </c>
      <c r="K359" t="n">
        <v>0</v>
      </c>
      <c r="L359" t="n">
        <v>0</v>
      </c>
      <c r="M359" t="n">
        <v>0</v>
      </c>
      <c r="N359" t="n">
        <v>0</v>
      </c>
      <c r="O359" t="n">
        <v>0</v>
      </c>
      <c r="P359" t="n">
        <v>0</v>
      </c>
      <c r="Q359" t="n">
        <v>0</v>
      </c>
      <c r="R359" s="2" t="inlineStr"/>
    </row>
    <row r="360" ht="15" customHeight="1">
      <c r="A360" t="inlineStr">
        <is>
          <t>A 44000-2020</t>
        </is>
      </c>
      <c r="B360" s="1" t="n">
        <v>44083</v>
      </c>
      <c r="C360" s="1" t="n">
        <v>45703</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43998-2020</t>
        </is>
      </c>
      <c r="B361" s="1" t="n">
        <v>44083</v>
      </c>
      <c r="C361" s="1" t="n">
        <v>45703</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44605-2020</t>
        </is>
      </c>
      <c r="B362" s="1" t="n">
        <v>44085</v>
      </c>
      <c r="C362" s="1" t="n">
        <v>45703</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45050-2020</t>
        </is>
      </c>
      <c r="B363" s="1" t="n">
        <v>44088</v>
      </c>
      <c r="C363" s="1" t="n">
        <v>45703</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45054-2020</t>
        </is>
      </c>
      <c r="B364" s="1" t="n">
        <v>44088</v>
      </c>
      <c r="C364" s="1" t="n">
        <v>45703</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45528-2020</t>
        </is>
      </c>
      <c r="B365" s="1" t="n">
        <v>44089</v>
      </c>
      <c r="C365" s="1" t="n">
        <v>45703</v>
      </c>
      <c r="D365" t="inlineStr">
        <is>
          <t>KALMAR LÄN</t>
        </is>
      </c>
      <c r="E365" t="inlineStr">
        <is>
          <t>VIMMERBY</t>
        </is>
      </c>
      <c r="G365" t="n">
        <v>3.8</v>
      </c>
      <c r="H365" t="n">
        <v>0</v>
      </c>
      <c r="I365" t="n">
        <v>0</v>
      </c>
      <c r="J365" t="n">
        <v>0</v>
      </c>
      <c r="K365" t="n">
        <v>0</v>
      </c>
      <c r="L365" t="n">
        <v>0</v>
      </c>
      <c r="M365" t="n">
        <v>0</v>
      </c>
      <c r="N365" t="n">
        <v>0</v>
      </c>
      <c r="O365" t="n">
        <v>0</v>
      </c>
      <c r="P365" t="n">
        <v>0</v>
      </c>
      <c r="Q365" t="n">
        <v>0</v>
      </c>
      <c r="R365" s="2" t="inlineStr"/>
    </row>
    <row r="366" ht="15" customHeight="1">
      <c r="A366" t="inlineStr">
        <is>
          <t>A 45678-2020</t>
        </is>
      </c>
      <c r="B366" s="1" t="n">
        <v>44090</v>
      </c>
      <c r="C366" s="1" t="n">
        <v>45703</v>
      </c>
      <c r="D366" t="inlineStr">
        <is>
          <t>KALMAR LÄN</t>
        </is>
      </c>
      <c r="E366" t="inlineStr">
        <is>
          <t>VIMMERBY</t>
        </is>
      </c>
      <c r="G366" t="n">
        <v>4.3</v>
      </c>
      <c r="H366" t="n">
        <v>0</v>
      </c>
      <c r="I366" t="n">
        <v>0</v>
      </c>
      <c r="J366" t="n">
        <v>0</v>
      </c>
      <c r="K366" t="n">
        <v>0</v>
      </c>
      <c r="L366" t="n">
        <v>0</v>
      </c>
      <c r="M366" t="n">
        <v>0</v>
      </c>
      <c r="N366" t="n">
        <v>0</v>
      </c>
      <c r="O366" t="n">
        <v>0</v>
      </c>
      <c r="P366" t="n">
        <v>0</v>
      </c>
      <c r="Q366" t="n">
        <v>0</v>
      </c>
      <c r="R366" s="2" t="inlineStr"/>
    </row>
    <row r="367" ht="15" customHeight="1">
      <c r="A367" t="inlineStr">
        <is>
          <t>A 46085-2020</t>
        </is>
      </c>
      <c r="B367" s="1" t="n">
        <v>44091</v>
      </c>
      <c r="C367" s="1" t="n">
        <v>45703</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46461-2020</t>
        </is>
      </c>
      <c r="B368" s="1" t="n">
        <v>44092</v>
      </c>
      <c r="C368" s="1" t="n">
        <v>45703</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46527-2020</t>
        </is>
      </c>
      <c r="B369" s="1" t="n">
        <v>44095</v>
      </c>
      <c r="C369" s="1" t="n">
        <v>45703</v>
      </c>
      <c r="D369" t="inlineStr">
        <is>
          <t>KALMAR LÄN</t>
        </is>
      </c>
      <c r="E369" t="inlineStr">
        <is>
          <t>VIMMERBY</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47295-2020</t>
        </is>
      </c>
      <c r="B370" s="1" t="n">
        <v>44097</v>
      </c>
      <c r="C370" s="1" t="n">
        <v>45703</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49059-2020</t>
        </is>
      </c>
      <c r="B371" s="1" t="n">
        <v>44102</v>
      </c>
      <c r="C371" s="1" t="n">
        <v>45703</v>
      </c>
      <c r="D371" t="inlineStr">
        <is>
          <t>KALMAR LÄN</t>
        </is>
      </c>
      <c r="E371" t="inlineStr">
        <is>
          <t>VIMMERBY</t>
        </is>
      </c>
      <c r="G371" t="n">
        <v>5.8</v>
      </c>
      <c r="H371" t="n">
        <v>0</v>
      </c>
      <c r="I371" t="n">
        <v>0</v>
      </c>
      <c r="J371" t="n">
        <v>0</v>
      </c>
      <c r="K371" t="n">
        <v>0</v>
      </c>
      <c r="L371" t="n">
        <v>0</v>
      </c>
      <c r="M371" t="n">
        <v>0</v>
      </c>
      <c r="N371" t="n">
        <v>0</v>
      </c>
      <c r="O371" t="n">
        <v>0</v>
      </c>
      <c r="P371" t="n">
        <v>0</v>
      </c>
      <c r="Q371" t="n">
        <v>0</v>
      </c>
      <c r="R371" s="2" t="inlineStr"/>
    </row>
    <row r="372" ht="15" customHeight="1">
      <c r="A372" t="inlineStr">
        <is>
          <t>A 48949-2020</t>
        </is>
      </c>
      <c r="B372" s="1" t="n">
        <v>44102</v>
      </c>
      <c r="C372" s="1" t="n">
        <v>45703</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49186-2020</t>
        </is>
      </c>
      <c r="B373" s="1" t="n">
        <v>44105</v>
      </c>
      <c r="C373" s="1" t="n">
        <v>45703</v>
      </c>
      <c r="D373" t="inlineStr">
        <is>
          <t>KALMAR LÄN</t>
        </is>
      </c>
      <c r="E373" t="inlineStr">
        <is>
          <t>VIMMERBY</t>
        </is>
      </c>
      <c r="F373" t="inlineStr">
        <is>
          <t>Sveaskog</t>
        </is>
      </c>
      <c r="G373" t="n">
        <v>3.8</v>
      </c>
      <c r="H373" t="n">
        <v>0</v>
      </c>
      <c r="I373" t="n">
        <v>0</v>
      </c>
      <c r="J373" t="n">
        <v>0</v>
      </c>
      <c r="K373" t="n">
        <v>0</v>
      </c>
      <c r="L373" t="n">
        <v>0</v>
      </c>
      <c r="M373" t="n">
        <v>0</v>
      </c>
      <c r="N373" t="n">
        <v>0</v>
      </c>
      <c r="O373" t="n">
        <v>0</v>
      </c>
      <c r="P373" t="n">
        <v>0</v>
      </c>
      <c r="Q373" t="n">
        <v>0</v>
      </c>
      <c r="R373" s="2" t="inlineStr"/>
    </row>
    <row r="374" ht="15" customHeight="1">
      <c r="A374" t="inlineStr">
        <is>
          <t>A 51571-2020</t>
        </is>
      </c>
      <c r="B374" s="1" t="n">
        <v>44109</v>
      </c>
      <c r="C374" s="1" t="n">
        <v>45703</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51569-2020</t>
        </is>
      </c>
      <c r="B375" s="1" t="n">
        <v>44109</v>
      </c>
      <c r="C375" s="1" t="n">
        <v>45703</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50764-2020</t>
        </is>
      </c>
      <c r="B376" s="1" t="n">
        <v>44111</v>
      </c>
      <c r="C376" s="1" t="n">
        <v>45703</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51977-2020</t>
        </is>
      </c>
      <c r="B377" s="1" t="n">
        <v>44116</v>
      </c>
      <c r="C377" s="1" t="n">
        <v>45703</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52073-2020</t>
        </is>
      </c>
      <c r="B378" s="1" t="n">
        <v>44117</v>
      </c>
      <c r="C378" s="1" t="n">
        <v>45703</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53100-2020</t>
        </is>
      </c>
      <c r="B379" s="1" t="n">
        <v>44120</v>
      </c>
      <c r="C379" s="1" t="n">
        <v>45703</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53387-2020</t>
        </is>
      </c>
      <c r="B380" s="1" t="n">
        <v>44123</v>
      </c>
      <c r="C380" s="1" t="n">
        <v>45703</v>
      </c>
      <c r="D380" t="inlineStr">
        <is>
          <t>KALMAR LÄN</t>
        </is>
      </c>
      <c r="E380" t="inlineStr">
        <is>
          <t>VIMMERBY</t>
        </is>
      </c>
      <c r="G380" t="n">
        <v>7.2</v>
      </c>
      <c r="H380" t="n">
        <v>0</v>
      </c>
      <c r="I380" t="n">
        <v>0</v>
      </c>
      <c r="J380" t="n">
        <v>0</v>
      </c>
      <c r="K380" t="n">
        <v>0</v>
      </c>
      <c r="L380" t="n">
        <v>0</v>
      </c>
      <c r="M380" t="n">
        <v>0</v>
      </c>
      <c r="N380" t="n">
        <v>0</v>
      </c>
      <c r="O380" t="n">
        <v>0</v>
      </c>
      <c r="P380" t="n">
        <v>0</v>
      </c>
      <c r="Q380" t="n">
        <v>0</v>
      </c>
      <c r="R380" s="2" t="inlineStr"/>
    </row>
    <row r="381" ht="15" customHeight="1">
      <c r="A381" t="inlineStr">
        <is>
          <t>A 53711-2020</t>
        </is>
      </c>
      <c r="B381" s="1" t="n">
        <v>44124</v>
      </c>
      <c r="C381" s="1" t="n">
        <v>45703</v>
      </c>
      <c r="D381" t="inlineStr">
        <is>
          <t>KALMAR LÄN</t>
        </is>
      </c>
      <c r="E381" t="inlineStr">
        <is>
          <t>VIMMERBY</t>
        </is>
      </c>
      <c r="G381" t="n">
        <v>1.4</v>
      </c>
      <c r="H381" t="n">
        <v>0</v>
      </c>
      <c r="I381" t="n">
        <v>0</v>
      </c>
      <c r="J381" t="n">
        <v>0</v>
      </c>
      <c r="K381" t="n">
        <v>0</v>
      </c>
      <c r="L381" t="n">
        <v>0</v>
      </c>
      <c r="M381" t="n">
        <v>0</v>
      </c>
      <c r="N381" t="n">
        <v>0</v>
      </c>
      <c r="O381" t="n">
        <v>0</v>
      </c>
      <c r="P381" t="n">
        <v>0</v>
      </c>
      <c r="Q381" t="n">
        <v>0</v>
      </c>
      <c r="R381" s="2" t="inlineStr"/>
    </row>
    <row r="382" ht="15" customHeight="1">
      <c r="A382" t="inlineStr">
        <is>
          <t>A 54917-2020</t>
        </is>
      </c>
      <c r="B382" s="1" t="n">
        <v>44127</v>
      </c>
      <c r="C382" s="1" t="n">
        <v>45703</v>
      </c>
      <c r="D382" t="inlineStr">
        <is>
          <t>KALMAR LÄN</t>
        </is>
      </c>
      <c r="E382" t="inlineStr">
        <is>
          <t>VIMMERBY</t>
        </is>
      </c>
      <c r="G382" t="n">
        <v>9.5</v>
      </c>
      <c r="H382" t="n">
        <v>0</v>
      </c>
      <c r="I382" t="n">
        <v>0</v>
      </c>
      <c r="J382" t="n">
        <v>0</v>
      </c>
      <c r="K382" t="n">
        <v>0</v>
      </c>
      <c r="L382" t="n">
        <v>0</v>
      </c>
      <c r="M382" t="n">
        <v>0</v>
      </c>
      <c r="N382" t="n">
        <v>0</v>
      </c>
      <c r="O382" t="n">
        <v>0</v>
      </c>
      <c r="P382" t="n">
        <v>0</v>
      </c>
      <c r="Q382" t="n">
        <v>0</v>
      </c>
      <c r="R382" s="2" t="inlineStr"/>
    </row>
    <row r="383" ht="15" customHeight="1">
      <c r="A383" t="inlineStr">
        <is>
          <t>A 55053-2020</t>
        </is>
      </c>
      <c r="B383" s="1" t="n">
        <v>44130</v>
      </c>
      <c r="C383" s="1" t="n">
        <v>45703</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57948-2020</t>
        </is>
      </c>
      <c r="B384" s="1" t="n">
        <v>44142</v>
      </c>
      <c r="C384" s="1" t="n">
        <v>45703</v>
      </c>
      <c r="D384" t="inlineStr">
        <is>
          <t>KALMAR LÄN</t>
        </is>
      </c>
      <c r="E384" t="inlineStr">
        <is>
          <t>VIMMERBY</t>
        </is>
      </c>
      <c r="G384" t="n">
        <v>7.1</v>
      </c>
      <c r="H384" t="n">
        <v>0</v>
      </c>
      <c r="I384" t="n">
        <v>0</v>
      </c>
      <c r="J384" t="n">
        <v>0</v>
      </c>
      <c r="K384" t="n">
        <v>0</v>
      </c>
      <c r="L384" t="n">
        <v>0</v>
      </c>
      <c r="M384" t="n">
        <v>0</v>
      </c>
      <c r="N384" t="n">
        <v>0</v>
      </c>
      <c r="O384" t="n">
        <v>0</v>
      </c>
      <c r="P384" t="n">
        <v>0</v>
      </c>
      <c r="Q384" t="n">
        <v>0</v>
      </c>
      <c r="R384" s="2" t="inlineStr"/>
    </row>
    <row r="385" ht="15" customHeight="1">
      <c r="A385" t="inlineStr">
        <is>
          <t>A 58026-2020</t>
        </is>
      </c>
      <c r="B385" s="1" t="n">
        <v>44144</v>
      </c>
      <c r="C385" s="1" t="n">
        <v>45703</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58145-2020</t>
        </is>
      </c>
      <c r="B386" s="1" t="n">
        <v>44144</v>
      </c>
      <c r="C386" s="1" t="n">
        <v>45703</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60810-2020</t>
        </is>
      </c>
      <c r="B387" s="1" t="n">
        <v>44154</v>
      </c>
      <c r="C387" s="1" t="n">
        <v>45703</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61878-2020</t>
        </is>
      </c>
      <c r="B388" s="1" t="n">
        <v>44159</v>
      </c>
      <c r="C388" s="1" t="n">
        <v>45703</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64707-2020</t>
        </is>
      </c>
      <c r="B389" s="1" t="n">
        <v>44169</v>
      </c>
      <c r="C389" s="1" t="n">
        <v>45703</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65049-2020</t>
        </is>
      </c>
      <c r="B390" s="1" t="n">
        <v>44172</v>
      </c>
      <c r="C390" s="1" t="n">
        <v>45703</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65564-2020</t>
        </is>
      </c>
      <c r="B391" s="1" t="n">
        <v>44172</v>
      </c>
      <c r="C391" s="1" t="n">
        <v>45703</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65956-2020</t>
        </is>
      </c>
      <c r="B392" s="1" t="n">
        <v>44175</v>
      </c>
      <c r="C392" s="1" t="n">
        <v>45703</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65952-2020</t>
        </is>
      </c>
      <c r="B393" s="1" t="n">
        <v>44175</v>
      </c>
      <c r="C393" s="1" t="n">
        <v>45703</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65961-2020</t>
        </is>
      </c>
      <c r="B394" s="1" t="n">
        <v>44175</v>
      </c>
      <c r="C394" s="1" t="n">
        <v>45703</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65973-2020</t>
        </is>
      </c>
      <c r="B395" s="1" t="n">
        <v>44175</v>
      </c>
      <c r="C395" s="1" t="n">
        <v>45703</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66913-2020</t>
        </is>
      </c>
      <c r="B396" s="1" t="n">
        <v>44175</v>
      </c>
      <c r="C396" s="1" t="n">
        <v>45703</v>
      </c>
      <c r="D396" t="inlineStr">
        <is>
          <t>KALMAR LÄN</t>
        </is>
      </c>
      <c r="E396" t="inlineStr">
        <is>
          <t>VIMMERBY</t>
        </is>
      </c>
      <c r="G396" t="n">
        <v>5.6</v>
      </c>
      <c r="H396" t="n">
        <v>0</v>
      </c>
      <c r="I396" t="n">
        <v>0</v>
      </c>
      <c r="J396" t="n">
        <v>0</v>
      </c>
      <c r="K396" t="n">
        <v>0</v>
      </c>
      <c r="L396" t="n">
        <v>0</v>
      </c>
      <c r="M396" t="n">
        <v>0</v>
      </c>
      <c r="N396" t="n">
        <v>0</v>
      </c>
      <c r="O396" t="n">
        <v>0</v>
      </c>
      <c r="P396" t="n">
        <v>0</v>
      </c>
      <c r="Q396" t="n">
        <v>0</v>
      </c>
      <c r="R396" s="2" t="inlineStr"/>
    </row>
    <row r="397" ht="15" customHeight="1">
      <c r="A397" t="inlineStr">
        <is>
          <t>A 66295-2020</t>
        </is>
      </c>
      <c r="B397" s="1" t="n">
        <v>44176</v>
      </c>
      <c r="C397" s="1" t="n">
        <v>45703</v>
      </c>
      <c r="D397" t="inlineStr">
        <is>
          <t>KALMAR LÄN</t>
        </is>
      </c>
      <c r="E397" t="inlineStr">
        <is>
          <t>VIMMERBY</t>
        </is>
      </c>
      <c r="G397" t="n">
        <v>4.1</v>
      </c>
      <c r="H397" t="n">
        <v>0</v>
      </c>
      <c r="I397" t="n">
        <v>0</v>
      </c>
      <c r="J397" t="n">
        <v>0</v>
      </c>
      <c r="K397" t="n">
        <v>0</v>
      </c>
      <c r="L397" t="n">
        <v>0</v>
      </c>
      <c r="M397" t="n">
        <v>0</v>
      </c>
      <c r="N397" t="n">
        <v>0</v>
      </c>
      <c r="O397" t="n">
        <v>0</v>
      </c>
      <c r="P397" t="n">
        <v>0</v>
      </c>
      <c r="Q397" t="n">
        <v>0</v>
      </c>
      <c r="R397" s="2" t="inlineStr"/>
    </row>
    <row r="398" ht="15" customHeight="1">
      <c r="A398" t="inlineStr">
        <is>
          <t>A 68744-2020</t>
        </is>
      </c>
      <c r="B398" s="1" t="n">
        <v>44186</v>
      </c>
      <c r="C398" s="1" t="n">
        <v>45703</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68785-2020</t>
        </is>
      </c>
      <c r="B399" s="1" t="n">
        <v>44186</v>
      </c>
      <c r="C399" s="1" t="n">
        <v>45703</v>
      </c>
      <c r="D399" t="inlineStr">
        <is>
          <t>KALMAR LÄN</t>
        </is>
      </c>
      <c r="E399" t="inlineStr">
        <is>
          <t>VIMMERBY</t>
        </is>
      </c>
      <c r="G399" t="n">
        <v>1.4</v>
      </c>
      <c r="H399" t="n">
        <v>0</v>
      </c>
      <c r="I399" t="n">
        <v>0</v>
      </c>
      <c r="J399" t="n">
        <v>0</v>
      </c>
      <c r="K399" t="n">
        <v>0</v>
      </c>
      <c r="L399" t="n">
        <v>0</v>
      </c>
      <c r="M399" t="n">
        <v>0</v>
      </c>
      <c r="N399" t="n">
        <v>0</v>
      </c>
      <c r="O399" t="n">
        <v>0</v>
      </c>
      <c r="P399" t="n">
        <v>0</v>
      </c>
      <c r="Q399" t="n">
        <v>0</v>
      </c>
      <c r="R399" s="2" t="inlineStr"/>
    </row>
    <row r="400" ht="15" customHeight="1">
      <c r="A400" t="inlineStr">
        <is>
          <t>A 618-2021</t>
        </is>
      </c>
      <c r="B400" s="1" t="n">
        <v>44203</v>
      </c>
      <c r="C400" s="1" t="n">
        <v>45703</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1929-2021</t>
        </is>
      </c>
      <c r="B401" s="1" t="n">
        <v>44210</v>
      </c>
      <c r="C401" s="1" t="n">
        <v>45703</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2555-2021</t>
        </is>
      </c>
      <c r="B402" s="1" t="n">
        <v>44214</v>
      </c>
      <c r="C402" s="1" t="n">
        <v>45703</v>
      </c>
      <c r="D402" t="inlineStr">
        <is>
          <t>KALMAR LÄN</t>
        </is>
      </c>
      <c r="E402" t="inlineStr">
        <is>
          <t>VIMMERBY</t>
        </is>
      </c>
      <c r="G402" t="n">
        <v>7.3</v>
      </c>
      <c r="H402" t="n">
        <v>0</v>
      </c>
      <c r="I402" t="n">
        <v>0</v>
      </c>
      <c r="J402" t="n">
        <v>0</v>
      </c>
      <c r="K402" t="n">
        <v>0</v>
      </c>
      <c r="L402" t="n">
        <v>0</v>
      </c>
      <c r="M402" t="n">
        <v>0</v>
      </c>
      <c r="N402" t="n">
        <v>0</v>
      </c>
      <c r="O402" t="n">
        <v>0</v>
      </c>
      <c r="P402" t="n">
        <v>0</v>
      </c>
      <c r="Q402" t="n">
        <v>0</v>
      </c>
      <c r="R402" s="2" t="inlineStr"/>
    </row>
    <row r="403" ht="15" customHeight="1">
      <c r="A403" t="inlineStr">
        <is>
          <t>A 2654-2021</t>
        </is>
      </c>
      <c r="B403" s="1" t="n">
        <v>44215</v>
      </c>
      <c r="C403" s="1" t="n">
        <v>45703</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3330-2021</t>
        </is>
      </c>
      <c r="B404" s="1" t="n">
        <v>44217</v>
      </c>
      <c r="C404" s="1" t="n">
        <v>45703</v>
      </c>
      <c r="D404" t="inlineStr">
        <is>
          <t>KALMAR LÄN</t>
        </is>
      </c>
      <c r="E404" t="inlineStr">
        <is>
          <t>VIMMERBY</t>
        </is>
      </c>
      <c r="G404" t="n">
        <v>11.1</v>
      </c>
      <c r="H404" t="n">
        <v>0</v>
      </c>
      <c r="I404" t="n">
        <v>0</v>
      </c>
      <c r="J404" t="n">
        <v>0</v>
      </c>
      <c r="K404" t="n">
        <v>0</v>
      </c>
      <c r="L404" t="n">
        <v>0</v>
      </c>
      <c r="M404" t="n">
        <v>0</v>
      </c>
      <c r="N404" t="n">
        <v>0</v>
      </c>
      <c r="O404" t="n">
        <v>0</v>
      </c>
      <c r="P404" t="n">
        <v>0</v>
      </c>
      <c r="Q404" t="n">
        <v>0</v>
      </c>
      <c r="R404" s="2" t="inlineStr"/>
    </row>
    <row r="405" ht="15" customHeight="1">
      <c r="A405" t="inlineStr">
        <is>
          <t>A 3184-2021</t>
        </is>
      </c>
      <c r="B405" s="1" t="n">
        <v>44217</v>
      </c>
      <c r="C405" s="1" t="n">
        <v>45703</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3621-2021</t>
        </is>
      </c>
      <c r="B406" s="1" t="n">
        <v>44221</v>
      </c>
      <c r="C406" s="1" t="n">
        <v>45703</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4762-2021</t>
        </is>
      </c>
      <c r="B407" s="1" t="n">
        <v>44225</v>
      </c>
      <c r="C407" s="1" t="n">
        <v>45703</v>
      </c>
      <c r="D407" t="inlineStr">
        <is>
          <t>KALMAR LÄN</t>
        </is>
      </c>
      <c r="E407" t="inlineStr">
        <is>
          <t>VIMMERBY</t>
        </is>
      </c>
      <c r="G407" t="n">
        <v>5.3</v>
      </c>
      <c r="H407" t="n">
        <v>0</v>
      </c>
      <c r="I407" t="n">
        <v>0</v>
      </c>
      <c r="J407" t="n">
        <v>0</v>
      </c>
      <c r="K407" t="n">
        <v>0</v>
      </c>
      <c r="L407" t="n">
        <v>0</v>
      </c>
      <c r="M407" t="n">
        <v>0</v>
      </c>
      <c r="N407" t="n">
        <v>0</v>
      </c>
      <c r="O407" t="n">
        <v>0</v>
      </c>
      <c r="P407" t="n">
        <v>0</v>
      </c>
      <c r="Q407" t="n">
        <v>0</v>
      </c>
      <c r="R407" s="2" t="inlineStr"/>
    </row>
    <row r="408" ht="15" customHeight="1">
      <c r="A408" t="inlineStr">
        <is>
          <t>A 5689-2021</t>
        </is>
      </c>
      <c r="B408" s="1" t="n">
        <v>44230</v>
      </c>
      <c r="C408" s="1" t="n">
        <v>45703</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5654-2021</t>
        </is>
      </c>
      <c r="B409" s="1" t="n">
        <v>44230</v>
      </c>
      <c r="C409" s="1" t="n">
        <v>45703</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7072-2021</t>
        </is>
      </c>
      <c r="B410" s="1" t="n">
        <v>44237</v>
      </c>
      <c r="C410" s="1" t="n">
        <v>45703</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7075-2021</t>
        </is>
      </c>
      <c r="B411" s="1" t="n">
        <v>44237</v>
      </c>
      <c r="C411" s="1" t="n">
        <v>45703</v>
      </c>
      <c r="D411" t="inlineStr">
        <is>
          <t>KALMAR LÄN</t>
        </is>
      </c>
      <c r="E411" t="inlineStr">
        <is>
          <t>VIMMERBY</t>
        </is>
      </c>
      <c r="G411" t="n">
        <v>3.6</v>
      </c>
      <c r="H411" t="n">
        <v>0</v>
      </c>
      <c r="I411" t="n">
        <v>0</v>
      </c>
      <c r="J411" t="n">
        <v>0</v>
      </c>
      <c r="K411" t="n">
        <v>0</v>
      </c>
      <c r="L411" t="n">
        <v>0</v>
      </c>
      <c r="M411" t="n">
        <v>0</v>
      </c>
      <c r="N411" t="n">
        <v>0</v>
      </c>
      <c r="O411" t="n">
        <v>0</v>
      </c>
      <c r="P411" t="n">
        <v>0</v>
      </c>
      <c r="Q411" t="n">
        <v>0</v>
      </c>
      <c r="R411" s="2" t="inlineStr"/>
    </row>
    <row r="412" ht="15" customHeight="1">
      <c r="A412" t="inlineStr">
        <is>
          <t>A 7515-2021</t>
        </is>
      </c>
      <c r="B412" s="1" t="n">
        <v>44238</v>
      </c>
      <c r="C412" s="1" t="n">
        <v>45703</v>
      </c>
      <c r="D412" t="inlineStr">
        <is>
          <t>KALMAR LÄN</t>
        </is>
      </c>
      <c r="E412" t="inlineStr">
        <is>
          <t>VIMMERBY</t>
        </is>
      </c>
      <c r="G412" t="n">
        <v>20.9</v>
      </c>
      <c r="H412" t="n">
        <v>0</v>
      </c>
      <c r="I412" t="n">
        <v>0</v>
      </c>
      <c r="J412" t="n">
        <v>0</v>
      </c>
      <c r="K412" t="n">
        <v>0</v>
      </c>
      <c r="L412" t="n">
        <v>0</v>
      </c>
      <c r="M412" t="n">
        <v>0</v>
      </c>
      <c r="N412" t="n">
        <v>0</v>
      </c>
      <c r="O412" t="n">
        <v>0</v>
      </c>
      <c r="P412" t="n">
        <v>0</v>
      </c>
      <c r="Q412" t="n">
        <v>0</v>
      </c>
      <c r="R412" s="2" t="inlineStr"/>
    </row>
    <row r="413" ht="15" customHeight="1">
      <c r="A413" t="inlineStr">
        <is>
          <t>A 7828-2021</t>
        </is>
      </c>
      <c r="B413" s="1" t="n">
        <v>44242</v>
      </c>
      <c r="C413" s="1" t="n">
        <v>45703</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8121-2021</t>
        </is>
      </c>
      <c r="B414" s="1" t="n">
        <v>44243</v>
      </c>
      <c r="C414" s="1" t="n">
        <v>45703</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8086-2021</t>
        </is>
      </c>
      <c r="B415" s="1" t="n">
        <v>44243</v>
      </c>
      <c r="C415" s="1" t="n">
        <v>45703</v>
      </c>
      <c r="D415" t="inlineStr">
        <is>
          <t>KALMAR LÄN</t>
        </is>
      </c>
      <c r="E415" t="inlineStr">
        <is>
          <t>VIMMERBY</t>
        </is>
      </c>
      <c r="G415" t="n">
        <v>4.1</v>
      </c>
      <c r="H415" t="n">
        <v>0</v>
      </c>
      <c r="I415" t="n">
        <v>0</v>
      </c>
      <c r="J415" t="n">
        <v>0</v>
      </c>
      <c r="K415" t="n">
        <v>0</v>
      </c>
      <c r="L415" t="n">
        <v>0</v>
      </c>
      <c r="M415" t="n">
        <v>0</v>
      </c>
      <c r="N415" t="n">
        <v>0</v>
      </c>
      <c r="O415" t="n">
        <v>0</v>
      </c>
      <c r="P415" t="n">
        <v>0</v>
      </c>
      <c r="Q415" t="n">
        <v>0</v>
      </c>
      <c r="R415" s="2" t="inlineStr"/>
    </row>
    <row r="416" ht="15" customHeight="1">
      <c r="A416" t="inlineStr">
        <is>
          <t>A 8415-2021</t>
        </is>
      </c>
      <c r="B416" s="1" t="n">
        <v>44245</v>
      </c>
      <c r="C416" s="1" t="n">
        <v>45703</v>
      </c>
      <c r="D416" t="inlineStr">
        <is>
          <t>KALMAR LÄN</t>
        </is>
      </c>
      <c r="E416" t="inlineStr">
        <is>
          <t>VIMMERBY</t>
        </is>
      </c>
      <c r="G416" t="n">
        <v>4.7</v>
      </c>
      <c r="H416" t="n">
        <v>0</v>
      </c>
      <c r="I416" t="n">
        <v>0</v>
      </c>
      <c r="J416" t="n">
        <v>0</v>
      </c>
      <c r="K416" t="n">
        <v>0</v>
      </c>
      <c r="L416" t="n">
        <v>0</v>
      </c>
      <c r="M416" t="n">
        <v>0</v>
      </c>
      <c r="N416" t="n">
        <v>0</v>
      </c>
      <c r="O416" t="n">
        <v>0</v>
      </c>
      <c r="P416" t="n">
        <v>0</v>
      </c>
      <c r="Q416" t="n">
        <v>0</v>
      </c>
      <c r="R416" s="2" t="inlineStr"/>
    </row>
    <row r="417" ht="15" customHeight="1">
      <c r="A417" t="inlineStr">
        <is>
          <t>A 9836-2021</t>
        </is>
      </c>
      <c r="B417" s="1" t="n">
        <v>44253</v>
      </c>
      <c r="C417" s="1" t="n">
        <v>45703</v>
      </c>
      <c r="D417" t="inlineStr">
        <is>
          <t>KALMAR LÄN</t>
        </is>
      </c>
      <c r="E417" t="inlineStr">
        <is>
          <t>VIMMERBY</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10674-2021</t>
        </is>
      </c>
      <c r="B418" s="1" t="n">
        <v>44258</v>
      </c>
      <c r="C418" s="1" t="n">
        <v>45703</v>
      </c>
      <c r="D418" t="inlineStr">
        <is>
          <t>KALMAR LÄN</t>
        </is>
      </c>
      <c r="E418" t="inlineStr">
        <is>
          <t>VIMMERBY</t>
        </is>
      </c>
      <c r="G418" t="n">
        <v>8.4</v>
      </c>
      <c r="H418" t="n">
        <v>0</v>
      </c>
      <c r="I418" t="n">
        <v>0</v>
      </c>
      <c r="J418" t="n">
        <v>0</v>
      </c>
      <c r="K418" t="n">
        <v>0</v>
      </c>
      <c r="L418" t="n">
        <v>0</v>
      </c>
      <c r="M418" t="n">
        <v>0</v>
      </c>
      <c r="N418" t="n">
        <v>0</v>
      </c>
      <c r="O418" t="n">
        <v>0</v>
      </c>
      <c r="P418" t="n">
        <v>0</v>
      </c>
      <c r="Q418" t="n">
        <v>0</v>
      </c>
      <c r="R418" s="2" t="inlineStr"/>
    </row>
    <row r="419" ht="15" customHeight="1">
      <c r="A419" t="inlineStr">
        <is>
          <t>A 10518-2021</t>
        </is>
      </c>
      <c r="B419" s="1" t="n">
        <v>44258</v>
      </c>
      <c r="C419" s="1" t="n">
        <v>45703</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10744-2021</t>
        </is>
      </c>
      <c r="B420" s="1" t="n">
        <v>44259</v>
      </c>
      <c r="C420" s="1" t="n">
        <v>45703</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10928-2021</t>
        </is>
      </c>
      <c r="B421" s="1" t="n">
        <v>44259</v>
      </c>
      <c r="C421" s="1" t="n">
        <v>45703</v>
      </c>
      <c r="D421" t="inlineStr">
        <is>
          <t>KALMAR LÄN</t>
        </is>
      </c>
      <c r="E421" t="inlineStr">
        <is>
          <t>VIMMERBY</t>
        </is>
      </c>
      <c r="G421" t="n">
        <v>2.5</v>
      </c>
      <c r="H421" t="n">
        <v>0</v>
      </c>
      <c r="I421" t="n">
        <v>0</v>
      </c>
      <c r="J421" t="n">
        <v>0</v>
      </c>
      <c r="K421" t="n">
        <v>0</v>
      </c>
      <c r="L421" t="n">
        <v>0</v>
      </c>
      <c r="M421" t="n">
        <v>0</v>
      </c>
      <c r="N421" t="n">
        <v>0</v>
      </c>
      <c r="O421" t="n">
        <v>0</v>
      </c>
      <c r="P421" t="n">
        <v>0</v>
      </c>
      <c r="Q421" t="n">
        <v>0</v>
      </c>
      <c r="R421" s="2" t="inlineStr"/>
    </row>
    <row r="422" ht="15" customHeight="1">
      <c r="A422" t="inlineStr">
        <is>
          <t>A 11011-2021</t>
        </is>
      </c>
      <c r="B422" s="1" t="n">
        <v>44260</v>
      </c>
      <c r="C422" s="1" t="n">
        <v>45703</v>
      </c>
      <c r="D422" t="inlineStr">
        <is>
          <t>KALMAR LÄN</t>
        </is>
      </c>
      <c r="E422" t="inlineStr">
        <is>
          <t>VIMMERBY</t>
        </is>
      </c>
      <c r="G422" t="n">
        <v>1.7</v>
      </c>
      <c r="H422" t="n">
        <v>0</v>
      </c>
      <c r="I422" t="n">
        <v>0</v>
      </c>
      <c r="J422" t="n">
        <v>0</v>
      </c>
      <c r="K422" t="n">
        <v>0</v>
      </c>
      <c r="L422" t="n">
        <v>0</v>
      </c>
      <c r="M422" t="n">
        <v>0</v>
      </c>
      <c r="N422" t="n">
        <v>0</v>
      </c>
      <c r="O422" t="n">
        <v>0</v>
      </c>
      <c r="P422" t="n">
        <v>0</v>
      </c>
      <c r="Q422" t="n">
        <v>0</v>
      </c>
      <c r="R422" s="2" t="inlineStr"/>
    </row>
    <row r="423" ht="15" customHeight="1">
      <c r="A423" t="inlineStr">
        <is>
          <t>A 12241-2021</t>
        </is>
      </c>
      <c r="B423" s="1" t="n">
        <v>44266</v>
      </c>
      <c r="C423" s="1" t="n">
        <v>45703</v>
      </c>
      <c r="D423" t="inlineStr">
        <is>
          <t>KALMAR LÄN</t>
        </is>
      </c>
      <c r="E423" t="inlineStr">
        <is>
          <t>VIMMERBY</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12465-2021</t>
        </is>
      </c>
      <c r="B424" s="1" t="n">
        <v>44267</v>
      </c>
      <c r="C424" s="1" t="n">
        <v>45703</v>
      </c>
      <c r="D424" t="inlineStr">
        <is>
          <t>KALMAR LÄN</t>
        </is>
      </c>
      <c r="E424" t="inlineStr">
        <is>
          <t>VIMMERBY</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12467-2021</t>
        </is>
      </c>
      <c r="B425" s="1" t="n">
        <v>44267</v>
      </c>
      <c r="C425" s="1" t="n">
        <v>45703</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12586-2021</t>
        </is>
      </c>
      <c r="B426" s="1" t="n">
        <v>44270</v>
      </c>
      <c r="C426" s="1" t="n">
        <v>45703</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12661-2021</t>
        </is>
      </c>
      <c r="B427" s="1" t="n">
        <v>44270</v>
      </c>
      <c r="C427" s="1" t="n">
        <v>45703</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12757-2021</t>
        </is>
      </c>
      <c r="B428" s="1" t="n">
        <v>44270</v>
      </c>
      <c r="C428" s="1" t="n">
        <v>45703</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12585-2021</t>
        </is>
      </c>
      <c r="B429" s="1" t="n">
        <v>44270</v>
      </c>
      <c r="C429" s="1" t="n">
        <v>45703</v>
      </c>
      <c r="D429" t="inlineStr">
        <is>
          <t>KALMAR LÄN</t>
        </is>
      </c>
      <c r="E429" t="inlineStr">
        <is>
          <t>VIMMERBY</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12597-2021</t>
        </is>
      </c>
      <c r="B430" s="1" t="n">
        <v>44270</v>
      </c>
      <c r="C430" s="1" t="n">
        <v>45703</v>
      </c>
      <c r="D430" t="inlineStr">
        <is>
          <t>KALMAR LÄN</t>
        </is>
      </c>
      <c r="E430" t="inlineStr">
        <is>
          <t>VIMMERBY</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12582-2021</t>
        </is>
      </c>
      <c r="B431" s="1" t="n">
        <v>44270</v>
      </c>
      <c r="C431" s="1" t="n">
        <v>45703</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12596-2021</t>
        </is>
      </c>
      <c r="B432" s="1" t="n">
        <v>44270</v>
      </c>
      <c r="C432" s="1" t="n">
        <v>45703</v>
      </c>
      <c r="D432" t="inlineStr">
        <is>
          <t>KALMAR LÄN</t>
        </is>
      </c>
      <c r="E432" t="inlineStr">
        <is>
          <t>VIMMERBY</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12587-2021</t>
        </is>
      </c>
      <c r="B433" s="1" t="n">
        <v>44270</v>
      </c>
      <c r="C433" s="1" t="n">
        <v>45703</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12595-2021</t>
        </is>
      </c>
      <c r="B434" s="1" t="n">
        <v>44270</v>
      </c>
      <c r="C434" s="1" t="n">
        <v>45703</v>
      </c>
      <c r="D434" t="inlineStr">
        <is>
          <t>KALMAR LÄN</t>
        </is>
      </c>
      <c r="E434" t="inlineStr">
        <is>
          <t>VIMMERBY</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12662-2021</t>
        </is>
      </c>
      <c r="B435" s="1" t="n">
        <v>44270</v>
      </c>
      <c r="C435" s="1" t="n">
        <v>45703</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12848-2021</t>
        </is>
      </c>
      <c r="B436" s="1" t="n">
        <v>44271</v>
      </c>
      <c r="C436" s="1" t="n">
        <v>45703</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13457-2021</t>
        </is>
      </c>
      <c r="B437" s="1" t="n">
        <v>44273</v>
      </c>
      <c r="C437" s="1" t="n">
        <v>45703</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13492-2021</t>
        </is>
      </c>
      <c r="B438" s="1" t="n">
        <v>44273</v>
      </c>
      <c r="C438" s="1" t="n">
        <v>45703</v>
      </c>
      <c r="D438" t="inlineStr">
        <is>
          <t>KALMAR LÄN</t>
        </is>
      </c>
      <c r="E438" t="inlineStr">
        <is>
          <t>VIMMERBY</t>
        </is>
      </c>
      <c r="G438" t="n">
        <v>3.1</v>
      </c>
      <c r="H438" t="n">
        <v>0</v>
      </c>
      <c r="I438" t="n">
        <v>0</v>
      </c>
      <c r="J438" t="n">
        <v>0</v>
      </c>
      <c r="K438" t="n">
        <v>0</v>
      </c>
      <c r="L438" t="n">
        <v>0</v>
      </c>
      <c r="M438" t="n">
        <v>0</v>
      </c>
      <c r="N438" t="n">
        <v>0</v>
      </c>
      <c r="O438" t="n">
        <v>0</v>
      </c>
      <c r="P438" t="n">
        <v>0</v>
      </c>
      <c r="Q438" t="n">
        <v>0</v>
      </c>
      <c r="R438" s="2" t="inlineStr"/>
    </row>
    <row r="439" ht="15" customHeight="1">
      <c r="A439" t="inlineStr">
        <is>
          <t>A 14220-2021</t>
        </is>
      </c>
      <c r="B439" s="1" t="n">
        <v>44278</v>
      </c>
      <c r="C439" s="1" t="n">
        <v>45703</v>
      </c>
      <c r="D439" t="inlineStr">
        <is>
          <t>KALMAR LÄN</t>
        </is>
      </c>
      <c r="E439" t="inlineStr">
        <is>
          <t>VIMMERBY</t>
        </is>
      </c>
      <c r="G439" t="n">
        <v>0.3</v>
      </c>
      <c r="H439" t="n">
        <v>0</v>
      </c>
      <c r="I439" t="n">
        <v>0</v>
      </c>
      <c r="J439" t="n">
        <v>0</v>
      </c>
      <c r="K439" t="n">
        <v>0</v>
      </c>
      <c r="L439" t="n">
        <v>0</v>
      </c>
      <c r="M439" t="n">
        <v>0</v>
      </c>
      <c r="N439" t="n">
        <v>0</v>
      </c>
      <c r="O439" t="n">
        <v>0</v>
      </c>
      <c r="P439" t="n">
        <v>0</v>
      </c>
      <c r="Q439" t="n">
        <v>0</v>
      </c>
      <c r="R439" s="2" t="inlineStr"/>
    </row>
    <row r="440" ht="15" customHeight="1">
      <c r="A440" t="inlineStr">
        <is>
          <t>A 14278-2021</t>
        </is>
      </c>
      <c r="B440" s="1" t="n">
        <v>44278</v>
      </c>
      <c r="C440" s="1" t="n">
        <v>45703</v>
      </c>
      <c r="D440" t="inlineStr">
        <is>
          <t>KALMAR LÄN</t>
        </is>
      </c>
      <c r="E440" t="inlineStr">
        <is>
          <t>VIMMERBY</t>
        </is>
      </c>
      <c r="F440" t="inlineStr">
        <is>
          <t>Övriga statliga verk och myndigheter</t>
        </is>
      </c>
      <c r="G440" t="n">
        <v>0.8</v>
      </c>
      <c r="H440" t="n">
        <v>0</v>
      </c>
      <c r="I440" t="n">
        <v>0</v>
      </c>
      <c r="J440" t="n">
        <v>0</v>
      </c>
      <c r="K440" t="n">
        <v>0</v>
      </c>
      <c r="L440" t="n">
        <v>0</v>
      </c>
      <c r="M440" t="n">
        <v>0</v>
      </c>
      <c r="N440" t="n">
        <v>0</v>
      </c>
      <c r="O440" t="n">
        <v>0</v>
      </c>
      <c r="P440" t="n">
        <v>0</v>
      </c>
      <c r="Q440" t="n">
        <v>0</v>
      </c>
      <c r="R440" s="2" t="inlineStr"/>
    </row>
    <row r="441" ht="15" customHeight="1">
      <c r="A441" t="inlineStr">
        <is>
          <t>A 14347-2021</t>
        </is>
      </c>
      <c r="B441" s="1" t="n">
        <v>44279</v>
      </c>
      <c r="C441" s="1" t="n">
        <v>45703</v>
      </c>
      <c r="D441" t="inlineStr">
        <is>
          <t>KALMAR LÄN</t>
        </is>
      </c>
      <c r="E441" t="inlineStr">
        <is>
          <t>VIMMERBY</t>
        </is>
      </c>
      <c r="G441" t="n">
        <v>6.4</v>
      </c>
      <c r="H441" t="n">
        <v>0</v>
      </c>
      <c r="I441" t="n">
        <v>0</v>
      </c>
      <c r="J441" t="n">
        <v>0</v>
      </c>
      <c r="K441" t="n">
        <v>0</v>
      </c>
      <c r="L441" t="n">
        <v>0</v>
      </c>
      <c r="M441" t="n">
        <v>0</v>
      </c>
      <c r="N441" t="n">
        <v>0</v>
      </c>
      <c r="O441" t="n">
        <v>0</v>
      </c>
      <c r="P441" t="n">
        <v>0</v>
      </c>
      <c r="Q441" t="n">
        <v>0</v>
      </c>
      <c r="R441" s="2" t="inlineStr"/>
    </row>
    <row r="442" ht="15" customHeight="1">
      <c r="A442" t="inlineStr">
        <is>
          <t>A 14451-2021</t>
        </is>
      </c>
      <c r="B442" s="1" t="n">
        <v>44279</v>
      </c>
      <c r="C442" s="1" t="n">
        <v>45703</v>
      </c>
      <c r="D442" t="inlineStr">
        <is>
          <t>KALMAR LÄN</t>
        </is>
      </c>
      <c r="E442" t="inlineStr">
        <is>
          <t>VIMMERBY</t>
        </is>
      </c>
      <c r="F442" t="inlineStr">
        <is>
          <t>Sveaskog</t>
        </is>
      </c>
      <c r="G442" t="n">
        <v>9.4</v>
      </c>
      <c r="H442" t="n">
        <v>0</v>
      </c>
      <c r="I442" t="n">
        <v>0</v>
      </c>
      <c r="J442" t="n">
        <v>0</v>
      </c>
      <c r="K442" t="n">
        <v>0</v>
      </c>
      <c r="L442" t="n">
        <v>0</v>
      </c>
      <c r="M442" t="n">
        <v>0</v>
      </c>
      <c r="N442" t="n">
        <v>0</v>
      </c>
      <c r="O442" t="n">
        <v>0</v>
      </c>
      <c r="P442" t="n">
        <v>0</v>
      </c>
      <c r="Q442" t="n">
        <v>0</v>
      </c>
      <c r="R442" s="2" t="inlineStr"/>
    </row>
    <row r="443" ht="15" customHeight="1">
      <c r="A443" t="inlineStr">
        <is>
          <t>A 14521-2021</t>
        </is>
      </c>
      <c r="B443" s="1" t="n">
        <v>44279</v>
      </c>
      <c r="C443" s="1" t="n">
        <v>45703</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15092-2021</t>
        </is>
      </c>
      <c r="B444" s="1" t="n">
        <v>44281</v>
      </c>
      <c r="C444" s="1" t="n">
        <v>45703</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15188-2021</t>
        </is>
      </c>
      <c r="B445" s="1" t="n">
        <v>44284</v>
      </c>
      <c r="C445" s="1" t="n">
        <v>45703</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15191-2021</t>
        </is>
      </c>
      <c r="B446" s="1" t="n">
        <v>44284</v>
      </c>
      <c r="C446" s="1" t="n">
        <v>45703</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15200-2021</t>
        </is>
      </c>
      <c r="B447" s="1" t="n">
        <v>44284</v>
      </c>
      <c r="C447" s="1" t="n">
        <v>45703</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15903-2021</t>
        </is>
      </c>
      <c r="B448" s="1" t="n">
        <v>44287</v>
      </c>
      <c r="C448" s="1" t="n">
        <v>45703</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16288-2021</t>
        </is>
      </c>
      <c r="B449" s="1" t="n">
        <v>44292</v>
      </c>
      <c r="C449" s="1" t="n">
        <v>45703</v>
      </c>
      <c r="D449" t="inlineStr">
        <is>
          <t>KALMAR LÄN</t>
        </is>
      </c>
      <c r="E449" t="inlineStr">
        <is>
          <t>VIMMERBY</t>
        </is>
      </c>
      <c r="F449" t="inlineStr">
        <is>
          <t>Övriga Aktiebolag</t>
        </is>
      </c>
      <c r="G449" t="n">
        <v>27.6</v>
      </c>
      <c r="H449" t="n">
        <v>0</v>
      </c>
      <c r="I449" t="n">
        <v>0</v>
      </c>
      <c r="J449" t="n">
        <v>0</v>
      </c>
      <c r="K449" t="n">
        <v>0</v>
      </c>
      <c r="L449" t="n">
        <v>0</v>
      </c>
      <c r="M449" t="n">
        <v>0</v>
      </c>
      <c r="N449" t="n">
        <v>0</v>
      </c>
      <c r="O449" t="n">
        <v>0</v>
      </c>
      <c r="P449" t="n">
        <v>0</v>
      </c>
      <c r="Q449" t="n">
        <v>0</v>
      </c>
      <c r="R449" s="2" t="inlineStr"/>
    </row>
    <row r="450" ht="15" customHeight="1">
      <c r="A450" t="inlineStr">
        <is>
          <t>A 16602-2021</t>
        </is>
      </c>
      <c r="B450" s="1" t="n">
        <v>44294</v>
      </c>
      <c r="C450" s="1" t="n">
        <v>45703</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16607-2021</t>
        </is>
      </c>
      <c r="B451" s="1" t="n">
        <v>44294</v>
      </c>
      <c r="C451" s="1" t="n">
        <v>45703</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17869-2021</t>
        </is>
      </c>
      <c r="B452" s="1" t="n">
        <v>44301</v>
      </c>
      <c r="C452" s="1" t="n">
        <v>45703</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18411-2021</t>
        </is>
      </c>
      <c r="B453" s="1" t="n">
        <v>44302</v>
      </c>
      <c r="C453" s="1" t="n">
        <v>45703</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18276-2021</t>
        </is>
      </c>
      <c r="B454" s="1" t="n">
        <v>44305</v>
      </c>
      <c r="C454" s="1" t="n">
        <v>45703</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18356-2021</t>
        </is>
      </c>
      <c r="B455" s="1" t="n">
        <v>44305</v>
      </c>
      <c r="C455" s="1" t="n">
        <v>45703</v>
      </c>
      <c r="D455" t="inlineStr">
        <is>
          <t>KALMAR LÄN</t>
        </is>
      </c>
      <c r="E455" t="inlineStr">
        <is>
          <t>VIMMERBY</t>
        </is>
      </c>
      <c r="G455" t="n">
        <v>3.4</v>
      </c>
      <c r="H455" t="n">
        <v>0</v>
      </c>
      <c r="I455" t="n">
        <v>0</v>
      </c>
      <c r="J455" t="n">
        <v>0</v>
      </c>
      <c r="K455" t="n">
        <v>0</v>
      </c>
      <c r="L455" t="n">
        <v>0</v>
      </c>
      <c r="M455" t="n">
        <v>0</v>
      </c>
      <c r="N455" t="n">
        <v>0</v>
      </c>
      <c r="O455" t="n">
        <v>0</v>
      </c>
      <c r="P455" t="n">
        <v>0</v>
      </c>
      <c r="Q455" t="n">
        <v>0</v>
      </c>
      <c r="R455" s="2" t="inlineStr"/>
    </row>
    <row r="456" ht="15" customHeight="1">
      <c r="A456" t="inlineStr">
        <is>
          <t>A 18756-2021</t>
        </is>
      </c>
      <c r="B456" s="1" t="n">
        <v>44307</v>
      </c>
      <c r="C456" s="1" t="n">
        <v>45703</v>
      </c>
      <c r="D456" t="inlineStr">
        <is>
          <t>KALMAR LÄN</t>
        </is>
      </c>
      <c r="E456" t="inlineStr">
        <is>
          <t>VIMMERBY</t>
        </is>
      </c>
      <c r="G456" t="n">
        <v>7.4</v>
      </c>
      <c r="H456" t="n">
        <v>0</v>
      </c>
      <c r="I456" t="n">
        <v>0</v>
      </c>
      <c r="J456" t="n">
        <v>0</v>
      </c>
      <c r="K456" t="n">
        <v>0</v>
      </c>
      <c r="L456" t="n">
        <v>0</v>
      </c>
      <c r="M456" t="n">
        <v>0</v>
      </c>
      <c r="N456" t="n">
        <v>0</v>
      </c>
      <c r="O456" t="n">
        <v>0</v>
      </c>
      <c r="P456" t="n">
        <v>0</v>
      </c>
      <c r="Q456" t="n">
        <v>0</v>
      </c>
      <c r="R456" s="2" t="inlineStr"/>
    </row>
    <row r="457" ht="15" customHeight="1">
      <c r="A457" t="inlineStr">
        <is>
          <t>A 19445-2021</t>
        </is>
      </c>
      <c r="B457" s="1" t="n">
        <v>44310</v>
      </c>
      <c r="C457" s="1" t="n">
        <v>45703</v>
      </c>
      <c r="D457" t="inlineStr">
        <is>
          <t>KALMAR LÄN</t>
        </is>
      </c>
      <c r="E457" t="inlineStr">
        <is>
          <t>VIMMERBY</t>
        </is>
      </c>
      <c r="G457" t="n">
        <v>6.8</v>
      </c>
      <c r="H457" t="n">
        <v>0</v>
      </c>
      <c r="I457" t="n">
        <v>0</v>
      </c>
      <c r="J457" t="n">
        <v>0</v>
      </c>
      <c r="K457" t="n">
        <v>0</v>
      </c>
      <c r="L457" t="n">
        <v>0</v>
      </c>
      <c r="M457" t="n">
        <v>0</v>
      </c>
      <c r="N457" t="n">
        <v>0</v>
      </c>
      <c r="O457" t="n">
        <v>0</v>
      </c>
      <c r="P457" t="n">
        <v>0</v>
      </c>
      <c r="Q457" t="n">
        <v>0</v>
      </c>
      <c r="R457" s="2" t="inlineStr"/>
    </row>
    <row r="458" ht="15" customHeight="1">
      <c r="A458" t="inlineStr">
        <is>
          <t>A 19863-2021</t>
        </is>
      </c>
      <c r="B458" s="1" t="n">
        <v>44312</v>
      </c>
      <c r="C458" s="1" t="n">
        <v>45703</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19865-2021</t>
        </is>
      </c>
      <c r="B459" s="1" t="n">
        <v>44312</v>
      </c>
      <c r="C459" s="1" t="n">
        <v>45703</v>
      </c>
      <c r="D459" t="inlineStr">
        <is>
          <t>KALMAR LÄN</t>
        </is>
      </c>
      <c r="E459" t="inlineStr">
        <is>
          <t>VIMMERBY</t>
        </is>
      </c>
      <c r="G459" t="n">
        <v>8.6</v>
      </c>
      <c r="H459" t="n">
        <v>0</v>
      </c>
      <c r="I459" t="n">
        <v>0</v>
      </c>
      <c r="J459" t="n">
        <v>0</v>
      </c>
      <c r="K459" t="n">
        <v>0</v>
      </c>
      <c r="L459" t="n">
        <v>0</v>
      </c>
      <c r="M459" t="n">
        <v>0</v>
      </c>
      <c r="N459" t="n">
        <v>0</v>
      </c>
      <c r="O459" t="n">
        <v>0</v>
      </c>
      <c r="P459" t="n">
        <v>0</v>
      </c>
      <c r="Q459" t="n">
        <v>0</v>
      </c>
      <c r="R459" s="2" t="inlineStr"/>
    </row>
    <row r="460" ht="15" customHeight="1">
      <c r="A460" t="inlineStr">
        <is>
          <t>A 22637-2021</t>
        </is>
      </c>
      <c r="B460" s="1" t="n">
        <v>44327</v>
      </c>
      <c r="C460" s="1" t="n">
        <v>45703</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24369-2021</t>
        </is>
      </c>
      <c r="B461" s="1" t="n">
        <v>44337</v>
      </c>
      <c r="C461" s="1" t="n">
        <v>45703</v>
      </c>
      <c r="D461" t="inlineStr">
        <is>
          <t>KALMAR LÄN</t>
        </is>
      </c>
      <c r="E461" t="inlineStr">
        <is>
          <t>VIMMERBY</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24655-2021</t>
        </is>
      </c>
      <c r="B462" s="1" t="n">
        <v>44340</v>
      </c>
      <c r="C462" s="1" t="n">
        <v>45703</v>
      </c>
      <c r="D462" t="inlineStr">
        <is>
          <t>KALMAR LÄN</t>
        </is>
      </c>
      <c r="E462" t="inlineStr">
        <is>
          <t>VIMMERBY</t>
        </is>
      </c>
      <c r="G462" t="n">
        <v>14.9</v>
      </c>
      <c r="H462" t="n">
        <v>0</v>
      </c>
      <c r="I462" t="n">
        <v>0</v>
      </c>
      <c r="J462" t="n">
        <v>0</v>
      </c>
      <c r="K462" t="n">
        <v>0</v>
      </c>
      <c r="L462" t="n">
        <v>0</v>
      </c>
      <c r="M462" t="n">
        <v>0</v>
      </c>
      <c r="N462" t="n">
        <v>0</v>
      </c>
      <c r="O462" t="n">
        <v>0</v>
      </c>
      <c r="P462" t="n">
        <v>0</v>
      </c>
      <c r="Q462" t="n">
        <v>0</v>
      </c>
      <c r="R462" s="2" t="inlineStr"/>
    </row>
    <row r="463" ht="15" customHeight="1">
      <c r="A463" t="inlineStr">
        <is>
          <t>A 24752-2021</t>
        </is>
      </c>
      <c r="B463" s="1" t="n">
        <v>44340</v>
      </c>
      <c r="C463" s="1" t="n">
        <v>45703</v>
      </c>
      <c r="D463" t="inlineStr">
        <is>
          <t>KALMAR LÄN</t>
        </is>
      </c>
      <c r="E463" t="inlineStr">
        <is>
          <t>VIMMERBY</t>
        </is>
      </c>
      <c r="G463" t="n">
        <v>4.1</v>
      </c>
      <c r="H463" t="n">
        <v>0</v>
      </c>
      <c r="I463" t="n">
        <v>0</v>
      </c>
      <c r="J463" t="n">
        <v>0</v>
      </c>
      <c r="K463" t="n">
        <v>0</v>
      </c>
      <c r="L463" t="n">
        <v>0</v>
      </c>
      <c r="M463" t="n">
        <v>0</v>
      </c>
      <c r="N463" t="n">
        <v>0</v>
      </c>
      <c r="O463" t="n">
        <v>0</v>
      </c>
      <c r="P463" t="n">
        <v>0</v>
      </c>
      <c r="Q463" t="n">
        <v>0</v>
      </c>
      <c r="R463" s="2" t="inlineStr"/>
    </row>
    <row r="464" ht="15" customHeight="1">
      <c r="A464" t="inlineStr">
        <is>
          <t>A 24738-2021</t>
        </is>
      </c>
      <c r="B464" s="1" t="n">
        <v>44340</v>
      </c>
      <c r="C464" s="1" t="n">
        <v>45703</v>
      </c>
      <c r="D464" t="inlineStr">
        <is>
          <t>KALMAR LÄN</t>
        </is>
      </c>
      <c r="E464" t="inlineStr">
        <is>
          <t>VIMMERBY</t>
        </is>
      </c>
      <c r="G464" t="n">
        <v>3.5</v>
      </c>
      <c r="H464" t="n">
        <v>0</v>
      </c>
      <c r="I464" t="n">
        <v>0</v>
      </c>
      <c r="J464" t="n">
        <v>0</v>
      </c>
      <c r="K464" t="n">
        <v>0</v>
      </c>
      <c r="L464" t="n">
        <v>0</v>
      </c>
      <c r="M464" t="n">
        <v>0</v>
      </c>
      <c r="N464" t="n">
        <v>0</v>
      </c>
      <c r="O464" t="n">
        <v>0</v>
      </c>
      <c r="P464" t="n">
        <v>0</v>
      </c>
      <c r="Q464" t="n">
        <v>0</v>
      </c>
      <c r="R464" s="2" t="inlineStr"/>
    </row>
    <row r="465" ht="15" customHeight="1">
      <c r="A465" t="inlineStr">
        <is>
          <t>A 24723-2021</t>
        </is>
      </c>
      <c r="B465" s="1" t="n">
        <v>44340</v>
      </c>
      <c r="C465" s="1" t="n">
        <v>45703</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24999-2021</t>
        </is>
      </c>
      <c r="B466" s="1" t="n">
        <v>44341</v>
      </c>
      <c r="C466" s="1" t="n">
        <v>45703</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27100-2021</t>
        </is>
      </c>
      <c r="B467" s="1" t="n">
        <v>44350</v>
      </c>
      <c r="C467" s="1" t="n">
        <v>45703</v>
      </c>
      <c r="D467" t="inlineStr">
        <is>
          <t>KALMAR LÄN</t>
        </is>
      </c>
      <c r="E467" t="inlineStr">
        <is>
          <t>VIMMERBY</t>
        </is>
      </c>
      <c r="G467" t="n">
        <v>9.6</v>
      </c>
      <c r="H467" t="n">
        <v>0</v>
      </c>
      <c r="I467" t="n">
        <v>0</v>
      </c>
      <c r="J467" t="n">
        <v>0</v>
      </c>
      <c r="K467" t="n">
        <v>0</v>
      </c>
      <c r="L467" t="n">
        <v>0</v>
      </c>
      <c r="M467" t="n">
        <v>0</v>
      </c>
      <c r="N467" t="n">
        <v>0</v>
      </c>
      <c r="O467" t="n">
        <v>0</v>
      </c>
      <c r="P467" t="n">
        <v>0</v>
      </c>
      <c r="Q467" t="n">
        <v>0</v>
      </c>
      <c r="R467" s="2" t="inlineStr"/>
    </row>
    <row r="468" ht="15" customHeight="1">
      <c r="A468" t="inlineStr">
        <is>
          <t>A 27086-2021</t>
        </is>
      </c>
      <c r="B468" s="1" t="n">
        <v>44350</v>
      </c>
      <c r="C468" s="1" t="n">
        <v>45703</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27759-2021</t>
        </is>
      </c>
      <c r="B469" s="1" t="n">
        <v>44354</v>
      </c>
      <c r="C469" s="1" t="n">
        <v>45703</v>
      </c>
      <c r="D469" t="inlineStr">
        <is>
          <t>KALMAR LÄN</t>
        </is>
      </c>
      <c r="E469" t="inlineStr">
        <is>
          <t>VIMMERBY</t>
        </is>
      </c>
      <c r="G469" t="n">
        <v>4.6</v>
      </c>
      <c r="H469" t="n">
        <v>0</v>
      </c>
      <c r="I469" t="n">
        <v>0</v>
      </c>
      <c r="J469" t="n">
        <v>0</v>
      </c>
      <c r="K469" t="n">
        <v>0</v>
      </c>
      <c r="L469" t="n">
        <v>0</v>
      </c>
      <c r="M469" t="n">
        <v>0</v>
      </c>
      <c r="N469" t="n">
        <v>0</v>
      </c>
      <c r="O469" t="n">
        <v>0</v>
      </c>
      <c r="P469" t="n">
        <v>0</v>
      </c>
      <c r="Q469" t="n">
        <v>0</v>
      </c>
      <c r="R469" s="2" t="inlineStr"/>
    </row>
    <row r="470" ht="15" customHeight="1">
      <c r="A470" t="inlineStr">
        <is>
          <t>A 27762-2021</t>
        </is>
      </c>
      <c r="B470" s="1" t="n">
        <v>44354</v>
      </c>
      <c r="C470" s="1" t="n">
        <v>45703</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30682-2021</t>
        </is>
      </c>
      <c r="B471" s="1" t="n">
        <v>44365</v>
      </c>
      <c r="C471" s="1" t="n">
        <v>45703</v>
      </c>
      <c r="D471" t="inlineStr">
        <is>
          <t>KALMAR LÄN</t>
        </is>
      </c>
      <c r="E471" t="inlineStr">
        <is>
          <t>VIMMERBY</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31660-2021</t>
        </is>
      </c>
      <c r="B472" s="1" t="n">
        <v>44369</v>
      </c>
      <c r="C472" s="1" t="n">
        <v>45703</v>
      </c>
      <c r="D472" t="inlineStr">
        <is>
          <t>KALMAR LÄN</t>
        </is>
      </c>
      <c r="E472" t="inlineStr">
        <is>
          <t>VIMMERBY</t>
        </is>
      </c>
      <c r="G472" t="n">
        <v>4.2</v>
      </c>
      <c r="H472" t="n">
        <v>0</v>
      </c>
      <c r="I472" t="n">
        <v>0</v>
      </c>
      <c r="J472" t="n">
        <v>0</v>
      </c>
      <c r="K472" t="n">
        <v>0</v>
      </c>
      <c r="L472" t="n">
        <v>0</v>
      </c>
      <c r="M472" t="n">
        <v>0</v>
      </c>
      <c r="N472" t="n">
        <v>0</v>
      </c>
      <c r="O472" t="n">
        <v>0</v>
      </c>
      <c r="P472" t="n">
        <v>0</v>
      </c>
      <c r="Q472" t="n">
        <v>0</v>
      </c>
      <c r="R472" s="2" t="inlineStr"/>
    </row>
    <row r="473" ht="15" customHeight="1">
      <c r="A473" t="inlineStr">
        <is>
          <t>A 32386-2021</t>
        </is>
      </c>
      <c r="B473" s="1" t="n">
        <v>44371</v>
      </c>
      <c r="C473" s="1" t="n">
        <v>45703</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32607-2021</t>
        </is>
      </c>
      <c r="B474" s="1" t="n">
        <v>44375</v>
      </c>
      <c r="C474" s="1" t="n">
        <v>45703</v>
      </c>
      <c r="D474" t="inlineStr">
        <is>
          <t>KALMAR LÄN</t>
        </is>
      </c>
      <c r="E474" t="inlineStr">
        <is>
          <t>VIMMERBY</t>
        </is>
      </c>
      <c r="G474" t="n">
        <v>0.4</v>
      </c>
      <c r="H474" t="n">
        <v>0</v>
      </c>
      <c r="I474" t="n">
        <v>0</v>
      </c>
      <c r="J474" t="n">
        <v>0</v>
      </c>
      <c r="K474" t="n">
        <v>0</v>
      </c>
      <c r="L474" t="n">
        <v>0</v>
      </c>
      <c r="M474" t="n">
        <v>0</v>
      </c>
      <c r="N474" t="n">
        <v>0</v>
      </c>
      <c r="O474" t="n">
        <v>0</v>
      </c>
      <c r="P474" t="n">
        <v>0</v>
      </c>
      <c r="Q474" t="n">
        <v>0</v>
      </c>
      <c r="R474" s="2" t="inlineStr"/>
    </row>
    <row r="475" ht="15" customHeight="1">
      <c r="A475" t="inlineStr">
        <is>
          <t>A 32603-2021</t>
        </is>
      </c>
      <c r="B475" s="1" t="n">
        <v>44375</v>
      </c>
      <c r="C475" s="1" t="n">
        <v>45703</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33359-2021</t>
        </is>
      </c>
      <c r="B476" s="1" t="n">
        <v>44377</v>
      </c>
      <c r="C476" s="1" t="n">
        <v>45703</v>
      </c>
      <c r="D476" t="inlineStr">
        <is>
          <t>KALMAR LÄN</t>
        </is>
      </c>
      <c r="E476" t="inlineStr">
        <is>
          <t>VIMMERBY</t>
        </is>
      </c>
      <c r="F476" t="inlineStr">
        <is>
          <t>Kommuner</t>
        </is>
      </c>
      <c r="G476" t="n">
        <v>8</v>
      </c>
      <c r="H476" t="n">
        <v>0</v>
      </c>
      <c r="I476" t="n">
        <v>0</v>
      </c>
      <c r="J476" t="n">
        <v>0</v>
      </c>
      <c r="K476" t="n">
        <v>0</v>
      </c>
      <c r="L476" t="n">
        <v>0</v>
      </c>
      <c r="M476" t="n">
        <v>0</v>
      </c>
      <c r="N476" t="n">
        <v>0</v>
      </c>
      <c r="O476" t="n">
        <v>0</v>
      </c>
      <c r="P476" t="n">
        <v>0</v>
      </c>
      <c r="Q476" t="n">
        <v>0</v>
      </c>
      <c r="R476" s="2" t="inlineStr"/>
    </row>
    <row r="477" ht="15" customHeight="1">
      <c r="A477" t="inlineStr">
        <is>
          <t>A 33374-2021</t>
        </is>
      </c>
      <c r="B477" s="1" t="n">
        <v>44377</v>
      </c>
      <c r="C477" s="1" t="n">
        <v>45703</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33446-2021</t>
        </is>
      </c>
      <c r="B478" s="1" t="n">
        <v>44377</v>
      </c>
      <c r="C478" s="1" t="n">
        <v>45703</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35198-2021</t>
        </is>
      </c>
      <c r="B479" s="1" t="n">
        <v>44377</v>
      </c>
      <c r="C479" s="1" t="n">
        <v>45703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34040-2021</t>
        </is>
      </c>
      <c r="B480" s="1" t="n">
        <v>44379</v>
      </c>
      <c r="C480" s="1" t="n">
        <v>45703</v>
      </c>
      <c r="D480" t="inlineStr">
        <is>
          <t>KALMAR LÄN</t>
        </is>
      </c>
      <c r="E480" t="inlineStr">
        <is>
          <t>VIMMERBY</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34036-2021</t>
        </is>
      </c>
      <c r="B481" s="1" t="n">
        <v>44379</v>
      </c>
      <c r="C481" s="1" t="n">
        <v>45703</v>
      </c>
      <c r="D481" t="inlineStr">
        <is>
          <t>KALMAR LÄN</t>
        </is>
      </c>
      <c r="E481" t="inlineStr">
        <is>
          <t>VIMMERBY</t>
        </is>
      </c>
      <c r="F481" t="inlineStr">
        <is>
          <t>Sveaskog</t>
        </is>
      </c>
      <c r="G481" t="n">
        <v>7</v>
      </c>
      <c r="H481" t="n">
        <v>0</v>
      </c>
      <c r="I481" t="n">
        <v>0</v>
      </c>
      <c r="J481" t="n">
        <v>0</v>
      </c>
      <c r="K481" t="n">
        <v>0</v>
      </c>
      <c r="L481" t="n">
        <v>0</v>
      </c>
      <c r="M481" t="n">
        <v>0</v>
      </c>
      <c r="N481" t="n">
        <v>0</v>
      </c>
      <c r="O481" t="n">
        <v>0</v>
      </c>
      <c r="P481" t="n">
        <v>0</v>
      </c>
      <c r="Q481" t="n">
        <v>0</v>
      </c>
      <c r="R481" s="2" t="inlineStr"/>
    </row>
    <row r="482" ht="15" customHeight="1">
      <c r="A482" t="inlineStr">
        <is>
          <t>A 35001-2021</t>
        </is>
      </c>
      <c r="B482" s="1" t="n">
        <v>44383</v>
      </c>
      <c r="C482" s="1" t="n">
        <v>45703</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35316-2021</t>
        </is>
      </c>
      <c r="B483" s="1" t="n">
        <v>44384</v>
      </c>
      <c r="C483" s="1" t="n">
        <v>45703</v>
      </c>
      <c r="D483" t="inlineStr">
        <is>
          <t>KALMAR LÄN</t>
        </is>
      </c>
      <c r="E483" t="inlineStr">
        <is>
          <t>VIMMERBY</t>
        </is>
      </c>
      <c r="G483" t="n">
        <v>3.5</v>
      </c>
      <c r="H483" t="n">
        <v>0</v>
      </c>
      <c r="I483" t="n">
        <v>0</v>
      </c>
      <c r="J483" t="n">
        <v>0</v>
      </c>
      <c r="K483" t="n">
        <v>0</v>
      </c>
      <c r="L483" t="n">
        <v>0</v>
      </c>
      <c r="M483" t="n">
        <v>0</v>
      </c>
      <c r="N483" t="n">
        <v>0</v>
      </c>
      <c r="O483" t="n">
        <v>0</v>
      </c>
      <c r="P483" t="n">
        <v>0</v>
      </c>
      <c r="Q483" t="n">
        <v>0</v>
      </c>
      <c r="R483" s="2" t="inlineStr"/>
    </row>
    <row r="484" ht="15" customHeight="1">
      <c r="A484" t="inlineStr">
        <is>
          <t>A 35531-2021</t>
        </is>
      </c>
      <c r="B484" s="1" t="n">
        <v>44385</v>
      </c>
      <c r="C484" s="1" t="n">
        <v>45703</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35633-2021</t>
        </is>
      </c>
      <c r="B485" s="1" t="n">
        <v>44386</v>
      </c>
      <c r="C485" s="1" t="n">
        <v>45703</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36117-2021</t>
        </is>
      </c>
      <c r="B486" s="1" t="n">
        <v>44386</v>
      </c>
      <c r="C486" s="1" t="n">
        <v>45703</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36121-2021</t>
        </is>
      </c>
      <c r="B487" s="1" t="n">
        <v>44386</v>
      </c>
      <c r="C487" s="1" t="n">
        <v>45703</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36802-2021</t>
        </is>
      </c>
      <c r="B488" s="1" t="n">
        <v>44392</v>
      </c>
      <c r="C488" s="1" t="n">
        <v>45703</v>
      </c>
      <c r="D488" t="inlineStr">
        <is>
          <t>KALMAR LÄN</t>
        </is>
      </c>
      <c r="E488" t="inlineStr">
        <is>
          <t>VIMMERBY</t>
        </is>
      </c>
      <c r="F488" t="inlineStr">
        <is>
          <t>Sveaskog</t>
        </is>
      </c>
      <c r="G488" t="n">
        <v>4.6</v>
      </c>
      <c r="H488" t="n">
        <v>0</v>
      </c>
      <c r="I488" t="n">
        <v>0</v>
      </c>
      <c r="J488" t="n">
        <v>0</v>
      </c>
      <c r="K488" t="n">
        <v>0</v>
      </c>
      <c r="L488" t="n">
        <v>0</v>
      </c>
      <c r="M488" t="n">
        <v>0</v>
      </c>
      <c r="N488" t="n">
        <v>0</v>
      </c>
      <c r="O488" t="n">
        <v>0</v>
      </c>
      <c r="P488" t="n">
        <v>0</v>
      </c>
      <c r="Q488" t="n">
        <v>0</v>
      </c>
      <c r="R488" s="2" t="inlineStr"/>
    </row>
    <row r="489" ht="15" customHeight="1">
      <c r="A489" t="inlineStr">
        <is>
          <t>A 38086-2021</t>
        </is>
      </c>
      <c r="B489" s="1" t="n">
        <v>44404</v>
      </c>
      <c r="C489" s="1" t="n">
        <v>45703</v>
      </c>
      <c r="D489" t="inlineStr">
        <is>
          <t>KALMAR LÄN</t>
        </is>
      </c>
      <c r="E489" t="inlineStr">
        <is>
          <t>VIMMERBY</t>
        </is>
      </c>
      <c r="G489" t="n">
        <v>4.4</v>
      </c>
      <c r="H489" t="n">
        <v>0</v>
      </c>
      <c r="I489" t="n">
        <v>0</v>
      </c>
      <c r="J489" t="n">
        <v>0</v>
      </c>
      <c r="K489" t="n">
        <v>0</v>
      </c>
      <c r="L489" t="n">
        <v>0</v>
      </c>
      <c r="M489" t="n">
        <v>0</v>
      </c>
      <c r="N489" t="n">
        <v>0</v>
      </c>
      <c r="O489" t="n">
        <v>0</v>
      </c>
      <c r="P489" t="n">
        <v>0</v>
      </c>
      <c r="Q489" t="n">
        <v>0</v>
      </c>
      <c r="R489" s="2" t="inlineStr"/>
    </row>
    <row r="490" ht="15" customHeight="1">
      <c r="A490" t="inlineStr">
        <is>
          <t>A 38348-2021</t>
        </is>
      </c>
      <c r="B490" s="1" t="n">
        <v>44406</v>
      </c>
      <c r="C490" s="1" t="n">
        <v>45703</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38780-2021</t>
        </is>
      </c>
      <c r="B491" s="1" t="n">
        <v>44410</v>
      </c>
      <c r="C491" s="1" t="n">
        <v>45703</v>
      </c>
      <c r="D491" t="inlineStr">
        <is>
          <t>KALMAR LÄN</t>
        </is>
      </c>
      <c r="E491" t="inlineStr">
        <is>
          <t>VIMMERBY</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38789-2021</t>
        </is>
      </c>
      <c r="B492" s="1" t="n">
        <v>44410</v>
      </c>
      <c r="C492" s="1" t="n">
        <v>45703</v>
      </c>
      <c r="D492" t="inlineStr">
        <is>
          <t>KALMAR LÄN</t>
        </is>
      </c>
      <c r="E492" t="inlineStr">
        <is>
          <t>VIMMERBY</t>
        </is>
      </c>
      <c r="G492" t="n">
        <v>3.7</v>
      </c>
      <c r="H492" t="n">
        <v>0</v>
      </c>
      <c r="I492" t="n">
        <v>0</v>
      </c>
      <c r="J492" t="n">
        <v>0</v>
      </c>
      <c r="K492" t="n">
        <v>0</v>
      </c>
      <c r="L492" t="n">
        <v>0</v>
      </c>
      <c r="M492" t="n">
        <v>0</v>
      </c>
      <c r="N492" t="n">
        <v>0</v>
      </c>
      <c r="O492" t="n">
        <v>0</v>
      </c>
      <c r="P492" t="n">
        <v>0</v>
      </c>
      <c r="Q492" t="n">
        <v>0</v>
      </c>
      <c r="R492" s="2" t="inlineStr"/>
    </row>
    <row r="493" ht="15" customHeight="1">
      <c r="A493" t="inlineStr">
        <is>
          <t>A 40073-2021</t>
        </is>
      </c>
      <c r="B493" s="1" t="n">
        <v>44418</v>
      </c>
      <c r="C493" s="1" t="n">
        <v>45703</v>
      </c>
      <c r="D493" t="inlineStr">
        <is>
          <t>KALMAR LÄN</t>
        </is>
      </c>
      <c r="E493" t="inlineStr">
        <is>
          <t>VIMMERBY</t>
        </is>
      </c>
      <c r="G493" t="n">
        <v>1</v>
      </c>
      <c r="H493" t="n">
        <v>0</v>
      </c>
      <c r="I493" t="n">
        <v>0</v>
      </c>
      <c r="J493" t="n">
        <v>0</v>
      </c>
      <c r="K493" t="n">
        <v>0</v>
      </c>
      <c r="L493" t="n">
        <v>0</v>
      </c>
      <c r="M493" t="n">
        <v>0</v>
      </c>
      <c r="N493" t="n">
        <v>0</v>
      </c>
      <c r="O493" t="n">
        <v>0</v>
      </c>
      <c r="P493" t="n">
        <v>0</v>
      </c>
      <c r="Q493" t="n">
        <v>0</v>
      </c>
      <c r="R493" s="2" t="inlineStr"/>
    </row>
    <row r="494" ht="15" customHeight="1">
      <c r="A494" t="inlineStr">
        <is>
          <t>A 40076-2021</t>
        </is>
      </c>
      <c r="B494" s="1" t="n">
        <v>44418</v>
      </c>
      <c r="C494" s="1" t="n">
        <v>45703</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40071-2021</t>
        </is>
      </c>
      <c r="B495" s="1" t="n">
        <v>44418</v>
      </c>
      <c r="C495" s="1" t="n">
        <v>45703</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40077-2021</t>
        </is>
      </c>
      <c r="B496" s="1" t="n">
        <v>44418</v>
      </c>
      <c r="C496" s="1" t="n">
        <v>45703</v>
      </c>
      <c r="D496" t="inlineStr">
        <is>
          <t>KALMAR LÄN</t>
        </is>
      </c>
      <c r="E496" t="inlineStr">
        <is>
          <t>VIMMERBY</t>
        </is>
      </c>
      <c r="G496" t="n">
        <v>2.9</v>
      </c>
      <c r="H496" t="n">
        <v>0</v>
      </c>
      <c r="I496" t="n">
        <v>0</v>
      </c>
      <c r="J496" t="n">
        <v>0</v>
      </c>
      <c r="K496" t="n">
        <v>0</v>
      </c>
      <c r="L496" t="n">
        <v>0</v>
      </c>
      <c r="M496" t="n">
        <v>0</v>
      </c>
      <c r="N496" t="n">
        <v>0</v>
      </c>
      <c r="O496" t="n">
        <v>0</v>
      </c>
      <c r="P496" t="n">
        <v>0</v>
      </c>
      <c r="Q496" t="n">
        <v>0</v>
      </c>
      <c r="R496" s="2" t="inlineStr"/>
    </row>
    <row r="497" ht="15" customHeight="1">
      <c r="A497" t="inlineStr">
        <is>
          <t>A 40971-2021</t>
        </is>
      </c>
      <c r="B497" s="1" t="n">
        <v>44421</v>
      </c>
      <c r="C497" s="1" t="n">
        <v>45703</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42521-2021</t>
        </is>
      </c>
      <c r="B498" s="1" t="n">
        <v>44427</v>
      </c>
      <c r="C498" s="1" t="n">
        <v>45703</v>
      </c>
      <c r="D498" t="inlineStr">
        <is>
          <t>KALMAR LÄN</t>
        </is>
      </c>
      <c r="E498" t="inlineStr">
        <is>
          <t>VIMMERBY</t>
        </is>
      </c>
      <c r="G498" t="n">
        <v>5.4</v>
      </c>
      <c r="H498" t="n">
        <v>0</v>
      </c>
      <c r="I498" t="n">
        <v>0</v>
      </c>
      <c r="J498" t="n">
        <v>0</v>
      </c>
      <c r="K498" t="n">
        <v>0</v>
      </c>
      <c r="L498" t="n">
        <v>0</v>
      </c>
      <c r="M498" t="n">
        <v>0</v>
      </c>
      <c r="N498" t="n">
        <v>0</v>
      </c>
      <c r="O498" t="n">
        <v>0</v>
      </c>
      <c r="P498" t="n">
        <v>0</v>
      </c>
      <c r="Q498" t="n">
        <v>0</v>
      </c>
      <c r="R498" s="2" t="inlineStr"/>
    </row>
    <row r="499" ht="15" customHeight="1">
      <c r="A499" t="inlineStr">
        <is>
          <t>A 42918-2021</t>
        </is>
      </c>
      <c r="B499" s="1" t="n">
        <v>44431</v>
      </c>
      <c r="C499" s="1" t="n">
        <v>45703</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43186-2021</t>
        </is>
      </c>
      <c r="B500" s="1" t="n">
        <v>44431</v>
      </c>
      <c r="C500" s="1" t="n">
        <v>45703</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45528-2021</t>
        </is>
      </c>
      <c r="B501" s="1" t="n">
        <v>44440</v>
      </c>
      <c r="C501" s="1" t="n">
        <v>45703</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45390-2021</t>
        </is>
      </c>
      <c r="B502" s="1" t="n">
        <v>44440</v>
      </c>
      <c r="C502" s="1" t="n">
        <v>45703</v>
      </c>
      <c r="D502" t="inlineStr">
        <is>
          <t>KALMAR LÄN</t>
        </is>
      </c>
      <c r="E502" t="inlineStr">
        <is>
          <t>VIMMERBY</t>
        </is>
      </c>
      <c r="G502" t="n">
        <v>3.9</v>
      </c>
      <c r="H502" t="n">
        <v>0</v>
      </c>
      <c r="I502" t="n">
        <v>0</v>
      </c>
      <c r="J502" t="n">
        <v>0</v>
      </c>
      <c r="K502" t="n">
        <v>0</v>
      </c>
      <c r="L502" t="n">
        <v>0</v>
      </c>
      <c r="M502" t="n">
        <v>0</v>
      </c>
      <c r="N502" t="n">
        <v>0</v>
      </c>
      <c r="O502" t="n">
        <v>0</v>
      </c>
      <c r="P502" t="n">
        <v>0</v>
      </c>
      <c r="Q502" t="n">
        <v>0</v>
      </c>
      <c r="R502" s="2" t="inlineStr"/>
    </row>
    <row r="503" ht="15" customHeight="1">
      <c r="A503" t="inlineStr">
        <is>
          <t>A 45560-2021</t>
        </is>
      </c>
      <c r="B503" s="1" t="n">
        <v>44440</v>
      </c>
      <c r="C503" s="1" t="n">
        <v>45703</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47208-2021</t>
        </is>
      </c>
      <c r="B504" s="1" t="n">
        <v>44447</v>
      </c>
      <c r="C504" s="1" t="n">
        <v>45703</v>
      </c>
      <c r="D504" t="inlineStr">
        <is>
          <t>KALMAR LÄN</t>
        </is>
      </c>
      <c r="E504" t="inlineStr">
        <is>
          <t>VIMMERBY</t>
        </is>
      </c>
      <c r="G504" t="n">
        <v>1.4</v>
      </c>
      <c r="H504" t="n">
        <v>0</v>
      </c>
      <c r="I504" t="n">
        <v>0</v>
      </c>
      <c r="J504" t="n">
        <v>0</v>
      </c>
      <c r="K504" t="n">
        <v>0</v>
      </c>
      <c r="L504" t="n">
        <v>0</v>
      </c>
      <c r="M504" t="n">
        <v>0</v>
      </c>
      <c r="N504" t="n">
        <v>0</v>
      </c>
      <c r="O504" t="n">
        <v>0</v>
      </c>
      <c r="P504" t="n">
        <v>0</v>
      </c>
      <c r="Q504" t="n">
        <v>0</v>
      </c>
      <c r="R504" s="2" t="inlineStr"/>
    </row>
    <row r="505" ht="15" customHeight="1">
      <c r="A505" t="inlineStr">
        <is>
          <t>A 47205-2021</t>
        </is>
      </c>
      <c r="B505" s="1" t="n">
        <v>44447</v>
      </c>
      <c r="C505" s="1" t="n">
        <v>45703</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47473-2021</t>
        </is>
      </c>
      <c r="B506" s="1" t="n">
        <v>44447</v>
      </c>
      <c r="C506" s="1" t="n">
        <v>45703</v>
      </c>
      <c r="D506" t="inlineStr">
        <is>
          <t>KALMAR LÄN</t>
        </is>
      </c>
      <c r="E506" t="inlineStr">
        <is>
          <t>VIMMERBY</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48377-2021</t>
        </is>
      </c>
      <c r="B507" s="1" t="n">
        <v>44451</v>
      </c>
      <c r="C507" s="1" t="n">
        <v>45703</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48373-2021</t>
        </is>
      </c>
      <c r="B508" s="1" t="n">
        <v>44451</v>
      </c>
      <c r="C508" s="1" t="n">
        <v>45703</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48673-2021</t>
        </is>
      </c>
      <c r="B509" s="1" t="n">
        <v>44452</v>
      </c>
      <c r="C509" s="1" t="n">
        <v>45703</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49039-2021</t>
        </is>
      </c>
      <c r="B510" s="1" t="n">
        <v>44453</v>
      </c>
      <c r="C510" s="1" t="n">
        <v>45703</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51972-2021</t>
        </is>
      </c>
      <c r="B511" s="1" t="n">
        <v>44463</v>
      </c>
      <c r="C511" s="1" t="n">
        <v>45703</v>
      </c>
      <c r="D511" t="inlineStr">
        <is>
          <t>KALMAR LÄN</t>
        </is>
      </c>
      <c r="E511" t="inlineStr">
        <is>
          <t>VIMMERBY</t>
        </is>
      </c>
      <c r="G511" t="n">
        <v>4.5</v>
      </c>
      <c r="H511" t="n">
        <v>0</v>
      </c>
      <c r="I511" t="n">
        <v>0</v>
      </c>
      <c r="J511" t="n">
        <v>0</v>
      </c>
      <c r="K511" t="n">
        <v>0</v>
      </c>
      <c r="L511" t="n">
        <v>0</v>
      </c>
      <c r="M511" t="n">
        <v>0</v>
      </c>
      <c r="N511" t="n">
        <v>0</v>
      </c>
      <c r="O511" t="n">
        <v>0</v>
      </c>
      <c r="P511" t="n">
        <v>0</v>
      </c>
      <c r="Q511" t="n">
        <v>0</v>
      </c>
      <c r="R511" s="2" t="inlineStr"/>
    </row>
    <row r="512" ht="15" customHeight="1">
      <c r="A512" t="inlineStr">
        <is>
          <t>A 52433-2021</t>
        </is>
      </c>
      <c r="B512" s="1" t="n">
        <v>44466</v>
      </c>
      <c r="C512" s="1" t="n">
        <v>45703</v>
      </c>
      <c r="D512" t="inlineStr">
        <is>
          <t>KALMAR LÄN</t>
        </is>
      </c>
      <c r="E512" t="inlineStr">
        <is>
          <t>VIMMERBY</t>
        </is>
      </c>
      <c r="G512" t="n">
        <v>3.5</v>
      </c>
      <c r="H512" t="n">
        <v>0</v>
      </c>
      <c r="I512" t="n">
        <v>0</v>
      </c>
      <c r="J512" t="n">
        <v>0</v>
      </c>
      <c r="K512" t="n">
        <v>0</v>
      </c>
      <c r="L512" t="n">
        <v>0</v>
      </c>
      <c r="M512" t="n">
        <v>0</v>
      </c>
      <c r="N512" t="n">
        <v>0</v>
      </c>
      <c r="O512" t="n">
        <v>0</v>
      </c>
      <c r="P512" t="n">
        <v>0</v>
      </c>
      <c r="Q512" t="n">
        <v>0</v>
      </c>
      <c r="R512" s="2" t="inlineStr"/>
    </row>
    <row r="513" ht="15" customHeight="1">
      <c r="A513" t="inlineStr">
        <is>
          <t>A 52435-2021</t>
        </is>
      </c>
      <c r="B513" s="1" t="n">
        <v>44466</v>
      </c>
      <c r="C513" s="1" t="n">
        <v>45703</v>
      </c>
      <c r="D513" t="inlineStr">
        <is>
          <t>KALMAR LÄN</t>
        </is>
      </c>
      <c r="E513" t="inlineStr">
        <is>
          <t>VIMMERBY</t>
        </is>
      </c>
      <c r="G513" t="n">
        <v>2.8</v>
      </c>
      <c r="H513" t="n">
        <v>0</v>
      </c>
      <c r="I513" t="n">
        <v>0</v>
      </c>
      <c r="J513" t="n">
        <v>0</v>
      </c>
      <c r="K513" t="n">
        <v>0</v>
      </c>
      <c r="L513" t="n">
        <v>0</v>
      </c>
      <c r="M513" t="n">
        <v>0</v>
      </c>
      <c r="N513" t="n">
        <v>0</v>
      </c>
      <c r="O513" t="n">
        <v>0</v>
      </c>
      <c r="P513" t="n">
        <v>0</v>
      </c>
      <c r="Q513" t="n">
        <v>0</v>
      </c>
      <c r="R513" s="2" t="inlineStr"/>
    </row>
    <row r="514" ht="15" customHeight="1">
      <c r="A514" t="inlineStr">
        <is>
          <t>A 53083-2021</t>
        </is>
      </c>
      <c r="B514" s="1" t="n">
        <v>44467</v>
      </c>
      <c r="C514" s="1" t="n">
        <v>45703</v>
      </c>
      <c r="D514" t="inlineStr">
        <is>
          <t>KALMAR LÄN</t>
        </is>
      </c>
      <c r="E514" t="inlineStr">
        <is>
          <t>VIMMERBY</t>
        </is>
      </c>
      <c r="G514" t="n">
        <v>6.8</v>
      </c>
      <c r="H514" t="n">
        <v>0</v>
      </c>
      <c r="I514" t="n">
        <v>0</v>
      </c>
      <c r="J514" t="n">
        <v>0</v>
      </c>
      <c r="K514" t="n">
        <v>0</v>
      </c>
      <c r="L514" t="n">
        <v>0</v>
      </c>
      <c r="M514" t="n">
        <v>0</v>
      </c>
      <c r="N514" t="n">
        <v>0</v>
      </c>
      <c r="O514" t="n">
        <v>0</v>
      </c>
      <c r="P514" t="n">
        <v>0</v>
      </c>
      <c r="Q514" t="n">
        <v>0</v>
      </c>
      <c r="R514" s="2" t="inlineStr"/>
    </row>
    <row r="515" ht="15" customHeight="1">
      <c r="A515" t="inlineStr">
        <is>
          <t>A 53080-2021</t>
        </is>
      </c>
      <c r="B515" s="1" t="n">
        <v>44467</v>
      </c>
      <c r="C515" s="1" t="n">
        <v>45703</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54065-2021</t>
        </is>
      </c>
      <c r="B516" s="1" t="n">
        <v>44470</v>
      </c>
      <c r="C516" s="1" t="n">
        <v>45703</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55300-2021</t>
        </is>
      </c>
      <c r="B517" s="1" t="n">
        <v>44475</v>
      </c>
      <c r="C517" s="1" t="n">
        <v>45703</v>
      </c>
      <c r="D517" t="inlineStr">
        <is>
          <t>KALMAR LÄN</t>
        </is>
      </c>
      <c r="E517" t="inlineStr">
        <is>
          <t>VIMMERBY</t>
        </is>
      </c>
      <c r="G517" t="n">
        <v>3.4</v>
      </c>
      <c r="H517" t="n">
        <v>0</v>
      </c>
      <c r="I517" t="n">
        <v>0</v>
      </c>
      <c r="J517" t="n">
        <v>0</v>
      </c>
      <c r="K517" t="n">
        <v>0</v>
      </c>
      <c r="L517" t="n">
        <v>0</v>
      </c>
      <c r="M517" t="n">
        <v>0</v>
      </c>
      <c r="N517" t="n">
        <v>0</v>
      </c>
      <c r="O517" t="n">
        <v>0</v>
      </c>
      <c r="P517" t="n">
        <v>0</v>
      </c>
      <c r="Q517" t="n">
        <v>0</v>
      </c>
      <c r="R517" s="2" t="inlineStr"/>
    </row>
    <row r="518" ht="15" customHeight="1">
      <c r="A518" t="inlineStr">
        <is>
          <t>A 55297-2021</t>
        </is>
      </c>
      <c r="B518" s="1" t="n">
        <v>44475</v>
      </c>
      <c r="C518" s="1" t="n">
        <v>45703</v>
      </c>
      <c r="D518" t="inlineStr">
        <is>
          <t>KALMAR LÄN</t>
        </is>
      </c>
      <c r="E518" t="inlineStr">
        <is>
          <t>VIMMERBY</t>
        </is>
      </c>
      <c r="G518" t="n">
        <v>4.1</v>
      </c>
      <c r="H518" t="n">
        <v>0</v>
      </c>
      <c r="I518" t="n">
        <v>0</v>
      </c>
      <c r="J518" t="n">
        <v>0</v>
      </c>
      <c r="K518" t="n">
        <v>0</v>
      </c>
      <c r="L518" t="n">
        <v>0</v>
      </c>
      <c r="M518" t="n">
        <v>0</v>
      </c>
      <c r="N518" t="n">
        <v>0</v>
      </c>
      <c r="O518" t="n">
        <v>0</v>
      </c>
      <c r="P518" t="n">
        <v>0</v>
      </c>
      <c r="Q518" t="n">
        <v>0</v>
      </c>
      <c r="R518" s="2" t="inlineStr"/>
    </row>
    <row r="519" ht="15" customHeight="1">
      <c r="A519" t="inlineStr">
        <is>
          <t>A 55674-2021</t>
        </is>
      </c>
      <c r="B519" s="1" t="n">
        <v>44476</v>
      </c>
      <c r="C519" s="1" t="n">
        <v>45703</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56029-2021</t>
        </is>
      </c>
      <c r="B520" s="1" t="n">
        <v>44477</v>
      </c>
      <c r="C520" s="1" t="n">
        <v>45703</v>
      </c>
      <c r="D520" t="inlineStr">
        <is>
          <t>KALMAR LÄN</t>
        </is>
      </c>
      <c r="E520" t="inlineStr">
        <is>
          <t>VIMMERBY</t>
        </is>
      </c>
      <c r="G520" t="n">
        <v>3.9</v>
      </c>
      <c r="H520" t="n">
        <v>0</v>
      </c>
      <c r="I520" t="n">
        <v>0</v>
      </c>
      <c r="J520" t="n">
        <v>0</v>
      </c>
      <c r="K520" t="n">
        <v>0</v>
      </c>
      <c r="L520" t="n">
        <v>0</v>
      </c>
      <c r="M520" t="n">
        <v>0</v>
      </c>
      <c r="N520" t="n">
        <v>0</v>
      </c>
      <c r="O520" t="n">
        <v>0</v>
      </c>
      <c r="P520" t="n">
        <v>0</v>
      </c>
      <c r="Q520" t="n">
        <v>0</v>
      </c>
      <c r="R520" s="2" t="inlineStr"/>
    </row>
    <row r="521" ht="15" customHeight="1">
      <c r="A521" t="inlineStr">
        <is>
          <t>A 56343-2021</t>
        </is>
      </c>
      <c r="B521" s="1" t="n">
        <v>44480</v>
      </c>
      <c r="C521" s="1" t="n">
        <v>45703</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56385-2021</t>
        </is>
      </c>
      <c r="B522" s="1" t="n">
        <v>44480</v>
      </c>
      <c r="C522" s="1" t="n">
        <v>45703</v>
      </c>
      <c r="D522" t="inlineStr">
        <is>
          <t>KALMAR LÄN</t>
        </is>
      </c>
      <c r="E522" t="inlineStr">
        <is>
          <t>VIMMERBY</t>
        </is>
      </c>
      <c r="G522" t="n">
        <v>1.9</v>
      </c>
      <c r="H522" t="n">
        <v>0</v>
      </c>
      <c r="I522" t="n">
        <v>0</v>
      </c>
      <c r="J522" t="n">
        <v>0</v>
      </c>
      <c r="K522" t="n">
        <v>0</v>
      </c>
      <c r="L522" t="n">
        <v>0</v>
      </c>
      <c r="M522" t="n">
        <v>0</v>
      </c>
      <c r="N522" t="n">
        <v>0</v>
      </c>
      <c r="O522" t="n">
        <v>0</v>
      </c>
      <c r="P522" t="n">
        <v>0</v>
      </c>
      <c r="Q522" t="n">
        <v>0</v>
      </c>
      <c r="R522" s="2" t="inlineStr"/>
    </row>
    <row r="523" ht="15" customHeight="1">
      <c r="A523" t="inlineStr">
        <is>
          <t>A 56347-2021</t>
        </is>
      </c>
      <c r="B523" s="1" t="n">
        <v>44480</v>
      </c>
      <c r="C523" s="1" t="n">
        <v>45703</v>
      </c>
      <c r="D523" t="inlineStr">
        <is>
          <t>KALMAR LÄN</t>
        </is>
      </c>
      <c r="E523" t="inlineStr">
        <is>
          <t>VIMMERBY</t>
        </is>
      </c>
      <c r="G523" t="n">
        <v>1.6</v>
      </c>
      <c r="H523" t="n">
        <v>0</v>
      </c>
      <c r="I523" t="n">
        <v>0</v>
      </c>
      <c r="J523" t="n">
        <v>0</v>
      </c>
      <c r="K523" t="n">
        <v>0</v>
      </c>
      <c r="L523" t="n">
        <v>0</v>
      </c>
      <c r="M523" t="n">
        <v>0</v>
      </c>
      <c r="N523" t="n">
        <v>0</v>
      </c>
      <c r="O523" t="n">
        <v>0</v>
      </c>
      <c r="P523" t="n">
        <v>0</v>
      </c>
      <c r="Q523" t="n">
        <v>0</v>
      </c>
      <c r="R523" s="2" t="inlineStr"/>
    </row>
    <row r="524" ht="15" customHeight="1">
      <c r="A524" t="inlineStr">
        <is>
          <t>A 56378-2021</t>
        </is>
      </c>
      <c r="B524" s="1" t="n">
        <v>44480</v>
      </c>
      <c r="C524" s="1" t="n">
        <v>45703</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56398-2021</t>
        </is>
      </c>
      <c r="B525" s="1" t="n">
        <v>44480</v>
      </c>
      <c r="C525" s="1" t="n">
        <v>45703</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56389-2021</t>
        </is>
      </c>
      <c r="B526" s="1" t="n">
        <v>44480</v>
      </c>
      <c r="C526" s="1" t="n">
        <v>45703</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56754-2021</t>
        </is>
      </c>
      <c r="B527" s="1" t="n">
        <v>44481</v>
      </c>
      <c r="C527" s="1" t="n">
        <v>45703</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57416-2021</t>
        </is>
      </c>
      <c r="B528" s="1" t="n">
        <v>44483</v>
      </c>
      <c r="C528" s="1" t="n">
        <v>45703</v>
      </c>
      <c r="D528" t="inlineStr">
        <is>
          <t>KALMAR LÄN</t>
        </is>
      </c>
      <c r="E528" t="inlineStr">
        <is>
          <t>VIMMERBY</t>
        </is>
      </c>
      <c r="G528" t="n">
        <v>2.9</v>
      </c>
      <c r="H528" t="n">
        <v>0</v>
      </c>
      <c r="I528" t="n">
        <v>0</v>
      </c>
      <c r="J528" t="n">
        <v>0</v>
      </c>
      <c r="K528" t="n">
        <v>0</v>
      </c>
      <c r="L528" t="n">
        <v>0</v>
      </c>
      <c r="M528" t="n">
        <v>0</v>
      </c>
      <c r="N528" t="n">
        <v>0</v>
      </c>
      <c r="O528" t="n">
        <v>0</v>
      </c>
      <c r="P528" t="n">
        <v>0</v>
      </c>
      <c r="Q528" t="n">
        <v>0</v>
      </c>
      <c r="R528" s="2" t="inlineStr"/>
    </row>
    <row r="529" ht="15" customHeight="1">
      <c r="A529" t="inlineStr">
        <is>
          <t>A 57605-2021</t>
        </is>
      </c>
      <c r="B529" s="1" t="n">
        <v>44483</v>
      </c>
      <c r="C529" s="1" t="n">
        <v>45703</v>
      </c>
      <c r="D529" t="inlineStr">
        <is>
          <t>KALMAR LÄN</t>
        </is>
      </c>
      <c r="E529" t="inlineStr">
        <is>
          <t>VIMMERBY</t>
        </is>
      </c>
      <c r="G529" t="n">
        <v>13.1</v>
      </c>
      <c r="H529" t="n">
        <v>0</v>
      </c>
      <c r="I529" t="n">
        <v>0</v>
      </c>
      <c r="J529" t="n">
        <v>0</v>
      </c>
      <c r="K529" t="n">
        <v>0</v>
      </c>
      <c r="L529" t="n">
        <v>0</v>
      </c>
      <c r="M529" t="n">
        <v>0</v>
      </c>
      <c r="N529" t="n">
        <v>0</v>
      </c>
      <c r="O529" t="n">
        <v>0</v>
      </c>
      <c r="P529" t="n">
        <v>0</v>
      </c>
      <c r="Q529" t="n">
        <v>0</v>
      </c>
      <c r="R529" s="2" t="inlineStr"/>
    </row>
    <row r="530" ht="15" customHeight="1">
      <c r="A530" t="inlineStr">
        <is>
          <t>A 58318-2021</t>
        </is>
      </c>
      <c r="B530" s="1" t="n">
        <v>44488</v>
      </c>
      <c r="C530" s="1" t="n">
        <v>45703</v>
      </c>
      <c r="D530" t="inlineStr">
        <is>
          <t>KALMAR LÄN</t>
        </is>
      </c>
      <c r="E530" t="inlineStr">
        <is>
          <t>VIMMERBY</t>
        </is>
      </c>
      <c r="G530" t="n">
        <v>4</v>
      </c>
      <c r="H530" t="n">
        <v>0</v>
      </c>
      <c r="I530" t="n">
        <v>0</v>
      </c>
      <c r="J530" t="n">
        <v>0</v>
      </c>
      <c r="K530" t="n">
        <v>0</v>
      </c>
      <c r="L530" t="n">
        <v>0</v>
      </c>
      <c r="M530" t="n">
        <v>0</v>
      </c>
      <c r="N530" t="n">
        <v>0</v>
      </c>
      <c r="O530" t="n">
        <v>0</v>
      </c>
      <c r="P530" t="n">
        <v>0</v>
      </c>
      <c r="Q530" t="n">
        <v>0</v>
      </c>
      <c r="R530" s="2" t="inlineStr"/>
    </row>
    <row r="531" ht="15" customHeight="1">
      <c r="A531" t="inlineStr">
        <is>
          <t>A 59070-2021</t>
        </is>
      </c>
      <c r="B531" s="1" t="n">
        <v>44490</v>
      </c>
      <c r="C531" s="1" t="n">
        <v>45703</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59781-2021</t>
        </is>
      </c>
      <c r="B532" s="1" t="n">
        <v>44494</v>
      </c>
      <c r="C532" s="1" t="n">
        <v>45703</v>
      </c>
      <c r="D532" t="inlineStr">
        <is>
          <t>KALMAR LÄN</t>
        </is>
      </c>
      <c r="E532" t="inlineStr">
        <is>
          <t>VIMMERBY</t>
        </is>
      </c>
      <c r="G532" t="n">
        <v>5.6</v>
      </c>
      <c r="H532" t="n">
        <v>0</v>
      </c>
      <c r="I532" t="n">
        <v>0</v>
      </c>
      <c r="J532" t="n">
        <v>0</v>
      </c>
      <c r="K532" t="n">
        <v>0</v>
      </c>
      <c r="L532" t="n">
        <v>0</v>
      </c>
      <c r="M532" t="n">
        <v>0</v>
      </c>
      <c r="N532" t="n">
        <v>0</v>
      </c>
      <c r="O532" t="n">
        <v>0</v>
      </c>
      <c r="P532" t="n">
        <v>0</v>
      </c>
      <c r="Q532" t="n">
        <v>0</v>
      </c>
      <c r="R532" s="2" t="inlineStr"/>
    </row>
    <row r="533" ht="15" customHeight="1">
      <c r="A533" t="inlineStr">
        <is>
          <t>A 59791-2021</t>
        </is>
      </c>
      <c r="B533" s="1" t="n">
        <v>44494</v>
      </c>
      <c r="C533" s="1" t="n">
        <v>45703</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60228-2021</t>
        </is>
      </c>
      <c r="B534" s="1" t="n">
        <v>44495</v>
      </c>
      <c r="C534" s="1" t="n">
        <v>45703</v>
      </c>
      <c r="D534" t="inlineStr">
        <is>
          <t>KALMAR LÄN</t>
        </is>
      </c>
      <c r="E534" t="inlineStr">
        <is>
          <t>VIMMERBY</t>
        </is>
      </c>
      <c r="G534" t="n">
        <v>4.1</v>
      </c>
      <c r="H534" t="n">
        <v>0</v>
      </c>
      <c r="I534" t="n">
        <v>0</v>
      </c>
      <c r="J534" t="n">
        <v>0</v>
      </c>
      <c r="K534" t="n">
        <v>0</v>
      </c>
      <c r="L534" t="n">
        <v>0</v>
      </c>
      <c r="M534" t="n">
        <v>0</v>
      </c>
      <c r="N534" t="n">
        <v>0</v>
      </c>
      <c r="O534" t="n">
        <v>0</v>
      </c>
      <c r="P534" t="n">
        <v>0</v>
      </c>
      <c r="Q534" t="n">
        <v>0</v>
      </c>
      <c r="R534" s="2" t="inlineStr"/>
    </row>
    <row r="535" ht="15" customHeight="1">
      <c r="A535" t="inlineStr">
        <is>
          <t>A 60225-2021</t>
        </is>
      </c>
      <c r="B535" s="1" t="n">
        <v>44495</v>
      </c>
      <c r="C535" s="1" t="n">
        <v>45703</v>
      </c>
      <c r="D535" t="inlineStr">
        <is>
          <t>KALMAR LÄN</t>
        </is>
      </c>
      <c r="E535" t="inlineStr">
        <is>
          <t>VIMMERBY</t>
        </is>
      </c>
      <c r="G535" t="n">
        <v>2.1</v>
      </c>
      <c r="H535" t="n">
        <v>0</v>
      </c>
      <c r="I535" t="n">
        <v>0</v>
      </c>
      <c r="J535" t="n">
        <v>0</v>
      </c>
      <c r="K535" t="n">
        <v>0</v>
      </c>
      <c r="L535" t="n">
        <v>0</v>
      </c>
      <c r="M535" t="n">
        <v>0</v>
      </c>
      <c r="N535" t="n">
        <v>0</v>
      </c>
      <c r="O535" t="n">
        <v>0</v>
      </c>
      <c r="P535" t="n">
        <v>0</v>
      </c>
      <c r="Q535" t="n">
        <v>0</v>
      </c>
      <c r="R535" s="2" t="inlineStr"/>
    </row>
    <row r="536" ht="15" customHeight="1">
      <c r="A536" t="inlineStr">
        <is>
          <t>A 60994-2021</t>
        </is>
      </c>
      <c r="B536" s="1" t="n">
        <v>44497</v>
      </c>
      <c r="C536" s="1" t="n">
        <v>45703</v>
      </c>
      <c r="D536" t="inlineStr">
        <is>
          <t>KALMAR LÄN</t>
        </is>
      </c>
      <c r="E536" t="inlineStr">
        <is>
          <t>VIMMERBY</t>
        </is>
      </c>
      <c r="F536" t="inlineStr">
        <is>
          <t>Sveaskog</t>
        </is>
      </c>
      <c r="G536" t="n">
        <v>4.2</v>
      </c>
      <c r="H536" t="n">
        <v>0</v>
      </c>
      <c r="I536" t="n">
        <v>0</v>
      </c>
      <c r="J536" t="n">
        <v>0</v>
      </c>
      <c r="K536" t="n">
        <v>0</v>
      </c>
      <c r="L536" t="n">
        <v>0</v>
      </c>
      <c r="M536" t="n">
        <v>0</v>
      </c>
      <c r="N536" t="n">
        <v>0</v>
      </c>
      <c r="O536" t="n">
        <v>0</v>
      </c>
      <c r="P536" t="n">
        <v>0</v>
      </c>
      <c r="Q536" t="n">
        <v>0</v>
      </c>
      <c r="R536" s="2" t="inlineStr"/>
    </row>
    <row r="537" ht="15" customHeight="1">
      <c r="A537" t="inlineStr">
        <is>
          <t>A 61939-2021</t>
        </is>
      </c>
      <c r="B537" s="1" t="n">
        <v>44502</v>
      </c>
      <c r="C537" s="1" t="n">
        <v>45703</v>
      </c>
      <c r="D537" t="inlineStr">
        <is>
          <t>KALMAR LÄN</t>
        </is>
      </c>
      <c r="E537" t="inlineStr">
        <is>
          <t>VIMMERBY</t>
        </is>
      </c>
      <c r="G537" t="n">
        <v>2.7</v>
      </c>
      <c r="H537" t="n">
        <v>0</v>
      </c>
      <c r="I537" t="n">
        <v>0</v>
      </c>
      <c r="J537" t="n">
        <v>0</v>
      </c>
      <c r="K537" t="n">
        <v>0</v>
      </c>
      <c r="L537" t="n">
        <v>0</v>
      </c>
      <c r="M537" t="n">
        <v>0</v>
      </c>
      <c r="N537" t="n">
        <v>0</v>
      </c>
      <c r="O537" t="n">
        <v>0</v>
      </c>
      <c r="P537" t="n">
        <v>0</v>
      </c>
      <c r="Q537" t="n">
        <v>0</v>
      </c>
      <c r="R537" s="2" t="inlineStr"/>
    </row>
    <row r="538" ht="15" customHeight="1">
      <c r="A538" t="inlineStr">
        <is>
          <t>A 63244-2021</t>
        </is>
      </c>
      <c r="B538" s="1" t="n">
        <v>44508</v>
      </c>
      <c r="C538" s="1" t="n">
        <v>45703</v>
      </c>
      <c r="D538" t="inlineStr">
        <is>
          <t>KALMAR LÄN</t>
        </is>
      </c>
      <c r="E538" t="inlineStr">
        <is>
          <t>VIMMERBY</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63926-2021</t>
        </is>
      </c>
      <c r="B539" s="1" t="n">
        <v>44509</v>
      </c>
      <c r="C539" s="1" t="n">
        <v>45703</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64143-2021</t>
        </is>
      </c>
      <c r="B540" s="1" t="n">
        <v>44510</v>
      </c>
      <c r="C540" s="1" t="n">
        <v>45703</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64203-2021</t>
        </is>
      </c>
      <c r="B541" s="1" t="n">
        <v>44510</v>
      </c>
      <c r="C541" s="1" t="n">
        <v>45703</v>
      </c>
      <c r="D541" t="inlineStr">
        <is>
          <t>KALMAR LÄN</t>
        </is>
      </c>
      <c r="E541" t="inlineStr">
        <is>
          <t>VIMMERBY</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64923-2021</t>
        </is>
      </c>
      <c r="B542" s="1" t="n">
        <v>44512</v>
      </c>
      <c r="C542" s="1" t="n">
        <v>45703</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65670-2021</t>
        </is>
      </c>
      <c r="B543" s="1" t="n">
        <v>44516</v>
      </c>
      <c r="C543" s="1" t="n">
        <v>45703</v>
      </c>
      <c r="D543" t="inlineStr">
        <is>
          <t>KALMAR LÄN</t>
        </is>
      </c>
      <c r="E543" t="inlineStr">
        <is>
          <t>VIMMERBY</t>
        </is>
      </c>
      <c r="G543" t="n">
        <v>1.9</v>
      </c>
      <c r="H543" t="n">
        <v>0</v>
      </c>
      <c r="I543" t="n">
        <v>0</v>
      </c>
      <c r="J543" t="n">
        <v>0</v>
      </c>
      <c r="K543" t="n">
        <v>0</v>
      </c>
      <c r="L543" t="n">
        <v>0</v>
      </c>
      <c r="M543" t="n">
        <v>0</v>
      </c>
      <c r="N543" t="n">
        <v>0</v>
      </c>
      <c r="O543" t="n">
        <v>0</v>
      </c>
      <c r="P543" t="n">
        <v>0</v>
      </c>
      <c r="Q543" t="n">
        <v>0</v>
      </c>
      <c r="R543" s="2" t="inlineStr"/>
    </row>
    <row r="544" ht="15" customHeight="1">
      <c r="A544" t="inlineStr">
        <is>
          <t>A 65864-2021</t>
        </is>
      </c>
      <c r="B544" s="1" t="n">
        <v>44517</v>
      </c>
      <c r="C544" s="1" t="n">
        <v>45703</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65887-2021</t>
        </is>
      </c>
      <c r="B545" s="1" t="n">
        <v>44517</v>
      </c>
      <c r="C545" s="1" t="n">
        <v>45703</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66022-2021</t>
        </is>
      </c>
      <c r="B546" s="1" t="n">
        <v>44517</v>
      </c>
      <c r="C546" s="1" t="n">
        <v>45703</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67952-2021</t>
        </is>
      </c>
      <c r="B547" s="1" t="n">
        <v>44525</v>
      </c>
      <c r="C547" s="1" t="n">
        <v>45703</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67983-2021</t>
        </is>
      </c>
      <c r="B548" s="1" t="n">
        <v>44525</v>
      </c>
      <c r="C548" s="1" t="n">
        <v>45703</v>
      </c>
      <c r="D548" t="inlineStr">
        <is>
          <t>KALMAR LÄN</t>
        </is>
      </c>
      <c r="E548" t="inlineStr">
        <is>
          <t>VIMMERBY</t>
        </is>
      </c>
      <c r="G548" t="n">
        <v>6.1</v>
      </c>
      <c r="H548" t="n">
        <v>0</v>
      </c>
      <c r="I548" t="n">
        <v>0</v>
      </c>
      <c r="J548" t="n">
        <v>0</v>
      </c>
      <c r="K548" t="n">
        <v>0</v>
      </c>
      <c r="L548" t="n">
        <v>0</v>
      </c>
      <c r="M548" t="n">
        <v>0</v>
      </c>
      <c r="N548" t="n">
        <v>0</v>
      </c>
      <c r="O548" t="n">
        <v>0</v>
      </c>
      <c r="P548" t="n">
        <v>0</v>
      </c>
      <c r="Q548" t="n">
        <v>0</v>
      </c>
      <c r="R548" s="2" t="inlineStr"/>
    </row>
    <row r="549" ht="15" customHeight="1">
      <c r="A549" t="inlineStr">
        <is>
          <t>A 68426-2021</t>
        </is>
      </c>
      <c r="B549" s="1" t="n">
        <v>44529</v>
      </c>
      <c r="C549" s="1" t="n">
        <v>45703</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68840-2021</t>
        </is>
      </c>
      <c r="B550" s="1" t="n">
        <v>44530</v>
      </c>
      <c r="C550" s="1" t="n">
        <v>45703</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71775-2021</t>
        </is>
      </c>
      <c r="B551" s="1" t="n">
        <v>44539</v>
      </c>
      <c r="C551" s="1" t="n">
        <v>45703</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71793-2021</t>
        </is>
      </c>
      <c r="B552" s="1" t="n">
        <v>44539</v>
      </c>
      <c r="C552" s="1" t="n">
        <v>45703</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72067-2021</t>
        </is>
      </c>
      <c r="B553" s="1" t="n">
        <v>44540</v>
      </c>
      <c r="C553" s="1" t="n">
        <v>45703</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71631-2021</t>
        </is>
      </c>
      <c r="B554" s="1" t="n">
        <v>44542</v>
      </c>
      <c r="C554" s="1" t="n">
        <v>45703</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71626-2021</t>
        </is>
      </c>
      <c r="B555" s="1" t="n">
        <v>44542</v>
      </c>
      <c r="C555" s="1" t="n">
        <v>45703</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72701-2021</t>
        </is>
      </c>
      <c r="B556" s="1" t="n">
        <v>44546</v>
      </c>
      <c r="C556" s="1" t="n">
        <v>45703</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73938-2021</t>
        </is>
      </c>
      <c r="B557" s="1" t="n">
        <v>44553</v>
      </c>
      <c r="C557" s="1" t="n">
        <v>45703</v>
      </c>
      <c r="D557" t="inlineStr">
        <is>
          <t>KALMAR LÄN</t>
        </is>
      </c>
      <c r="E557" t="inlineStr">
        <is>
          <t>VIMMERBY</t>
        </is>
      </c>
      <c r="G557" t="n">
        <v>3.2</v>
      </c>
      <c r="H557" t="n">
        <v>0</v>
      </c>
      <c r="I557" t="n">
        <v>0</v>
      </c>
      <c r="J557" t="n">
        <v>0</v>
      </c>
      <c r="K557" t="n">
        <v>0</v>
      </c>
      <c r="L557" t="n">
        <v>0</v>
      </c>
      <c r="M557" t="n">
        <v>0</v>
      </c>
      <c r="N557" t="n">
        <v>0</v>
      </c>
      <c r="O557" t="n">
        <v>0</v>
      </c>
      <c r="P557" t="n">
        <v>0</v>
      </c>
      <c r="Q557" t="n">
        <v>0</v>
      </c>
      <c r="R557" s="2" t="inlineStr"/>
    </row>
    <row r="558" ht="15" customHeight="1">
      <c r="A558" t="inlineStr">
        <is>
          <t>A 172-2022</t>
        </is>
      </c>
      <c r="B558" s="1" t="n">
        <v>44564</v>
      </c>
      <c r="C558" s="1" t="n">
        <v>45703</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165-2022</t>
        </is>
      </c>
      <c r="B559" s="1" t="n">
        <v>44564</v>
      </c>
      <c r="C559" s="1" t="n">
        <v>45703</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529-2022</t>
        </is>
      </c>
      <c r="B560" s="1" t="n">
        <v>44566</v>
      </c>
      <c r="C560" s="1" t="n">
        <v>45703</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1627-2022</t>
        </is>
      </c>
      <c r="B561" s="1" t="n">
        <v>44573</v>
      </c>
      <c r="C561" s="1" t="n">
        <v>45703</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1838-2022</t>
        </is>
      </c>
      <c r="B562" s="1" t="n">
        <v>44574</v>
      </c>
      <c r="C562" s="1" t="n">
        <v>45703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2069-2022</t>
        </is>
      </c>
      <c r="B563" s="1" t="n">
        <v>44575</v>
      </c>
      <c r="C563" s="1" t="n">
        <v>45703</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2121-2022</t>
        </is>
      </c>
      <c r="B564" s="1" t="n">
        <v>44578</v>
      </c>
      <c r="C564" s="1" t="n">
        <v>45703</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2196-2022</t>
        </is>
      </c>
      <c r="B565" s="1" t="n">
        <v>44578</v>
      </c>
      <c r="C565" s="1" t="n">
        <v>45703</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2183-2022</t>
        </is>
      </c>
      <c r="B566" s="1" t="n">
        <v>44578</v>
      </c>
      <c r="C566" s="1" t="n">
        <v>45703</v>
      </c>
      <c r="D566" t="inlineStr">
        <is>
          <t>KALMAR LÄN</t>
        </is>
      </c>
      <c r="E566" t="inlineStr">
        <is>
          <t>VIMMERBY</t>
        </is>
      </c>
      <c r="G566" t="n">
        <v>4.8</v>
      </c>
      <c r="H566" t="n">
        <v>0</v>
      </c>
      <c r="I566" t="n">
        <v>0</v>
      </c>
      <c r="J566" t="n">
        <v>0</v>
      </c>
      <c r="K566" t="n">
        <v>0</v>
      </c>
      <c r="L566" t="n">
        <v>0</v>
      </c>
      <c r="M566" t="n">
        <v>0</v>
      </c>
      <c r="N566" t="n">
        <v>0</v>
      </c>
      <c r="O566" t="n">
        <v>0</v>
      </c>
      <c r="P566" t="n">
        <v>0</v>
      </c>
      <c r="Q566" t="n">
        <v>0</v>
      </c>
      <c r="R566" s="2" t="inlineStr"/>
    </row>
    <row r="567" ht="15" customHeight="1">
      <c r="A567" t="inlineStr">
        <is>
          <t>A 2260-2022</t>
        </is>
      </c>
      <c r="B567" s="1" t="n">
        <v>44578</v>
      </c>
      <c r="C567" s="1" t="n">
        <v>45703</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2411-2022</t>
        </is>
      </c>
      <c r="B568" s="1" t="n">
        <v>44579</v>
      </c>
      <c r="C568" s="1" t="n">
        <v>45703</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2462-2022</t>
        </is>
      </c>
      <c r="B569" s="1" t="n">
        <v>44579</v>
      </c>
      <c r="C569" s="1" t="n">
        <v>45703</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3425-2022</t>
        </is>
      </c>
      <c r="B570" s="1" t="n">
        <v>44585</v>
      </c>
      <c r="C570" s="1" t="n">
        <v>45703</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3423-2022</t>
        </is>
      </c>
      <c r="B571" s="1" t="n">
        <v>44585</v>
      </c>
      <c r="C571" s="1" t="n">
        <v>45703</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3426-2022</t>
        </is>
      </c>
      <c r="B572" s="1" t="n">
        <v>44585</v>
      </c>
      <c r="C572" s="1" t="n">
        <v>45703</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3816-2022</t>
        </is>
      </c>
      <c r="B573" s="1" t="n">
        <v>44587</v>
      </c>
      <c r="C573" s="1" t="n">
        <v>45703</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3902-2022</t>
        </is>
      </c>
      <c r="B574" s="1" t="n">
        <v>44587</v>
      </c>
      <c r="C574" s="1" t="n">
        <v>45703</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4046-2022</t>
        </is>
      </c>
      <c r="B575" s="1" t="n">
        <v>44588</v>
      </c>
      <c r="C575" s="1" t="n">
        <v>45703</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4054-2022</t>
        </is>
      </c>
      <c r="B576" s="1" t="n">
        <v>44588</v>
      </c>
      <c r="C576" s="1" t="n">
        <v>45703</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4118-2022</t>
        </is>
      </c>
      <c r="B577" s="1" t="n">
        <v>44588</v>
      </c>
      <c r="C577" s="1" t="n">
        <v>45703</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4126-2022</t>
        </is>
      </c>
      <c r="B578" s="1" t="n">
        <v>44588</v>
      </c>
      <c r="C578" s="1" t="n">
        <v>45703</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4042-2022</t>
        </is>
      </c>
      <c r="B579" s="1" t="n">
        <v>44588</v>
      </c>
      <c r="C579" s="1" t="n">
        <v>45703</v>
      </c>
      <c r="D579" t="inlineStr">
        <is>
          <t>KALMAR LÄN</t>
        </is>
      </c>
      <c r="E579" t="inlineStr">
        <is>
          <t>VIMMERBY</t>
        </is>
      </c>
      <c r="G579" t="n">
        <v>4.7</v>
      </c>
      <c r="H579" t="n">
        <v>0</v>
      </c>
      <c r="I579" t="n">
        <v>0</v>
      </c>
      <c r="J579" t="n">
        <v>0</v>
      </c>
      <c r="K579" t="n">
        <v>0</v>
      </c>
      <c r="L579" t="n">
        <v>0</v>
      </c>
      <c r="M579" t="n">
        <v>0</v>
      </c>
      <c r="N579" t="n">
        <v>0</v>
      </c>
      <c r="O579" t="n">
        <v>0</v>
      </c>
      <c r="P579" t="n">
        <v>0</v>
      </c>
      <c r="Q579" t="n">
        <v>0</v>
      </c>
      <c r="R579" s="2" t="inlineStr"/>
    </row>
    <row r="580" ht="15" customHeight="1">
      <c r="A580" t="inlineStr">
        <is>
          <t>A 4076-2022</t>
        </is>
      </c>
      <c r="B580" s="1" t="n">
        <v>44588</v>
      </c>
      <c r="C580" s="1" t="n">
        <v>45703</v>
      </c>
      <c r="D580" t="inlineStr">
        <is>
          <t>KALMAR LÄN</t>
        </is>
      </c>
      <c r="E580" t="inlineStr">
        <is>
          <t>VIMMERBY</t>
        </is>
      </c>
      <c r="G580" t="n">
        <v>3</v>
      </c>
      <c r="H580" t="n">
        <v>0</v>
      </c>
      <c r="I580" t="n">
        <v>0</v>
      </c>
      <c r="J580" t="n">
        <v>0</v>
      </c>
      <c r="K580" t="n">
        <v>0</v>
      </c>
      <c r="L580" t="n">
        <v>0</v>
      </c>
      <c r="M580" t="n">
        <v>0</v>
      </c>
      <c r="N580" t="n">
        <v>0</v>
      </c>
      <c r="O580" t="n">
        <v>0</v>
      </c>
      <c r="P580" t="n">
        <v>0</v>
      </c>
      <c r="Q580" t="n">
        <v>0</v>
      </c>
      <c r="R580" s="2" t="inlineStr"/>
    </row>
    <row r="581" ht="15" customHeight="1">
      <c r="A581" t="inlineStr">
        <is>
          <t>A 4122-2022</t>
        </is>
      </c>
      <c r="B581" s="1" t="n">
        <v>44588</v>
      </c>
      <c r="C581" s="1" t="n">
        <v>45703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4297-2022</t>
        </is>
      </c>
      <c r="B582" s="1" t="n">
        <v>44588</v>
      </c>
      <c r="C582" s="1" t="n">
        <v>45703</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4296-2022</t>
        </is>
      </c>
      <c r="B583" s="1" t="n">
        <v>44588</v>
      </c>
      <c r="C583" s="1" t="n">
        <v>45703</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4532-2022</t>
        </is>
      </c>
      <c r="B584" s="1" t="n">
        <v>44590</v>
      </c>
      <c r="C584" s="1" t="n">
        <v>45703</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5527-2022</t>
        </is>
      </c>
      <c r="B585" s="1" t="n">
        <v>44595</v>
      </c>
      <c r="C585" s="1" t="n">
        <v>45703</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5545-2022</t>
        </is>
      </c>
      <c r="B586" s="1" t="n">
        <v>44595</v>
      </c>
      <c r="C586" s="1" t="n">
        <v>45703</v>
      </c>
      <c r="D586" t="inlineStr">
        <is>
          <t>KALMAR LÄN</t>
        </is>
      </c>
      <c r="E586" t="inlineStr">
        <is>
          <t>VIMMERBY</t>
        </is>
      </c>
      <c r="G586" t="n">
        <v>2.2</v>
      </c>
      <c r="H586" t="n">
        <v>0</v>
      </c>
      <c r="I586" t="n">
        <v>0</v>
      </c>
      <c r="J586" t="n">
        <v>0</v>
      </c>
      <c r="K586" t="n">
        <v>0</v>
      </c>
      <c r="L586" t="n">
        <v>0</v>
      </c>
      <c r="M586" t="n">
        <v>0</v>
      </c>
      <c r="N586" t="n">
        <v>0</v>
      </c>
      <c r="O586" t="n">
        <v>0</v>
      </c>
      <c r="P586" t="n">
        <v>0</v>
      </c>
      <c r="Q586" t="n">
        <v>0</v>
      </c>
      <c r="R586" s="2" t="inlineStr"/>
    </row>
    <row r="587" ht="15" customHeight="1">
      <c r="A587" t="inlineStr">
        <is>
          <t>A 5618-2022</t>
        </is>
      </c>
      <c r="B587" s="1" t="n">
        <v>44595</v>
      </c>
      <c r="C587" s="1" t="n">
        <v>45703</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5864-2022</t>
        </is>
      </c>
      <c r="B588" s="1" t="n">
        <v>44596</v>
      </c>
      <c r="C588" s="1" t="n">
        <v>45703</v>
      </c>
      <c r="D588" t="inlineStr">
        <is>
          <t>KALMAR LÄN</t>
        </is>
      </c>
      <c r="E588" t="inlineStr">
        <is>
          <t>VIMMERBY</t>
        </is>
      </c>
      <c r="G588" t="n">
        <v>0.7</v>
      </c>
      <c r="H588" t="n">
        <v>0</v>
      </c>
      <c r="I588" t="n">
        <v>0</v>
      </c>
      <c r="J588" t="n">
        <v>0</v>
      </c>
      <c r="K588" t="n">
        <v>0</v>
      </c>
      <c r="L588" t="n">
        <v>0</v>
      </c>
      <c r="M588" t="n">
        <v>0</v>
      </c>
      <c r="N588" t="n">
        <v>0</v>
      </c>
      <c r="O588" t="n">
        <v>0</v>
      </c>
      <c r="P588" t="n">
        <v>0</v>
      </c>
      <c r="Q588" t="n">
        <v>0</v>
      </c>
      <c r="R588" s="2" t="inlineStr"/>
    </row>
    <row r="589" ht="15" customHeight="1">
      <c r="A589" t="inlineStr">
        <is>
          <t>A 5925-2022</t>
        </is>
      </c>
      <c r="B589" s="1" t="n">
        <v>44598</v>
      </c>
      <c r="C589" s="1" t="n">
        <v>45703</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5938-2022</t>
        </is>
      </c>
      <c r="B590" s="1" t="n">
        <v>44598</v>
      </c>
      <c r="C590" s="1" t="n">
        <v>45703</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6083-2022</t>
        </is>
      </c>
      <c r="B591" s="1" t="n">
        <v>44599</v>
      </c>
      <c r="C591" s="1" t="n">
        <v>45703</v>
      </c>
      <c r="D591" t="inlineStr">
        <is>
          <t>KALMAR LÄN</t>
        </is>
      </c>
      <c r="E591" t="inlineStr">
        <is>
          <t>VIMMERBY</t>
        </is>
      </c>
      <c r="G591" t="n">
        <v>6.6</v>
      </c>
      <c r="H591" t="n">
        <v>0</v>
      </c>
      <c r="I591" t="n">
        <v>0</v>
      </c>
      <c r="J591" t="n">
        <v>0</v>
      </c>
      <c r="K591" t="n">
        <v>0</v>
      </c>
      <c r="L591" t="n">
        <v>0</v>
      </c>
      <c r="M591" t="n">
        <v>0</v>
      </c>
      <c r="N591" t="n">
        <v>0</v>
      </c>
      <c r="O591" t="n">
        <v>0</v>
      </c>
      <c r="P591" t="n">
        <v>0</v>
      </c>
      <c r="Q591" t="n">
        <v>0</v>
      </c>
      <c r="R591" s="2" t="inlineStr"/>
    </row>
    <row r="592" ht="15" customHeight="1">
      <c r="A592" t="inlineStr">
        <is>
          <t>A 6082-2022</t>
        </is>
      </c>
      <c r="B592" s="1" t="n">
        <v>44599</v>
      </c>
      <c r="C592" s="1" t="n">
        <v>45703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6358-2022</t>
        </is>
      </c>
      <c r="B593" s="1" t="n">
        <v>44600</v>
      </c>
      <c r="C593" s="1" t="n">
        <v>45703</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6355-2022</t>
        </is>
      </c>
      <c r="B594" s="1" t="n">
        <v>44600</v>
      </c>
      <c r="C594" s="1" t="n">
        <v>45703</v>
      </c>
      <c r="D594" t="inlineStr">
        <is>
          <t>KALMAR LÄN</t>
        </is>
      </c>
      <c r="E594" t="inlineStr">
        <is>
          <t>VIMMERBY</t>
        </is>
      </c>
      <c r="G594" t="n">
        <v>4.9</v>
      </c>
      <c r="H594" t="n">
        <v>0</v>
      </c>
      <c r="I594" t="n">
        <v>0</v>
      </c>
      <c r="J594" t="n">
        <v>0</v>
      </c>
      <c r="K594" t="n">
        <v>0</v>
      </c>
      <c r="L594" t="n">
        <v>0</v>
      </c>
      <c r="M594" t="n">
        <v>0</v>
      </c>
      <c r="N594" t="n">
        <v>0</v>
      </c>
      <c r="O594" t="n">
        <v>0</v>
      </c>
      <c r="P594" t="n">
        <v>0</v>
      </c>
      <c r="Q594" t="n">
        <v>0</v>
      </c>
      <c r="R594" s="2" t="inlineStr"/>
    </row>
    <row r="595" ht="15" customHeight="1">
      <c r="A595" t="inlineStr">
        <is>
          <t>A 7047-2022</t>
        </is>
      </c>
      <c r="B595" s="1" t="n">
        <v>44603</v>
      </c>
      <c r="C595" s="1" t="n">
        <v>45703</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7049-2022</t>
        </is>
      </c>
      <c r="B596" s="1" t="n">
        <v>44603</v>
      </c>
      <c r="C596" s="1" t="n">
        <v>45703</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7167-2022</t>
        </is>
      </c>
      <c r="B597" s="1" t="n">
        <v>44604</v>
      </c>
      <c r="C597" s="1" t="n">
        <v>45703</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45703</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7804-2022</t>
        </is>
      </c>
      <c r="B599" s="1" t="n">
        <v>44608</v>
      </c>
      <c r="C599" s="1" t="n">
        <v>45703</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7917-2022</t>
        </is>
      </c>
      <c r="B600" s="1" t="n">
        <v>44608</v>
      </c>
      <c r="C600" s="1" t="n">
        <v>45703</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8194-2022</t>
        </is>
      </c>
      <c r="B601" s="1" t="n">
        <v>44609</v>
      </c>
      <c r="C601" s="1" t="n">
        <v>45703</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8454-2022</t>
        </is>
      </c>
      <c r="B602" s="1" t="n">
        <v>44612</v>
      </c>
      <c r="C602" s="1" t="n">
        <v>45703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8453-2022</t>
        </is>
      </c>
      <c r="B603" s="1" t="n">
        <v>44612</v>
      </c>
      <c r="C603" s="1" t="n">
        <v>45703</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8462-2022</t>
        </is>
      </c>
      <c r="B604" s="1" t="n">
        <v>44612</v>
      </c>
      <c r="C604" s="1" t="n">
        <v>45703</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8650-2022</t>
        </is>
      </c>
      <c r="B605" s="1" t="n">
        <v>44613</v>
      </c>
      <c r="C605" s="1" t="n">
        <v>45703</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8908-2022</t>
        </is>
      </c>
      <c r="B606" s="1" t="n">
        <v>44614</v>
      </c>
      <c r="C606" s="1" t="n">
        <v>45703</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9311-2022</t>
        </is>
      </c>
      <c r="B607" s="1" t="n">
        <v>44616</v>
      </c>
      <c r="C607" s="1" t="n">
        <v>45703</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9918-2022</t>
        </is>
      </c>
      <c r="B608" s="1" t="n">
        <v>44620</v>
      </c>
      <c r="C608" s="1" t="n">
        <v>45703</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10086-2022</t>
        </is>
      </c>
      <c r="B609" s="1" t="n">
        <v>44621</v>
      </c>
      <c r="C609" s="1" t="n">
        <v>45703</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10487-2022</t>
        </is>
      </c>
      <c r="B610" s="1" t="n">
        <v>44623</v>
      </c>
      <c r="C610" s="1" t="n">
        <v>45703</v>
      </c>
      <c r="D610" t="inlineStr">
        <is>
          <t>KALMAR LÄN</t>
        </is>
      </c>
      <c r="E610" t="inlineStr">
        <is>
          <t>VIMMERBY</t>
        </is>
      </c>
      <c r="G610" t="n">
        <v>2.5</v>
      </c>
      <c r="H610" t="n">
        <v>0</v>
      </c>
      <c r="I610" t="n">
        <v>0</v>
      </c>
      <c r="J610" t="n">
        <v>0</v>
      </c>
      <c r="K610" t="n">
        <v>0</v>
      </c>
      <c r="L610" t="n">
        <v>0</v>
      </c>
      <c r="M610" t="n">
        <v>0</v>
      </c>
      <c r="N610" t="n">
        <v>0</v>
      </c>
      <c r="O610" t="n">
        <v>0</v>
      </c>
      <c r="P610" t="n">
        <v>0</v>
      </c>
      <c r="Q610" t="n">
        <v>0</v>
      </c>
      <c r="R610" s="2" t="inlineStr"/>
    </row>
    <row r="611" ht="15" customHeight="1">
      <c r="A611" t="inlineStr">
        <is>
          <t>A 11429-2022</t>
        </is>
      </c>
      <c r="B611" s="1" t="n">
        <v>44630</v>
      </c>
      <c r="C611" s="1" t="n">
        <v>45703</v>
      </c>
      <c r="D611" t="inlineStr">
        <is>
          <t>KALMAR LÄN</t>
        </is>
      </c>
      <c r="E611" t="inlineStr">
        <is>
          <t>VIMMERBY</t>
        </is>
      </c>
      <c r="G611" t="n">
        <v>2.6</v>
      </c>
      <c r="H611" t="n">
        <v>0</v>
      </c>
      <c r="I611" t="n">
        <v>0</v>
      </c>
      <c r="J611" t="n">
        <v>0</v>
      </c>
      <c r="K611" t="n">
        <v>0</v>
      </c>
      <c r="L611" t="n">
        <v>0</v>
      </c>
      <c r="M611" t="n">
        <v>0</v>
      </c>
      <c r="N611" t="n">
        <v>0</v>
      </c>
      <c r="O611" t="n">
        <v>0</v>
      </c>
      <c r="P611" t="n">
        <v>0</v>
      </c>
      <c r="Q611" t="n">
        <v>0</v>
      </c>
      <c r="R611" s="2" t="inlineStr"/>
    </row>
    <row r="612" ht="15" customHeight="1">
      <c r="A612" t="inlineStr">
        <is>
          <t>A 11733-2022</t>
        </is>
      </c>
      <c r="B612" s="1" t="n">
        <v>44634</v>
      </c>
      <c r="C612" s="1" t="n">
        <v>45703</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11814-2022</t>
        </is>
      </c>
      <c r="B613" s="1" t="n">
        <v>44634</v>
      </c>
      <c r="C613" s="1" t="n">
        <v>45703</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11928-2022</t>
        </is>
      </c>
      <c r="B614" s="1" t="n">
        <v>44635</v>
      </c>
      <c r="C614" s="1" t="n">
        <v>45703</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11930-2022</t>
        </is>
      </c>
      <c r="B615" s="1" t="n">
        <v>44635</v>
      </c>
      <c r="C615" s="1" t="n">
        <v>45703</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12107-2022</t>
        </is>
      </c>
      <c r="B616" s="1" t="n">
        <v>44636</v>
      </c>
      <c r="C616" s="1" t="n">
        <v>45703</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12510-2022</t>
        </is>
      </c>
      <c r="B617" s="1" t="n">
        <v>44638</v>
      </c>
      <c r="C617" s="1" t="n">
        <v>45703</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13015-2022</t>
        </is>
      </c>
      <c r="B618" s="1" t="n">
        <v>44643</v>
      </c>
      <c r="C618" s="1" t="n">
        <v>45703</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13180-2022</t>
        </is>
      </c>
      <c r="B619" s="1" t="n">
        <v>44644</v>
      </c>
      <c r="C619" s="1" t="n">
        <v>45703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14347-2022</t>
        </is>
      </c>
      <c r="B620" s="1" t="n">
        <v>44652</v>
      </c>
      <c r="C620" s="1" t="n">
        <v>45703</v>
      </c>
      <c r="D620" t="inlineStr">
        <is>
          <t>KALMAR LÄN</t>
        </is>
      </c>
      <c r="E620" t="inlineStr">
        <is>
          <t>VIMMERBY</t>
        </is>
      </c>
      <c r="F620" t="inlineStr">
        <is>
          <t>Sveaskog</t>
        </is>
      </c>
      <c r="G620" t="n">
        <v>7.2</v>
      </c>
      <c r="H620" t="n">
        <v>0</v>
      </c>
      <c r="I620" t="n">
        <v>0</v>
      </c>
      <c r="J620" t="n">
        <v>0</v>
      </c>
      <c r="K620" t="n">
        <v>0</v>
      </c>
      <c r="L620" t="n">
        <v>0</v>
      </c>
      <c r="M620" t="n">
        <v>0</v>
      </c>
      <c r="N620" t="n">
        <v>0</v>
      </c>
      <c r="O620" t="n">
        <v>0</v>
      </c>
      <c r="P620" t="n">
        <v>0</v>
      </c>
      <c r="Q620" t="n">
        <v>0</v>
      </c>
      <c r="R620" s="2" t="inlineStr"/>
    </row>
    <row r="621" ht="15" customHeight="1">
      <c r="A621" t="inlineStr">
        <is>
          <t>A 15146-2022</t>
        </is>
      </c>
      <c r="B621" s="1" t="n">
        <v>44658</v>
      </c>
      <c r="C621" s="1" t="n">
        <v>45703</v>
      </c>
      <c r="D621" t="inlineStr">
        <is>
          <t>KALMAR LÄN</t>
        </is>
      </c>
      <c r="E621" t="inlineStr">
        <is>
          <t>VIMMERBY</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15438-2022</t>
        </is>
      </c>
      <c r="B622" s="1" t="n">
        <v>44659</v>
      </c>
      <c r="C622" s="1" t="n">
        <v>45703</v>
      </c>
      <c r="D622" t="inlineStr">
        <is>
          <t>KALMAR LÄN</t>
        </is>
      </c>
      <c r="E622" t="inlineStr">
        <is>
          <t>VIMMERBY</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15533-2022</t>
        </is>
      </c>
      <c r="B623" s="1" t="n">
        <v>44662</v>
      </c>
      <c r="C623" s="1" t="n">
        <v>45703</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15535-2022</t>
        </is>
      </c>
      <c r="B624" s="1" t="n">
        <v>44662</v>
      </c>
      <c r="C624" s="1" t="n">
        <v>45703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16156-2022</t>
        </is>
      </c>
      <c r="B625" s="1" t="n">
        <v>44666</v>
      </c>
      <c r="C625" s="1" t="n">
        <v>45703</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16288-2022</t>
        </is>
      </c>
      <c r="B626" s="1" t="n">
        <v>44670</v>
      </c>
      <c r="C626" s="1" t="n">
        <v>45703</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16283-2022</t>
        </is>
      </c>
      <c r="B627" s="1" t="n">
        <v>44670</v>
      </c>
      <c r="C627" s="1" t="n">
        <v>45703</v>
      </c>
      <c r="D627" t="inlineStr">
        <is>
          <t>KALMAR LÄN</t>
        </is>
      </c>
      <c r="E627" t="inlineStr">
        <is>
          <t>VIMMERBY</t>
        </is>
      </c>
      <c r="G627" t="n">
        <v>1.4</v>
      </c>
      <c r="H627" t="n">
        <v>0</v>
      </c>
      <c r="I627" t="n">
        <v>0</v>
      </c>
      <c r="J627" t="n">
        <v>0</v>
      </c>
      <c r="K627" t="n">
        <v>0</v>
      </c>
      <c r="L627" t="n">
        <v>0</v>
      </c>
      <c r="M627" t="n">
        <v>0</v>
      </c>
      <c r="N627" t="n">
        <v>0</v>
      </c>
      <c r="O627" t="n">
        <v>0</v>
      </c>
      <c r="P627" t="n">
        <v>0</v>
      </c>
      <c r="Q627" t="n">
        <v>0</v>
      </c>
      <c r="R627" s="2" t="inlineStr"/>
    </row>
    <row r="628" ht="15" customHeight="1">
      <c r="A628" t="inlineStr">
        <is>
          <t>A 16290-2022</t>
        </is>
      </c>
      <c r="B628" s="1" t="n">
        <v>44670</v>
      </c>
      <c r="C628" s="1" t="n">
        <v>45703</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17029-2022</t>
        </is>
      </c>
      <c r="B629" s="1" t="n">
        <v>44676</v>
      </c>
      <c r="C629" s="1" t="n">
        <v>45703</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17253-2022</t>
        </is>
      </c>
      <c r="B630" s="1" t="n">
        <v>44678</v>
      </c>
      <c r="C630" s="1" t="n">
        <v>45703</v>
      </c>
      <c r="D630" t="inlineStr">
        <is>
          <t>KALMAR LÄN</t>
        </is>
      </c>
      <c r="E630" t="inlineStr">
        <is>
          <t>VIMMERBY</t>
        </is>
      </c>
      <c r="G630" t="n">
        <v>1.9</v>
      </c>
      <c r="H630" t="n">
        <v>0</v>
      </c>
      <c r="I630" t="n">
        <v>0</v>
      </c>
      <c r="J630" t="n">
        <v>0</v>
      </c>
      <c r="K630" t="n">
        <v>0</v>
      </c>
      <c r="L630" t="n">
        <v>0</v>
      </c>
      <c r="M630" t="n">
        <v>0</v>
      </c>
      <c r="N630" t="n">
        <v>0</v>
      </c>
      <c r="O630" t="n">
        <v>0</v>
      </c>
      <c r="P630" t="n">
        <v>0</v>
      </c>
      <c r="Q630" t="n">
        <v>0</v>
      </c>
      <c r="R630" s="2" t="inlineStr"/>
    </row>
    <row r="631" ht="15" customHeight="1">
      <c r="A631" t="inlineStr">
        <is>
          <t>A 19535-2022</t>
        </is>
      </c>
      <c r="B631" s="1" t="n">
        <v>44693</v>
      </c>
      <c r="C631" s="1" t="n">
        <v>45703</v>
      </c>
      <c r="D631" t="inlineStr">
        <is>
          <t>KALMAR LÄN</t>
        </is>
      </c>
      <c r="E631" t="inlineStr">
        <is>
          <t>VIMMERBY</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19537-2022</t>
        </is>
      </c>
      <c r="B632" s="1" t="n">
        <v>44693</v>
      </c>
      <c r="C632" s="1" t="n">
        <v>45703</v>
      </c>
      <c r="D632" t="inlineStr">
        <is>
          <t>KALMAR LÄN</t>
        </is>
      </c>
      <c r="E632" t="inlineStr">
        <is>
          <t>VIMMERBY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23341-2022</t>
        </is>
      </c>
      <c r="B633" s="1" t="n">
        <v>44720</v>
      </c>
      <c r="C633" s="1" t="n">
        <v>45703</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23825-2022</t>
        </is>
      </c>
      <c r="B634" s="1" t="n">
        <v>44722</v>
      </c>
      <c r="C634" s="1" t="n">
        <v>45703</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25049-2022</t>
        </is>
      </c>
      <c r="B635" s="1" t="n">
        <v>44729</v>
      </c>
      <c r="C635" s="1" t="n">
        <v>45703</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25370-2022</t>
        </is>
      </c>
      <c r="B636" s="1" t="n">
        <v>44732</v>
      </c>
      <c r="C636" s="1" t="n">
        <v>45703</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25738-2022</t>
        </is>
      </c>
      <c r="B637" s="1" t="n">
        <v>44733</v>
      </c>
      <c r="C637" s="1" t="n">
        <v>45703</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25859-2022</t>
        </is>
      </c>
      <c r="B638" s="1" t="n">
        <v>44733</v>
      </c>
      <c r="C638" s="1" t="n">
        <v>45703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25868-2022</t>
        </is>
      </c>
      <c r="B639" s="1" t="n">
        <v>44733</v>
      </c>
      <c r="C639" s="1" t="n">
        <v>45703</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27455-2022</t>
        </is>
      </c>
      <c r="B640" s="1" t="n">
        <v>44742</v>
      </c>
      <c r="C640" s="1" t="n">
        <v>45703</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27993-2022</t>
        </is>
      </c>
      <c r="B641" s="1" t="n">
        <v>44745</v>
      </c>
      <c r="C641" s="1" t="n">
        <v>45703</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28034-2022</t>
        </is>
      </c>
      <c r="B642" s="1" t="n">
        <v>44746</v>
      </c>
      <c r="C642" s="1" t="n">
        <v>45703</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28406-2022</t>
        </is>
      </c>
      <c r="B643" s="1" t="n">
        <v>44747</v>
      </c>
      <c r="C643" s="1" t="n">
        <v>45703</v>
      </c>
      <c r="D643" t="inlineStr">
        <is>
          <t>KALMAR LÄN</t>
        </is>
      </c>
      <c r="E643" t="inlineStr">
        <is>
          <t>VIMMERBY</t>
        </is>
      </c>
      <c r="G643" t="n">
        <v>3.1</v>
      </c>
      <c r="H643" t="n">
        <v>0</v>
      </c>
      <c r="I643" t="n">
        <v>0</v>
      </c>
      <c r="J643" t="n">
        <v>0</v>
      </c>
      <c r="K643" t="n">
        <v>0</v>
      </c>
      <c r="L643" t="n">
        <v>0</v>
      </c>
      <c r="M643" t="n">
        <v>0</v>
      </c>
      <c r="N643" t="n">
        <v>0</v>
      </c>
      <c r="O643" t="n">
        <v>0</v>
      </c>
      <c r="P643" t="n">
        <v>0</v>
      </c>
      <c r="Q643" t="n">
        <v>0</v>
      </c>
      <c r="R643" s="2" t="inlineStr"/>
    </row>
    <row r="644" ht="15" customHeight="1">
      <c r="A644" t="inlineStr">
        <is>
          <t>A 28646-2022</t>
        </is>
      </c>
      <c r="B644" s="1" t="n">
        <v>44748</v>
      </c>
      <c r="C644" s="1" t="n">
        <v>45703</v>
      </c>
      <c r="D644" t="inlineStr">
        <is>
          <t>KALMAR LÄN</t>
        </is>
      </c>
      <c r="E644" t="inlineStr">
        <is>
          <t>VIMMERBY</t>
        </is>
      </c>
      <c r="G644" t="n">
        <v>4.4</v>
      </c>
      <c r="H644" t="n">
        <v>0</v>
      </c>
      <c r="I644" t="n">
        <v>0</v>
      </c>
      <c r="J644" t="n">
        <v>0</v>
      </c>
      <c r="K644" t="n">
        <v>0</v>
      </c>
      <c r="L644" t="n">
        <v>0</v>
      </c>
      <c r="M644" t="n">
        <v>0</v>
      </c>
      <c r="N644" t="n">
        <v>0</v>
      </c>
      <c r="O644" t="n">
        <v>0</v>
      </c>
      <c r="P644" t="n">
        <v>0</v>
      </c>
      <c r="Q644" t="n">
        <v>0</v>
      </c>
      <c r="R644" s="2" t="inlineStr"/>
    </row>
    <row r="645" ht="15" customHeight="1">
      <c r="A645" t="inlineStr">
        <is>
          <t>A 29616-2022</t>
        </is>
      </c>
      <c r="B645" s="1" t="n">
        <v>44754</v>
      </c>
      <c r="C645" s="1" t="n">
        <v>45703</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29910-2022</t>
        </is>
      </c>
      <c r="B646" s="1" t="n">
        <v>44756</v>
      </c>
      <c r="C646" s="1" t="n">
        <v>45703</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31053-2022</t>
        </is>
      </c>
      <c r="B647" s="1" t="n">
        <v>44769</v>
      </c>
      <c r="C647" s="1" t="n">
        <v>45703</v>
      </c>
      <c r="D647" t="inlineStr">
        <is>
          <t>KALMAR LÄN</t>
        </is>
      </c>
      <c r="E647" t="inlineStr">
        <is>
          <t>VIMMERBY</t>
        </is>
      </c>
      <c r="G647" t="n">
        <v>1.9</v>
      </c>
      <c r="H647" t="n">
        <v>0</v>
      </c>
      <c r="I647" t="n">
        <v>0</v>
      </c>
      <c r="J647" t="n">
        <v>0</v>
      </c>
      <c r="K647" t="n">
        <v>0</v>
      </c>
      <c r="L647" t="n">
        <v>0</v>
      </c>
      <c r="M647" t="n">
        <v>0</v>
      </c>
      <c r="N647" t="n">
        <v>0</v>
      </c>
      <c r="O647" t="n">
        <v>0</v>
      </c>
      <c r="P647" t="n">
        <v>0</v>
      </c>
      <c r="Q647" t="n">
        <v>0</v>
      </c>
      <c r="R647" s="2" t="inlineStr"/>
    </row>
    <row r="648" ht="15" customHeight="1">
      <c r="A648" t="inlineStr">
        <is>
          <t>A 31056-2022</t>
        </is>
      </c>
      <c r="B648" s="1" t="n">
        <v>44769</v>
      </c>
      <c r="C648" s="1" t="n">
        <v>45703</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31533-2022</t>
        </is>
      </c>
      <c r="B649" s="1" t="n">
        <v>44774</v>
      </c>
      <c r="C649" s="1" t="n">
        <v>45703</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31824-2022</t>
        </is>
      </c>
      <c r="B650" s="1" t="n">
        <v>44776</v>
      </c>
      <c r="C650" s="1" t="n">
        <v>45703</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32835-2022</t>
        </is>
      </c>
      <c r="B651" s="1" t="n">
        <v>44784</v>
      </c>
      <c r="C651" s="1" t="n">
        <v>45703</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32919-2022</t>
        </is>
      </c>
      <c r="B652" s="1" t="n">
        <v>44784</v>
      </c>
      <c r="C652" s="1" t="n">
        <v>45703</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33051-2022</t>
        </is>
      </c>
      <c r="B653" s="1" t="n">
        <v>44785</v>
      </c>
      <c r="C653" s="1" t="n">
        <v>45703</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33352-2022</t>
        </is>
      </c>
      <c r="B654" s="1" t="n">
        <v>44788</v>
      </c>
      <c r="C654" s="1" t="n">
        <v>45703</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33681-2022</t>
        </is>
      </c>
      <c r="B655" s="1" t="n">
        <v>44789</v>
      </c>
      <c r="C655" s="1" t="n">
        <v>45703</v>
      </c>
      <c r="D655" t="inlineStr">
        <is>
          <t>KALMAR LÄN</t>
        </is>
      </c>
      <c r="E655" t="inlineStr">
        <is>
          <t>VIMMERBY</t>
        </is>
      </c>
      <c r="G655" t="n">
        <v>3.2</v>
      </c>
      <c r="H655" t="n">
        <v>0</v>
      </c>
      <c r="I655" t="n">
        <v>0</v>
      </c>
      <c r="J655" t="n">
        <v>0</v>
      </c>
      <c r="K655" t="n">
        <v>0</v>
      </c>
      <c r="L655" t="n">
        <v>0</v>
      </c>
      <c r="M655" t="n">
        <v>0</v>
      </c>
      <c r="N655" t="n">
        <v>0</v>
      </c>
      <c r="O655" t="n">
        <v>0</v>
      </c>
      <c r="P655" t="n">
        <v>0</v>
      </c>
      <c r="Q655" t="n">
        <v>0</v>
      </c>
      <c r="R655" s="2" t="inlineStr"/>
    </row>
    <row r="656" ht="15" customHeight="1">
      <c r="A656" t="inlineStr">
        <is>
          <t>A 33690-2022</t>
        </is>
      </c>
      <c r="B656" s="1" t="n">
        <v>44789</v>
      </c>
      <c r="C656" s="1" t="n">
        <v>45703</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33815-2022</t>
        </is>
      </c>
      <c r="B657" s="1" t="n">
        <v>44790</v>
      </c>
      <c r="C657" s="1" t="n">
        <v>45703</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33829-2022</t>
        </is>
      </c>
      <c r="B658" s="1" t="n">
        <v>44790</v>
      </c>
      <c r="C658" s="1" t="n">
        <v>45703</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33838-2022</t>
        </is>
      </c>
      <c r="B659" s="1" t="n">
        <v>44790</v>
      </c>
      <c r="C659" s="1" t="n">
        <v>45703</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33820-2022</t>
        </is>
      </c>
      <c r="B660" s="1" t="n">
        <v>44790</v>
      </c>
      <c r="C660" s="1" t="n">
        <v>45703</v>
      </c>
      <c r="D660" t="inlineStr">
        <is>
          <t>KALMAR LÄN</t>
        </is>
      </c>
      <c r="E660" t="inlineStr">
        <is>
          <t>VIMMERBY</t>
        </is>
      </c>
      <c r="G660" t="n">
        <v>3</v>
      </c>
      <c r="H660" t="n">
        <v>0</v>
      </c>
      <c r="I660" t="n">
        <v>0</v>
      </c>
      <c r="J660" t="n">
        <v>0</v>
      </c>
      <c r="K660" t="n">
        <v>0</v>
      </c>
      <c r="L660" t="n">
        <v>0</v>
      </c>
      <c r="M660" t="n">
        <v>0</v>
      </c>
      <c r="N660" t="n">
        <v>0</v>
      </c>
      <c r="O660" t="n">
        <v>0</v>
      </c>
      <c r="P660" t="n">
        <v>0</v>
      </c>
      <c r="Q660" t="n">
        <v>0</v>
      </c>
      <c r="R660" s="2" t="inlineStr"/>
    </row>
    <row r="661" ht="15" customHeight="1">
      <c r="A661" t="inlineStr">
        <is>
          <t>A 33831-2022</t>
        </is>
      </c>
      <c r="B661" s="1" t="n">
        <v>44790</v>
      </c>
      <c r="C661" s="1" t="n">
        <v>45703</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33842-2022</t>
        </is>
      </c>
      <c r="B662" s="1" t="n">
        <v>44790</v>
      </c>
      <c r="C662" s="1" t="n">
        <v>45703</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33824-2022</t>
        </is>
      </c>
      <c r="B663" s="1" t="n">
        <v>44790</v>
      </c>
      <c r="C663" s="1" t="n">
        <v>45703</v>
      </c>
      <c r="D663" t="inlineStr">
        <is>
          <t>KALMAR LÄN</t>
        </is>
      </c>
      <c r="E663" t="inlineStr">
        <is>
          <t>VIMMERBY</t>
        </is>
      </c>
      <c r="G663" t="n">
        <v>2.3</v>
      </c>
      <c r="H663" t="n">
        <v>0</v>
      </c>
      <c r="I663" t="n">
        <v>0</v>
      </c>
      <c r="J663" t="n">
        <v>0</v>
      </c>
      <c r="K663" t="n">
        <v>0</v>
      </c>
      <c r="L663" t="n">
        <v>0</v>
      </c>
      <c r="M663" t="n">
        <v>0</v>
      </c>
      <c r="N663" t="n">
        <v>0</v>
      </c>
      <c r="O663" t="n">
        <v>0</v>
      </c>
      <c r="P663" t="n">
        <v>0</v>
      </c>
      <c r="Q663" t="n">
        <v>0</v>
      </c>
      <c r="R663" s="2" t="inlineStr"/>
    </row>
    <row r="664" ht="15" customHeight="1">
      <c r="A664" t="inlineStr">
        <is>
          <t>A 33840-2022</t>
        </is>
      </c>
      <c r="B664" s="1" t="n">
        <v>44790</v>
      </c>
      <c r="C664" s="1" t="n">
        <v>45703</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34376-2022</t>
        </is>
      </c>
      <c r="B665" s="1" t="n">
        <v>44792</v>
      </c>
      <c r="C665" s="1" t="n">
        <v>45703</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34329-2022</t>
        </is>
      </c>
      <c r="B666" s="1" t="n">
        <v>44792</v>
      </c>
      <c r="C666" s="1" t="n">
        <v>45703</v>
      </c>
      <c r="D666" t="inlineStr">
        <is>
          <t>KALMAR LÄN</t>
        </is>
      </c>
      <c r="E666" t="inlineStr">
        <is>
          <t>VIMMERBY</t>
        </is>
      </c>
      <c r="F666" t="inlineStr">
        <is>
          <t>Sveaskog</t>
        </is>
      </c>
      <c r="G666" t="n">
        <v>5.5</v>
      </c>
      <c r="H666" t="n">
        <v>0</v>
      </c>
      <c r="I666" t="n">
        <v>0</v>
      </c>
      <c r="J666" t="n">
        <v>0</v>
      </c>
      <c r="K666" t="n">
        <v>0</v>
      </c>
      <c r="L666" t="n">
        <v>0</v>
      </c>
      <c r="M666" t="n">
        <v>0</v>
      </c>
      <c r="N666" t="n">
        <v>0</v>
      </c>
      <c r="O666" t="n">
        <v>0</v>
      </c>
      <c r="P666" t="n">
        <v>0</v>
      </c>
      <c r="Q666" t="n">
        <v>0</v>
      </c>
      <c r="R666" s="2" t="inlineStr"/>
    </row>
    <row r="667" ht="15" customHeight="1">
      <c r="A667" t="inlineStr">
        <is>
          <t>A 34597-2022</t>
        </is>
      </c>
      <c r="B667" s="1" t="n">
        <v>44795</v>
      </c>
      <c r="C667" s="1" t="n">
        <v>45703</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35429-2022</t>
        </is>
      </c>
      <c r="B668" s="1" t="n">
        <v>44798</v>
      </c>
      <c r="C668" s="1" t="n">
        <v>45703</v>
      </c>
      <c r="D668" t="inlineStr">
        <is>
          <t>KALMAR LÄN</t>
        </is>
      </c>
      <c r="E668" t="inlineStr">
        <is>
          <t>VIMMERBY</t>
        </is>
      </c>
      <c r="G668" t="n">
        <v>4.9</v>
      </c>
      <c r="H668" t="n">
        <v>0</v>
      </c>
      <c r="I668" t="n">
        <v>0</v>
      </c>
      <c r="J668" t="n">
        <v>0</v>
      </c>
      <c r="K668" t="n">
        <v>0</v>
      </c>
      <c r="L668" t="n">
        <v>0</v>
      </c>
      <c r="M668" t="n">
        <v>0</v>
      </c>
      <c r="N668" t="n">
        <v>0</v>
      </c>
      <c r="O668" t="n">
        <v>0</v>
      </c>
      <c r="P668" t="n">
        <v>0</v>
      </c>
      <c r="Q668" t="n">
        <v>0</v>
      </c>
      <c r="R668" s="2" t="inlineStr"/>
    </row>
    <row r="669" ht="15" customHeight="1">
      <c r="A669" t="inlineStr">
        <is>
          <t>A 35615-2022</t>
        </is>
      </c>
      <c r="B669" s="1" t="n">
        <v>44799</v>
      </c>
      <c r="C669" s="1" t="n">
        <v>45703</v>
      </c>
      <c r="D669" t="inlineStr">
        <is>
          <t>KALMAR LÄN</t>
        </is>
      </c>
      <c r="E669" t="inlineStr">
        <is>
          <t>VIMMERBY</t>
        </is>
      </c>
      <c r="G669" t="n">
        <v>3.8</v>
      </c>
      <c r="H669" t="n">
        <v>0</v>
      </c>
      <c r="I669" t="n">
        <v>0</v>
      </c>
      <c r="J669" t="n">
        <v>0</v>
      </c>
      <c r="K669" t="n">
        <v>0</v>
      </c>
      <c r="L669" t="n">
        <v>0</v>
      </c>
      <c r="M669" t="n">
        <v>0</v>
      </c>
      <c r="N669" t="n">
        <v>0</v>
      </c>
      <c r="O669" t="n">
        <v>0</v>
      </c>
      <c r="P669" t="n">
        <v>0</v>
      </c>
      <c r="Q669" t="n">
        <v>0</v>
      </c>
      <c r="R669" s="2" t="inlineStr"/>
    </row>
    <row r="670" ht="15" customHeight="1">
      <c r="A670" t="inlineStr">
        <is>
          <t>A 36259-2022</t>
        </is>
      </c>
      <c r="B670" s="1" t="n">
        <v>44803</v>
      </c>
      <c r="C670" s="1" t="n">
        <v>45703</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36268-2022</t>
        </is>
      </c>
      <c r="B671" s="1" t="n">
        <v>44803</v>
      </c>
      <c r="C671" s="1" t="n">
        <v>45703</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36320-2022</t>
        </is>
      </c>
      <c r="B672" s="1" t="n">
        <v>44803</v>
      </c>
      <c r="C672" s="1" t="n">
        <v>45703</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39225-2022</t>
        </is>
      </c>
      <c r="B673" s="1" t="n">
        <v>44817</v>
      </c>
      <c r="C673" s="1" t="n">
        <v>45703</v>
      </c>
      <c r="D673" t="inlineStr">
        <is>
          <t>KALMAR LÄN</t>
        </is>
      </c>
      <c r="E673" t="inlineStr">
        <is>
          <t>VIMMERBY</t>
        </is>
      </c>
      <c r="G673" t="n">
        <v>2.2</v>
      </c>
      <c r="H673" t="n">
        <v>0</v>
      </c>
      <c r="I673" t="n">
        <v>0</v>
      </c>
      <c r="J673" t="n">
        <v>0</v>
      </c>
      <c r="K673" t="n">
        <v>0</v>
      </c>
      <c r="L673" t="n">
        <v>0</v>
      </c>
      <c r="M673" t="n">
        <v>0</v>
      </c>
      <c r="N673" t="n">
        <v>0</v>
      </c>
      <c r="O673" t="n">
        <v>0</v>
      </c>
      <c r="P673" t="n">
        <v>0</v>
      </c>
      <c r="Q673" t="n">
        <v>0</v>
      </c>
      <c r="R673" s="2" t="inlineStr"/>
    </row>
    <row r="674" ht="15" customHeight="1">
      <c r="A674" t="inlineStr">
        <is>
          <t>A 39042-2022</t>
        </is>
      </c>
      <c r="B674" s="1" t="n">
        <v>44817</v>
      </c>
      <c r="C674" s="1" t="n">
        <v>45703</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39959-2022</t>
        </is>
      </c>
      <c r="B675" s="1" t="n">
        <v>44819</v>
      </c>
      <c r="C675" s="1" t="n">
        <v>45703</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40095-2022</t>
        </is>
      </c>
      <c r="B676" s="1" t="n">
        <v>44820</v>
      </c>
      <c r="C676" s="1" t="n">
        <v>45703</v>
      </c>
      <c r="D676" t="inlineStr">
        <is>
          <t>KALMAR LÄN</t>
        </is>
      </c>
      <c r="E676" t="inlineStr">
        <is>
          <t>VIMMERBY</t>
        </is>
      </c>
      <c r="G676" t="n">
        <v>2.4</v>
      </c>
      <c r="H676" t="n">
        <v>0</v>
      </c>
      <c r="I676" t="n">
        <v>0</v>
      </c>
      <c r="J676" t="n">
        <v>0</v>
      </c>
      <c r="K676" t="n">
        <v>0</v>
      </c>
      <c r="L676" t="n">
        <v>0</v>
      </c>
      <c r="M676" t="n">
        <v>0</v>
      </c>
      <c r="N676" t="n">
        <v>0</v>
      </c>
      <c r="O676" t="n">
        <v>0</v>
      </c>
      <c r="P676" t="n">
        <v>0</v>
      </c>
      <c r="Q676" t="n">
        <v>0</v>
      </c>
      <c r="R676" s="2" t="inlineStr"/>
    </row>
    <row r="677" ht="15" customHeight="1">
      <c r="A677" t="inlineStr">
        <is>
          <t>A 40026-2022</t>
        </is>
      </c>
      <c r="B677" s="1" t="n">
        <v>44820</v>
      </c>
      <c r="C677" s="1" t="n">
        <v>45703</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40916-2022</t>
        </is>
      </c>
      <c r="B678" s="1" t="n">
        <v>44820</v>
      </c>
      <c r="C678" s="1" t="n">
        <v>45703</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40472-2022</t>
        </is>
      </c>
      <c r="B679" s="1" t="n">
        <v>44823</v>
      </c>
      <c r="C679" s="1" t="n">
        <v>45703</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40728-2022</t>
        </is>
      </c>
      <c r="B680" s="1" t="n">
        <v>44824</v>
      </c>
      <c r="C680" s="1" t="n">
        <v>45703</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41056-2022</t>
        </is>
      </c>
      <c r="B681" s="1" t="n">
        <v>44824</v>
      </c>
      <c r="C681" s="1" t="n">
        <v>45703</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40929-2022</t>
        </is>
      </c>
      <c r="B682" s="1" t="n">
        <v>44825</v>
      </c>
      <c r="C682" s="1" t="n">
        <v>45703</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40927-2022</t>
        </is>
      </c>
      <c r="B683" s="1" t="n">
        <v>44825</v>
      </c>
      <c r="C683" s="1" t="n">
        <v>45703</v>
      </c>
      <c r="D683" t="inlineStr">
        <is>
          <t>KALMAR LÄN</t>
        </is>
      </c>
      <c r="E683" t="inlineStr">
        <is>
          <t>VIMMERBY</t>
        </is>
      </c>
      <c r="G683" t="n">
        <v>3.2</v>
      </c>
      <c r="H683" t="n">
        <v>0</v>
      </c>
      <c r="I683" t="n">
        <v>0</v>
      </c>
      <c r="J683" t="n">
        <v>0</v>
      </c>
      <c r="K683" t="n">
        <v>0</v>
      </c>
      <c r="L683" t="n">
        <v>0</v>
      </c>
      <c r="M683" t="n">
        <v>0</v>
      </c>
      <c r="N683" t="n">
        <v>0</v>
      </c>
      <c r="O683" t="n">
        <v>0</v>
      </c>
      <c r="P683" t="n">
        <v>0</v>
      </c>
      <c r="Q683" t="n">
        <v>0</v>
      </c>
      <c r="R683" s="2" t="inlineStr"/>
    </row>
    <row r="684" ht="15" customHeight="1">
      <c r="A684" t="inlineStr">
        <is>
          <t>A 41424-2022</t>
        </is>
      </c>
      <c r="B684" s="1" t="n">
        <v>44826</v>
      </c>
      <c r="C684" s="1" t="n">
        <v>45703</v>
      </c>
      <c r="D684" t="inlineStr">
        <is>
          <t>KALMAR LÄN</t>
        </is>
      </c>
      <c r="E684" t="inlineStr">
        <is>
          <t>VIMMERBY</t>
        </is>
      </c>
      <c r="G684" t="n">
        <v>4.8</v>
      </c>
      <c r="H684" t="n">
        <v>0</v>
      </c>
      <c r="I684" t="n">
        <v>0</v>
      </c>
      <c r="J684" t="n">
        <v>0</v>
      </c>
      <c r="K684" t="n">
        <v>0</v>
      </c>
      <c r="L684" t="n">
        <v>0</v>
      </c>
      <c r="M684" t="n">
        <v>0</v>
      </c>
      <c r="N684" t="n">
        <v>0</v>
      </c>
      <c r="O684" t="n">
        <v>0</v>
      </c>
      <c r="P684" t="n">
        <v>0</v>
      </c>
      <c r="Q684" t="n">
        <v>0</v>
      </c>
      <c r="R684" s="2" t="inlineStr"/>
    </row>
    <row r="685" ht="15" customHeight="1">
      <c r="A685" t="inlineStr">
        <is>
          <t>A 41438-2022</t>
        </is>
      </c>
      <c r="B685" s="1" t="n">
        <v>44826</v>
      </c>
      <c r="C685" s="1" t="n">
        <v>45703</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42850-2022</t>
        </is>
      </c>
      <c r="B686" s="1" t="n">
        <v>44832</v>
      </c>
      <c r="C686" s="1" t="n">
        <v>45703</v>
      </c>
      <c r="D686" t="inlineStr">
        <is>
          <t>KALMAR LÄN</t>
        </is>
      </c>
      <c r="E686" t="inlineStr">
        <is>
          <t>VIMMERBY</t>
        </is>
      </c>
      <c r="G686" t="n">
        <v>5.9</v>
      </c>
      <c r="H686" t="n">
        <v>0</v>
      </c>
      <c r="I686" t="n">
        <v>0</v>
      </c>
      <c r="J686" t="n">
        <v>0</v>
      </c>
      <c r="K686" t="n">
        <v>0</v>
      </c>
      <c r="L686" t="n">
        <v>0</v>
      </c>
      <c r="M686" t="n">
        <v>0</v>
      </c>
      <c r="N686" t="n">
        <v>0</v>
      </c>
      <c r="O686" t="n">
        <v>0</v>
      </c>
      <c r="P686" t="n">
        <v>0</v>
      </c>
      <c r="Q686" t="n">
        <v>0</v>
      </c>
      <c r="R686" s="2" t="inlineStr"/>
    </row>
    <row r="687" ht="15" customHeight="1">
      <c r="A687" t="inlineStr">
        <is>
          <t>A 43038-2022</t>
        </is>
      </c>
      <c r="B687" s="1" t="n">
        <v>44833</v>
      </c>
      <c r="C687" s="1" t="n">
        <v>45703</v>
      </c>
      <c r="D687" t="inlineStr">
        <is>
          <t>KALMAR LÄN</t>
        </is>
      </c>
      <c r="E687" t="inlineStr">
        <is>
          <t>VIMMERBY</t>
        </is>
      </c>
      <c r="G687" t="n">
        <v>4.2</v>
      </c>
      <c r="H687" t="n">
        <v>0</v>
      </c>
      <c r="I687" t="n">
        <v>0</v>
      </c>
      <c r="J687" t="n">
        <v>0</v>
      </c>
      <c r="K687" t="n">
        <v>0</v>
      </c>
      <c r="L687" t="n">
        <v>0</v>
      </c>
      <c r="M687" t="n">
        <v>0</v>
      </c>
      <c r="N687" t="n">
        <v>0</v>
      </c>
      <c r="O687" t="n">
        <v>0</v>
      </c>
      <c r="P687" t="n">
        <v>0</v>
      </c>
      <c r="Q687" t="n">
        <v>0</v>
      </c>
      <c r="R687" s="2" t="inlineStr"/>
    </row>
    <row r="688" ht="15" customHeight="1">
      <c r="A688" t="inlineStr">
        <is>
          <t>A 43272-2022</t>
        </is>
      </c>
      <c r="B688" s="1" t="n">
        <v>44834</v>
      </c>
      <c r="C688" s="1" t="n">
        <v>45703</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43553-2022</t>
        </is>
      </c>
      <c r="B689" s="1" t="n">
        <v>44837</v>
      </c>
      <c r="C689" s="1" t="n">
        <v>45703</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44179-2022</t>
        </is>
      </c>
      <c r="B690" s="1" t="n">
        <v>44839</v>
      </c>
      <c r="C690" s="1" t="n">
        <v>45703</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44654-2022</t>
        </is>
      </c>
      <c r="B691" s="1" t="n">
        <v>44840</v>
      </c>
      <c r="C691" s="1" t="n">
        <v>45703</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44651-2022</t>
        </is>
      </c>
      <c r="B692" s="1" t="n">
        <v>44840</v>
      </c>
      <c r="C692" s="1" t="n">
        <v>45703</v>
      </c>
      <c r="D692" t="inlineStr">
        <is>
          <t>KALMAR LÄN</t>
        </is>
      </c>
      <c r="E692" t="inlineStr">
        <is>
          <t>VIMMERBY</t>
        </is>
      </c>
      <c r="G692" t="n">
        <v>5.3</v>
      </c>
      <c r="H692" t="n">
        <v>0</v>
      </c>
      <c r="I692" t="n">
        <v>0</v>
      </c>
      <c r="J692" t="n">
        <v>0</v>
      </c>
      <c r="K692" t="n">
        <v>0</v>
      </c>
      <c r="L692" t="n">
        <v>0</v>
      </c>
      <c r="M692" t="n">
        <v>0</v>
      </c>
      <c r="N692" t="n">
        <v>0</v>
      </c>
      <c r="O692" t="n">
        <v>0</v>
      </c>
      <c r="P692" t="n">
        <v>0</v>
      </c>
      <c r="Q692" t="n">
        <v>0</v>
      </c>
      <c r="R692" s="2" t="inlineStr"/>
    </row>
    <row r="693" ht="15" customHeight="1">
      <c r="A693" t="inlineStr">
        <is>
          <t>A 44656-2022</t>
        </is>
      </c>
      <c r="B693" s="1" t="n">
        <v>44840</v>
      </c>
      <c r="C693" s="1" t="n">
        <v>45703</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45861-2022</t>
        </is>
      </c>
      <c r="B694" s="1" t="n">
        <v>44846</v>
      </c>
      <c r="C694" s="1" t="n">
        <v>45703</v>
      </c>
      <c r="D694" t="inlineStr">
        <is>
          <t>KALMAR LÄN</t>
        </is>
      </c>
      <c r="E694" t="inlineStr">
        <is>
          <t>VIMMERBY</t>
        </is>
      </c>
      <c r="G694" t="n">
        <v>3.5</v>
      </c>
      <c r="H694" t="n">
        <v>0</v>
      </c>
      <c r="I694" t="n">
        <v>0</v>
      </c>
      <c r="J694" t="n">
        <v>0</v>
      </c>
      <c r="K694" t="n">
        <v>0</v>
      </c>
      <c r="L694" t="n">
        <v>0</v>
      </c>
      <c r="M694" t="n">
        <v>0</v>
      </c>
      <c r="N694" t="n">
        <v>0</v>
      </c>
      <c r="O694" t="n">
        <v>0</v>
      </c>
      <c r="P694" t="n">
        <v>0</v>
      </c>
      <c r="Q694" t="n">
        <v>0</v>
      </c>
      <c r="R694" s="2" t="inlineStr"/>
    </row>
    <row r="695" ht="15" customHeight="1">
      <c r="A695" t="inlineStr">
        <is>
          <t>A 45858-2022</t>
        </is>
      </c>
      <c r="B695" s="1" t="n">
        <v>44846</v>
      </c>
      <c r="C695" s="1" t="n">
        <v>45703</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46522-2022</t>
        </is>
      </c>
      <c r="B696" s="1" t="n">
        <v>44848</v>
      </c>
      <c r="C696" s="1" t="n">
        <v>45703</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46964-2022</t>
        </is>
      </c>
      <c r="B697" s="1" t="n">
        <v>44852</v>
      </c>
      <c r="C697" s="1" t="n">
        <v>45703</v>
      </c>
      <c r="D697" t="inlineStr">
        <is>
          <t>KALMAR LÄN</t>
        </is>
      </c>
      <c r="E697" t="inlineStr">
        <is>
          <t>VIMMERBY</t>
        </is>
      </c>
      <c r="G697" t="n">
        <v>0.2</v>
      </c>
      <c r="H697" t="n">
        <v>0</v>
      </c>
      <c r="I697" t="n">
        <v>0</v>
      </c>
      <c r="J697" t="n">
        <v>0</v>
      </c>
      <c r="K697" t="n">
        <v>0</v>
      </c>
      <c r="L697" t="n">
        <v>0</v>
      </c>
      <c r="M697" t="n">
        <v>0</v>
      </c>
      <c r="N697" t="n">
        <v>0</v>
      </c>
      <c r="O697" t="n">
        <v>0</v>
      </c>
      <c r="P697" t="n">
        <v>0</v>
      </c>
      <c r="Q697" t="n">
        <v>0</v>
      </c>
      <c r="R697" s="2" t="inlineStr"/>
    </row>
    <row r="698" ht="15" customHeight="1">
      <c r="A698" t="inlineStr">
        <is>
          <t>A 47214-2022</t>
        </is>
      </c>
      <c r="B698" s="1" t="n">
        <v>44852</v>
      </c>
      <c r="C698" s="1" t="n">
        <v>45703</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47063-2022</t>
        </is>
      </c>
      <c r="B699" s="1" t="n">
        <v>44852</v>
      </c>
      <c r="C699" s="1" t="n">
        <v>45703</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47708-2022</t>
        </is>
      </c>
      <c r="B700" s="1" t="n">
        <v>44854</v>
      </c>
      <c r="C700" s="1" t="n">
        <v>45703</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47769-2022</t>
        </is>
      </c>
      <c r="B701" s="1" t="n">
        <v>44854</v>
      </c>
      <c r="C701" s="1" t="n">
        <v>45703</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48120-2022</t>
        </is>
      </c>
      <c r="B702" s="1" t="n">
        <v>44857</v>
      </c>
      <c r="C702" s="1" t="n">
        <v>45703</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49313-2022</t>
        </is>
      </c>
      <c r="B703" s="1" t="n">
        <v>44861</v>
      </c>
      <c r="C703" s="1" t="n">
        <v>45703</v>
      </c>
      <c r="D703" t="inlineStr">
        <is>
          <t>KALMAR LÄN</t>
        </is>
      </c>
      <c r="E703" t="inlineStr">
        <is>
          <t>VIMMERBY</t>
        </is>
      </c>
      <c r="G703" t="n">
        <v>1.9</v>
      </c>
      <c r="H703" t="n">
        <v>0</v>
      </c>
      <c r="I703" t="n">
        <v>0</v>
      </c>
      <c r="J703" t="n">
        <v>0</v>
      </c>
      <c r="K703" t="n">
        <v>0</v>
      </c>
      <c r="L703" t="n">
        <v>0</v>
      </c>
      <c r="M703" t="n">
        <v>0</v>
      </c>
      <c r="N703" t="n">
        <v>0</v>
      </c>
      <c r="O703" t="n">
        <v>0</v>
      </c>
      <c r="P703" t="n">
        <v>0</v>
      </c>
      <c r="Q703" t="n">
        <v>0</v>
      </c>
      <c r="R703" s="2" t="inlineStr"/>
    </row>
    <row r="704" ht="15" customHeight="1">
      <c r="A704" t="inlineStr">
        <is>
          <t>A 49461-2022</t>
        </is>
      </c>
      <c r="B704" s="1" t="n">
        <v>44861</v>
      </c>
      <c r="C704" s="1" t="n">
        <v>45703</v>
      </c>
      <c r="D704" t="inlineStr">
        <is>
          <t>KALMAR LÄN</t>
        </is>
      </c>
      <c r="E704" t="inlineStr">
        <is>
          <t>VIMMERBY</t>
        </is>
      </c>
      <c r="G704" t="n">
        <v>3.2</v>
      </c>
      <c r="H704" t="n">
        <v>0</v>
      </c>
      <c r="I704" t="n">
        <v>0</v>
      </c>
      <c r="J704" t="n">
        <v>0</v>
      </c>
      <c r="K704" t="n">
        <v>0</v>
      </c>
      <c r="L704" t="n">
        <v>0</v>
      </c>
      <c r="M704" t="n">
        <v>0</v>
      </c>
      <c r="N704" t="n">
        <v>0</v>
      </c>
      <c r="O704" t="n">
        <v>0</v>
      </c>
      <c r="P704" t="n">
        <v>0</v>
      </c>
      <c r="Q704" t="n">
        <v>0</v>
      </c>
      <c r="R704" s="2" t="inlineStr"/>
    </row>
    <row r="705" ht="15" customHeight="1">
      <c r="A705" t="inlineStr">
        <is>
          <t>A 50809-2022</t>
        </is>
      </c>
      <c r="B705" s="1" t="n">
        <v>44862</v>
      </c>
      <c r="C705" s="1" t="n">
        <v>45703</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50804-2022</t>
        </is>
      </c>
      <c r="B706" s="1" t="n">
        <v>44862</v>
      </c>
      <c r="C706" s="1" t="n">
        <v>45703</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50535-2022</t>
        </is>
      </c>
      <c r="B707" s="1" t="n">
        <v>44866</v>
      </c>
      <c r="C707" s="1" t="n">
        <v>45703</v>
      </c>
      <c r="D707" t="inlineStr">
        <is>
          <t>KALMAR LÄN</t>
        </is>
      </c>
      <c r="E707" t="inlineStr">
        <is>
          <t>VIMMERBY</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50621-2022</t>
        </is>
      </c>
      <c r="B708" s="1" t="n">
        <v>44866</v>
      </c>
      <c r="C708" s="1" t="n">
        <v>45703</v>
      </c>
      <c r="D708" t="inlineStr">
        <is>
          <t>KALMAR LÄN</t>
        </is>
      </c>
      <c r="E708" t="inlineStr">
        <is>
          <t>VIMMERBY</t>
        </is>
      </c>
      <c r="F708" t="inlineStr">
        <is>
          <t>Övriga Aktiebolag</t>
        </is>
      </c>
      <c r="G708" t="n">
        <v>5.1</v>
      </c>
      <c r="H708" t="n">
        <v>0</v>
      </c>
      <c r="I708" t="n">
        <v>0</v>
      </c>
      <c r="J708" t="n">
        <v>0</v>
      </c>
      <c r="K708" t="n">
        <v>0</v>
      </c>
      <c r="L708" t="n">
        <v>0</v>
      </c>
      <c r="M708" t="n">
        <v>0</v>
      </c>
      <c r="N708" t="n">
        <v>0</v>
      </c>
      <c r="O708" t="n">
        <v>0</v>
      </c>
      <c r="P708" t="n">
        <v>0</v>
      </c>
      <c r="Q708" t="n">
        <v>0</v>
      </c>
      <c r="R708" s="2" t="inlineStr"/>
    </row>
    <row r="709" ht="15" customHeight="1">
      <c r="A709" t="inlineStr">
        <is>
          <t>A 50860-2022</t>
        </is>
      </c>
      <c r="B709" s="1" t="n">
        <v>44867</v>
      </c>
      <c r="C709" s="1" t="n">
        <v>45703</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50995-2022</t>
        </is>
      </c>
      <c r="B710" s="1" t="n">
        <v>44867</v>
      </c>
      <c r="C710" s="1" t="n">
        <v>45703</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50993-2022</t>
        </is>
      </c>
      <c r="B711" s="1" t="n">
        <v>44867</v>
      </c>
      <c r="C711" s="1" t="n">
        <v>45703</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52753-2022</t>
        </is>
      </c>
      <c r="B712" s="1" t="n">
        <v>44875</v>
      </c>
      <c r="C712" s="1" t="n">
        <v>45703</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52755-2022</t>
        </is>
      </c>
      <c r="B713" s="1" t="n">
        <v>44875</v>
      </c>
      <c r="C713" s="1" t="n">
        <v>45703</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53145-2022</t>
        </is>
      </c>
      <c r="B714" s="1" t="n">
        <v>44876</v>
      </c>
      <c r="C714" s="1" t="n">
        <v>45703</v>
      </c>
      <c r="D714" t="inlineStr">
        <is>
          <t>KALMAR LÄN</t>
        </is>
      </c>
      <c r="E714" t="inlineStr">
        <is>
          <t>VIMMERBY</t>
        </is>
      </c>
      <c r="G714" t="n">
        <v>0.4</v>
      </c>
      <c r="H714" t="n">
        <v>0</v>
      </c>
      <c r="I714" t="n">
        <v>0</v>
      </c>
      <c r="J714" t="n">
        <v>0</v>
      </c>
      <c r="K714" t="n">
        <v>0</v>
      </c>
      <c r="L714" t="n">
        <v>0</v>
      </c>
      <c r="M714" t="n">
        <v>0</v>
      </c>
      <c r="N714" t="n">
        <v>0</v>
      </c>
      <c r="O714" t="n">
        <v>0</v>
      </c>
      <c r="P714" t="n">
        <v>0</v>
      </c>
      <c r="Q714" t="n">
        <v>0</v>
      </c>
      <c r="R714" s="2" t="inlineStr"/>
    </row>
    <row r="715" ht="15" customHeight="1">
      <c r="A715" t="inlineStr">
        <is>
          <t>A 53247-2022</t>
        </is>
      </c>
      <c r="B715" s="1" t="n">
        <v>44876</v>
      </c>
      <c r="C715" s="1" t="n">
        <v>45703</v>
      </c>
      <c r="D715" t="inlineStr">
        <is>
          <t>KALMAR LÄN</t>
        </is>
      </c>
      <c r="E715" t="inlineStr">
        <is>
          <t>VIMMERBY</t>
        </is>
      </c>
      <c r="G715" t="n">
        <v>3.3</v>
      </c>
      <c r="H715" t="n">
        <v>0</v>
      </c>
      <c r="I715" t="n">
        <v>0</v>
      </c>
      <c r="J715" t="n">
        <v>0</v>
      </c>
      <c r="K715" t="n">
        <v>0</v>
      </c>
      <c r="L715" t="n">
        <v>0</v>
      </c>
      <c r="M715" t="n">
        <v>0</v>
      </c>
      <c r="N715" t="n">
        <v>0</v>
      </c>
      <c r="O715" t="n">
        <v>0</v>
      </c>
      <c r="P715" t="n">
        <v>0</v>
      </c>
      <c r="Q715" t="n">
        <v>0</v>
      </c>
      <c r="R715" s="2" t="inlineStr"/>
    </row>
    <row r="716" ht="15" customHeight="1">
      <c r="A716" t="inlineStr">
        <is>
          <t>A 53482-2022</t>
        </is>
      </c>
      <c r="B716" s="1" t="n">
        <v>44879</v>
      </c>
      <c r="C716" s="1" t="n">
        <v>45703</v>
      </c>
      <c r="D716" t="inlineStr">
        <is>
          <t>KALMAR LÄN</t>
        </is>
      </c>
      <c r="E716" t="inlineStr">
        <is>
          <t>VIMMERBY</t>
        </is>
      </c>
      <c r="G716" t="n">
        <v>10.1</v>
      </c>
      <c r="H716" t="n">
        <v>0</v>
      </c>
      <c r="I716" t="n">
        <v>0</v>
      </c>
      <c r="J716" t="n">
        <v>0</v>
      </c>
      <c r="K716" t="n">
        <v>0</v>
      </c>
      <c r="L716" t="n">
        <v>0</v>
      </c>
      <c r="M716" t="n">
        <v>0</v>
      </c>
      <c r="N716" t="n">
        <v>0</v>
      </c>
      <c r="O716" t="n">
        <v>0</v>
      </c>
      <c r="P716" t="n">
        <v>0</v>
      </c>
      <c r="Q716" t="n">
        <v>0</v>
      </c>
      <c r="R716" s="2" t="inlineStr"/>
    </row>
    <row r="717" ht="15" customHeight="1">
      <c r="A717" t="inlineStr">
        <is>
          <t>A 53542-2022</t>
        </is>
      </c>
      <c r="B717" s="1" t="n">
        <v>44879</v>
      </c>
      <c r="C717" s="1" t="n">
        <v>45703</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53483-2022</t>
        </is>
      </c>
      <c r="B718" s="1" t="n">
        <v>44879</v>
      </c>
      <c r="C718" s="1" t="n">
        <v>45703</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54020-2022</t>
        </is>
      </c>
      <c r="B719" s="1" t="n">
        <v>44881</v>
      </c>
      <c r="C719" s="1" t="n">
        <v>45703</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54749-2022</t>
        </is>
      </c>
      <c r="B720" s="1" t="n">
        <v>44883</v>
      </c>
      <c r="C720" s="1" t="n">
        <v>45703</v>
      </c>
      <c r="D720" t="inlineStr">
        <is>
          <t>KALMAR LÄN</t>
        </is>
      </c>
      <c r="E720" t="inlineStr">
        <is>
          <t>VIMMERBY</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54745-2022</t>
        </is>
      </c>
      <c r="B721" s="1" t="n">
        <v>44883</v>
      </c>
      <c r="C721" s="1" t="n">
        <v>45703</v>
      </c>
      <c r="D721" t="inlineStr">
        <is>
          <t>KALMAR LÄN</t>
        </is>
      </c>
      <c r="E721" t="inlineStr">
        <is>
          <t>VIMMERBY</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54877-2022</t>
        </is>
      </c>
      <c r="B722" s="1" t="n">
        <v>44886</v>
      </c>
      <c r="C722" s="1" t="n">
        <v>45703</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55333-2022</t>
        </is>
      </c>
      <c r="B723" s="1" t="n">
        <v>44887</v>
      </c>
      <c r="C723" s="1" t="n">
        <v>45703</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57682-2022</t>
        </is>
      </c>
      <c r="B724" s="1" t="n">
        <v>44890</v>
      </c>
      <c r="C724" s="1" t="n">
        <v>45703</v>
      </c>
      <c r="D724" t="inlineStr">
        <is>
          <t>KALMAR LÄN</t>
        </is>
      </c>
      <c r="E724" t="inlineStr">
        <is>
          <t>VIMMERBY</t>
        </is>
      </c>
      <c r="G724" t="n">
        <v>1.5</v>
      </c>
      <c r="H724" t="n">
        <v>0</v>
      </c>
      <c r="I724" t="n">
        <v>0</v>
      </c>
      <c r="J724" t="n">
        <v>0</v>
      </c>
      <c r="K724" t="n">
        <v>0</v>
      </c>
      <c r="L724" t="n">
        <v>0</v>
      </c>
      <c r="M724" t="n">
        <v>0</v>
      </c>
      <c r="N724" t="n">
        <v>0</v>
      </c>
      <c r="O724" t="n">
        <v>0</v>
      </c>
      <c r="P724" t="n">
        <v>0</v>
      </c>
      <c r="Q724" t="n">
        <v>0</v>
      </c>
      <c r="R724" s="2" t="inlineStr"/>
    </row>
    <row r="725" ht="15" customHeight="1">
      <c r="A725" t="inlineStr">
        <is>
          <t>A 56582-2022</t>
        </is>
      </c>
      <c r="B725" s="1" t="n">
        <v>44893</v>
      </c>
      <c r="C725" s="1" t="n">
        <v>45703</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56536-2022</t>
        </is>
      </c>
      <c r="B726" s="1" t="n">
        <v>44893</v>
      </c>
      <c r="C726" s="1" t="n">
        <v>45703</v>
      </c>
      <c r="D726" t="inlineStr">
        <is>
          <t>KALMAR LÄN</t>
        </is>
      </c>
      <c r="E726" t="inlineStr">
        <is>
          <t>VIMMERBY</t>
        </is>
      </c>
      <c r="G726" t="n">
        <v>3.2</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v>
      </c>
      <c r="C727" s="1" t="n">
        <v>45703</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57091-2022</t>
        </is>
      </c>
      <c r="B728" s="1" t="n">
        <v>44895</v>
      </c>
      <c r="C728" s="1" t="n">
        <v>45703</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57189-2022</t>
        </is>
      </c>
      <c r="B729" s="1" t="n">
        <v>44895</v>
      </c>
      <c r="C729" s="1" t="n">
        <v>45703</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57190-2022</t>
        </is>
      </c>
      <c r="B730" s="1" t="n">
        <v>44895</v>
      </c>
      <c r="C730" s="1" t="n">
        <v>45703</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58967-2022</t>
        </is>
      </c>
      <c r="B731" s="1" t="n">
        <v>44896</v>
      </c>
      <c r="C731" s="1" t="n">
        <v>45703</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57799-2022</t>
        </is>
      </c>
      <c r="B732" s="1" t="n">
        <v>44897</v>
      </c>
      <c r="C732" s="1" t="n">
        <v>45703</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58046-2022</t>
        </is>
      </c>
      <c r="B733" s="1" t="n">
        <v>44900</v>
      </c>
      <c r="C733" s="1" t="n">
        <v>45703</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58750-2022</t>
        </is>
      </c>
      <c r="B734" s="1" t="n">
        <v>44903</v>
      </c>
      <c r="C734" s="1" t="n">
        <v>45703</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58962-2022</t>
        </is>
      </c>
      <c r="B735" s="1" t="n">
        <v>44903</v>
      </c>
      <c r="C735" s="1" t="n">
        <v>45703</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60110-2022</t>
        </is>
      </c>
      <c r="B736" s="1" t="n">
        <v>44909</v>
      </c>
      <c r="C736" s="1" t="n">
        <v>45703</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60230-2022</t>
        </is>
      </c>
      <c r="B737" s="1" t="n">
        <v>44910</v>
      </c>
      <c r="C737" s="1" t="n">
        <v>45703</v>
      </c>
      <c r="D737" t="inlineStr">
        <is>
          <t>KALMAR LÄN</t>
        </is>
      </c>
      <c r="E737" t="inlineStr">
        <is>
          <t>VIMMERBY</t>
        </is>
      </c>
      <c r="G737" t="n">
        <v>11.3</v>
      </c>
      <c r="H737" t="n">
        <v>0</v>
      </c>
      <c r="I737" t="n">
        <v>0</v>
      </c>
      <c r="J737" t="n">
        <v>0</v>
      </c>
      <c r="K737" t="n">
        <v>0</v>
      </c>
      <c r="L737" t="n">
        <v>0</v>
      </c>
      <c r="M737" t="n">
        <v>0</v>
      </c>
      <c r="N737" t="n">
        <v>0</v>
      </c>
      <c r="O737" t="n">
        <v>0</v>
      </c>
      <c r="P737" t="n">
        <v>0</v>
      </c>
      <c r="Q737" t="n">
        <v>0</v>
      </c>
      <c r="R737" s="2" t="inlineStr"/>
    </row>
    <row r="738" ht="15" customHeight="1">
      <c r="A738" t="inlineStr">
        <is>
          <t>A 60215-2022</t>
        </is>
      </c>
      <c r="B738" s="1" t="n">
        <v>44910</v>
      </c>
      <c r="C738" s="1" t="n">
        <v>45703</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60292-2022</t>
        </is>
      </c>
      <c r="B739" s="1" t="n">
        <v>44910</v>
      </c>
      <c r="C739" s="1" t="n">
        <v>45703</v>
      </c>
      <c r="D739" t="inlineStr">
        <is>
          <t>KALMAR LÄN</t>
        </is>
      </c>
      <c r="E739" t="inlineStr">
        <is>
          <t>VIMMERBY</t>
        </is>
      </c>
      <c r="G739" t="n">
        <v>4.4</v>
      </c>
      <c r="H739" t="n">
        <v>0</v>
      </c>
      <c r="I739" t="n">
        <v>0</v>
      </c>
      <c r="J739" t="n">
        <v>0</v>
      </c>
      <c r="K739" t="n">
        <v>0</v>
      </c>
      <c r="L739" t="n">
        <v>0</v>
      </c>
      <c r="M739" t="n">
        <v>0</v>
      </c>
      <c r="N739" t="n">
        <v>0</v>
      </c>
      <c r="O739" t="n">
        <v>0</v>
      </c>
      <c r="P739" t="n">
        <v>0</v>
      </c>
      <c r="Q739" t="n">
        <v>0</v>
      </c>
      <c r="R739" s="2" t="inlineStr"/>
    </row>
    <row r="740" ht="15" customHeight="1">
      <c r="A740" t="inlineStr">
        <is>
          <t>A 60339-2022</t>
        </is>
      </c>
      <c r="B740" s="1" t="n">
        <v>44910</v>
      </c>
      <c r="C740" s="1" t="n">
        <v>45703</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v>
      </c>
      <c r="C741" s="1" t="n">
        <v>45703</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62075-2022</t>
        </is>
      </c>
      <c r="B742" s="1" t="n">
        <v>44918</v>
      </c>
      <c r="C742" s="1" t="n">
        <v>45703</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62023-2022</t>
        </is>
      </c>
      <c r="B743" s="1" t="n">
        <v>44918</v>
      </c>
      <c r="C743" s="1" t="n">
        <v>45703</v>
      </c>
      <c r="D743" t="inlineStr">
        <is>
          <t>KALMAR LÄN</t>
        </is>
      </c>
      <c r="E743" t="inlineStr">
        <is>
          <t>VIMMERBY</t>
        </is>
      </c>
      <c r="G743" t="n">
        <v>0.3</v>
      </c>
      <c r="H743" t="n">
        <v>0</v>
      </c>
      <c r="I743" t="n">
        <v>0</v>
      </c>
      <c r="J743" t="n">
        <v>0</v>
      </c>
      <c r="K743" t="n">
        <v>0</v>
      </c>
      <c r="L743" t="n">
        <v>0</v>
      </c>
      <c r="M743" t="n">
        <v>0</v>
      </c>
      <c r="N743" t="n">
        <v>0</v>
      </c>
      <c r="O743" t="n">
        <v>0</v>
      </c>
      <c r="P743" t="n">
        <v>0</v>
      </c>
      <c r="Q743" t="n">
        <v>0</v>
      </c>
      <c r="R743" s="2" t="inlineStr"/>
    </row>
    <row r="744" ht="15" customHeight="1">
      <c r="A744" t="inlineStr">
        <is>
          <t>A 89-2023</t>
        </is>
      </c>
      <c r="B744" s="1" t="n">
        <v>44918</v>
      </c>
      <c r="C744" s="1" t="n">
        <v>45703</v>
      </c>
      <c r="D744" t="inlineStr">
        <is>
          <t>KALMAR LÄN</t>
        </is>
      </c>
      <c r="E744" t="inlineStr">
        <is>
          <t>VIMMERBY</t>
        </is>
      </c>
      <c r="G744" t="n">
        <v>16.1</v>
      </c>
      <c r="H744" t="n">
        <v>0</v>
      </c>
      <c r="I744" t="n">
        <v>0</v>
      </c>
      <c r="J744" t="n">
        <v>0</v>
      </c>
      <c r="K744" t="n">
        <v>0</v>
      </c>
      <c r="L744" t="n">
        <v>0</v>
      </c>
      <c r="M744" t="n">
        <v>0</v>
      </c>
      <c r="N744" t="n">
        <v>0</v>
      </c>
      <c r="O744" t="n">
        <v>0</v>
      </c>
      <c r="P744" t="n">
        <v>0</v>
      </c>
      <c r="Q744" t="n">
        <v>0</v>
      </c>
      <c r="R744" s="2" t="inlineStr"/>
    </row>
    <row r="745" ht="15" customHeight="1">
      <c r="A745" t="inlineStr">
        <is>
          <t>A 346-2023</t>
        </is>
      </c>
      <c r="B745" s="1" t="n">
        <v>44929</v>
      </c>
      <c r="C745" s="1" t="n">
        <v>45703</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343-2023</t>
        </is>
      </c>
      <c r="B746" s="1" t="n">
        <v>44929</v>
      </c>
      <c r="C746" s="1" t="n">
        <v>45703</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502-2023</t>
        </is>
      </c>
      <c r="B747" s="1" t="n">
        <v>44930</v>
      </c>
      <c r="C747" s="1" t="n">
        <v>45703</v>
      </c>
      <c r="D747" t="inlineStr">
        <is>
          <t>KALMAR LÄN</t>
        </is>
      </c>
      <c r="E747" t="inlineStr">
        <is>
          <t>VIMMERBY</t>
        </is>
      </c>
      <c r="G747" t="n">
        <v>5</v>
      </c>
      <c r="H747" t="n">
        <v>0</v>
      </c>
      <c r="I747" t="n">
        <v>0</v>
      </c>
      <c r="J747" t="n">
        <v>0</v>
      </c>
      <c r="K747" t="n">
        <v>0</v>
      </c>
      <c r="L747" t="n">
        <v>0</v>
      </c>
      <c r="M747" t="n">
        <v>0</v>
      </c>
      <c r="N747" t="n">
        <v>0</v>
      </c>
      <c r="O747" t="n">
        <v>0</v>
      </c>
      <c r="P747" t="n">
        <v>0</v>
      </c>
      <c r="Q747" t="n">
        <v>0</v>
      </c>
      <c r="R747" s="2" t="inlineStr"/>
    </row>
    <row r="748" ht="15" customHeight="1">
      <c r="A748" t="inlineStr">
        <is>
          <t>A 508-2023</t>
        </is>
      </c>
      <c r="B748" s="1" t="n">
        <v>44930</v>
      </c>
      <c r="C748" s="1" t="n">
        <v>45703</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845-2023</t>
        </is>
      </c>
      <c r="B749" s="1" t="n">
        <v>44931</v>
      </c>
      <c r="C749" s="1" t="n">
        <v>45703</v>
      </c>
      <c r="D749" t="inlineStr">
        <is>
          <t>KALMAR LÄN</t>
        </is>
      </c>
      <c r="E749" t="inlineStr">
        <is>
          <t>VIMMERBY</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1086-2023</t>
        </is>
      </c>
      <c r="B750" s="1" t="n">
        <v>44935</v>
      </c>
      <c r="C750" s="1" t="n">
        <v>45703</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1081-2023</t>
        </is>
      </c>
      <c r="B751" s="1" t="n">
        <v>44935</v>
      </c>
      <c r="C751" s="1" t="n">
        <v>45703</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1687-2023</t>
        </is>
      </c>
      <c r="B752" s="1" t="n">
        <v>44938</v>
      </c>
      <c r="C752" s="1" t="n">
        <v>45703</v>
      </c>
      <c r="D752" t="inlineStr">
        <is>
          <t>KALMAR LÄN</t>
        </is>
      </c>
      <c r="E752" t="inlineStr">
        <is>
          <t>VIMMERBY</t>
        </is>
      </c>
      <c r="F752" t="inlineStr">
        <is>
          <t>Kommuner</t>
        </is>
      </c>
      <c r="G752" t="n">
        <v>2.5</v>
      </c>
      <c r="H752" t="n">
        <v>0</v>
      </c>
      <c r="I752" t="n">
        <v>0</v>
      </c>
      <c r="J752" t="n">
        <v>0</v>
      </c>
      <c r="K752" t="n">
        <v>0</v>
      </c>
      <c r="L752" t="n">
        <v>0</v>
      </c>
      <c r="M752" t="n">
        <v>0</v>
      </c>
      <c r="N752" t="n">
        <v>0</v>
      </c>
      <c r="O752" t="n">
        <v>0</v>
      </c>
      <c r="P752" t="n">
        <v>0</v>
      </c>
      <c r="Q752" t="n">
        <v>0</v>
      </c>
      <c r="R752" s="2" t="inlineStr"/>
    </row>
    <row r="753" ht="15" customHeight="1">
      <c r="A753" t="inlineStr">
        <is>
          <t>A 1667-2023</t>
        </is>
      </c>
      <c r="B753" s="1" t="n">
        <v>44938</v>
      </c>
      <c r="C753" s="1" t="n">
        <v>45703</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1955-2023</t>
        </is>
      </c>
      <c r="B754" s="1" t="n">
        <v>44939</v>
      </c>
      <c r="C754" s="1" t="n">
        <v>45703</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2510-2023</t>
        </is>
      </c>
      <c r="B755" s="1" t="n">
        <v>44943</v>
      </c>
      <c r="C755" s="1" t="n">
        <v>45703</v>
      </c>
      <c r="D755" t="inlineStr">
        <is>
          <t>KALMAR LÄN</t>
        </is>
      </c>
      <c r="E755" t="inlineStr">
        <is>
          <t>VIMMERBY</t>
        </is>
      </c>
      <c r="G755" t="n">
        <v>8.6</v>
      </c>
      <c r="H755" t="n">
        <v>0</v>
      </c>
      <c r="I755" t="n">
        <v>0</v>
      </c>
      <c r="J755" t="n">
        <v>0</v>
      </c>
      <c r="K755" t="n">
        <v>0</v>
      </c>
      <c r="L755" t="n">
        <v>0</v>
      </c>
      <c r="M755" t="n">
        <v>0</v>
      </c>
      <c r="N755" t="n">
        <v>0</v>
      </c>
      <c r="O755" t="n">
        <v>0</v>
      </c>
      <c r="P755" t="n">
        <v>0</v>
      </c>
      <c r="Q755" t="n">
        <v>0</v>
      </c>
      <c r="R755" s="2" t="inlineStr"/>
    </row>
    <row r="756" ht="15" customHeight="1">
      <c r="A756" t="inlineStr">
        <is>
          <t>A 2536-2023</t>
        </is>
      </c>
      <c r="B756" s="1" t="n">
        <v>44943</v>
      </c>
      <c r="C756" s="1" t="n">
        <v>45703</v>
      </c>
      <c r="D756" t="inlineStr">
        <is>
          <t>KALMAR LÄN</t>
        </is>
      </c>
      <c r="E756" t="inlineStr">
        <is>
          <t>VIMMERBY</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2799-2023</t>
        </is>
      </c>
      <c r="B757" s="1" t="n">
        <v>44944</v>
      </c>
      <c r="C757" s="1" t="n">
        <v>45703</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2797-2023</t>
        </is>
      </c>
      <c r="B758" s="1" t="n">
        <v>44944</v>
      </c>
      <c r="C758" s="1" t="n">
        <v>45703</v>
      </c>
      <c r="D758" t="inlineStr">
        <is>
          <t>KALMAR LÄN</t>
        </is>
      </c>
      <c r="E758" t="inlineStr">
        <is>
          <t>VIMMERBY</t>
        </is>
      </c>
      <c r="G758" t="n">
        <v>3.4</v>
      </c>
      <c r="H758" t="n">
        <v>0</v>
      </c>
      <c r="I758" t="n">
        <v>0</v>
      </c>
      <c r="J758" t="n">
        <v>0</v>
      </c>
      <c r="K758" t="n">
        <v>0</v>
      </c>
      <c r="L758" t="n">
        <v>0</v>
      </c>
      <c r="M758" t="n">
        <v>0</v>
      </c>
      <c r="N758" t="n">
        <v>0</v>
      </c>
      <c r="O758" t="n">
        <v>0</v>
      </c>
      <c r="P758" t="n">
        <v>0</v>
      </c>
      <c r="Q758" t="n">
        <v>0</v>
      </c>
      <c r="R758" s="2" t="inlineStr"/>
    </row>
    <row r="759" ht="15" customHeight="1">
      <c r="A759" t="inlineStr">
        <is>
          <t>A 2801-2023</t>
        </is>
      </c>
      <c r="B759" s="1" t="n">
        <v>44944</v>
      </c>
      <c r="C759" s="1" t="n">
        <v>45703</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3331-2023</t>
        </is>
      </c>
      <c r="B760" s="1" t="n">
        <v>44949</v>
      </c>
      <c r="C760" s="1" t="n">
        <v>45703</v>
      </c>
      <c r="D760" t="inlineStr">
        <is>
          <t>KALMAR LÄN</t>
        </is>
      </c>
      <c r="E760" t="inlineStr">
        <is>
          <t>VIMMERBY</t>
        </is>
      </c>
      <c r="G760" t="n">
        <v>6.2</v>
      </c>
      <c r="H760" t="n">
        <v>0</v>
      </c>
      <c r="I760" t="n">
        <v>0</v>
      </c>
      <c r="J760" t="n">
        <v>0</v>
      </c>
      <c r="K760" t="n">
        <v>0</v>
      </c>
      <c r="L760" t="n">
        <v>0</v>
      </c>
      <c r="M760" t="n">
        <v>0</v>
      </c>
      <c r="N760" t="n">
        <v>0</v>
      </c>
      <c r="O760" t="n">
        <v>0</v>
      </c>
      <c r="P760" t="n">
        <v>0</v>
      </c>
      <c r="Q760" t="n">
        <v>0</v>
      </c>
      <c r="R760" s="2" t="inlineStr"/>
    </row>
    <row r="761" ht="15" customHeight="1">
      <c r="A761" t="inlineStr">
        <is>
          <t>A 3494-2023</t>
        </is>
      </c>
      <c r="B761" s="1" t="n">
        <v>44949</v>
      </c>
      <c r="C761" s="1" t="n">
        <v>45703</v>
      </c>
      <c r="D761" t="inlineStr">
        <is>
          <t>KALMAR LÄN</t>
        </is>
      </c>
      <c r="E761" t="inlineStr">
        <is>
          <t>VIMMERBY</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3587-2023</t>
        </is>
      </c>
      <c r="B762" s="1" t="n">
        <v>44950</v>
      </c>
      <c r="C762" s="1" t="n">
        <v>45703</v>
      </c>
      <c r="D762" t="inlineStr">
        <is>
          <t>KALMAR LÄN</t>
        </is>
      </c>
      <c r="E762" t="inlineStr">
        <is>
          <t>VIMMERBY</t>
        </is>
      </c>
      <c r="G762" t="n">
        <v>6.9</v>
      </c>
      <c r="H762" t="n">
        <v>0</v>
      </c>
      <c r="I762" t="n">
        <v>0</v>
      </c>
      <c r="J762" t="n">
        <v>0</v>
      </c>
      <c r="K762" t="n">
        <v>0</v>
      </c>
      <c r="L762" t="n">
        <v>0</v>
      </c>
      <c r="M762" t="n">
        <v>0</v>
      </c>
      <c r="N762" t="n">
        <v>0</v>
      </c>
      <c r="O762" t="n">
        <v>0</v>
      </c>
      <c r="P762" t="n">
        <v>0</v>
      </c>
      <c r="Q762" t="n">
        <v>0</v>
      </c>
      <c r="R762" s="2" t="inlineStr"/>
    </row>
    <row r="763" ht="15" customHeight="1">
      <c r="A763" t="inlineStr">
        <is>
          <t>A 3938-2023</t>
        </is>
      </c>
      <c r="B763" s="1" t="n">
        <v>44952</v>
      </c>
      <c r="C763" s="1" t="n">
        <v>45703</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3924-2023</t>
        </is>
      </c>
      <c r="B764" s="1" t="n">
        <v>44952</v>
      </c>
      <c r="C764" s="1" t="n">
        <v>45703</v>
      </c>
      <c r="D764" t="inlineStr">
        <is>
          <t>KALMAR LÄN</t>
        </is>
      </c>
      <c r="E764" t="inlineStr">
        <is>
          <t>VIMMERBY</t>
        </is>
      </c>
      <c r="G764" t="n">
        <v>4.7</v>
      </c>
      <c r="H764" t="n">
        <v>0</v>
      </c>
      <c r="I764" t="n">
        <v>0</v>
      </c>
      <c r="J764" t="n">
        <v>0</v>
      </c>
      <c r="K764" t="n">
        <v>0</v>
      </c>
      <c r="L764" t="n">
        <v>0</v>
      </c>
      <c r="M764" t="n">
        <v>0</v>
      </c>
      <c r="N764" t="n">
        <v>0</v>
      </c>
      <c r="O764" t="n">
        <v>0</v>
      </c>
      <c r="P764" t="n">
        <v>0</v>
      </c>
      <c r="Q764" t="n">
        <v>0</v>
      </c>
      <c r="R764" s="2" t="inlineStr"/>
    </row>
    <row r="765" ht="15" customHeight="1">
      <c r="A765" t="inlineStr">
        <is>
          <t>A 4527-2023</t>
        </is>
      </c>
      <c r="B765" s="1" t="n">
        <v>44956</v>
      </c>
      <c r="C765" s="1" t="n">
        <v>45703</v>
      </c>
      <c r="D765" t="inlineStr">
        <is>
          <t>KALMAR LÄN</t>
        </is>
      </c>
      <c r="E765" t="inlineStr">
        <is>
          <t>VIMMERBY</t>
        </is>
      </c>
      <c r="F765" t="inlineStr">
        <is>
          <t>Kommuner</t>
        </is>
      </c>
      <c r="G765" t="n">
        <v>8.5</v>
      </c>
      <c r="H765" t="n">
        <v>0</v>
      </c>
      <c r="I765" t="n">
        <v>0</v>
      </c>
      <c r="J765" t="n">
        <v>0</v>
      </c>
      <c r="K765" t="n">
        <v>0</v>
      </c>
      <c r="L765" t="n">
        <v>0</v>
      </c>
      <c r="M765" t="n">
        <v>0</v>
      </c>
      <c r="N765" t="n">
        <v>0</v>
      </c>
      <c r="O765" t="n">
        <v>0</v>
      </c>
      <c r="P765" t="n">
        <v>0</v>
      </c>
      <c r="Q765" t="n">
        <v>0</v>
      </c>
      <c r="R765" s="2" t="inlineStr"/>
    </row>
    <row r="766" ht="15" customHeight="1">
      <c r="A766" t="inlineStr">
        <is>
          <t>A 5074-2023</t>
        </is>
      </c>
      <c r="B766" s="1" t="n">
        <v>44958</v>
      </c>
      <c r="C766" s="1" t="n">
        <v>45703</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5342-2023</t>
        </is>
      </c>
      <c r="B767" s="1" t="n">
        <v>44959</v>
      </c>
      <c r="C767" s="1" t="n">
        <v>45703</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5382-2023</t>
        </is>
      </c>
      <c r="B768" s="1" t="n">
        <v>44959</v>
      </c>
      <c r="C768" s="1" t="n">
        <v>45703</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5720-2023</t>
        </is>
      </c>
      <c r="B769" s="1" t="n">
        <v>44961</v>
      </c>
      <c r="C769" s="1" t="n">
        <v>45703</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5792-2023</t>
        </is>
      </c>
      <c r="B770" s="1" t="n">
        <v>44963</v>
      </c>
      <c r="C770" s="1" t="n">
        <v>45703</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6028-2023</t>
        </is>
      </c>
      <c r="B771" s="1" t="n">
        <v>44964</v>
      </c>
      <c r="C771" s="1" t="n">
        <v>45703</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6066-2023</t>
        </is>
      </c>
      <c r="B772" s="1" t="n">
        <v>44964</v>
      </c>
      <c r="C772" s="1" t="n">
        <v>45703</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6017-2023</t>
        </is>
      </c>
      <c r="B773" s="1" t="n">
        <v>44964</v>
      </c>
      <c r="C773" s="1" t="n">
        <v>45703</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6368-2023</t>
        </is>
      </c>
      <c r="B774" s="1" t="n">
        <v>44965</v>
      </c>
      <c r="C774" s="1" t="n">
        <v>45703</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6321-2023</t>
        </is>
      </c>
      <c r="B775" s="1" t="n">
        <v>44965</v>
      </c>
      <c r="C775" s="1" t="n">
        <v>45703</v>
      </c>
      <c r="D775" t="inlineStr">
        <is>
          <t>KALMAR LÄN</t>
        </is>
      </c>
      <c r="E775" t="inlineStr">
        <is>
          <t>VIMMERBY</t>
        </is>
      </c>
      <c r="G775" t="n">
        <v>1.8</v>
      </c>
      <c r="H775" t="n">
        <v>0</v>
      </c>
      <c r="I775" t="n">
        <v>0</v>
      </c>
      <c r="J775" t="n">
        <v>0</v>
      </c>
      <c r="K775" t="n">
        <v>0</v>
      </c>
      <c r="L775" t="n">
        <v>0</v>
      </c>
      <c r="M775" t="n">
        <v>0</v>
      </c>
      <c r="N775" t="n">
        <v>0</v>
      </c>
      <c r="O775" t="n">
        <v>0</v>
      </c>
      <c r="P775" t="n">
        <v>0</v>
      </c>
      <c r="Q775" t="n">
        <v>0</v>
      </c>
      <c r="R775" s="2" t="inlineStr"/>
    </row>
    <row r="776" ht="15" customHeight="1">
      <c r="A776" t="inlineStr">
        <is>
          <t>A 6660-2023</t>
        </is>
      </c>
      <c r="B776" s="1" t="n">
        <v>44966</v>
      </c>
      <c r="C776" s="1" t="n">
        <v>45703</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6574-2023</t>
        </is>
      </c>
      <c r="B777" s="1" t="n">
        <v>44966</v>
      </c>
      <c r="C777" s="1" t="n">
        <v>45703</v>
      </c>
      <c r="D777" t="inlineStr">
        <is>
          <t>KALMAR LÄN</t>
        </is>
      </c>
      <c r="E777" t="inlineStr">
        <is>
          <t>VIMMERBY</t>
        </is>
      </c>
      <c r="G777" t="n">
        <v>2.5</v>
      </c>
      <c r="H777" t="n">
        <v>0</v>
      </c>
      <c r="I777" t="n">
        <v>0</v>
      </c>
      <c r="J777" t="n">
        <v>0</v>
      </c>
      <c r="K777" t="n">
        <v>0</v>
      </c>
      <c r="L777" t="n">
        <v>0</v>
      </c>
      <c r="M777" t="n">
        <v>0</v>
      </c>
      <c r="N777" t="n">
        <v>0</v>
      </c>
      <c r="O777" t="n">
        <v>0</v>
      </c>
      <c r="P777" t="n">
        <v>0</v>
      </c>
      <c r="Q777" t="n">
        <v>0</v>
      </c>
      <c r="R777" s="2" t="inlineStr"/>
    </row>
    <row r="778" ht="15" customHeight="1">
      <c r="A778" t="inlineStr">
        <is>
          <t>A 6662-2023</t>
        </is>
      </c>
      <c r="B778" s="1" t="n">
        <v>44966</v>
      </c>
      <c r="C778" s="1" t="n">
        <v>45703</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6668-2023</t>
        </is>
      </c>
      <c r="B779" s="1" t="n">
        <v>44966</v>
      </c>
      <c r="C779" s="1" t="n">
        <v>45703</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6538-2023</t>
        </is>
      </c>
      <c r="B780" s="1" t="n">
        <v>44966</v>
      </c>
      <c r="C780" s="1" t="n">
        <v>45703</v>
      </c>
      <c r="D780" t="inlineStr">
        <is>
          <t>KALMAR LÄN</t>
        </is>
      </c>
      <c r="E780" t="inlineStr">
        <is>
          <t>VIMMERBY</t>
        </is>
      </c>
      <c r="G780" t="n">
        <v>4.5</v>
      </c>
      <c r="H780" t="n">
        <v>0</v>
      </c>
      <c r="I780" t="n">
        <v>0</v>
      </c>
      <c r="J780" t="n">
        <v>0</v>
      </c>
      <c r="K780" t="n">
        <v>0</v>
      </c>
      <c r="L780" t="n">
        <v>0</v>
      </c>
      <c r="M780" t="n">
        <v>0</v>
      </c>
      <c r="N780" t="n">
        <v>0</v>
      </c>
      <c r="O780" t="n">
        <v>0</v>
      </c>
      <c r="P780" t="n">
        <v>0</v>
      </c>
      <c r="Q780" t="n">
        <v>0</v>
      </c>
      <c r="R780" s="2" t="inlineStr"/>
    </row>
    <row r="781" ht="15" customHeight="1">
      <c r="A781" t="inlineStr">
        <is>
          <t>A 6857-2023</t>
        </is>
      </c>
      <c r="B781" s="1" t="n">
        <v>44967</v>
      </c>
      <c r="C781" s="1" t="n">
        <v>45703</v>
      </c>
      <c r="D781" t="inlineStr">
        <is>
          <t>KALMAR LÄN</t>
        </is>
      </c>
      <c r="E781" t="inlineStr">
        <is>
          <t>VIMMERBY</t>
        </is>
      </c>
      <c r="G781" t="n">
        <v>2.1</v>
      </c>
      <c r="H781" t="n">
        <v>0</v>
      </c>
      <c r="I781" t="n">
        <v>0</v>
      </c>
      <c r="J781" t="n">
        <v>0</v>
      </c>
      <c r="K781" t="n">
        <v>0</v>
      </c>
      <c r="L781" t="n">
        <v>0</v>
      </c>
      <c r="M781" t="n">
        <v>0</v>
      </c>
      <c r="N781" t="n">
        <v>0</v>
      </c>
      <c r="O781" t="n">
        <v>0</v>
      </c>
      <c r="P781" t="n">
        <v>0</v>
      </c>
      <c r="Q781" t="n">
        <v>0</v>
      </c>
      <c r="R781" s="2" t="inlineStr"/>
    </row>
    <row r="782" ht="15" customHeight="1">
      <c r="A782" t="inlineStr">
        <is>
          <t>A 6850-2023</t>
        </is>
      </c>
      <c r="B782" s="1" t="n">
        <v>44967</v>
      </c>
      <c r="C782" s="1" t="n">
        <v>45703</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7454-2023</t>
        </is>
      </c>
      <c r="B783" s="1" t="n">
        <v>44971</v>
      </c>
      <c r="C783" s="1" t="n">
        <v>45703</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7557-2023</t>
        </is>
      </c>
      <c r="B784" s="1" t="n">
        <v>44972</v>
      </c>
      <c r="C784" s="1" t="n">
        <v>45703</v>
      </c>
      <c r="D784" t="inlineStr">
        <is>
          <t>KALMAR LÄN</t>
        </is>
      </c>
      <c r="E784" t="inlineStr">
        <is>
          <t>VIMMERBY</t>
        </is>
      </c>
      <c r="G784" t="n">
        <v>4.6</v>
      </c>
      <c r="H784" t="n">
        <v>0</v>
      </c>
      <c r="I784" t="n">
        <v>0</v>
      </c>
      <c r="J784" t="n">
        <v>0</v>
      </c>
      <c r="K784" t="n">
        <v>0</v>
      </c>
      <c r="L784" t="n">
        <v>0</v>
      </c>
      <c r="M784" t="n">
        <v>0</v>
      </c>
      <c r="N784" t="n">
        <v>0</v>
      </c>
      <c r="O784" t="n">
        <v>0</v>
      </c>
      <c r="P784" t="n">
        <v>0</v>
      </c>
      <c r="Q784" t="n">
        <v>0</v>
      </c>
      <c r="R784" s="2" t="inlineStr"/>
    </row>
    <row r="785" ht="15" customHeight="1">
      <c r="A785" t="inlineStr">
        <is>
          <t>A 7594-2023</t>
        </is>
      </c>
      <c r="B785" s="1" t="n">
        <v>44972</v>
      </c>
      <c r="C785" s="1" t="n">
        <v>45703</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7797-2023</t>
        </is>
      </c>
      <c r="B786" s="1" t="n">
        <v>44973</v>
      </c>
      <c r="C786" s="1" t="n">
        <v>45703</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7883-2023</t>
        </is>
      </c>
      <c r="B787" s="1" t="n">
        <v>44973</v>
      </c>
      <c r="C787" s="1" t="n">
        <v>45703</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7885-2023</t>
        </is>
      </c>
      <c r="B788" s="1" t="n">
        <v>44973</v>
      </c>
      <c r="C788" s="1" t="n">
        <v>45703</v>
      </c>
      <c r="D788" t="inlineStr">
        <is>
          <t>KALMAR LÄN</t>
        </is>
      </c>
      <c r="E788" t="inlineStr">
        <is>
          <t>VIMMERBY</t>
        </is>
      </c>
      <c r="G788" t="n">
        <v>2.8</v>
      </c>
      <c r="H788" t="n">
        <v>0</v>
      </c>
      <c r="I788" t="n">
        <v>0</v>
      </c>
      <c r="J788" t="n">
        <v>0</v>
      </c>
      <c r="K788" t="n">
        <v>0</v>
      </c>
      <c r="L788" t="n">
        <v>0</v>
      </c>
      <c r="M788" t="n">
        <v>0</v>
      </c>
      <c r="N788" t="n">
        <v>0</v>
      </c>
      <c r="O788" t="n">
        <v>0</v>
      </c>
      <c r="P788" t="n">
        <v>0</v>
      </c>
      <c r="Q788" t="n">
        <v>0</v>
      </c>
      <c r="R788" s="2" t="inlineStr"/>
    </row>
    <row r="789" ht="15" customHeight="1">
      <c r="A789" t="inlineStr">
        <is>
          <t>A 8219-2023</t>
        </is>
      </c>
      <c r="B789" s="1" t="n">
        <v>44974</v>
      </c>
      <c r="C789" s="1" t="n">
        <v>45703</v>
      </c>
      <c r="D789" t="inlineStr">
        <is>
          <t>KALMAR LÄN</t>
        </is>
      </c>
      <c r="E789" t="inlineStr">
        <is>
          <t>VIMMERBY</t>
        </is>
      </c>
      <c r="F789" t="inlineStr">
        <is>
          <t>Sveaskog</t>
        </is>
      </c>
      <c r="G789" t="n">
        <v>6.1</v>
      </c>
      <c r="H789" t="n">
        <v>0</v>
      </c>
      <c r="I789" t="n">
        <v>0</v>
      </c>
      <c r="J789" t="n">
        <v>0</v>
      </c>
      <c r="K789" t="n">
        <v>0</v>
      </c>
      <c r="L789" t="n">
        <v>0</v>
      </c>
      <c r="M789" t="n">
        <v>0</v>
      </c>
      <c r="N789" t="n">
        <v>0</v>
      </c>
      <c r="O789" t="n">
        <v>0</v>
      </c>
      <c r="P789" t="n">
        <v>0</v>
      </c>
      <c r="Q789" t="n">
        <v>0</v>
      </c>
      <c r="R789" s="2" t="inlineStr"/>
    </row>
    <row r="790" ht="15" customHeight="1">
      <c r="A790" t="inlineStr">
        <is>
          <t>A 8410-2023</t>
        </is>
      </c>
      <c r="B790" s="1" t="n">
        <v>44977</v>
      </c>
      <c r="C790" s="1" t="n">
        <v>45703</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9024-2023</t>
        </is>
      </c>
      <c r="B791" s="1" t="n">
        <v>44979</v>
      </c>
      <c r="C791" s="1" t="n">
        <v>45703</v>
      </c>
      <c r="D791" t="inlineStr">
        <is>
          <t>KALMAR LÄN</t>
        </is>
      </c>
      <c r="E791" t="inlineStr">
        <is>
          <t>VIMMERBY</t>
        </is>
      </c>
      <c r="G791" t="n">
        <v>5.2</v>
      </c>
      <c r="H791" t="n">
        <v>0</v>
      </c>
      <c r="I791" t="n">
        <v>0</v>
      </c>
      <c r="J791" t="n">
        <v>0</v>
      </c>
      <c r="K791" t="n">
        <v>0</v>
      </c>
      <c r="L791" t="n">
        <v>0</v>
      </c>
      <c r="M791" t="n">
        <v>0</v>
      </c>
      <c r="N791" t="n">
        <v>0</v>
      </c>
      <c r="O791" t="n">
        <v>0</v>
      </c>
      <c r="P791" t="n">
        <v>0</v>
      </c>
      <c r="Q791" t="n">
        <v>0</v>
      </c>
      <c r="R791" s="2" t="inlineStr"/>
    </row>
    <row r="792" ht="15" customHeight="1">
      <c r="A792" t="inlineStr">
        <is>
          <t>A 9113-2023</t>
        </is>
      </c>
      <c r="B792" s="1" t="n">
        <v>44979</v>
      </c>
      <c r="C792" s="1" t="n">
        <v>45703</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9475-2023</t>
        </is>
      </c>
      <c r="B793" s="1" t="n">
        <v>44981</v>
      </c>
      <c r="C793" s="1" t="n">
        <v>45703</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9511-2023</t>
        </is>
      </c>
      <c r="B794" s="1" t="n">
        <v>44981</v>
      </c>
      <c r="C794" s="1" t="n">
        <v>45703</v>
      </c>
      <c r="D794" t="inlineStr">
        <is>
          <t>KALMAR LÄN</t>
        </is>
      </c>
      <c r="E794" t="inlineStr">
        <is>
          <t>VIMMERBY</t>
        </is>
      </c>
      <c r="G794" t="n">
        <v>3.5</v>
      </c>
      <c r="H794" t="n">
        <v>0</v>
      </c>
      <c r="I794" t="n">
        <v>0</v>
      </c>
      <c r="J794" t="n">
        <v>0</v>
      </c>
      <c r="K794" t="n">
        <v>0</v>
      </c>
      <c r="L794" t="n">
        <v>0</v>
      </c>
      <c r="M794" t="n">
        <v>0</v>
      </c>
      <c r="N794" t="n">
        <v>0</v>
      </c>
      <c r="O794" t="n">
        <v>0</v>
      </c>
      <c r="P794" t="n">
        <v>0</v>
      </c>
      <c r="Q794" t="n">
        <v>0</v>
      </c>
      <c r="R794" s="2" t="inlineStr"/>
    </row>
    <row r="795" ht="15" customHeight="1">
      <c r="A795" t="inlineStr">
        <is>
          <t>A 9644-2023</t>
        </is>
      </c>
      <c r="B795" s="1" t="n">
        <v>44984</v>
      </c>
      <c r="C795" s="1" t="n">
        <v>45703</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9694-2023</t>
        </is>
      </c>
      <c r="B796" s="1" t="n">
        <v>44984</v>
      </c>
      <c r="C796" s="1" t="n">
        <v>45703</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9710-2023</t>
        </is>
      </c>
      <c r="B797" s="1" t="n">
        <v>44984</v>
      </c>
      <c r="C797" s="1" t="n">
        <v>45703</v>
      </c>
      <c r="D797" t="inlineStr">
        <is>
          <t>KALMAR LÄN</t>
        </is>
      </c>
      <c r="E797" t="inlineStr">
        <is>
          <t>VIMMERBY</t>
        </is>
      </c>
      <c r="G797" t="n">
        <v>3.7</v>
      </c>
      <c r="H797" t="n">
        <v>0</v>
      </c>
      <c r="I797" t="n">
        <v>0</v>
      </c>
      <c r="J797" t="n">
        <v>0</v>
      </c>
      <c r="K797" t="n">
        <v>0</v>
      </c>
      <c r="L797" t="n">
        <v>0</v>
      </c>
      <c r="M797" t="n">
        <v>0</v>
      </c>
      <c r="N797" t="n">
        <v>0</v>
      </c>
      <c r="O797" t="n">
        <v>0</v>
      </c>
      <c r="P797" t="n">
        <v>0</v>
      </c>
      <c r="Q797" t="n">
        <v>0</v>
      </c>
      <c r="R797" s="2" t="inlineStr"/>
    </row>
    <row r="798" ht="15" customHeight="1">
      <c r="A798" t="inlineStr">
        <is>
          <t>A 9720-2023</t>
        </is>
      </c>
      <c r="B798" s="1" t="n">
        <v>44984</v>
      </c>
      <c r="C798" s="1" t="n">
        <v>45703</v>
      </c>
      <c r="D798" t="inlineStr">
        <is>
          <t>KALMAR LÄN</t>
        </is>
      </c>
      <c r="E798" t="inlineStr">
        <is>
          <t>VIMMERBY</t>
        </is>
      </c>
      <c r="G798" t="n">
        <v>4.4</v>
      </c>
      <c r="H798" t="n">
        <v>0</v>
      </c>
      <c r="I798" t="n">
        <v>0</v>
      </c>
      <c r="J798" t="n">
        <v>0</v>
      </c>
      <c r="K798" t="n">
        <v>0</v>
      </c>
      <c r="L798" t="n">
        <v>0</v>
      </c>
      <c r="M798" t="n">
        <v>0</v>
      </c>
      <c r="N798" t="n">
        <v>0</v>
      </c>
      <c r="O798" t="n">
        <v>0</v>
      </c>
      <c r="P798" t="n">
        <v>0</v>
      </c>
      <c r="Q798" t="n">
        <v>0</v>
      </c>
      <c r="R798" s="2" t="inlineStr"/>
    </row>
    <row r="799" ht="15" customHeight="1">
      <c r="A799" t="inlineStr">
        <is>
          <t>A 9643-2023</t>
        </is>
      </c>
      <c r="B799" s="1" t="n">
        <v>44984</v>
      </c>
      <c r="C799" s="1" t="n">
        <v>45703</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10444-2023</t>
        </is>
      </c>
      <c r="B800" s="1" t="n">
        <v>44987</v>
      </c>
      <c r="C800" s="1" t="n">
        <v>45703</v>
      </c>
      <c r="D800" t="inlineStr">
        <is>
          <t>KALMAR LÄN</t>
        </is>
      </c>
      <c r="E800" t="inlineStr">
        <is>
          <t>VIMMERBY</t>
        </is>
      </c>
      <c r="G800" t="n">
        <v>7.4</v>
      </c>
      <c r="H800" t="n">
        <v>0</v>
      </c>
      <c r="I800" t="n">
        <v>0</v>
      </c>
      <c r="J800" t="n">
        <v>0</v>
      </c>
      <c r="K800" t="n">
        <v>0</v>
      </c>
      <c r="L800" t="n">
        <v>0</v>
      </c>
      <c r="M800" t="n">
        <v>0</v>
      </c>
      <c r="N800" t="n">
        <v>0</v>
      </c>
      <c r="O800" t="n">
        <v>0</v>
      </c>
      <c r="P800" t="n">
        <v>0</v>
      </c>
      <c r="Q800" t="n">
        <v>0</v>
      </c>
      <c r="R800" s="2" t="inlineStr"/>
    </row>
    <row r="801" ht="15" customHeight="1">
      <c r="A801" t="inlineStr">
        <is>
          <t>A 10424-2023</t>
        </is>
      </c>
      <c r="B801" s="1" t="n">
        <v>44987</v>
      </c>
      <c r="C801" s="1" t="n">
        <v>45703</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10439-2023</t>
        </is>
      </c>
      <c r="B802" s="1" t="n">
        <v>44987</v>
      </c>
      <c r="C802" s="1" t="n">
        <v>45703</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10759-2023</t>
        </is>
      </c>
      <c r="B803" s="1" t="n">
        <v>44988</v>
      </c>
      <c r="C803" s="1" t="n">
        <v>45703</v>
      </c>
      <c r="D803" t="inlineStr">
        <is>
          <t>KALMAR LÄN</t>
        </is>
      </c>
      <c r="E803" t="inlineStr">
        <is>
          <t>VIMMERBY</t>
        </is>
      </c>
      <c r="G803" t="n">
        <v>0.4</v>
      </c>
      <c r="H803" t="n">
        <v>0</v>
      </c>
      <c r="I803" t="n">
        <v>0</v>
      </c>
      <c r="J803" t="n">
        <v>0</v>
      </c>
      <c r="K803" t="n">
        <v>0</v>
      </c>
      <c r="L803" t="n">
        <v>0</v>
      </c>
      <c r="M803" t="n">
        <v>0</v>
      </c>
      <c r="N803" t="n">
        <v>0</v>
      </c>
      <c r="O803" t="n">
        <v>0</v>
      </c>
      <c r="P803" t="n">
        <v>0</v>
      </c>
      <c r="Q803" t="n">
        <v>0</v>
      </c>
      <c r="R803" s="2" t="inlineStr"/>
    </row>
    <row r="804" ht="15" customHeight="1">
      <c r="A804" t="inlineStr">
        <is>
          <t>A 10800-2023</t>
        </is>
      </c>
      <c r="B804" s="1" t="n">
        <v>44989</v>
      </c>
      <c r="C804" s="1" t="n">
        <v>45703</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10821-2023</t>
        </is>
      </c>
      <c r="B805" s="1" t="n">
        <v>44990</v>
      </c>
      <c r="C805" s="1" t="n">
        <v>45703</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10837-2023</t>
        </is>
      </c>
      <c r="B806" s="1" t="n">
        <v>44991</v>
      </c>
      <c r="C806" s="1" t="n">
        <v>45703</v>
      </c>
      <c r="D806" t="inlineStr">
        <is>
          <t>KALMAR LÄN</t>
        </is>
      </c>
      <c r="E806" t="inlineStr">
        <is>
          <t>VIMMERBY</t>
        </is>
      </c>
      <c r="G806" t="n">
        <v>7.3</v>
      </c>
      <c r="H806" t="n">
        <v>0</v>
      </c>
      <c r="I806" t="n">
        <v>0</v>
      </c>
      <c r="J806" t="n">
        <v>0</v>
      </c>
      <c r="K806" t="n">
        <v>0</v>
      </c>
      <c r="L806" t="n">
        <v>0</v>
      </c>
      <c r="M806" t="n">
        <v>0</v>
      </c>
      <c r="N806" t="n">
        <v>0</v>
      </c>
      <c r="O806" t="n">
        <v>0</v>
      </c>
      <c r="P806" t="n">
        <v>0</v>
      </c>
      <c r="Q806" t="n">
        <v>0</v>
      </c>
      <c r="R806" s="2" t="inlineStr"/>
    </row>
    <row r="807" ht="15" customHeight="1">
      <c r="A807" t="inlineStr">
        <is>
          <t>A 10835-2023</t>
        </is>
      </c>
      <c r="B807" s="1" t="n">
        <v>44991</v>
      </c>
      <c r="C807" s="1" t="n">
        <v>45703</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10838-2023</t>
        </is>
      </c>
      <c r="B808" s="1" t="n">
        <v>44991</v>
      </c>
      <c r="C808" s="1" t="n">
        <v>45703</v>
      </c>
      <c r="D808" t="inlineStr">
        <is>
          <t>KALMAR LÄN</t>
        </is>
      </c>
      <c r="E808" t="inlineStr">
        <is>
          <t>VIMMERBY</t>
        </is>
      </c>
      <c r="G808" t="n">
        <v>5.1</v>
      </c>
      <c r="H808" t="n">
        <v>0</v>
      </c>
      <c r="I808" t="n">
        <v>0</v>
      </c>
      <c r="J808" t="n">
        <v>0</v>
      </c>
      <c r="K808" t="n">
        <v>0</v>
      </c>
      <c r="L808" t="n">
        <v>0</v>
      </c>
      <c r="M808" t="n">
        <v>0</v>
      </c>
      <c r="N808" t="n">
        <v>0</v>
      </c>
      <c r="O808" t="n">
        <v>0</v>
      </c>
      <c r="P808" t="n">
        <v>0</v>
      </c>
      <c r="Q808" t="n">
        <v>0</v>
      </c>
      <c r="R808" s="2" t="inlineStr"/>
    </row>
    <row r="809" ht="15" customHeight="1">
      <c r="A809" t="inlineStr">
        <is>
          <t>A 11027-2023</t>
        </is>
      </c>
      <c r="B809" s="1" t="n">
        <v>44991</v>
      </c>
      <c r="C809" s="1" t="n">
        <v>45703</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11076-2023</t>
        </is>
      </c>
      <c r="B810" s="1" t="n">
        <v>44992</v>
      </c>
      <c r="C810" s="1" t="n">
        <v>45703</v>
      </c>
      <c r="D810" t="inlineStr">
        <is>
          <t>KALMAR LÄN</t>
        </is>
      </c>
      <c r="E810" t="inlineStr">
        <is>
          <t>VIMMERBY</t>
        </is>
      </c>
      <c r="G810" t="n">
        <v>6.1</v>
      </c>
      <c r="H810" t="n">
        <v>0</v>
      </c>
      <c r="I810" t="n">
        <v>0</v>
      </c>
      <c r="J810" t="n">
        <v>0</v>
      </c>
      <c r="K810" t="n">
        <v>0</v>
      </c>
      <c r="L810" t="n">
        <v>0</v>
      </c>
      <c r="M810" t="n">
        <v>0</v>
      </c>
      <c r="N810" t="n">
        <v>0</v>
      </c>
      <c r="O810" t="n">
        <v>0</v>
      </c>
      <c r="P810" t="n">
        <v>0</v>
      </c>
      <c r="Q810" t="n">
        <v>0</v>
      </c>
      <c r="R810" s="2" t="inlineStr"/>
    </row>
    <row r="811" ht="15" customHeight="1">
      <c r="A811" t="inlineStr">
        <is>
          <t>A 11073-2023</t>
        </is>
      </c>
      <c r="B811" s="1" t="n">
        <v>44992</v>
      </c>
      <c r="C811" s="1" t="n">
        <v>45703</v>
      </c>
      <c r="D811" t="inlineStr">
        <is>
          <t>KALMAR LÄN</t>
        </is>
      </c>
      <c r="E811" t="inlineStr">
        <is>
          <t>VIMMERBY</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11147-2023</t>
        </is>
      </c>
      <c r="B812" s="1" t="n">
        <v>44992</v>
      </c>
      <c r="C812" s="1" t="n">
        <v>45703</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11111-2023</t>
        </is>
      </c>
      <c r="B813" s="1" t="n">
        <v>44992</v>
      </c>
      <c r="C813" s="1" t="n">
        <v>45703</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11152-2023</t>
        </is>
      </c>
      <c r="B814" s="1" t="n">
        <v>44992</v>
      </c>
      <c r="C814" s="1" t="n">
        <v>45703</v>
      </c>
      <c r="D814" t="inlineStr">
        <is>
          <t>KALMAR LÄN</t>
        </is>
      </c>
      <c r="E814" t="inlineStr">
        <is>
          <t>VIMMERBY</t>
        </is>
      </c>
      <c r="G814" t="n">
        <v>10.6</v>
      </c>
      <c r="H814" t="n">
        <v>0</v>
      </c>
      <c r="I814" t="n">
        <v>0</v>
      </c>
      <c r="J814" t="n">
        <v>0</v>
      </c>
      <c r="K814" t="n">
        <v>0</v>
      </c>
      <c r="L814" t="n">
        <v>0</v>
      </c>
      <c r="M814" t="n">
        <v>0</v>
      </c>
      <c r="N814" t="n">
        <v>0</v>
      </c>
      <c r="O814" t="n">
        <v>0</v>
      </c>
      <c r="P814" t="n">
        <v>0</v>
      </c>
      <c r="Q814" t="n">
        <v>0</v>
      </c>
      <c r="R814" s="2" t="inlineStr"/>
    </row>
    <row r="815" ht="15" customHeight="1">
      <c r="A815" t="inlineStr">
        <is>
          <t>A 11074-2023</t>
        </is>
      </c>
      <c r="B815" s="1" t="n">
        <v>44992</v>
      </c>
      <c r="C815" s="1" t="n">
        <v>45703</v>
      </c>
      <c r="D815" t="inlineStr">
        <is>
          <t>KALMAR LÄN</t>
        </is>
      </c>
      <c r="E815" t="inlineStr">
        <is>
          <t>VIMMERBY</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11219-2023</t>
        </is>
      </c>
      <c r="B816" s="1" t="n">
        <v>44992</v>
      </c>
      <c r="C816" s="1" t="n">
        <v>45703</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11416-2023</t>
        </is>
      </c>
      <c r="B817" s="1" t="n">
        <v>44993</v>
      </c>
      <c r="C817" s="1" t="n">
        <v>45703</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11619-2023</t>
        </is>
      </c>
      <c r="B818" s="1" t="n">
        <v>44994</v>
      </c>
      <c r="C818" s="1" t="n">
        <v>45703</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11609-2023</t>
        </is>
      </c>
      <c r="B819" s="1" t="n">
        <v>44994</v>
      </c>
      <c r="C819" s="1" t="n">
        <v>45703</v>
      </c>
      <c r="D819" t="inlineStr">
        <is>
          <t>KALMAR LÄN</t>
        </is>
      </c>
      <c r="E819" t="inlineStr">
        <is>
          <t>VIMMERBY</t>
        </is>
      </c>
      <c r="G819" t="n">
        <v>4.9</v>
      </c>
      <c r="H819" t="n">
        <v>0</v>
      </c>
      <c r="I819" t="n">
        <v>0</v>
      </c>
      <c r="J819" t="n">
        <v>0</v>
      </c>
      <c r="K819" t="n">
        <v>0</v>
      </c>
      <c r="L819" t="n">
        <v>0</v>
      </c>
      <c r="M819" t="n">
        <v>0</v>
      </c>
      <c r="N819" t="n">
        <v>0</v>
      </c>
      <c r="O819" t="n">
        <v>0</v>
      </c>
      <c r="P819" t="n">
        <v>0</v>
      </c>
      <c r="Q819" t="n">
        <v>0</v>
      </c>
      <c r="R819" s="2" t="inlineStr"/>
    </row>
    <row r="820" ht="15" customHeight="1">
      <c r="A820" t="inlineStr">
        <is>
          <t>A 11661-2023</t>
        </is>
      </c>
      <c r="B820" s="1" t="n">
        <v>44994</v>
      </c>
      <c r="C820" s="1" t="n">
        <v>45703</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12008-2023</t>
        </is>
      </c>
      <c r="B821" s="1" t="n">
        <v>44995</v>
      </c>
      <c r="C821" s="1" t="n">
        <v>45703</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11999-2023</t>
        </is>
      </c>
      <c r="B822" s="1" t="n">
        <v>44995</v>
      </c>
      <c r="C822" s="1" t="n">
        <v>45703</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12012-2023</t>
        </is>
      </c>
      <c r="B823" s="1" t="n">
        <v>44995</v>
      </c>
      <c r="C823" s="1" t="n">
        <v>45703</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12010-2023</t>
        </is>
      </c>
      <c r="B824" s="1" t="n">
        <v>44995</v>
      </c>
      <c r="C824" s="1" t="n">
        <v>45703</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12325-2023</t>
        </is>
      </c>
      <c r="B825" s="1" t="n">
        <v>44999</v>
      </c>
      <c r="C825" s="1" t="n">
        <v>45703</v>
      </c>
      <c r="D825" t="inlineStr">
        <is>
          <t>KALMAR LÄN</t>
        </is>
      </c>
      <c r="E825" t="inlineStr">
        <is>
          <t>VIMMERBY</t>
        </is>
      </c>
      <c r="G825" t="n">
        <v>3.4</v>
      </c>
      <c r="H825" t="n">
        <v>0</v>
      </c>
      <c r="I825" t="n">
        <v>0</v>
      </c>
      <c r="J825" t="n">
        <v>0</v>
      </c>
      <c r="K825" t="n">
        <v>0</v>
      </c>
      <c r="L825" t="n">
        <v>0</v>
      </c>
      <c r="M825" t="n">
        <v>0</v>
      </c>
      <c r="N825" t="n">
        <v>0</v>
      </c>
      <c r="O825" t="n">
        <v>0</v>
      </c>
      <c r="P825" t="n">
        <v>0</v>
      </c>
      <c r="Q825" t="n">
        <v>0</v>
      </c>
      <c r="R825" s="2" t="inlineStr"/>
    </row>
    <row r="826" ht="15" customHeight="1">
      <c r="A826" t="inlineStr">
        <is>
          <t>A 12327-2023</t>
        </is>
      </c>
      <c r="B826" s="1" t="n">
        <v>44999</v>
      </c>
      <c r="C826" s="1" t="n">
        <v>45703</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12499-2023</t>
        </is>
      </c>
      <c r="B827" s="1" t="n">
        <v>44999</v>
      </c>
      <c r="C827" s="1" t="n">
        <v>45703</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12500-2023</t>
        </is>
      </c>
      <c r="B828" s="1" t="n">
        <v>44999</v>
      </c>
      <c r="C828" s="1" t="n">
        <v>45703</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12630-2023</t>
        </is>
      </c>
      <c r="B829" s="1" t="n">
        <v>45000</v>
      </c>
      <c r="C829" s="1" t="n">
        <v>45703</v>
      </c>
      <c r="D829" t="inlineStr">
        <is>
          <t>KALMAR LÄN</t>
        </is>
      </c>
      <c r="E829" t="inlineStr">
        <is>
          <t>VIMMERBY</t>
        </is>
      </c>
      <c r="G829" t="n">
        <v>2.1</v>
      </c>
      <c r="H829" t="n">
        <v>0</v>
      </c>
      <c r="I829" t="n">
        <v>0</v>
      </c>
      <c r="J829" t="n">
        <v>0</v>
      </c>
      <c r="K829" t="n">
        <v>0</v>
      </c>
      <c r="L829" t="n">
        <v>0</v>
      </c>
      <c r="M829" t="n">
        <v>0</v>
      </c>
      <c r="N829" t="n">
        <v>0</v>
      </c>
      <c r="O829" t="n">
        <v>0</v>
      </c>
      <c r="P829" t="n">
        <v>0</v>
      </c>
      <c r="Q829" t="n">
        <v>0</v>
      </c>
      <c r="R829" s="2" t="inlineStr"/>
    </row>
    <row r="830" ht="15" customHeight="1">
      <c r="A830" t="inlineStr">
        <is>
          <t>A 12692-2023</t>
        </is>
      </c>
      <c r="B830" s="1" t="n">
        <v>45000</v>
      </c>
      <c r="C830" s="1" t="n">
        <v>45703</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12810-2023</t>
        </is>
      </c>
      <c r="B831" s="1" t="n">
        <v>45001</v>
      </c>
      <c r="C831" s="1" t="n">
        <v>45703</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12890-2023</t>
        </is>
      </c>
      <c r="B832" s="1" t="n">
        <v>45001</v>
      </c>
      <c r="C832" s="1" t="n">
        <v>45703</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13015-2023</t>
        </is>
      </c>
      <c r="B833" s="1" t="n">
        <v>45002</v>
      </c>
      <c r="C833" s="1" t="n">
        <v>45703</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13462-2023</t>
        </is>
      </c>
      <c r="B834" s="1" t="n">
        <v>45005</v>
      </c>
      <c r="C834" s="1" t="n">
        <v>45703</v>
      </c>
      <c r="D834" t="inlineStr">
        <is>
          <t>KALMAR LÄN</t>
        </is>
      </c>
      <c r="E834" t="inlineStr">
        <is>
          <t>VIMMERBY</t>
        </is>
      </c>
      <c r="G834" t="n">
        <v>1.9</v>
      </c>
      <c r="H834" t="n">
        <v>0</v>
      </c>
      <c r="I834" t="n">
        <v>0</v>
      </c>
      <c r="J834" t="n">
        <v>0</v>
      </c>
      <c r="K834" t="n">
        <v>0</v>
      </c>
      <c r="L834" t="n">
        <v>0</v>
      </c>
      <c r="M834" t="n">
        <v>0</v>
      </c>
      <c r="N834" t="n">
        <v>0</v>
      </c>
      <c r="O834" t="n">
        <v>0</v>
      </c>
      <c r="P834" t="n">
        <v>0</v>
      </c>
      <c r="Q834" t="n">
        <v>0</v>
      </c>
      <c r="R834" s="2" t="inlineStr"/>
    </row>
    <row r="835" ht="15" customHeight="1">
      <c r="A835" t="inlineStr">
        <is>
          <t>A 13797-2023</t>
        </is>
      </c>
      <c r="B835" s="1" t="n">
        <v>45007</v>
      </c>
      <c r="C835" s="1" t="n">
        <v>45703</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14025-2023</t>
        </is>
      </c>
      <c r="B836" s="1" t="n">
        <v>45008</v>
      </c>
      <c r="C836" s="1" t="n">
        <v>45703</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14132-2023</t>
        </is>
      </c>
      <c r="B837" s="1" t="n">
        <v>45009</v>
      </c>
      <c r="C837" s="1" t="n">
        <v>45703</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14137-2023</t>
        </is>
      </c>
      <c r="B838" s="1" t="n">
        <v>45009</v>
      </c>
      <c r="C838" s="1" t="n">
        <v>45703</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14142-2023</t>
        </is>
      </c>
      <c r="B839" s="1" t="n">
        <v>45009</v>
      </c>
      <c r="C839" s="1" t="n">
        <v>45703</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14248-2023</t>
        </is>
      </c>
      <c r="B840" s="1" t="n">
        <v>45009</v>
      </c>
      <c r="C840" s="1" t="n">
        <v>45703</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14440-2023</t>
        </is>
      </c>
      <c r="B841" s="1" t="n">
        <v>45012</v>
      </c>
      <c r="C841" s="1" t="n">
        <v>45703</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14438-2023</t>
        </is>
      </c>
      <c r="B842" s="1" t="n">
        <v>45012</v>
      </c>
      <c r="C842" s="1" t="n">
        <v>45703</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14996-2023</t>
        </is>
      </c>
      <c r="B843" s="1" t="n">
        <v>45014</v>
      </c>
      <c r="C843" s="1" t="n">
        <v>45703</v>
      </c>
      <c r="D843" t="inlineStr">
        <is>
          <t>KALMAR LÄN</t>
        </is>
      </c>
      <c r="E843" t="inlineStr">
        <is>
          <t>VIMMERBY</t>
        </is>
      </c>
      <c r="G843" t="n">
        <v>6.9</v>
      </c>
      <c r="H843" t="n">
        <v>0</v>
      </c>
      <c r="I843" t="n">
        <v>0</v>
      </c>
      <c r="J843" t="n">
        <v>0</v>
      </c>
      <c r="K843" t="n">
        <v>0</v>
      </c>
      <c r="L843" t="n">
        <v>0</v>
      </c>
      <c r="M843" t="n">
        <v>0</v>
      </c>
      <c r="N843" t="n">
        <v>0</v>
      </c>
      <c r="O843" t="n">
        <v>0</v>
      </c>
      <c r="P843" t="n">
        <v>0</v>
      </c>
      <c r="Q843" t="n">
        <v>0</v>
      </c>
      <c r="R843" s="2" t="inlineStr"/>
    </row>
    <row r="844" ht="15" customHeight="1">
      <c r="A844" t="inlineStr">
        <is>
          <t>A 15493-2023</t>
        </is>
      </c>
      <c r="B844" s="1" t="n">
        <v>45018</v>
      </c>
      <c r="C844" s="1" t="n">
        <v>45703</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15550-2023</t>
        </is>
      </c>
      <c r="B845" s="1" t="n">
        <v>45020</v>
      </c>
      <c r="C845" s="1" t="n">
        <v>45703</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15449-2023</t>
        </is>
      </c>
      <c r="B846" s="1" t="n">
        <v>45020</v>
      </c>
      <c r="C846" s="1" t="n">
        <v>45703</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15486-2023</t>
        </is>
      </c>
      <c r="B847" s="1" t="n">
        <v>45020</v>
      </c>
      <c r="C847" s="1" t="n">
        <v>45703</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15490-2023</t>
        </is>
      </c>
      <c r="B848" s="1" t="n">
        <v>45020</v>
      </c>
      <c r="C848" s="1" t="n">
        <v>45703</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15740-2023</t>
        </is>
      </c>
      <c r="B849" s="1" t="n">
        <v>45021</v>
      </c>
      <c r="C849" s="1" t="n">
        <v>45703</v>
      </c>
      <c r="D849" t="inlineStr">
        <is>
          <t>KALMAR LÄN</t>
        </is>
      </c>
      <c r="E849" t="inlineStr">
        <is>
          <t>VIMMERBY</t>
        </is>
      </c>
      <c r="G849" t="n">
        <v>1.9</v>
      </c>
      <c r="H849" t="n">
        <v>0</v>
      </c>
      <c r="I849" t="n">
        <v>0</v>
      </c>
      <c r="J849" t="n">
        <v>0</v>
      </c>
      <c r="K849" t="n">
        <v>0</v>
      </c>
      <c r="L849" t="n">
        <v>0</v>
      </c>
      <c r="M849" t="n">
        <v>0</v>
      </c>
      <c r="N849" t="n">
        <v>0</v>
      </c>
      <c r="O849" t="n">
        <v>0</v>
      </c>
      <c r="P849" t="n">
        <v>0</v>
      </c>
      <c r="Q849" t="n">
        <v>0</v>
      </c>
      <c r="R849" s="2" t="inlineStr"/>
    </row>
    <row r="850" ht="15" customHeight="1">
      <c r="A850" t="inlineStr">
        <is>
          <t>A 15993-2023</t>
        </is>
      </c>
      <c r="B850" s="1" t="n">
        <v>45023</v>
      </c>
      <c r="C850" s="1" t="n">
        <v>45703</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16020-2023</t>
        </is>
      </c>
      <c r="B851" s="1" t="n">
        <v>45026</v>
      </c>
      <c r="C851" s="1" t="n">
        <v>45703</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16119-2023</t>
        </is>
      </c>
      <c r="B852" s="1" t="n">
        <v>45027</v>
      </c>
      <c r="C852" s="1" t="n">
        <v>45703</v>
      </c>
      <c r="D852" t="inlineStr">
        <is>
          <t>KALMAR LÄN</t>
        </is>
      </c>
      <c r="E852" t="inlineStr">
        <is>
          <t>VIMMERBY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16676-2023</t>
        </is>
      </c>
      <c r="B853" s="1" t="n">
        <v>45028</v>
      </c>
      <c r="C853" s="1" t="n">
        <v>45703</v>
      </c>
      <c r="D853" t="inlineStr">
        <is>
          <t>KALMAR LÄN</t>
        </is>
      </c>
      <c r="E853" t="inlineStr">
        <is>
          <t>VIMMERBY</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16516-2023</t>
        </is>
      </c>
      <c r="B854" s="1" t="n">
        <v>45029</v>
      </c>
      <c r="C854" s="1" t="n">
        <v>45703</v>
      </c>
      <c r="D854" t="inlineStr">
        <is>
          <t>KALMAR LÄN</t>
        </is>
      </c>
      <c r="E854" t="inlineStr">
        <is>
          <t>VIMMERBY</t>
        </is>
      </c>
      <c r="G854" t="n">
        <v>4.3</v>
      </c>
      <c r="H854" t="n">
        <v>0</v>
      </c>
      <c r="I854" t="n">
        <v>0</v>
      </c>
      <c r="J854" t="n">
        <v>0</v>
      </c>
      <c r="K854" t="n">
        <v>0</v>
      </c>
      <c r="L854" t="n">
        <v>0</v>
      </c>
      <c r="M854" t="n">
        <v>0</v>
      </c>
      <c r="N854" t="n">
        <v>0</v>
      </c>
      <c r="O854" t="n">
        <v>0</v>
      </c>
      <c r="P854" t="n">
        <v>0</v>
      </c>
      <c r="Q854" t="n">
        <v>0</v>
      </c>
      <c r="R854" s="2" t="inlineStr"/>
    </row>
    <row r="855" ht="15" customHeight="1">
      <c r="A855" t="inlineStr">
        <is>
          <t>A 16734-2023</t>
        </is>
      </c>
      <c r="B855" s="1" t="n">
        <v>45030</v>
      </c>
      <c r="C855" s="1" t="n">
        <v>45703</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16750-2023</t>
        </is>
      </c>
      <c r="B856" s="1" t="n">
        <v>45030</v>
      </c>
      <c r="C856" s="1" t="n">
        <v>45703</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16927-2023</t>
        </is>
      </c>
      <c r="B857" s="1" t="n">
        <v>45033</v>
      </c>
      <c r="C857" s="1" t="n">
        <v>45703</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16983-2023</t>
        </is>
      </c>
      <c r="B858" s="1" t="n">
        <v>45033</v>
      </c>
      <c r="C858" s="1" t="n">
        <v>45703</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17758-2023</t>
        </is>
      </c>
      <c r="B859" s="1" t="n">
        <v>45037</v>
      </c>
      <c r="C859" s="1" t="n">
        <v>45703</v>
      </c>
      <c r="D859" t="inlineStr">
        <is>
          <t>KALMAR LÄN</t>
        </is>
      </c>
      <c r="E859" t="inlineStr">
        <is>
          <t>VIMMERBY</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17964-2023</t>
        </is>
      </c>
      <c r="B860" s="1" t="n">
        <v>45040</v>
      </c>
      <c r="C860" s="1" t="n">
        <v>45703</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18209-2023</t>
        </is>
      </c>
      <c r="B861" s="1" t="n">
        <v>45041</v>
      </c>
      <c r="C861" s="1" t="n">
        <v>45703</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18330-2023</t>
        </is>
      </c>
      <c r="B862" s="1" t="n">
        <v>45041</v>
      </c>
      <c r="C862" s="1" t="n">
        <v>45703</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18329-2023</t>
        </is>
      </c>
      <c r="B863" s="1" t="n">
        <v>45041</v>
      </c>
      <c r="C863" s="1" t="n">
        <v>45703</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18328-2023</t>
        </is>
      </c>
      <c r="B864" s="1" t="n">
        <v>45041</v>
      </c>
      <c r="C864" s="1" t="n">
        <v>45703</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18609-2023</t>
        </is>
      </c>
      <c r="B865" s="1" t="n">
        <v>45041</v>
      </c>
      <c r="C865" s="1" t="n">
        <v>45703</v>
      </c>
      <c r="D865" t="inlineStr">
        <is>
          <t>KALMAR LÄN</t>
        </is>
      </c>
      <c r="E865" t="inlineStr">
        <is>
          <t>VIMMERBY</t>
        </is>
      </c>
      <c r="G865" t="n">
        <v>3</v>
      </c>
      <c r="H865" t="n">
        <v>0</v>
      </c>
      <c r="I865" t="n">
        <v>0</v>
      </c>
      <c r="J865" t="n">
        <v>0</v>
      </c>
      <c r="K865" t="n">
        <v>0</v>
      </c>
      <c r="L865" t="n">
        <v>0</v>
      </c>
      <c r="M865" t="n">
        <v>0</v>
      </c>
      <c r="N865" t="n">
        <v>0</v>
      </c>
      <c r="O865" t="n">
        <v>0</v>
      </c>
      <c r="P865" t="n">
        <v>0</v>
      </c>
      <c r="Q865" t="n">
        <v>0</v>
      </c>
      <c r="R865" s="2" t="inlineStr"/>
    </row>
    <row r="866" ht="15" customHeight="1">
      <c r="A866" t="inlineStr">
        <is>
          <t>A 18731-2023</t>
        </is>
      </c>
      <c r="B866" s="1" t="n">
        <v>45043</v>
      </c>
      <c r="C866" s="1" t="n">
        <v>45703</v>
      </c>
      <c r="D866" t="inlineStr">
        <is>
          <t>KALMAR LÄN</t>
        </is>
      </c>
      <c r="E866" t="inlineStr">
        <is>
          <t>VIMMERBY</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19013-2023</t>
        </is>
      </c>
      <c r="B867" s="1" t="n">
        <v>45045</v>
      </c>
      <c r="C867" s="1" t="n">
        <v>45703</v>
      </c>
      <c r="D867" t="inlineStr">
        <is>
          <t>KALMAR LÄN</t>
        </is>
      </c>
      <c r="E867" t="inlineStr">
        <is>
          <t>VIMMERBY</t>
        </is>
      </c>
      <c r="G867" t="n">
        <v>2.5</v>
      </c>
      <c r="H867" t="n">
        <v>0</v>
      </c>
      <c r="I867" t="n">
        <v>0</v>
      </c>
      <c r="J867" t="n">
        <v>0</v>
      </c>
      <c r="K867" t="n">
        <v>0</v>
      </c>
      <c r="L867" t="n">
        <v>0</v>
      </c>
      <c r="M867" t="n">
        <v>0</v>
      </c>
      <c r="N867" t="n">
        <v>0</v>
      </c>
      <c r="O867" t="n">
        <v>0</v>
      </c>
      <c r="P867" t="n">
        <v>0</v>
      </c>
      <c r="Q867" t="n">
        <v>0</v>
      </c>
      <c r="R867" s="2" t="inlineStr"/>
    </row>
    <row r="868" ht="15" customHeight="1">
      <c r="A868" t="inlineStr">
        <is>
          <t>A 19162-2023</t>
        </is>
      </c>
      <c r="B868" s="1" t="n">
        <v>45048</v>
      </c>
      <c r="C868" s="1" t="n">
        <v>45703</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19833-2023</t>
        </is>
      </c>
      <c r="B869" s="1" t="n">
        <v>45052</v>
      </c>
      <c r="C869" s="1" t="n">
        <v>45703</v>
      </c>
      <c r="D869" t="inlineStr">
        <is>
          <t>KALMAR LÄN</t>
        </is>
      </c>
      <c r="E869" t="inlineStr">
        <is>
          <t>VIMMERBY</t>
        </is>
      </c>
      <c r="G869" t="n">
        <v>6.7</v>
      </c>
      <c r="H869" t="n">
        <v>0</v>
      </c>
      <c r="I869" t="n">
        <v>0</v>
      </c>
      <c r="J869" t="n">
        <v>0</v>
      </c>
      <c r="K869" t="n">
        <v>0</v>
      </c>
      <c r="L869" t="n">
        <v>0</v>
      </c>
      <c r="M869" t="n">
        <v>0</v>
      </c>
      <c r="N869" t="n">
        <v>0</v>
      </c>
      <c r="O869" t="n">
        <v>0</v>
      </c>
      <c r="P869" t="n">
        <v>0</v>
      </c>
      <c r="Q869" t="n">
        <v>0</v>
      </c>
      <c r="R869" s="2" t="inlineStr"/>
    </row>
    <row r="870" ht="15" customHeight="1">
      <c r="A870" t="inlineStr">
        <is>
          <t>A 20054-2023</t>
        </is>
      </c>
      <c r="B870" s="1" t="n">
        <v>45054</v>
      </c>
      <c r="C870" s="1" t="n">
        <v>45703</v>
      </c>
      <c r="D870" t="inlineStr">
        <is>
          <t>KALMAR LÄN</t>
        </is>
      </c>
      <c r="E870" t="inlineStr">
        <is>
          <t>VIMMERBY</t>
        </is>
      </c>
      <c r="G870" t="n">
        <v>2.4</v>
      </c>
      <c r="H870" t="n">
        <v>0</v>
      </c>
      <c r="I870" t="n">
        <v>0</v>
      </c>
      <c r="J870" t="n">
        <v>0</v>
      </c>
      <c r="K870" t="n">
        <v>0</v>
      </c>
      <c r="L870" t="n">
        <v>0</v>
      </c>
      <c r="M870" t="n">
        <v>0</v>
      </c>
      <c r="N870" t="n">
        <v>0</v>
      </c>
      <c r="O870" t="n">
        <v>0</v>
      </c>
      <c r="P870" t="n">
        <v>0</v>
      </c>
      <c r="Q870" t="n">
        <v>0</v>
      </c>
      <c r="R870" s="2" t="inlineStr"/>
    </row>
    <row r="871" ht="15" customHeight="1">
      <c r="A871" t="inlineStr">
        <is>
          <t>A 20218-2023</t>
        </is>
      </c>
      <c r="B871" s="1" t="n">
        <v>45055</v>
      </c>
      <c r="C871" s="1" t="n">
        <v>45703</v>
      </c>
      <c r="D871" t="inlineStr">
        <is>
          <t>KALMAR LÄN</t>
        </is>
      </c>
      <c r="E871" t="inlineStr">
        <is>
          <t>VIMMERBY</t>
        </is>
      </c>
      <c r="G871" t="n">
        <v>4.9</v>
      </c>
      <c r="H871" t="n">
        <v>0</v>
      </c>
      <c r="I871" t="n">
        <v>0</v>
      </c>
      <c r="J871" t="n">
        <v>0</v>
      </c>
      <c r="K871" t="n">
        <v>0</v>
      </c>
      <c r="L871" t="n">
        <v>0</v>
      </c>
      <c r="M871" t="n">
        <v>0</v>
      </c>
      <c r="N871" t="n">
        <v>0</v>
      </c>
      <c r="O871" t="n">
        <v>0</v>
      </c>
      <c r="P871" t="n">
        <v>0</v>
      </c>
      <c r="Q871" t="n">
        <v>0</v>
      </c>
      <c r="R871" s="2" t="inlineStr"/>
    </row>
    <row r="872" ht="15" customHeight="1">
      <c r="A872" t="inlineStr">
        <is>
          <t>A 20117-2023</t>
        </is>
      </c>
      <c r="B872" s="1" t="n">
        <v>45055</v>
      </c>
      <c r="C872" s="1" t="n">
        <v>45703</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20215-2023</t>
        </is>
      </c>
      <c r="B873" s="1" t="n">
        <v>45055</v>
      </c>
      <c r="C873" s="1" t="n">
        <v>45703</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20216-2023</t>
        </is>
      </c>
      <c r="B874" s="1" t="n">
        <v>45055</v>
      </c>
      <c r="C874" s="1" t="n">
        <v>45703</v>
      </c>
      <c r="D874" t="inlineStr">
        <is>
          <t>KALMAR LÄN</t>
        </is>
      </c>
      <c r="E874" t="inlineStr">
        <is>
          <t>VIMMERBY</t>
        </is>
      </c>
      <c r="G874" t="n">
        <v>3.1</v>
      </c>
      <c r="H874" t="n">
        <v>0</v>
      </c>
      <c r="I874" t="n">
        <v>0</v>
      </c>
      <c r="J874" t="n">
        <v>0</v>
      </c>
      <c r="K874" t="n">
        <v>0</v>
      </c>
      <c r="L874" t="n">
        <v>0</v>
      </c>
      <c r="M874" t="n">
        <v>0</v>
      </c>
      <c r="N874" t="n">
        <v>0</v>
      </c>
      <c r="O874" t="n">
        <v>0</v>
      </c>
      <c r="P874" t="n">
        <v>0</v>
      </c>
      <c r="Q874" t="n">
        <v>0</v>
      </c>
      <c r="R874" s="2" t="inlineStr"/>
    </row>
    <row r="875" ht="15" customHeight="1">
      <c r="A875" t="inlineStr">
        <is>
          <t>A 20421-2023</t>
        </is>
      </c>
      <c r="B875" s="1" t="n">
        <v>45056</v>
      </c>
      <c r="C875" s="1" t="n">
        <v>45703</v>
      </c>
      <c r="D875" t="inlineStr">
        <is>
          <t>KALMAR LÄN</t>
        </is>
      </c>
      <c r="E875" t="inlineStr">
        <is>
          <t>VIMMERBY</t>
        </is>
      </c>
      <c r="G875" t="n">
        <v>5.2</v>
      </c>
      <c r="H875" t="n">
        <v>0</v>
      </c>
      <c r="I875" t="n">
        <v>0</v>
      </c>
      <c r="J875" t="n">
        <v>0</v>
      </c>
      <c r="K875" t="n">
        <v>0</v>
      </c>
      <c r="L875" t="n">
        <v>0</v>
      </c>
      <c r="M875" t="n">
        <v>0</v>
      </c>
      <c r="N875" t="n">
        <v>0</v>
      </c>
      <c r="O875" t="n">
        <v>0</v>
      </c>
      <c r="P875" t="n">
        <v>0</v>
      </c>
      <c r="Q875" t="n">
        <v>0</v>
      </c>
      <c r="R875" s="2" t="inlineStr"/>
    </row>
    <row r="876" ht="15" customHeight="1">
      <c r="A876" t="inlineStr">
        <is>
          <t>A 20542-2023</t>
        </is>
      </c>
      <c r="B876" s="1" t="n">
        <v>45057</v>
      </c>
      <c r="C876" s="1" t="n">
        <v>45703</v>
      </c>
      <c r="D876" t="inlineStr">
        <is>
          <t>KALMAR LÄN</t>
        </is>
      </c>
      <c r="E876" t="inlineStr">
        <is>
          <t>VIMMERBY</t>
        </is>
      </c>
      <c r="G876" t="n">
        <v>4.4</v>
      </c>
      <c r="H876" t="n">
        <v>0</v>
      </c>
      <c r="I876" t="n">
        <v>0</v>
      </c>
      <c r="J876" t="n">
        <v>0</v>
      </c>
      <c r="K876" t="n">
        <v>0</v>
      </c>
      <c r="L876" t="n">
        <v>0</v>
      </c>
      <c r="M876" t="n">
        <v>0</v>
      </c>
      <c r="N876" t="n">
        <v>0</v>
      </c>
      <c r="O876" t="n">
        <v>0</v>
      </c>
      <c r="P876" t="n">
        <v>0</v>
      </c>
      <c r="Q876" t="n">
        <v>0</v>
      </c>
      <c r="R876" s="2" t="inlineStr"/>
    </row>
    <row r="877" ht="15" customHeight="1">
      <c r="A877" t="inlineStr">
        <is>
          <t>A 20699-2023</t>
        </is>
      </c>
      <c r="B877" s="1" t="n">
        <v>45058</v>
      </c>
      <c r="C877" s="1" t="n">
        <v>45703</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20736-2023</t>
        </is>
      </c>
      <c r="B878" s="1" t="n">
        <v>45058</v>
      </c>
      <c r="C878" s="1" t="n">
        <v>45703</v>
      </c>
      <c r="D878" t="inlineStr">
        <is>
          <t>KALMAR LÄN</t>
        </is>
      </c>
      <c r="E878" t="inlineStr">
        <is>
          <t>VIMMERBY</t>
        </is>
      </c>
      <c r="G878" t="n">
        <v>1.9</v>
      </c>
      <c r="H878" t="n">
        <v>0</v>
      </c>
      <c r="I878" t="n">
        <v>0</v>
      </c>
      <c r="J878" t="n">
        <v>0</v>
      </c>
      <c r="K878" t="n">
        <v>0</v>
      </c>
      <c r="L878" t="n">
        <v>0</v>
      </c>
      <c r="M878" t="n">
        <v>0</v>
      </c>
      <c r="N878" t="n">
        <v>0</v>
      </c>
      <c r="O878" t="n">
        <v>0</v>
      </c>
      <c r="P878" t="n">
        <v>0</v>
      </c>
      <c r="Q878" t="n">
        <v>0</v>
      </c>
      <c r="R878" s="2" t="inlineStr"/>
    </row>
    <row r="879" ht="15" customHeight="1">
      <c r="A879" t="inlineStr">
        <is>
          <t>A 21025-2023</t>
        </is>
      </c>
      <c r="B879" s="1" t="n">
        <v>45061</v>
      </c>
      <c r="C879" s="1" t="n">
        <v>45703</v>
      </c>
      <c r="D879" t="inlineStr">
        <is>
          <t>KALMAR LÄN</t>
        </is>
      </c>
      <c r="E879" t="inlineStr">
        <is>
          <t>VIMMERBY</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21028-2023</t>
        </is>
      </c>
      <c r="B880" s="1" t="n">
        <v>45061</v>
      </c>
      <c r="C880" s="1" t="n">
        <v>45703</v>
      </c>
      <c r="D880" t="inlineStr">
        <is>
          <t>KALMAR LÄN</t>
        </is>
      </c>
      <c r="E880" t="inlineStr">
        <is>
          <t>VIMMERBY</t>
        </is>
      </c>
      <c r="F880" t="inlineStr">
        <is>
          <t>Övriga Aktiebolag</t>
        </is>
      </c>
      <c r="G880" t="n">
        <v>0.7</v>
      </c>
      <c r="H880" t="n">
        <v>0</v>
      </c>
      <c r="I880" t="n">
        <v>0</v>
      </c>
      <c r="J880" t="n">
        <v>0</v>
      </c>
      <c r="K880" t="n">
        <v>0</v>
      </c>
      <c r="L880" t="n">
        <v>0</v>
      </c>
      <c r="M880" t="n">
        <v>0</v>
      </c>
      <c r="N880" t="n">
        <v>0</v>
      </c>
      <c r="O880" t="n">
        <v>0</v>
      </c>
      <c r="P880" t="n">
        <v>0</v>
      </c>
      <c r="Q880" t="n">
        <v>0</v>
      </c>
      <c r="R880" s="2" t="inlineStr"/>
    </row>
    <row r="881" ht="15" customHeight="1">
      <c r="A881" t="inlineStr">
        <is>
          <t>A 21496-2023</t>
        </is>
      </c>
      <c r="B881" s="1" t="n">
        <v>45063</v>
      </c>
      <c r="C881" s="1" t="n">
        <v>45703</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21507-2023</t>
        </is>
      </c>
      <c r="B882" s="1" t="n">
        <v>45063</v>
      </c>
      <c r="C882" s="1" t="n">
        <v>45703</v>
      </c>
      <c r="D882" t="inlineStr">
        <is>
          <t>KALMAR LÄN</t>
        </is>
      </c>
      <c r="E882" t="inlineStr">
        <is>
          <t>VIMMERBY</t>
        </is>
      </c>
      <c r="G882" t="n">
        <v>2.8</v>
      </c>
      <c r="H882" t="n">
        <v>0</v>
      </c>
      <c r="I882" t="n">
        <v>0</v>
      </c>
      <c r="J882" t="n">
        <v>0</v>
      </c>
      <c r="K882" t="n">
        <v>0</v>
      </c>
      <c r="L882" t="n">
        <v>0</v>
      </c>
      <c r="M882" t="n">
        <v>0</v>
      </c>
      <c r="N882" t="n">
        <v>0</v>
      </c>
      <c r="O882" t="n">
        <v>0</v>
      </c>
      <c r="P882" t="n">
        <v>0</v>
      </c>
      <c r="Q882" t="n">
        <v>0</v>
      </c>
      <c r="R882" s="2" t="inlineStr"/>
    </row>
    <row r="883" ht="15" customHeight="1">
      <c r="A883" t="inlineStr">
        <is>
          <t>A 21911-2023</t>
        </is>
      </c>
      <c r="B883" s="1" t="n">
        <v>45068</v>
      </c>
      <c r="C883" s="1" t="n">
        <v>45703</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22415-2023</t>
        </is>
      </c>
      <c r="B884" s="1" t="n">
        <v>45070</v>
      </c>
      <c r="C884" s="1" t="n">
        <v>45703</v>
      </c>
      <c r="D884" t="inlineStr">
        <is>
          <t>KALMAR LÄN</t>
        </is>
      </c>
      <c r="E884" t="inlineStr">
        <is>
          <t>VIMMERBY</t>
        </is>
      </c>
      <c r="G884" t="n">
        <v>2.3</v>
      </c>
      <c r="H884" t="n">
        <v>0</v>
      </c>
      <c r="I884" t="n">
        <v>0</v>
      </c>
      <c r="J884" t="n">
        <v>0</v>
      </c>
      <c r="K884" t="n">
        <v>0</v>
      </c>
      <c r="L884" t="n">
        <v>0</v>
      </c>
      <c r="M884" t="n">
        <v>0</v>
      </c>
      <c r="N884" t="n">
        <v>0</v>
      </c>
      <c r="O884" t="n">
        <v>0</v>
      </c>
      <c r="P884" t="n">
        <v>0</v>
      </c>
      <c r="Q884" t="n">
        <v>0</v>
      </c>
      <c r="R884" s="2" t="inlineStr"/>
    </row>
    <row r="885" ht="15" customHeight="1">
      <c r="A885" t="inlineStr">
        <is>
          <t>A 22264-2023</t>
        </is>
      </c>
      <c r="B885" s="1" t="n">
        <v>45070</v>
      </c>
      <c r="C885" s="1" t="n">
        <v>45703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22421-2023</t>
        </is>
      </c>
      <c r="B886" s="1" t="n">
        <v>45070</v>
      </c>
      <c r="C886" s="1" t="n">
        <v>45703</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22266-2023</t>
        </is>
      </c>
      <c r="B887" s="1" t="n">
        <v>45070</v>
      </c>
      <c r="C887" s="1" t="n">
        <v>45703</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22418-2023</t>
        </is>
      </c>
      <c r="B888" s="1" t="n">
        <v>45070</v>
      </c>
      <c r="C888" s="1" t="n">
        <v>45703</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22426-2023</t>
        </is>
      </c>
      <c r="B889" s="1" t="n">
        <v>45070</v>
      </c>
      <c r="C889" s="1" t="n">
        <v>45703</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22423-2023</t>
        </is>
      </c>
      <c r="B890" s="1" t="n">
        <v>45070</v>
      </c>
      <c r="C890" s="1" t="n">
        <v>45703</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c r="U890">
        <f>HYPERLINK("https://klasma.github.io/Logging_0884/knärot/A 22423-2023 karta knärot.png", "A 22423-2023")</f>
        <v/>
      </c>
      <c r="V890">
        <f>HYPERLINK("https://klasma.github.io/Logging_0884/klagomål/A 22423-2023 FSC-klagomål.docx", "A 22423-2023")</f>
        <v/>
      </c>
      <c r="W890">
        <f>HYPERLINK("https://klasma.github.io/Logging_0884/klagomålsmail/A 22423-2023 FSC-klagomål mail.docx", "A 22423-2023")</f>
        <v/>
      </c>
      <c r="X890">
        <f>HYPERLINK("https://klasma.github.io/Logging_0884/tillsyn/A 22423-2023 tillsynsbegäran.docx", "A 22423-2023")</f>
        <v/>
      </c>
      <c r="Y890">
        <f>HYPERLINK("https://klasma.github.io/Logging_0884/tillsynsmail/A 22423-2023 tillsynsbegäran mail.docx", "A 22423-2023")</f>
        <v/>
      </c>
    </row>
    <row r="891" ht="15" customHeight="1">
      <c r="A891" t="inlineStr">
        <is>
          <t>A 22643-2023</t>
        </is>
      </c>
      <c r="B891" s="1" t="n">
        <v>45071</v>
      </c>
      <c r="C891" s="1" t="n">
        <v>45703</v>
      </c>
      <c r="D891" t="inlineStr">
        <is>
          <t>KALMAR LÄN</t>
        </is>
      </c>
      <c r="E891" t="inlineStr">
        <is>
          <t>VIMMERBY</t>
        </is>
      </c>
      <c r="G891" t="n">
        <v>3.9</v>
      </c>
      <c r="H891" t="n">
        <v>0</v>
      </c>
      <c r="I891" t="n">
        <v>0</v>
      </c>
      <c r="J891" t="n">
        <v>0</v>
      </c>
      <c r="K891" t="n">
        <v>0</v>
      </c>
      <c r="L891" t="n">
        <v>0</v>
      </c>
      <c r="M891" t="n">
        <v>0</v>
      </c>
      <c r="N891" t="n">
        <v>0</v>
      </c>
      <c r="O891" t="n">
        <v>0</v>
      </c>
      <c r="P891" t="n">
        <v>0</v>
      </c>
      <c r="Q891" t="n">
        <v>0</v>
      </c>
      <c r="R891" s="2" t="inlineStr"/>
    </row>
    <row r="892" ht="15" customHeight="1">
      <c r="A892" t="inlineStr">
        <is>
          <t>A 22760-2023</t>
        </is>
      </c>
      <c r="B892" s="1" t="n">
        <v>45072</v>
      </c>
      <c r="C892" s="1" t="n">
        <v>45703</v>
      </c>
      <c r="D892" t="inlineStr">
        <is>
          <t>KALMAR LÄN</t>
        </is>
      </c>
      <c r="E892" t="inlineStr">
        <is>
          <t>VIMMERBY</t>
        </is>
      </c>
      <c r="G892" t="n">
        <v>2.5</v>
      </c>
      <c r="H892" t="n">
        <v>0</v>
      </c>
      <c r="I892" t="n">
        <v>0</v>
      </c>
      <c r="J892" t="n">
        <v>0</v>
      </c>
      <c r="K892" t="n">
        <v>0</v>
      </c>
      <c r="L892" t="n">
        <v>0</v>
      </c>
      <c r="M892" t="n">
        <v>0</v>
      </c>
      <c r="N892" t="n">
        <v>0</v>
      </c>
      <c r="O892" t="n">
        <v>0</v>
      </c>
      <c r="P892" t="n">
        <v>0</v>
      </c>
      <c r="Q892" t="n">
        <v>0</v>
      </c>
      <c r="R892" s="2" t="inlineStr"/>
    </row>
    <row r="893" ht="15" customHeight="1">
      <c r="A893" t="inlineStr">
        <is>
          <t>A 23032-2023</t>
        </is>
      </c>
      <c r="B893" s="1" t="n">
        <v>45074</v>
      </c>
      <c r="C893" s="1" t="n">
        <v>45703</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23095-2023</t>
        </is>
      </c>
      <c r="B894" s="1" t="n">
        <v>45075</v>
      </c>
      <c r="C894" s="1" t="n">
        <v>45703</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23425-2023</t>
        </is>
      </c>
      <c r="B895" s="1" t="n">
        <v>45076</v>
      </c>
      <c r="C895" s="1" t="n">
        <v>45703</v>
      </c>
      <c r="D895" t="inlineStr">
        <is>
          <t>KALMAR LÄN</t>
        </is>
      </c>
      <c r="E895" t="inlineStr">
        <is>
          <t>VIMMERBY</t>
        </is>
      </c>
      <c r="G895" t="n">
        <v>4.8</v>
      </c>
      <c r="H895" t="n">
        <v>0</v>
      </c>
      <c r="I895" t="n">
        <v>0</v>
      </c>
      <c r="J895" t="n">
        <v>0</v>
      </c>
      <c r="K895" t="n">
        <v>0</v>
      </c>
      <c r="L895" t="n">
        <v>0</v>
      </c>
      <c r="M895" t="n">
        <v>0</v>
      </c>
      <c r="N895" t="n">
        <v>0</v>
      </c>
      <c r="O895" t="n">
        <v>0</v>
      </c>
      <c r="P895" t="n">
        <v>0</v>
      </c>
      <c r="Q895" t="n">
        <v>0</v>
      </c>
      <c r="R895" s="2" t="inlineStr"/>
    </row>
    <row r="896" ht="15" customHeight="1">
      <c r="A896" t="inlineStr">
        <is>
          <t>A 23539-2023</t>
        </is>
      </c>
      <c r="B896" s="1" t="n">
        <v>45077</v>
      </c>
      <c r="C896" s="1" t="n">
        <v>45703</v>
      </c>
      <c r="D896" t="inlineStr">
        <is>
          <t>KALMAR LÄN</t>
        </is>
      </c>
      <c r="E896" t="inlineStr">
        <is>
          <t>VIMMERBY</t>
        </is>
      </c>
      <c r="G896" t="n">
        <v>6.9</v>
      </c>
      <c r="H896" t="n">
        <v>0</v>
      </c>
      <c r="I896" t="n">
        <v>0</v>
      </c>
      <c r="J896" t="n">
        <v>0</v>
      </c>
      <c r="K896" t="n">
        <v>0</v>
      </c>
      <c r="L896" t="n">
        <v>0</v>
      </c>
      <c r="M896" t="n">
        <v>0</v>
      </c>
      <c r="N896" t="n">
        <v>0</v>
      </c>
      <c r="O896" t="n">
        <v>0</v>
      </c>
      <c r="P896" t="n">
        <v>0</v>
      </c>
      <c r="Q896" t="n">
        <v>0</v>
      </c>
      <c r="R896" s="2" t="inlineStr"/>
    </row>
    <row r="897" ht="15" customHeight="1">
      <c r="A897" t="inlineStr">
        <is>
          <t>A 23695-2023</t>
        </is>
      </c>
      <c r="B897" s="1" t="n">
        <v>45077</v>
      </c>
      <c r="C897" s="1" t="n">
        <v>45703</v>
      </c>
      <c r="D897" t="inlineStr">
        <is>
          <t>KALMAR LÄN</t>
        </is>
      </c>
      <c r="E897" t="inlineStr">
        <is>
          <t>VIMMERBY</t>
        </is>
      </c>
      <c r="G897" t="n">
        <v>7.6</v>
      </c>
      <c r="H897" t="n">
        <v>0</v>
      </c>
      <c r="I897" t="n">
        <v>0</v>
      </c>
      <c r="J897" t="n">
        <v>0</v>
      </c>
      <c r="K897" t="n">
        <v>0</v>
      </c>
      <c r="L897" t="n">
        <v>0</v>
      </c>
      <c r="M897" t="n">
        <v>0</v>
      </c>
      <c r="N897" t="n">
        <v>0</v>
      </c>
      <c r="O897" t="n">
        <v>0</v>
      </c>
      <c r="P897" t="n">
        <v>0</v>
      </c>
      <c r="Q897" t="n">
        <v>0</v>
      </c>
      <c r="R897" s="2" t="inlineStr"/>
    </row>
    <row r="898" ht="15" customHeight="1">
      <c r="A898" t="inlineStr">
        <is>
          <t>A 24283-2023</t>
        </is>
      </c>
      <c r="B898" s="1" t="n">
        <v>45079</v>
      </c>
      <c r="C898" s="1" t="n">
        <v>45703</v>
      </c>
      <c r="D898" t="inlineStr">
        <is>
          <t>KALMAR LÄN</t>
        </is>
      </c>
      <c r="E898" t="inlineStr">
        <is>
          <t>VIMMERBY</t>
        </is>
      </c>
      <c r="G898" t="n">
        <v>2</v>
      </c>
      <c r="H898" t="n">
        <v>0</v>
      </c>
      <c r="I898" t="n">
        <v>0</v>
      </c>
      <c r="J898" t="n">
        <v>0</v>
      </c>
      <c r="K898" t="n">
        <v>0</v>
      </c>
      <c r="L898" t="n">
        <v>0</v>
      </c>
      <c r="M898" t="n">
        <v>0</v>
      </c>
      <c r="N898" t="n">
        <v>0</v>
      </c>
      <c r="O898" t="n">
        <v>0</v>
      </c>
      <c r="P898" t="n">
        <v>0</v>
      </c>
      <c r="Q898" t="n">
        <v>0</v>
      </c>
      <c r="R898" s="2" t="inlineStr"/>
    </row>
    <row r="899" ht="15" customHeight="1">
      <c r="A899" t="inlineStr">
        <is>
          <t>A 24285-2023</t>
        </is>
      </c>
      <c r="B899" s="1" t="n">
        <v>45079</v>
      </c>
      <c r="C899" s="1" t="n">
        <v>45703</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24288-2023</t>
        </is>
      </c>
      <c r="B900" s="1" t="n">
        <v>45080</v>
      </c>
      <c r="C900" s="1" t="n">
        <v>45703</v>
      </c>
      <c r="D900" t="inlineStr">
        <is>
          <t>KALMAR LÄN</t>
        </is>
      </c>
      <c r="E900" t="inlineStr">
        <is>
          <t>VIMMERBY</t>
        </is>
      </c>
      <c r="G900" t="n">
        <v>0.7</v>
      </c>
      <c r="H900" t="n">
        <v>0</v>
      </c>
      <c r="I900" t="n">
        <v>0</v>
      </c>
      <c r="J900" t="n">
        <v>0</v>
      </c>
      <c r="K900" t="n">
        <v>0</v>
      </c>
      <c r="L900" t="n">
        <v>0</v>
      </c>
      <c r="M900" t="n">
        <v>0</v>
      </c>
      <c r="N900" t="n">
        <v>0</v>
      </c>
      <c r="O900" t="n">
        <v>0</v>
      </c>
      <c r="P900" t="n">
        <v>0</v>
      </c>
      <c r="Q900" t="n">
        <v>0</v>
      </c>
      <c r="R900" s="2" t="inlineStr"/>
    </row>
    <row r="901" ht="15" customHeight="1">
      <c r="A901" t="inlineStr">
        <is>
          <t>A 25109-2023</t>
        </is>
      </c>
      <c r="B901" s="1" t="n">
        <v>45086</v>
      </c>
      <c r="C901" s="1" t="n">
        <v>45703</v>
      </c>
      <c r="D901" t="inlineStr">
        <is>
          <t>KALMAR LÄN</t>
        </is>
      </c>
      <c r="E901" t="inlineStr">
        <is>
          <t>VIMMERBY</t>
        </is>
      </c>
      <c r="G901" t="n">
        <v>1.5</v>
      </c>
      <c r="H901" t="n">
        <v>0</v>
      </c>
      <c r="I901" t="n">
        <v>0</v>
      </c>
      <c r="J901" t="n">
        <v>0</v>
      </c>
      <c r="K901" t="n">
        <v>0</v>
      </c>
      <c r="L901" t="n">
        <v>0</v>
      </c>
      <c r="M901" t="n">
        <v>0</v>
      </c>
      <c r="N901" t="n">
        <v>0</v>
      </c>
      <c r="O901" t="n">
        <v>0</v>
      </c>
      <c r="P901" t="n">
        <v>0</v>
      </c>
      <c r="Q901" t="n">
        <v>0</v>
      </c>
      <c r="R901" s="2" t="inlineStr"/>
    </row>
    <row r="902" ht="15" customHeight="1">
      <c r="A902" t="inlineStr">
        <is>
          <t>A 25236-2023</t>
        </is>
      </c>
      <c r="B902" s="1" t="n">
        <v>45086</v>
      </c>
      <c r="C902" s="1" t="n">
        <v>45703</v>
      </c>
      <c r="D902" t="inlineStr">
        <is>
          <t>KALMAR LÄN</t>
        </is>
      </c>
      <c r="E902" t="inlineStr">
        <is>
          <t>VIMMERBY</t>
        </is>
      </c>
      <c r="G902" t="n">
        <v>0.9</v>
      </c>
      <c r="H902" t="n">
        <v>0</v>
      </c>
      <c r="I902" t="n">
        <v>0</v>
      </c>
      <c r="J902" t="n">
        <v>0</v>
      </c>
      <c r="K902" t="n">
        <v>0</v>
      </c>
      <c r="L902" t="n">
        <v>0</v>
      </c>
      <c r="M902" t="n">
        <v>0</v>
      </c>
      <c r="N902" t="n">
        <v>0</v>
      </c>
      <c r="O902" t="n">
        <v>0</v>
      </c>
      <c r="P902" t="n">
        <v>0</v>
      </c>
      <c r="Q902" t="n">
        <v>0</v>
      </c>
      <c r="R902" s="2" t="inlineStr"/>
    </row>
    <row r="903" ht="15" customHeight="1">
      <c r="A903" t="inlineStr">
        <is>
          <t>A 25244-2023</t>
        </is>
      </c>
      <c r="B903" s="1" t="n">
        <v>45086</v>
      </c>
      <c r="C903" s="1" t="n">
        <v>45703</v>
      </c>
      <c r="D903" t="inlineStr">
        <is>
          <t>KALMAR LÄN</t>
        </is>
      </c>
      <c r="E903" t="inlineStr">
        <is>
          <t>VIMMERBY</t>
        </is>
      </c>
      <c r="G903" t="n">
        <v>4.7</v>
      </c>
      <c r="H903" t="n">
        <v>0</v>
      </c>
      <c r="I903" t="n">
        <v>0</v>
      </c>
      <c r="J903" t="n">
        <v>0</v>
      </c>
      <c r="K903" t="n">
        <v>0</v>
      </c>
      <c r="L903" t="n">
        <v>0</v>
      </c>
      <c r="M903" t="n">
        <v>0</v>
      </c>
      <c r="N903" t="n">
        <v>0</v>
      </c>
      <c r="O903" t="n">
        <v>0</v>
      </c>
      <c r="P903" t="n">
        <v>0</v>
      </c>
      <c r="Q903" t="n">
        <v>0</v>
      </c>
      <c r="R903" s="2" t="inlineStr"/>
    </row>
    <row r="904" ht="15" customHeight="1">
      <c r="A904" t="inlineStr">
        <is>
          <t>A 25234-2023</t>
        </is>
      </c>
      <c r="B904" s="1" t="n">
        <v>45086</v>
      </c>
      <c r="C904" s="1" t="n">
        <v>45703</v>
      </c>
      <c r="D904" t="inlineStr">
        <is>
          <t>KALMAR LÄN</t>
        </is>
      </c>
      <c r="E904" t="inlineStr">
        <is>
          <t>VIMMERBY</t>
        </is>
      </c>
      <c r="G904" t="n">
        <v>2.1</v>
      </c>
      <c r="H904" t="n">
        <v>0</v>
      </c>
      <c r="I904" t="n">
        <v>0</v>
      </c>
      <c r="J904" t="n">
        <v>0</v>
      </c>
      <c r="K904" t="n">
        <v>0</v>
      </c>
      <c r="L904" t="n">
        <v>0</v>
      </c>
      <c r="M904" t="n">
        <v>0</v>
      </c>
      <c r="N904" t="n">
        <v>0</v>
      </c>
      <c r="O904" t="n">
        <v>0</v>
      </c>
      <c r="P904" t="n">
        <v>0</v>
      </c>
      <c r="Q904" t="n">
        <v>0</v>
      </c>
      <c r="R904" s="2" t="inlineStr"/>
    </row>
    <row r="905" ht="15" customHeight="1">
      <c r="A905" t="inlineStr">
        <is>
          <t>A 25885-2023</t>
        </is>
      </c>
      <c r="B905" s="1" t="n">
        <v>45090</v>
      </c>
      <c r="C905" s="1" t="n">
        <v>45703</v>
      </c>
      <c r="D905" t="inlineStr">
        <is>
          <t>KALMAR LÄN</t>
        </is>
      </c>
      <c r="E905" t="inlineStr">
        <is>
          <t>VIMMERBY</t>
        </is>
      </c>
      <c r="G905" t="n">
        <v>4.6</v>
      </c>
      <c r="H905" t="n">
        <v>0</v>
      </c>
      <c r="I905" t="n">
        <v>0</v>
      </c>
      <c r="J905" t="n">
        <v>0</v>
      </c>
      <c r="K905" t="n">
        <v>0</v>
      </c>
      <c r="L905" t="n">
        <v>0</v>
      </c>
      <c r="M905" t="n">
        <v>0</v>
      </c>
      <c r="N905" t="n">
        <v>0</v>
      </c>
      <c r="O905" t="n">
        <v>0</v>
      </c>
      <c r="P905" t="n">
        <v>0</v>
      </c>
      <c r="Q905" t="n">
        <v>0</v>
      </c>
      <c r="R905" s="2" t="inlineStr"/>
    </row>
    <row r="906" ht="15" customHeight="1">
      <c r="A906" t="inlineStr">
        <is>
          <t>A 25799-2023</t>
        </is>
      </c>
      <c r="B906" s="1" t="n">
        <v>45090</v>
      </c>
      <c r="C906" s="1" t="n">
        <v>45703</v>
      </c>
      <c r="D906" t="inlineStr">
        <is>
          <t>KALMAR LÄN</t>
        </is>
      </c>
      <c r="E906" t="inlineStr">
        <is>
          <t>VIMMERBY</t>
        </is>
      </c>
      <c r="G906" t="n">
        <v>7.7</v>
      </c>
      <c r="H906" t="n">
        <v>0</v>
      </c>
      <c r="I906" t="n">
        <v>0</v>
      </c>
      <c r="J906" t="n">
        <v>0</v>
      </c>
      <c r="K906" t="n">
        <v>0</v>
      </c>
      <c r="L906" t="n">
        <v>0</v>
      </c>
      <c r="M906" t="n">
        <v>0</v>
      </c>
      <c r="N906" t="n">
        <v>0</v>
      </c>
      <c r="O906" t="n">
        <v>0</v>
      </c>
      <c r="P906" t="n">
        <v>0</v>
      </c>
      <c r="Q906" t="n">
        <v>0</v>
      </c>
      <c r="R906" s="2" t="inlineStr"/>
    </row>
    <row r="907" ht="15" customHeight="1">
      <c r="A907" t="inlineStr">
        <is>
          <t>A 25979-2023</t>
        </is>
      </c>
      <c r="B907" s="1" t="n">
        <v>45090</v>
      </c>
      <c r="C907" s="1" t="n">
        <v>45703</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25976-2023</t>
        </is>
      </c>
      <c r="B908" s="1" t="n">
        <v>45090</v>
      </c>
      <c r="C908" s="1" t="n">
        <v>45703</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25980-2023</t>
        </is>
      </c>
      <c r="B909" s="1" t="n">
        <v>45090</v>
      </c>
      <c r="C909" s="1" t="n">
        <v>45703</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25977-2023</t>
        </is>
      </c>
      <c r="B910" s="1" t="n">
        <v>45090</v>
      </c>
      <c r="C910" s="1" t="n">
        <v>45703</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26318-2023</t>
        </is>
      </c>
      <c r="B911" s="1" t="n">
        <v>45091</v>
      </c>
      <c r="C911" s="1" t="n">
        <v>45703</v>
      </c>
      <c r="D911" t="inlineStr">
        <is>
          <t>KALMAR LÄN</t>
        </is>
      </c>
      <c r="E911" t="inlineStr">
        <is>
          <t>VIMMERBY</t>
        </is>
      </c>
      <c r="G911" t="n">
        <v>3.8</v>
      </c>
      <c r="H911" t="n">
        <v>0</v>
      </c>
      <c r="I911" t="n">
        <v>0</v>
      </c>
      <c r="J911" t="n">
        <v>0</v>
      </c>
      <c r="K911" t="n">
        <v>0</v>
      </c>
      <c r="L911" t="n">
        <v>0</v>
      </c>
      <c r="M911" t="n">
        <v>0</v>
      </c>
      <c r="N911" t="n">
        <v>0</v>
      </c>
      <c r="O911" t="n">
        <v>0</v>
      </c>
      <c r="P911" t="n">
        <v>0</v>
      </c>
      <c r="Q911" t="n">
        <v>0</v>
      </c>
      <c r="R911" s="2" t="inlineStr"/>
    </row>
    <row r="912" ht="15" customHeight="1">
      <c r="A912" t="inlineStr">
        <is>
          <t>A 26626-2023</t>
        </is>
      </c>
      <c r="B912" s="1" t="n">
        <v>45092</v>
      </c>
      <c r="C912" s="1" t="n">
        <v>45703</v>
      </c>
      <c r="D912" t="inlineStr">
        <is>
          <t>KALMAR LÄN</t>
        </is>
      </c>
      <c r="E912" t="inlineStr">
        <is>
          <t>VIMMERBY</t>
        </is>
      </c>
      <c r="G912" t="n">
        <v>2.4</v>
      </c>
      <c r="H912" t="n">
        <v>0</v>
      </c>
      <c r="I912" t="n">
        <v>0</v>
      </c>
      <c r="J912" t="n">
        <v>0</v>
      </c>
      <c r="K912" t="n">
        <v>0</v>
      </c>
      <c r="L912" t="n">
        <v>0</v>
      </c>
      <c r="M912" t="n">
        <v>0</v>
      </c>
      <c r="N912" t="n">
        <v>0</v>
      </c>
      <c r="O912" t="n">
        <v>0</v>
      </c>
      <c r="P912" t="n">
        <v>0</v>
      </c>
      <c r="Q912" t="n">
        <v>0</v>
      </c>
      <c r="R912" s="2" t="inlineStr"/>
    </row>
    <row r="913" ht="15" customHeight="1">
      <c r="A913" t="inlineStr">
        <is>
          <t>A 26937-2023</t>
        </is>
      </c>
      <c r="B913" s="1" t="n">
        <v>45093</v>
      </c>
      <c r="C913" s="1" t="n">
        <v>45703</v>
      </c>
      <c r="D913" t="inlineStr">
        <is>
          <t>KALMAR LÄN</t>
        </is>
      </c>
      <c r="E913" t="inlineStr">
        <is>
          <t>VIMMERBY</t>
        </is>
      </c>
      <c r="F913" t="inlineStr">
        <is>
          <t>Sveaskog</t>
        </is>
      </c>
      <c r="G913" t="n">
        <v>14.5</v>
      </c>
      <c r="H913" t="n">
        <v>0</v>
      </c>
      <c r="I913" t="n">
        <v>0</v>
      </c>
      <c r="J913" t="n">
        <v>0</v>
      </c>
      <c r="K913" t="n">
        <v>0</v>
      </c>
      <c r="L913" t="n">
        <v>0</v>
      </c>
      <c r="M913" t="n">
        <v>0</v>
      </c>
      <c r="N913" t="n">
        <v>0</v>
      </c>
      <c r="O913" t="n">
        <v>0</v>
      </c>
      <c r="P913" t="n">
        <v>0</v>
      </c>
      <c r="Q913" t="n">
        <v>0</v>
      </c>
      <c r="R913" s="2" t="inlineStr"/>
    </row>
    <row r="914" ht="15" customHeight="1">
      <c r="A914" t="inlineStr">
        <is>
          <t>A 27122-2023</t>
        </is>
      </c>
      <c r="B914" s="1" t="n">
        <v>45096</v>
      </c>
      <c r="C914" s="1" t="n">
        <v>45703</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27138-2023</t>
        </is>
      </c>
      <c r="B915" s="1" t="n">
        <v>45096</v>
      </c>
      <c r="C915" s="1" t="n">
        <v>45703</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28988-2023</t>
        </is>
      </c>
      <c r="B916" s="1" t="n">
        <v>45096</v>
      </c>
      <c r="C916" s="1" t="n">
        <v>45703</v>
      </c>
      <c r="D916" t="inlineStr">
        <is>
          <t>KALMAR LÄN</t>
        </is>
      </c>
      <c r="E916" t="inlineStr">
        <is>
          <t>VIMMERBY</t>
        </is>
      </c>
      <c r="G916" t="n">
        <v>6</v>
      </c>
      <c r="H916" t="n">
        <v>0</v>
      </c>
      <c r="I916" t="n">
        <v>0</v>
      </c>
      <c r="J916" t="n">
        <v>0</v>
      </c>
      <c r="K916" t="n">
        <v>0</v>
      </c>
      <c r="L916" t="n">
        <v>0</v>
      </c>
      <c r="M916" t="n">
        <v>0</v>
      </c>
      <c r="N916" t="n">
        <v>0</v>
      </c>
      <c r="O916" t="n">
        <v>0</v>
      </c>
      <c r="P916" t="n">
        <v>0</v>
      </c>
      <c r="Q916" t="n">
        <v>0</v>
      </c>
      <c r="R916" s="2" t="inlineStr"/>
    </row>
    <row r="917" ht="15" customHeight="1">
      <c r="A917" t="inlineStr">
        <is>
          <t>A 27443-2023</t>
        </is>
      </c>
      <c r="B917" s="1" t="n">
        <v>45097</v>
      </c>
      <c r="C917" s="1" t="n">
        <v>45703</v>
      </c>
      <c r="D917" t="inlineStr">
        <is>
          <t>KALMAR LÄN</t>
        </is>
      </c>
      <c r="E917" t="inlineStr">
        <is>
          <t>VIMMERBY</t>
        </is>
      </c>
      <c r="F917" t="inlineStr">
        <is>
          <t>Övriga Aktiebolag</t>
        </is>
      </c>
      <c r="G917" t="n">
        <v>2.3</v>
      </c>
      <c r="H917" t="n">
        <v>0</v>
      </c>
      <c r="I917" t="n">
        <v>0</v>
      </c>
      <c r="J917" t="n">
        <v>0</v>
      </c>
      <c r="K917" t="n">
        <v>0</v>
      </c>
      <c r="L917" t="n">
        <v>0</v>
      </c>
      <c r="M917" t="n">
        <v>0</v>
      </c>
      <c r="N917" t="n">
        <v>0</v>
      </c>
      <c r="O917" t="n">
        <v>0</v>
      </c>
      <c r="P917" t="n">
        <v>0</v>
      </c>
      <c r="Q917" t="n">
        <v>0</v>
      </c>
      <c r="R917" s="2" t="inlineStr"/>
    </row>
    <row r="918" ht="15" customHeight="1">
      <c r="A918" t="inlineStr">
        <is>
          <t>A 27705-2023</t>
        </is>
      </c>
      <c r="B918" s="1" t="n">
        <v>45098</v>
      </c>
      <c r="C918" s="1" t="n">
        <v>45703</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28123-2023</t>
        </is>
      </c>
      <c r="B919" s="1" t="n">
        <v>45099</v>
      </c>
      <c r="C919" s="1" t="n">
        <v>45703</v>
      </c>
      <c r="D919" t="inlineStr">
        <is>
          <t>KALMAR LÄN</t>
        </is>
      </c>
      <c r="E919" t="inlineStr">
        <is>
          <t>VIMMERBY</t>
        </is>
      </c>
      <c r="G919" t="n">
        <v>2.5</v>
      </c>
      <c r="H919" t="n">
        <v>0</v>
      </c>
      <c r="I919" t="n">
        <v>0</v>
      </c>
      <c r="J919" t="n">
        <v>0</v>
      </c>
      <c r="K919" t="n">
        <v>0</v>
      </c>
      <c r="L919" t="n">
        <v>0</v>
      </c>
      <c r="M919" t="n">
        <v>0</v>
      </c>
      <c r="N919" t="n">
        <v>0</v>
      </c>
      <c r="O919" t="n">
        <v>0</v>
      </c>
      <c r="P919" t="n">
        <v>0</v>
      </c>
      <c r="Q919" t="n">
        <v>0</v>
      </c>
      <c r="R919" s="2" t="inlineStr"/>
    </row>
    <row r="920" ht="15" customHeight="1">
      <c r="A920" t="inlineStr">
        <is>
          <t>A 28129-2023</t>
        </is>
      </c>
      <c r="B920" s="1" t="n">
        <v>45099</v>
      </c>
      <c r="C920" s="1" t="n">
        <v>45703</v>
      </c>
      <c r="D920" t="inlineStr">
        <is>
          <t>KALMAR LÄN</t>
        </is>
      </c>
      <c r="E920" t="inlineStr">
        <is>
          <t>VIMMERBY</t>
        </is>
      </c>
      <c r="G920" t="n">
        <v>1.1</v>
      </c>
      <c r="H920" t="n">
        <v>0</v>
      </c>
      <c r="I920" t="n">
        <v>0</v>
      </c>
      <c r="J920" t="n">
        <v>0</v>
      </c>
      <c r="K920" t="n">
        <v>0</v>
      </c>
      <c r="L920" t="n">
        <v>0</v>
      </c>
      <c r="M920" t="n">
        <v>0</v>
      </c>
      <c r="N920" t="n">
        <v>0</v>
      </c>
      <c r="O920" t="n">
        <v>0</v>
      </c>
      <c r="P920" t="n">
        <v>0</v>
      </c>
      <c r="Q920" t="n">
        <v>0</v>
      </c>
      <c r="R920" s="2" t="inlineStr"/>
    </row>
    <row r="921" ht="15" customHeight="1">
      <c r="A921" t="inlineStr">
        <is>
          <t>A 28395-2023</t>
        </is>
      </c>
      <c r="B921" s="1" t="n">
        <v>45100</v>
      </c>
      <c r="C921" s="1" t="n">
        <v>45703</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28403-2023</t>
        </is>
      </c>
      <c r="B922" s="1" t="n">
        <v>45100</v>
      </c>
      <c r="C922" s="1" t="n">
        <v>45703</v>
      </c>
      <c r="D922" t="inlineStr">
        <is>
          <t>KALMAR LÄN</t>
        </is>
      </c>
      <c r="E922" t="inlineStr">
        <is>
          <t>VIMMERBY</t>
        </is>
      </c>
      <c r="G922" t="n">
        <v>1.8</v>
      </c>
      <c r="H922" t="n">
        <v>0</v>
      </c>
      <c r="I922" t="n">
        <v>0</v>
      </c>
      <c r="J922" t="n">
        <v>0</v>
      </c>
      <c r="K922" t="n">
        <v>0</v>
      </c>
      <c r="L922" t="n">
        <v>0</v>
      </c>
      <c r="M922" t="n">
        <v>0</v>
      </c>
      <c r="N922" t="n">
        <v>0</v>
      </c>
      <c r="O922" t="n">
        <v>0</v>
      </c>
      <c r="P922" t="n">
        <v>0</v>
      </c>
      <c r="Q922" t="n">
        <v>0</v>
      </c>
      <c r="R922" s="2" t="inlineStr"/>
    </row>
    <row r="923" ht="15" customHeight="1">
      <c r="A923" t="inlineStr">
        <is>
          <t>A 29093-2023</t>
        </is>
      </c>
      <c r="B923" s="1" t="n">
        <v>45105</v>
      </c>
      <c r="C923" s="1" t="n">
        <v>45703</v>
      </c>
      <c r="D923" t="inlineStr">
        <is>
          <t>KALMAR LÄN</t>
        </is>
      </c>
      <c r="E923" t="inlineStr">
        <is>
          <t>VIMMERBY</t>
        </is>
      </c>
      <c r="G923" t="n">
        <v>2.9</v>
      </c>
      <c r="H923" t="n">
        <v>0</v>
      </c>
      <c r="I923" t="n">
        <v>0</v>
      </c>
      <c r="J923" t="n">
        <v>0</v>
      </c>
      <c r="K923" t="n">
        <v>0</v>
      </c>
      <c r="L923" t="n">
        <v>0</v>
      </c>
      <c r="M923" t="n">
        <v>0</v>
      </c>
      <c r="N923" t="n">
        <v>0</v>
      </c>
      <c r="O923" t="n">
        <v>0</v>
      </c>
      <c r="P923" t="n">
        <v>0</v>
      </c>
      <c r="Q923" t="n">
        <v>0</v>
      </c>
      <c r="R923" s="2" t="inlineStr"/>
    </row>
    <row r="924" ht="15" customHeight="1">
      <c r="A924" t="inlineStr">
        <is>
          <t>A 29196-2023</t>
        </is>
      </c>
      <c r="B924" s="1" t="n">
        <v>45105</v>
      </c>
      <c r="C924" s="1" t="n">
        <v>45703</v>
      </c>
      <c r="D924" t="inlineStr">
        <is>
          <t>KALMAR LÄN</t>
        </is>
      </c>
      <c r="E924" t="inlineStr">
        <is>
          <t>VIMMERBY</t>
        </is>
      </c>
      <c r="G924" t="n">
        <v>1.5</v>
      </c>
      <c r="H924" t="n">
        <v>0</v>
      </c>
      <c r="I924" t="n">
        <v>0</v>
      </c>
      <c r="J924" t="n">
        <v>0</v>
      </c>
      <c r="K924" t="n">
        <v>0</v>
      </c>
      <c r="L924" t="n">
        <v>0</v>
      </c>
      <c r="M924" t="n">
        <v>0</v>
      </c>
      <c r="N924" t="n">
        <v>0</v>
      </c>
      <c r="O924" t="n">
        <v>0</v>
      </c>
      <c r="P924" t="n">
        <v>0</v>
      </c>
      <c r="Q924" t="n">
        <v>0</v>
      </c>
      <c r="R924" s="2" t="inlineStr"/>
    </row>
    <row r="925" ht="15" customHeight="1">
      <c r="A925" t="inlineStr">
        <is>
          <t>A 29351-2023</t>
        </is>
      </c>
      <c r="B925" s="1" t="n">
        <v>45106</v>
      </c>
      <c r="C925" s="1" t="n">
        <v>45703</v>
      </c>
      <c r="D925" t="inlineStr">
        <is>
          <t>KALMAR LÄN</t>
        </is>
      </c>
      <c r="E925" t="inlineStr">
        <is>
          <t>VIMMERBY</t>
        </is>
      </c>
      <c r="G925" t="n">
        <v>0.4</v>
      </c>
      <c r="H925" t="n">
        <v>0</v>
      </c>
      <c r="I925" t="n">
        <v>0</v>
      </c>
      <c r="J925" t="n">
        <v>0</v>
      </c>
      <c r="K925" t="n">
        <v>0</v>
      </c>
      <c r="L925" t="n">
        <v>0</v>
      </c>
      <c r="M925" t="n">
        <v>0</v>
      </c>
      <c r="N925" t="n">
        <v>0</v>
      </c>
      <c r="O925" t="n">
        <v>0</v>
      </c>
      <c r="P925" t="n">
        <v>0</v>
      </c>
      <c r="Q925" t="n">
        <v>0</v>
      </c>
      <c r="R925" s="2" t="inlineStr"/>
    </row>
    <row r="926" ht="15" customHeight="1">
      <c r="A926" t="inlineStr">
        <is>
          <t>A 29350-2023</t>
        </is>
      </c>
      <c r="B926" s="1" t="n">
        <v>45106</v>
      </c>
      <c r="C926" s="1" t="n">
        <v>45703</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29348-2023</t>
        </is>
      </c>
      <c r="B927" s="1" t="n">
        <v>45106</v>
      </c>
      <c r="C927" s="1" t="n">
        <v>45703</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29349-2023</t>
        </is>
      </c>
      <c r="B928" s="1" t="n">
        <v>45106</v>
      </c>
      <c r="C928" s="1" t="n">
        <v>45703</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29973-2023</t>
        </is>
      </c>
      <c r="B929" s="1" t="n">
        <v>45108</v>
      </c>
      <c r="C929" s="1" t="n">
        <v>45703</v>
      </c>
      <c r="D929" t="inlineStr">
        <is>
          <t>KALMAR LÄN</t>
        </is>
      </c>
      <c r="E929" t="inlineStr">
        <is>
          <t>VIMMERBY</t>
        </is>
      </c>
      <c r="G929" t="n">
        <v>4</v>
      </c>
      <c r="H929" t="n">
        <v>0</v>
      </c>
      <c r="I929" t="n">
        <v>0</v>
      </c>
      <c r="J929" t="n">
        <v>0</v>
      </c>
      <c r="K929" t="n">
        <v>0</v>
      </c>
      <c r="L929" t="n">
        <v>0</v>
      </c>
      <c r="M929" t="n">
        <v>0</v>
      </c>
      <c r="N929" t="n">
        <v>0</v>
      </c>
      <c r="O929" t="n">
        <v>0</v>
      </c>
      <c r="P929" t="n">
        <v>0</v>
      </c>
      <c r="Q929" t="n">
        <v>0</v>
      </c>
      <c r="R929" s="2" t="inlineStr"/>
    </row>
    <row r="930" ht="15" customHeight="1">
      <c r="A930" t="inlineStr">
        <is>
          <t>A 30070-2023</t>
        </is>
      </c>
      <c r="B930" s="1" t="n">
        <v>45110</v>
      </c>
      <c r="C930" s="1" t="n">
        <v>45703</v>
      </c>
      <c r="D930" t="inlineStr">
        <is>
          <t>KALMAR LÄN</t>
        </is>
      </c>
      <c r="E930" t="inlineStr">
        <is>
          <t>VIMMERBY</t>
        </is>
      </c>
      <c r="G930" t="n">
        <v>1.6</v>
      </c>
      <c r="H930" t="n">
        <v>0</v>
      </c>
      <c r="I930" t="n">
        <v>0</v>
      </c>
      <c r="J930" t="n">
        <v>0</v>
      </c>
      <c r="K930" t="n">
        <v>0</v>
      </c>
      <c r="L930" t="n">
        <v>0</v>
      </c>
      <c r="M930" t="n">
        <v>0</v>
      </c>
      <c r="N930" t="n">
        <v>0</v>
      </c>
      <c r="O930" t="n">
        <v>0</v>
      </c>
      <c r="P930" t="n">
        <v>0</v>
      </c>
      <c r="Q930" t="n">
        <v>0</v>
      </c>
      <c r="R930" s="2" t="inlineStr"/>
    </row>
    <row r="931" ht="15" customHeight="1">
      <c r="A931" t="inlineStr">
        <is>
          <t>A 30063-2023</t>
        </is>
      </c>
      <c r="B931" s="1" t="n">
        <v>45110</v>
      </c>
      <c r="C931" s="1" t="n">
        <v>45703</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30090-2023</t>
        </is>
      </c>
      <c r="B932" s="1" t="n">
        <v>45110</v>
      </c>
      <c r="C932" s="1" t="n">
        <v>45703</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30503-2023</t>
        </is>
      </c>
      <c r="B933" s="1" t="n">
        <v>45111</v>
      </c>
      <c r="C933" s="1" t="n">
        <v>45703</v>
      </c>
      <c r="D933" t="inlineStr">
        <is>
          <t>KALMAR LÄN</t>
        </is>
      </c>
      <c r="E933" t="inlineStr">
        <is>
          <t>VIMMERBY</t>
        </is>
      </c>
      <c r="G933" t="n">
        <v>0.5</v>
      </c>
      <c r="H933" t="n">
        <v>0</v>
      </c>
      <c r="I933" t="n">
        <v>0</v>
      </c>
      <c r="J933" t="n">
        <v>0</v>
      </c>
      <c r="K933" t="n">
        <v>0</v>
      </c>
      <c r="L933" t="n">
        <v>0</v>
      </c>
      <c r="M933" t="n">
        <v>0</v>
      </c>
      <c r="N933" t="n">
        <v>0</v>
      </c>
      <c r="O933" t="n">
        <v>0</v>
      </c>
      <c r="P933" t="n">
        <v>0</v>
      </c>
      <c r="Q933" t="n">
        <v>0</v>
      </c>
      <c r="R933" s="2" t="inlineStr"/>
    </row>
    <row r="934" ht="15" customHeight="1">
      <c r="A934" t="inlineStr">
        <is>
          <t>A 30380-2023</t>
        </is>
      </c>
      <c r="B934" s="1" t="n">
        <v>45111</v>
      </c>
      <c r="C934" s="1" t="n">
        <v>45703</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30400-2023</t>
        </is>
      </c>
      <c r="B935" s="1" t="n">
        <v>45111</v>
      </c>
      <c r="C935" s="1" t="n">
        <v>45703</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30318-2023</t>
        </is>
      </c>
      <c r="B936" s="1" t="n">
        <v>45111</v>
      </c>
      <c r="C936" s="1" t="n">
        <v>45703</v>
      </c>
      <c r="D936" t="inlineStr">
        <is>
          <t>KALMAR LÄN</t>
        </is>
      </c>
      <c r="E936" t="inlineStr">
        <is>
          <t>VIMMERBY</t>
        </is>
      </c>
      <c r="G936" t="n">
        <v>2.6</v>
      </c>
      <c r="H936" t="n">
        <v>0</v>
      </c>
      <c r="I936" t="n">
        <v>0</v>
      </c>
      <c r="J936" t="n">
        <v>0</v>
      </c>
      <c r="K936" t="n">
        <v>0</v>
      </c>
      <c r="L936" t="n">
        <v>0</v>
      </c>
      <c r="M936" t="n">
        <v>0</v>
      </c>
      <c r="N936" t="n">
        <v>0</v>
      </c>
      <c r="O936" t="n">
        <v>0</v>
      </c>
      <c r="P936" t="n">
        <v>0</v>
      </c>
      <c r="Q936" t="n">
        <v>0</v>
      </c>
      <c r="R936" s="2" t="inlineStr"/>
    </row>
    <row r="937" ht="15" customHeight="1">
      <c r="A937" t="inlineStr">
        <is>
          <t>A 30402-2023</t>
        </is>
      </c>
      <c r="B937" s="1" t="n">
        <v>45111</v>
      </c>
      <c r="C937" s="1" t="n">
        <v>45703</v>
      </c>
      <c r="D937" t="inlineStr">
        <is>
          <t>KALMAR LÄN</t>
        </is>
      </c>
      <c r="E937" t="inlineStr">
        <is>
          <t>VIMMERBY</t>
        </is>
      </c>
      <c r="G937" t="n">
        <v>0.7</v>
      </c>
      <c r="H937" t="n">
        <v>0</v>
      </c>
      <c r="I937" t="n">
        <v>0</v>
      </c>
      <c r="J937" t="n">
        <v>0</v>
      </c>
      <c r="K937" t="n">
        <v>0</v>
      </c>
      <c r="L937" t="n">
        <v>0</v>
      </c>
      <c r="M937" t="n">
        <v>0</v>
      </c>
      <c r="N937" t="n">
        <v>0</v>
      </c>
      <c r="O937" t="n">
        <v>0</v>
      </c>
      <c r="P937" t="n">
        <v>0</v>
      </c>
      <c r="Q937" t="n">
        <v>0</v>
      </c>
      <c r="R937" s="2" t="inlineStr"/>
    </row>
    <row r="938" ht="15" customHeight="1">
      <c r="A938" t="inlineStr">
        <is>
          <t>A 30406-2023</t>
        </is>
      </c>
      <c r="B938" s="1" t="n">
        <v>45111</v>
      </c>
      <c r="C938" s="1" t="n">
        <v>45703</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30404-2023</t>
        </is>
      </c>
      <c r="B939" s="1" t="n">
        <v>45111</v>
      </c>
      <c r="C939" s="1" t="n">
        <v>45703</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30408-2023</t>
        </is>
      </c>
      <c r="B940" s="1" t="n">
        <v>45111</v>
      </c>
      <c r="C940" s="1" t="n">
        <v>45703</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30586-2023</t>
        </is>
      </c>
      <c r="B941" s="1" t="n">
        <v>45112</v>
      </c>
      <c r="C941" s="1" t="n">
        <v>45703</v>
      </c>
      <c r="D941" t="inlineStr">
        <is>
          <t>KALMAR LÄN</t>
        </is>
      </c>
      <c r="E941" t="inlineStr">
        <is>
          <t>VIMMERBY</t>
        </is>
      </c>
      <c r="G941" t="n">
        <v>3.6</v>
      </c>
      <c r="H941" t="n">
        <v>0</v>
      </c>
      <c r="I941" t="n">
        <v>0</v>
      </c>
      <c r="J941" t="n">
        <v>0</v>
      </c>
      <c r="K941" t="n">
        <v>0</v>
      </c>
      <c r="L941" t="n">
        <v>0</v>
      </c>
      <c r="M941" t="n">
        <v>0</v>
      </c>
      <c r="N941" t="n">
        <v>0</v>
      </c>
      <c r="O941" t="n">
        <v>0</v>
      </c>
      <c r="P941" t="n">
        <v>0</v>
      </c>
      <c r="Q941" t="n">
        <v>0</v>
      </c>
      <c r="R941" s="2" t="inlineStr"/>
    </row>
    <row r="942" ht="15" customHeight="1">
      <c r="A942" t="inlineStr">
        <is>
          <t>A 30588-2023</t>
        </is>
      </c>
      <c r="B942" s="1" t="n">
        <v>45112</v>
      </c>
      <c r="C942" s="1" t="n">
        <v>45703</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30896-2023</t>
        </is>
      </c>
      <c r="B943" s="1" t="n">
        <v>45113</v>
      </c>
      <c r="C943" s="1" t="n">
        <v>45703</v>
      </c>
      <c r="D943" t="inlineStr">
        <is>
          <t>KALMAR LÄN</t>
        </is>
      </c>
      <c r="E943" t="inlineStr">
        <is>
          <t>VIMMERBY</t>
        </is>
      </c>
      <c r="G943" t="n">
        <v>3.2</v>
      </c>
      <c r="H943" t="n">
        <v>0</v>
      </c>
      <c r="I943" t="n">
        <v>0</v>
      </c>
      <c r="J943" t="n">
        <v>0</v>
      </c>
      <c r="K943" t="n">
        <v>0</v>
      </c>
      <c r="L943" t="n">
        <v>0</v>
      </c>
      <c r="M943" t="n">
        <v>0</v>
      </c>
      <c r="N943" t="n">
        <v>0</v>
      </c>
      <c r="O943" t="n">
        <v>0</v>
      </c>
      <c r="P943" t="n">
        <v>0</v>
      </c>
      <c r="Q943" t="n">
        <v>0</v>
      </c>
      <c r="R943" s="2" t="inlineStr"/>
    </row>
    <row r="944" ht="15" customHeight="1">
      <c r="A944" t="inlineStr">
        <is>
          <t>A 30899-2023</t>
        </is>
      </c>
      <c r="B944" s="1" t="n">
        <v>45113</v>
      </c>
      <c r="C944" s="1" t="n">
        <v>45703</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30912-2023</t>
        </is>
      </c>
      <c r="B945" s="1" t="n">
        <v>45113</v>
      </c>
      <c r="C945" s="1" t="n">
        <v>45703</v>
      </c>
      <c r="D945" t="inlineStr">
        <is>
          <t>KALMAR LÄN</t>
        </is>
      </c>
      <c r="E945" t="inlineStr">
        <is>
          <t>VIMMERBY</t>
        </is>
      </c>
      <c r="G945" t="n">
        <v>5</v>
      </c>
      <c r="H945" t="n">
        <v>0</v>
      </c>
      <c r="I945" t="n">
        <v>0</v>
      </c>
      <c r="J945" t="n">
        <v>0</v>
      </c>
      <c r="K945" t="n">
        <v>0</v>
      </c>
      <c r="L945" t="n">
        <v>0</v>
      </c>
      <c r="M945" t="n">
        <v>0</v>
      </c>
      <c r="N945" t="n">
        <v>0</v>
      </c>
      <c r="O945" t="n">
        <v>0</v>
      </c>
      <c r="P945" t="n">
        <v>0</v>
      </c>
      <c r="Q945" t="n">
        <v>0</v>
      </c>
      <c r="R945" s="2" t="inlineStr"/>
    </row>
    <row r="946" ht="15" customHeight="1">
      <c r="A946" t="inlineStr">
        <is>
          <t>A 30920-2023</t>
        </is>
      </c>
      <c r="B946" s="1" t="n">
        <v>45113</v>
      </c>
      <c r="C946" s="1" t="n">
        <v>45703</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30894-2023</t>
        </is>
      </c>
      <c r="B947" s="1" t="n">
        <v>45113</v>
      </c>
      <c r="C947" s="1" t="n">
        <v>45703</v>
      </c>
      <c r="D947" t="inlineStr">
        <is>
          <t>KALMAR LÄN</t>
        </is>
      </c>
      <c r="E947" t="inlineStr">
        <is>
          <t>VIMMERBY</t>
        </is>
      </c>
      <c r="G947" t="n">
        <v>4.9</v>
      </c>
      <c r="H947" t="n">
        <v>0</v>
      </c>
      <c r="I947" t="n">
        <v>0</v>
      </c>
      <c r="J947" t="n">
        <v>0</v>
      </c>
      <c r="K947" t="n">
        <v>0</v>
      </c>
      <c r="L947" t="n">
        <v>0</v>
      </c>
      <c r="M947" t="n">
        <v>0</v>
      </c>
      <c r="N947" t="n">
        <v>0</v>
      </c>
      <c r="O947" t="n">
        <v>0</v>
      </c>
      <c r="P947" t="n">
        <v>0</v>
      </c>
      <c r="Q947" t="n">
        <v>0</v>
      </c>
      <c r="R947" s="2" t="inlineStr"/>
    </row>
    <row r="948" ht="15" customHeight="1">
      <c r="A948" t="inlineStr">
        <is>
          <t>A 30898-2023</t>
        </is>
      </c>
      <c r="B948" s="1" t="n">
        <v>45113</v>
      </c>
      <c r="C948" s="1" t="n">
        <v>45703</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31013-2023</t>
        </is>
      </c>
      <c r="B949" s="1" t="n">
        <v>45113</v>
      </c>
      <c r="C949" s="1" t="n">
        <v>45703</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31017-2023</t>
        </is>
      </c>
      <c r="B950" s="1" t="n">
        <v>45113</v>
      </c>
      <c r="C950" s="1" t="n">
        <v>45703</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31340-2023</t>
        </is>
      </c>
      <c r="B951" s="1" t="n">
        <v>45114</v>
      </c>
      <c r="C951" s="1" t="n">
        <v>45703</v>
      </c>
      <c r="D951" t="inlineStr">
        <is>
          <t>KALMAR LÄN</t>
        </is>
      </c>
      <c r="E951" t="inlineStr">
        <is>
          <t>VIMMERBY</t>
        </is>
      </c>
      <c r="G951" t="n">
        <v>1.8</v>
      </c>
      <c r="H951" t="n">
        <v>0</v>
      </c>
      <c r="I951" t="n">
        <v>0</v>
      </c>
      <c r="J951" t="n">
        <v>0</v>
      </c>
      <c r="K951" t="n">
        <v>0</v>
      </c>
      <c r="L951" t="n">
        <v>0</v>
      </c>
      <c r="M951" t="n">
        <v>0</v>
      </c>
      <c r="N951" t="n">
        <v>0</v>
      </c>
      <c r="O951" t="n">
        <v>0</v>
      </c>
      <c r="P951" t="n">
        <v>0</v>
      </c>
      <c r="Q951" t="n">
        <v>0</v>
      </c>
      <c r="R951" s="2" t="inlineStr"/>
    </row>
    <row r="952" ht="15" customHeight="1">
      <c r="A952" t="inlineStr">
        <is>
          <t>A 31369-2023</t>
        </is>
      </c>
      <c r="B952" s="1" t="n">
        <v>45114</v>
      </c>
      <c r="C952" s="1" t="n">
        <v>45703</v>
      </c>
      <c r="D952" t="inlineStr">
        <is>
          <t>KALMAR LÄN</t>
        </is>
      </c>
      <c r="E952" t="inlineStr">
        <is>
          <t>VIMMERBY</t>
        </is>
      </c>
      <c r="G952" t="n">
        <v>2.3</v>
      </c>
      <c r="H952" t="n">
        <v>0</v>
      </c>
      <c r="I952" t="n">
        <v>0</v>
      </c>
      <c r="J952" t="n">
        <v>0</v>
      </c>
      <c r="K952" t="n">
        <v>0</v>
      </c>
      <c r="L952" t="n">
        <v>0</v>
      </c>
      <c r="M952" t="n">
        <v>0</v>
      </c>
      <c r="N952" t="n">
        <v>0</v>
      </c>
      <c r="O952" t="n">
        <v>0</v>
      </c>
      <c r="P952" t="n">
        <v>0</v>
      </c>
      <c r="Q952" t="n">
        <v>0</v>
      </c>
      <c r="R952" s="2" t="inlineStr"/>
    </row>
    <row r="953" ht="15" customHeight="1">
      <c r="A953" t="inlineStr">
        <is>
          <t>A 31377-2023</t>
        </is>
      </c>
      <c r="B953" s="1" t="n">
        <v>45114</v>
      </c>
      <c r="C953" s="1" t="n">
        <v>45703</v>
      </c>
      <c r="D953" t="inlineStr">
        <is>
          <t>KALMAR LÄN</t>
        </is>
      </c>
      <c r="E953" t="inlineStr">
        <is>
          <t>VIMMERBY</t>
        </is>
      </c>
      <c r="G953" t="n">
        <v>2</v>
      </c>
      <c r="H953" t="n">
        <v>0</v>
      </c>
      <c r="I953" t="n">
        <v>0</v>
      </c>
      <c r="J953" t="n">
        <v>0</v>
      </c>
      <c r="K953" t="n">
        <v>0</v>
      </c>
      <c r="L953" t="n">
        <v>0</v>
      </c>
      <c r="M953" t="n">
        <v>0</v>
      </c>
      <c r="N953" t="n">
        <v>0</v>
      </c>
      <c r="O953" t="n">
        <v>0</v>
      </c>
      <c r="P953" t="n">
        <v>0</v>
      </c>
      <c r="Q953" t="n">
        <v>0</v>
      </c>
      <c r="R953" s="2" t="inlineStr"/>
    </row>
    <row r="954" ht="15" customHeight="1">
      <c r="A954" t="inlineStr">
        <is>
          <t>A 31382-2023</t>
        </is>
      </c>
      <c r="B954" s="1" t="n">
        <v>45114</v>
      </c>
      <c r="C954" s="1" t="n">
        <v>45703</v>
      </c>
      <c r="D954" t="inlineStr">
        <is>
          <t>KALMAR LÄN</t>
        </is>
      </c>
      <c r="E954" t="inlineStr">
        <is>
          <t>VIMMERBY</t>
        </is>
      </c>
      <c r="G954" t="n">
        <v>3.7</v>
      </c>
      <c r="H954" t="n">
        <v>0</v>
      </c>
      <c r="I954" t="n">
        <v>0</v>
      </c>
      <c r="J954" t="n">
        <v>0</v>
      </c>
      <c r="K954" t="n">
        <v>0</v>
      </c>
      <c r="L954" t="n">
        <v>0</v>
      </c>
      <c r="M954" t="n">
        <v>0</v>
      </c>
      <c r="N954" t="n">
        <v>0</v>
      </c>
      <c r="O954" t="n">
        <v>0</v>
      </c>
      <c r="P954" t="n">
        <v>0</v>
      </c>
      <c r="Q954" t="n">
        <v>0</v>
      </c>
      <c r="R954" s="2" t="inlineStr"/>
    </row>
    <row r="955" ht="15" customHeight="1">
      <c r="A955" t="inlineStr">
        <is>
          <t>A 31405-2023</t>
        </is>
      </c>
      <c r="B955" s="1" t="n">
        <v>45114</v>
      </c>
      <c r="C955" s="1" t="n">
        <v>45703</v>
      </c>
      <c r="D955" t="inlineStr">
        <is>
          <t>KALMAR LÄN</t>
        </is>
      </c>
      <c r="E955" t="inlineStr">
        <is>
          <t>VIMMERBY</t>
        </is>
      </c>
      <c r="G955" t="n">
        <v>2.6</v>
      </c>
      <c r="H955" t="n">
        <v>0</v>
      </c>
      <c r="I955" t="n">
        <v>0</v>
      </c>
      <c r="J955" t="n">
        <v>0</v>
      </c>
      <c r="K955" t="n">
        <v>0</v>
      </c>
      <c r="L955" t="n">
        <v>0</v>
      </c>
      <c r="M955" t="n">
        <v>0</v>
      </c>
      <c r="N955" t="n">
        <v>0</v>
      </c>
      <c r="O955" t="n">
        <v>0</v>
      </c>
      <c r="P955" t="n">
        <v>0</v>
      </c>
      <c r="Q955" t="n">
        <v>0</v>
      </c>
      <c r="R955" s="2" t="inlineStr"/>
    </row>
    <row r="956" ht="15" customHeight="1">
      <c r="A956" t="inlineStr">
        <is>
          <t>A 31336-2023</t>
        </is>
      </c>
      <c r="B956" s="1" t="n">
        <v>45114</v>
      </c>
      <c r="C956" s="1" t="n">
        <v>45703</v>
      </c>
      <c r="D956" t="inlineStr">
        <is>
          <t>KALMAR LÄN</t>
        </is>
      </c>
      <c r="E956" t="inlineStr">
        <is>
          <t>VIMMERBY</t>
        </is>
      </c>
      <c r="G956" t="n">
        <v>1.3</v>
      </c>
      <c r="H956" t="n">
        <v>0</v>
      </c>
      <c r="I956" t="n">
        <v>0</v>
      </c>
      <c r="J956" t="n">
        <v>0</v>
      </c>
      <c r="K956" t="n">
        <v>0</v>
      </c>
      <c r="L956" t="n">
        <v>0</v>
      </c>
      <c r="M956" t="n">
        <v>0</v>
      </c>
      <c r="N956" t="n">
        <v>0</v>
      </c>
      <c r="O956" t="n">
        <v>0</v>
      </c>
      <c r="P956" t="n">
        <v>0</v>
      </c>
      <c r="Q956" t="n">
        <v>0</v>
      </c>
      <c r="R956" s="2" t="inlineStr"/>
    </row>
    <row r="957" ht="15" customHeight="1">
      <c r="A957" t="inlineStr">
        <is>
          <t>A 31355-2023</t>
        </is>
      </c>
      <c r="B957" s="1" t="n">
        <v>45114</v>
      </c>
      <c r="C957" s="1" t="n">
        <v>45703</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31390-2023</t>
        </is>
      </c>
      <c r="B958" s="1" t="n">
        <v>45114</v>
      </c>
      <c r="C958" s="1" t="n">
        <v>45703</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31408-2023</t>
        </is>
      </c>
      <c r="B959" s="1" t="n">
        <v>45114</v>
      </c>
      <c r="C959" s="1" t="n">
        <v>45703</v>
      </c>
      <c r="D959" t="inlineStr">
        <is>
          <t>KALMAR LÄN</t>
        </is>
      </c>
      <c r="E959" t="inlineStr">
        <is>
          <t>VIMMERBY</t>
        </is>
      </c>
      <c r="G959" t="n">
        <v>4.4</v>
      </c>
      <c r="H959" t="n">
        <v>0</v>
      </c>
      <c r="I959" t="n">
        <v>0</v>
      </c>
      <c r="J959" t="n">
        <v>0</v>
      </c>
      <c r="K959" t="n">
        <v>0</v>
      </c>
      <c r="L959" t="n">
        <v>0</v>
      </c>
      <c r="M959" t="n">
        <v>0</v>
      </c>
      <c r="N959" t="n">
        <v>0</v>
      </c>
      <c r="O959" t="n">
        <v>0</v>
      </c>
      <c r="P959" t="n">
        <v>0</v>
      </c>
      <c r="Q959" t="n">
        <v>0</v>
      </c>
      <c r="R959" s="2" t="inlineStr"/>
    </row>
    <row r="960" ht="15" customHeight="1">
      <c r="A960" t="inlineStr">
        <is>
          <t>A 31682-2023</t>
        </is>
      </c>
      <c r="B960" s="1" t="n">
        <v>45117</v>
      </c>
      <c r="C960" s="1" t="n">
        <v>45703</v>
      </c>
      <c r="D960" t="inlineStr">
        <is>
          <t>KALMAR LÄN</t>
        </is>
      </c>
      <c r="E960" t="inlineStr">
        <is>
          <t>VIMMERBY</t>
        </is>
      </c>
      <c r="G960" t="n">
        <v>2.2</v>
      </c>
      <c r="H960" t="n">
        <v>0</v>
      </c>
      <c r="I960" t="n">
        <v>0</v>
      </c>
      <c r="J960" t="n">
        <v>0</v>
      </c>
      <c r="K960" t="n">
        <v>0</v>
      </c>
      <c r="L960" t="n">
        <v>0</v>
      </c>
      <c r="M960" t="n">
        <v>0</v>
      </c>
      <c r="N960" t="n">
        <v>0</v>
      </c>
      <c r="O960" t="n">
        <v>0</v>
      </c>
      <c r="P960" t="n">
        <v>0</v>
      </c>
      <c r="Q960" t="n">
        <v>0</v>
      </c>
      <c r="R960" s="2" t="inlineStr"/>
    </row>
    <row r="961" ht="15" customHeight="1">
      <c r="A961" t="inlineStr">
        <is>
          <t>A 32633-2023</t>
        </is>
      </c>
      <c r="B961" s="1" t="n">
        <v>45121</v>
      </c>
      <c r="C961" s="1" t="n">
        <v>45703</v>
      </c>
      <c r="D961" t="inlineStr">
        <is>
          <t>KALMAR LÄN</t>
        </is>
      </c>
      <c r="E961" t="inlineStr">
        <is>
          <t>VIMMERBY</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32651-2023</t>
        </is>
      </c>
      <c r="B962" s="1" t="n">
        <v>45121</v>
      </c>
      <c r="C962" s="1" t="n">
        <v>45703</v>
      </c>
      <c r="D962" t="inlineStr">
        <is>
          <t>KALMAR LÄN</t>
        </is>
      </c>
      <c r="E962" t="inlineStr">
        <is>
          <t>VIMMERBY</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32655-2023</t>
        </is>
      </c>
      <c r="B963" s="1" t="n">
        <v>45121</v>
      </c>
      <c r="C963" s="1" t="n">
        <v>45703</v>
      </c>
      <c r="D963" t="inlineStr">
        <is>
          <t>KALMAR LÄN</t>
        </is>
      </c>
      <c r="E963" t="inlineStr">
        <is>
          <t>VIMMERBY</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32669-2023</t>
        </is>
      </c>
      <c r="B964" s="1" t="n">
        <v>45121</v>
      </c>
      <c r="C964" s="1" t="n">
        <v>45703</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32614-2023</t>
        </is>
      </c>
      <c r="B965" s="1" t="n">
        <v>45121</v>
      </c>
      <c r="C965" s="1" t="n">
        <v>45703</v>
      </c>
      <c r="D965" t="inlineStr">
        <is>
          <t>KALMAR LÄN</t>
        </is>
      </c>
      <c r="E965" t="inlineStr">
        <is>
          <t>VIMMERBY</t>
        </is>
      </c>
      <c r="G965" t="n">
        <v>0.6</v>
      </c>
      <c r="H965" t="n">
        <v>0</v>
      </c>
      <c r="I965" t="n">
        <v>0</v>
      </c>
      <c r="J965" t="n">
        <v>0</v>
      </c>
      <c r="K965" t="n">
        <v>0</v>
      </c>
      <c r="L965" t="n">
        <v>0</v>
      </c>
      <c r="M965" t="n">
        <v>0</v>
      </c>
      <c r="N965" t="n">
        <v>0</v>
      </c>
      <c r="O965" t="n">
        <v>0</v>
      </c>
      <c r="P965" t="n">
        <v>0</v>
      </c>
      <c r="Q965" t="n">
        <v>0</v>
      </c>
      <c r="R965" s="2" t="inlineStr"/>
    </row>
    <row r="966" ht="15" customHeight="1">
      <c r="A966" t="inlineStr">
        <is>
          <t>A 32642-2023</t>
        </is>
      </c>
      <c r="B966" s="1" t="n">
        <v>45121</v>
      </c>
      <c r="C966" s="1" t="n">
        <v>45703</v>
      </c>
      <c r="D966" t="inlineStr">
        <is>
          <t>KALMAR LÄN</t>
        </is>
      </c>
      <c r="E966" t="inlineStr">
        <is>
          <t>VIMMERBY</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32639-2023</t>
        </is>
      </c>
      <c r="B967" s="1" t="n">
        <v>45121</v>
      </c>
      <c r="C967" s="1" t="n">
        <v>45703</v>
      </c>
      <c r="D967" t="inlineStr">
        <is>
          <t>KALMAR LÄN</t>
        </is>
      </c>
      <c r="E967" t="inlineStr">
        <is>
          <t>VIMMERBY</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32865-2023</t>
        </is>
      </c>
      <c r="B968" s="1" t="n">
        <v>45124</v>
      </c>
      <c r="C968" s="1" t="n">
        <v>45703</v>
      </c>
      <c r="D968" t="inlineStr">
        <is>
          <t>KALMAR LÄN</t>
        </is>
      </c>
      <c r="E968" t="inlineStr">
        <is>
          <t>VIMMERBY</t>
        </is>
      </c>
      <c r="G968" t="n">
        <v>0.5</v>
      </c>
      <c r="H968" t="n">
        <v>0</v>
      </c>
      <c r="I968" t="n">
        <v>0</v>
      </c>
      <c r="J968" t="n">
        <v>0</v>
      </c>
      <c r="K968" t="n">
        <v>0</v>
      </c>
      <c r="L968" t="n">
        <v>0</v>
      </c>
      <c r="M968" t="n">
        <v>0</v>
      </c>
      <c r="N968" t="n">
        <v>0</v>
      </c>
      <c r="O968" t="n">
        <v>0</v>
      </c>
      <c r="P968" t="n">
        <v>0</v>
      </c>
      <c r="Q968" t="n">
        <v>0</v>
      </c>
      <c r="R968" s="2" t="inlineStr"/>
    </row>
    <row r="969" ht="15" customHeight="1">
      <c r="A969" t="inlineStr">
        <is>
          <t>A 32984-2023</t>
        </is>
      </c>
      <c r="B969" s="1" t="n">
        <v>45125</v>
      </c>
      <c r="C969" s="1" t="n">
        <v>45703</v>
      </c>
      <c r="D969" t="inlineStr">
        <is>
          <t>KALMAR LÄN</t>
        </is>
      </c>
      <c r="E969" t="inlineStr">
        <is>
          <t>VIMMERBY</t>
        </is>
      </c>
      <c r="G969" t="n">
        <v>1.7</v>
      </c>
      <c r="H969" t="n">
        <v>0</v>
      </c>
      <c r="I969" t="n">
        <v>0</v>
      </c>
      <c r="J969" t="n">
        <v>0</v>
      </c>
      <c r="K969" t="n">
        <v>0</v>
      </c>
      <c r="L969" t="n">
        <v>0</v>
      </c>
      <c r="M969" t="n">
        <v>0</v>
      </c>
      <c r="N969" t="n">
        <v>0</v>
      </c>
      <c r="O969" t="n">
        <v>0</v>
      </c>
      <c r="P969" t="n">
        <v>0</v>
      </c>
      <c r="Q969" t="n">
        <v>0</v>
      </c>
      <c r="R969" s="2" t="inlineStr"/>
    </row>
    <row r="970" ht="15" customHeight="1">
      <c r="A970" t="inlineStr">
        <is>
          <t>A 33236-2023</t>
        </is>
      </c>
      <c r="B970" s="1" t="n">
        <v>45127</v>
      </c>
      <c r="C970" s="1" t="n">
        <v>45703</v>
      </c>
      <c r="D970" t="inlineStr">
        <is>
          <t>KALMAR LÄN</t>
        </is>
      </c>
      <c r="E970" t="inlineStr">
        <is>
          <t>VIMMERBY</t>
        </is>
      </c>
      <c r="G970" t="n">
        <v>2.5</v>
      </c>
      <c r="H970" t="n">
        <v>0</v>
      </c>
      <c r="I970" t="n">
        <v>0</v>
      </c>
      <c r="J970" t="n">
        <v>0</v>
      </c>
      <c r="K970" t="n">
        <v>0</v>
      </c>
      <c r="L970" t="n">
        <v>0</v>
      </c>
      <c r="M970" t="n">
        <v>0</v>
      </c>
      <c r="N970" t="n">
        <v>0</v>
      </c>
      <c r="O970" t="n">
        <v>0</v>
      </c>
      <c r="P970" t="n">
        <v>0</v>
      </c>
      <c r="Q970" t="n">
        <v>0</v>
      </c>
      <c r="R970" s="2" t="inlineStr"/>
    </row>
    <row r="971" ht="15" customHeight="1">
      <c r="A971" t="inlineStr">
        <is>
          <t>A 33340-2023</t>
        </is>
      </c>
      <c r="B971" s="1" t="n">
        <v>45128</v>
      </c>
      <c r="C971" s="1" t="n">
        <v>45703</v>
      </c>
      <c r="D971" t="inlineStr">
        <is>
          <t>KALMAR LÄN</t>
        </is>
      </c>
      <c r="E971" t="inlineStr">
        <is>
          <t>VIMMERBY</t>
        </is>
      </c>
      <c r="G971" t="n">
        <v>1.5</v>
      </c>
      <c r="H971" t="n">
        <v>0</v>
      </c>
      <c r="I971" t="n">
        <v>0</v>
      </c>
      <c r="J971" t="n">
        <v>0</v>
      </c>
      <c r="K971" t="n">
        <v>0</v>
      </c>
      <c r="L971" t="n">
        <v>0</v>
      </c>
      <c r="M971" t="n">
        <v>0</v>
      </c>
      <c r="N971" t="n">
        <v>0</v>
      </c>
      <c r="O971" t="n">
        <v>0</v>
      </c>
      <c r="P971" t="n">
        <v>0</v>
      </c>
      <c r="Q971" t="n">
        <v>0</v>
      </c>
      <c r="R971" s="2" t="inlineStr"/>
    </row>
    <row r="972" ht="15" customHeight="1">
      <c r="A972" t="inlineStr">
        <is>
          <t>A 33383-2023</t>
        </is>
      </c>
      <c r="B972" s="1" t="n">
        <v>45128</v>
      </c>
      <c r="C972" s="1" t="n">
        <v>45703</v>
      </c>
      <c r="D972" t="inlineStr">
        <is>
          <t>KALMAR LÄN</t>
        </is>
      </c>
      <c r="E972" t="inlineStr">
        <is>
          <t>VIMMERBY</t>
        </is>
      </c>
      <c r="G972" t="n">
        <v>2.3</v>
      </c>
      <c r="H972" t="n">
        <v>0</v>
      </c>
      <c r="I972" t="n">
        <v>0</v>
      </c>
      <c r="J972" t="n">
        <v>0</v>
      </c>
      <c r="K972" t="n">
        <v>0</v>
      </c>
      <c r="L972" t="n">
        <v>0</v>
      </c>
      <c r="M972" t="n">
        <v>0</v>
      </c>
      <c r="N972" t="n">
        <v>0</v>
      </c>
      <c r="O972" t="n">
        <v>0</v>
      </c>
      <c r="P972" t="n">
        <v>0</v>
      </c>
      <c r="Q972" t="n">
        <v>0</v>
      </c>
      <c r="R972" s="2" t="inlineStr"/>
    </row>
    <row r="973" ht="15" customHeight="1">
      <c r="A973" t="inlineStr">
        <is>
          <t>A 33380-2023</t>
        </is>
      </c>
      <c r="B973" s="1" t="n">
        <v>45128</v>
      </c>
      <c r="C973" s="1" t="n">
        <v>45703</v>
      </c>
      <c r="D973" t="inlineStr">
        <is>
          <t>KALMAR LÄN</t>
        </is>
      </c>
      <c r="E973" t="inlineStr">
        <is>
          <t>VIMMERBY</t>
        </is>
      </c>
      <c r="G973" t="n">
        <v>5.2</v>
      </c>
      <c r="H973" t="n">
        <v>0</v>
      </c>
      <c r="I973" t="n">
        <v>0</v>
      </c>
      <c r="J973" t="n">
        <v>0</v>
      </c>
      <c r="K973" t="n">
        <v>0</v>
      </c>
      <c r="L973" t="n">
        <v>0</v>
      </c>
      <c r="M973" t="n">
        <v>0</v>
      </c>
      <c r="N973" t="n">
        <v>0</v>
      </c>
      <c r="O973" t="n">
        <v>0</v>
      </c>
      <c r="P973" t="n">
        <v>0</v>
      </c>
      <c r="Q973" t="n">
        <v>0</v>
      </c>
      <c r="R973" s="2" t="inlineStr"/>
    </row>
    <row r="974" ht="15" customHeight="1">
      <c r="A974" t="inlineStr">
        <is>
          <t>A 33417-2023</t>
        </is>
      </c>
      <c r="B974" s="1" t="n">
        <v>45128</v>
      </c>
      <c r="C974" s="1" t="n">
        <v>45703</v>
      </c>
      <c r="D974" t="inlineStr">
        <is>
          <t>KALMAR LÄN</t>
        </is>
      </c>
      <c r="E974" t="inlineStr">
        <is>
          <t>VIMMERBY</t>
        </is>
      </c>
      <c r="G974" t="n">
        <v>4.8</v>
      </c>
      <c r="H974" t="n">
        <v>0</v>
      </c>
      <c r="I974" t="n">
        <v>0</v>
      </c>
      <c r="J974" t="n">
        <v>0</v>
      </c>
      <c r="K974" t="n">
        <v>0</v>
      </c>
      <c r="L974" t="n">
        <v>0</v>
      </c>
      <c r="M974" t="n">
        <v>0</v>
      </c>
      <c r="N974" t="n">
        <v>0</v>
      </c>
      <c r="O974" t="n">
        <v>0</v>
      </c>
      <c r="P974" t="n">
        <v>0</v>
      </c>
      <c r="Q974" t="n">
        <v>0</v>
      </c>
      <c r="R974" s="2" t="inlineStr"/>
    </row>
    <row r="975" ht="15" customHeight="1">
      <c r="A975" t="inlineStr">
        <is>
          <t>A 33425-2023</t>
        </is>
      </c>
      <c r="B975" s="1" t="n">
        <v>45129</v>
      </c>
      <c r="C975" s="1" t="n">
        <v>45703</v>
      </c>
      <c r="D975" t="inlineStr">
        <is>
          <t>KALMAR LÄN</t>
        </is>
      </c>
      <c r="E975" t="inlineStr">
        <is>
          <t>VIMMERBY</t>
        </is>
      </c>
      <c r="G975" t="n">
        <v>1.4</v>
      </c>
      <c r="H975" t="n">
        <v>0</v>
      </c>
      <c r="I975" t="n">
        <v>0</v>
      </c>
      <c r="J975" t="n">
        <v>0</v>
      </c>
      <c r="K975" t="n">
        <v>0</v>
      </c>
      <c r="L975" t="n">
        <v>0</v>
      </c>
      <c r="M975" t="n">
        <v>0</v>
      </c>
      <c r="N975" t="n">
        <v>0</v>
      </c>
      <c r="O975" t="n">
        <v>0</v>
      </c>
      <c r="P975" t="n">
        <v>0</v>
      </c>
      <c r="Q975" t="n">
        <v>0</v>
      </c>
      <c r="R975" s="2" t="inlineStr"/>
    </row>
    <row r="976" ht="15" customHeight="1">
      <c r="A976" t="inlineStr">
        <is>
          <t>A 33424-2023</t>
        </is>
      </c>
      <c r="B976" s="1" t="n">
        <v>45129</v>
      </c>
      <c r="C976" s="1" t="n">
        <v>45703</v>
      </c>
      <c r="D976" t="inlineStr">
        <is>
          <t>KALMAR LÄN</t>
        </is>
      </c>
      <c r="E976" t="inlineStr">
        <is>
          <t>VIMMERBY</t>
        </is>
      </c>
      <c r="G976" t="n">
        <v>2.4</v>
      </c>
      <c r="H976" t="n">
        <v>0</v>
      </c>
      <c r="I976" t="n">
        <v>0</v>
      </c>
      <c r="J976" t="n">
        <v>0</v>
      </c>
      <c r="K976" t="n">
        <v>0</v>
      </c>
      <c r="L976" t="n">
        <v>0</v>
      </c>
      <c r="M976" t="n">
        <v>0</v>
      </c>
      <c r="N976" t="n">
        <v>0</v>
      </c>
      <c r="O976" t="n">
        <v>0</v>
      </c>
      <c r="P976" t="n">
        <v>0</v>
      </c>
      <c r="Q976" t="n">
        <v>0</v>
      </c>
      <c r="R976" s="2" t="inlineStr"/>
    </row>
    <row r="977" ht="15" customHeight="1">
      <c r="A977" t="inlineStr">
        <is>
          <t>A 33649-2023</t>
        </is>
      </c>
      <c r="B977" s="1" t="n">
        <v>45132</v>
      </c>
      <c r="C977" s="1" t="n">
        <v>45703</v>
      </c>
      <c r="D977" t="inlineStr">
        <is>
          <t>KALMAR LÄN</t>
        </is>
      </c>
      <c r="E977" t="inlineStr">
        <is>
          <t>VIMMERBY</t>
        </is>
      </c>
      <c r="G977" t="n">
        <v>4.9</v>
      </c>
      <c r="H977" t="n">
        <v>0</v>
      </c>
      <c r="I977" t="n">
        <v>0</v>
      </c>
      <c r="J977" t="n">
        <v>0</v>
      </c>
      <c r="K977" t="n">
        <v>0</v>
      </c>
      <c r="L977" t="n">
        <v>0</v>
      </c>
      <c r="M977" t="n">
        <v>0</v>
      </c>
      <c r="N977" t="n">
        <v>0</v>
      </c>
      <c r="O977" t="n">
        <v>0</v>
      </c>
      <c r="P977" t="n">
        <v>0</v>
      </c>
      <c r="Q977" t="n">
        <v>0</v>
      </c>
      <c r="R977" s="2" t="inlineStr"/>
    </row>
    <row r="978" ht="15" customHeight="1">
      <c r="A978" t="inlineStr">
        <is>
          <t>A 34205-2023</t>
        </is>
      </c>
      <c r="B978" s="1" t="n">
        <v>45138</v>
      </c>
      <c r="C978" s="1" t="n">
        <v>45703</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34300-2023</t>
        </is>
      </c>
      <c r="B979" s="1" t="n">
        <v>45138</v>
      </c>
      <c r="C979" s="1" t="n">
        <v>45703</v>
      </c>
      <c r="D979" t="inlineStr">
        <is>
          <t>KALMAR LÄN</t>
        </is>
      </c>
      <c r="E979" t="inlineStr">
        <is>
          <t>VIMMERBY</t>
        </is>
      </c>
      <c r="G979" t="n">
        <v>0.9</v>
      </c>
      <c r="H979" t="n">
        <v>0</v>
      </c>
      <c r="I979" t="n">
        <v>0</v>
      </c>
      <c r="J979" t="n">
        <v>0</v>
      </c>
      <c r="K979" t="n">
        <v>0</v>
      </c>
      <c r="L979" t="n">
        <v>0</v>
      </c>
      <c r="M979" t="n">
        <v>0</v>
      </c>
      <c r="N979" t="n">
        <v>0</v>
      </c>
      <c r="O979" t="n">
        <v>0</v>
      </c>
      <c r="P979" t="n">
        <v>0</v>
      </c>
      <c r="Q979" t="n">
        <v>0</v>
      </c>
      <c r="R979" s="2" t="inlineStr"/>
    </row>
    <row r="980" ht="15" customHeight="1">
      <c r="A980" t="inlineStr">
        <is>
          <t>A 34956-2023</t>
        </is>
      </c>
      <c r="B980" s="1" t="n">
        <v>45142</v>
      </c>
      <c r="C980" s="1" t="n">
        <v>45703</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35190-2023</t>
        </is>
      </c>
      <c r="B981" s="1" t="n">
        <v>45145</v>
      </c>
      <c r="C981" s="1" t="n">
        <v>45703</v>
      </c>
      <c r="D981" t="inlineStr">
        <is>
          <t>KALMAR LÄN</t>
        </is>
      </c>
      <c r="E981" t="inlineStr">
        <is>
          <t>VIMMERBY</t>
        </is>
      </c>
      <c r="G981" t="n">
        <v>3.5</v>
      </c>
      <c r="H981" t="n">
        <v>0</v>
      </c>
      <c r="I981" t="n">
        <v>0</v>
      </c>
      <c r="J981" t="n">
        <v>0</v>
      </c>
      <c r="K981" t="n">
        <v>0</v>
      </c>
      <c r="L981" t="n">
        <v>0</v>
      </c>
      <c r="M981" t="n">
        <v>0</v>
      </c>
      <c r="N981" t="n">
        <v>0</v>
      </c>
      <c r="O981" t="n">
        <v>0</v>
      </c>
      <c r="P981" t="n">
        <v>0</v>
      </c>
      <c r="Q981" t="n">
        <v>0</v>
      </c>
      <c r="R981" s="2" t="inlineStr"/>
    </row>
    <row r="982" ht="15" customHeight="1">
      <c r="A982" t="inlineStr">
        <is>
          <t>A 35198-2023</t>
        </is>
      </c>
      <c r="B982" s="1" t="n">
        <v>45145</v>
      </c>
      <c r="C982" s="1" t="n">
        <v>45703</v>
      </c>
      <c r="D982" t="inlineStr">
        <is>
          <t>KALMAR LÄN</t>
        </is>
      </c>
      <c r="E982" t="inlineStr">
        <is>
          <t>VIMMERBY</t>
        </is>
      </c>
      <c r="G982" t="n">
        <v>1.6</v>
      </c>
      <c r="H982" t="n">
        <v>0</v>
      </c>
      <c r="I982" t="n">
        <v>0</v>
      </c>
      <c r="J982" t="n">
        <v>0</v>
      </c>
      <c r="K982" t="n">
        <v>0</v>
      </c>
      <c r="L982" t="n">
        <v>0</v>
      </c>
      <c r="M982" t="n">
        <v>0</v>
      </c>
      <c r="N982" t="n">
        <v>0</v>
      </c>
      <c r="O982" t="n">
        <v>0</v>
      </c>
      <c r="P982" t="n">
        <v>0</v>
      </c>
      <c r="Q982" t="n">
        <v>0</v>
      </c>
      <c r="R982" s="2" t="inlineStr"/>
    </row>
    <row r="983" ht="15" customHeight="1">
      <c r="A983" t="inlineStr">
        <is>
          <t>A 35372-2023</t>
        </is>
      </c>
      <c r="B983" s="1" t="n">
        <v>45146</v>
      </c>
      <c r="C983" s="1" t="n">
        <v>45703</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35670-2023</t>
        </is>
      </c>
      <c r="B984" s="1" t="n">
        <v>45147</v>
      </c>
      <c r="C984" s="1" t="n">
        <v>45703</v>
      </c>
      <c r="D984" t="inlineStr">
        <is>
          <t>KALMAR LÄN</t>
        </is>
      </c>
      <c r="E984" t="inlineStr">
        <is>
          <t>VIMMERBY</t>
        </is>
      </c>
      <c r="G984" t="n">
        <v>6.4</v>
      </c>
      <c r="H984" t="n">
        <v>0</v>
      </c>
      <c r="I984" t="n">
        <v>0</v>
      </c>
      <c r="J984" t="n">
        <v>0</v>
      </c>
      <c r="K984" t="n">
        <v>0</v>
      </c>
      <c r="L984" t="n">
        <v>0</v>
      </c>
      <c r="M984" t="n">
        <v>0</v>
      </c>
      <c r="N984" t="n">
        <v>0</v>
      </c>
      <c r="O984" t="n">
        <v>0</v>
      </c>
      <c r="P984" t="n">
        <v>0</v>
      </c>
      <c r="Q984" t="n">
        <v>0</v>
      </c>
      <c r="R984" s="2" t="inlineStr"/>
    </row>
    <row r="985" ht="15" customHeight="1">
      <c r="A985" t="inlineStr">
        <is>
          <t>A 35678-2023</t>
        </is>
      </c>
      <c r="B985" s="1" t="n">
        <v>45147</v>
      </c>
      <c r="C985" s="1" t="n">
        <v>45703</v>
      </c>
      <c r="D985" t="inlineStr">
        <is>
          <t>KALMAR LÄN</t>
        </is>
      </c>
      <c r="E985" t="inlineStr">
        <is>
          <t>VIMMERBY</t>
        </is>
      </c>
      <c r="G985" t="n">
        <v>0.7</v>
      </c>
      <c r="H985" t="n">
        <v>0</v>
      </c>
      <c r="I985" t="n">
        <v>0</v>
      </c>
      <c r="J985" t="n">
        <v>0</v>
      </c>
      <c r="K985" t="n">
        <v>0</v>
      </c>
      <c r="L985" t="n">
        <v>0</v>
      </c>
      <c r="M985" t="n">
        <v>0</v>
      </c>
      <c r="N985" t="n">
        <v>0</v>
      </c>
      <c r="O985" t="n">
        <v>0</v>
      </c>
      <c r="P985" t="n">
        <v>0</v>
      </c>
      <c r="Q985" t="n">
        <v>0</v>
      </c>
      <c r="R985" s="2" t="inlineStr"/>
    </row>
    <row r="986" ht="15" customHeight="1">
      <c r="A986" t="inlineStr">
        <is>
          <t>A 35710-2023</t>
        </is>
      </c>
      <c r="B986" s="1" t="n">
        <v>45147</v>
      </c>
      <c r="C986" s="1" t="n">
        <v>45703</v>
      </c>
      <c r="D986" t="inlineStr">
        <is>
          <t>KALMAR LÄN</t>
        </is>
      </c>
      <c r="E986" t="inlineStr">
        <is>
          <t>VIMMERBY</t>
        </is>
      </c>
      <c r="G986" t="n">
        <v>3.1</v>
      </c>
      <c r="H986" t="n">
        <v>0</v>
      </c>
      <c r="I986" t="n">
        <v>0</v>
      </c>
      <c r="J986" t="n">
        <v>0</v>
      </c>
      <c r="K986" t="n">
        <v>0</v>
      </c>
      <c r="L986" t="n">
        <v>0</v>
      </c>
      <c r="M986" t="n">
        <v>0</v>
      </c>
      <c r="N986" t="n">
        <v>0</v>
      </c>
      <c r="O986" t="n">
        <v>0</v>
      </c>
      <c r="P986" t="n">
        <v>0</v>
      </c>
      <c r="Q986" t="n">
        <v>0</v>
      </c>
      <c r="R986" s="2" t="inlineStr"/>
    </row>
    <row r="987" ht="15" customHeight="1">
      <c r="A987" t="inlineStr">
        <is>
          <t>A 35671-2023</t>
        </is>
      </c>
      <c r="B987" s="1" t="n">
        <v>45147</v>
      </c>
      <c r="C987" s="1" t="n">
        <v>45703</v>
      </c>
      <c r="D987" t="inlineStr">
        <is>
          <t>KALMAR LÄN</t>
        </is>
      </c>
      <c r="E987" t="inlineStr">
        <is>
          <t>VIMMERBY</t>
        </is>
      </c>
      <c r="G987" t="n">
        <v>2.3</v>
      </c>
      <c r="H987" t="n">
        <v>0</v>
      </c>
      <c r="I987" t="n">
        <v>0</v>
      </c>
      <c r="J987" t="n">
        <v>0</v>
      </c>
      <c r="K987" t="n">
        <v>0</v>
      </c>
      <c r="L987" t="n">
        <v>0</v>
      </c>
      <c r="M987" t="n">
        <v>0</v>
      </c>
      <c r="N987" t="n">
        <v>0</v>
      </c>
      <c r="O987" t="n">
        <v>0</v>
      </c>
      <c r="P987" t="n">
        <v>0</v>
      </c>
      <c r="Q987" t="n">
        <v>0</v>
      </c>
      <c r="R987" s="2" t="inlineStr"/>
    </row>
    <row r="988" ht="15" customHeight="1">
      <c r="A988" t="inlineStr">
        <is>
          <t>A 35711-2023</t>
        </is>
      </c>
      <c r="B988" s="1" t="n">
        <v>45147</v>
      </c>
      <c r="C988" s="1" t="n">
        <v>45703</v>
      </c>
      <c r="D988" t="inlineStr">
        <is>
          <t>KALMAR LÄN</t>
        </is>
      </c>
      <c r="E988" t="inlineStr">
        <is>
          <t>VIMMERBY</t>
        </is>
      </c>
      <c r="G988" t="n">
        <v>1</v>
      </c>
      <c r="H988" t="n">
        <v>0</v>
      </c>
      <c r="I988" t="n">
        <v>0</v>
      </c>
      <c r="J988" t="n">
        <v>0</v>
      </c>
      <c r="K988" t="n">
        <v>0</v>
      </c>
      <c r="L988" t="n">
        <v>0</v>
      </c>
      <c r="M988" t="n">
        <v>0</v>
      </c>
      <c r="N988" t="n">
        <v>0</v>
      </c>
      <c r="O988" t="n">
        <v>0</v>
      </c>
      <c r="P988" t="n">
        <v>0</v>
      </c>
      <c r="Q988" t="n">
        <v>0</v>
      </c>
      <c r="R988" s="2" t="inlineStr"/>
    </row>
    <row r="989" ht="15" customHeight="1">
      <c r="A989" t="inlineStr">
        <is>
          <t>A 35672-2023</t>
        </is>
      </c>
      <c r="B989" s="1" t="n">
        <v>45147</v>
      </c>
      <c r="C989" s="1" t="n">
        <v>45703</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35713-2023</t>
        </is>
      </c>
      <c r="B990" s="1" t="n">
        <v>45147</v>
      </c>
      <c r="C990" s="1" t="n">
        <v>45703</v>
      </c>
      <c r="D990" t="inlineStr">
        <is>
          <t>KALMAR LÄN</t>
        </is>
      </c>
      <c r="E990" t="inlineStr">
        <is>
          <t>VIMMERBY</t>
        </is>
      </c>
      <c r="G990" t="n">
        <v>1.6</v>
      </c>
      <c r="H990" t="n">
        <v>0</v>
      </c>
      <c r="I990" t="n">
        <v>0</v>
      </c>
      <c r="J990" t="n">
        <v>0</v>
      </c>
      <c r="K990" t="n">
        <v>0</v>
      </c>
      <c r="L990" t="n">
        <v>0</v>
      </c>
      <c r="M990" t="n">
        <v>0</v>
      </c>
      <c r="N990" t="n">
        <v>0</v>
      </c>
      <c r="O990" t="n">
        <v>0</v>
      </c>
      <c r="P990" t="n">
        <v>0</v>
      </c>
      <c r="Q990" t="n">
        <v>0</v>
      </c>
      <c r="R990" s="2" t="inlineStr"/>
    </row>
    <row r="991" ht="15" customHeight="1">
      <c r="A991" t="inlineStr">
        <is>
          <t>A 35839-2023</t>
        </is>
      </c>
      <c r="B991" s="1" t="n">
        <v>45148</v>
      </c>
      <c r="C991" s="1" t="n">
        <v>45703</v>
      </c>
      <c r="D991" t="inlineStr">
        <is>
          <t>KALMAR LÄN</t>
        </is>
      </c>
      <c r="E991" t="inlineStr">
        <is>
          <t>VIMMERBY</t>
        </is>
      </c>
      <c r="G991" t="n">
        <v>1.5</v>
      </c>
      <c r="H991" t="n">
        <v>0</v>
      </c>
      <c r="I991" t="n">
        <v>0</v>
      </c>
      <c r="J991" t="n">
        <v>0</v>
      </c>
      <c r="K991" t="n">
        <v>0</v>
      </c>
      <c r="L991" t="n">
        <v>0</v>
      </c>
      <c r="M991" t="n">
        <v>0</v>
      </c>
      <c r="N991" t="n">
        <v>0</v>
      </c>
      <c r="O991" t="n">
        <v>0</v>
      </c>
      <c r="P991" t="n">
        <v>0</v>
      </c>
      <c r="Q991" t="n">
        <v>0</v>
      </c>
      <c r="R991" s="2" t="inlineStr"/>
    </row>
    <row r="992" ht="15" customHeight="1">
      <c r="A992" t="inlineStr">
        <is>
          <t>A 35846-2023</t>
        </is>
      </c>
      <c r="B992" s="1" t="n">
        <v>45148</v>
      </c>
      <c r="C992" s="1" t="n">
        <v>45703</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35913-2023</t>
        </is>
      </c>
      <c r="B993" s="1" t="n">
        <v>45148</v>
      </c>
      <c r="C993" s="1" t="n">
        <v>45703</v>
      </c>
      <c r="D993" t="inlineStr">
        <is>
          <t>KALMAR LÄN</t>
        </is>
      </c>
      <c r="E993" t="inlineStr">
        <is>
          <t>VIMMERBY</t>
        </is>
      </c>
      <c r="G993" t="n">
        <v>6.9</v>
      </c>
      <c r="H993" t="n">
        <v>0</v>
      </c>
      <c r="I993" t="n">
        <v>0</v>
      </c>
      <c r="J993" t="n">
        <v>0</v>
      </c>
      <c r="K993" t="n">
        <v>0</v>
      </c>
      <c r="L993" t="n">
        <v>0</v>
      </c>
      <c r="M993" t="n">
        <v>0</v>
      </c>
      <c r="N993" t="n">
        <v>0</v>
      </c>
      <c r="O993" t="n">
        <v>0</v>
      </c>
      <c r="P993" t="n">
        <v>0</v>
      </c>
      <c r="Q993" t="n">
        <v>0</v>
      </c>
      <c r="R993" s="2" t="inlineStr"/>
    </row>
    <row r="994" ht="15" customHeight="1">
      <c r="A994" t="inlineStr">
        <is>
          <t>A 36155-2023</t>
        </is>
      </c>
      <c r="B994" s="1" t="n">
        <v>45149</v>
      </c>
      <c r="C994" s="1" t="n">
        <v>45703</v>
      </c>
      <c r="D994" t="inlineStr">
        <is>
          <t>KALMAR LÄN</t>
        </is>
      </c>
      <c r="E994" t="inlineStr">
        <is>
          <t>VIMMERBY</t>
        </is>
      </c>
      <c r="G994" t="n">
        <v>5</v>
      </c>
      <c r="H994" t="n">
        <v>0</v>
      </c>
      <c r="I994" t="n">
        <v>0</v>
      </c>
      <c r="J994" t="n">
        <v>0</v>
      </c>
      <c r="K994" t="n">
        <v>0</v>
      </c>
      <c r="L994" t="n">
        <v>0</v>
      </c>
      <c r="M994" t="n">
        <v>0</v>
      </c>
      <c r="N994" t="n">
        <v>0</v>
      </c>
      <c r="O994" t="n">
        <v>0</v>
      </c>
      <c r="P994" t="n">
        <v>0</v>
      </c>
      <c r="Q994" t="n">
        <v>0</v>
      </c>
      <c r="R994" s="2" t="inlineStr"/>
    </row>
    <row r="995" ht="15" customHeight="1">
      <c r="A995" t="inlineStr">
        <is>
          <t>A 36385-2023</t>
        </is>
      </c>
      <c r="B995" s="1" t="n">
        <v>45152</v>
      </c>
      <c r="C995" s="1" t="n">
        <v>45703</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36526-2023</t>
        </is>
      </c>
      <c r="B996" s="1" t="n">
        <v>45153</v>
      </c>
      <c r="C996" s="1" t="n">
        <v>45703</v>
      </c>
      <c r="D996" t="inlineStr">
        <is>
          <t>KALMAR LÄN</t>
        </is>
      </c>
      <c r="E996" t="inlineStr">
        <is>
          <t>VIMMERBY</t>
        </is>
      </c>
      <c r="G996" t="n">
        <v>2.7</v>
      </c>
      <c r="H996" t="n">
        <v>0</v>
      </c>
      <c r="I996" t="n">
        <v>0</v>
      </c>
      <c r="J996" t="n">
        <v>0</v>
      </c>
      <c r="K996" t="n">
        <v>0</v>
      </c>
      <c r="L996" t="n">
        <v>0</v>
      </c>
      <c r="M996" t="n">
        <v>0</v>
      </c>
      <c r="N996" t="n">
        <v>0</v>
      </c>
      <c r="O996" t="n">
        <v>0</v>
      </c>
      <c r="P996" t="n">
        <v>0</v>
      </c>
      <c r="Q996" t="n">
        <v>0</v>
      </c>
      <c r="R996" s="2" t="inlineStr"/>
    </row>
    <row r="997" ht="15" customHeight="1">
      <c r="A997" t="inlineStr">
        <is>
          <t>A 36843-2023</t>
        </is>
      </c>
      <c r="B997" s="1" t="n">
        <v>45154</v>
      </c>
      <c r="C997" s="1" t="n">
        <v>45703</v>
      </c>
      <c r="D997" t="inlineStr">
        <is>
          <t>KALMAR LÄN</t>
        </is>
      </c>
      <c r="E997" t="inlineStr">
        <is>
          <t>VIMMERBY</t>
        </is>
      </c>
      <c r="G997" t="n">
        <v>2</v>
      </c>
      <c r="H997" t="n">
        <v>0</v>
      </c>
      <c r="I997" t="n">
        <v>0</v>
      </c>
      <c r="J997" t="n">
        <v>0</v>
      </c>
      <c r="K997" t="n">
        <v>0</v>
      </c>
      <c r="L997" t="n">
        <v>0</v>
      </c>
      <c r="M997" t="n">
        <v>0</v>
      </c>
      <c r="N997" t="n">
        <v>0</v>
      </c>
      <c r="O997" t="n">
        <v>0</v>
      </c>
      <c r="P997" t="n">
        <v>0</v>
      </c>
      <c r="Q997" t="n">
        <v>0</v>
      </c>
      <c r="R997" s="2" t="inlineStr"/>
    </row>
    <row r="998" ht="15" customHeight="1">
      <c r="A998" t="inlineStr">
        <is>
          <t>A 37373-2023</t>
        </is>
      </c>
      <c r="B998" s="1" t="n">
        <v>45156</v>
      </c>
      <c r="C998" s="1" t="n">
        <v>45703</v>
      </c>
      <c r="D998" t="inlineStr">
        <is>
          <t>KALMAR LÄN</t>
        </is>
      </c>
      <c r="E998" t="inlineStr">
        <is>
          <t>VIMMERBY</t>
        </is>
      </c>
      <c r="F998" t="inlineStr">
        <is>
          <t>Övriga Aktiebolag</t>
        </is>
      </c>
      <c r="G998" t="n">
        <v>4.7</v>
      </c>
      <c r="H998" t="n">
        <v>0</v>
      </c>
      <c r="I998" t="n">
        <v>0</v>
      </c>
      <c r="J998" t="n">
        <v>0</v>
      </c>
      <c r="K998" t="n">
        <v>0</v>
      </c>
      <c r="L998" t="n">
        <v>0</v>
      </c>
      <c r="M998" t="n">
        <v>0</v>
      </c>
      <c r="N998" t="n">
        <v>0</v>
      </c>
      <c r="O998" t="n">
        <v>0</v>
      </c>
      <c r="P998" t="n">
        <v>0</v>
      </c>
      <c r="Q998" t="n">
        <v>0</v>
      </c>
      <c r="R998" s="2" t="inlineStr"/>
    </row>
    <row r="999" ht="15" customHeight="1">
      <c r="A999" t="inlineStr">
        <is>
          <t>A 38254-2023</t>
        </is>
      </c>
      <c r="B999" s="1" t="n">
        <v>45160</v>
      </c>
      <c r="C999" s="1" t="n">
        <v>45703</v>
      </c>
      <c r="D999" t="inlineStr">
        <is>
          <t>KALMAR LÄN</t>
        </is>
      </c>
      <c r="E999" t="inlineStr">
        <is>
          <t>VIMMERBY</t>
        </is>
      </c>
      <c r="G999" t="n">
        <v>0.9</v>
      </c>
      <c r="H999" t="n">
        <v>0</v>
      </c>
      <c r="I999" t="n">
        <v>0</v>
      </c>
      <c r="J999" t="n">
        <v>0</v>
      </c>
      <c r="K999" t="n">
        <v>0</v>
      </c>
      <c r="L999" t="n">
        <v>0</v>
      </c>
      <c r="M999" t="n">
        <v>0</v>
      </c>
      <c r="N999" t="n">
        <v>0</v>
      </c>
      <c r="O999" t="n">
        <v>0</v>
      </c>
      <c r="P999" t="n">
        <v>0</v>
      </c>
      <c r="Q999" t="n">
        <v>0</v>
      </c>
      <c r="R999" s="2" t="inlineStr"/>
    </row>
    <row r="1000" ht="15" customHeight="1">
      <c r="A1000" t="inlineStr">
        <is>
          <t>A 38261-2023</t>
        </is>
      </c>
      <c r="B1000" s="1" t="n">
        <v>45160</v>
      </c>
      <c r="C1000" s="1" t="n">
        <v>45703</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38274-2023</t>
        </is>
      </c>
      <c r="B1001" s="1" t="n">
        <v>45161</v>
      </c>
      <c r="C1001" s="1" t="n">
        <v>45703</v>
      </c>
      <c r="D1001" t="inlineStr">
        <is>
          <t>KALMAR LÄN</t>
        </is>
      </c>
      <c r="E1001" t="inlineStr">
        <is>
          <t>VIMMERBY</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38969-2023</t>
        </is>
      </c>
      <c r="B1002" s="1" t="n">
        <v>45163</v>
      </c>
      <c r="C1002" s="1" t="n">
        <v>45703</v>
      </c>
      <c r="D1002" t="inlineStr">
        <is>
          <t>KALMAR LÄN</t>
        </is>
      </c>
      <c r="E1002" t="inlineStr">
        <is>
          <t>VIMMERBY</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38993-2023</t>
        </is>
      </c>
      <c r="B1003" s="1" t="n">
        <v>45163</v>
      </c>
      <c r="C1003" s="1" t="n">
        <v>45703</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38851-2023</t>
        </is>
      </c>
      <c r="B1004" s="1" t="n">
        <v>45163</v>
      </c>
      <c r="C1004" s="1" t="n">
        <v>45703</v>
      </c>
      <c r="D1004" t="inlineStr">
        <is>
          <t>KALMAR LÄN</t>
        </is>
      </c>
      <c r="E1004" t="inlineStr">
        <is>
          <t>VIMMERBY</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38995-2023</t>
        </is>
      </c>
      <c r="B1005" s="1" t="n">
        <v>45163</v>
      </c>
      <c r="C1005" s="1" t="n">
        <v>45703</v>
      </c>
      <c r="D1005" t="inlineStr">
        <is>
          <t>KALMAR LÄN</t>
        </is>
      </c>
      <c r="E1005" t="inlineStr">
        <is>
          <t>VIMMERBY</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38779-2023</t>
        </is>
      </c>
      <c r="B1006" s="1" t="n">
        <v>45163</v>
      </c>
      <c r="C1006" s="1" t="n">
        <v>45703</v>
      </c>
      <c r="D1006" t="inlineStr">
        <is>
          <t>KALMAR LÄN</t>
        </is>
      </c>
      <c r="E1006" t="inlineStr">
        <is>
          <t>VIMMERBY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38757-2023</t>
        </is>
      </c>
      <c r="B1007" s="1" t="n">
        <v>45163</v>
      </c>
      <c r="C1007" s="1" t="n">
        <v>45703</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38799-2023</t>
        </is>
      </c>
      <c r="B1008" s="1" t="n">
        <v>45163</v>
      </c>
      <c r="C1008" s="1" t="n">
        <v>45703</v>
      </c>
      <c r="D1008" t="inlineStr">
        <is>
          <t>KALMAR LÄN</t>
        </is>
      </c>
      <c r="E1008" t="inlineStr">
        <is>
          <t>VIMMERBY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38803-2023</t>
        </is>
      </c>
      <c r="B1009" s="1" t="n">
        <v>45163</v>
      </c>
      <c r="C1009" s="1" t="n">
        <v>45703</v>
      </c>
      <c r="D1009" t="inlineStr">
        <is>
          <t>KALMAR LÄN</t>
        </is>
      </c>
      <c r="E1009" t="inlineStr">
        <is>
          <t>VIMMERBY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39129-2023</t>
        </is>
      </c>
      <c r="B1010" s="1" t="n">
        <v>45165</v>
      </c>
      <c r="C1010" s="1" t="n">
        <v>45703</v>
      </c>
      <c r="D1010" t="inlineStr">
        <is>
          <t>KALMAR LÄN</t>
        </is>
      </c>
      <c r="E1010" t="inlineStr">
        <is>
          <t>VIMMERBY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39401-2023</t>
        </is>
      </c>
      <c r="B1011" s="1" t="n">
        <v>45166</v>
      </c>
      <c r="C1011" s="1" t="n">
        <v>45703</v>
      </c>
      <c r="D1011" t="inlineStr">
        <is>
          <t>KALMAR LÄN</t>
        </is>
      </c>
      <c r="E1011" t="inlineStr">
        <is>
          <t>VIMMERBY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40079-2023</t>
        </is>
      </c>
      <c r="B1012" s="1" t="n">
        <v>45168</v>
      </c>
      <c r="C1012" s="1" t="n">
        <v>45703</v>
      </c>
      <c r="D1012" t="inlineStr">
        <is>
          <t>KALMAR LÄN</t>
        </is>
      </c>
      <c r="E1012" t="inlineStr">
        <is>
          <t>VIMMERBY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39912-2023</t>
        </is>
      </c>
      <c r="B1013" s="1" t="n">
        <v>45168</v>
      </c>
      <c r="C1013" s="1" t="n">
        <v>45703</v>
      </c>
      <c r="D1013" t="inlineStr">
        <is>
          <t>KALMAR LÄN</t>
        </is>
      </c>
      <c r="E1013" t="inlineStr">
        <is>
          <t>VIMMERBY</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40147-2023</t>
        </is>
      </c>
      <c r="B1014" s="1" t="n">
        <v>45169</v>
      </c>
      <c r="C1014" s="1" t="n">
        <v>45703</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40151-2023</t>
        </is>
      </c>
      <c r="B1015" s="1" t="n">
        <v>45169</v>
      </c>
      <c r="C1015" s="1" t="n">
        <v>45703</v>
      </c>
      <c r="D1015" t="inlineStr">
        <is>
          <t>KALMAR LÄN</t>
        </is>
      </c>
      <c r="E1015" t="inlineStr">
        <is>
          <t>VIMMERBY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40380-2023</t>
        </is>
      </c>
      <c r="B1016" s="1" t="n">
        <v>45169</v>
      </c>
      <c r="C1016" s="1" t="n">
        <v>45703</v>
      </c>
      <c r="D1016" t="inlineStr">
        <is>
          <t>KALMAR LÄN</t>
        </is>
      </c>
      <c r="E1016" t="inlineStr">
        <is>
          <t>VIMMERBY</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40472-2023</t>
        </is>
      </c>
      <c r="B1017" s="1" t="n">
        <v>45170</v>
      </c>
      <c r="C1017" s="1" t="n">
        <v>45703</v>
      </c>
      <c r="D1017" t="inlineStr">
        <is>
          <t>KALMAR LÄN</t>
        </is>
      </c>
      <c r="E1017" t="inlineStr">
        <is>
          <t>VIMMERBY</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40477-2023</t>
        </is>
      </c>
      <c r="B1018" s="1" t="n">
        <v>45170</v>
      </c>
      <c r="C1018" s="1" t="n">
        <v>45703</v>
      </c>
      <c r="D1018" t="inlineStr">
        <is>
          <t>KALMAR LÄN</t>
        </is>
      </c>
      <c r="E1018" t="inlineStr">
        <is>
          <t>VIMMERBY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40665-2023</t>
        </is>
      </c>
      <c r="B1019" s="1" t="n">
        <v>45170</v>
      </c>
      <c r="C1019" s="1" t="n">
        <v>45703</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40828-2023</t>
        </is>
      </c>
      <c r="B1020" s="1" t="n">
        <v>45172</v>
      </c>
      <c r="C1020" s="1" t="n">
        <v>45703</v>
      </c>
      <c r="D1020" t="inlineStr">
        <is>
          <t>KALMAR LÄN</t>
        </is>
      </c>
      <c r="E1020" t="inlineStr">
        <is>
          <t>VIMMERBY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40823-2023</t>
        </is>
      </c>
      <c r="B1021" s="1" t="n">
        <v>45171</v>
      </c>
      <c r="C1021" s="1" t="n">
        <v>45703</v>
      </c>
      <c r="D1021" t="inlineStr">
        <is>
          <t>KALMAR LÄN</t>
        </is>
      </c>
      <c r="E1021" t="inlineStr">
        <is>
          <t>VIMMERBY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41084-2023</t>
        </is>
      </c>
      <c r="B1022" s="1" t="n">
        <v>45173</v>
      </c>
      <c r="C1022" s="1" t="n">
        <v>45703</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41088-2023</t>
        </is>
      </c>
      <c r="B1023" s="1" t="n">
        <v>45173</v>
      </c>
      <c r="C1023" s="1" t="n">
        <v>45703</v>
      </c>
      <c r="D1023" t="inlineStr">
        <is>
          <t>KALMAR LÄN</t>
        </is>
      </c>
      <c r="E1023" t="inlineStr">
        <is>
          <t>VIMMERBY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41199-2023</t>
        </is>
      </c>
      <c r="B1024" s="1" t="n">
        <v>45174</v>
      </c>
      <c r="C1024" s="1" t="n">
        <v>45703</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41311-2023</t>
        </is>
      </c>
      <c r="B1025" s="1" t="n">
        <v>45174</v>
      </c>
      <c r="C1025" s="1" t="n">
        <v>45703</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41158-2023</t>
        </is>
      </c>
      <c r="B1026" s="1" t="n">
        <v>45174</v>
      </c>
      <c r="C1026" s="1" t="n">
        <v>45703</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41202-2023</t>
        </is>
      </c>
      <c r="B1027" s="1" t="n">
        <v>45174</v>
      </c>
      <c r="C1027" s="1" t="n">
        <v>45703</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41894-2023</t>
        </is>
      </c>
      <c r="B1028" s="1" t="n">
        <v>45176</v>
      </c>
      <c r="C1028" s="1" t="n">
        <v>45703</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41896-2023</t>
        </is>
      </c>
      <c r="B1029" s="1" t="n">
        <v>45176</v>
      </c>
      <c r="C1029" s="1" t="n">
        <v>45703</v>
      </c>
      <c r="D1029" t="inlineStr">
        <is>
          <t>KALMAR LÄN</t>
        </is>
      </c>
      <c r="E1029" t="inlineStr">
        <is>
          <t>VIMMERBY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42241-2023</t>
        </is>
      </c>
      <c r="B1030" s="1" t="n">
        <v>45180</v>
      </c>
      <c r="C1030" s="1" t="n">
        <v>45703</v>
      </c>
      <c r="D1030" t="inlineStr">
        <is>
          <t>KALMAR LÄN</t>
        </is>
      </c>
      <c r="E1030" t="inlineStr">
        <is>
          <t>VIMMERBY</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42689-2023</t>
        </is>
      </c>
      <c r="B1031" s="1" t="n">
        <v>45181</v>
      </c>
      <c r="C1031" s="1" t="n">
        <v>45703</v>
      </c>
      <c r="D1031" t="inlineStr">
        <is>
          <t>KALMAR LÄN</t>
        </is>
      </c>
      <c r="E1031" t="inlineStr">
        <is>
          <t>VIMMERBY</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42644-2023</t>
        </is>
      </c>
      <c r="B1032" s="1" t="n">
        <v>45181</v>
      </c>
      <c r="C1032" s="1" t="n">
        <v>45703</v>
      </c>
      <c r="D1032" t="inlineStr">
        <is>
          <t>KALMAR LÄN</t>
        </is>
      </c>
      <c r="E1032" t="inlineStr">
        <is>
          <t>VIMMERBY</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43068-2023</t>
        </is>
      </c>
      <c r="B1033" s="1" t="n">
        <v>45182</v>
      </c>
      <c r="C1033" s="1" t="n">
        <v>45703</v>
      </c>
      <c r="D1033" t="inlineStr">
        <is>
          <t>KALMAR LÄN</t>
        </is>
      </c>
      <c r="E1033" t="inlineStr">
        <is>
          <t>VIMMERBY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43705-2023</t>
        </is>
      </c>
      <c r="B1034" s="1" t="n">
        <v>45187</v>
      </c>
      <c r="C1034" s="1" t="n">
        <v>45703</v>
      </c>
      <c r="D1034" t="inlineStr">
        <is>
          <t>KALMAR LÄN</t>
        </is>
      </c>
      <c r="E1034" t="inlineStr">
        <is>
          <t>VIMMERBY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43853-2023</t>
        </is>
      </c>
      <c r="B1035" s="1" t="n">
        <v>45187</v>
      </c>
      <c r="C1035" s="1" t="n">
        <v>45703</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43706-2023</t>
        </is>
      </c>
      <c r="B1036" s="1" t="n">
        <v>45187</v>
      </c>
      <c r="C1036" s="1" t="n">
        <v>45703</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43774-2023</t>
        </is>
      </c>
      <c r="B1037" s="1" t="n">
        <v>45187</v>
      </c>
      <c r="C1037" s="1" t="n">
        <v>45703</v>
      </c>
      <c r="D1037" t="inlineStr">
        <is>
          <t>KALMAR LÄN</t>
        </is>
      </c>
      <c r="E1037" t="inlineStr">
        <is>
          <t>VIMMERBY</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44660-2023</t>
        </is>
      </c>
      <c r="B1038" s="1" t="n">
        <v>45189</v>
      </c>
      <c r="C1038" s="1" t="n">
        <v>45703</v>
      </c>
      <c r="D1038" t="inlineStr">
        <is>
          <t>KALMAR LÄN</t>
        </is>
      </c>
      <c r="E1038" t="inlineStr">
        <is>
          <t>VIMMERBY</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44423-2023</t>
        </is>
      </c>
      <c r="B1039" s="1" t="n">
        <v>45189</v>
      </c>
      <c r="C1039" s="1" t="n">
        <v>45703</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44833-2023</t>
        </is>
      </c>
      <c r="B1040" s="1" t="n">
        <v>45190</v>
      </c>
      <c r="C1040" s="1" t="n">
        <v>45703</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44962-2023</t>
        </is>
      </c>
      <c r="B1041" s="1" t="n">
        <v>45190</v>
      </c>
      <c r="C1041" s="1" t="n">
        <v>45703</v>
      </c>
      <c r="D1041" t="inlineStr">
        <is>
          <t>KALMAR LÄN</t>
        </is>
      </c>
      <c r="E1041" t="inlineStr">
        <is>
          <t>VIMMERBY</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44887-2023</t>
        </is>
      </c>
      <c r="B1042" s="1" t="n">
        <v>45190</v>
      </c>
      <c r="C1042" s="1" t="n">
        <v>45703</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44884-2023</t>
        </is>
      </c>
      <c r="B1043" s="1" t="n">
        <v>45190</v>
      </c>
      <c r="C1043" s="1" t="n">
        <v>45703</v>
      </c>
      <c r="D1043" t="inlineStr">
        <is>
          <t>KALMAR LÄN</t>
        </is>
      </c>
      <c r="E1043" t="inlineStr">
        <is>
          <t>VIMMERBY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45838-2023</t>
        </is>
      </c>
      <c r="B1044" s="1" t="n">
        <v>45195</v>
      </c>
      <c r="C1044" s="1" t="n">
        <v>45703</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45846-2023</t>
        </is>
      </c>
      <c r="B1045" s="1" t="n">
        <v>45195</v>
      </c>
      <c r="C1045" s="1" t="n">
        <v>45703</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45731-2023</t>
        </is>
      </c>
      <c r="B1046" s="1" t="n">
        <v>45195</v>
      </c>
      <c r="C1046" s="1" t="n">
        <v>45703</v>
      </c>
      <c r="D1046" t="inlineStr">
        <is>
          <t>KALMAR LÄN</t>
        </is>
      </c>
      <c r="E1046" t="inlineStr">
        <is>
          <t>VIMMERBY</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45808-2023</t>
        </is>
      </c>
      <c r="B1047" s="1" t="n">
        <v>45195</v>
      </c>
      <c r="C1047" s="1" t="n">
        <v>45703</v>
      </c>
      <c r="D1047" t="inlineStr">
        <is>
          <t>KALMAR LÄN</t>
        </is>
      </c>
      <c r="E1047" t="inlineStr">
        <is>
          <t>VIMMERBY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45839-2023</t>
        </is>
      </c>
      <c r="B1048" s="1" t="n">
        <v>45195</v>
      </c>
      <c r="C1048" s="1" t="n">
        <v>45703</v>
      </c>
      <c r="D1048" t="inlineStr">
        <is>
          <t>KALMAR LÄN</t>
        </is>
      </c>
      <c r="E1048" t="inlineStr">
        <is>
          <t>VIMMERBY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46116-2023</t>
        </is>
      </c>
      <c r="B1049" s="1" t="n">
        <v>45196</v>
      </c>
      <c r="C1049" s="1" t="n">
        <v>45703</v>
      </c>
      <c r="D1049" t="inlineStr">
        <is>
          <t>KALMAR LÄN</t>
        </is>
      </c>
      <c r="E1049" t="inlineStr">
        <is>
          <t>VIMMERBY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46078-2023</t>
        </is>
      </c>
      <c r="B1050" s="1" t="n">
        <v>45196</v>
      </c>
      <c r="C1050" s="1" t="n">
        <v>45703</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46144-2023</t>
        </is>
      </c>
      <c r="B1051" s="1" t="n">
        <v>45196</v>
      </c>
      <c r="C1051" s="1" t="n">
        <v>45703</v>
      </c>
      <c r="D1051" t="inlineStr">
        <is>
          <t>KALMAR LÄN</t>
        </is>
      </c>
      <c r="E1051" t="inlineStr">
        <is>
          <t>VIMMERBY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46697-2023</t>
        </is>
      </c>
      <c r="B1052" s="1" t="n">
        <v>45198</v>
      </c>
      <c r="C1052" s="1" t="n">
        <v>45703</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46695-2023</t>
        </is>
      </c>
      <c r="B1053" s="1" t="n">
        <v>45198</v>
      </c>
      <c r="C1053" s="1" t="n">
        <v>45703</v>
      </c>
      <c r="D1053" t="inlineStr">
        <is>
          <t>KALMAR LÄN</t>
        </is>
      </c>
      <c r="E1053" t="inlineStr">
        <is>
          <t>VIMMERBY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46916-2023</t>
        </is>
      </c>
      <c r="B1054" s="1" t="n">
        <v>45201</v>
      </c>
      <c r="C1054" s="1" t="n">
        <v>45703</v>
      </c>
      <c r="D1054" t="inlineStr">
        <is>
          <t>KALMAR LÄN</t>
        </is>
      </c>
      <c r="E1054" t="inlineStr">
        <is>
          <t>VIMMERBY</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46921-2023</t>
        </is>
      </c>
      <c r="B1055" s="1" t="n">
        <v>45201</v>
      </c>
      <c r="C1055" s="1" t="n">
        <v>45703</v>
      </c>
      <c r="D1055" t="inlineStr">
        <is>
          <t>KALMAR LÄN</t>
        </is>
      </c>
      <c r="E1055" t="inlineStr">
        <is>
          <t>VIMMERBY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46941-2023</t>
        </is>
      </c>
      <c r="B1056" s="1" t="n">
        <v>45201</v>
      </c>
      <c r="C1056" s="1" t="n">
        <v>45703</v>
      </c>
      <c r="D1056" t="inlineStr">
        <is>
          <t>KALMAR LÄN</t>
        </is>
      </c>
      <c r="E1056" t="inlineStr">
        <is>
          <t>VIMMERBY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46979-2023</t>
        </is>
      </c>
      <c r="B1057" s="1" t="n">
        <v>45201</v>
      </c>
      <c r="C1057" s="1" t="n">
        <v>45703</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47084-2023</t>
        </is>
      </c>
      <c r="B1058" s="1" t="n">
        <v>45201</v>
      </c>
      <c r="C1058" s="1" t="n">
        <v>45703</v>
      </c>
      <c r="D1058" t="inlineStr">
        <is>
          <t>KALMAR LÄN</t>
        </is>
      </c>
      <c r="E1058" t="inlineStr">
        <is>
          <t>VIMMERBY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47247-2023</t>
        </is>
      </c>
      <c r="B1059" s="1" t="n">
        <v>45202</v>
      </c>
      <c r="C1059" s="1" t="n">
        <v>45703</v>
      </c>
      <c r="D1059" t="inlineStr">
        <is>
          <t>KALMAR LÄN</t>
        </is>
      </c>
      <c r="E1059" t="inlineStr">
        <is>
          <t>VIMMERBY</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47256-2023</t>
        </is>
      </c>
      <c r="B1060" s="1" t="n">
        <v>45202</v>
      </c>
      <c r="C1060" s="1" t="n">
        <v>45703</v>
      </c>
      <c r="D1060" t="inlineStr">
        <is>
          <t>KALMAR LÄN</t>
        </is>
      </c>
      <c r="E1060" t="inlineStr">
        <is>
          <t>VIMMERBY</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47263-2023</t>
        </is>
      </c>
      <c r="B1061" s="1" t="n">
        <v>45202</v>
      </c>
      <c r="C1061" s="1" t="n">
        <v>45703</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47524-2023</t>
        </is>
      </c>
      <c r="B1062" s="1" t="n">
        <v>45203</v>
      </c>
      <c r="C1062" s="1" t="n">
        <v>45703</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47515-2023</t>
        </is>
      </c>
      <c r="B1063" s="1" t="n">
        <v>45203</v>
      </c>
      <c r="C1063" s="1" t="n">
        <v>45703</v>
      </c>
      <c r="D1063" t="inlineStr">
        <is>
          <t>KALMAR LÄN</t>
        </is>
      </c>
      <c r="E1063" t="inlineStr">
        <is>
          <t>VIMMERBY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47517-2023</t>
        </is>
      </c>
      <c r="B1064" s="1" t="n">
        <v>45203</v>
      </c>
      <c r="C1064" s="1" t="n">
        <v>45703</v>
      </c>
      <c r="D1064" t="inlineStr">
        <is>
          <t>KALMAR LÄN</t>
        </is>
      </c>
      <c r="E1064" t="inlineStr">
        <is>
          <t>VIMMERBY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47521-2023</t>
        </is>
      </c>
      <c r="B1065" s="1" t="n">
        <v>45203</v>
      </c>
      <c r="C1065" s="1" t="n">
        <v>45703</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48346-2023</t>
        </is>
      </c>
      <c r="B1066" s="1" t="n">
        <v>45205</v>
      </c>
      <c r="C1066" s="1" t="n">
        <v>45703</v>
      </c>
      <c r="D1066" t="inlineStr">
        <is>
          <t>KALMAR LÄN</t>
        </is>
      </c>
      <c r="E1066" t="inlineStr">
        <is>
          <t>VIMMERBY</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49382-2023</t>
        </is>
      </c>
      <c r="B1067" s="1" t="n">
        <v>45208</v>
      </c>
      <c r="C1067" s="1" t="n">
        <v>45703</v>
      </c>
      <c r="D1067" t="inlineStr">
        <is>
          <t>KALMAR LÄN</t>
        </is>
      </c>
      <c r="E1067" t="inlineStr">
        <is>
          <t>VIMMERBY</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49261-2023</t>
        </is>
      </c>
      <c r="B1068" s="1" t="n">
        <v>45210</v>
      </c>
      <c r="C1068" s="1" t="n">
        <v>45703</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49254-2023</t>
        </is>
      </c>
      <c r="B1069" s="1" t="n">
        <v>45210</v>
      </c>
      <c r="C1069" s="1" t="n">
        <v>45703</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49246-2023</t>
        </is>
      </c>
      <c r="B1070" s="1" t="n">
        <v>45210</v>
      </c>
      <c r="C1070" s="1" t="n">
        <v>45703</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49408-2023</t>
        </is>
      </c>
      <c r="B1071" s="1" t="n">
        <v>45211</v>
      </c>
      <c r="C1071" s="1" t="n">
        <v>45703</v>
      </c>
      <c r="D1071" t="inlineStr">
        <is>
          <t>KALMAR LÄN</t>
        </is>
      </c>
      <c r="E1071" t="inlineStr">
        <is>
          <t>VIMMERBY</t>
        </is>
      </c>
      <c r="G1071" t="n">
        <v>13.1</v>
      </c>
      <c r="H1071" t="n">
        <v>0</v>
      </c>
      <c r="I1071" t="n">
        <v>0</v>
      </c>
      <c r="J1071" t="n">
        <v>0</v>
      </c>
      <c r="K1071" t="n">
        <v>0</v>
      </c>
      <c r="L1071" t="n">
        <v>0</v>
      </c>
      <c r="M1071" t="n">
        <v>0</v>
      </c>
      <c r="N1071" t="n">
        <v>0</v>
      </c>
      <c r="O1071" t="n">
        <v>0</v>
      </c>
      <c r="P1071" t="n">
        <v>0</v>
      </c>
      <c r="Q1071" t="n">
        <v>0</v>
      </c>
      <c r="R1071" s="2" t="inlineStr"/>
    </row>
    <row r="1072" ht="15" customHeight="1">
      <c r="A1072" t="inlineStr">
        <is>
          <t>A 49458-2023</t>
        </is>
      </c>
      <c r="B1072" s="1" t="n">
        <v>45211</v>
      </c>
      <c r="C1072" s="1" t="n">
        <v>45703</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49461-2023</t>
        </is>
      </c>
      <c r="B1073" s="1" t="n">
        <v>45211</v>
      </c>
      <c r="C1073" s="1" t="n">
        <v>45703</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49474-2023</t>
        </is>
      </c>
      <c r="B1074" s="1" t="n">
        <v>45211</v>
      </c>
      <c r="C1074" s="1" t="n">
        <v>45703</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49488-2023</t>
        </is>
      </c>
      <c r="B1075" s="1" t="n">
        <v>45211</v>
      </c>
      <c r="C1075" s="1" t="n">
        <v>45703</v>
      </c>
      <c r="D1075" t="inlineStr">
        <is>
          <t>KALMAR LÄN</t>
        </is>
      </c>
      <c r="E1075" t="inlineStr">
        <is>
          <t>VIMMERBY</t>
        </is>
      </c>
      <c r="F1075" t="inlineStr">
        <is>
          <t>Sveaskog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49756-2023</t>
        </is>
      </c>
      <c r="B1076" s="1" t="n">
        <v>45212</v>
      </c>
      <c r="C1076" s="1" t="n">
        <v>45703</v>
      </c>
      <c r="D1076" t="inlineStr">
        <is>
          <t>KALMAR LÄN</t>
        </is>
      </c>
      <c r="E1076" t="inlineStr">
        <is>
          <t>VIMMERBY</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50087-2023</t>
        </is>
      </c>
      <c r="B1077" s="1" t="n">
        <v>45215</v>
      </c>
      <c r="C1077" s="1" t="n">
        <v>45703</v>
      </c>
      <c r="D1077" t="inlineStr">
        <is>
          <t>KALMAR LÄN</t>
        </is>
      </c>
      <c r="E1077" t="inlineStr">
        <is>
          <t>VIMMERBY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50088-2023</t>
        </is>
      </c>
      <c r="B1078" s="1" t="n">
        <v>45215</v>
      </c>
      <c r="C1078" s="1" t="n">
        <v>45703</v>
      </c>
      <c r="D1078" t="inlineStr">
        <is>
          <t>KALMAR LÄN</t>
        </is>
      </c>
      <c r="E1078" t="inlineStr">
        <is>
          <t>VIMMERBY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50093-2023</t>
        </is>
      </c>
      <c r="B1079" s="1" t="n">
        <v>45215</v>
      </c>
      <c r="C1079" s="1" t="n">
        <v>45703</v>
      </c>
      <c r="D1079" t="inlineStr">
        <is>
          <t>KALMAR LÄN</t>
        </is>
      </c>
      <c r="E1079" t="inlineStr">
        <is>
          <t>VIMMERBY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50091-2023</t>
        </is>
      </c>
      <c r="B1080" s="1" t="n">
        <v>45215</v>
      </c>
      <c r="C1080" s="1" t="n">
        <v>45703</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50085-2023</t>
        </is>
      </c>
      <c r="B1081" s="1" t="n">
        <v>45215</v>
      </c>
      <c r="C1081" s="1" t="n">
        <v>45703</v>
      </c>
      <c r="D1081" t="inlineStr">
        <is>
          <t>KALMAR LÄN</t>
        </is>
      </c>
      <c r="E1081" t="inlineStr">
        <is>
          <t>VIMMERBY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50648-2023</t>
        </is>
      </c>
      <c r="B1082" s="1" t="n">
        <v>45217</v>
      </c>
      <c r="C1082" s="1" t="n">
        <v>45703</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52257-2023</t>
        </is>
      </c>
      <c r="B1083" s="1" t="n">
        <v>45217</v>
      </c>
      <c r="C1083" s="1" t="n">
        <v>45703</v>
      </c>
      <c r="D1083" t="inlineStr">
        <is>
          <t>KALMAR LÄN</t>
        </is>
      </c>
      <c r="E1083" t="inlineStr">
        <is>
          <t>VIMMERBY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50934-2023</t>
        </is>
      </c>
      <c r="B1084" s="1" t="n">
        <v>45218</v>
      </c>
      <c r="C1084" s="1" t="n">
        <v>45703</v>
      </c>
      <c r="D1084" t="inlineStr">
        <is>
          <t>KALMAR LÄN</t>
        </is>
      </c>
      <c r="E1084" t="inlineStr">
        <is>
          <t>VIMMERBY</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51408-2023</t>
        </is>
      </c>
      <c r="B1085" s="1" t="n">
        <v>45219</v>
      </c>
      <c r="C1085" s="1" t="n">
        <v>45703</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51187-2023</t>
        </is>
      </c>
      <c r="B1086" s="1" t="n">
        <v>45219</v>
      </c>
      <c r="C1086" s="1" t="n">
        <v>45703</v>
      </c>
      <c r="D1086" t="inlineStr">
        <is>
          <t>KALMAR LÄN</t>
        </is>
      </c>
      <c r="E1086" t="inlineStr">
        <is>
          <t>VIMMERBY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51775-2023</t>
        </is>
      </c>
      <c r="B1087" s="1" t="n">
        <v>45222</v>
      </c>
      <c r="C1087" s="1" t="n">
        <v>45703</v>
      </c>
      <c r="D1087" t="inlineStr">
        <is>
          <t>KALMAR LÄN</t>
        </is>
      </c>
      <c r="E1087" t="inlineStr">
        <is>
          <t>VIMMERBY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51552-2023</t>
        </is>
      </c>
      <c r="B1088" s="1" t="n">
        <v>45222</v>
      </c>
      <c r="C1088" s="1" t="n">
        <v>45703</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52279-2023</t>
        </is>
      </c>
      <c r="B1089" s="1" t="n">
        <v>45224</v>
      </c>
      <c r="C1089" s="1" t="n">
        <v>45703</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52294-2023</t>
        </is>
      </c>
      <c r="B1090" s="1" t="n">
        <v>45224</v>
      </c>
      <c r="C1090" s="1" t="n">
        <v>45703</v>
      </c>
      <c r="D1090" t="inlineStr">
        <is>
          <t>KALMAR LÄN</t>
        </is>
      </c>
      <c r="E1090" t="inlineStr">
        <is>
          <t>VIMMERBY</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52327-2023</t>
        </is>
      </c>
      <c r="B1091" s="1" t="n">
        <v>45224</v>
      </c>
      <c r="C1091" s="1" t="n">
        <v>45703</v>
      </c>
      <c r="D1091" t="inlineStr">
        <is>
          <t>KALMAR LÄN</t>
        </is>
      </c>
      <c r="E1091" t="inlineStr">
        <is>
          <t>VIMMERBY</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52208-2023</t>
        </is>
      </c>
      <c r="B1092" s="1" t="n">
        <v>45224</v>
      </c>
      <c r="C1092" s="1" t="n">
        <v>45703</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52324-2023</t>
        </is>
      </c>
      <c r="B1093" s="1" t="n">
        <v>45224</v>
      </c>
      <c r="C1093" s="1" t="n">
        <v>45703</v>
      </c>
      <c r="D1093" t="inlineStr">
        <is>
          <t>KALMAR LÄN</t>
        </is>
      </c>
      <c r="E1093" t="inlineStr">
        <is>
          <t>VIMMERBY</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52411-2023</t>
        </is>
      </c>
      <c r="B1094" s="1" t="n">
        <v>45225</v>
      </c>
      <c r="C1094" s="1" t="n">
        <v>45703</v>
      </c>
      <c r="D1094" t="inlineStr">
        <is>
          <t>KALMAR LÄN</t>
        </is>
      </c>
      <c r="E1094" t="inlineStr">
        <is>
          <t>VIMMERBY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52588-2023</t>
        </is>
      </c>
      <c r="B1095" s="1" t="n">
        <v>45225</v>
      </c>
      <c r="C1095" s="1" t="n">
        <v>45703</v>
      </c>
      <c r="D1095" t="inlineStr">
        <is>
          <t>KALMAR LÄN</t>
        </is>
      </c>
      <c r="E1095" t="inlineStr">
        <is>
          <t>VIMMERBY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52616-2023</t>
        </is>
      </c>
      <c r="B1096" s="1" t="n">
        <v>45225</v>
      </c>
      <c r="C1096" s="1" t="n">
        <v>45703</v>
      </c>
      <c r="D1096" t="inlineStr">
        <is>
          <t>KALMAR LÄN</t>
        </is>
      </c>
      <c r="E1096" t="inlineStr">
        <is>
          <t>VIMMERBY</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52623-2023</t>
        </is>
      </c>
      <c r="B1097" s="1" t="n">
        <v>45225</v>
      </c>
      <c r="C1097" s="1" t="n">
        <v>45703</v>
      </c>
      <c r="D1097" t="inlineStr">
        <is>
          <t>KALMAR LÄN</t>
        </is>
      </c>
      <c r="E1097" t="inlineStr">
        <is>
          <t>VIMMERBY</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52703-2023</t>
        </is>
      </c>
      <c r="B1098" s="1" t="n">
        <v>45225</v>
      </c>
      <c r="C1098" s="1" t="n">
        <v>45703</v>
      </c>
      <c r="D1098" t="inlineStr">
        <is>
          <t>KALMAR LÄN</t>
        </is>
      </c>
      <c r="E1098" t="inlineStr">
        <is>
          <t>VIMMERBY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53220-2023</t>
        </is>
      </c>
      <c r="B1099" s="1" t="n">
        <v>45229</v>
      </c>
      <c r="C1099" s="1" t="n">
        <v>45703</v>
      </c>
      <c r="D1099" t="inlineStr">
        <is>
          <t>KALMAR LÄN</t>
        </is>
      </c>
      <c r="E1099" t="inlineStr">
        <is>
          <t>VIMMERBY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54084-2023</t>
        </is>
      </c>
      <c r="B1100" s="1" t="n">
        <v>45232</v>
      </c>
      <c r="C1100" s="1" t="n">
        <v>45703</v>
      </c>
      <c r="D1100" t="inlineStr">
        <is>
          <t>KALMAR LÄN</t>
        </is>
      </c>
      <c r="E1100" t="inlineStr">
        <is>
          <t>VIMMERBY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54086-2023</t>
        </is>
      </c>
      <c r="B1101" s="1" t="n">
        <v>45232</v>
      </c>
      <c r="C1101" s="1" t="n">
        <v>45703</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55716-2023</t>
        </is>
      </c>
      <c r="B1102" s="1" t="n">
        <v>45232</v>
      </c>
      <c r="C1102" s="1" t="n">
        <v>45703</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54785-2023</t>
        </is>
      </c>
      <c r="B1103" s="1" t="n">
        <v>45236</v>
      </c>
      <c r="C1103" s="1" t="n">
        <v>45703</v>
      </c>
      <c r="D1103" t="inlineStr">
        <is>
          <t>KALMAR LÄN</t>
        </is>
      </c>
      <c r="E1103" t="inlineStr">
        <is>
          <t>VIMMERBY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54787-2023</t>
        </is>
      </c>
      <c r="B1104" s="1" t="n">
        <v>45236</v>
      </c>
      <c r="C1104" s="1" t="n">
        <v>45703</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55236-2023</t>
        </is>
      </c>
      <c r="B1105" s="1" t="n">
        <v>45237</v>
      </c>
      <c r="C1105" s="1" t="n">
        <v>45703</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55245-2023</t>
        </is>
      </c>
      <c r="B1106" s="1" t="n">
        <v>45237</v>
      </c>
      <c r="C1106" s="1" t="n">
        <v>45703</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55279-2023</t>
        </is>
      </c>
      <c r="B1107" s="1" t="n">
        <v>45237</v>
      </c>
      <c r="C1107" s="1" t="n">
        <v>45703</v>
      </c>
      <c r="D1107" t="inlineStr">
        <is>
          <t>KALMAR LÄN</t>
        </is>
      </c>
      <c r="E1107" t="inlineStr">
        <is>
          <t>VIMMERBY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55457-2023</t>
        </is>
      </c>
      <c r="B1108" s="1" t="n">
        <v>45238</v>
      </c>
      <c r="C1108" s="1" t="n">
        <v>45703</v>
      </c>
      <c r="D1108" t="inlineStr">
        <is>
          <t>KALMAR LÄN</t>
        </is>
      </c>
      <c r="E1108" t="inlineStr">
        <is>
          <t>VIMMERBY</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55470-2023</t>
        </is>
      </c>
      <c r="B1109" s="1" t="n">
        <v>45238</v>
      </c>
      <c r="C1109" s="1" t="n">
        <v>45703</v>
      </c>
      <c r="D1109" t="inlineStr">
        <is>
          <t>KALMAR LÄN</t>
        </is>
      </c>
      <c r="E1109" t="inlineStr">
        <is>
          <t>VIMMERBY</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55436-2023</t>
        </is>
      </c>
      <c r="B1110" s="1" t="n">
        <v>45238</v>
      </c>
      <c r="C1110" s="1" t="n">
        <v>45703</v>
      </c>
      <c r="D1110" t="inlineStr">
        <is>
          <t>KALMAR LÄN</t>
        </is>
      </c>
      <c r="E1110" t="inlineStr">
        <is>
          <t>VIMMERBY</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55510-2023</t>
        </is>
      </c>
      <c r="B1111" s="1" t="n">
        <v>45238</v>
      </c>
      <c r="C1111" s="1" t="n">
        <v>45703</v>
      </c>
      <c r="D1111" t="inlineStr">
        <is>
          <t>KALMAR LÄN</t>
        </is>
      </c>
      <c r="E1111" t="inlineStr">
        <is>
          <t>VIMMERBY</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55442-2023</t>
        </is>
      </c>
      <c r="B1112" s="1" t="n">
        <v>45238</v>
      </c>
      <c r="C1112" s="1" t="n">
        <v>45703</v>
      </c>
      <c r="D1112" t="inlineStr">
        <is>
          <t>KALMAR LÄN</t>
        </is>
      </c>
      <c r="E1112" t="inlineStr">
        <is>
          <t>VIMMERBY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56657-2023</t>
        </is>
      </c>
      <c r="B1113" s="1" t="n">
        <v>45243</v>
      </c>
      <c r="C1113" s="1" t="n">
        <v>45703</v>
      </c>
      <c r="D1113" t="inlineStr">
        <is>
          <t>KALMAR LÄN</t>
        </is>
      </c>
      <c r="E1113" t="inlineStr">
        <is>
          <t>VIMMERBY</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56659-2023</t>
        </is>
      </c>
      <c r="B1114" s="1" t="n">
        <v>45243</v>
      </c>
      <c r="C1114" s="1" t="n">
        <v>45703</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57036-2023</t>
        </is>
      </c>
      <c r="B1115" s="1" t="n">
        <v>45244</v>
      </c>
      <c r="C1115" s="1" t="n">
        <v>45703</v>
      </c>
      <c r="D1115" t="inlineStr">
        <is>
          <t>KALMAR LÄN</t>
        </is>
      </c>
      <c r="E1115" t="inlineStr">
        <is>
          <t>VIMMERBY</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57040-2023</t>
        </is>
      </c>
      <c r="B1116" s="1" t="n">
        <v>45244</v>
      </c>
      <c r="C1116" s="1" t="n">
        <v>45703</v>
      </c>
      <c r="D1116" t="inlineStr">
        <is>
          <t>KALMAR LÄN</t>
        </is>
      </c>
      <c r="E1116" t="inlineStr">
        <is>
          <t>VIMMERBY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57254-2023</t>
        </is>
      </c>
      <c r="B1117" s="1" t="n">
        <v>45245</v>
      </c>
      <c r="C1117" s="1" t="n">
        <v>45703</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57114-2023</t>
        </is>
      </c>
      <c r="B1118" s="1" t="n">
        <v>45245</v>
      </c>
      <c r="C1118" s="1" t="n">
        <v>45703</v>
      </c>
      <c r="D1118" t="inlineStr">
        <is>
          <t>KALMAR LÄN</t>
        </is>
      </c>
      <c r="E1118" t="inlineStr">
        <is>
          <t>VIMMERBY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57264-2023</t>
        </is>
      </c>
      <c r="B1119" s="1" t="n">
        <v>45245</v>
      </c>
      <c r="C1119" s="1" t="n">
        <v>45703</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57311-2023</t>
        </is>
      </c>
      <c r="B1120" s="1" t="n">
        <v>45245</v>
      </c>
      <c r="C1120" s="1" t="n">
        <v>45703</v>
      </c>
      <c r="D1120" t="inlineStr">
        <is>
          <t>KALMAR LÄN</t>
        </is>
      </c>
      <c r="E1120" t="inlineStr">
        <is>
          <t>VIMMERBY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57256-2023</t>
        </is>
      </c>
      <c r="B1121" s="1" t="n">
        <v>45245</v>
      </c>
      <c r="C1121" s="1" t="n">
        <v>45703</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57269-2023</t>
        </is>
      </c>
      <c r="B1122" s="1" t="n">
        <v>45245</v>
      </c>
      <c r="C1122" s="1" t="n">
        <v>45703</v>
      </c>
      <c r="D1122" t="inlineStr">
        <is>
          <t>KALMAR LÄN</t>
        </is>
      </c>
      <c r="E1122" t="inlineStr">
        <is>
          <t>VIMMERBY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57317-2023</t>
        </is>
      </c>
      <c r="B1123" s="1" t="n">
        <v>45245</v>
      </c>
      <c r="C1123" s="1" t="n">
        <v>45703</v>
      </c>
      <c r="D1123" t="inlineStr">
        <is>
          <t>KALMAR LÄN</t>
        </is>
      </c>
      <c r="E1123" t="inlineStr">
        <is>
          <t>VIMMERBY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57329-2023</t>
        </is>
      </c>
      <c r="B1124" s="1" t="n">
        <v>45245</v>
      </c>
      <c r="C1124" s="1" t="n">
        <v>45703</v>
      </c>
      <c r="D1124" t="inlineStr">
        <is>
          <t>KALMAR LÄN</t>
        </is>
      </c>
      <c r="E1124" t="inlineStr">
        <is>
          <t>VIMMERBY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58278-2023</t>
        </is>
      </c>
      <c r="B1125" s="1" t="n">
        <v>45250</v>
      </c>
      <c r="C1125" s="1" t="n">
        <v>45703</v>
      </c>
      <c r="D1125" t="inlineStr">
        <is>
          <t>KALMAR LÄN</t>
        </is>
      </c>
      <c r="E1125" t="inlineStr">
        <is>
          <t>VIMMERBY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59598-2023</t>
        </is>
      </c>
      <c r="B1126" s="1" t="n">
        <v>45254</v>
      </c>
      <c r="C1126" s="1" t="n">
        <v>45703</v>
      </c>
      <c r="D1126" t="inlineStr">
        <is>
          <t>KALMAR LÄN</t>
        </is>
      </c>
      <c r="E1126" t="inlineStr">
        <is>
          <t>VIMMERBY</t>
        </is>
      </c>
      <c r="F1126" t="inlineStr">
        <is>
          <t>Övriga Aktiebolag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59943-2023</t>
        </is>
      </c>
      <c r="B1127" s="1" t="n">
        <v>45257</v>
      </c>
      <c r="C1127" s="1" t="n">
        <v>45703</v>
      </c>
      <c r="D1127" t="inlineStr">
        <is>
          <t>KALMAR LÄN</t>
        </is>
      </c>
      <c r="E1127" t="inlineStr">
        <is>
          <t>VIMMERBY</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59955-2023</t>
        </is>
      </c>
      <c r="B1128" s="1" t="n">
        <v>45257</v>
      </c>
      <c r="C1128" s="1" t="n">
        <v>45703</v>
      </c>
      <c r="D1128" t="inlineStr">
        <is>
          <t>KALMAR LÄN</t>
        </is>
      </c>
      <c r="E1128" t="inlineStr">
        <is>
          <t>VIMMERBY</t>
        </is>
      </c>
      <c r="G1128" t="n">
        <v>13.8</v>
      </c>
      <c r="H1128" t="n">
        <v>0</v>
      </c>
      <c r="I1128" t="n">
        <v>0</v>
      </c>
      <c r="J1128" t="n">
        <v>0</v>
      </c>
      <c r="K1128" t="n">
        <v>0</v>
      </c>
      <c r="L1128" t="n">
        <v>0</v>
      </c>
      <c r="M1128" t="n">
        <v>0</v>
      </c>
      <c r="N1128" t="n">
        <v>0</v>
      </c>
      <c r="O1128" t="n">
        <v>0</v>
      </c>
      <c r="P1128" t="n">
        <v>0</v>
      </c>
      <c r="Q1128" t="n">
        <v>0</v>
      </c>
      <c r="R1128" s="2" t="inlineStr"/>
    </row>
    <row r="1129" ht="15" customHeight="1">
      <c r="A1129" t="inlineStr">
        <is>
          <t>A 60438-2023</t>
        </is>
      </c>
      <c r="B1129" s="1" t="n">
        <v>45259</v>
      </c>
      <c r="C1129" s="1" t="n">
        <v>45703</v>
      </c>
      <c r="D1129" t="inlineStr">
        <is>
          <t>KALMAR LÄN</t>
        </is>
      </c>
      <c r="E1129" t="inlineStr">
        <is>
          <t>VIMMERBY</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60437-2023</t>
        </is>
      </c>
      <c r="B1130" s="1" t="n">
        <v>45259</v>
      </c>
      <c r="C1130" s="1" t="n">
        <v>45703</v>
      </c>
      <c r="D1130" t="inlineStr">
        <is>
          <t>KALMAR LÄN</t>
        </is>
      </c>
      <c r="E1130" t="inlineStr">
        <is>
          <t>VIMMERBY</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60675-2023</t>
        </is>
      </c>
      <c r="B1131" s="1" t="n">
        <v>45260</v>
      </c>
      <c r="C1131" s="1" t="n">
        <v>45703</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60951-2023</t>
        </is>
      </c>
      <c r="B1132" s="1" t="n">
        <v>45261</v>
      </c>
      <c r="C1132" s="1" t="n">
        <v>45703</v>
      </c>
      <c r="D1132" t="inlineStr">
        <is>
          <t>KALMAR LÄN</t>
        </is>
      </c>
      <c r="E1132" t="inlineStr">
        <is>
          <t>VIMMERBY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61189-2023</t>
        </is>
      </c>
      <c r="B1133" s="1" t="n">
        <v>45264</v>
      </c>
      <c r="C1133" s="1" t="n">
        <v>45703</v>
      </c>
      <c r="D1133" t="inlineStr">
        <is>
          <t>KALMAR LÄN</t>
        </is>
      </c>
      <c r="E1133" t="inlineStr">
        <is>
          <t>VIMMERBY</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61227-2023</t>
        </is>
      </c>
      <c r="B1134" s="1" t="n">
        <v>45264</v>
      </c>
      <c r="C1134" s="1" t="n">
        <v>45703</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61224-2023</t>
        </is>
      </c>
      <c r="B1135" s="1" t="n">
        <v>45264</v>
      </c>
      <c r="C1135" s="1" t="n">
        <v>45703</v>
      </c>
      <c r="D1135" t="inlineStr">
        <is>
          <t>KALMAR LÄN</t>
        </is>
      </c>
      <c r="E1135" t="inlineStr">
        <is>
          <t>VIMMERBY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61221-2023</t>
        </is>
      </c>
      <c r="B1136" s="1" t="n">
        <v>45264</v>
      </c>
      <c r="C1136" s="1" t="n">
        <v>45703</v>
      </c>
      <c r="D1136" t="inlineStr">
        <is>
          <t>KALMAR LÄN</t>
        </is>
      </c>
      <c r="E1136" t="inlineStr">
        <is>
          <t>VIMMERBY</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61817-2023</t>
        </is>
      </c>
      <c r="B1137" s="1" t="n">
        <v>45266</v>
      </c>
      <c r="C1137" s="1" t="n">
        <v>45703</v>
      </c>
      <c r="D1137" t="inlineStr">
        <is>
          <t>KALMAR LÄN</t>
        </is>
      </c>
      <c r="E1137" t="inlineStr">
        <is>
          <t>VIMMERBY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61825-2023</t>
        </is>
      </c>
      <c r="B1138" s="1" t="n">
        <v>45266</v>
      </c>
      <c r="C1138" s="1" t="n">
        <v>45703</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61820-2023</t>
        </is>
      </c>
      <c r="B1139" s="1" t="n">
        <v>45266</v>
      </c>
      <c r="C1139" s="1" t="n">
        <v>45703</v>
      </c>
      <c r="D1139" t="inlineStr">
        <is>
          <t>KALMAR LÄN</t>
        </is>
      </c>
      <c r="E1139" t="inlineStr">
        <is>
          <t>VIMMERBY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62615-2023</t>
        </is>
      </c>
      <c r="B1140" s="1" t="n">
        <v>45271</v>
      </c>
      <c r="C1140" s="1" t="n">
        <v>45703</v>
      </c>
      <c r="D1140" t="inlineStr">
        <is>
          <t>KALMAR LÄN</t>
        </is>
      </c>
      <c r="E1140" t="inlineStr">
        <is>
          <t>VIMMERBY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62779-2023</t>
        </is>
      </c>
      <c r="B1141" s="1" t="n">
        <v>45271</v>
      </c>
      <c r="C1141" s="1" t="n">
        <v>45703</v>
      </c>
      <c r="D1141" t="inlineStr">
        <is>
          <t>KALMAR LÄN</t>
        </is>
      </c>
      <c r="E1141" t="inlineStr">
        <is>
          <t>VIMMERBY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62852-2023</t>
        </is>
      </c>
      <c r="B1142" s="1" t="n">
        <v>45272</v>
      </c>
      <c r="C1142" s="1" t="n">
        <v>45703</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62997-2023</t>
        </is>
      </c>
      <c r="B1143" s="1" t="n">
        <v>45272</v>
      </c>
      <c r="C1143" s="1" t="n">
        <v>45703</v>
      </c>
      <c r="D1143" t="inlineStr">
        <is>
          <t>KALMAR LÄN</t>
        </is>
      </c>
      <c r="E1143" t="inlineStr">
        <is>
          <t>VIMMERBY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63284-2023</t>
        </is>
      </c>
      <c r="B1144" s="1" t="n">
        <v>45273</v>
      </c>
      <c r="C1144" s="1" t="n">
        <v>45703</v>
      </c>
      <c r="D1144" t="inlineStr">
        <is>
          <t>KALMAR LÄN</t>
        </is>
      </c>
      <c r="E1144" t="inlineStr">
        <is>
          <t>VIMMERBY</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63541-2023</t>
        </is>
      </c>
      <c r="B1145" s="1" t="n">
        <v>45275</v>
      </c>
      <c r="C1145" s="1" t="n">
        <v>45703</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63583-2023</t>
        </is>
      </c>
      <c r="B1146" s="1" t="n">
        <v>45275</v>
      </c>
      <c r="C1146" s="1" t="n">
        <v>45703</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63969-2023</t>
        </is>
      </c>
      <c r="B1147" s="1" t="n">
        <v>45278</v>
      </c>
      <c r="C1147" s="1" t="n">
        <v>45703</v>
      </c>
      <c r="D1147" t="inlineStr">
        <is>
          <t>KALMAR LÄN</t>
        </is>
      </c>
      <c r="E1147" t="inlineStr">
        <is>
          <t>VIMMERBY</t>
        </is>
      </c>
      <c r="F1147" t="inlineStr">
        <is>
          <t>Kyrkan</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63950-2023</t>
        </is>
      </c>
      <c r="B1148" s="1" t="n">
        <v>45278</v>
      </c>
      <c r="C1148" s="1" t="n">
        <v>45703</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64428-2023</t>
        </is>
      </c>
      <c r="B1149" s="1" t="n">
        <v>45280</v>
      </c>
      <c r="C1149" s="1" t="n">
        <v>45703</v>
      </c>
      <c r="D1149" t="inlineStr">
        <is>
          <t>KALMAR LÄN</t>
        </is>
      </c>
      <c r="E1149" t="inlineStr">
        <is>
          <t>VIMMERBY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65237-2023</t>
        </is>
      </c>
      <c r="B1150" s="1" t="n">
        <v>45289</v>
      </c>
      <c r="C1150" s="1" t="n">
        <v>45703</v>
      </c>
      <c r="D1150" t="inlineStr">
        <is>
          <t>KALMAR LÄN</t>
        </is>
      </c>
      <c r="E1150" t="inlineStr">
        <is>
          <t>VIMMERBY</t>
        </is>
      </c>
      <c r="F1150" t="inlineStr">
        <is>
          <t>Kyrkan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65238-2023</t>
        </is>
      </c>
      <c r="B1151" s="1" t="n">
        <v>45289</v>
      </c>
      <c r="C1151" s="1" t="n">
        <v>45703</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205-2024</t>
        </is>
      </c>
      <c r="B1152" s="1" t="n">
        <v>45294</v>
      </c>
      <c r="C1152" s="1" t="n">
        <v>45703</v>
      </c>
      <c r="D1152" t="inlineStr">
        <is>
          <t>KALMAR LÄN</t>
        </is>
      </c>
      <c r="E1152" t="inlineStr">
        <is>
          <t>VIMMERBY</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526-2024</t>
        </is>
      </c>
      <c r="B1153" s="1" t="n">
        <v>45299</v>
      </c>
      <c r="C1153" s="1" t="n">
        <v>45703</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627-2024</t>
        </is>
      </c>
      <c r="B1154" s="1" t="n">
        <v>45299</v>
      </c>
      <c r="C1154" s="1" t="n">
        <v>45703</v>
      </c>
      <c r="D1154" t="inlineStr">
        <is>
          <t>KALMAR LÄN</t>
        </is>
      </c>
      <c r="E1154" t="inlineStr">
        <is>
          <t>VIMMERBY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529-2024</t>
        </is>
      </c>
      <c r="B1155" s="1" t="n">
        <v>45299</v>
      </c>
      <c r="C1155" s="1" t="n">
        <v>45703</v>
      </c>
      <c r="D1155" t="inlineStr">
        <is>
          <t>KALMAR LÄN</t>
        </is>
      </c>
      <c r="E1155" t="inlineStr">
        <is>
          <t>VIMMERBY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527-2024</t>
        </is>
      </c>
      <c r="B1156" s="1" t="n">
        <v>45299</v>
      </c>
      <c r="C1156" s="1" t="n">
        <v>45703</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585-2024</t>
        </is>
      </c>
      <c r="B1157" s="1" t="n">
        <v>45299</v>
      </c>
      <c r="C1157" s="1" t="n">
        <v>45703</v>
      </c>
      <c r="D1157" t="inlineStr">
        <is>
          <t>KALMAR LÄN</t>
        </is>
      </c>
      <c r="E1157" t="inlineStr">
        <is>
          <t>VIMMERBY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690-2024</t>
        </is>
      </c>
      <c r="B1158" s="1" t="n">
        <v>45300</v>
      </c>
      <c r="C1158" s="1" t="n">
        <v>45703</v>
      </c>
      <c r="D1158" t="inlineStr">
        <is>
          <t>KALMAR LÄN</t>
        </is>
      </c>
      <c r="E1158" t="inlineStr">
        <is>
          <t>VIMMERBY</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694-2024</t>
        </is>
      </c>
      <c r="B1159" s="1" t="n">
        <v>45300</v>
      </c>
      <c r="C1159" s="1" t="n">
        <v>45703</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1017-2024</t>
        </is>
      </c>
      <c r="B1160" s="1" t="n">
        <v>45301</v>
      </c>
      <c r="C1160" s="1" t="n">
        <v>45703</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1021-2024</t>
        </is>
      </c>
      <c r="B1161" s="1" t="n">
        <v>45301</v>
      </c>
      <c r="C1161" s="1" t="n">
        <v>45703</v>
      </c>
      <c r="D1161" t="inlineStr">
        <is>
          <t>KALMAR LÄN</t>
        </is>
      </c>
      <c r="E1161" t="inlineStr">
        <is>
          <t>VIMMERBY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1015-2024</t>
        </is>
      </c>
      <c r="B1162" s="1" t="n">
        <v>45301</v>
      </c>
      <c r="C1162" s="1" t="n">
        <v>45703</v>
      </c>
      <c r="D1162" t="inlineStr">
        <is>
          <t>KALMAR LÄN</t>
        </is>
      </c>
      <c r="E1162" t="inlineStr">
        <is>
          <t>VIMMERBY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1018-2024</t>
        </is>
      </c>
      <c r="B1163" s="1" t="n">
        <v>45301</v>
      </c>
      <c r="C1163" s="1" t="n">
        <v>45703</v>
      </c>
      <c r="D1163" t="inlineStr">
        <is>
          <t>KALMAR LÄN</t>
        </is>
      </c>
      <c r="E1163" t="inlineStr">
        <is>
          <t>VIMMERBY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1023-2024</t>
        </is>
      </c>
      <c r="B1164" s="1" t="n">
        <v>45301</v>
      </c>
      <c r="C1164" s="1" t="n">
        <v>45703</v>
      </c>
      <c r="D1164" t="inlineStr">
        <is>
          <t>KALMAR LÄN</t>
        </is>
      </c>
      <c r="E1164" t="inlineStr">
        <is>
          <t>VIMMERBY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1016-2024</t>
        </is>
      </c>
      <c r="B1165" s="1" t="n">
        <v>45301</v>
      </c>
      <c r="C1165" s="1" t="n">
        <v>45703</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1024-2024</t>
        </is>
      </c>
      <c r="B1166" s="1" t="n">
        <v>45301</v>
      </c>
      <c r="C1166" s="1" t="n">
        <v>45703</v>
      </c>
      <c r="D1166" t="inlineStr">
        <is>
          <t>KALMAR LÄN</t>
        </is>
      </c>
      <c r="E1166" t="inlineStr">
        <is>
          <t>VIMMERBY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1225-2024</t>
        </is>
      </c>
      <c r="B1167" s="1" t="n">
        <v>45302</v>
      </c>
      <c r="C1167" s="1" t="n">
        <v>45703</v>
      </c>
      <c r="D1167" t="inlineStr">
        <is>
          <t>KALMAR LÄN</t>
        </is>
      </c>
      <c r="E1167" t="inlineStr">
        <is>
          <t>VIMMERBY</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1417-2024</t>
        </is>
      </c>
      <c r="B1168" s="1" t="n">
        <v>45303</v>
      </c>
      <c r="C1168" s="1" t="n">
        <v>45703</v>
      </c>
      <c r="D1168" t="inlineStr">
        <is>
          <t>KALMAR LÄN</t>
        </is>
      </c>
      <c r="E1168" t="inlineStr">
        <is>
          <t>VIMMERBY</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1626-2024</t>
        </is>
      </c>
      <c r="B1169" s="1" t="n">
        <v>45306</v>
      </c>
      <c r="C1169" s="1" t="n">
        <v>45703</v>
      </c>
      <c r="D1169" t="inlineStr">
        <is>
          <t>KALMAR LÄN</t>
        </is>
      </c>
      <c r="E1169" t="inlineStr">
        <is>
          <t>VIMMERBY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1628-2024</t>
        </is>
      </c>
      <c r="B1170" s="1" t="n">
        <v>45306</v>
      </c>
      <c r="C1170" s="1" t="n">
        <v>45703</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1985-2024</t>
        </is>
      </c>
      <c r="B1171" s="1" t="n">
        <v>45308</v>
      </c>
      <c r="C1171" s="1" t="n">
        <v>45703</v>
      </c>
      <c r="D1171" t="inlineStr">
        <is>
          <t>KALMAR LÄN</t>
        </is>
      </c>
      <c r="E1171" t="inlineStr">
        <is>
          <t>VIMMERBY</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1978-2024</t>
        </is>
      </c>
      <c r="B1172" s="1" t="n">
        <v>45308</v>
      </c>
      <c r="C1172" s="1" t="n">
        <v>45703</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1986-2024</t>
        </is>
      </c>
      <c r="B1173" s="1" t="n">
        <v>45308</v>
      </c>
      <c r="C1173" s="1" t="n">
        <v>45703</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1987-2024</t>
        </is>
      </c>
      <c r="B1174" s="1" t="n">
        <v>45308</v>
      </c>
      <c r="C1174" s="1" t="n">
        <v>45703</v>
      </c>
      <c r="D1174" t="inlineStr">
        <is>
          <t>KALMAR LÄN</t>
        </is>
      </c>
      <c r="E1174" t="inlineStr">
        <is>
          <t>VIMMERBY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2157-2024</t>
        </is>
      </c>
      <c r="B1175" s="1" t="n">
        <v>45309</v>
      </c>
      <c r="C1175" s="1" t="n">
        <v>45703</v>
      </c>
      <c r="D1175" t="inlineStr">
        <is>
          <t>KALMAR LÄN</t>
        </is>
      </c>
      <c r="E1175" t="inlineStr">
        <is>
          <t>VIMMERBY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2213-2024</t>
        </is>
      </c>
      <c r="B1176" s="1" t="n">
        <v>45309</v>
      </c>
      <c r="C1176" s="1" t="n">
        <v>45703</v>
      </c>
      <c r="D1176" t="inlineStr">
        <is>
          <t>KALMAR LÄN</t>
        </is>
      </c>
      <c r="E1176" t="inlineStr">
        <is>
          <t>VIMMERBY</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2331-2024</t>
        </is>
      </c>
      <c r="B1177" s="1" t="n">
        <v>45310</v>
      </c>
      <c r="C1177" s="1" t="n">
        <v>45703</v>
      </c>
      <c r="D1177" t="inlineStr">
        <is>
          <t>KALMAR LÄN</t>
        </is>
      </c>
      <c r="E1177" t="inlineStr">
        <is>
          <t>VIMMERBY</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2330-2024</t>
        </is>
      </c>
      <c r="B1178" s="1" t="n">
        <v>45310</v>
      </c>
      <c r="C1178" s="1" t="n">
        <v>45703</v>
      </c>
      <c r="D1178" t="inlineStr">
        <is>
          <t>KALMAR LÄN</t>
        </is>
      </c>
      <c r="E1178" t="inlineStr">
        <is>
          <t>VIMMERBY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3031-2024</t>
        </is>
      </c>
      <c r="B1179" s="1" t="n">
        <v>45316</v>
      </c>
      <c r="C1179" s="1" t="n">
        <v>45703</v>
      </c>
      <c r="D1179" t="inlineStr">
        <is>
          <t>KALMAR LÄN</t>
        </is>
      </c>
      <c r="E1179" t="inlineStr">
        <is>
          <t>VIMMERBY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3029-2024</t>
        </is>
      </c>
      <c r="B1180" s="1" t="n">
        <v>45316</v>
      </c>
      <c r="C1180" s="1" t="n">
        <v>45703</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3028-2024</t>
        </is>
      </c>
      <c r="B1181" s="1" t="n">
        <v>45316</v>
      </c>
      <c r="C1181" s="1" t="n">
        <v>45703</v>
      </c>
      <c r="D1181" t="inlineStr">
        <is>
          <t>KALMAR LÄN</t>
        </is>
      </c>
      <c r="E1181" t="inlineStr">
        <is>
          <t>VIMMERBY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3156-2024</t>
        </is>
      </c>
      <c r="B1182" s="1" t="n">
        <v>45316</v>
      </c>
      <c r="C1182" s="1" t="n">
        <v>45703</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3269-2024</t>
        </is>
      </c>
      <c r="B1183" s="1" t="n">
        <v>45317</v>
      </c>
      <c r="C1183" s="1" t="n">
        <v>45703</v>
      </c>
      <c r="D1183" t="inlineStr">
        <is>
          <t>KALMAR LÄN</t>
        </is>
      </c>
      <c r="E1183" t="inlineStr">
        <is>
          <t>VIMMERBY</t>
        </is>
      </c>
      <c r="F1183" t="inlineStr">
        <is>
          <t>Övriga Aktiebolag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3268-2024</t>
        </is>
      </c>
      <c r="B1184" s="1" t="n">
        <v>45317</v>
      </c>
      <c r="C1184" s="1" t="n">
        <v>45703</v>
      </c>
      <c r="D1184" t="inlineStr">
        <is>
          <t>KALMAR LÄN</t>
        </is>
      </c>
      <c r="E1184" t="inlineStr">
        <is>
          <t>VIMMERBY</t>
        </is>
      </c>
      <c r="F1184" t="inlineStr">
        <is>
          <t>Övriga Aktiebolag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3373-2024</t>
        </is>
      </c>
      <c r="B1185" s="1" t="n">
        <v>45317</v>
      </c>
      <c r="C1185" s="1" t="n">
        <v>45703</v>
      </c>
      <c r="D1185" t="inlineStr">
        <is>
          <t>KALMAR LÄN</t>
        </is>
      </c>
      <c r="E1185" t="inlineStr">
        <is>
          <t>VIMMERBY</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3609-2024</t>
        </is>
      </c>
      <c r="B1186" s="1" t="n">
        <v>45320</v>
      </c>
      <c r="C1186" s="1" t="n">
        <v>45703</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4058-2024</t>
        </is>
      </c>
      <c r="B1187" s="1" t="n">
        <v>45323</v>
      </c>
      <c r="C1187" s="1" t="n">
        <v>45703</v>
      </c>
      <c r="D1187" t="inlineStr">
        <is>
          <t>KALMAR LÄN</t>
        </is>
      </c>
      <c r="E1187" t="inlineStr">
        <is>
          <t>VIMMERBY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4624-2024</t>
        </is>
      </c>
      <c r="B1188" s="1" t="n">
        <v>45328</v>
      </c>
      <c r="C1188" s="1" t="n">
        <v>45703</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4622-2024</t>
        </is>
      </c>
      <c r="B1189" s="1" t="n">
        <v>45328</v>
      </c>
      <c r="C1189" s="1" t="n">
        <v>45703</v>
      </c>
      <c r="D1189" t="inlineStr">
        <is>
          <t>KALMAR LÄN</t>
        </is>
      </c>
      <c r="E1189" t="inlineStr">
        <is>
          <t>VIMMERBY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4861-2024</t>
        </is>
      </c>
      <c r="B1190" s="1" t="n">
        <v>45329</v>
      </c>
      <c r="C1190" s="1" t="n">
        <v>45703</v>
      </c>
      <c r="D1190" t="inlineStr">
        <is>
          <t>KALMAR LÄN</t>
        </is>
      </c>
      <c r="E1190" t="inlineStr">
        <is>
          <t>VIMMERBY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4867-2024</t>
        </is>
      </c>
      <c r="B1191" s="1" t="n">
        <v>45329</v>
      </c>
      <c r="C1191" s="1" t="n">
        <v>45703</v>
      </c>
      <c r="D1191" t="inlineStr">
        <is>
          <t>KALMAR LÄN</t>
        </is>
      </c>
      <c r="E1191" t="inlineStr">
        <is>
          <t>VIMMERBY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4899-2024</t>
        </is>
      </c>
      <c r="B1192" s="1" t="n">
        <v>45329</v>
      </c>
      <c r="C1192" s="1" t="n">
        <v>45703</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5206-2024</t>
        </is>
      </c>
      <c r="B1193" s="1" t="n">
        <v>45330</v>
      </c>
      <c r="C1193" s="1" t="n">
        <v>45703</v>
      </c>
      <c r="D1193" t="inlineStr">
        <is>
          <t>KALMAR LÄN</t>
        </is>
      </c>
      <c r="E1193" t="inlineStr">
        <is>
          <t>VIMMERBY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5146-2024</t>
        </is>
      </c>
      <c r="B1194" s="1" t="n">
        <v>45330</v>
      </c>
      <c r="C1194" s="1" t="n">
        <v>45703</v>
      </c>
      <c r="D1194" t="inlineStr">
        <is>
          <t>KALMAR LÄN</t>
        </is>
      </c>
      <c r="E1194" t="inlineStr">
        <is>
          <t>VIMMERBY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5200-2024</t>
        </is>
      </c>
      <c r="B1195" s="1" t="n">
        <v>45330</v>
      </c>
      <c r="C1195" s="1" t="n">
        <v>45703</v>
      </c>
      <c r="D1195" t="inlineStr">
        <is>
          <t>KALMAR LÄN</t>
        </is>
      </c>
      <c r="E1195" t="inlineStr">
        <is>
          <t>VIMMERBY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5148-2024</t>
        </is>
      </c>
      <c r="B1196" s="1" t="n">
        <v>45330</v>
      </c>
      <c r="C1196" s="1" t="n">
        <v>45703</v>
      </c>
      <c r="D1196" t="inlineStr">
        <is>
          <t>KALMAR LÄN</t>
        </is>
      </c>
      <c r="E1196" t="inlineStr">
        <is>
          <t>VIMMERBY</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5703-2024</t>
        </is>
      </c>
      <c r="B1197" s="1" t="n">
        <v>45334</v>
      </c>
      <c r="C1197" s="1" t="n">
        <v>45703</v>
      </c>
      <c r="D1197" t="inlineStr">
        <is>
          <t>KALMAR LÄN</t>
        </is>
      </c>
      <c r="E1197" t="inlineStr">
        <is>
          <t>VIMMERBY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5701-2024</t>
        </is>
      </c>
      <c r="B1198" s="1" t="n">
        <v>45334</v>
      </c>
      <c r="C1198" s="1" t="n">
        <v>45703</v>
      </c>
      <c r="D1198" t="inlineStr">
        <is>
          <t>KALMAR LÄN</t>
        </is>
      </c>
      <c r="E1198" t="inlineStr">
        <is>
          <t>VIMMERBY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5704-2024</t>
        </is>
      </c>
      <c r="B1199" s="1" t="n">
        <v>45334</v>
      </c>
      <c r="C1199" s="1" t="n">
        <v>45703</v>
      </c>
      <c r="D1199" t="inlineStr">
        <is>
          <t>KALMAR LÄN</t>
        </is>
      </c>
      <c r="E1199" t="inlineStr">
        <is>
          <t>VIMMERBY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5708-2024</t>
        </is>
      </c>
      <c r="B1200" s="1" t="n">
        <v>45334</v>
      </c>
      <c r="C1200" s="1" t="n">
        <v>45703</v>
      </c>
      <c r="D1200" t="inlineStr">
        <is>
          <t>KALMAR LÄN</t>
        </is>
      </c>
      <c r="E1200" t="inlineStr">
        <is>
          <t>VIMMERBY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6212-2024</t>
        </is>
      </c>
      <c r="B1201" s="1" t="n">
        <v>45337</v>
      </c>
      <c r="C1201" s="1" t="n">
        <v>45703</v>
      </c>
      <c r="D1201" t="inlineStr">
        <is>
          <t>KALMAR LÄN</t>
        </is>
      </c>
      <c r="E1201" t="inlineStr">
        <is>
          <t>VIMMERBY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6373-2024</t>
        </is>
      </c>
      <c r="B1202" s="1" t="n">
        <v>45338</v>
      </c>
      <c r="C1202" s="1" t="n">
        <v>45703</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6491-2024</t>
        </is>
      </c>
      <c r="B1203" s="1" t="n">
        <v>45339</v>
      </c>
      <c r="C1203" s="1" t="n">
        <v>45703</v>
      </c>
      <c r="D1203" t="inlineStr">
        <is>
          <t>KALMAR LÄN</t>
        </is>
      </c>
      <c r="E1203" t="inlineStr">
        <is>
          <t>VIMMERBY</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6508-2024</t>
        </is>
      </c>
      <c r="B1204" s="1" t="n">
        <v>45340</v>
      </c>
      <c r="C1204" s="1" t="n">
        <v>45703</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7068-2024</t>
        </is>
      </c>
      <c r="B1205" s="1" t="n">
        <v>45343</v>
      </c>
      <c r="C1205" s="1" t="n">
        <v>45703</v>
      </c>
      <c r="D1205" t="inlineStr">
        <is>
          <t>KALMAR LÄN</t>
        </is>
      </c>
      <c r="E1205" t="inlineStr">
        <is>
          <t>VIMMERBY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7070-2024</t>
        </is>
      </c>
      <c r="B1206" s="1" t="n">
        <v>45343</v>
      </c>
      <c r="C1206" s="1" t="n">
        <v>45703</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7456-2024</t>
        </is>
      </c>
      <c r="B1207" s="1" t="n">
        <v>45345</v>
      </c>
      <c r="C1207" s="1" t="n">
        <v>45703</v>
      </c>
      <c r="D1207" t="inlineStr">
        <is>
          <t>KALMAR LÄN</t>
        </is>
      </c>
      <c r="E1207" t="inlineStr">
        <is>
          <t>VIMMERBY</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7485-2024</t>
        </is>
      </c>
      <c r="B1208" s="1" t="n">
        <v>45346</v>
      </c>
      <c r="C1208" s="1" t="n">
        <v>45703</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7758-2024</t>
        </is>
      </c>
      <c r="B1209" s="1" t="n">
        <v>45349</v>
      </c>
      <c r="C1209" s="1" t="n">
        <v>45703</v>
      </c>
      <c r="D1209" t="inlineStr">
        <is>
          <t>KALMAR LÄN</t>
        </is>
      </c>
      <c r="E1209" t="inlineStr">
        <is>
          <t>VIMMERBY</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7759-2024</t>
        </is>
      </c>
      <c r="B1210" s="1" t="n">
        <v>45349</v>
      </c>
      <c r="C1210" s="1" t="n">
        <v>45703</v>
      </c>
      <c r="D1210" t="inlineStr">
        <is>
          <t>KALMAR LÄN</t>
        </is>
      </c>
      <c r="E1210" t="inlineStr">
        <is>
          <t>VIMMERBY</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7829-2024</t>
        </is>
      </c>
      <c r="B1211" s="1" t="n">
        <v>45349</v>
      </c>
      <c r="C1211" s="1" t="n">
        <v>45703</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7830-2024</t>
        </is>
      </c>
      <c r="B1212" s="1" t="n">
        <v>45349</v>
      </c>
      <c r="C1212" s="1" t="n">
        <v>45703</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7944-2024</t>
        </is>
      </c>
      <c r="B1213" s="1" t="n">
        <v>45350</v>
      </c>
      <c r="C1213" s="1" t="n">
        <v>45703</v>
      </c>
      <c r="D1213" t="inlineStr">
        <is>
          <t>KALMAR LÄN</t>
        </is>
      </c>
      <c r="E1213" t="inlineStr">
        <is>
          <t>VIMMERBY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8043-2024</t>
        </is>
      </c>
      <c r="B1214" s="1" t="n">
        <v>45351</v>
      </c>
      <c r="C1214" s="1" t="n">
        <v>45703</v>
      </c>
      <c r="D1214" t="inlineStr">
        <is>
          <t>KALMAR LÄN</t>
        </is>
      </c>
      <c r="E1214" t="inlineStr">
        <is>
          <t>VIMMERBY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8214-2024</t>
        </is>
      </c>
      <c r="B1215" s="1" t="n">
        <v>45351</v>
      </c>
      <c r="C1215" s="1" t="n">
        <v>45703</v>
      </c>
      <c r="D1215" t="inlineStr">
        <is>
          <t>KALMAR LÄN</t>
        </is>
      </c>
      <c r="E1215" t="inlineStr">
        <is>
          <t>VIMMERBY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8167-2024</t>
        </is>
      </c>
      <c r="B1216" s="1" t="n">
        <v>45351</v>
      </c>
      <c r="C1216" s="1" t="n">
        <v>45703</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8213-2024</t>
        </is>
      </c>
      <c r="B1217" s="1" t="n">
        <v>45351</v>
      </c>
      <c r="C1217" s="1" t="n">
        <v>45703</v>
      </c>
      <c r="D1217" t="inlineStr">
        <is>
          <t>KALMAR LÄN</t>
        </is>
      </c>
      <c r="E1217" t="inlineStr">
        <is>
          <t>VIMMERBY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8540-2024</t>
        </is>
      </c>
      <c r="B1218" s="1" t="n">
        <v>45355</v>
      </c>
      <c r="C1218" s="1" t="n">
        <v>45703</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8770-2024</t>
        </is>
      </c>
      <c r="B1219" s="1" t="n">
        <v>45356</v>
      </c>
      <c r="C1219" s="1" t="n">
        <v>45703</v>
      </c>
      <c r="D1219" t="inlineStr">
        <is>
          <t>KALMAR LÄN</t>
        </is>
      </c>
      <c r="E1219" t="inlineStr">
        <is>
          <t>VIMMERBY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9418-2024</t>
        </is>
      </c>
      <c r="B1220" s="1" t="n">
        <v>45359</v>
      </c>
      <c r="C1220" s="1" t="n">
        <v>45703</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9416-2024</t>
        </is>
      </c>
      <c r="B1221" s="1" t="n">
        <v>45359</v>
      </c>
      <c r="C1221" s="1" t="n">
        <v>45703</v>
      </c>
      <c r="D1221" t="inlineStr">
        <is>
          <t>KALMAR LÄN</t>
        </is>
      </c>
      <c r="E1221" t="inlineStr">
        <is>
          <t>VIMMERBY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9624-2024</t>
        </is>
      </c>
      <c r="B1222" s="1" t="n">
        <v>45361</v>
      </c>
      <c r="C1222" s="1" t="n">
        <v>45703</v>
      </c>
      <c r="D1222" t="inlineStr">
        <is>
          <t>KALMAR LÄN</t>
        </is>
      </c>
      <c r="E1222" t="inlineStr">
        <is>
          <t>VIMMERBY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9623-2024</t>
        </is>
      </c>
      <c r="B1223" s="1" t="n">
        <v>45361</v>
      </c>
      <c r="C1223" s="1" t="n">
        <v>45703</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9657-2024</t>
        </is>
      </c>
      <c r="B1224" s="1" t="n">
        <v>45362</v>
      </c>
      <c r="C1224" s="1" t="n">
        <v>45703</v>
      </c>
      <c r="D1224" t="inlineStr">
        <is>
          <t>KALMAR LÄN</t>
        </is>
      </c>
      <c r="E1224" t="inlineStr">
        <is>
          <t>VIMMERBY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10807-2024</t>
        </is>
      </c>
      <c r="B1225" s="1" t="n">
        <v>45369</v>
      </c>
      <c r="C1225" s="1" t="n">
        <v>45703</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10884-2024</t>
        </is>
      </c>
      <c r="B1226" s="1" t="n">
        <v>45370</v>
      </c>
      <c r="C1226" s="1" t="n">
        <v>45703</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10935-2024</t>
        </is>
      </c>
      <c r="B1227" s="1" t="n">
        <v>45370</v>
      </c>
      <c r="C1227" s="1" t="n">
        <v>45703</v>
      </c>
      <c r="D1227" t="inlineStr">
        <is>
          <t>KALMAR LÄN</t>
        </is>
      </c>
      <c r="E1227" t="inlineStr">
        <is>
          <t>VIMMERBY</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11141-2024</t>
        </is>
      </c>
      <c r="B1228" s="1" t="n">
        <v>45371</v>
      </c>
      <c r="C1228" s="1" t="n">
        <v>45703</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11111-2024</t>
        </is>
      </c>
      <c r="B1229" s="1" t="n">
        <v>45371</v>
      </c>
      <c r="C1229" s="1" t="n">
        <v>45703</v>
      </c>
      <c r="D1229" t="inlineStr">
        <is>
          <t>KALMAR LÄN</t>
        </is>
      </c>
      <c r="E1229" t="inlineStr">
        <is>
          <t>VIMMERBY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11400-2024</t>
        </is>
      </c>
      <c r="B1230" s="1" t="n">
        <v>45372</v>
      </c>
      <c r="C1230" s="1" t="n">
        <v>45703</v>
      </c>
      <c r="D1230" t="inlineStr">
        <is>
          <t>KALMAR LÄN</t>
        </is>
      </c>
      <c r="E1230" t="inlineStr">
        <is>
          <t>VIMMERBY</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11484-2024</t>
        </is>
      </c>
      <c r="B1231" s="1" t="n">
        <v>45372</v>
      </c>
      <c r="C1231" s="1" t="n">
        <v>45703</v>
      </c>
      <c r="D1231" t="inlineStr">
        <is>
          <t>KALMAR LÄN</t>
        </is>
      </c>
      <c r="E1231" t="inlineStr">
        <is>
          <t>VIMMERBY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12136-2024</t>
        </is>
      </c>
      <c r="B1232" s="1" t="n">
        <v>45377</v>
      </c>
      <c r="C1232" s="1" t="n">
        <v>45703</v>
      </c>
      <c r="D1232" t="inlineStr">
        <is>
          <t>KALMAR LÄN</t>
        </is>
      </c>
      <c r="E1232" t="inlineStr">
        <is>
          <t>VIMMERBY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12075-2024</t>
        </is>
      </c>
      <c r="B1233" s="1" t="n">
        <v>45377</v>
      </c>
      <c r="C1233" s="1" t="n">
        <v>45703</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12033-2024</t>
        </is>
      </c>
      <c r="B1234" s="1" t="n">
        <v>45377</v>
      </c>
      <c r="C1234" s="1" t="n">
        <v>45703</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12142-2024</t>
        </is>
      </c>
      <c r="B1235" s="1" t="n">
        <v>45377</v>
      </c>
      <c r="C1235" s="1" t="n">
        <v>45703</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12215-2024</t>
        </is>
      </c>
      <c r="B1236" s="1" t="n">
        <v>45378</v>
      </c>
      <c r="C1236" s="1" t="n">
        <v>45703</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12480-2024</t>
        </is>
      </c>
      <c r="B1237" s="1" t="n">
        <v>45379</v>
      </c>
      <c r="C1237" s="1" t="n">
        <v>45703</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12819-2024</t>
        </is>
      </c>
      <c r="B1238" s="1" t="n">
        <v>45384</v>
      </c>
      <c r="C1238" s="1" t="n">
        <v>45703</v>
      </c>
      <c r="D1238" t="inlineStr">
        <is>
          <t>KALMAR LÄN</t>
        </is>
      </c>
      <c r="E1238" t="inlineStr">
        <is>
          <t>VIMMERBY</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13123-2024</t>
        </is>
      </c>
      <c r="B1239" s="1" t="n">
        <v>45385</v>
      </c>
      <c r="C1239" s="1" t="n">
        <v>45703</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13809-2024</t>
        </is>
      </c>
      <c r="B1240" s="1" t="n">
        <v>45391</v>
      </c>
      <c r="C1240" s="1" t="n">
        <v>45703</v>
      </c>
      <c r="D1240" t="inlineStr">
        <is>
          <t>KALMAR LÄN</t>
        </is>
      </c>
      <c r="E1240" t="inlineStr">
        <is>
          <t>VIMMERBY</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13857-2024</t>
        </is>
      </c>
      <c r="B1241" s="1" t="n">
        <v>45391</v>
      </c>
      <c r="C1241" s="1" t="n">
        <v>45703</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13909-2024</t>
        </is>
      </c>
      <c r="B1242" s="1" t="n">
        <v>45391</v>
      </c>
      <c r="C1242" s="1" t="n">
        <v>45703</v>
      </c>
      <c r="D1242" t="inlineStr">
        <is>
          <t>KALMAR LÄN</t>
        </is>
      </c>
      <c r="E1242" t="inlineStr">
        <is>
          <t>VIMMERBY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13817-2024</t>
        </is>
      </c>
      <c r="B1243" s="1" t="n">
        <v>45391</v>
      </c>
      <c r="C1243" s="1" t="n">
        <v>45703</v>
      </c>
      <c r="D1243" t="inlineStr">
        <is>
          <t>KALMAR LÄN</t>
        </is>
      </c>
      <c r="E1243" t="inlineStr">
        <is>
          <t>VIMMERBY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13813-2024</t>
        </is>
      </c>
      <c r="B1244" s="1" t="n">
        <v>45391</v>
      </c>
      <c r="C1244" s="1" t="n">
        <v>45703</v>
      </c>
      <c r="D1244" t="inlineStr">
        <is>
          <t>KALMAR LÄN</t>
        </is>
      </c>
      <c r="E1244" t="inlineStr">
        <is>
          <t>VIMMERBY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13908-2024</t>
        </is>
      </c>
      <c r="B1245" s="1" t="n">
        <v>45391</v>
      </c>
      <c r="C1245" s="1" t="n">
        <v>45703</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14021-2024</t>
        </is>
      </c>
      <c r="B1246" s="1" t="n">
        <v>45392</v>
      </c>
      <c r="C1246" s="1" t="n">
        <v>45703</v>
      </c>
      <c r="D1246" t="inlineStr">
        <is>
          <t>KALMAR LÄN</t>
        </is>
      </c>
      <c r="E1246" t="inlineStr">
        <is>
          <t>VIMMERBY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14144-2024</t>
        </is>
      </c>
      <c r="B1247" s="1" t="n">
        <v>45392</v>
      </c>
      <c r="C1247" s="1" t="n">
        <v>45703</v>
      </c>
      <c r="D1247" t="inlineStr">
        <is>
          <t>KALMAR LÄN</t>
        </is>
      </c>
      <c r="E1247" t="inlineStr">
        <is>
          <t>VIMMERBY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14182-2024</t>
        </is>
      </c>
      <c r="B1248" s="1" t="n">
        <v>45393</v>
      </c>
      <c r="C1248" s="1" t="n">
        <v>45703</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14558-2024</t>
        </is>
      </c>
      <c r="B1249" s="1" t="n">
        <v>45394</v>
      </c>
      <c r="C1249" s="1" t="n">
        <v>45703</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14548-2024</t>
        </is>
      </c>
      <c r="B1250" s="1" t="n">
        <v>45394</v>
      </c>
      <c r="C1250" s="1" t="n">
        <v>45703</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14557-2024</t>
        </is>
      </c>
      <c r="B1251" s="1" t="n">
        <v>45394</v>
      </c>
      <c r="C1251" s="1" t="n">
        <v>45703</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14451-2024</t>
        </is>
      </c>
      <c r="B1252" s="1" t="n">
        <v>45394</v>
      </c>
      <c r="C1252" s="1" t="n">
        <v>45703</v>
      </c>
      <c r="D1252" t="inlineStr">
        <is>
          <t>KALMAR LÄN</t>
        </is>
      </c>
      <c r="E1252" t="inlineStr">
        <is>
          <t>VIMMERBY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15123-2024</t>
        </is>
      </c>
      <c r="B1253" s="1" t="n">
        <v>45399</v>
      </c>
      <c r="C1253" s="1" t="n">
        <v>45703</v>
      </c>
      <c r="D1253" t="inlineStr">
        <is>
          <t>KALMAR LÄN</t>
        </is>
      </c>
      <c r="E1253" t="inlineStr">
        <is>
          <t>VIMMERBY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15494-2024</t>
        </is>
      </c>
      <c r="B1254" s="1" t="n">
        <v>45401</v>
      </c>
      <c r="C1254" s="1" t="n">
        <v>45703</v>
      </c>
      <c r="D1254" t="inlineStr">
        <is>
          <t>KALMAR LÄN</t>
        </is>
      </c>
      <c r="E1254" t="inlineStr">
        <is>
          <t>VIMMERBY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15672-2024</t>
        </is>
      </c>
      <c r="B1255" s="1" t="n">
        <v>45404</v>
      </c>
      <c r="C1255" s="1" t="n">
        <v>45703</v>
      </c>
      <c r="D1255" t="inlineStr">
        <is>
          <t>KALMAR LÄN</t>
        </is>
      </c>
      <c r="E1255" t="inlineStr">
        <is>
          <t>VIMMERBY</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16740-2024</t>
        </is>
      </c>
      <c r="B1256" s="1" t="n">
        <v>45411</v>
      </c>
      <c r="C1256" s="1" t="n">
        <v>45703</v>
      </c>
      <c r="D1256" t="inlineStr">
        <is>
          <t>KALMAR LÄN</t>
        </is>
      </c>
      <c r="E1256" t="inlineStr">
        <is>
          <t>VIMMERBY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16825-2024</t>
        </is>
      </c>
      <c r="B1257" s="1" t="n">
        <v>45411</v>
      </c>
      <c r="C1257" s="1" t="n">
        <v>45703</v>
      </c>
      <c r="D1257" t="inlineStr">
        <is>
          <t>KALMAR LÄN</t>
        </is>
      </c>
      <c r="E1257" t="inlineStr">
        <is>
          <t>VIMMERBY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17219-2024</t>
        </is>
      </c>
      <c r="B1258" s="1" t="n">
        <v>45414</v>
      </c>
      <c r="C1258" s="1" t="n">
        <v>45703</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17367-2024</t>
        </is>
      </c>
      <c r="B1259" s="1" t="n">
        <v>45414</v>
      </c>
      <c r="C1259" s="1" t="n">
        <v>45703</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17483-2024</t>
        </is>
      </c>
      <c r="B1260" s="1" t="n">
        <v>45415</v>
      </c>
      <c r="C1260" s="1" t="n">
        <v>45703</v>
      </c>
      <c r="D1260" t="inlineStr">
        <is>
          <t>KALMAR LÄN</t>
        </is>
      </c>
      <c r="E1260" t="inlineStr">
        <is>
          <t>VIMMERBY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17511-2024</t>
        </is>
      </c>
      <c r="B1261" s="1" t="n">
        <v>45415</v>
      </c>
      <c r="C1261" s="1" t="n">
        <v>45703</v>
      </c>
      <c r="D1261" t="inlineStr">
        <is>
          <t>KALMAR LÄN</t>
        </is>
      </c>
      <c r="E1261" t="inlineStr">
        <is>
          <t>VIMMERBY</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17482-2024</t>
        </is>
      </c>
      <c r="B1262" s="1" t="n">
        <v>45415</v>
      </c>
      <c r="C1262" s="1" t="n">
        <v>45703</v>
      </c>
      <c r="D1262" t="inlineStr">
        <is>
          <t>KALMAR LÄN</t>
        </is>
      </c>
      <c r="E1262" t="inlineStr">
        <is>
          <t>VIMMERBY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17486-2024</t>
        </is>
      </c>
      <c r="B1263" s="1" t="n">
        <v>45415</v>
      </c>
      <c r="C1263" s="1" t="n">
        <v>45703</v>
      </c>
      <c r="D1263" t="inlineStr">
        <is>
          <t>KALMAR LÄN</t>
        </is>
      </c>
      <c r="E1263" t="inlineStr">
        <is>
          <t>VIMMERBY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18501-2024</t>
        </is>
      </c>
      <c r="B1264" s="1" t="n">
        <v>45425</v>
      </c>
      <c r="C1264" s="1" t="n">
        <v>45703</v>
      </c>
      <c r="D1264" t="inlineStr">
        <is>
          <t>KALMAR LÄN</t>
        </is>
      </c>
      <c r="E1264" t="inlineStr">
        <is>
          <t>VIMMERBY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18445-2024</t>
        </is>
      </c>
      <c r="B1265" s="1" t="n">
        <v>45425</v>
      </c>
      <c r="C1265" s="1" t="n">
        <v>45703</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18662-2024</t>
        </is>
      </c>
      <c r="B1266" s="1" t="n">
        <v>45426</v>
      </c>
      <c r="C1266" s="1" t="n">
        <v>45703</v>
      </c>
      <c r="D1266" t="inlineStr">
        <is>
          <t>KALMAR LÄN</t>
        </is>
      </c>
      <c r="E1266" t="inlineStr">
        <is>
          <t>VIMMERBY</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18720-2024</t>
        </is>
      </c>
      <c r="B1267" s="1" t="n">
        <v>45426</v>
      </c>
      <c r="C1267" s="1" t="n">
        <v>45703</v>
      </c>
      <c r="D1267" t="inlineStr">
        <is>
          <t>KALMAR LÄN</t>
        </is>
      </c>
      <c r="E1267" t="inlineStr">
        <is>
          <t>VIMMERBY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18754-2024</t>
        </is>
      </c>
      <c r="B1268" s="1" t="n">
        <v>45426</v>
      </c>
      <c r="C1268" s="1" t="n">
        <v>45703</v>
      </c>
      <c r="D1268" t="inlineStr">
        <is>
          <t>KALMAR LÄN</t>
        </is>
      </c>
      <c r="E1268" t="inlineStr">
        <is>
          <t>VIMMERBY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18757-2024</t>
        </is>
      </c>
      <c r="B1269" s="1" t="n">
        <v>45426</v>
      </c>
      <c r="C1269" s="1" t="n">
        <v>45703</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19599-2024</t>
        </is>
      </c>
      <c r="B1270" s="1" t="n">
        <v>45431</v>
      </c>
      <c r="C1270" s="1" t="n">
        <v>45703</v>
      </c>
      <c r="D1270" t="inlineStr">
        <is>
          <t>KALMAR LÄN</t>
        </is>
      </c>
      <c r="E1270" t="inlineStr">
        <is>
          <t>VIMMERBY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20136-2024</t>
        </is>
      </c>
      <c r="B1271" s="1" t="n">
        <v>45434</v>
      </c>
      <c r="C1271" s="1" t="n">
        <v>45703</v>
      </c>
      <c r="D1271" t="inlineStr">
        <is>
          <t>KALMAR LÄN</t>
        </is>
      </c>
      <c r="E1271" t="inlineStr">
        <is>
          <t>VIMMERBY</t>
        </is>
      </c>
      <c r="F1271" t="inlineStr">
        <is>
          <t>Sveaskog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20126-2024</t>
        </is>
      </c>
      <c r="B1272" s="1" t="n">
        <v>45434</v>
      </c>
      <c r="C1272" s="1" t="n">
        <v>45703</v>
      </c>
      <c r="D1272" t="inlineStr">
        <is>
          <t>KALMAR LÄN</t>
        </is>
      </c>
      <c r="E1272" t="inlineStr">
        <is>
          <t>VIMMERBY</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20129-2024</t>
        </is>
      </c>
      <c r="B1273" s="1" t="n">
        <v>45434</v>
      </c>
      <c r="C1273" s="1" t="n">
        <v>45703</v>
      </c>
      <c r="D1273" t="inlineStr">
        <is>
          <t>KALMAR LÄN</t>
        </is>
      </c>
      <c r="E1273" t="inlineStr">
        <is>
          <t>VIMMERBY</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20137-2024</t>
        </is>
      </c>
      <c r="B1274" s="1" t="n">
        <v>45434</v>
      </c>
      <c r="C1274" s="1" t="n">
        <v>45703</v>
      </c>
      <c r="D1274" t="inlineStr">
        <is>
          <t>KALMAR LÄN</t>
        </is>
      </c>
      <c r="E1274" t="inlineStr">
        <is>
          <t>VIMMERBY</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20329-2024</t>
        </is>
      </c>
      <c r="B1275" s="1" t="n">
        <v>45435</v>
      </c>
      <c r="C1275" s="1" t="n">
        <v>45703</v>
      </c>
      <c r="D1275" t="inlineStr">
        <is>
          <t>KALMAR LÄN</t>
        </is>
      </c>
      <c r="E1275" t="inlineStr">
        <is>
          <t>VIMMERBY</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20695-2024</t>
        </is>
      </c>
      <c r="B1276" s="1" t="n">
        <v>45436</v>
      </c>
      <c r="C1276" s="1" t="n">
        <v>45703</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21110-2024</t>
        </is>
      </c>
      <c r="B1277" s="1" t="n">
        <v>45440</v>
      </c>
      <c r="C1277" s="1" t="n">
        <v>45703</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21109-2024</t>
        </is>
      </c>
      <c r="B1278" s="1" t="n">
        <v>45440</v>
      </c>
      <c r="C1278" s="1" t="n">
        <v>45703</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21896-2024</t>
        </is>
      </c>
      <c r="B1279" s="1" t="n">
        <v>45443</v>
      </c>
      <c r="C1279" s="1" t="n">
        <v>45703</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21919-2024</t>
        </is>
      </c>
      <c r="B1280" s="1" t="n">
        <v>45443</v>
      </c>
      <c r="C1280" s="1" t="n">
        <v>45703</v>
      </c>
      <c r="D1280" t="inlineStr">
        <is>
          <t>KALMAR LÄN</t>
        </is>
      </c>
      <c r="E1280" t="inlineStr">
        <is>
          <t>VIMMERBY</t>
        </is>
      </c>
      <c r="F1280" t="inlineStr">
        <is>
          <t>Kyrkan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22194-2024</t>
        </is>
      </c>
      <c r="B1281" s="1" t="n">
        <v>45446</v>
      </c>
      <c r="C1281" s="1" t="n">
        <v>45703</v>
      </c>
      <c r="D1281" t="inlineStr">
        <is>
          <t>KALMAR LÄN</t>
        </is>
      </c>
      <c r="E1281" t="inlineStr">
        <is>
          <t>VIMMERBY</t>
        </is>
      </c>
      <c r="F1281" t="inlineStr">
        <is>
          <t>Sveaskog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22198-2024</t>
        </is>
      </c>
      <c r="B1282" s="1" t="n">
        <v>45446</v>
      </c>
      <c r="C1282" s="1" t="n">
        <v>45703</v>
      </c>
      <c r="D1282" t="inlineStr">
        <is>
          <t>KALMAR LÄN</t>
        </is>
      </c>
      <c r="E1282" t="inlineStr">
        <is>
          <t>VIMMERBY</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22197-2024</t>
        </is>
      </c>
      <c r="B1283" s="1" t="n">
        <v>45446</v>
      </c>
      <c r="C1283" s="1" t="n">
        <v>45703</v>
      </c>
      <c r="D1283" t="inlineStr">
        <is>
          <t>KALMAR LÄN</t>
        </is>
      </c>
      <c r="E1283" t="inlineStr">
        <is>
          <t>VIMMERBY</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23088-2024</t>
        </is>
      </c>
      <c r="B1284" s="1" t="n">
        <v>45450</v>
      </c>
      <c r="C1284" s="1" t="n">
        <v>45703</v>
      </c>
      <c r="D1284" t="inlineStr">
        <is>
          <t>KALMAR LÄN</t>
        </is>
      </c>
      <c r="E1284" t="inlineStr">
        <is>
          <t>VIMMERBY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23095-2024</t>
        </is>
      </c>
      <c r="B1285" s="1" t="n">
        <v>45450</v>
      </c>
      <c r="C1285" s="1" t="n">
        <v>45703</v>
      </c>
      <c r="D1285" t="inlineStr">
        <is>
          <t>KALMAR LÄN</t>
        </is>
      </c>
      <c r="E1285" t="inlineStr">
        <is>
          <t>VIMMERBY</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23263-2024</t>
        </is>
      </c>
      <c r="B1286" s="1" t="n">
        <v>45453</v>
      </c>
      <c r="C1286" s="1" t="n">
        <v>45703</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23422-2024</t>
        </is>
      </c>
      <c r="B1287" s="1" t="n">
        <v>45453</v>
      </c>
      <c r="C1287" s="1" t="n">
        <v>45703</v>
      </c>
      <c r="D1287" t="inlineStr">
        <is>
          <t>KALMAR LÄN</t>
        </is>
      </c>
      <c r="E1287" t="inlineStr">
        <is>
          <t>VIMMERBY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23254-2024</t>
        </is>
      </c>
      <c r="B1288" s="1" t="n">
        <v>45453</v>
      </c>
      <c r="C1288" s="1" t="n">
        <v>45703</v>
      </c>
      <c r="D1288" t="inlineStr">
        <is>
          <t>KALMAR LÄN</t>
        </is>
      </c>
      <c r="E1288" t="inlineStr">
        <is>
          <t>VIMMERBY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23252-2024</t>
        </is>
      </c>
      <c r="B1289" s="1" t="n">
        <v>45453</v>
      </c>
      <c r="C1289" s="1" t="n">
        <v>45703</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24096-2024</t>
        </is>
      </c>
      <c r="B1290" s="1" t="n">
        <v>45456</v>
      </c>
      <c r="C1290" s="1" t="n">
        <v>45703</v>
      </c>
      <c r="D1290" t="inlineStr">
        <is>
          <t>KALMAR LÄN</t>
        </is>
      </c>
      <c r="E1290" t="inlineStr">
        <is>
          <t>VIMMERBY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24699-2024</t>
        </is>
      </c>
      <c r="B1291" s="1" t="n">
        <v>45460</v>
      </c>
      <c r="C1291" s="1" t="n">
        <v>45703</v>
      </c>
      <c r="D1291" t="inlineStr">
        <is>
          <t>KALMAR LÄN</t>
        </is>
      </c>
      <c r="E1291" t="inlineStr">
        <is>
          <t>VIMMERBY</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24707-2024</t>
        </is>
      </c>
      <c r="B1292" s="1" t="n">
        <v>45460</v>
      </c>
      <c r="C1292" s="1" t="n">
        <v>45703</v>
      </c>
      <c r="D1292" t="inlineStr">
        <is>
          <t>KALMAR LÄN</t>
        </is>
      </c>
      <c r="E1292" t="inlineStr">
        <is>
          <t>VIMMERBY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24745-2024</t>
        </is>
      </c>
      <c r="B1293" s="1" t="n">
        <v>45460</v>
      </c>
      <c r="C1293" s="1" t="n">
        <v>45703</v>
      </c>
      <c r="D1293" t="inlineStr">
        <is>
          <t>KALMAR LÄN</t>
        </is>
      </c>
      <c r="E1293" t="inlineStr">
        <is>
          <t>VIMMERBY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24525-2024</t>
        </is>
      </c>
      <c r="B1294" s="1" t="n">
        <v>45460</v>
      </c>
      <c r="C1294" s="1" t="n">
        <v>45703</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25304-2024</t>
        </is>
      </c>
      <c r="B1295" s="1" t="n">
        <v>45462</v>
      </c>
      <c r="C1295" s="1" t="n">
        <v>45703</v>
      </c>
      <c r="D1295" t="inlineStr">
        <is>
          <t>KALMAR LÄN</t>
        </is>
      </c>
      <c r="E1295" t="inlineStr">
        <is>
          <t>VIMMERBY</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25143-2024</t>
        </is>
      </c>
      <c r="B1296" s="1" t="n">
        <v>45462</v>
      </c>
      <c r="C1296" s="1" t="n">
        <v>45703</v>
      </c>
      <c r="D1296" t="inlineStr">
        <is>
          <t>KALMAR LÄN</t>
        </is>
      </c>
      <c r="E1296" t="inlineStr">
        <is>
          <t>VIMMERBY</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25582-2024</t>
        </is>
      </c>
      <c r="B1297" s="1" t="n">
        <v>45463</v>
      </c>
      <c r="C1297" s="1" t="n">
        <v>45703</v>
      </c>
      <c r="D1297" t="inlineStr">
        <is>
          <t>KALMAR LÄN</t>
        </is>
      </c>
      <c r="E1297" t="inlineStr">
        <is>
          <t>VIMMERBY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25415-2024</t>
        </is>
      </c>
      <c r="B1298" s="1" t="n">
        <v>45463</v>
      </c>
      <c r="C1298" s="1" t="n">
        <v>45703</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25987-2024</t>
        </is>
      </c>
      <c r="B1299" s="1" t="n">
        <v>45467</v>
      </c>
      <c r="C1299" s="1" t="n">
        <v>45703</v>
      </c>
      <c r="D1299" t="inlineStr">
        <is>
          <t>KALMAR LÄN</t>
        </is>
      </c>
      <c r="E1299" t="inlineStr">
        <is>
          <t>VIMMERBY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26445-2024</t>
        </is>
      </c>
      <c r="B1300" s="1" t="n">
        <v>45468</v>
      </c>
      <c r="C1300" s="1" t="n">
        <v>45703</v>
      </c>
      <c r="D1300" t="inlineStr">
        <is>
          <t>KALMAR LÄN</t>
        </is>
      </c>
      <c r="E1300" t="inlineStr">
        <is>
          <t>VIMMERBY</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27048-2024</t>
        </is>
      </c>
      <c r="B1301" s="1" t="n">
        <v>45471</v>
      </c>
      <c r="C1301" s="1" t="n">
        <v>45703</v>
      </c>
      <c r="D1301" t="inlineStr">
        <is>
          <t>KALMAR LÄN</t>
        </is>
      </c>
      <c r="E1301" t="inlineStr">
        <is>
          <t>VIMMERBY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27063-2024</t>
        </is>
      </c>
      <c r="B1302" s="1" t="n">
        <v>45471</v>
      </c>
      <c r="C1302" s="1" t="n">
        <v>45703</v>
      </c>
      <c r="D1302" t="inlineStr">
        <is>
          <t>KALMAR LÄN</t>
        </is>
      </c>
      <c r="E1302" t="inlineStr">
        <is>
          <t>VIMMERBY</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27028-2024</t>
        </is>
      </c>
      <c r="B1303" s="1" t="n">
        <v>45471</v>
      </c>
      <c r="C1303" s="1" t="n">
        <v>45703</v>
      </c>
      <c r="D1303" t="inlineStr">
        <is>
          <t>KALMAR LÄN</t>
        </is>
      </c>
      <c r="E1303" t="inlineStr">
        <is>
          <t>VIMMERBY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27030-2024</t>
        </is>
      </c>
      <c r="B1304" s="1" t="n">
        <v>45471</v>
      </c>
      <c r="C1304" s="1" t="n">
        <v>45703</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27758-2024</t>
        </is>
      </c>
      <c r="B1305" s="1" t="n">
        <v>45475</v>
      </c>
      <c r="C1305" s="1" t="n">
        <v>45703</v>
      </c>
      <c r="D1305" t="inlineStr">
        <is>
          <t>KALMAR LÄN</t>
        </is>
      </c>
      <c r="E1305" t="inlineStr">
        <is>
          <t>VIMMERBY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27761-2024</t>
        </is>
      </c>
      <c r="B1306" s="1" t="n">
        <v>45475</v>
      </c>
      <c r="C1306" s="1" t="n">
        <v>45703</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27759-2024</t>
        </is>
      </c>
      <c r="B1307" s="1" t="n">
        <v>45475</v>
      </c>
      <c r="C1307" s="1" t="n">
        <v>45703</v>
      </c>
      <c r="D1307" t="inlineStr">
        <is>
          <t>KALMAR LÄN</t>
        </is>
      </c>
      <c r="E1307" t="inlineStr">
        <is>
          <t>VIMMERBY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28066-2024</t>
        </is>
      </c>
      <c r="B1308" s="1" t="n">
        <v>45476</v>
      </c>
      <c r="C1308" s="1" t="n">
        <v>45703</v>
      </c>
      <c r="D1308" t="inlineStr">
        <is>
          <t>KALMAR LÄN</t>
        </is>
      </c>
      <c r="E1308" t="inlineStr">
        <is>
          <t>VIMMERBY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27992-2024</t>
        </is>
      </c>
      <c r="B1309" s="1" t="n">
        <v>45476</v>
      </c>
      <c r="C1309" s="1" t="n">
        <v>45703</v>
      </c>
      <c r="D1309" t="inlineStr">
        <is>
          <t>KALMAR LÄN</t>
        </is>
      </c>
      <c r="E1309" t="inlineStr">
        <is>
          <t>VIMMERBY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28177-2024</t>
        </is>
      </c>
      <c r="B1310" s="1" t="n">
        <v>45477</v>
      </c>
      <c r="C1310" s="1" t="n">
        <v>45703</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29020-2024</t>
        </is>
      </c>
      <c r="B1311" s="1" t="n">
        <v>45481</v>
      </c>
      <c r="C1311" s="1" t="n">
        <v>45703</v>
      </c>
      <c r="D1311" t="inlineStr">
        <is>
          <t>KALMAR LÄN</t>
        </is>
      </c>
      <c r="E1311" t="inlineStr">
        <is>
          <t>VIMMERBY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29015-2024</t>
        </is>
      </c>
      <c r="B1312" s="1" t="n">
        <v>45481</v>
      </c>
      <c r="C1312" s="1" t="n">
        <v>45703</v>
      </c>
      <c r="D1312" t="inlineStr">
        <is>
          <t>KALMAR LÄN</t>
        </is>
      </c>
      <c r="E1312" t="inlineStr">
        <is>
          <t>VIMMERBY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29018-2024</t>
        </is>
      </c>
      <c r="B1313" s="1" t="n">
        <v>45481</v>
      </c>
      <c r="C1313" s="1" t="n">
        <v>45703</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29017-2024</t>
        </is>
      </c>
      <c r="B1314" s="1" t="n">
        <v>45481</v>
      </c>
      <c r="C1314" s="1" t="n">
        <v>45703</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29013-2024</t>
        </is>
      </c>
      <c r="B1315" s="1" t="n">
        <v>45481</v>
      </c>
      <c r="C1315" s="1" t="n">
        <v>45703</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29166-2024</t>
        </is>
      </c>
      <c r="B1316" s="1" t="n">
        <v>45482</v>
      </c>
      <c r="C1316" s="1" t="n">
        <v>45703</v>
      </c>
      <c r="D1316" t="inlineStr">
        <is>
          <t>KALMAR LÄN</t>
        </is>
      </c>
      <c r="E1316" t="inlineStr">
        <is>
          <t>VIMMERBY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29183-2024</t>
        </is>
      </c>
      <c r="B1317" s="1" t="n">
        <v>45482</v>
      </c>
      <c r="C1317" s="1" t="n">
        <v>45703</v>
      </c>
      <c r="D1317" t="inlineStr">
        <is>
          <t>KALMAR LÄN</t>
        </is>
      </c>
      <c r="E1317" t="inlineStr">
        <is>
          <t>VIMMERBY</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29168-2024</t>
        </is>
      </c>
      <c r="B1318" s="1" t="n">
        <v>45482</v>
      </c>
      <c r="C1318" s="1" t="n">
        <v>45703</v>
      </c>
      <c r="D1318" t="inlineStr">
        <is>
          <t>KALMAR LÄN</t>
        </is>
      </c>
      <c r="E1318" t="inlineStr">
        <is>
          <t>VIMMERBY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29173-2024</t>
        </is>
      </c>
      <c r="B1319" s="1" t="n">
        <v>45482</v>
      </c>
      <c r="C1319" s="1" t="n">
        <v>45703</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29186-2024</t>
        </is>
      </c>
      <c r="B1320" s="1" t="n">
        <v>45482</v>
      </c>
      <c r="C1320" s="1" t="n">
        <v>45703</v>
      </c>
      <c r="D1320" t="inlineStr">
        <is>
          <t>KALMAR LÄN</t>
        </is>
      </c>
      <c r="E1320" t="inlineStr">
        <is>
          <t>VIMMERBY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29180-2024</t>
        </is>
      </c>
      <c r="B1321" s="1" t="n">
        <v>45482</v>
      </c>
      <c r="C1321" s="1" t="n">
        <v>45703</v>
      </c>
      <c r="D1321" t="inlineStr">
        <is>
          <t>KALMAR LÄN</t>
        </is>
      </c>
      <c r="E1321" t="inlineStr">
        <is>
          <t>VIMMERBY</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29165-2024</t>
        </is>
      </c>
      <c r="B1322" s="1" t="n">
        <v>45482</v>
      </c>
      <c r="C1322" s="1" t="n">
        <v>45703</v>
      </c>
      <c r="D1322" t="inlineStr">
        <is>
          <t>KALMAR LÄN</t>
        </is>
      </c>
      <c r="E1322" t="inlineStr">
        <is>
          <t>VIMMERBY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29440-2024</t>
        </is>
      </c>
      <c r="B1323" s="1" t="n">
        <v>45483</v>
      </c>
      <c r="C1323" s="1" t="n">
        <v>45703</v>
      </c>
      <c r="D1323" t="inlineStr">
        <is>
          <t>KALMAR LÄN</t>
        </is>
      </c>
      <c r="E1323" t="inlineStr">
        <is>
          <t>VIMMERBY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29441-2024</t>
        </is>
      </c>
      <c r="B1324" s="1" t="n">
        <v>45483</v>
      </c>
      <c r="C1324" s="1" t="n">
        <v>45703</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29787-2024</t>
        </is>
      </c>
      <c r="B1325" s="1" t="n">
        <v>45485</v>
      </c>
      <c r="C1325" s="1" t="n">
        <v>45703</v>
      </c>
      <c r="D1325" t="inlineStr">
        <is>
          <t>KALMAR LÄN</t>
        </is>
      </c>
      <c r="E1325" t="inlineStr">
        <is>
          <t>VIMMERBY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29783-2024</t>
        </is>
      </c>
      <c r="B1326" s="1" t="n">
        <v>45485</v>
      </c>
      <c r="C1326" s="1" t="n">
        <v>45703</v>
      </c>
      <c r="D1326" t="inlineStr">
        <is>
          <t>KALMAR LÄN</t>
        </is>
      </c>
      <c r="E1326" t="inlineStr">
        <is>
          <t>VIMMERBY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29779-2024</t>
        </is>
      </c>
      <c r="B1327" s="1" t="n">
        <v>45485</v>
      </c>
      <c r="C1327" s="1" t="n">
        <v>45703</v>
      </c>
      <c r="D1327" t="inlineStr">
        <is>
          <t>KALMAR LÄN</t>
        </is>
      </c>
      <c r="E1327" t="inlineStr">
        <is>
          <t>VIMMERBY</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29778-2024</t>
        </is>
      </c>
      <c r="B1328" s="1" t="n">
        <v>45485</v>
      </c>
      <c r="C1328" s="1" t="n">
        <v>45703</v>
      </c>
      <c r="D1328" t="inlineStr">
        <is>
          <t>KALMAR LÄN</t>
        </is>
      </c>
      <c r="E1328" t="inlineStr">
        <is>
          <t>VIMMERBY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29790-2024</t>
        </is>
      </c>
      <c r="B1329" s="1" t="n">
        <v>45485</v>
      </c>
      <c r="C1329" s="1" t="n">
        <v>45703</v>
      </c>
      <c r="D1329" t="inlineStr">
        <is>
          <t>KALMAR LÄN</t>
        </is>
      </c>
      <c r="E1329" t="inlineStr">
        <is>
          <t>VIMMERBY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30120-2024</t>
        </is>
      </c>
      <c r="B1330" s="1" t="n">
        <v>45489</v>
      </c>
      <c r="C1330" s="1" t="n">
        <v>45703</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30634-2024</t>
        </is>
      </c>
      <c r="B1331" s="1" t="n">
        <v>45495</v>
      </c>
      <c r="C1331" s="1" t="n">
        <v>45703</v>
      </c>
      <c r="D1331" t="inlineStr">
        <is>
          <t>KALMAR LÄN</t>
        </is>
      </c>
      <c r="E1331" t="inlineStr">
        <is>
          <t>VIMMERBY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30632-2024</t>
        </is>
      </c>
      <c r="B1332" s="1" t="n">
        <v>45495</v>
      </c>
      <c r="C1332" s="1" t="n">
        <v>45703</v>
      </c>
      <c r="D1332" t="inlineStr">
        <is>
          <t>KALMAR LÄN</t>
        </is>
      </c>
      <c r="E1332" t="inlineStr">
        <is>
          <t>VIMMERBY</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30633-2024</t>
        </is>
      </c>
      <c r="B1333" s="1" t="n">
        <v>45495</v>
      </c>
      <c r="C1333" s="1" t="n">
        <v>45703</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30861-2024</t>
        </is>
      </c>
      <c r="B1334" s="1" t="n">
        <v>45497</v>
      </c>
      <c r="C1334" s="1" t="n">
        <v>45703</v>
      </c>
      <c r="D1334" t="inlineStr">
        <is>
          <t>KALMAR LÄN</t>
        </is>
      </c>
      <c r="E1334" t="inlineStr">
        <is>
          <t>VIMMERBY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30921-2024</t>
        </is>
      </c>
      <c r="B1335" s="1" t="n">
        <v>45498</v>
      </c>
      <c r="C1335" s="1" t="n">
        <v>45703</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30920-2024</t>
        </is>
      </c>
      <c r="B1336" s="1" t="n">
        <v>45498</v>
      </c>
      <c r="C1336" s="1" t="n">
        <v>45703</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31139-2024</t>
        </is>
      </c>
      <c r="B1337" s="1" t="n">
        <v>45502</v>
      </c>
      <c r="C1337" s="1" t="n">
        <v>45703</v>
      </c>
      <c r="D1337" t="inlineStr">
        <is>
          <t>KALMAR LÄN</t>
        </is>
      </c>
      <c r="E1337" t="inlineStr">
        <is>
          <t>VIMMERBY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31136-2024</t>
        </is>
      </c>
      <c r="B1338" s="1" t="n">
        <v>45502</v>
      </c>
      <c r="C1338" s="1" t="n">
        <v>45703</v>
      </c>
      <c r="D1338" t="inlineStr">
        <is>
          <t>KALMAR LÄN</t>
        </is>
      </c>
      <c r="E1338" t="inlineStr">
        <is>
          <t>VIMMERBY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31209-2024</t>
        </is>
      </c>
      <c r="B1339" s="1" t="n">
        <v>45503</v>
      </c>
      <c r="C1339" s="1" t="n">
        <v>45703</v>
      </c>
      <c r="D1339" t="inlineStr">
        <is>
          <t>KALMAR LÄN</t>
        </is>
      </c>
      <c r="E1339" t="inlineStr">
        <is>
          <t>VIMMERBY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31210-2024</t>
        </is>
      </c>
      <c r="B1340" s="1" t="n">
        <v>45503</v>
      </c>
      <c r="C1340" s="1" t="n">
        <v>45703</v>
      </c>
      <c r="D1340" t="inlineStr">
        <is>
          <t>KALMAR LÄN</t>
        </is>
      </c>
      <c r="E1340" t="inlineStr">
        <is>
          <t>VIMMERBY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31250-2024</t>
        </is>
      </c>
      <c r="B1341" s="1" t="n">
        <v>45503</v>
      </c>
      <c r="C1341" s="1" t="n">
        <v>45703</v>
      </c>
      <c r="D1341" t="inlineStr">
        <is>
          <t>KALMAR LÄN</t>
        </is>
      </c>
      <c r="E1341" t="inlineStr">
        <is>
          <t>VIMMERBY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31244-2024</t>
        </is>
      </c>
      <c r="B1342" s="1" t="n">
        <v>45503</v>
      </c>
      <c r="C1342" s="1" t="n">
        <v>45703</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31248-2024</t>
        </is>
      </c>
      <c r="B1343" s="1" t="n">
        <v>45503</v>
      </c>
      <c r="C1343" s="1" t="n">
        <v>45703</v>
      </c>
      <c r="D1343" t="inlineStr">
        <is>
          <t>KALMAR LÄN</t>
        </is>
      </c>
      <c r="E1343" t="inlineStr">
        <is>
          <t>VIMMERBY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31238-2024</t>
        </is>
      </c>
      <c r="B1344" s="1" t="n">
        <v>45503</v>
      </c>
      <c r="C1344" s="1" t="n">
        <v>45703</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32575-2024</t>
        </is>
      </c>
      <c r="B1345" s="1" t="n">
        <v>45513</v>
      </c>
      <c r="C1345" s="1" t="n">
        <v>45703</v>
      </c>
      <c r="D1345" t="inlineStr">
        <is>
          <t>KALMAR LÄN</t>
        </is>
      </c>
      <c r="E1345" t="inlineStr">
        <is>
          <t>VIMMERBY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32628-2024</t>
        </is>
      </c>
      <c r="B1346" s="1" t="n">
        <v>45513</v>
      </c>
      <c r="C1346" s="1" t="n">
        <v>45703</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32627-2024</t>
        </is>
      </c>
      <c r="B1347" s="1" t="n">
        <v>45513</v>
      </c>
      <c r="C1347" s="1" t="n">
        <v>45703</v>
      </c>
      <c r="D1347" t="inlineStr">
        <is>
          <t>KALMAR LÄN</t>
        </is>
      </c>
      <c r="E1347" t="inlineStr">
        <is>
          <t>VIMMERBY</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32569-2024</t>
        </is>
      </c>
      <c r="B1348" s="1" t="n">
        <v>45513</v>
      </c>
      <c r="C1348" s="1" t="n">
        <v>45703</v>
      </c>
      <c r="D1348" t="inlineStr">
        <is>
          <t>KALMAR LÄN</t>
        </is>
      </c>
      <c r="E1348" t="inlineStr">
        <is>
          <t>VIMMERBY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32629-2024</t>
        </is>
      </c>
      <c r="B1349" s="1" t="n">
        <v>45513</v>
      </c>
      <c r="C1349" s="1" t="n">
        <v>45703</v>
      </c>
      <c r="D1349" t="inlineStr">
        <is>
          <t>KALMAR LÄN</t>
        </is>
      </c>
      <c r="E1349" t="inlineStr">
        <is>
          <t>VIMMERBY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33102-2024</t>
        </is>
      </c>
      <c r="B1350" s="1" t="n">
        <v>45517</v>
      </c>
      <c r="C1350" s="1" t="n">
        <v>45703</v>
      </c>
      <c r="D1350" t="inlineStr">
        <is>
          <t>KALMAR LÄN</t>
        </is>
      </c>
      <c r="E1350" t="inlineStr">
        <is>
          <t>VIMMERBY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33103-2024</t>
        </is>
      </c>
      <c r="B1351" s="1" t="n">
        <v>45517</v>
      </c>
      <c r="C1351" s="1" t="n">
        <v>45703</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32966-2024</t>
        </is>
      </c>
      <c r="B1352" s="1" t="n">
        <v>45517</v>
      </c>
      <c r="C1352" s="1" t="n">
        <v>45703</v>
      </c>
      <c r="D1352" t="inlineStr">
        <is>
          <t>KALMAR LÄN</t>
        </is>
      </c>
      <c r="E1352" t="inlineStr">
        <is>
          <t>VIMMERBY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33161-2024</t>
        </is>
      </c>
      <c r="B1353" s="1" t="n">
        <v>45518</v>
      </c>
      <c r="C1353" s="1" t="n">
        <v>45703</v>
      </c>
      <c r="D1353" t="inlineStr">
        <is>
          <t>KALMAR LÄN</t>
        </is>
      </c>
      <c r="E1353" t="inlineStr">
        <is>
          <t>VIMMERBY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33423-2024</t>
        </is>
      </c>
      <c r="B1354" s="1" t="n">
        <v>45519</v>
      </c>
      <c r="C1354" s="1" t="n">
        <v>45703</v>
      </c>
      <c r="D1354" t="inlineStr">
        <is>
          <t>KALMAR LÄN</t>
        </is>
      </c>
      <c r="E1354" t="inlineStr">
        <is>
          <t>VIMMERBY</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33880-2024</t>
        </is>
      </c>
      <c r="B1355" s="1" t="n">
        <v>45522</v>
      </c>
      <c r="C1355" s="1" t="n">
        <v>45703</v>
      </c>
      <c r="D1355" t="inlineStr">
        <is>
          <t>KALMAR LÄN</t>
        </is>
      </c>
      <c r="E1355" t="inlineStr">
        <is>
          <t>VIMMERBY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34076-2024</t>
        </is>
      </c>
      <c r="B1356" s="1" t="n">
        <v>45523</v>
      </c>
      <c r="C1356" s="1" t="n">
        <v>45703</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34386-2024</t>
        </is>
      </c>
      <c r="B1357" s="1" t="n">
        <v>45525</v>
      </c>
      <c r="C1357" s="1" t="n">
        <v>45703</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34510-2024</t>
        </is>
      </c>
      <c r="B1358" s="1" t="n">
        <v>45525</v>
      </c>
      <c r="C1358" s="1" t="n">
        <v>45703</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34383-2024</t>
        </is>
      </c>
      <c r="B1359" s="1" t="n">
        <v>45525</v>
      </c>
      <c r="C1359" s="1" t="n">
        <v>45703</v>
      </c>
      <c r="D1359" t="inlineStr">
        <is>
          <t>KALMAR LÄN</t>
        </is>
      </c>
      <c r="E1359" t="inlineStr">
        <is>
          <t>VIMMERBY</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34513-2024</t>
        </is>
      </c>
      <c r="B1360" s="1" t="n">
        <v>45525</v>
      </c>
      <c r="C1360" s="1" t="n">
        <v>45703</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34588-2024</t>
        </is>
      </c>
      <c r="B1361" s="1" t="n">
        <v>45526</v>
      </c>
      <c r="C1361" s="1" t="n">
        <v>45703</v>
      </c>
      <c r="D1361" t="inlineStr">
        <is>
          <t>KALMAR LÄN</t>
        </is>
      </c>
      <c r="E1361" t="inlineStr">
        <is>
          <t>VIMMERBY</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34918-2024</t>
        </is>
      </c>
      <c r="B1362" s="1" t="n">
        <v>45527</v>
      </c>
      <c r="C1362" s="1" t="n">
        <v>45703</v>
      </c>
      <c r="D1362" t="inlineStr">
        <is>
          <t>KALMAR LÄN</t>
        </is>
      </c>
      <c r="E1362" t="inlineStr">
        <is>
          <t>VIMMERBY</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35082-2024</t>
        </is>
      </c>
      <c r="B1363" s="1" t="n">
        <v>45527</v>
      </c>
      <c r="C1363" s="1" t="n">
        <v>45703</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35127-2024</t>
        </is>
      </c>
      <c r="B1364" s="1" t="n">
        <v>45530</v>
      </c>
      <c r="C1364" s="1" t="n">
        <v>45703</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35852-2024</t>
        </is>
      </c>
      <c r="B1365" s="1" t="n">
        <v>45532</v>
      </c>
      <c r="C1365" s="1" t="n">
        <v>45703</v>
      </c>
      <c r="D1365" t="inlineStr">
        <is>
          <t>KALMAR LÄN</t>
        </is>
      </c>
      <c r="E1365" t="inlineStr">
        <is>
          <t>VIMMERBY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35895-2024</t>
        </is>
      </c>
      <c r="B1366" s="1" t="n">
        <v>45533</v>
      </c>
      <c r="C1366" s="1" t="n">
        <v>45703</v>
      </c>
      <c r="D1366" t="inlineStr">
        <is>
          <t>KALMAR LÄN</t>
        </is>
      </c>
      <c r="E1366" t="inlineStr">
        <is>
          <t>VIMMERBY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35990-2024</t>
        </is>
      </c>
      <c r="B1367" s="1" t="n">
        <v>45533</v>
      </c>
      <c r="C1367" s="1" t="n">
        <v>45703</v>
      </c>
      <c r="D1367" t="inlineStr">
        <is>
          <t>KALMAR LÄN</t>
        </is>
      </c>
      <c r="E1367" t="inlineStr">
        <is>
          <t>VIMMERBY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35998-2024</t>
        </is>
      </c>
      <c r="B1368" s="1" t="n">
        <v>45533</v>
      </c>
      <c r="C1368" s="1" t="n">
        <v>45703</v>
      </c>
      <c r="D1368" t="inlineStr">
        <is>
          <t>KALMAR LÄN</t>
        </is>
      </c>
      <c r="E1368" t="inlineStr">
        <is>
          <t>VIMMERBY</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36014-2024</t>
        </is>
      </c>
      <c r="B1369" s="1" t="n">
        <v>45533</v>
      </c>
      <c r="C1369" s="1" t="n">
        <v>45703</v>
      </c>
      <c r="D1369" t="inlineStr">
        <is>
          <t>KALMAR LÄN</t>
        </is>
      </c>
      <c r="E1369" t="inlineStr">
        <is>
          <t>VIMMERBY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36030-2024</t>
        </is>
      </c>
      <c r="B1370" s="1" t="n">
        <v>45533</v>
      </c>
      <c r="C1370" s="1" t="n">
        <v>45703</v>
      </c>
      <c r="D1370" t="inlineStr">
        <is>
          <t>KALMAR LÄN</t>
        </is>
      </c>
      <c r="E1370" t="inlineStr">
        <is>
          <t>VIMMERBY</t>
        </is>
      </c>
      <c r="F1370" t="inlineStr">
        <is>
          <t>Kommuner</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36043-2024</t>
        </is>
      </c>
      <c r="B1371" s="1" t="n">
        <v>45533</v>
      </c>
      <c r="C1371" s="1" t="n">
        <v>45703</v>
      </c>
      <c r="D1371" t="inlineStr">
        <is>
          <t>KALMAR LÄN</t>
        </is>
      </c>
      <c r="E1371" t="inlineStr">
        <is>
          <t>VIMMERBY</t>
        </is>
      </c>
      <c r="F1371" t="inlineStr">
        <is>
          <t>Kommuner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36055-2024</t>
        </is>
      </c>
      <c r="B1372" s="1" t="n">
        <v>45533</v>
      </c>
      <c r="C1372" s="1" t="n">
        <v>45703</v>
      </c>
      <c r="D1372" t="inlineStr">
        <is>
          <t>KALMAR LÄN</t>
        </is>
      </c>
      <c r="E1372" t="inlineStr">
        <is>
          <t>VIMMERBY</t>
        </is>
      </c>
      <c r="F1372" t="inlineStr">
        <is>
          <t>Kommuner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36049-2024</t>
        </is>
      </c>
      <c r="B1373" s="1" t="n">
        <v>45533</v>
      </c>
      <c r="C1373" s="1" t="n">
        <v>45703</v>
      </c>
      <c r="D1373" t="inlineStr">
        <is>
          <t>KALMAR LÄN</t>
        </is>
      </c>
      <c r="E1373" t="inlineStr">
        <is>
          <t>VIMMERBY</t>
        </is>
      </c>
      <c r="F1373" t="inlineStr">
        <is>
          <t>Kommuner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36008-2024</t>
        </is>
      </c>
      <c r="B1374" s="1" t="n">
        <v>45533</v>
      </c>
      <c r="C1374" s="1" t="n">
        <v>45703</v>
      </c>
      <c r="D1374" t="inlineStr">
        <is>
          <t>KALMAR LÄN</t>
        </is>
      </c>
      <c r="E1374" t="inlineStr">
        <is>
          <t>VIMMERBY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36040-2024</t>
        </is>
      </c>
      <c r="B1375" s="1" t="n">
        <v>45533</v>
      </c>
      <c r="C1375" s="1" t="n">
        <v>45703</v>
      </c>
      <c r="D1375" t="inlineStr">
        <is>
          <t>KALMAR LÄN</t>
        </is>
      </c>
      <c r="E1375" t="inlineStr">
        <is>
          <t>VIMMERBY</t>
        </is>
      </c>
      <c r="F1375" t="inlineStr">
        <is>
          <t>Kommuner</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36060-2024</t>
        </is>
      </c>
      <c r="B1376" s="1" t="n">
        <v>45533</v>
      </c>
      <c r="C1376" s="1" t="n">
        <v>45703</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36125-2024</t>
        </is>
      </c>
      <c r="B1377" s="1" t="n">
        <v>45534</v>
      </c>
      <c r="C1377" s="1" t="n">
        <v>45703</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36128-2024</t>
        </is>
      </c>
      <c r="B1378" s="1" t="n">
        <v>45534</v>
      </c>
      <c r="C1378" s="1" t="n">
        <v>45703</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37028-2024</t>
        </is>
      </c>
      <c r="B1379" s="1" t="n">
        <v>45539</v>
      </c>
      <c r="C1379" s="1" t="n">
        <v>45703</v>
      </c>
      <c r="D1379" t="inlineStr">
        <is>
          <t>KALMAR LÄN</t>
        </is>
      </c>
      <c r="E1379" t="inlineStr">
        <is>
          <t>VIMMERBY</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37187-2024</t>
        </is>
      </c>
      <c r="B1380" s="1" t="n">
        <v>45539</v>
      </c>
      <c r="C1380" s="1" t="n">
        <v>45703</v>
      </c>
      <c r="D1380" t="inlineStr">
        <is>
          <t>KALMAR LÄN</t>
        </is>
      </c>
      <c r="E1380" t="inlineStr">
        <is>
          <t>VIMMERBY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37192-2024</t>
        </is>
      </c>
      <c r="B1381" s="1" t="n">
        <v>45539</v>
      </c>
      <c r="C1381" s="1" t="n">
        <v>45703</v>
      </c>
      <c r="D1381" t="inlineStr">
        <is>
          <t>KALMAR LÄN</t>
        </is>
      </c>
      <c r="E1381" t="inlineStr">
        <is>
          <t>VIMMERBY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37323-2024</t>
        </is>
      </c>
      <c r="B1382" s="1" t="n">
        <v>45540</v>
      </c>
      <c r="C1382" s="1" t="n">
        <v>45703</v>
      </c>
      <c r="D1382" t="inlineStr">
        <is>
          <t>KALMAR LÄN</t>
        </is>
      </c>
      <c r="E1382" t="inlineStr">
        <is>
          <t>VIMMERBY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37329-2024</t>
        </is>
      </c>
      <c r="B1383" s="1" t="n">
        <v>45540</v>
      </c>
      <c r="C1383" s="1" t="n">
        <v>45703</v>
      </c>
      <c r="D1383" t="inlineStr">
        <is>
          <t>KALMAR LÄN</t>
        </is>
      </c>
      <c r="E1383" t="inlineStr">
        <is>
          <t>VIMMERBY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37654-2024</t>
        </is>
      </c>
      <c r="B1384" s="1" t="n">
        <v>45541</v>
      </c>
      <c r="C1384" s="1" t="n">
        <v>45703</v>
      </c>
      <c r="D1384" t="inlineStr">
        <is>
          <t>KALMAR LÄN</t>
        </is>
      </c>
      <c r="E1384" t="inlineStr">
        <is>
          <t>VIMMERBY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37616-2024</t>
        </is>
      </c>
      <c r="B1385" s="1" t="n">
        <v>45541</v>
      </c>
      <c r="C1385" s="1" t="n">
        <v>45703</v>
      </c>
      <c r="D1385" t="inlineStr">
        <is>
          <t>KALMAR LÄN</t>
        </is>
      </c>
      <c r="E1385" t="inlineStr">
        <is>
          <t>VIMMERBY</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38198-2024</t>
        </is>
      </c>
      <c r="B1386" s="1" t="n">
        <v>45545</v>
      </c>
      <c r="C1386" s="1" t="n">
        <v>45703</v>
      </c>
      <c r="D1386" t="inlineStr">
        <is>
          <t>KALMAR LÄN</t>
        </is>
      </c>
      <c r="E1386" t="inlineStr">
        <is>
          <t>VIMMERBY</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39043-2024</t>
        </is>
      </c>
      <c r="B1387" s="1" t="n">
        <v>45548</v>
      </c>
      <c r="C1387" s="1" t="n">
        <v>45703</v>
      </c>
      <c r="D1387" t="inlineStr">
        <is>
          <t>KALMAR LÄN</t>
        </is>
      </c>
      <c r="E1387" t="inlineStr">
        <is>
          <t>VIMMERBY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39053-2024</t>
        </is>
      </c>
      <c r="B1388" s="1" t="n">
        <v>45548</v>
      </c>
      <c r="C1388" s="1" t="n">
        <v>45703</v>
      </c>
      <c r="D1388" t="inlineStr">
        <is>
          <t>KALMAR LÄN</t>
        </is>
      </c>
      <c r="E1388" t="inlineStr">
        <is>
          <t>VIMMERBY</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39247-2024</t>
        </is>
      </c>
      <c r="B1389" s="1" t="n">
        <v>45551</v>
      </c>
      <c r="C1389" s="1" t="n">
        <v>45703</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39584-2024</t>
        </is>
      </c>
      <c r="B1390" s="1" t="n">
        <v>45552</v>
      </c>
      <c r="C1390" s="1" t="n">
        <v>45703</v>
      </c>
      <c r="D1390" t="inlineStr">
        <is>
          <t>KALMAR LÄN</t>
        </is>
      </c>
      <c r="E1390" t="inlineStr">
        <is>
          <t>VIMMERBY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39578-2024</t>
        </is>
      </c>
      <c r="B1391" s="1" t="n">
        <v>45552</v>
      </c>
      <c r="C1391" s="1" t="n">
        <v>45703</v>
      </c>
      <c r="D1391" t="inlineStr">
        <is>
          <t>KALMAR LÄN</t>
        </is>
      </c>
      <c r="E1391" t="inlineStr">
        <is>
          <t>VIMMERBY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39743-2024</t>
        </is>
      </c>
      <c r="B1392" s="1" t="n">
        <v>45552</v>
      </c>
      <c r="C1392" s="1" t="n">
        <v>45703</v>
      </c>
      <c r="D1392" t="inlineStr">
        <is>
          <t>KALMAR LÄN</t>
        </is>
      </c>
      <c r="E1392" t="inlineStr">
        <is>
          <t>VIMMERBY</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40255-2024</t>
        </is>
      </c>
      <c r="B1393" s="1" t="n">
        <v>45554</v>
      </c>
      <c r="C1393" s="1" t="n">
        <v>45703</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40260-2024</t>
        </is>
      </c>
      <c r="B1394" s="1" t="n">
        <v>45554</v>
      </c>
      <c r="C1394" s="1" t="n">
        <v>45703</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40256-2024</t>
        </is>
      </c>
      <c r="B1395" s="1" t="n">
        <v>45554</v>
      </c>
      <c r="C1395" s="1" t="n">
        <v>45703</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40444-2024</t>
        </is>
      </c>
      <c r="B1396" s="1" t="n">
        <v>45555</v>
      </c>
      <c r="C1396" s="1" t="n">
        <v>45703</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40730-2024</t>
        </is>
      </c>
      <c r="B1397" s="1" t="n">
        <v>45558</v>
      </c>
      <c r="C1397" s="1" t="n">
        <v>45703</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40750-2024</t>
        </is>
      </c>
      <c r="B1398" s="1" t="n">
        <v>45558</v>
      </c>
      <c r="C1398" s="1" t="n">
        <v>45703</v>
      </c>
      <c r="D1398" t="inlineStr">
        <is>
          <t>KALMAR LÄN</t>
        </is>
      </c>
      <c r="E1398" t="inlineStr">
        <is>
          <t>VIMMERBY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40782-2024</t>
        </is>
      </c>
      <c r="B1399" s="1" t="n">
        <v>45558</v>
      </c>
      <c r="C1399" s="1" t="n">
        <v>45703</v>
      </c>
      <c r="D1399" t="inlineStr">
        <is>
          <t>KALMAR LÄN</t>
        </is>
      </c>
      <c r="E1399" t="inlineStr">
        <is>
          <t>VIMMERBY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40756-2024</t>
        </is>
      </c>
      <c r="B1400" s="1" t="n">
        <v>45558</v>
      </c>
      <c r="C1400" s="1" t="n">
        <v>45703</v>
      </c>
      <c r="D1400" t="inlineStr">
        <is>
          <t>KALMAR LÄN</t>
        </is>
      </c>
      <c r="E1400" t="inlineStr">
        <is>
          <t>VIMMERBY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41066-2024</t>
        </is>
      </c>
      <c r="B1401" s="1" t="n">
        <v>45559</v>
      </c>
      <c r="C1401" s="1" t="n">
        <v>45703</v>
      </c>
      <c r="D1401" t="inlineStr">
        <is>
          <t>KALMAR LÄN</t>
        </is>
      </c>
      <c r="E1401" t="inlineStr">
        <is>
          <t>VIMMERBY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41071-2024</t>
        </is>
      </c>
      <c r="B1402" s="1" t="n">
        <v>45559</v>
      </c>
      <c r="C1402" s="1" t="n">
        <v>45703</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41084-2024</t>
        </is>
      </c>
      <c r="B1403" s="1" t="n">
        <v>45559</v>
      </c>
      <c r="C1403" s="1" t="n">
        <v>45703</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41119-2024</t>
        </is>
      </c>
      <c r="B1404" s="1" t="n">
        <v>45559</v>
      </c>
      <c r="C1404" s="1" t="n">
        <v>45703</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42165-2024</t>
        </is>
      </c>
      <c r="B1405" s="1" t="n">
        <v>45562</v>
      </c>
      <c r="C1405" s="1" t="n">
        <v>45703</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42429-2024</t>
        </is>
      </c>
      <c r="B1406" s="1" t="n">
        <v>45565</v>
      </c>
      <c r="C1406" s="1" t="n">
        <v>45703</v>
      </c>
      <c r="D1406" t="inlineStr">
        <is>
          <t>KALMAR LÄN</t>
        </is>
      </c>
      <c r="E1406" t="inlineStr">
        <is>
          <t>VIMMERBY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42464-2024</t>
        </is>
      </c>
      <c r="B1407" s="1" t="n">
        <v>45565</v>
      </c>
      <c r="C1407" s="1" t="n">
        <v>45703</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42737-2024</t>
        </is>
      </c>
      <c r="B1408" s="1" t="n">
        <v>45566</v>
      </c>
      <c r="C1408" s="1" t="n">
        <v>45703</v>
      </c>
      <c r="D1408" t="inlineStr">
        <is>
          <t>KALMAR LÄN</t>
        </is>
      </c>
      <c r="E1408" t="inlineStr">
        <is>
          <t>VIMMERBY</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42693-2024</t>
        </is>
      </c>
      <c r="B1409" s="1" t="n">
        <v>45566</v>
      </c>
      <c r="C1409" s="1" t="n">
        <v>45703</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43122-2024</t>
        </is>
      </c>
      <c r="B1410" s="1" t="n">
        <v>45567</v>
      </c>
      <c r="C1410" s="1" t="n">
        <v>45703</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45703</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43083-2024</t>
        </is>
      </c>
      <c r="B1412" s="1" t="n">
        <v>45567</v>
      </c>
      <c r="C1412" s="1" t="n">
        <v>45703</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45703</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43030-2024</t>
        </is>
      </c>
      <c r="B1414" s="1" t="n">
        <v>45567</v>
      </c>
      <c r="C1414" s="1" t="n">
        <v>45703</v>
      </c>
      <c r="D1414" t="inlineStr">
        <is>
          <t>KALMAR LÄN</t>
        </is>
      </c>
      <c r="E1414" t="inlineStr">
        <is>
          <t>VIMMERBY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43093-2024</t>
        </is>
      </c>
      <c r="B1415" s="1" t="n">
        <v>45567</v>
      </c>
      <c r="C1415" s="1" t="n">
        <v>45703</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43085-2024</t>
        </is>
      </c>
      <c r="B1416" s="1" t="n">
        <v>45567</v>
      </c>
      <c r="C1416" s="1" t="n">
        <v>45703</v>
      </c>
      <c r="D1416" t="inlineStr">
        <is>
          <t>KALMAR LÄN</t>
        </is>
      </c>
      <c r="E1416" t="inlineStr">
        <is>
          <t>VIMMERBY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43081-2024</t>
        </is>
      </c>
      <c r="B1417" s="1" t="n">
        <v>45567</v>
      </c>
      <c r="C1417" s="1" t="n">
        <v>45703</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43092-2024</t>
        </is>
      </c>
      <c r="B1418" s="1" t="n">
        <v>45567</v>
      </c>
      <c r="C1418" s="1" t="n">
        <v>45703</v>
      </c>
      <c r="D1418" t="inlineStr">
        <is>
          <t>KALMAR LÄN</t>
        </is>
      </c>
      <c r="E1418" t="inlineStr">
        <is>
          <t>VIMMERBY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43088-2024</t>
        </is>
      </c>
      <c r="B1419" s="1" t="n">
        <v>45567</v>
      </c>
      <c r="C1419" s="1" t="n">
        <v>45703</v>
      </c>
      <c r="D1419" t="inlineStr">
        <is>
          <t>KALMAR LÄN</t>
        </is>
      </c>
      <c r="E1419" t="inlineStr">
        <is>
          <t>VIMMERBY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43084-2024</t>
        </is>
      </c>
      <c r="B1420" s="1" t="n">
        <v>45567</v>
      </c>
      <c r="C1420" s="1" t="n">
        <v>45703</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43242-2024</t>
        </is>
      </c>
      <c r="B1421" s="1" t="n">
        <v>45568</v>
      </c>
      <c r="C1421" s="1" t="n">
        <v>45703</v>
      </c>
      <c r="D1421" t="inlineStr">
        <is>
          <t>KALMAR LÄN</t>
        </is>
      </c>
      <c r="E1421" t="inlineStr">
        <is>
          <t>VIMMERBY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43305-2024</t>
        </is>
      </c>
      <c r="B1422" s="1" t="n">
        <v>45568</v>
      </c>
      <c r="C1422" s="1" t="n">
        <v>45703</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43266-2024</t>
        </is>
      </c>
      <c r="B1423" s="1" t="n">
        <v>45568</v>
      </c>
      <c r="C1423" s="1" t="n">
        <v>45703</v>
      </c>
      <c r="D1423" t="inlineStr">
        <is>
          <t>KALMAR LÄN</t>
        </is>
      </c>
      <c r="E1423" t="inlineStr">
        <is>
          <t>VIMMERBY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43243-2024</t>
        </is>
      </c>
      <c r="B1424" s="1" t="n">
        <v>45568</v>
      </c>
      <c r="C1424" s="1" t="n">
        <v>45703</v>
      </c>
      <c r="D1424" t="inlineStr">
        <is>
          <t>KALMAR LÄN</t>
        </is>
      </c>
      <c r="E1424" t="inlineStr">
        <is>
          <t>VIMMERBY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43601-2024</t>
        </is>
      </c>
      <c r="B1425" s="1" t="n">
        <v>45569</v>
      </c>
      <c r="C1425" s="1" t="n">
        <v>45703</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43609-2024</t>
        </is>
      </c>
      <c r="B1426" s="1" t="n">
        <v>45569</v>
      </c>
      <c r="C1426" s="1" t="n">
        <v>45703</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43606-2024</t>
        </is>
      </c>
      <c r="B1427" s="1" t="n">
        <v>45569</v>
      </c>
      <c r="C1427" s="1" t="n">
        <v>45703</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43617-2024</t>
        </is>
      </c>
      <c r="B1428" s="1" t="n">
        <v>45569</v>
      </c>
      <c r="C1428" s="1" t="n">
        <v>45703</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43579-2024</t>
        </is>
      </c>
      <c r="B1429" s="1" t="n">
        <v>45569</v>
      </c>
      <c r="C1429" s="1" t="n">
        <v>45703</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43575-2024</t>
        </is>
      </c>
      <c r="B1430" s="1" t="n">
        <v>45569</v>
      </c>
      <c r="C1430" s="1" t="n">
        <v>45703</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43594-2024</t>
        </is>
      </c>
      <c r="B1431" s="1" t="n">
        <v>45569</v>
      </c>
      <c r="C1431" s="1" t="n">
        <v>45703</v>
      </c>
      <c r="D1431" t="inlineStr">
        <is>
          <t>KALMAR LÄN</t>
        </is>
      </c>
      <c r="E1431" t="inlineStr">
        <is>
          <t>VIMMERBY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43822-2024</t>
        </is>
      </c>
      <c r="B1432" s="1" t="n">
        <v>45571</v>
      </c>
      <c r="C1432" s="1" t="n">
        <v>45703</v>
      </c>
      <c r="D1432" t="inlineStr">
        <is>
          <t>KALMAR LÄN</t>
        </is>
      </c>
      <c r="E1432" t="inlineStr">
        <is>
          <t>VIMMERBY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43824-2024</t>
        </is>
      </c>
      <c r="B1433" s="1" t="n">
        <v>45571</v>
      </c>
      <c r="C1433" s="1" t="n">
        <v>45703</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43823-2024</t>
        </is>
      </c>
      <c r="B1434" s="1" t="n">
        <v>45571</v>
      </c>
      <c r="C1434" s="1" t="n">
        <v>45703</v>
      </c>
      <c r="D1434" t="inlineStr">
        <is>
          <t>KALMAR LÄN</t>
        </is>
      </c>
      <c r="E1434" t="inlineStr">
        <is>
          <t>VIMMERBY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43962-2024</t>
        </is>
      </c>
      <c r="B1435" s="1" t="n">
        <v>45572</v>
      </c>
      <c r="C1435" s="1" t="n">
        <v>45703</v>
      </c>
      <c r="D1435" t="inlineStr">
        <is>
          <t>KALMAR LÄN</t>
        </is>
      </c>
      <c r="E1435" t="inlineStr">
        <is>
          <t>VIMMERBY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44504-2024</t>
        </is>
      </c>
      <c r="B1436" s="1" t="n">
        <v>45574</v>
      </c>
      <c r="C1436" s="1" t="n">
        <v>45703</v>
      </c>
      <c r="D1436" t="inlineStr">
        <is>
          <t>KALMAR LÄN</t>
        </is>
      </c>
      <c r="E1436" t="inlineStr">
        <is>
          <t>VIMMERBY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44464-2024</t>
        </is>
      </c>
      <c r="B1437" s="1" t="n">
        <v>45574</v>
      </c>
      <c r="C1437" s="1" t="n">
        <v>45703</v>
      </c>
      <c r="D1437" t="inlineStr">
        <is>
          <t>KALMAR LÄN</t>
        </is>
      </c>
      <c r="E1437" t="inlineStr">
        <is>
          <t>VIMMERBY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44582-2024</t>
        </is>
      </c>
      <c r="B1438" s="1" t="n">
        <v>45574</v>
      </c>
      <c r="C1438" s="1" t="n">
        <v>45703</v>
      </c>
      <c r="D1438" t="inlineStr">
        <is>
          <t>KALMAR LÄN</t>
        </is>
      </c>
      <c r="E1438" t="inlineStr">
        <is>
          <t>VIMMERBY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44740-2024</t>
        </is>
      </c>
      <c r="B1439" s="1" t="n">
        <v>45574</v>
      </c>
      <c r="C1439" s="1" t="n">
        <v>45703</v>
      </c>
      <c r="D1439" t="inlineStr">
        <is>
          <t>KALMAR LÄN</t>
        </is>
      </c>
      <c r="E1439" t="inlineStr">
        <is>
          <t>VIMMERBY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44886-2024</t>
        </is>
      </c>
      <c r="B1440" s="1" t="n">
        <v>45575</v>
      </c>
      <c r="C1440" s="1" t="n">
        <v>45703</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45253-2024</t>
        </is>
      </c>
      <c r="B1441" s="1" t="n">
        <v>45576</v>
      </c>
      <c r="C1441" s="1" t="n">
        <v>45703</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46224-2024</t>
        </is>
      </c>
      <c r="B1442" s="1" t="n">
        <v>45581</v>
      </c>
      <c r="C1442" s="1" t="n">
        <v>45703</v>
      </c>
      <c r="D1442" t="inlineStr">
        <is>
          <t>KALMAR LÄN</t>
        </is>
      </c>
      <c r="E1442" t="inlineStr">
        <is>
          <t>VIMMERBY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46225-2024</t>
        </is>
      </c>
      <c r="B1443" s="1" t="n">
        <v>45581</v>
      </c>
      <c r="C1443" s="1" t="n">
        <v>45703</v>
      </c>
      <c r="D1443" t="inlineStr">
        <is>
          <t>KALMAR LÄN</t>
        </is>
      </c>
      <c r="E1443" t="inlineStr">
        <is>
          <t>VIMMERBY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46234-2024</t>
        </is>
      </c>
      <c r="B1444" s="1" t="n">
        <v>45581</v>
      </c>
      <c r="C1444" s="1" t="n">
        <v>45703</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46238-2024</t>
        </is>
      </c>
      <c r="B1445" s="1" t="n">
        <v>45581</v>
      </c>
      <c r="C1445" s="1" t="n">
        <v>45703</v>
      </c>
      <c r="D1445" t="inlineStr">
        <is>
          <t>KALMAR LÄN</t>
        </is>
      </c>
      <c r="E1445" t="inlineStr">
        <is>
          <t>VIMMERBY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46242-2024</t>
        </is>
      </c>
      <c r="B1446" s="1" t="n">
        <v>45581</v>
      </c>
      <c r="C1446" s="1" t="n">
        <v>45703</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46455-2024</t>
        </is>
      </c>
      <c r="B1447" s="1" t="n">
        <v>45582</v>
      </c>
      <c r="C1447" s="1" t="n">
        <v>45703</v>
      </c>
      <c r="D1447" t="inlineStr">
        <is>
          <t>KALMAR LÄN</t>
        </is>
      </c>
      <c r="E1447" t="inlineStr">
        <is>
          <t>VIMMERBY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46603-2024</t>
        </is>
      </c>
      <c r="B1448" s="1" t="n">
        <v>45582</v>
      </c>
      <c r="C1448" s="1" t="n">
        <v>45703</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46399-2024</t>
        </is>
      </c>
      <c r="B1449" s="1" t="n">
        <v>45582</v>
      </c>
      <c r="C1449" s="1" t="n">
        <v>45703</v>
      </c>
      <c r="D1449" t="inlineStr">
        <is>
          <t>KALMAR LÄN</t>
        </is>
      </c>
      <c r="E1449" t="inlineStr">
        <is>
          <t>VIMMERBY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46600-2024</t>
        </is>
      </c>
      <c r="B1450" s="1" t="n">
        <v>45582</v>
      </c>
      <c r="C1450" s="1" t="n">
        <v>45703</v>
      </c>
      <c r="D1450" t="inlineStr">
        <is>
          <t>KALMAR LÄN</t>
        </is>
      </c>
      <c r="E1450" t="inlineStr">
        <is>
          <t>VIMMERBY</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46457-2024</t>
        </is>
      </c>
      <c r="B1451" s="1" t="n">
        <v>45582</v>
      </c>
      <c r="C1451" s="1" t="n">
        <v>45703</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46649-2024</t>
        </is>
      </c>
      <c r="B1452" s="1" t="n">
        <v>45583</v>
      </c>
      <c r="C1452" s="1" t="n">
        <v>45703</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47421-2024</t>
        </is>
      </c>
      <c r="B1453" s="1" t="n">
        <v>45587</v>
      </c>
      <c r="C1453" s="1" t="n">
        <v>45703</v>
      </c>
      <c r="D1453" t="inlineStr">
        <is>
          <t>KALMAR LÄN</t>
        </is>
      </c>
      <c r="E1453" t="inlineStr">
        <is>
          <t>VIMMERBY</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47415-2024</t>
        </is>
      </c>
      <c r="B1454" s="1" t="n">
        <v>45587</v>
      </c>
      <c r="C1454" s="1" t="n">
        <v>45703</v>
      </c>
      <c r="D1454" t="inlineStr">
        <is>
          <t>KALMAR LÄN</t>
        </is>
      </c>
      <c r="E1454" t="inlineStr">
        <is>
          <t>VIMMERBY</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47842-2024</t>
        </is>
      </c>
      <c r="B1455" s="1" t="n">
        <v>45588</v>
      </c>
      <c r="C1455" s="1" t="n">
        <v>45703</v>
      </c>
      <c r="D1455" t="inlineStr">
        <is>
          <t>KALMAR LÄN</t>
        </is>
      </c>
      <c r="E1455" t="inlineStr">
        <is>
          <t>VIMMERBY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47851-2024</t>
        </is>
      </c>
      <c r="B1456" s="1" t="n">
        <v>45588</v>
      </c>
      <c r="C1456" s="1" t="n">
        <v>45703</v>
      </c>
      <c r="D1456" t="inlineStr">
        <is>
          <t>KALMAR LÄN</t>
        </is>
      </c>
      <c r="E1456" t="inlineStr">
        <is>
          <t>VIMMERBY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47855-2024</t>
        </is>
      </c>
      <c r="B1457" s="1" t="n">
        <v>45588</v>
      </c>
      <c r="C1457" s="1" t="n">
        <v>45703</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47859-2024</t>
        </is>
      </c>
      <c r="B1458" s="1" t="n">
        <v>45588</v>
      </c>
      <c r="C1458" s="1" t="n">
        <v>45703</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47914-2024</t>
        </is>
      </c>
      <c r="B1459" s="1" t="n">
        <v>45589</v>
      </c>
      <c r="C1459" s="1" t="n">
        <v>45703</v>
      </c>
      <c r="D1459" t="inlineStr">
        <is>
          <t>KALMAR LÄN</t>
        </is>
      </c>
      <c r="E1459" t="inlineStr">
        <is>
          <t>VIMMERBY</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48277-2024</t>
        </is>
      </c>
      <c r="B1460" s="1" t="n">
        <v>45590</v>
      </c>
      <c r="C1460" s="1" t="n">
        <v>45703</v>
      </c>
      <c r="D1460" t="inlineStr">
        <is>
          <t>KALMAR LÄN</t>
        </is>
      </c>
      <c r="E1460" t="inlineStr">
        <is>
          <t>VIMMERBY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48459-2024</t>
        </is>
      </c>
      <c r="B1461" s="1" t="n">
        <v>45590</v>
      </c>
      <c r="C1461" s="1" t="n">
        <v>45703</v>
      </c>
      <c r="D1461" t="inlineStr">
        <is>
          <t>KALMAR LÄN</t>
        </is>
      </c>
      <c r="E1461" t="inlineStr">
        <is>
          <t>VIMMERBY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48460-2024</t>
        </is>
      </c>
      <c r="B1462" s="1" t="n">
        <v>45590</v>
      </c>
      <c r="C1462" s="1" t="n">
        <v>45703</v>
      </c>
      <c r="D1462" t="inlineStr">
        <is>
          <t>KALMAR LÄN</t>
        </is>
      </c>
      <c r="E1462" t="inlineStr">
        <is>
          <t>VIMMERBY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48825-2024</t>
        </is>
      </c>
      <c r="B1463" s="1" t="n">
        <v>45593</v>
      </c>
      <c r="C1463" s="1" t="n">
        <v>45703</v>
      </c>
      <c r="D1463" t="inlineStr">
        <is>
          <t>KALMAR LÄN</t>
        </is>
      </c>
      <c r="E1463" t="inlineStr">
        <is>
          <t>VIMMERBY</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49464-2024</t>
        </is>
      </c>
      <c r="B1464" s="1" t="n">
        <v>45596</v>
      </c>
      <c r="C1464" s="1" t="n">
        <v>45703</v>
      </c>
      <c r="D1464" t="inlineStr">
        <is>
          <t>KALMAR LÄN</t>
        </is>
      </c>
      <c r="E1464" t="inlineStr">
        <is>
          <t>VIMMERBY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49503-2024</t>
        </is>
      </c>
      <c r="B1465" s="1" t="n">
        <v>45596</v>
      </c>
      <c r="C1465" s="1" t="n">
        <v>45703</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50320-2024</t>
        </is>
      </c>
      <c r="B1466" s="1" t="n">
        <v>45600</v>
      </c>
      <c r="C1466" s="1" t="n">
        <v>45703</v>
      </c>
      <c r="D1466" t="inlineStr">
        <is>
          <t>KALMAR LÄN</t>
        </is>
      </c>
      <c r="E1466" t="inlineStr">
        <is>
          <t>VIMMERBY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50460-2024</t>
        </is>
      </c>
      <c r="B1467" s="1" t="n">
        <v>45601</v>
      </c>
      <c r="C1467" s="1" t="n">
        <v>45703</v>
      </c>
      <c r="D1467" t="inlineStr">
        <is>
          <t>KALMAR LÄN</t>
        </is>
      </c>
      <c r="E1467" t="inlineStr">
        <is>
          <t>VIMMERBY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51169-2024</t>
        </is>
      </c>
      <c r="B1468" s="1" t="n">
        <v>45603</v>
      </c>
      <c r="C1468" s="1" t="n">
        <v>45703</v>
      </c>
      <c r="D1468" t="inlineStr">
        <is>
          <t>KALMAR LÄN</t>
        </is>
      </c>
      <c r="E1468" t="inlineStr">
        <is>
          <t>VIMMERBY</t>
        </is>
      </c>
      <c r="F1468" t="inlineStr">
        <is>
          <t>Övriga Aktiebolag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51278-2024</t>
        </is>
      </c>
      <c r="B1469" s="1" t="n">
        <v>45603</v>
      </c>
      <c r="C1469" s="1" t="n">
        <v>45703</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51334-2024</t>
        </is>
      </c>
      <c r="B1470" s="1" t="n">
        <v>45604</v>
      </c>
      <c r="C1470" s="1" t="n">
        <v>45703</v>
      </c>
      <c r="D1470" t="inlineStr">
        <is>
          <t>KALMAR LÄN</t>
        </is>
      </c>
      <c r="E1470" t="inlineStr">
        <is>
          <t>VIMMERBY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51589-2024</t>
        </is>
      </c>
      <c r="B1471" s="1" t="n">
        <v>45604</v>
      </c>
      <c r="C1471" s="1" t="n">
        <v>45703</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51780-2024</t>
        </is>
      </c>
      <c r="B1472" s="1" t="n">
        <v>45607</v>
      </c>
      <c r="C1472" s="1" t="n">
        <v>45703</v>
      </c>
      <c r="D1472" t="inlineStr">
        <is>
          <t>KALMAR LÄN</t>
        </is>
      </c>
      <c r="E1472" t="inlineStr">
        <is>
          <t>VIMMERBY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52011-2024</t>
        </is>
      </c>
      <c r="B1473" s="1" t="n">
        <v>45607</v>
      </c>
      <c r="C1473" s="1" t="n">
        <v>45703</v>
      </c>
      <c r="D1473" t="inlineStr">
        <is>
          <t>KALMAR LÄN</t>
        </is>
      </c>
      <c r="E1473" t="inlineStr">
        <is>
          <t>VIMMERBY</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51881-2024</t>
        </is>
      </c>
      <c r="B1474" s="1" t="n">
        <v>45607</v>
      </c>
      <c r="C1474" s="1" t="n">
        <v>45703</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52841-2024</t>
        </is>
      </c>
      <c r="B1475" s="1" t="n">
        <v>45610</v>
      </c>
      <c r="C1475" s="1" t="n">
        <v>45703</v>
      </c>
      <c r="D1475" t="inlineStr">
        <is>
          <t>KALMAR LÄN</t>
        </is>
      </c>
      <c r="E1475" t="inlineStr">
        <is>
          <t>VIMMERBY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52823-2024</t>
        </is>
      </c>
      <c r="B1476" s="1" t="n">
        <v>45610</v>
      </c>
      <c r="C1476" s="1" t="n">
        <v>45703</v>
      </c>
      <c r="D1476" t="inlineStr">
        <is>
          <t>KALMAR LÄN</t>
        </is>
      </c>
      <c r="E1476" t="inlineStr">
        <is>
          <t>VIMMERBY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53642-2024</t>
        </is>
      </c>
      <c r="B1477" s="1" t="n">
        <v>45614</v>
      </c>
      <c r="C1477" s="1" t="n">
        <v>45703</v>
      </c>
      <c r="D1477" t="inlineStr">
        <is>
          <t>KALMAR LÄN</t>
        </is>
      </c>
      <c r="E1477" t="inlineStr">
        <is>
          <t>VIMMERBY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53641-2024</t>
        </is>
      </c>
      <c r="B1478" s="1" t="n">
        <v>45614</v>
      </c>
      <c r="C1478" s="1" t="n">
        <v>45703</v>
      </c>
      <c r="D1478" t="inlineStr">
        <is>
          <t>KALMAR LÄN</t>
        </is>
      </c>
      <c r="E1478" t="inlineStr">
        <is>
          <t>VIMMERBY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53752-2024</t>
        </is>
      </c>
      <c r="B1479" s="1" t="n">
        <v>45615</v>
      </c>
      <c r="C1479" s="1" t="n">
        <v>45703</v>
      </c>
      <c r="D1479" t="inlineStr">
        <is>
          <t>KALMAR LÄN</t>
        </is>
      </c>
      <c r="E1479" t="inlineStr">
        <is>
          <t>VIMMERBY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53991-2024</t>
        </is>
      </c>
      <c r="B1480" s="1" t="n">
        <v>45616</v>
      </c>
      <c r="C1480" s="1" t="n">
        <v>45703</v>
      </c>
      <c r="D1480" t="inlineStr">
        <is>
          <t>KALMAR LÄN</t>
        </is>
      </c>
      <c r="E1480" t="inlineStr">
        <is>
          <t>VIMMERBY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54349-2024</t>
        </is>
      </c>
      <c r="B1481" s="1" t="n">
        <v>45617</v>
      </c>
      <c r="C1481" s="1" t="n">
        <v>45703</v>
      </c>
      <c r="D1481" t="inlineStr">
        <is>
          <t>KALMAR LÄN</t>
        </is>
      </c>
      <c r="E1481" t="inlineStr">
        <is>
          <t>VIMMERBY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54409-2024</t>
        </is>
      </c>
      <c r="B1482" s="1" t="n">
        <v>45617</v>
      </c>
      <c r="C1482" s="1" t="n">
        <v>45703</v>
      </c>
      <c r="D1482" t="inlineStr">
        <is>
          <t>KALMAR LÄN</t>
        </is>
      </c>
      <c r="E1482" t="inlineStr">
        <is>
          <t>VIMMERBY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54838-2024</t>
        </is>
      </c>
      <c r="B1483" s="1" t="n">
        <v>45618</v>
      </c>
      <c r="C1483" s="1" t="n">
        <v>45703</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55123-2024</t>
        </is>
      </c>
      <c r="B1484" s="1" t="n">
        <v>45621</v>
      </c>
      <c r="C1484" s="1" t="n">
        <v>45703</v>
      </c>
      <c r="D1484" t="inlineStr">
        <is>
          <t>KALMAR LÄN</t>
        </is>
      </c>
      <c r="E1484" t="inlineStr">
        <is>
          <t>VIMMERBY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54997-2024</t>
        </is>
      </c>
      <c r="B1485" s="1" t="n">
        <v>45621</v>
      </c>
      <c r="C1485" s="1" t="n">
        <v>45703</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55605-2024</t>
        </is>
      </c>
      <c r="B1486" s="1" t="n">
        <v>45622</v>
      </c>
      <c r="C1486" s="1" t="n">
        <v>45703</v>
      </c>
      <c r="D1486" t="inlineStr">
        <is>
          <t>KALMAR LÄN</t>
        </is>
      </c>
      <c r="E1486" t="inlineStr">
        <is>
          <t>VIMMERBY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55890-2024</t>
        </is>
      </c>
      <c r="B1487" s="1" t="n">
        <v>45623</v>
      </c>
      <c r="C1487" s="1" t="n">
        <v>45703</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55939-2024</t>
        </is>
      </c>
      <c r="B1488" s="1" t="n">
        <v>45623</v>
      </c>
      <c r="C1488" s="1" t="n">
        <v>45703</v>
      </c>
      <c r="D1488" t="inlineStr">
        <is>
          <t>KALMAR LÄN</t>
        </is>
      </c>
      <c r="E1488" t="inlineStr">
        <is>
          <t>VIMMERBY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56022-2024</t>
        </is>
      </c>
      <c r="B1489" s="1" t="n">
        <v>45624</v>
      </c>
      <c r="C1489" s="1" t="n">
        <v>45703</v>
      </c>
      <c r="D1489" t="inlineStr">
        <is>
          <t>KALMAR LÄN</t>
        </is>
      </c>
      <c r="E1489" t="inlineStr">
        <is>
          <t>VIMMERBY</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56019-2024</t>
        </is>
      </c>
      <c r="B1490" s="1" t="n">
        <v>45623</v>
      </c>
      <c r="C1490" s="1" t="n">
        <v>45703</v>
      </c>
      <c r="D1490" t="inlineStr">
        <is>
          <t>KALMAR LÄN</t>
        </is>
      </c>
      <c r="E1490" t="inlineStr">
        <is>
          <t>VIMMERBY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56020-2024</t>
        </is>
      </c>
      <c r="B1491" s="1" t="n">
        <v>45623</v>
      </c>
      <c r="C1491" s="1" t="n">
        <v>45703</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56021-2024</t>
        </is>
      </c>
      <c r="B1492" s="1" t="n">
        <v>45623</v>
      </c>
      <c r="C1492" s="1" t="n">
        <v>45703</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56213-2024</t>
        </is>
      </c>
      <c r="B1493" s="1" t="n">
        <v>45624</v>
      </c>
      <c r="C1493" s="1" t="n">
        <v>45703</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56722-2024</t>
        </is>
      </c>
      <c r="B1494" s="1" t="n">
        <v>45628</v>
      </c>
      <c r="C1494" s="1" t="n">
        <v>45703</v>
      </c>
      <c r="D1494" t="inlineStr">
        <is>
          <t>KALMAR LÄN</t>
        </is>
      </c>
      <c r="E1494" t="inlineStr">
        <is>
          <t>VIMMERBY</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57024-2024</t>
        </is>
      </c>
      <c r="B1495" s="1" t="n">
        <v>45628</v>
      </c>
      <c r="C1495" s="1" t="n">
        <v>45703</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57122-2024</t>
        </is>
      </c>
      <c r="B1496" s="1" t="n">
        <v>45629</v>
      </c>
      <c r="C1496" s="1" t="n">
        <v>45703</v>
      </c>
      <c r="D1496" t="inlineStr">
        <is>
          <t>KALMAR LÄN</t>
        </is>
      </c>
      <c r="E1496" t="inlineStr">
        <is>
          <t>VIMMERBY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57227-2024</t>
        </is>
      </c>
      <c r="B1497" s="1" t="n">
        <v>45629</v>
      </c>
      <c r="C1497" s="1" t="n">
        <v>45703</v>
      </c>
      <c r="D1497" t="inlineStr">
        <is>
          <t>KALMAR LÄN</t>
        </is>
      </c>
      <c r="E1497" t="inlineStr">
        <is>
          <t>VIMMERBY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57486-2024</t>
        </is>
      </c>
      <c r="B1498" s="1" t="n">
        <v>45630</v>
      </c>
      <c r="C1498" s="1" t="n">
        <v>45703</v>
      </c>
      <c r="D1498" t="inlineStr">
        <is>
          <t>KALMAR LÄN</t>
        </is>
      </c>
      <c r="E1498" t="inlineStr">
        <is>
          <t>VIMMERBY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57550-2024</t>
        </is>
      </c>
      <c r="B1499" s="1" t="n">
        <v>45630</v>
      </c>
      <c r="C1499" s="1" t="n">
        <v>45703</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57558-2024</t>
        </is>
      </c>
      <c r="B1500" s="1" t="n">
        <v>45630</v>
      </c>
      <c r="C1500" s="1" t="n">
        <v>45703</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57578-2024</t>
        </is>
      </c>
      <c r="B1501" s="1" t="n">
        <v>45630</v>
      </c>
      <c r="C1501" s="1" t="n">
        <v>45703</v>
      </c>
      <c r="D1501" t="inlineStr">
        <is>
          <t>KALMAR LÄN</t>
        </is>
      </c>
      <c r="E1501" t="inlineStr">
        <is>
          <t>VIMMERBY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57542-2024</t>
        </is>
      </c>
      <c r="B1502" s="1" t="n">
        <v>45630</v>
      </c>
      <c r="C1502" s="1" t="n">
        <v>45703</v>
      </c>
      <c r="D1502" t="inlineStr">
        <is>
          <t>KALMAR LÄN</t>
        </is>
      </c>
      <c r="E1502" t="inlineStr">
        <is>
          <t>VIMMERBY</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57555-2024</t>
        </is>
      </c>
      <c r="B1503" s="1" t="n">
        <v>45630</v>
      </c>
      <c r="C1503" s="1" t="n">
        <v>45703</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57887-2024</t>
        </is>
      </c>
      <c r="B1504" s="1" t="n">
        <v>45631</v>
      </c>
      <c r="C1504" s="1" t="n">
        <v>45703</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58159-2024</t>
        </is>
      </c>
      <c r="B1505" s="1" t="n">
        <v>45632</v>
      </c>
      <c r="C1505" s="1" t="n">
        <v>45703</v>
      </c>
      <c r="D1505" t="inlineStr">
        <is>
          <t>KALMAR LÄN</t>
        </is>
      </c>
      <c r="E1505" t="inlineStr">
        <is>
          <t>VIMMERBY</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58100-2024</t>
        </is>
      </c>
      <c r="B1506" s="1" t="n">
        <v>45632</v>
      </c>
      <c r="C1506" s="1" t="n">
        <v>45703</v>
      </c>
      <c r="D1506" t="inlineStr">
        <is>
          <t>KALMAR LÄN</t>
        </is>
      </c>
      <c r="E1506" t="inlineStr">
        <is>
          <t>VIMMERBY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58104-2024</t>
        </is>
      </c>
      <c r="B1507" s="1" t="n">
        <v>45632</v>
      </c>
      <c r="C1507" s="1" t="n">
        <v>45703</v>
      </c>
      <c r="D1507" t="inlineStr">
        <is>
          <t>KALMAR LÄN</t>
        </is>
      </c>
      <c r="E1507" t="inlineStr">
        <is>
          <t>VIMMERBY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58374-2024</t>
        </is>
      </c>
      <c r="B1508" s="1" t="n">
        <v>45632</v>
      </c>
      <c r="C1508" s="1" t="n">
        <v>45703</v>
      </c>
      <c r="D1508" t="inlineStr">
        <is>
          <t>KALMAR LÄN</t>
        </is>
      </c>
      <c r="E1508" t="inlineStr">
        <is>
          <t>VIMMERBY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45703</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58589-2024</t>
        </is>
      </c>
      <c r="B1510" s="1" t="n">
        <v>45635</v>
      </c>
      <c r="C1510" s="1" t="n">
        <v>45703</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58577-2024</t>
        </is>
      </c>
      <c r="B1511" s="1" t="n">
        <v>45635</v>
      </c>
      <c r="C1511" s="1" t="n">
        <v>45703</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58724-2024</t>
        </is>
      </c>
      <c r="B1512" s="1" t="n">
        <v>45635</v>
      </c>
      <c r="C1512" s="1" t="n">
        <v>45703</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58728-2024</t>
        </is>
      </c>
      <c r="B1513" s="1" t="n">
        <v>45635</v>
      </c>
      <c r="C1513" s="1" t="n">
        <v>45703</v>
      </c>
      <c r="D1513" t="inlineStr">
        <is>
          <t>KALMAR LÄN</t>
        </is>
      </c>
      <c r="E1513" t="inlineStr">
        <is>
          <t>VIMMERBY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59302-2024</t>
        </is>
      </c>
      <c r="B1514" s="1" t="n">
        <v>45637</v>
      </c>
      <c r="C1514" s="1" t="n">
        <v>45703</v>
      </c>
      <c r="D1514" t="inlineStr">
        <is>
          <t>KALMAR LÄN</t>
        </is>
      </c>
      <c r="E1514" t="inlineStr">
        <is>
          <t>VIMMERBY</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59300-2024</t>
        </is>
      </c>
      <c r="B1515" s="1" t="n">
        <v>45637</v>
      </c>
      <c r="C1515" s="1" t="n">
        <v>45703</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59341-2024</t>
        </is>
      </c>
      <c r="B1516" s="1" t="n">
        <v>45637</v>
      </c>
      <c r="C1516" s="1" t="n">
        <v>45703</v>
      </c>
      <c r="D1516" t="inlineStr">
        <is>
          <t>KALMAR LÄN</t>
        </is>
      </c>
      <c r="E1516" t="inlineStr">
        <is>
          <t>VIMMERBY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59768-2024</t>
        </is>
      </c>
      <c r="B1517" s="1" t="n">
        <v>45639</v>
      </c>
      <c r="C1517" s="1" t="n">
        <v>45703</v>
      </c>
      <c r="D1517" t="inlineStr">
        <is>
          <t>KALMAR LÄN</t>
        </is>
      </c>
      <c r="E1517" t="inlineStr">
        <is>
          <t>VIMMERBY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59733-2024</t>
        </is>
      </c>
      <c r="B1518" s="1" t="n">
        <v>45639</v>
      </c>
      <c r="C1518" s="1" t="n">
        <v>45703</v>
      </c>
      <c r="D1518" t="inlineStr">
        <is>
          <t>KALMAR LÄN</t>
        </is>
      </c>
      <c r="E1518" t="inlineStr">
        <is>
          <t>VIMMERBY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60051-2024</t>
        </is>
      </c>
      <c r="B1519" s="1" t="n">
        <v>45642</v>
      </c>
      <c r="C1519" s="1" t="n">
        <v>45703</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60334-2024</t>
        </is>
      </c>
      <c r="B1520" s="1" t="n">
        <v>45643</v>
      </c>
      <c r="C1520" s="1" t="n">
        <v>45703</v>
      </c>
      <c r="D1520" t="inlineStr">
        <is>
          <t>KALMAR LÄN</t>
        </is>
      </c>
      <c r="E1520" t="inlineStr">
        <is>
          <t>VIMMERBY</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60430-2024</t>
        </is>
      </c>
      <c r="B1521" s="1" t="n">
        <v>45643</v>
      </c>
      <c r="C1521" s="1" t="n">
        <v>45703</v>
      </c>
      <c r="D1521" t="inlineStr">
        <is>
          <t>KALMAR LÄN</t>
        </is>
      </c>
      <c r="E1521" t="inlineStr">
        <is>
          <t>VIMMERBY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61355-2024</t>
        </is>
      </c>
      <c r="B1522" s="1" t="n">
        <v>45646</v>
      </c>
      <c r="C1522" s="1" t="n">
        <v>45703</v>
      </c>
      <c r="D1522" t="inlineStr">
        <is>
          <t>KALMAR LÄN</t>
        </is>
      </c>
      <c r="E1522" t="inlineStr">
        <is>
          <t>VIMMERBY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61624-2024</t>
        </is>
      </c>
      <c r="B1523" s="1" t="n">
        <v>45646</v>
      </c>
      <c r="C1523" s="1" t="n">
        <v>45703</v>
      </c>
      <c r="D1523" t="inlineStr">
        <is>
          <t>KALMAR LÄN</t>
        </is>
      </c>
      <c r="E1523" t="inlineStr">
        <is>
          <t>VIMMERBY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61775-2024</t>
        </is>
      </c>
      <c r="B1524" s="1" t="n">
        <v>45649</v>
      </c>
      <c r="C1524" s="1" t="n">
        <v>45703</v>
      </c>
      <c r="D1524" t="inlineStr">
        <is>
          <t>KALMAR LÄN</t>
        </is>
      </c>
      <c r="E1524" t="inlineStr">
        <is>
          <t>VIMMERBY</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61777-2024</t>
        </is>
      </c>
      <c r="B1525" s="1" t="n">
        <v>45649</v>
      </c>
      <c r="C1525" s="1" t="n">
        <v>45703</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61861-2024</t>
        </is>
      </c>
      <c r="B1526" s="1" t="n">
        <v>45650</v>
      </c>
      <c r="C1526" s="1" t="n">
        <v>45703</v>
      </c>
      <c r="D1526" t="inlineStr">
        <is>
          <t>KALMAR LÄN</t>
        </is>
      </c>
      <c r="E1526" t="inlineStr">
        <is>
          <t>VIMMERBY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23-2025</t>
        </is>
      </c>
      <c r="B1527" s="1" t="n">
        <v>45658</v>
      </c>
      <c r="C1527" s="1" t="n">
        <v>45703</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45703</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16-2025</t>
        </is>
      </c>
      <c r="B1529" s="1" t="n">
        <v>45658</v>
      </c>
      <c r="C1529" s="1" t="n">
        <v>45703</v>
      </c>
      <c r="D1529" t="inlineStr">
        <is>
          <t>KALMAR LÄN</t>
        </is>
      </c>
      <c r="E1529" t="inlineStr">
        <is>
          <t>VIMMERBY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17-2025</t>
        </is>
      </c>
      <c r="B1530" s="1" t="n">
        <v>45658</v>
      </c>
      <c r="C1530" s="1" t="n">
        <v>45703</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598-2025</t>
        </is>
      </c>
      <c r="B1531" s="1" t="n">
        <v>45660</v>
      </c>
      <c r="C1531" s="1" t="n">
        <v>45703</v>
      </c>
      <c r="D1531" t="inlineStr">
        <is>
          <t>KALMAR LÄN</t>
        </is>
      </c>
      <c r="E1531" t="inlineStr">
        <is>
          <t>VIMMERBY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367-2025</t>
        </is>
      </c>
      <c r="B1532" s="1" t="n">
        <v>45661</v>
      </c>
      <c r="C1532" s="1" t="n">
        <v>45703</v>
      </c>
      <c r="D1532" t="inlineStr">
        <is>
          <t>KALMAR LÄN</t>
        </is>
      </c>
      <c r="E1532" t="inlineStr">
        <is>
          <t>VIMMERBY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365-2025</t>
        </is>
      </c>
      <c r="B1533" s="1" t="n">
        <v>45661</v>
      </c>
      <c r="C1533" s="1" t="n">
        <v>45703</v>
      </c>
      <c r="D1533" t="inlineStr">
        <is>
          <t>KALMAR LÄN</t>
        </is>
      </c>
      <c r="E1533" t="inlineStr">
        <is>
          <t>VIMMERBY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677-2025</t>
        </is>
      </c>
      <c r="B1534" s="1" t="n">
        <v>45664</v>
      </c>
      <c r="C1534" s="1" t="n">
        <v>45703</v>
      </c>
      <c r="D1534" t="inlineStr">
        <is>
          <t>KALMAR LÄN</t>
        </is>
      </c>
      <c r="E1534" t="inlineStr">
        <is>
          <t>VIMMERBY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665-2025</t>
        </is>
      </c>
      <c r="B1535" s="1" t="n">
        <v>45664</v>
      </c>
      <c r="C1535" s="1" t="n">
        <v>45703</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1146-2025</t>
        </is>
      </c>
      <c r="B1536" s="1" t="n">
        <v>45666</v>
      </c>
      <c r="C1536" s="1" t="n">
        <v>45703</v>
      </c>
      <c r="D1536" t="inlineStr">
        <is>
          <t>KALMAR LÄN</t>
        </is>
      </c>
      <c r="E1536" t="inlineStr">
        <is>
          <t>VIMMERBY</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971-2025</t>
        </is>
      </c>
      <c r="B1537" s="1" t="n">
        <v>45666</v>
      </c>
      <c r="C1537" s="1" t="n">
        <v>45703</v>
      </c>
      <c r="D1537" t="inlineStr">
        <is>
          <t>KALMAR LÄN</t>
        </is>
      </c>
      <c r="E1537" t="inlineStr">
        <is>
          <t>VIMMERBY</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1206-2025</t>
        </is>
      </c>
      <c r="B1538" s="1" t="n">
        <v>45667</v>
      </c>
      <c r="C1538" s="1" t="n">
        <v>45703</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1428-2025</t>
        </is>
      </c>
      <c r="B1539" s="1" t="n">
        <v>45668</v>
      </c>
      <c r="C1539" s="1" t="n">
        <v>45703</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1799-2025</t>
        </is>
      </c>
      <c r="B1540" s="1" t="n">
        <v>45671</v>
      </c>
      <c r="C1540" s="1" t="n">
        <v>45703</v>
      </c>
      <c r="D1540" t="inlineStr">
        <is>
          <t>KALMAR LÄN</t>
        </is>
      </c>
      <c r="E1540" t="inlineStr">
        <is>
          <t>VIMMERBY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45703</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45703</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2775-2025</t>
        </is>
      </c>
      <c r="B1543" s="1" t="n">
        <v>45677</v>
      </c>
      <c r="C1543" s="1" t="n">
        <v>45703</v>
      </c>
      <c r="D1543" t="inlineStr">
        <is>
          <t>KALMAR LÄN</t>
        </is>
      </c>
      <c r="E1543" t="inlineStr">
        <is>
          <t>VIMMERBY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3045-2025</t>
        </is>
      </c>
      <c r="B1544" s="1" t="n">
        <v>45678</v>
      </c>
      <c r="C1544" s="1" t="n">
        <v>45703</v>
      </c>
      <c r="D1544" t="inlineStr">
        <is>
          <t>KALMAR LÄN</t>
        </is>
      </c>
      <c r="E1544" t="inlineStr">
        <is>
          <t>VIMMERBY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3075-2025</t>
        </is>
      </c>
      <c r="B1545" s="1" t="n">
        <v>45678</v>
      </c>
      <c r="C1545" s="1" t="n">
        <v>45703</v>
      </c>
      <c r="D1545" t="inlineStr">
        <is>
          <t>KALMAR LÄN</t>
        </is>
      </c>
      <c r="E1545" t="inlineStr">
        <is>
          <t>VIMMERBY</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45703</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45703</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45703</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45703</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6216-2025</t>
        </is>
      </c>
      <c r="B1550" s="1" t="n">
        <v>45698</v>
      </c>
      <c r="C1550" s="1" t="n">
        <v>45703</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45703</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6218-2025</t>
        </is>
      </c>
      <c r="B1552" s="1" t="n">
        <v>45698</v>
      </c>
      <c r="C1552" s="1" t="n">
        <v>45703</v>
      </c>
      <c r="D1552" t="inlineStr">
        <is>
          <t>KALMAR LÄN</t>
        </is>
      </c>
      <c r="E1552" t="inlineStr">
        <is>
          <t>VIMMERBY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6314-2025</t>
        </is>
      </c>
      <c r="B1553" s="1" t="n">
        <v>45698</v>
      </c>
      <c r="C1553" s="1" t="n">
        <v>45703</v>
      </c>
      <c r="D1553" t="inlineStr">
        <is>
          <t>KALMAR LÄN</t>
        </is>
      </c>
      <c r="E1553" t="inlineStr">
        <is>
          <t>VIMMERBY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45703</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45703</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45703</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6483-2025</t>
        </is>
      </c>
      <c r="B1557" s="1" t="n">
        <v>45699</v>
      </c>
      <c r="C1557" s="1" t="n">
        <v>45703</v>
      </c>
      <c r="D1557" t="inlineStr">
        <is>
          <t>KALMAR LÄN</t>
        </is>
      </c>
      <c r="E1557" t="inlineStr">
        <is>
          <t>VIMMERBY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45703</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6474-2025</t>
        </is>
      </c>
      <c r="B1559" s="1" t="n">
        <v>45699</v>
      </c>
      <c r="C1559" s="1" t="n">
        <v>45703</v>
      </c>
      <c r="D1559" t="inlineStr">
        <is>
          <t>KALMAR LÄN</t>
        </is>
      </c>
      <c r="E1559" t="inlineStr">
        <is>
          <t>VIMMERBY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45703</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45703</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6802-2025</t>
        </is>
      </c>
      <c r="B1562" s="1" t="n">
        <v>45700</v>
      </c>
      <c r="C1562" s="1" t="n">
        <v>45703</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45703</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c r="A1564" t="inlineStr">
        <is>
          <t>A 6807-2025</t>
        </is>
      </c>
      <c r="B1564" s="1" t="n">
        <v>45700</v>
      </c>
      <c r="C1564" s="1" t="n">
        <v>45703</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2025-02-15T16:21:27Z</dcterms:created>
  <dcterms:modified xmlns:dcterms="http://purl.org/dc/terms/" xmlns:xsi="http://www.w3.org/2001/XMLSchema-instance" xsi:type="dcterms:W3CDTF">2025-02-15T16:21:28Z</dcterms:modified>
</cp:coreProperties>
</file>