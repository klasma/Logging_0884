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45981</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1023-2024</t>
        </is>
      </c>
      <c r="B9" s="1" t="n">
        <v>45301.67922453704</v>
      </c>
      <c r="C9" s="1" t="n">
        <v>45981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45981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45981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45981</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45981</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15808-2025</t>
        </is>
      </c>
      <c r="B14" s="1" t="n">
        <v>45748</v>
      </c>
      <c r="C14" s="1" t="n">
        <v>45981</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45981</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45981</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45981</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45981</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57053-2025</t>
        </is>
      </c>
      <c r="B19" s="1" t="n">
        <v>45979.35256944445</v>
      </c>
      <c r="C19" s="1" t="n">
        <v>45981</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41398-2021</t>
        </is>
      </c>
      <c r="B20" s="1" t="n">
        <v>44424</v>
      </c>
      <c r="C20" s="1" t="n">
        <v>45981</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45981</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45981</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45981</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40684-2025</t>
        </is>
      </c>
      <c r="B24" s="1" t="n">
        <v>45896.86820601852</v>
      </c>
      <c r="C24" s="1" t="n">
        <v>45981</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22396-2025</t>
        </is>
      </c>
      <c r="B25" s="1" t="n">
        <v>45786.52827546297</v>
      </c>
      <c r="C25" s="1" t="n">
        <v>45981</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42802-2025</t>
        </is>
      </c>
      <c r="B26" s="1" t="n">
        <v>45908</v>
      </c>
      <c r="C26" s="1" t="n">
        <v>45981</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45981</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45981</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45981</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17935-2025</t>
        </is>
      </c>
      <c r="B30" s="1" t="n">
        <v>45760.34877314815</v>
      </c>
      <c r="C30" s="1" t="n">
        <v>45981</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45981</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32396-2021</t>
        </is>
      </c>
      <c r="B32" s="1" t="n">
        <v>44371</v>
      </c>
      <c r="C32" s="1" t="n">
        <v>45981</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45981</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6841-2021</t>
        </is>
      </c>
      <c r="B34" s="1" t="n">
        <v>44236</v>
      </c>
      <c r="C34" s="1" t="n">
        <v>45981</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45981</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28852-2023</t>
        </is>
      </c>
      <c r="B36" s="1" t="n">
        <v>45104</v>
      </c>
      <c r="C36" s="1" t="n">
        <v>45981</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45981</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45981</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45981</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1201-2025</t>
        </is>
      </c>
      <c r="B40" s="1" t="n">
        <v>45667</v>
      </c>
      <c r="C40" s="1" t="n">
        <v>45981</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53400-2025</t>
        </is>
      </c>
      <c r="B41" s="1" t="n">
        <v>45959.56684027778</v>
      </c>
      <c r="C41" s="1" t="n">
        <v>45981</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53404-2025</t>
        </is>
      </c>
      <c r="B42" s="1" t="n">
        <v>45959.57126157408</v>
      </c>
      <c r="C42" s="1" t="n">
        <v>45981</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37930-2021</t>
        </is>
      </c>
      <c r="B43" s="1" t="n">
        <v>44403</v>
      </c>
      <c r="C43" s="1" t="n">
        <v>45981</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33436-2021</t>
        </is>
      </c>
      <c r="B44" s="1" t="n">
        <v>44377.61104166666</v>
      </c>
      <c r="C44" s="1" t="n">
        <v>45981</v>
      </c>
      <c r="D44" t="inlineStr">
        <is>
          <t>KALMAR LÄN</t>
        </is>
      </c>
      <c r="E44" t="inlineStr">
        <is>
          <t>VIMMERBY</t>
        </is>
      </c>
      <c r="G44" t="n">
        <v>11.8</v>
      </c>
      <c r="H44" t="n">
        <v>1</v>
      </c>
      <c r="I44" t="n">
        <v>0</v>
      </c>
      <c r="J44" t="n">
        <v>0</v>
      </c>
      <c r="K44" t="n">
        <v>1</v>
      </c>
      <c r="L44" t="n">
        <v>0</v>
      </c>
      <c r="M44" t="n">
        <v>0</v>
      </c>
      <c r="N44" t="n">
        <v>0</v>
      </c>
      <c r="O44" t="n">
        <v>1</v>
      </c>
      <c r="P44" t="n">
        <v>1</v>
      </c>
      <c r="Q44" t="n">
        <v>1</v>
      </c>
      <c r="R44" s="2" t="inlineStr">
        <is>
          <t>Knärot</t>
        </is>
      </c>
      <c r="S44">
        <f>HYPERLINK("https://klasma.github.io/Logging_0884/artfynd/A 33436-2021 artfynd.xlsx", "A 33436-2021")</f>
        <v/>
      </c>
      <c r="T44">
        <f>HYPERLINK("https://klasma.github.io/Logging_0884/kartor/A 33436-2021 karta.png", "A 33436-2021")</f>
        <v/>
      </c>
      <c r="U44">
        <f>HYPERLINK("https://klasma.github.io/Logging_0884/knärot/A 33436-2021 karta knärot.png", "A 33436-2021")</f>
        <v/>
      </c>
      <c r="V44">
        <f>HYPERLINK("https://klasma.github.io/Logging_0884/klagomål/A 33436-2021 FSC-klagomål.docx", "A 33436-2021")</f>
        <v/>
      </c>
      <c r="W44">
        <f>HYPERLINK("https://klasma.github.io/Logging_0884/klagomålsmail/A 33436-2021 FSC-klagomål mail.docx", "A 33436-2021")</f>
        <v/>
      </c>
      <c r="X44">
        <f>HYPERLINK("https://klasma.github.io/Logging_0884/tillsyn/A 33436-2021 tillsynsbegäran.docx", "A 33436-2021")</f>
        <v/>
      </c>
      <c r="Y44">
        <f>HYPERLINK("https://klasma.github.io/Logging_0884/tillsynsmail/A 33436-2021 tillsynsbegäran mail.docx", "A 33436-2021")</f>
        <v/>
      </c>
    </row>
    <row r="45" ht="15" customHeight="1">
      <c r="A45" t="inlineStr">
        <is>
          <t>A 29183-2025</t>
        </is>
      </c>
      <c r="B45" s="1" t="n">
        <v>45821</v>
      </c>
      <c r="C45" s="1" t="n">
        <v>45981</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23602-2023</t>
        </is>
      </c>
      <c r="B46" s="1" t="n">
        <v>45077</v>
      </c>
      <c r="C46" s="1" t="n">
        <v>45981</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57062-2025</t>
        </is>
      </c>
      <c r="B47" s="1" t="n">
        <v>45979.37598379629</v>
      </c>
      <c r="C47" s="1" t="n">
        <v>45981</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32985-2023</t>
        </is>
      </c>
      <c r="B48" s="1" t="n">
        <v>45125</v>
      </c>
      <c r="C48" s="1" t="n">
        <v>45981</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44515-2024</t>
        </is>
      </c>
      <c r="B49" s="1" t="n">
        <v>45574.42767361111</v>
      </c>
      <c r="C49" s="1" t="n">
        <v>45981</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15122-2024</t>
        </is>
      </c>
      <c r="B50" s="1" t="n">
        <v>45399.71412037037</v>
      </c>
      <c r="C50" s="1" t="n">
        <v>45981</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15903-2021</t>
        </is>
      </c>
      <c r="B51" s="1" t="n">
        <v>44287.33261574074</v>
      </c>
      <c r="C51" s="1" t="n">
        <v>45981</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45981</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45981</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45981</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45981</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45981</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45981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45981</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45981</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45981</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45981</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45981</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45981</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45981</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45981</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45981</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45981</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45981</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45981</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45981</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45981</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45981</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45981</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45981</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45981</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45981</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45981</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45981</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45981</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45981</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45981</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45981</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45981</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45981</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45981</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45981</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45981</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45981</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45981</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45981</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45981</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45981</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45981</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45981</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45981</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45981</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45981</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45981</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45981</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45981</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45981</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45981</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45981</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45981</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45981</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45981</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45981</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45981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45981</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45981</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45981</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45981</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45981</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45981</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45981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35198-2021</t>
        </is>
      </c>
      <c r="B127" s="1" t="n">
        <v>44377</v>
      </c>
      <c r="C127" s="1" t="n">
        <v>45981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34036-2021</t>
        </is>
      </c>
      <c r="B128" s="1" t="n">
        <v>44379</v>
      </c>
      <c r="C128" s="1" t="n">
        <v>45981</v>
      </c>
      <c r="D128" t="inlineStr">
        <is>
          <t>KALMAR LÄN</t>
        </is>
      </c>
      <c r="E128" t="inlineStr">
        <is>
          <t>VIMMERBY</t>
        </is>
      </c>
      <c r="F128" t="inlineStr">
        <is>
          <t>Sveaskog</t>
        </is>
      </c>
      <c r="G128" t="n">
        <v>7</v>
      </c>
      <c r="H128" t="n">
        <v>0</v>
      </c>
      <c r="I128" t="n">
        <v>0</v>
      </c>
      <c r="J128" t="n">
        <v>0</v>
      </c>
      <c r="K128" t="n">
        <v>0</v>
      </c>
      <c r="L128" t="n">
        <v>0</v>
      </c>
      <c r="M128" t="n">
        <v>0</v>
      </c>
      <c r="N128" t="n">
        <v>0</v>
      </c>
      <c r="O128" t="n">
        <v>0</v>
      </c>
      <c r="P128" t="n">
        <v>0</v>
      </c>
      <c r="Q128" t="n">
        <v>0</v>
      </c>
      <c r="R128" s="2" t="inlineStr"/>
    </row>
    <row r="129" ht="15" customHeight="1">
      <c r="A129" t="inlineStr">
        <is>
          <t>A 63244-2021</t>
        </is>
      </c>
      <c r="B129" s="1" t="n">
        <v>44508</v>
      </c>
      <c r="C129" s="1" t="n">
        <v>45981</v>
      </c>
      <c r="D129" t="inlineStr">
        <is>
          <t>KALMAR LÄN</t>
        </is>
      </c>
      <c r="E129" t="inlineStr">
        <is>
          <t>VIMMERBY</t>
        </is>
      </c>
      <c r="F129" t="inlineStr">
        <is>
          <t>Övriga statliga verk och myndigheter</t>
        </is>
      </c>
      <c r="G129" t="n">
        <v>0.6</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11814-2022</t>
        </is>
      </c>
      <c r="B131" s="1" t="n">
        <v>44634.69703703704</v>
      </c>
      <c r="C131" s="1" t="n">
        <v>45981</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45981</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24738-2021</t>
        </is>
      </c>
      <c r="B133" s="1" t="n">
        <v>44340.58002314815</v>
      </c>
      <c r="C133" s="1" t="n">
        <v>45981</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8454-2022</t>
        </is>
      </c>
      <c r="B134" s="1" t="n">
        <v>44612.86762731482</v>
      </c>
      <c r="C134" s="1" t="n">
        <v>45981</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65887-2021</t>
        </is>
      </c>
      <c r="B135" s="1" t="n">
        <v>44517</v>
      </c>
      <c r="C135" s="1" t="n">
        <v>45981</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39959-2022</t>
        </is>
      </c>
      <c r="B136" s="1" t="n">
        <v>44819</v>
      </c>
      <c r="C136" s="1" t="n">
        <v>45981</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45981</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45981</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7917-2022</t>
        </is>
      </c>
      <c r="B139" s="1" t="n">
        <v>44608</v>
      </c>
      <c r="C139" s="1" t="n">
        <v>45981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47208-2021</t>
        </is>
      </c>
      <c r="B140" s="1" t="n">
        <v>44447.34237268518</v>
      </c>
      <c r="C140" s="1" t="n">
        <v>45981</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16705-2021</t>
        </is>
      </c>
      <c r="B141" s="1" t="n">
        <v>44294</v>
      </c>
      <c r="C141" s="1" t="n">
        <v>45981</v>
      </c>
      <c r="D141" t="inlineStr">
        <is>
          <t>KALMAR LÄN</t>
        </is>
      </c>
      <c r="E141" t="inlineStr">
        <is>
          <t>VIMMERBY</t>
        </is>
      </c>
      <c r="G141" t="n">
        <v>2.6</v>
      </c>
      <c r="H141" t="n">
        <v>0</v>
      </c>
      <c r="I141" t="n">
        <v>0</v>
      </c>
      <c r="J141" t="n">
        <v>0</v>
      </c>
      <c r="K141" t="n">
        <v>0</v>
      </c>
      <c r="L141" t="n">
        <v>0</v>
      </c>
      <c r="M141" t="n">
        <v>0</v>
      </c>
      <c r="N141" t="n">
        <v>0</v>
      </c>
      <c r="O141" t="n">
        <v>0</v>
      </c>
      <c r="P141" t="n">
        <v>0</v>
      </c>
      <c r="Q141" t="n">
        <v>0</v>
      </c>
      <c r="R141" s="2" t="inlineStr"/>
    </row>
    <row r="142" ht="15" customHeight="1">
      <c r="A142" t="inlineStr">
        <is>
          <t>A 8453-2022</t>
        </is>
      </c>
      <c r="B142" s="1" t="n">
        <v>44612.86554398148</v>
      </c>
      <c r="C142" s="1" t="n">
        <v>45981</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52433-2021</t>
        </is>
      </c>
      <c r="B143" s="1" t="n">
        <v>44466.34726851852</v>
      </c>
      <c r="C143" s="1" t="n">
        <v>45981</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50621-2022</t>
        </is>
      </c>
      <c r="B144" s="1" t="n">
        <v>44866.81100694444</v>
      </c>
      <c r="C144" s="1" t="n">
        <v>45981</v>
      </c>
      <c r="D144" t="inlineStr">
        <is>
          <t>KALMAR LÄN</t>
        </is>
      </c>
      <c r="E144" t="inlineStr">
        <is>
          <t>VIMMERBY</t>
        </is>
      </c>
      <c r="F144" t="inlineStr">
        <is>
          <t>Övriga Aktiebolag</t>
        </is>
      </c>
      <c r="G144" t="n">
        <v>5.1</v>
      </c>
      <c r="H144" t="n">
        <v>0</v>
      </c>
      <c r="I144" t="n">
        <v>0</v>
      </c>
      <c r="J144" t="n">
        <v>0</v>
      </c>
      <c r="K144" t="n">
        <v>0</v>
      </c>
      <c r="L144" t="n">
        <v>0</v>
      </c>
      <c r="M144" t="n">
        <v>0</v>
      </c>
      <c r="N144" t="n">
        <v>0</v>
      </c>
      <c r="O144" t="n">
        <v>0</v>
      </c>
      <c r="P144" t="n">
        <v>0</v>
      </c>
      <c r="Q144" t="n">
        <v>0</v>
      </c>
      <c r="R144" s="2" t="inlineStr"/>
    </row>
    <row r="145" ht="15" customHeight="1">
      <c r="A145" t="inlineStr">
        <is>
          <t>A 54065-2021</t>
        </is>
      </c>
      <c r="B145" s="1" t="n">
        <v>44470.44232638889</v>
      </c>
      <c r="C145" s="1" t="n">
        <v>45981</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31824-2022</t>
        </is>
      </c>
      <c r="B146" s="1" t="n">
        <v>44776</v>
      </c>
      <c r="C146" s="1" t="n">
        <v>45981</v>
      </c>
      <c r="D146" t="inlineStr">
        <is>
          <t>KALMAR LÄN</t>
        </is>
      </c>
      <c r="E146" t="inlineStr">
        <is>
          <t>VIMMERBY</t>
        </is>
      </c>
      <c r="G146" t="n">
        <v>0.7</v>
      </c>
      <c r="H146" t="n">
        <v>0</v>
      </c>
      <c r="I146" t="n">
        <v>0</v>
      </c>
      <c r="J146" t="n">
        <v>0</v>
      </c>
      <c r="K146" t="n">
        <v>0</v>
      </c>
      <c r="L146" t="n">
        <v>0</v>
      </c>
      <c r="M146" t="n">
        <v>0</v>
      </c>
      <c r="N146" t="n">
        <v>0</v>
      </c>
      <c r="O146" t="n">
        <v>0</v>
      </c>
      <c r="P146" t="n">
        <v>0</v>
      </c>
      <c r="Q146" t="n">
        <v>0</v>
      </c>
      <c r="R146" s="2" t="inlineStr"/>
    </row>
    <row r="147" ht="15" customHeight="1">
      <c r="A147" t="inlineStr">
        <is>
          <t>A 618-2021</t>
        </is>
      </c>
      <c r="B147" s="1" t="n">
        <v>44203</v>
      </c>
      <c r="C147" s="1" t="n">
        <v>45981</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56389-2021</t>
        </is>
      </c>
      <c r="B148" s="1" t="n">
        <v>44480</v>
      </c>
      <c r="C148" s="1" t="n">
        <v>45981</v>
      </c>
      <c r="D148" t="inlineStr">
        <is>
          <t>KALMAR LÄN</t>
        </is>
      </c>
      <c r="E148" t="inlineStr">
        <is>
          <t>VIMMERBY</t>
        </is>
      </c>
      <c r="G148" t="n">
        <v>0.9</v>
      </c>
      <c r="H148" t="n">
        <v>0</v>
      </c>
      <c r="I148" t="n">
        <v>0</v>
      </c>
      <c r="J148" t="n">
        <v>0</v>
      </c>
      <c r="K148" t="n">
        <v>0</v>
      </c>
      <c r="L148" t="n">
        <v>0</v>
      </c>
      <c r="M148" t="n">
        <v>0</v>
      </c>
      <c r="N148" t="n">
        <v>0</v>
      </c>
      <c r="O148" t="n">
        <v>0</v>
      </c>
      <c r="P148" t="n">
        <v>0</v>
      </c>
      <c r="Q148" t="n">
        <v>0</v>
      </c>
      <c r="R148" s="2" t="inlineStr"/>
    </row>
    <row r="149" ht="15" customHeight="1">
      <c r="A149" t="inlineStr">
        <is>
          <t>A 11733-2022</t>
        </is>
      </c>
      <c r="B149" s="1" t="n">
        <v>44634</v>
      </c>
      <c r="C149" s="1" t="n">
        <v>45981</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67952-2021</t>
        </is>
      </c>
      <c r="B150" s="1" t="n">
        <v>44525.63913194444</v>
      </c>
      <c r="C150" s="1" t="n">
        <v>45981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14521-2021</t>
        </is>
      </c>
      <c r="B151" s="1" t="n">
        <v>44279.64934027778</v>
      </c>
      <c r="C151" s="1" t="n">
        <v>45981</v>
      </c>
      <c r="D151" t="inlineStr">
        <is>
          <t>KALMAR LÄN</t>
        </is>
      </c>
      <c r="E151" t="inlineStr">
        <is>
          <t>VIMMERBY</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15533-2022</t>
        </is>
      </c>
      <c r="B152" s="1" t="n">
        <v>44662</v>
      </c>
      <c r="C152" s="1" t="n">
        <v>45981</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32603-2021</t>
        </is>
      </c>
      <c r="B153" s="1" t="n">
        <v>44375.38789351852</v>
      </c>
      <c r="C153" s="1" t="n">
        <v>45981</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12241-2021</t>
        </is>
      </c>
      <c r="B154" s="1" t="n">
        <v>44266.7240625</v>
      </c>
      <c r="C154" s="1" t="n">
        <v>45981</v>
      </c>
      <c r="D154" t="inlineStr">
        <is>
          <t>KALMAR LÄN</t>
        </is>
      </c>
      <c r="E154" t="inlineStr">
        <is>
          <t>VIMMERBY</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12662-2021</t>
        </is>
      </c>
      <c r="B155" s="1" t="n">
        <v>44270.49743055556</v>
      </c>
      <c r="C155" s="1" t="n">
        <v>45981</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165-2022</t>
        </is>
      </c>
      <c r="B156" s="1" t="n">
        <v>44564</v>
      </c>
      <c r="C156" s="1" t="n">
        <v>45981</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7804-2022</t>
        </is>
      </c>
      <c r="B157" s="1" t="n">
        <v>44608.50458333334</v>
      </c>
      <c r="C157" s="1" t="n">
        <v>45981</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39042-2022</t>
        </is>
      </c>
      <c r="B158" s="1" t="n">
        <v>44817</v>
      </c>
      <c r="C158" s="1" t="n">
        <v>45981</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45981</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42521-2021</t>
        </is>
      </c>
      <c r="B160" s="1" t="n">
        <v>44427</v>
      </c>
      <c r="C160" s="1" t="n">
        <v>45981</v>
      </c>
      <c r="D160" t="inlineStr">
        <is>
          <t>KALMAR LÄN</t>
        </is>
      </c>
      <c r="E160" t="inlineStr">
        <is>
          <t>VIMMERBY</t>
        </is>
      </c>
      <c r="G160" t="n">
        <v>5.4</v>
      </c>
      <c r="H160" t="n">
        <v>0</v>
      </c>
      <c r="I160" t="n">
        <v>0</v>
      </c>
      <c r="J160" t="n">
        <v>0</v>
      </c>
      <c r="K160" t="n">
        <v>0</v>
      </c>
      <c r="L160" t="n">
        <v>0</v>
      </c>
      <c r="M160" t="n">
        <v>0</v>
      </c>
      <c r="N160" t="n">
        <v>0</v>
      </c>
      <c r="O160" t="n">
        <v>0</v>
      </c>
      <c r="P160" t="n">
        <v>0</v>
      </c>
      <c r="Q160" t="n">
        <v>0</v>
      </c>
      <c r="R160" s="2" t="inlineStr"/>
    </row>
    <row r="161" ht="15" customHeight="1">
      <c r="A161" t="inlineStr">
        <is>
          <t>A 16288-2021</t>
        </is>
      </c>
      <c r="B161" s="1" t="n">
        <v>44292</v>
      </c>
      <c r="C161" s="1" t="n">
        <v>45981</v>
      </c>
      <c r="D161" t="inlineStr">
        <is>
          <t>KALMAR LÄN</t>
        </is>
      </c>
      <c r="E161" t="inlineStr">
        <is>
          <t>VIMMERBY</t>
        </is>
      </c>
      <c r="F161" t="inlineStr">
        <is>
          <t>Övriga Aktiebolag</t>
        </is>
      </c>
      <c r="G161" t="n">
        <v>27.6</v>
      </c>
      <c r="H161" t="n">
        <v>0</v>
      </c>
      <c r="I161" t="n">
        <v>0</v>
      </c>
      <c r="J161" t="n">
        <v>0</v>
      </c>
      <c r="K161" t="n">
        <v>0</v>
      </c>
      <c r="L161" t="n">
        <v>0</v>
      </c>
      <c r="M161" t="n">
        <v>0</v>
      </c>
      <c r="N161" t="n">
        <v>0</v>
      </c>
      <c r="O161" t="n">
        <v>0</v>
      </c>
      <c r="P161" t="n">
        <v>0</v>
      </c>
      <c r="Q161" t="n">
        <v>0</v>
      </c>
      <c r="R161" s="2" t="inlineStr"/>
    </row>
    <row r="162" ht="15" customHeight="1">
      <c r="A162" t="inlineStr">
        <is>
          <t>A 34040-2021</t>
        </is>
      </c>
      <c r="B162" s="1" t="n">
        <v>44379</v>
      </c>
      <c r="C162" s="1" t="n">
        <v>45981</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15200-2021</t>
        </is>
      </c>
      <c r="B163" s="1" t="n">
        <v>44284.44574074074</v>
      </c>
      <c r="C163" s="1" t="n">
        <v>45981</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23825-2022</t>
        </is>
      </c>
      <c r="B164" s="1" t="n">
        <v>44722.48768518519</v>
      </c>
      <c r="C164" s="1" t="n">
        <v>45981</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4076-2022</t>
        </is>
      </c>
      <c r="B165" s="1" t="n">
        <v>44588.37998842593</v>
      </c>
      <c r="C165" s="1" t="n">
        <v>45981</v>
      </c>
      <c r="D165" t="inlineStr">
        <is>
          <t>KALMAR LÄN</t>
        </is>
      </c>
      <c r="E165" t="inlineStr">
        <is>
          <t>VIMMERBY</t>
        </is>
      </c>
      <c r="G165" t="n">
        <v>3</v>
      </c>
      <c r="H165" t="n">
        <v>0</v>
      </c>
      <c r="I165" t="n">
        <v>0</v>
      </c>
      <c r="J165" t="n">
        <v>0</v>
      </c>
      <c r="K165" t="n">
        <v>0</v>
      </c>
      <c r="L165" t="n">
        <v>0</v>
      </c>
      <c r="M165" t="n">
        <v>0</v>
      </c>
      <c r="N165" t="n">
        <v>0</v>
      </c>
      <c r="O165" t="n">
        <v>0</v>
      </c>
      <c r="P165" t="n">
        <v>0</v>
      </c>
      <c r="Q165" t="n">
        <v>0</v>
      </c>
      <c r="R165" s="2" t="inlineStr"/>
    </row>
    <row r="166" ht="15" customHeight="1">
      <c r="A166" t="inlineStr">
        <is>
          <t>A 4122-2022</t>
        </is>
      </c>
      <c r="B166" s="1" t="n">
        <v>44588</v>
      </c>
      <c r="C166" s="1" t="n">
        <v>45981</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12107-2022</t>
        </is>
      </c>
      <c r="B167" s="1" t="n">
        <v>44636</v>
      </c>
      <c r="C167" s="1" t="n">
        <v>45981</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58374-2024</t>
        </is>
      </c>
      <c r="B168" s="1" t="n">
        <v>45632.72635416667</v>
      </c>
      <c r="C168" s="1" t="n">
        <v>45981</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39225-2022</t>
        </is>
      </c>
      <c r="B169" s="1" t="n">
        <v>44817.57988425926</v>
      </c>
      <c r="C169" s="1" t="n">
        <v>45981</v>
      </c>
      <c r="D169" t="inlineStr">
        <is>
          <t>KALMAR LÄN</t>
        </is>
      </c>
      <c r="E169" t="inlineStr">
        <is>
          <t>VIMMERBY</t>
        </is>
      </c>
      <c r="G169" t="n">
        <v>2.2</v>
      </c>
      <c r="H169" t="n">
        <v>0</v>
      </c>
      <c r="I169" t="n">
        <v>0</v>
      </c>
      <c r="J169" t="n">
        <v>0</v>
      </c>
      <c r="K169" t="n">
        <v>0</v>
      </c>
      <c r="L169" t="n">
        <v>0</v>
      </c>
      <c r="M169" t="n">
        <v>0</v>
      </c>
      <c r="N169" t="n">
        <v>0</v>
      </c>
      <c r="O169" t="n">
        <v>0</v>
      </c>
      <c r="P169" t="n">
        <v>0</v>
      </c>
      <c r="Q169" t="n">
        <v>0</v>
      </c>
      <c r="R169" s="2" t="inlineStr"/>
    </row>
    <row r="170" ht="15" customHeight="1">
      <c r="A170" t="inlineStr">
        <is>
          <t>A 16602-2021</t>
        </is>
      </c>
      <c r="B170" s="1" t="n">
        <v>44294</v>
      </c>
      <c r="C170" s="1" t="n">
        <v>45981</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16607-2021</t>
        </is>
      </c>
      <c r="B171" s="1" t="n">
        <v>44294</v>
      </c>
      <c r="C171" s="1" t="n">
        <v>45981</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17029-2022</t>
        </is>
      </c>
      <c r="B172" s="1" t="n">
        <v>44676.85248842592</v>
      </c>
      <c r="C172" s="1" t="n">
        <v>45981</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7167-2022</t>
        </is>
      </c>
      <c r="B173" s="1" t="n">
        <v>44604</v>
      </c>
      <c r="C173" s="1" t="n">
        <v>45981</v>
      </c>
      <c r="D173" t="inlineStr">
        <is>
          <t>KALMAR LÄN</t>
        </is>
      </c>
      <c r="E173" t="inlineStr">
        <is>
          <t>VIMMERBY</t>
        </is>
      </c>
      <c r="G173" t="n">
        <v>1.7</v>
      </c>
      <c r="H173" t="n">
        <v>0</v>
      </c>
      <c r="I173" t="n">
        <v>0</v>
      </c>
      <c r="J173" t="n">
        <v>0</v>
      </c>
      <c r="K173" t="n">
        <v>0</v>
      </c>
      <c r="L173" t="n">
        <v>0</v>
      </c>
      <c r="M173" t="n">
        <v>0</v>
      </c>
      <c r="N173" t="n">
        <v>0</v>
      </c>
      <c r="O173" t="n">
        <v>0</v>
      </c>
      <c r="P173" t="n">
        <v>0</v>
      </c>
      <c r="Q173" t="n">
        <v>0</v>
      </c>
      <c r="R173" s="2" t="inlineStr"/>
    </row>
    <row r="174" ht="15" customHeight="1">
      <c r="A174" t="inlineStr">
        <is>
          <t>A 18356-2021</t>
        </is>
      </c>
      <c r="B174" s="1" t="n">
        <v>44305</v>
      </c>
      <c r="C174" s="1" t="n">
        <v>45981</v>
      </c>
      <c r="D174" t="inlineStr">
        <is>
          <t>KALMAR LÄN</t>
        </is>
      </c>
      <c r="E174" t="inlineStr">
        <is>
          <t>VIMMERBY</t>
        </is>
      </c>
      <c r="G174" t="n">
        <v>3.4</v>
      </c>
      <c r="H174" t="n">
        <v>0</v>
      </c>
      <c r="I174" t="n">
        <v>0</v>
      </c>
      <c r="J174" t="n">
        <v>0</v>
      </c>
      <c r="K174" t="n">
        <v>0</v>
      </c>
      <c r="L174" t="n">
        <v>0</v>
      </c>
      <c r="M174" t="n">
        <v>0</v>
      </c>
      <c r="N174" t="n">
        <v>0</v>
      </c>
      <c r="O174" t="n">
        <v>0</v>
      </c>
      <c r="P174" t="n">
        <v>0</v>
      </c>
      <c r="Q174" t="n">
        <v>0</v>
      </c>
      <c r="R174" s="2" t="inlineStr"/>
    </row>
    <row r="175" ht="15" customHeight="1">
      <c r="A175" t="inlineStr">
        <is>
          <t>A 18276-2021</t>
        </is>
      </c>
      <c r="B175" s="1" t="n">
        <v>44305.40046296296</v>
      </c>
      <c r="C175" s="1" t="n">
        <v>45981</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46964-2022</t>
        </is>
      </c>
      <c r="B176" s="1" t="n">
        <v>44851.95016203704</v>
      </c>
      <c r="C176" s="1" t="n">
        <v>45981</v>
      </c>
      <c r="D176" t="inlineStr">
        <is>
          <t>KALMAR LÄN</t>
        </is>
      </c>
      <c r="E176" t="inlineStr">
        <is>
          <t>VIMMERBY</t>
        </is>
      </c>
      <c r="G176" t="n">
        <v>0.2</v>
      </c>
      <c r="H176" t="n">
        <v>0</v>
      </c>
      <c r="I176" t="n">
        <v>0</v>
      </c>
      <c r="J176" t="n">
        <v>0</v>
      </c>
      <c r="K176" t="n">
        <v>0</v>
      </c>
      <c r="L176" t="n">
        <v>0</v>
      </c>
      <c r="M176" t="n">
        <v>0</v>
      </c>
      <c r="N176" t="n">
        <v>0</v>
      </c>
      <c r="O176" t="n">
        <v>0</v>
      </c>
      <c r="P176" t="n">
        <v>0</v>
      </c>
      <c r="Q176" t="n">
        <v>0</v>
      </c>
      <c r="R176" s="2" t="inlineStr"/>
    </row>
    <row r="177" ht="15" customHeight="1">
      <c r="A177" t="inlineStr">
        <is>
          <t>A 47473-2021</t>
        </is>
      </c>
      <c r="B177" s="1" t="n">
        <v>44447</v>
      </c>
      <c r="C177" s="1" t="n">
        <v>45981</v>
      </c>
      <c r="D177" t="inlineStr">
        <is>
          <t>KALMAR LÄN</t>
        </is>
      </c>
      <c r="E177" t="inlineStr">
        <is>
          <t>VIMMERBY</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30402-2023</t>
        </is>
      </c>
      <c r="B178" s="1" t="n">
        <v>45111.48395833333</v>
      </c>
      <c r="C178" s="1" t="n">
        <v>45981</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41056-2022</t>
        </is>
      </c>
      <c r="B180" s="1" t="n">
        <v>44824</v>
      </c>
      <c r="C180" s="1" t="n">
        <v>45981</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35001-2021</t>
        </is>
      </c>
      <c r="B181" s="1" t="n">
        <v>44383</v>
      </c>
      <c r="C181" s="1" t="n">
        <v>45981</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31660-2021</t>
        </is>
      </c>
      <c r="B182" s="1" t="n">
        <v>44369</v>
      </c>
      <c r="C182" s="1" t="n">
        <v>45981</v>
      </c>
      <c r="D182" t="inlineStr">
        <is>
          <t>KALMAR LÄN</t>
        </is>
      </c>
      <c r="E182" t="inlineStr">
        <is>
          <t>VIMMERBY</t>
        </is>
      </c>
      <c r="G182" t="n">
        <v>4.2</v>
      </c>
      <c r="H182" t="n">
        <v>0</v>
      </c>
      <c r="I182" t="n">
        <v>0</v>
      </c>
      <c r="J182" t="n">
        <v>0</v>
      </c>
      <c r="K182" t="n">
        <v>0</v>
      </c>
      <c r="L182" t="n">
        <v>0</v>
      </c>
      <c r="M182" t="n">
        <v>0</v>
      </c>
      <c r="N182" t="n">
        <v>0</v>
      </c>
      <c r="O182" t="n">
        <v>0</v>
      </c>
      <c r="P182" t="n">
        <v>0</v>
      </c>
      <c r="Q182" t="n">
        <v>0</v>
      </c>
      <c r="R182" s="2" t="inlineStr"/>
    </row>
    <row r="183" ht="15" customHeight="1">
      <c r="A183" t="inlineStr">
        <is>
          <t>A 27455-2022</t>
        </is>
      </c>
      <c r="B183" s="1" t="n">
        <v>44742</v>
      </c>
      <c r="C183" s="1" t="n">
        <v>45981</v>
      </c>
      <c r="D183" t="inlineStr">
        <is>
          <t>KALMAR LÄN</t>
        </is>
      </c>
      <c r="E183" t="inlineStr">
        <is>
          <t>VIMMERBY</t>
        </is>
      </c>
      <c r="G183" t="n">
        <v>1.6</v>
      </c>
      <c r="H183" t="n">
        <v>0</v>
      </c>
      <c r="I183" t="n">
        <v>0</v>
      </c>
      <c r="J183" t="n">
        <v>0</v>
      </c>
      <c r="K183" t="n">
        <v>0</v>
      </c>
      <c r="L183" t="n">
        <v>0</v>
      </c>
      <c r="M183" t="n">
        <v>0</v>
      </c>
      <c r="N183" t="n">
        <v>0</v>
      </c>
      <c r="O183" t="n">
        <v>0</v>
      </c>
      <c r="P183" t="n">
        <v>0</v>
      </c>
      <c r="Q183" t="n">
        <v>0</v>
      </c>
      <c r="R183" s="2" t="inlineStr"/>
    </row>
    <row r="184" ht="15" customHeight="1">
      <c r="A184" t="inlineStr">
        <is>
          <t>A 55674-2021</t>
        </is>
      </c>
      <c r="B184" s="1" t="n">
        <v>44476</v>
      </c>
      <c r="C184" s="1" t="n">
        <v>45981</v>
      </c>
      <c r="D184" t="inlineStr">
        <is>
          <t>KALMAR LÄN</t>
        </is>
      </c>
      <c r="E184" t="inlineStr">
        <is>
          <t>VIMMERBY</t>
        </is>
      </c>
      <c r="G184" t="n">
        <v>2.1</v>
      </c>
      <c r="H184" t="n">
        <v>0</v>
      </c>
      <c r="I184" t="n">
        <v>0</v>
      </c>
      <c r="J184" t="n">
        <v>0</v>
      </c>
      <c r="K184" t="n">
        <v>0</v>
      </c>
      <c r="L184" t="n">
        <v>0</v>
      </c>
      <c r="M184" t="n">
        <v>0</v>
      </c>
      <c r="N184" t="n">
        <v>0</v>
      </c>
      <c r="O184" t="n">
        <v>0</v>
      </c>
      <c r="P184" t="n">
        <v>0</v>
      </c>
      <c r="Q184" t="n">
        <v>0</v>
      </c>
      <c r="R184" s="2" t="inlineStr"/>
    </row>
    <row r="185" ht="15" customHeight="1">
      <c r="A185" t="inlineStr">
        <is>
          <t>A 40077-2021</t>
        </is>
      </c>
      <c r="B185" s="1" t="n">
        <v>44418</v>
      </c>
      <c r="C185" s="1" t="n">
        <v>45981</v>
      </c>
      <c r="D185" t="inlineStr">
        <is>
          <t>KALMAR LÄN</t>
        </is>
      </c>
      <c r="E185" t="inlineStr">
        <is>
          <t>VIMMERBY</t>
        </is>
      </c>
      <c r="G185" t="n">
        <v>2.9</v>
      </c>
      <c r="H185" t="n">
        <v>0</v>
      </c>
      <c r="I185" t="n">
        <v>0</v>
      </c>
      <c r="J185" t="n">
        <v>0</v>
      </c>
      <c r="K185" t="n">
        <v>0</v>
      </c>
      <c r="L185" t="n">
        <v>0</v>
      </c>
      <c r="M185" t="n">
        <v>0</v>
      </c>
      <c r="N185" t="n">
        <v>0</v>
      </c>
      <c r="O185" t="n">
        <v>0</v>
      </c>
      <c r="P185" t="n">
        <v>0</v>
      </c>
      <c r="Q185" t="n">
        <v>0</v>
      </c>
      <c r="R185" s="2" t="inlineStr"/>
    </row>
    <row r="186" ht="15" customHeight="1">
      <c r="A186" t="inlineStr">
        <is>
          <t>A 47769-2022</t>
        </is>
      </c>
      <c r="B186" s="1" t="n">
        <v>44854</v>
      </c>
      <c r="C186" s="1" t="n">
        <v>45981</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11609-2023</t>
        </is>
      </c>
      <c r="B187" s="1" t="n">
        <v>44994.40635416667</v>
      </c>
      <c r="C187" s="1" t="n">
        <v>45981</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65961-2020</t>
        </is>
      </c>
      <c r="B188" s="1" t="n">
        <v>44175.39748842592</v>
      </c>
      <c r="C188" s="1" t="n">
        <v>45981</v>
      </c>
      <c r="D188" t="inlineStr">
        <is>
          <t>KALMAR LÄN</t>
        </is>
      </c>
      <c r="E188" t="inlineStr">
        <is>
          <t>VIMMERBY</t>
        </is>
      </c>
      <c r="G188" t="n">
        <v>2.6</v>
      </c>
      <c r="H188" t="n">
        <v>0</v>
      </c>
      <c r="I188" t="n">
        <v>0</v>
      </c>
      <c r="J188" t="n">
        <v>0</v>
      </c>
      <c r="K188" t="n">
        <v>0</v>
      </c>
      <c r="L188" t="n">
        <v>0</v>
      </c>
      <c r="M188" t="n">
        <v>0</v>
      </c>
      <c r="N188" t="n">
        <v>0</v>
      </c>
      <c r="O188" t="n">
        <v>0</v>
      </c>
      <c r="P188" t="n">
        <v>0</v>
      </c>
      <c r="Q188" t="n">
        <v>0</v>
      </c>
      <c r="R188" s="2" t="inlineStr"/>
    </row>
    <row r="189" ht="15" customHeight="1">
      <c r="A189" t="inlineStr">
        <is>
          <t>A 16983-2023</t>
        </is>
      </c>
      <c r="B189" s="1" t="n">
        <v>45033.76043981482</v>
      </c>
      <c r="C189" s="1" t="n">
        <v>45981</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42850-2022</t>
        </is>
      </c>
      <c r="B190" s="1" t="n">
        <v>44832.67608796297</v>
      </c>
      <c r="C190" s="1" t="n">
        <v>45981</v>
      </c>
      <c r="D190" t="inlineStr">
        <is>
          <t>KALMAR LÄN</t>
        </is>
      </c>
      <c r="E190" t="inlineStr">
        <is>
          <t>VIMMERBY</t>
        </is>
      </c>
      <c r="G190" t="n">
        <v>5.9</v>
      </c>
      <c r="H190" t="n">
        <v>0</v>
      </c>
      <c r="I190" t="n">
        <v>0</v>
      </c>
      <c r="J190" t="n">
        <v>0</v>
      </c>
      <c r="K190" t="n">
        <v>0</v>
      </c>
      <c r="L190" t="n">
        <v>0</v>
      </c>
      <c r="M190" t="n">
        <v>0</v>
      </c>
      <c r="N190" t="n">
        <v>0</v>
      </c>
      <c r="O190" t="n">
        <v>0</v>
      </c>
      <c r="P190" t="n">
        <v>0</v>
      </c>
      <c r="Q190" t="n">
        <v>0</v>
      </c>
      <c r="R190" s="2" t="inlineStr"/>
    </row>
    <row r="191" ht="15" customHeight="1">
      <c r="A191" t="inlineStr">
        <is>
          <t>A 46144-2023</t>
        </is>
      </c>
      <c r="B191" s="1" t="n">
        <v>45196.57247685185</v>
      </c>
      <c r="C191" s="1" t="n">
        <v>45981</v>
      </c>
      <c r="D191" t="inlineStr">
        <is>
          <t>KALMAR LÄN</t>
        </is>
      </c>
      <c r="E191" t="inlineStr">
        <is>
          <t>VIMMERBY</t>
        </is>
      </c>
      <c r="G191" t="n">
        <v>6.5</v>
      </c>
      <c r="H191" t="n">
        <v>0</v>
      </c>
      <c r="I191" t="n">
        <v>0</v>
      </c>
      <c r="J191" t="n">
        <v>0</v>
      </c>
      <c r="K191" t="n">
        <v>0</v>
      </c>
      <c r="L191" t="n">
        <v>0</v>
      </c>
      <c r="M191" t="n">
        <v>0</v>
      </c>
      <c r="N191" t="n">
        <v>0</v>
      </c>
      <c r="O191" t="n">
        <v>0</v>
      </c>
      <c r="P191" t="n">
        <v>0</v>
      </c>
      <c r="Q191" t="n">
        <v>0</v>
      </c>
      <c r="R191" s="2" t="inlineStr"/>
    </row>
    <row r="192" ht="15" customHeight="1">
      <c r="A192" t="inlineStr">
        <is>
          <t>A 3330-2021</t>
        </is>
      </c>
      <c r="B192" s="1" t="n">
        <v>44217.79856481482</v>
      </c>
      <c r="C192" s="1" t="n">
        <v>45981</v>
      </c>
      <c r="D192" t="inlineStr">
        <is>
          <t>KALMAR LÄN</t>
        </is>
      </c>
      <c r="E192" t="inlineStr">
        <is>
          <t>VIMMERBY</t>
        </is>
      </c>
      <c r="G192" t="n">
        <v>11.1</v>
      </c>
      <c r="H192" t="n">
        <v>0</v>
      </c>
      <c r="I192" t="n">
        <v>0</v>
      </c>
      <c r="J192" t="n">
        <v>0</v>
      </c>
      <c r="K192" t="n">
        <v>0</v>
      </c>
      <c r="L192" t="n">
        <v>0</v>
      </c>
      <c r="M192" t="n">
        <v>0</v>
      </c>
      <c r="N192" t="n">
        <v>0</v>
      </c>
      <c r="O192" t="n">
        <v>0</v>
      </c>
      <c r="P192" t="n">
        <v>0</v>
      </c>
      <c r="Q192" t="n">
        <v>0</v>
      </c>
      <c r="R192" s="2" t="inlineStr"/>
    </row>
    <row r="193" ht="15" customHeight="1">
      <c r="A193" t="inlineStr">
        <is>
          <t>A 48377-2021</t>
        </is>
      </c>
      <c r="B193" s="1" t="n">
        <v>44451.8375</v>
      </c>
      <c r="C193" s="1" t="n">
        <v>45981</v>
      </c>
      <c r="D193" t="inlineStr">
        <is>
          <t>KALMAR LÄN</t>
        </is>
      </c>
      <c r="E193" t="inlineStr">
        <is>
          <t>VIMMERBY</t>
        </is>
      </c>
      <c r="G193" t="n">
        <v>0.4</v>
      </c>
      <c r="H193" t="n">
        <v>0</v>
      </c>
      <c r="I193" t="n">
        <v>0</v>
      </c>
      <c r="J193" t="n">
        <v>0</v>
      </c>
      <c r="K193" t="n">
        <v>0</v>
      </c>
      <c r="L193" t="n">
        <v>0</v>
      </c>
      <c r="M193" t="n">
        <v>0</v>
      </c>
      <c r="N193" t="n">
        <v>0</v>
      </c>
      <c r="O193" t="n">
        <v>0</v>
      </c>
      <c r="P193" t="n">
        <v>0</v>
      </c>
      <c r="Q193" t="n">
        <v>0</v>
      </c>
      <c r="R193" s="2" t="inlineStr"/>
    </row>
    <row r="194" ht="15" customHeight="1">
      <c r="A194" t="inlineStr">
        <is>
          <t>A 40472-2022</t>
        </is>
      </c>
      <c r="B194" s="1" t="n">
        <v>44823</v>
      </c>
      <c r="C194" s="1" t="n">
        <v>45981</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10086-2022</t>
        </is>
      </c>
      <c r="B195" s="1" t="n">
        <v>44621</v>
      </c>
      <c r="C195" s="1" t="n">
        <v>45981</v>
      </c>
      <c r="D195" t="inlineStr">
        <is>
          <t>KALMAR LÄN</t>
        </is>
      </c>
      <c r="E195" t="inlineStr">
        <is>
          <t>VIMMERBY</t>
        </is>
      </c>
      <c r="G195" t="n">
        <v>1.2</v>
      </c>
      <c r="H195" t="n">
        <v>0</v>
      </c>
      <c r="I195" t="n">
        <v>0</v>
      </c>
      <c r="J195" t="n">
        <v>0</v>
      </c>
      <c r="K195" t="n">
        <v>0</v>
      </c>
      <c r="L195" t="n">
        <v>0</v>
      </c>
      <c r="M195" t="n">
        <v>0</v>
      </c>
      <c r="N195" t="n">
        <v>0</v>
      </c>
      <c r="O195" t="n">
        <v>0</v>
      </c>
      <c r="P195" t="n">
        <v>0</v>
      </c>
      <c r="Q195" t="n">
        <v>0</v>
      </c>
      <c r="R195" s="2" t="inlineStr"/>
    </row>
    <row r="196" ht="15" customHeight="1">
      <c r="A196" t="inlineStr">
        <is>
          <t>A 65564-2020</t>
        </is>
      </c>
      <c r="B196" s="1" t="n">
        <v>44172</v>
      </c>
      <c r="C196" s="1" t="n">
        <v>45981</v>
      </c>
      <c r="D196" t="inlineStr">
        <is>
          <t>KALMAR LÄN</t>
        </is>
      </c>
      <c r="E196" t="inlineStr">
        <is>
          <t>VIMMERBY</t>
        </is>
      </c>
      <c r="G196" t="n">
        <v>4.1</v>
      </c>
      <c r="H196" t="n">
        <v>0</v>
      </c>
      <c r="I196" t="n">
        <v>0</v>
      </c>
      <c r="J196" t="n">
        <v>0</v>
      </c>
      <c r="K196" t="n">
        <v>0</v>
      </c>
      <c r="L196" t="n">
        <v>0</v>
      </c>
      <c r="M196" t="n">
        <v>0</v>
      </c>
      <c r="N196" t="n">
        <v>0</v>
      </c>
      <c r="O196" t="n">
        <v>0</v>
      </c>
      <c r="P196" t="n">
        <v>0</v>
      </c>
      <c r="Q196" t="n">
        <v>0</v>
      </c>
      <c r="R196" s="2" t="inlineStr"/>
    </row>
    <row r="197" ht="15" customHeight="1">
      <c r="A197" t="inlineStr">
        <is>
          <t>A 35316-2021</t>
        </is>
      </c>
      <c r="B197" s="1" t="n">
        <v>44384</v>
      </c>
      <c r="C197" s="1" t="n">
        <v>45981</v>
      </c>
      <c r="D197" t="inlineStr">
        <is>
          <t>KALMAR LÄN</t>
        </is>
      </c>
      <c r="E197" t="inlineStr">
        <is>
          <t>VIMMERBY</t>
        </is>
      </c>
      <c r="G197" t="n">
        <v>3.5</v>
      </c>
      <c r="H197" t="n">
        <v>0</v>
      </c>
      <c r="I197" t="n">
        <v>0</v>
      </c>
      <c r="J197" t="n">
        <v>0</v>
      </c>
      <c r="K197" t="n">
        <v>0</v>
      </c>
      <c r="L197" t="n">
        <v>0</v>
      </c>
      <c r="M197" t="n">
        <v>0</v>
      </c>
      <c r="N197" t="n">
        <v>0</v>
      </c>
      <c r="O197" t="n">
        <v>0</v>
      </c>
      <c r="P197" t="n">
        <v>0</v>
      </c>
      <c r="Q197" t="n">
        <v>0</v>
      </c>
      <c r="R197" s="2" t="inlineStr"/>
    </row>
    <row r="198" ht="15" customHeight="1">
      <c r="A198" t="inlineStr">
        <is>
          <t>A 33831-2022</t>
        </is>
      </c>
      <c r="B198" s="1" t="n">
        <v>44790.48503472222</v>
      </c>
      <c r="C198" s="1" t="n">
        <v>45981</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31382-2023</t>
        </is>
      </c>
      <c r="B199" s="1" t="n">
        <v>45114.55136574074</v>
      </c>
      <c r="C199" s="1" t="n">
        <v>45981</v>
      </c>
      <c r="D199" t="inlineStr">
        <is>
          <t>KALMAR LÄN</t>
        </is>
      </c>
      <c r="E199" t="inlineStr">
        <is>
          <t>VIMMERBY</t>
        </is>
      </c>
      <c r="G199" t="n">
        <v>3.7</v>
      </c>
      <c r="H199" t="n">
        <v>0</v>
      </c>
      <c r="I199" t="n">
        <v>0</v>
      </c>
      <c r="J199" t="n">
        <v>0</v>
      </c>
      <c r="K199" t="n">
        <v>0</v>
      </c>
      <c r="L199" t="n">
        <v>0</v>
      </c>
      <c r="M199" t="n">
        <v>0</v>
      </c>
      <c r="N199" t="n">
        <v>0</v>
      </c>
      <c r="O199" t="n">
        <v>0</v>
      </c>
      <c r="P199" t="n">
        <v>0</v>
      </c>
      <c r="Q199" t="n">
        <v>0</v>
      </c>
      <c r="R199" s="2" t="inlineStr"/>
    </row>
    <row r="200" ht="15" customHeight="1">
      <c r="A200" t="inlineStr">
        <is>
          <t>A 47708-2022</t>
        </is>
      </c>
      <c r="B200" s="1" t="n">
        <v>44854.59157407407</v>
      </c>
      <c r="C200" s="1" t="n">
        <v>45981</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53145-2022</t>
        </is>
      </c>
      <c r="B201" s="1" t="n">
        <v>44876.48346064815</v>
      </c>
      <c r="C201" s="1" t="n">
        <v>45981</v>
      </c>
      <c r="D201" t="inlineStr">
        <is>
          <t>KALMAR LÄN</t>
        </is>
      </c>
      <c r="E201" t="inlineStr">
        <is>
          <t>VIMMERBY</t>
        </is>
      </c>
      <c r="G201" t="n">
        <v>0.4</v>
      </c>
      <c r="H201" t="n">
        <v>0</v>
      </c>
      <c r="I201" t="n">
        <v>0</v>
      </c>
      <c r="J201" t="n">
        <v>0</v>
      </c>
      <c r="K201" t="n">
        <v>0</v>
      </c>
      <c r="L201" t="n">
        <v>0</v>
      </c>
      <c r="M201" t="n">
        <v>0</v>
      </c>
      <c r="N201" t="n">
        <v>0</v>
      </c>
      <c r="O201" t="n">
        <v>0</v>
      </c>
      <c r="P201" t="n">
        <v>0</v>
      </c>
      <c r="Q201" t="n">
        <v>0</v>
      </c>
      <c r="R201" s="2" t="inlineStr"/>
    </row>
    <row r="202" ht="15" customHeight="1">
      <c r="A202" t="inlineStr">
        <is>
          <t>A 25738-2022</t>
        </is>
      </c>
      <c r="B202" s="1" t="n">
        <v>44733.43092592592</v>
      </c>
      <c r="C202" s="1" t="n">
        <v>45981</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56213-2024</t>
        </is>
      </c>
      <c r="B203" s="1" t="n">
        <v>45624.60141203704</v>
      </c>
      <c r="C203" s="1" t="n">
        <v>45981</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45981</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9918-2022</t>
        </is>
      </c>
      <c r="B205" s="1" t="n">
        <v>44620</v>
      </c>
      <c r="C205" s="1" t="n">
        <v>45981</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8194-2022</t>
        </is>
      </c>
      <c r="B206" s="1" t="n">
        <v>44609</v>
      </c>
      <c r="C206" s="1" t="n">
        <v>45981</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15191-2021</t>
        </is>
      </c>
      <c r="B207" s="1" t="n">
        <v>44284.42348379629</v>
      </c>
      <c r="C207" s="1" t="n">
        <v>45981</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45981</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40971-2021</t>
        </is>
      </c>
      <c r="B209" s="1" t="n">
        <v>44421</v>
      </c>
      <c r="C209" s="1" t="n">
        <v>45981</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68744-2020</t>
        </is>
      </c>
      <c r="B210" s="1" t="n">
        <v>44186</v>
      </c>
      <c r="C210" s="1" t="n">
        <v>45981</v>
      </c>
      <c r="D210" t="inlineStr">
        <is>
          <t>KALMAR LÄN</t>
        </is>
      </c>
      <c r="E210" t="inlineStr">
        <is>
          <t>VIMMERBY</t>
        </is>
      </c>
      <c r="G210" t="n">
        <v>2.5</v>
      </c>
      <c r="H210" t="n">
        <v>0</v>
      </c>
      <c r="I210" t="n">
        <v>0</v>
      </c>
      <c r="J210" t="n">
        <v>0</v>
      </c>
      <c r="K210" t="n">
        <v>0</v>
      </c>
      <c r="L210" t="n">
        <v>0</v>
      </c>
      <c r="M210" t="n">
        <v>0</v>
      </c>
      <c r="N210" t="n">
        <v>0</v>
      </c>
      <c r="O210" t="n">
        <v>0</v>
      </c>
      <c r="P210" t="n">
        <v>0</v>
      </c>
      <c r="Q210" t="n">
        <v>0</v>
      </c>
      <c r="R210" s="2" t="inlineStr"/>
    </row>
    <row r="211" ht="15" customHeight="1">
      <c r="A211" t="inlineStr">
        <is>
          <t>A 7643-2022</t>
        </is>
      </c>
      <c r="B211" s="1" t="n">
        <v>44607</v>
      </c>
      <c r="C211" s="1" t="n">
        <v>45981</v>
      </c>
      <c r="D211" t="inlineStr">
        <is>
          <t>KALMAR LÄN</t>
        </is>
      </c>
      <c r="E211" t="inlineStr">
        <is>
          <t>VIMMERBY</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55300-2021</t>
        </is>
      </c>
      <c r="B212" s="1" t="n">
        <v>44475</v>
      </c>
      <c r="C212" s="1" t="n">
        <v>45981</v>
      </c>
      <c r="D212" t="inlineStr">
        <is>
          <t>KALMAR LÄN</t>
        </is>
      </c>
      <c r="E212" t="inlineStr">
        <is>
          <t>VIMMERBY</t>
        </is>
      </c>
      <c r="G212" t="n">
        <v>3.4</v>
      </c>
      <c r="H212" t="n">
        <v>0</v>
      </c>
      <c r="I212" t="n">
        <v>0</v>
      </c>
      <c r="J212" t="n">
        <v>0</v>
      </c>
      <c r="K212" t="n">
        <v>0</v>
      </c>
      <c r="L212" t="n">
        <v>0</v>
      </c>
      <c r="M212" t="n">
        <v>0</v>
      </c>
      <c r="N212" t="n">
        <v>0</v>
      </c>
      <c r="O212" t="n">
        <v>0</v>
      </c>
      <c r="P212" t="n">
        <v>0</v>
      </c>
      <c r="Q212" t="n">
        <v>0</v>
      </c>
      <c r="R212" s="2" t="inlineStr"/>
    </row>
    <row r="213" ht="15" customHeight="1">
      <c r="A213" t="inlineStr">
        <is>
          <t>A 13457-2021</t>
        </is>
      </c>
      <c r="B213" s="1" t="n">
        <v>44273</v>
      </c>
      <c r="C213" s="1" t="n">
        <v>45981</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11027-2023</t>
        </is>
      </c>
      <c r="B214" s="1" t="n">
        <v>44991.89657407408</v>
      </c>
      <c r="C214" s="1" t="n">
        <v>45981</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44179-2022</t>
        </is>
      </c>
      <c r="B215" s="1" t="n">
        <v>44839.4528125</v>
      </c>
      <c r="C215" s="1" t="n">
        <v>45981</v>
      </c>
      <c r="D215" t="inlineStr">
        <is>
          <t>KALMAR LÄN</t>
        </is>
      </c>
      <c r="E215" t="inlineStr">
        <is>
          <t>VIMMERBY</t>
        </is>
      </c>
      <c r="G215" t="n">
        <v>2.8</v>
      </c>
      <c r="H215" t="n">
        <v>0</v>
      </c>
      <c r="I215" t="n">
        <v>0</v>
      </c>
      <c r="J215" t="n">
        <v>0</v>
      </c>
      <c r="K215" t="n">
        <v>0</v>
      </c>
      <c r="L215" t="n">
        <v>0</v>
      </c>
      <c r="M215" t="n">
        <v>0</v>
      </c>
      <c r="N215" t="n">
        <v>0</v>
      </c>
      <c r="O215" t="n">
        <v>0</v>
      </c>
      <c r="P215" t="n">
        <v>0</v>
      </c>
      <c r="Q215" t="n">
        <v>0</v>
      </c>
      <c r="R215" s="2" t="inlineStr"/>
    </row>
    <row r="216" ht="15" customHeight="1">
      <c r="A216" t="inlineStr">
        <is>
          <t>A 14278-2021</t>
        </is>
      </c>
      <c r="B216" s="1" t="n">
        <v>44278.63479166666</v>
      </c>
      <c r="C216" s="1" t="n">
        <v>45981</v>
      </c>
      <c r="D216" t="inlineStr">
        <is>
          <t>KALMAR LÄN</t>
        </is>
      </c>
      <c r="E216" t="inlineStr">
        <is>
          <t>VIMMERBY</t>
        </is>
      </c>
      <c r="F216" t="inlineStr">
        <is>
          <t>Övriga statliga verk och myndigheter</t>
        </is>
      </c>
      <c r="G216" t="n">
        <v>0.8</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45981</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45981</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52755-2022</t>
        </is>
      </c>
      <c r="B219" s="1" t="n">
        <v>44875.27736111111</v>
      </c>
      <c r="C219" s="1" t="n">
        <v>45981</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20054-2023</t>
        </is>
      </c>
      <c r="B220" s="1" t="n">
        <v>45054.6750462963</v>
      </c>
      <c r="C220" s="1" t="n">
        <v>45981</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58962-2022</t>
        </is>
      </c>
      <c r="B221" s="1" t="n">
        <v>44903</v>
      </c>
      <c r="C221" s="1" t="n">
        <v>45981</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35998-2024</t>
        </is>
      </c>
      <c r="B222" s="1" t="n">
        <v>45533.54429398148</v>
      </c>
      <c r="C222" s="1" t="n">
        <v>45981</v>
      </c>
      <c r="D222" t="inlineStr">
        <is>
          <t>KALMAR LÄN</t>
        </is>
      </c>
      <c r="E222" t="inlineStr">
        <is>
          <t>VIMMERBY</t>
        </is>
      </c>
      <c r="G222" t="n">
        <v>8.6</v>
      </c>
      <c r="H222" t="n">
        <v>0</v>
      </c>
      <c r="I222" t="n">
        <v>0</v>
      </c>
      <c r="J222" t="n">
        <v>0</v>
      </c>
      <c r="K222" t="n">
        <v>0</v>
      </c>
      <c r="L222" t="n">
        <v>0</v>
      </c>
      <c r="M222" t="n">
        <v>0</v>
      </c>
      <c r="N222" t="n">
        <v>0</v>
      </c>
      <c r="O222" t="n">
        <v>0</v>
      </c>
      <c r="P222" t="n">
        <v>0</v>
      </c>
      <c r="Q222" t="n">
        <v>0</v>
      </c>
      <c r="R222" s="2" t="inlineStr"/>
    </row>
    <row r="223" ht="15" customHeight="1">
      <c r="A223" t="inlineStr">
        <is>
          <t>A 7797-2023</t>
        </is>
      </c>
      <c r="B223" s="1" t="n">
        <v>44973.43075231482</v>
      </c>
      <c r="C223" s="1" t="n">
        <v>45981</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42918-2021</t>
        </is>
      </c>
      <c r="B224" s="1" t="n">
        <v>44431</v>
      </c>
      <c r="C224" s="1" t="n">
        <v>45981</v>
      </c>
      <c r="D224" t="inlineStr">
        <is>
          <t>KALMAR LÄN</t>
        </is>
      </c>
      <c r="E224" t="inlineStr">
        <is>
          <t>VIMMERBY</t>
        </is>
      </c>
      <c r="G224" t="n">
        <v>1.6</v>
      </c>
      <c r="H224" t="n">
        <v>0</v>
      </c>
      <c r="I224" t="n">
        <v>0</v>
      </c>
      <c r="J224" t="n">
        <v>0</v>
      </c>
      <c r="K224" t="n">
        <v>0</v>
      </c>
      <c r="L224" t="n">
        <v>0</v>
      </c>
      <c r="M224" t="n">
        <v>0</v>
      </c>
      <c r="N224" t="n">
        <v>0</v>
      </c>
      <c r="O224" t="n">
        <v>0</v>
      </c>
      <c r="P224" t="n">
        <v>0</v>
      </c>
      <c r="Q224" t="n">
        <v>0</v>
      </c>
      <c r="R224" s="2" t="inlineStr"/>
    </row>
    <row r="225" ht="15" customHeight="1">
      <c r="A225" t="inlineStr">
        <is>
          <t>A 10837-2023</t>
        </is>
      </c>
      <c r="B225" s="1" t="n">
        <v>44991.30547453704</v>
      </c>
      <c r="C225" s="1" t="n">
        <v>45981</v>
      </c>
      <c r="D225" t="inlineStr">
        <is>
          <t>KALMAR LÄN</t>
        </is>
      </c>
      <c r="E225" t="inlineStr">
        <is>
          <t>VIMMERBY</t>
        </is>
      </c>
      <c r="G225" t="n">
        <v>7.3</v>
      </c>
      <c r="H225" t="n">
        <v>0</v>
      </c>
      <c r="I225" t="n">
        <v>0</v>
      </c>
      <c r="J225" t="n">
        <v>0</v>
      </c>
      <c r="K225" t="n">
        <v>0</v>
      </c>
      <c r="L225" t="n">
        <v>0</v>
      </c>
      <c r="M225" t="n">
        <v>0</v>
      </c>
      <c r="N225" t="n">
        <v>0</v>
      </c>
      <c r="O225" t="n">
        <v>0</v>
      </c>
      <c r="P225" t="n">
        <v>0</v>
      </c>
      <c r="Q225" t="n">
        <v>0</v>
      </c>
      <c r="R225" s="2" t="inlineStr"/>
    </row>
    <row r="226" ht="15" customHeight="1">
      <c r="A226" t="inlineStr">
        <is>
          <t>A 10838-2023</t>
        </is>
      </c>
      <c r="B226" s="1" t="n">
        <v>44991</v>
      </c>
      <c r="C226" s="1" t="n">
        <v>45981</v>
      </c>
      <c r="D226" t="inlineStr">
        <is>
          <t>KALMAR LÄN</t>
        </is>
      </c>
      <c r="E226" t="inlineStr">
        <is>
          <t>VIMMERBY</t>
        </is>
      </c>
      <c r="G226" t="n">
        <v>5.1</v>
      </c>
      <c r="H226" t="n">
        <v>0</v>
      </c>
      <c r="I226" t="n">
        <v>0</v>
      </c>
      <c r="J226" t="n">
        <v>0</v>
      </c>
      <c r="K226" t="n">
        <v>0</v>
      </c>
      <c r="L226" t="n">
        <v>0</v>
      </c>
      <c r="M226" t="n">
        <v>0</v>
      </c>
      <c r="N226" t="n">
        <v>0</v>
      </c>
      <c r="O226" t="n">
        <v>0</v>
      </c>
      <c r="P226" t="n">
        <v>0</v>
      </c>
      <c r="Q226" t="n">
        <v>0</v>
      </c>
      <c r="R226" s="2" t="inlineStr"/>
    </row>
    <row r="227" ht="15" customHeight="1">
      <c r="A227" t="inlineStr">
        <is>
          <t>A 29351-2023</t>
        </is>
      </c>
      <c r="B227" s="1" t="n">
        <v>45106.2610300926</v>
      </c>
      <c r="C227" s="1" t="n">
        <v>45981</v>
      </c>
      <c r="D227" t="inlineStr">
        <is>
          <t>KALMAR LÄN</t>
        </is>
      </c>
      <c r="E227" t="inlineStr">
        <is>
          <t>VIMMERBY</t>
        </is>
      </c>
      <c r="G227" t="n">
        <v>0.4</v>
      </c>
      <c r="H227" t="n">
        <v>0</v>
      </c>
      <c r="I227" t="n">
        <v>0</v>
      </c>
      <c r="J227" t="n">
        <v>0</v>
      </c>
      <c r="K227" t="n">
        <v>0</v>
      </c>
      <c r="L227" t="n">
        <v>0</v>
      </c>
      <c r="M227" t="n">
        <v>0</v>
      </c>
      <c r="N227" t="n">
        <v>0</v>
      </c>
      <c r="O227" t="n">
        <v>0</v>
      </c>
      <c r="P227" t="n">
        <v>0</v>
      </c>
      <c r="Q227" t="n">
        <v>0</v>
      </c>
      <c r="R227" s="2" t="inlineStr"/>
    </row>
    <row r="228" ht="15" customHeight="1">
      <c r="A228" t="inlineStr">
        <is>
          <t>A 7630-2025</t>
        </is>
      </c>
      <c r="B228" s="1" t="n">
        <v>45705.74418981482</v>
      </c>
      <c r="C228" s="1" t="n">
        <v>45981</v>
      </c>
      <c r="D228" t="inlineStr">
        <is>
          <t>KALMAR LÄN</t>
        </is>
      </c>
      <c r="E228" t="inlineStr">
        <is>
          <t>VIMMERBY</t>
        </is>
      </c>
      <c r="G228" t="n">
        <v>2.5</v>
      </c>
      <c r="H228" t="n">
        <v>0</v>
      </c>
      <c r="I228" t="n">
        <v>0</v>
      </c>
      <c r="J228" t="n">
        <v>0</v>
      </c>
      <c r="K228" t="n">
        <v>0</v>
      </c>
      <c r="L228" t="n">
        <v>0</v>
      </c>
      <c r="M228" t="n">
        <v>0</v>
      </c>
      <c r="N228" t="n">
        <v>0</v>
      </c>
      <c r="O228" t="n">
        <v>0</v>
      </c>
      <c r="P228" t="n">
        <v>0</v>
      </c>
      <c r="Q228" t="n">
        <v>0</v>
      </c>
      <c r="R228" s="2" t="inlineStr"/>
    </row>
    <row r="229" ht="15" customHeight="1">
      <c r="A229" t="inlineStr">
        <is>
          <t>A 1024-2024</t>
        </is>
      </c>
      <c r="B229" s="1" t="n">
        <v>45301.68237268519</v>
      </c>
      <c r="C229" s="1" t="n">
        <v>45981</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10787-2025</t>
        </is>
      </c>
      <c r="B230" s="1" t="n">
        <v>45722.48915509259</v>
      </c>
      <c r="C230" s="1" t="n">
        <v>45981</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22643-2023</t>
        </is>
      </c>
      <c r="B231" s="1" t="n">
        <v>45071</v>
      </c>
      <c r="C231" s="1" t="n">
        <v>45981</v>
      </c>
      <c r="D231" t="inlineStr">
        <is>
          <t>KALMAR LÄN</t>
        </is>
      </c>
      <c r="E231" t="inlineStr">
        <is>
          <t>VIMMERBY</t>
        </is>
      </c>
      <c r="G231" t="n">
        <v>3.9</v>
      </c>
      <c r="H231" t="n">
        <v>0</v>
      </c>
      <c r="I231" t="n">
        <v>0</v>
      </c>
      <c r="J231" t="n">
        <v>0</v>
      </c>
      <c r="K231" t="n">
        <v>0</v>
      </c>
      <c r="L231" t="n">
        <v>0</v>
      </c>
      <c r="M231" t="n">
        <v>0</v>
      </c>
      <c r="N231" t="n">
        <v>0</v>
      </c>
      <c r="O231" t="n">
        <v>0</v>
      </c>
      <c r="P231" t="n">
        <v>0</v>
      </c>
      <c r="Q231" t="n">
        <v>0</v>
      </c>
      <c r="R231" s="2" t="inlineStr"/>
    </row>
    <row r="232" ht="15" customHeight="1">
      <c r="A232" t="inlineStr">
        <is>
          <t>A 18669-2025</t>
        </is>
      </c>
      <c r="B232" s="1" t="n">
        <v>45763.59436342592</v>
      </c>
      <c r="C232" s="1" t="n">
        <v>45981</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38780-2021</t>
        </is>
      </c>
      <c r="B233" s="1" t="n">
        <v>44410</v>
      </c>
      <c r="C233" s="1" t="n">
        <v>45981</v>
      </c>
      <c r="D233" t="inlineStr">
        <is>
          <t>KALMAR LÄN</t>
        </is>
      </c>
      <c r="E233" t="inlineStr">
        <is>
          <t>VIMMERBY</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29350-2023</t>
        </is>
      </c>
      <c r="B234" s="1" t="n">
        <v>45106</v>
      </c>
      <c r="C234" s="1" t="n">
        <v>45981</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14855-2025</t>
        </is>
      </c>
      <c r="B235" s="1" t="n">
        <v>45743.41148148148</v>
      </c>
      <c r="C235" s="1" t="n">
        <v>45981</v>
      </c>
      <c r="D235" t="inlineStr">
        <is>
          <t>KALMAR LÄN</t>
        </is>
      </c>
      <c r="E235" t="inlineStr">
        <is>
          <t>VIMMERBY</t>
        </is>
      </c>
      <c r="G235" t="n">
        <v>1.2</v>
      </c>
      <c r="H235" t="n">
        <v>0</v>
      </c>
      <c r="I235" t="n">
        <v>0</v>
      </c>
      <c r="J235" t="n">
        <v>0</v>
      </c>
      <c r="K235" t="n">
        <v>0</v>
      </c>
      <c r="L235" t="n">
        <v>0</v>
      </c>
      <c r="M235" t="n">
        <v>0</v>
      </c>
      <c r="N235" t="n">
        <v>0</v>
      </c>
      <c r="O235" t="n">
        <v>0</v>
      </c>
      <c r="P235" t="n">
        <v>0</v>
      </c>
      <c r="Q235" t="n">
        <v>0</v>
      </c>
      <c r="R235" s="2" t="inlineStr"/>
    </row>
    <row r="236" ht="15" customHeight="1">
      <c r="A236" t="inlineStr">
        <is>
          <t>A 13290-2025</t>
        </is>
      </c>
      <c r="B236" s="1" t="n">
        <v>45735.56751157407</v>
      </c>
      <c r="C236" s="1" t="n">
        <v>45981</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43601-2024</t>
        </is>
      </c>
      <c r="B237" s="1" t="n">
        <v>45569.44684027778</v>
      </c>
      <c r="C237" s="1" t="n">
        <v>45981</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19162-2023</t>
        </is>
      </c>
      <c r="B238" s="1" t="n">
        <v>45048.59699074074</v>
      </c>
      <c r="C238" s="1" t="n">
        <v>45981</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35913-2023</t>
        </is>
      </c>
      <c r="B239" s="1" t="n">
        <v>45148</v>
      </c>
      <c r="C239" s="1" t="n">
        <v>45981</v>
      </c>
      <c r="D239" t="inlineStr">
        <is>
          <t>KALMAR LÄN</t>
        </is>
      </c>
      <c r="E239" t="inlineStr">
        <is>
          <t>VIMMERBY</t>
        </is>
      </c>
      <c r="G239" t="n">
        <v>6.9</v>
      </c>
      <c r="H239" t="n">
        <v>0</v>
      </c>
      <c r="I239" t="n">
        <v>0</v>
      </c>
      <c r="J239" t="n">
        <v>0</v>
      </c>
      <c r="K239" t="n">
        <v>0</v>
      </c>
      <c r="L239" t="n">
        <v>0</v>
      </c>
      <c r="M239" t="n">
        <v>0</v>
      </c>
      <c r="N239" t="n">
        <v>0</v>
      </c>
      <c r="O239" t="n">
        <v>0</v>
      </c>
      <c r="P239" t="n">
        <v>0</v>
      </c>
      <c r="Q239" t="n">
        <v>0</v>
      </c>
      <c r="R239" s="2" t="inlineStr"/>
    </row>
    <row r="240" ht="15" customHeight="1">
      <c r="A240" t="inlineStr">
        <is>
          <t>A 9624-2024</t>
        </is>
      </c>
      <c r="B240" s="1" t="n">
        <v>45361.90282407407</v>
      </c>
      <c r="C240" s="1" t="n">
        <v>45981</v>
      </c>
      <c r="D240" t="inlineStr">
        <is>
          <t>KALMAR LÄN</t>
        </is>
      </c>
      <c r="E240" t="inlineStr">
        <is>
          <t>VIMMERBY</t>
        </is>
      </c>
      <c r="G240" t="n">
        <v>3.8</v>
      </c>
      <c r="H240" t="n">
        <v>0</v>
      </c>
      <c r="I240" t="n">
        <v>0</v>
      </c>
      <c r="J240" t="n">
        <v>0</v>
      </c>
      <c r="K240" t="n">
        <v>0</v>
      </c>
      <c r="L240" t="n">
        <v>0</v>
      </c>
      <c r="M240" t="n">
        <v>0</v>
      </c>
      <c r="N240" t="n">
        <v>0</v>
      </c>
      <c r="O240" t="n">
        <v>0</v>
      </c>
      <c r="P240" t="n">
        <v>0</v>
      </c>
      <c r="Q240" t="n">
        <v>0</v>
      </c>
      <c r="R240" s="2" t="inlineStr"/>
    </row>
    <row r="241" ht="15" customHeight="1">
      <c r="A241" t="inlineStr">
        <is>
          <t>A 3938-2023</t>
        </is>
      </c>
      <c r="B241" s="1" t="n">
        <v>44952.35775462963</v>
      </c>
      <c r="C241" s="1" t="n">
        <v>45981</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9475-2023</t>
        </is>
      </c>
      <c r="B242" s="1" t="n">
        <v>44981.58834490741</v>
      </c>
      <c r="C242" s="1" t="n">
        <v>45981</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39053-2024</t>
        </is>
      </c>
      <c r="B243" s="1" t="n">
        <v>45548</v>
      </c>
      <c r="C243" s="1" t="n">
        <v>45981</v>
      </c>
      <c r="D243" t="inlineStr">
        <is>
          <t>KALMAR LÄN</t>
        </is>
      </c>
      <c r="E243" t="inlineStr">
        <is>
          <t>VIMMERBY</t>
        </is>
      </c>
      <c r="G243" t="n">
        <v>5</v>
      </c>
      <c r="H243" t="n">
        <v>0</v>
      </c>
      <c r="I243" t="n">
        <v>0</v>
      </c>
      <c r="J243" t="n">
        <v>0</v>
      </c>
      <c r="K243" t="n">
        <v>0</v>
      </c>
      <c r="L243" t="n">
        <v>0</v>
      </c>
      <c r="M243" t="n">
        <v>0</v>
      </c>
      <c r="N243" t="n">
        <v>0</v>
      </c>
      <c r="O243" t="n">
        <v>0</v>
      </c>
      <c r="P243" t="n">
        <v>0</v>
      </c>
      <c r="Q243" t="n">
        <v>0</v>
      </c>
      <c r="R243" s="2" t="inlineStr"/>
    </row>
    <row r="244" ht="15" customHeight="1">
      <c r="A244" t="inlineStr">
        <is>
          <t>A 29020-2024</t>
        </is>
      </c>
      <c r="B244" s="1" t="n">
        <v>45481.58048611111</v>
      </c>
      <c r="C244" s="1" t="n">
        <v>45981</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30406-2023</t>
        </is>
      </c>
      <c r="B245" s="1" t="n">
        <v>45111.48787037037</v>
      </c>
      <c r="C245" s="1" t="n">
        <v>45981</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13817-2024</t>
        </is>
      </c>
      <c r="B246" s="1" t="n">
        <v>45391.41976851852</v>
      </c>
      <c r="C246" s="1" t="n">
        <v>45981</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11946-2025</t>
        </is>
      </c>
      <c r="B247" s="1" t="n">
        <v>45728.54832175926</v>
      </c>
      <c r="C247" s="1" t="n">
        <v>45981</v>
      </c>
      <c r="D247" t="inlineStr">
        <is>
          <t>KALMAR LÄN</t>
        </is>
      </c>
      <c r="E247" t="inlineStr">
        <is>
          <t>VIMMERBY</t>
        </is>
      </c>
      <c r="G247" t="n">
        <v>0.4</v>
      </c>
      <c r="H247" t="n">
        <v>0</v>
      </c>
      <c r="I247" t="n">
        <v>0</v>
      </c>
      <c r="J247" t="n">
        <v>0</v>
      </c>
      <c r="K247" t="n">
        <v>0</v>
      </c>
      <c r="L247" t="n">
        <v>0</v>
      </c>
      <c r="M247" t="n">
        <v>0</v>
      </c>
      <c r="N247" t="n">
        <v>0</v>
      </c>
      <c r="O247" t="n">
        <v>0</v>
      </c>
      <c r="P247" t="n">
        <v>0</v>
      </c>
      <c r="Q247" t="n">
        <v>0</v>
      </c>
      <c r="R247" s="2" t="inlineStr"/>
    </row>
    <row r="248" ht="15" customHeight="1">
      <c r="A248" t="inlineStr">
        <is>
          <t>A 19537-2022</t>
        </is>
      </c>
      <c r="B248" s="1" t="n">
        <v>44693.62822916666</v>
      </c>
      <c r="C248" s="1" t="n">
        <v>45981</v>
      </c>
      <c r="D248" t="inlineStr">
        <is>
          <t>KALMAR LÄN</t>
        </is>
      </c>
      <c r="E248" t="inlineStr">
        <is>
          <t>VIMMERBY</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14451-2024</t>
        </is>
      </c>
      <c r="B249" s="1" t="n">
        <v>45394.50028935185</v>
      </c>
      <c r="C249" s="1" t="n">
        <v>45981</v>
      </c>
      <c r="D249" t="inlineStr">
        <is>
          <t>KALMAR LÄN</t>
        </is>
      </c>
      <c r="E249" t="inlineStr">
        <is>
          <t>VIMMERBY</t>
        </is>
      </c>
      <c r="G249" t="n">
        <v>1.9</v>
      </c>
      <c r="H249" t="n">
        <v>0</v>
      </c>
      <c r="I249" t="n">
        <v>0</v>
      </c>
      <c r="J249" t="n">
        <v>0</v>
      </c>
      <c r="K249" t="n">
        <v>0</v>
      </c>
      <c r="L249" t="n">
        <v>0</v>
      </c>
      <c r="M249" t="n">
        <v>0</v>
      </c>
      <c r="N249" t="n">
        <v>0</v>
      </c>
      <c r="O249" t="n">
        <v>0</v>
      </c>
      <c r="P249" t="n">
        <v>0</v>
      </c>
      <c r="Q249" t="n">
        <v>0</v>
      </c>
      <c r="R249" s="2" t="inlineStr"/>
    </row>
    <row r="250" ht="15" customHeight="1">
      <c r="A250" t="inlineStr">
        <is>
          <t>A 34205-2023</t>
        </is>
      </c>
      <c r="B250" s="1" t="n">
        <v>45138</v>
      </c>
      <c r="C250" s="1" t="n">
        <v>45981</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60951-2023</t>
        </is>
      </c>
      <c r="B251" s="1" t="n">
        <v>45261.44914351852</v>
      </c>
      <c r="C251" s="1" t="n">
        <v>45981</v>
      </c>
      <c r="D251" t="inlineStr">
        <is>
          <t>KALMAR LÄN</t>
        </is>
      </c>
      <c r="E251" t="inlineStr">
        <is>
          <t>VIMMERBY</t>
        </is>
      </c>
      <c r="G251" t="n">
        <v>4.3</v>
      </c>
      <c r="H251" t="n">
        <v>0</v>
      </c>
      <c r="I251" t="n">
        <v>0</v>
      </c>
      <c r="J251" t="n">
        <v>0</v>
      </c>
      <c r="K251" t="n">
        <v>0</v>
      </c>
      <c r="L251" t="n">
        <v>0</v>
      </c>
      <c r="M251" t="n">
        <v>0</v>
      </c>
      <c r="N251" t="n">
        <v>0</v>
      </c>
      <c r="O251" t="n">
        <v>0</v>
      </c>
      <c r="P251" t="n">
        <v>0</v>
      </c>
      <c r="Q251" t="n">
        <v>0</v>
      </c>
      <c r="R251" s="2" t="inlineStr"/>
    </row>
    <row r="252" ht="15" customHeight="1">
      <c r="A252" t="inlineStr">
        <is>
          <t>A 60292-2022</t>
        </is>
      </c>
      <c r="B252" s="1" t="n">
        <v>44910.54231481482</v>
      </c>
      <c r="C252" s="1" t="n">
        <v>45981</v>
      </c>
      <c r="D252" t="inlineStr">
        <is>
          <t>KALMAR LÄN</t>
        </is>
      </c>
      <c r="E252" t="inlineStr">
        <is>
          <t>VIMMERBY</t>
        </is>
      </c>
      <c r="G252" t="n">
        <v>4.4</v>
      </c>
      <c r="H252" t="n">
        <v>0</v>
      </c>
      <c r="I252" t="n">
        <v>0</v>
      </c>
      <c r="J252" t="n">
        <v>0</v>
      </c>
      <c r="K252" t="n">
        <v>0</v>
      </c>
      <c r="L252" t="n">
        <v>0</v>
      </c>
      <c r="M252" t="n">
        <v>0</v>
      </c>
      <c r="N252" t="n">
        <v>0</v>
      </c>
      <c r="O252" t="n">
        <v>0</v>
      </c>
      <c r="P252" t="n">
        <v>0</v>
      </c>
      <c r="Q252" t="n">
        <v>0</v>
      </c>
      <c r="R252" s="2" t="inlineStr"/>
    </row>
    <row r="253" ht="15" customHeight="1">
      <c r="A253" t="inlineStr">
        <is>
          <t>A 7485-2024</t>
        </is>
      </c>
      <c r="B253" s="1" t="n">
        <v>45346.67184027778</v>
      </c>
      <c r="C253" s="1" t="n">
        <v>45981</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12590-2025</t>
        </is>
      </c>
      <c r="B254" s="1" t="n">
        <v>45732.79925925926</v>
      </c>
      <c r="C254" s="1" t="n">
        <v>45981</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35710-2023</t>
        </is>
      </c>
      <c r="B255" s="1" t="n">
        <v>45147.67096064815</v>
      </c>
      <c r="C255" s="1" t="n">
        <v>45981</v>
      </c>
      <c r="D255" t="inlineStr">
        <is>
          <t>KALMAR LÄN</t>
        </is>
      </c>
      <c r="E255" t="inlineStr">
        <is>
          <t>VIMMERBY</t>
        </is>
      </c>
      <c r="G255" t="n">
        <v>3.1</v>
      </c>
      <c r="H255" t="n">
        <v>0</v>
      </c>
      <c r="I255" t="n">
        <v>0</v>
      </c>
      <c r="J255" t="n">
        <v>0</v>
      </c>
      <c r="K255" t="n">
        <v>0</v>
      </c>
      <c r="L255" t="n">
        <v>0</v>
      </c>
      <c r="M255" t="n">
        <v>0</v>
      </c>
      <c r="N255" t="n">
        <v>0</v>
      </c>
      <c r="O255" t="n">
        <v>0</v>
      </c>
      <c r="P255" t="n">
        <v>0</v>
      </c>
      <c r="Q255" t="n">
        <v>0</v>
      </c>
      <c r="R255" s="2" t="inlineStr"/>
    </row>
    <row r="256" ht="15" customHeight="1">
      <c r="A256" t="inlineStr">
        <is>
          <t>A 52823-2024</t>
        </is>
      </c>
      <c r="B256" s="1" t="n">
        <v>45610.59094907407</v>
      </c>
      <c r="C256" s="1" t="n">
        <v>45981</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3268-2024</t>
        </is>
      </c>
      <c r="B257" s="1" t="n">
        <v>45317</v>
      </c>
      <c r="C257" s="1" t="n">
        <v>45981</v>
      </c>
      <c r="D257" t="inlineStr">
        <is>
          <t>KALMAR LÄN</t>
        </is>
      </c>
      <c r="E257" t="inlineStr">
        <is>
          <t>VIMMERBY</t>
        </is>
      </c>
      <c r="F257" t="inlineStr">
        <is>
          <t>Övriga Aktiebolag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38604-2025</t>
        </is>
      </c>
      <c r="B258" s="1" t="n">
        <v>45884.50613425926</v>
      </c>
      <c r="C258" s="1" t="n">
        <v>45981</v>
      </c>
      <c r="D258" t="inlineStr">
        <is>
          <t>KALMAR LÄN</t>
        </is>
      </c>
      <c r="E258" t="inlineStr">
        <is>
          <t>VIMMERBY</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12819-2024</t>
        </is>
      </c>
      <c r="B259" s="1" t="n">
        <v>45384.66917824074</v>
      </c>
      <c r="C259" s="1" t="n">
        <v>45981</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11147-2023</t>
        </is>
      </c>
      <c r="B260" s="1" t="n">
        <v>44992</v>
      </c>
      <c r="C260" s="1" t="n">
        <v>45981</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19833-2023</t>
        </is>
      </c>
      <c r="B261" s="1" t="n">
        <v>45052</v>
      </c>
      <c r="C261" s="1" t="n">
        <v>45981</v>
      </c>
      <c r="D261" t="inlineStr">
        <is>
          <t>KALMAR LÄN</t>
        </is>
      </c>
      <c r="E261" t="inlineStr">
        <is>
          <t>VIMMERBY</t>
        </is>
      </c>
      <c r="G261" t="n">
        <v>6.7</v>
      </c>
      <c r="H261" t="n">
        <v>0</v>
      </c>
      <c r="I261" t="n">
        <v>0</v>
      </c>
      <c r="J261" t="n">
        <v>0</v>
      </c>
      <c r="K261" t="n">
        <v>0</v>
      </c>
      <c r="L261" t="n">
        <v>0</v>
      </c>
      <c r="M261" t="n">
        <v>0</v>
      </c>
      <c r="N261" t="n">
        <v>0</v>
      </c>
      <c r="O261" t="n">
        <v>0</v>
      </c>
      <c r="P261" t="n">
        <v>0</v>
      </c>
      <c r="Q261" t="n">
        <v>0</v>
      </c>
      <c r="R261" s="2" t="inlineStr"/>
    </row>
    <row r="262" ht="15" customHeight="1">
      <c r="A262" t="inlineStr">
        <is>
          <t>A 6214-2025</t>
        </is>
      </c>
      <c r="B262" s="1" t="n">
        <v>45698.51711805556</v>
      </c>
      <c r="C262" s="1" t="n">
        <v>45981</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32569-2024</t>
        </is>
      </c>
      <c r="B263" s="1" t="n">
        <v>45513.55840277778</v>
      </c>
      <c r="C263" s="1" t="n">
        <v>45981</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32575-2024</t>
        </is>
      </c>
      <c r="B264" s="1" t="n">
        <v>45513.56527777778</v>
      </c>
      <c r="C264" s="1" t="n">
        <v>45981</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14548-2024</t>
        </is>
      </c>
      <c r="B265" s="1" t="n">
        <v>45394.66887731481</v>
      </c>
      <c r="C265" s="1" t="n">
        <v>45981</v>
      </c>
      <c r="D265" t="inlineStr">
        <is>
          <t>KALMAR LÄN</t>
        </is>
      </c>
      <c r="E265" t="inlineStr">
        <is>
          <t>VIMMERBY</t>
        </is>
      </c>
      <c r="G265" t="n">
        <v>0.9</v>
      </c>
      <c r="H265" t="n">
        <v>0</v>
      </c>
      <c r="I265" t="n">
        <v>0</v>
      </c>
      <c r="J265" t="n">
        <v>0</v>
      </c>
      <c r="K265" t="n">
        <v>0</v>
      </c>
      <c r="L265" t="n">
        <v>0</v>
      </c>
      <c r="M265" t="n">
        <v>0</v>
      </c>
      <c r="N265" t="n">
        <v>0</v>
      </c>
      <c r="O265" t="n">
        <v>0</v>
      </c>
      <c r="P265" t="n">
        <v>0</v>
      </c>
      <c r="Q265" t="n">
        <v>0</v>
      </c>
      <c r="R265" s="2" t="inlineStr"/>
    </row>
    <row r="266" ht="15" customHeight="1">
      <c r="A266" t="inlineStr">
        <is>
          <t>A 585-2024</t>
        </is>
      </c>
      <c r="B266" s="1" t="n">
        <v>45299.62576388889</v>
      </c>
      <c r="C266" s="1" t="n">
        <v>45981</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56020-2024</t>
        </is>
      </c>
      <c r="B267" s="1" t="n">
        <v>45623.9525462963</v>
      </c>
      <c r="C267" s="1" t="n">
        <v>45981</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23252-2024</t>
        </is>
      </c>
      <c r="B268" s="1" t="n">
        <v>45453.36067129629</v>
      </c>
      <c r="C268" s="1" t="n">
        <v>45981</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59300-2024</t>
        </is>
      </c>
      <c r="B269" s="1" t="n">
        <v>45637.66542824074</v>
      </c>
      <c r="C269" s="1" t="n">
        <v>45981</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29726-2025</t>
        </is>
      </c>
      <c r="B270" s="1" t="n">
        <v>45825.57805555555</v>
      </c>
      <c r="C270" s="1" t="n">
        <v>45981</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15550-2023</t>
        </is>
      </c>
      <c r="B271" s="1" t="n">
        <v>45020</v>
      </c>
      <c r="C271" s="1" t="n">
        <v>45981</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59768-2024</t>
        </is>
      </c>
      <c r="B272" s="1" t="n">
        <v>45639.56185185185</v>
      </c>
      <c r="C272" s="1" t="n">
        <v>45981</v>
      </c>
      <c r="D272" t="inlineStr">
        <is>
          <t>KALMAR LÄN</t>
        </is>
      </c>
      <c r="E272" t="inlineStr">
        <is>
          <t>VIMMERBY</t>
        </is>
      </c>
      <c r="G272" t="n">
        <v>5.9</v>
      </c>
      <c r="H272" t="n">
        <v>0</v>
      </c>
      <c r="I272" t="n">
        <v>0</v>
      </c>
      <c r="J272" t="n">
        <v>0</v>
      </c>
      <c r="K272" t="n">
        <v>0</v>
      </c>
      <c r="L272" t="n">
        <v>0</v>
      </c>
      <c r="M272" t="n">
        <v>0</v>
      </c>
      <c r="N272" t="n">
        <v>0</v>
      </c>
      <c r="O272" t="n">
        <v>0</v>
      </c>
      <c r="P272" t="n">
        <v>0</v>
      </c>
      <c r="Q272" t="n">
        <v>0</v>
      </c>
      <c r="R272" s="2" t="inlineStr"/>
    </row>
    <row r="273" ht="15" customHeight="1">
      <c r="A273" t="inlineStr">
        <is>
          <t>A 11219-2023</t>
        </is>
      </c>
      <c r="B273" s="1" t="n">
        <v>44992.62498842592</v>
      </c>
      <c r="C273" s="1" t="n">
        <v>45981</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36526-2023</t>
        </is>
      </c>
      <c r="B274" s="1" t="n">
        <v>45153.32778935185</v>
      </c>
      <c r="C274" s="1" t="n">
        <v>45981</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18411-2021</t>
        </is>
      </c>
      <c r="B275" s="1" t="n">
        <v>44302</v>
      </c>
      <c r="C275" s="1" t="n">
        <v>45981</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47855-2024</t>
        </is>
      </c>
      <c r="B276" s="1" t="n">
        <v>45588.66457175926</v>
      </c>
      <c r="C276" s="1" t="n">
        <v>45981</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172-2022</t>
        </is>
      </c>
      <c r="B277" s="1" t="n">
        <v>44564.62598379629</v>
      </c>
      <c r="C277" s="1" t="n">
        <v>45981</v>
      </c>
      <c r="D277" t="inlineStr">
        <is>
          <t>KALMAR LÄN</t>
        </is>
      </c>
      <c r="E277" t="inlineStr">
        <is>
          <t>VIMMERBY</t>
        </is>
      </c>
      <c r="G277" t="n">
        <v>2.1</v>
      </c>
      <c r="H277" t="n">
        <v>0</v>
      </c>
      <c r="I277" t="n">
        <v>0</v>
      </c>
      <c r="J277" t="n">
        <v>0</v>
      </c>
      <c r="K277" t="n">
        <v>0</v>
      </c>
      <c r="L277" t="n">
        <v>0</v>
      </c>
      <c r="M277" t="n">
        <v>0</v>
      </c>
      <c r="N277" t="n">
        <v>0</v>
      </c>
      <c r="O277" t="n">
        <v>0</v>
      </c>
      <c r="P277" t="n">
        <v>0</v>
      </c>
      <c r="Q277" t="n">
        <v>0</v>
      </c>
      <c r="R277" s="2" t="inlineStr"/>
    </row>
    <row r="278" ht="15" customHeight="1">
      <c r="A278" t="inlineStr">
        <is>
          <t>A 39584-2024</t>
        </is>
      </c>
      <c r="B278" s="1" t="n">
        <v>45552.36759259259</v>
      </c>
      <c r="C278" s="1" t="n">
        <v>45981</v>
      </c>
      <c r="D278" t="inlineStr">
        <is>
          <t>KALMAR LÄN</t>
        </is>
      </c>
      <c r="E278" t="inlineStr">
        <is>
          <t>VIMMERBY</t>
        </is>
      </c>
      <c r="G278" t="n">
        <v>1.9</v>
      </c>
      <c r="H278" t="n">
        <v>0</v>
      </c>
      <c r="I278" t="n">
        <v>0</v>
      </c>
      <c r="J278" t="n">
        <v>0</v>
      </c>
      <c r="K278" t="n">
        <v>0</v>
      </c>
      <c r="L278" t="n">
        <v>0</v>
      </c>
      <c r="M278" t="n">
        <v>0</v>
      </c>
      <c r="N278" t="n">
        <v>0</v>
      </c>
      <c r="O278" t="n">
        <v>0</v>
      </c>
      <c r="P278" t="n">
        <v>0</v>
      </c>
      <c r="Q278" t="n">
        <v>0</v>
      </c>
      <c r="R278" s="2" t="inlineStr"/>
    </row>
    <row r="279" ht="15" customHeight="1">
      <c r="A279" t="inlineStr">
        <is>
          <t>A 58728-2024</t>
        </is>
      </c>
      <c r="B279" s="1" t="n">
        <v>45635.66695601852</v>
      </c>
      <c r="C279" s="1" t="n">
        <v>45981</v>
      </c>
      <c r="D279" t="inlineStr">
        <is>
          <t>KALMAR LÄN</t>
        </is>
      </c>
      <c r="E279" t="inlineStr">
        <is>
          <t>VIMMERBY</t>
        </is>
      </c>
      <c r="G279" t="n">
        <v>0.4</v>
      </c>
      <c r="H279" t="n">
        <v>0</v>
      </c>
      <c r="I279" t="n">
        <v>0</v>
      </c>
      <c r="J279" t="n">
        <v>0</v>
      </c>
      <c r="K279" t="n">
        <v>0</v>
      </c>
      <c r="L279" t="n">
        <v>0</v>
      </c>
      <c r="M279" t="n">
        <v>0</v>
      </c>
      <c r="N279" t="n">
        <v>0</v>
      </c>
      <c r="O279" t="n">
        <v>0</v>
      </c>
      <c r="P279" t="n">
        <v>0</v>
      </c>
      <c r="Q279" t="n">
        <v>0</v>
      </c>
      <c r="R279" s="2" t="inlineStr"/>
    </row>
    <row r="280" ht="15" customHeight="1">
      <c r="A280" t="inlineStr">
        <is>
          <t>A 49474-2023</t>
        </is>
      </c>
      <c r="B280" s="1" t="n">
        <v>45211.541875</v>
      </c>
      <c r="C280" s="1" t="n">
        <v>45981</v>
      </c>
      <c r="D280" t="inlineStr">
        <is>
          <t>KALMAR LÄN</t>
        </is>
      </c>
      <c r="E280" t="inlineStr">
        <is>
          <t>VIMMERBY</t>
        </is>
      </c>
      <c r="G280" t="n">
        <v>3.6</v>
      </c>
      <c r="H280" t="n">
        <v>0</v>
      </c>
      <c r="I280" t="n">
        <v>0</v>
      </c>
      <c r="J280" t="n">
        <v>0</v>
      </c>
      <c r="K280" t="n">
        <v>0</v>
      </c>
      <c r="L280" t="n">
        <v>0</v>
      </c>
      <c r="M280" t="n">
        <v>0</v>
      </c>
      <c r="N280" t="n">
        <v>0</v>
      </c>
      <c r="O280" t="n">
        <v>0</v>
      </c>
      <c r="P280" t="n">
        <v>0</v>
      </c>
      <c r="Q280" t="n">
        <v>0</v>
      </c>
      <c r="R280" s="2" t="inlineStr"/>
    </row>
    <row r="281" ht="15" customHeight="1">
      <c r="A281" t="inlineStr">
        <is>
          <t>A 51881-2024</t>
        </is>
      </c>
      <c r="B281" s="1" t="n">
        <v>45607.56773148148</v>
      </c>
      <c r="C281" s="1" t="n">
        <v>45981</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2596-2025</t>
        </is>
      </c>
      <c r="B282" s="1" t="n">
        <v>45674.71810185185</v>
      </c>
      <c r="C282" s="1" t="n">
        <v>45981</v>
      </c>
      <c r="D282" t="inlineStr">
        <is>
          <t>KALMAR LÄN</t>
        </is>
      </c>
      <c r="E282" t="inlineStr">
        <is>
          <t>VIMMERBY</t>
        </is>
      </c>
      <c r="G282" t="n">
        <v>9</v>
      </c>
      <c r="H282" t="n">
        <v>0</v>
      </c>
      <c r="I282" t="n">
        <v>0</v>
      </c>
      <c r="J282" t="n">
        <v>0</v>
      </c>
      <c r="K282" t="n">
        <v>0</v>
      </c>
      <c r="L282" t="n">
        <v>0</v>
      </c>
      <c r="M282" t="n">
        <v>0</v>
      </c>
      <c r="N282" t="n">
        <v>0</v>
      </c>
      <c r="O282" t="n">
        <v>0</v>
      </c>
      <c r="P282" t="n">
        <v>0</v>
      </c>
      <c r="Q282" t="n">
        <v>0</v>
      </c>
      <c r="R282" s="2" t="inlineStr"/>
    </row>
    <row r="283" ht="15" customHeight="1">
      <c r="A283" t="inlineStr">
        <is>
          <t>A 57682-2022</t>
        </is>
      </c>
      <c r="B283" s="1" t="n">
        <v>44890</v>
      </c>
      <c r="C283" s="1" t="n">
        <v>45981</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14220-2021</t>
        </is>
      </c>
      <c r="B284" s="1" t="n">
        <v>44278.54855324074</v>
      </c>
      <c r="C284" s="1" t="n">
        <v>45981</v>
      </c>
      <c r="D284" t="inlineStr">
        <is>
          <t>KALMAR LÄN</t>
        </is>
      </c>
      <c r="E284" t="inlineStr">
        <is>
          <t>VIMMERBY</t>
        </is>
      </c>
      <c r="G284" t="n">
        <v>0.3</v>
      </c>
      <c r="H284" t="n">
        <v>0</v>
      </c>
      <c r="I284" t="n">
        <v>0</v>
      </c>
      <c r="J284" t="n">
        <v>0</v>
      </c>
      <c r="K284" t="n">
        <v>0</v>
      </c>
      <c r="L284" t="n">
        <v>0</v>
      </c>
      <c r="M284" t="n">
        <v>0</v>
      </c>
      <c r="N284" t="n">
        <v>0</v>
      </c>
      <c r="O284" t="n">
        <v>0</v>
      </c>
      <c r="P284" t="n">
        <v>0</v>
      </c>
      <c r="Q284" t="n">
        <v>0</v>
      </c>
      <c r="R284" s="2" t="inlineStr"/>
    </row>
    <row r="285" ht="15" customHeight="1">
      <c r="A285" t="inlineStr">
        <is>
          <t>A 39801-2025</t>
        </is>
      </c>
      <c r="B285" s="1" t="n">
        <v>45891.50216435185</v>
      </c>
      <c r="C285" s="1" t="n">
        <v>45981</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63950-2023</t>
        </is>
      </c>
      <c r="B286" s="1" t="n">
        <v>45278</v>
      </c>
      <c r="C286" s="1" t="n">
        <v>45981</v>
      </c>
      <c r="D286" t="inlineStr">
        <is>
          <t>KALMAR LÄN</t>
        </is>
      </c>
      <c r="E286" t="inlineStr">
        <is>
          <t>VIMMERBY</t>
        </is>
      </c>
      <c r="F286" t="inlineStr">
        <is>
          <t>Kyrkan</t>
        </is>
      </c>
      <c r="G286" t="n">
        <v>2.7</v>
      </c>
      <c r="H286" t="n">
        <v>0</v>
      </c>
      <c r="I286" t="n">
        <v>0</v>
      </c>
      <c r="J286" t="n">
        <v>0</v>
      </c>
      <c r="K286" t="n">
        <v>0</v>
      </c>
      <c r="L286" t="n">
        <v>0</v>
      </c>
      <c r="M286" t="n">
        <v>0</v>
      </c>
      <c r="N286" t="n">
        <v>0</v>
      </c>
      <c r="O286" t="n">
        <v>0</v>
      </c>
      <c r="P286" t="n">
        <v>0</v>
      </c>
      <c r="Q286" t="n">
        <v>0</v>
      </c>
      <c r="R286" s="2" t="inlineStr"/>
    </row>
    <row r="287" ht="15" customHeight="1">
      <c r="A287" t="inlineStr">
        <is>
          <t>A 16734-2023</t>
        </is>
      </c>
      <c r="B287" s="1" t="n">
        <v>45030.71012731481</v>
      </c>
      <c r="C287" s="1" t="n">
        <v>45981</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39807-2025</t>
        </is>
      </c>
      <c r="B288" s="1" t="n">
        <v>45891.50986111111</v>
      </c>
      <c r="C288" s="1" t="n">
        <v>45981</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39736-2025</t>
        </is>
      </c>
      <c r="B289" s="1" t="n">
        <v>45891</v>
      </c>
      <c r="C289" s="1" t="n">
        <v>45981</v>
      </c>
      <c r="D289" t="inlineStr">
        <is>
          <t>KALMAR LÄN</t>
        </is>
      </c>
      <c r="E289" t="inlineStr">
        <is>
          <t>VIMMERBY</t>
        </is>
      </c>
      <c r="G289" t="n">
        <v>12.8</v>
      </c>
      <c r="H289" t="n">
        <v>0</v>
      </c>
      <c r="I289" t="n">
        <v>0</v>
      </c>
      <c r="J289" t="n">
        <v>0</v>
      </c>
      <c r="K289" t="n">
        <v>0</v>
      </c>
      <c r="L289" t="n">
        <v>0</v>
      </c>
      <c r="M289" t="n">
        <v>0</v>
      </c>
      <c r="N289" t="n">
        <v>0</v>
      </c>
      <c r="O289" t="n">
        <v>0</v>
      </c>
      <c r="P289" t="n">
        <v>0</v>
      </c>
      <c r="Q289" t="n">
        <v>0</v>
      </c>
      <c r="R289" s="2" t="inlineStr"/>
    </row>
    <row r="290" ht="15" customHeight="1">
      <c r="A290" t="inlineStr">
        <is>
          <t>A 16516-2023</t>
        </is>
      </c>
      <c r="B290" s="1" t="n">
        <v>45029</v>
      </c>
      <c r="C290" s="1" t="n">
        <v>45981</v>
      </c>
      <c r="D290" t="inlineStr">
        <is>
          <t>KALMAR LÄN</t>
        </is>
      </c>
      <c r="E290" t="inlineStr">
        <is>
          <t>VIMMERBY</t>
        </is>
      </c>
      <c r="G290" t="n">
        <v>4.3</v>
      </c>
      <c r="H290" t="n">
        <v>0</v>
      </c>
      <c r="I290" t="n">
        <v>0</v>
      </c>
      <c r="J290" t="n">
        <v>0</v>
      </c>
      <c r="K290" t="n">
        <v>0</v>
      </c>
      <c r="L290" t="n">
        <v>0</v>
      </c>
      <c r="M290" t="n">
        <v>0</v>
      </c>
      <c r="N290" t="n">
        <v>0</v>
      </c>
      <c r="O290" t="n">
        <v>0</v>
      </c>
      <c r="P290" t="n">
        <v>0</v>
      </c>
      <c r="Q290" t="n">
        <v>0</v>
      </c>
      <c r="R290" s="2" t="inlineStr"/>
    </row>
    <row r="291" ht="15" customHeight="1">
      <c r="A291" t="inlineStr">
        <is>
          <t>A 20129-2024</t>
        </is>
      </c>
      <c r="B291" s="1" t="n">
        <v>45434.55831018519</v>
      </c>
      <c r="C291" s="1" t="n">
        <v>45981</v>
      </c>
      <c r="D291" t="inlineStr">
        <is>
          <t>KALMAR LÄN</t>
        </is>
      </c>
      <c r="E291" t="inlineStr">
        <is>
          <t>VIMMERBY</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20137-2024</t>
        </is>
      </c>
      <c r="B292" s="1" t="n">
        <v>45434.56398148148</v>
      </c>
      <c r="C292" s="1" t="n">
        <v>45981</v>
      </c>
      <c r="D292" t="inlineStr">
        <is>
          <t>KALMAR LÄN</t>
        </is>
      </c>
      <c r="E292" t="inlineStr">
        <is>
          <t>VIMMERBY</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47842-2024</t>
        </is>
      </c>
      <c r="B293" s="1" t="n">
        <v>45588.65545138889</v>
      </c>
      <c r="C293" s="1" t="n">
        <v>45981</v>
      </c>
      <c r="D293" t="inlineStr">
        <is>
          <t>KALMAR LÄN</t>
        </is>
      </c>
      <c r="E293" t="inlineStr">
        <is>
          <t>VIMMERBY</t>
        </is>
      </c>
      <c r="G293" t="n">
        <v>2.4</v>
      </c>
      <c r="H293" t="n">
        <v>0</v>
      </c>
      <c r="I293" t="n">
        <v>0</v>
      </c>
      <c r="J293" t="n">
        <v>0</v>
      </c>
      <c r="K293" t="n">
        <v>0</v>
      </c>
      <c r="L293" t="n">
        <v>0</v>
      </c>
      <c r="M293" t="n">
        <v>0</v>
      </c>
      <c r="N293" t="n">
        <v>0</v>
      </c>
      <c r="O293" t="n">
        <v>0</v>
      </c>
      <c r="P293" t="n">
        <v>0</v>
      </c>
      <c r="Q293" t="n">
        <v>0</v>
      </c>
      <c r="R293" s="2" t="inlineStr"/>
    </row>
    <row r="294" ht="15" customHeight="1">
      <c r="A294" t="inlineStr">
        <is>
          <t>A 7456-2024</t>
        </is>
      </c>
      <c r="B294" s="1" t="n">
        <v>45345.83557870371</v>
      </c>
      <c r="C294" s="1" t="n">
        <v>45981</v>
      </c>
      <c r="D294" t="inlineStr">
        <is>
          <t>KALMAR LÄN</t>
        </is>
      </c>
      <c r="E294" t="inlineStr">
        <is>
          <t>VIMMERBY</t>
        </is>
      </c>
      <c r="G294" t="n">
        <v>4.1</v>
      </c>
      <c r="H294" t="n">
        <v>0</v>
      </c>
      <c r="I294" t="n">
        <v>0</v>
      </c>
      <c r="J294" t="n">
        <v>0</v>
      </c>
      <c r="K294" t="n">
        <v>0</v>
      </c>
      <c r="L294" t="n">
        <v>0</v>
      </c>
      <c r="M294" t="n">
        <v>0</v>
      </c>
      <c r="N294" t="n">
        <v>0</v>
      </c>
      <c r="O294" t="n">
        <v>0</v>
      </c>
      <c r="P294" t="n">
        <v>0</v>
      </c>
      <c r="Q294" t="n">
        <v>0</v>
      </c>
      <c r="R294" s="2" t="inlineStr"/>
    </row>
    <row r="295" ht="15" customHeight="1">
      <c r="A295" t="inlineStr">
        <is>
          <t>A 6408-2025</t>
        </is>
      </c>
      <c r="B295" s="1" t="n">
        <v>45699.45671296296</v>
      </c>
      <c r="C295" s="1" t="n">
        <v>45981</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25109-2023</t>
        </is>
      </c>
      <c r="B296" s="1" t="n">
        <v>45086</v>
      </c>
      <c r="C296" s="1" t="n">
        <v>45981</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39803-2025</t>
        </is>
      </c>
      <c r="B297" s="1" t="n">
        <v>45891.50525462963</v>
      </c>
      <c r="C297" s="1" t="n">
        <v>45981</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33380-2023</t>
        </is>
      </c>
      <c r="B298" s="1" t="n">
        <v>45128</v>
      </c>
      <c r="C298" s="1" t="n">
        <v>45981</v>
      </c>
      <c r="D298" t="inlineStr">
        <is>
          <t>KALMAR LÄN</t>
        </is>
      </c>
      <c r="E298" t="inlineStr">
        <is>
          <t>VIMMERBY</t>
        </is>
      </c>
      <c r="G298" t="n">
        <v>5.2</v>
      </c>
      <c r="H298" t="n">
        <v>0</v>
      </c>
      <c r="I298" t="n">
        <v>0</v>
      </c>
      <c r="J298" t="n">
        <v>0</v>
      </c>
      <c r="K298" t="n">
        <v>0</v>
      </c>
      <c r="L298" t="n">
        <v>0</v>
      </c>
      <c r="M298" t="n">
        <v>0</v>
      </c>
      <c r="N298" t="n">
        <v>0</v>
      </c>
      <c r="O298" t="n">
        <v>0</v>
      </c>
      <c r="P298" t="n">
        <v>0</v>
      </c>
      <c r="Q298" t="n">
        <v>0</v>
      </c>
      <c r="R298" s="2" t="inlineStr"/>
    </row>
    <row r="299" ht="15" customHeight="1">
      <c r="A299" t="inlineStr">
        <is>
          <t>A 39889-2025</t>
        </is>
      </c>
      <c r="B299" s="1" t="n">
        <v>45891</v>
      </c>
      <c r="C299" s="1" t="n">
        <v>45981</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52324-2023</t>
        </is>
      </c>
      <c r="B300" s="1" t="n">
        <v>45224.64659722222</v>
      </c>
      <c r="C300" s="1" t="n">
        <v>45981</v>
      </c>
      <c r="D300" t="inlineStr">
        <is>
          <t>KALMAR LÄN</t>
        </is>
      </c>
      <c r="E300" t="inlineStr">
        <is>
          <t>VIMMERBY</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32639-2023</t>
        </is>
      </c>
      <c r="B301" s="1" t="n">
        <v>45121.5965162037</v>
      </c>
      <c r="C301" s="1" t="n">
        <v>45981</v>
      </c>
      <c r="D301" t="inlineStr">
        <is>
          <t>KALMAR LÄN</t>
        </is>
      </c>
      <c r="E301" t="inlineStr">
        <is>
          <t>VIMMERBY</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32642-2023</t>
        </is>
      </c>
      <c r="B302" s="1" t="n">
        <v>45121.59954861111</v>
      </c>
      <c r="C302" s="1" t="n">
        <v>45981</v>
      </c>
      <c r="D302" t="inlineStr">
        <is>
          <t>KALMAR LÄN</t>
        </is>
      </c>
      <c r="E302" t="inlineStr">
        <is>
          <t>VIMMERBY</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32651-2023</t>
        </is>
      </c>
      <c r="B303" s="1" t="n">
        <v>45121.6096875</v>
      </c>
      <c r="C303" s="1" t="n">
        <v>45981</v>
      </c>
      <c r="D303" t="inlineStr">
        <is>
          <t>KALMAR LÄN</t>
        </is>
      </c>
      <c r="E303" t="inlineStr">
        <is>
          <t>VIMMERBY</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11928-2022</t>
        </is>
      </c>
      <c r="B304" s="1" t="n">
        <v>44635</v>
      </c>
      <c r="C304" s="1" t="n">
        <v>45981</v>
      </c>
      <c r="D304" t="inlineStr">
        <is>
          <t>KALMAR LÄN</t>
        </is>
      </c>
      <c r="E304" t="inlineStr">
        <is>
          <t>VIMMERBY</t>
        </is>
      </c>
      <c r="G304" t="n">
        <v>2.8</v>
      </c>
      <c r="H304" t="n">
        <v>0</v>
      </c>
      <c r="I304" t="n">
        <v>0</v>
      </c>
      <c r="J304" t="n">
        <v>0</v>
      </c>
      <c r="K304" t="n">
        <v>0</v>
      </c>
      <c r="L304" t="n">
        <v>0</v>
      </c>
      <c r="M304" t="n">
        <v>0</v>
      </c>
      <c r="N304" t="n">
        <v>0</v>
      </c>
      <c r="O304" t="n">
        <v>0</v>
      </c>
      <c r="P304" t="n">
        <v>0</v>
      </c>
      <c r="Q304" t="n">
        <v>0</v>
      </c>
      <c r="R304" s="2" t="inlineStr"/>
    </row>
    <row r="305" ht="15" customHeight="1">
      <c r="A305" t="inlineStr">
        <is>
          <t>A 17988-2025</t>
        </is>
      </c>
      <c r="B305" s="1" t="n">
        <v>45761.39600694444</v>
      </c>
      <c r="C305" s="1" t="n">
        <v>45981</v>
      </c>
      <c r="D305" t="inlineStr">
        <is>
          <t>KALMAR LÄN</t>
        </is>
      </c>
      <c r="E305" t="inlineStr">
        <is>
          <t>VIMMERBY</t>
        </is>
      </c>
      <c r="G305" t="n">
        <v>2.8</v>
      </c>
      <c r="H305" t="n">
        <v>0</v>
      </c>
      <c r="I305" t="n">
        <v>0</v>
      </c>
      <c r="J305" t="n">
        <v>0</v>
      </c>
      <c r="K305" t="n">
        <v>0</v>
      </c>
      <c r="L305" t="n">
        <v>0</v>
      </c>
      <c r="M305" t="n">
        <v>0</v>
      </c>
      <c r="N305" t="n">
        <v>0</v>
      </c>
      <c r="O305" t="n">
        <v>0</v>
      </c>
      <c r="P305" t="n">
        <v>0</v>
      </c>
      <c r="Q305" t="n">
        <v>0</v>
      </c>
      <c r="R305" s="2" t="inlineStr"/>
    </row>
    <row r="306" ht="15" customHeight="1">
      <c r="A306" t="inlineStr">
        <is>
          <t>A 23341-2022</t>
        </is>
      </c>
      <c r="B306" s="1" t="n">
        <v>44720.53898148148</v>
      </c>
      <c r="C306" s="1" t="n">
        <v>45981</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37028-2024</t>
        </is>
      </c>
      <c r="B307" s="1" t="n">
        <v>45539.38744212963</v>
      </c>
      <c r="C307" s="1" t="n">
        <v>45981</v>
      </c>
      <c r="D307" t="inlineStr">
        <is>
          <t>KALMAR LÄN</t>
        </is>
      </c>
      <c r="E307" t="inlineStr">
        <is>
          <t>VIMMERBY</t>
        </is>
      </c>
      <c r="G307" t="n">
        <v>5.2</v>
      </c>
      <c r="H307" t="n">
        <v>0</v>
      </c>
      <c r="I307" t="n">
        <v>0</v>
      </c>
      <c r="J307" t="n">
        <v>0</v>
      </c>
      <c r="K307" t="n">
        <v>0</v>
      </c>
      <c r="L307" t="n">
        <v>0</v>
      </c>
      <c r="M307" t="n">
        <v>0</v>
      </c>
      <c r="N307" t="n">
        <v>0</v>
      </c>
      <c r="O307" t="n">
        <v>0</v>
      </c>
      <c r="P307" t="n">
        <v>0</v>
      </c>
      <c r="Q307" t="n">
        <v>0</v>
      </c>
      <c r="R307" s="2" t="inlineStr"/>
    </row>
    <row r="308" ht="15" customHeight="1">
      <c r="A308" t="inlineStr">
        <is>
          <t>A 7068-2024</t>
        </is>
      </c>
      <c r="B308" s="1" t="n">
        <v>45343.68038194445</v>
      </c>
      <c r="C308" s="1" t="n">
        <v>45981</v>
      </c>
      <c r="D308" t="inlineStr">
        <is>
          <t>KALMAR LÄN</t>
        </is>
      </c>
      <c r="E308" t="inlineStr">
        <is>
          <t>VIMMERBY</t>
        </is>
      </c>
      <c r="G308" t="n">
        <v>2.5</v>
      </c>
      <c r="H308" t="n">
        <v>0</v>
      </c>
      <c r="I308" t="n">
        <v>0</v>
      </c>
      <c r="J308" t="n">
        <v>0</v>
      </c>
      <c r="K308" t="n">
        <v>0</v>
      </c>
      <c r="L308" t="n">
        <v>0</v>
      </c>
      <c r="M308" t="n">
        <v>0</v>
      </c>
      <c r="N308" t="n">
        <v>0</v>
      </c>
      <c r="O308" t="n">
        <v>0</v>
      </c>
      <c r="P308" t="n">
        <v>0</v>
      </c>
      <c r="Q308" t="n">
        <v>0</v>
      </c>
      <c r="R308" s="2" t="inlineStr"/>
    </row>
    <row r="309" ht="15" customHeight="1">
      <c r="A309" t="inlineStr">
        <is>
          <t>A 46234-2024</t>
        </is>
      </c>
      <c r="B309" s="1" t="n">
        <v>45581.57958333333</v>
      </c>
      <c r="C309" s="1" t="n">
        <v>45981</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6668-2023</t>
        </is>
      </c>
      <c r="B310" s="1" t="n">
        <v>44966</v>
      </c>
      <c r="C310" s="1" t="n">
        <v>45981</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29168-2024</t>
        </is>
      </c>
      <c r="B311" s="1" t="n">
        <v>45482.49870370371</v>
      </c>
      <c r="C311" s="1" t="n">
        <v>45981</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8086-2021</t>
        </is>
      </c>
      <c r="B312" s="1" t="n">
        <v>44243</v>
      </c>
      <c r="C312" s="1" t="n">
        <v>45981</v>
      </c>
      <c r="D312" t="inlineStr">
        <is>
          <t>KALMAR LÄN</t>
        </is>
      </c>
      <c r="E312" t="inlineStr">
        <is>
          <t>VIMMERBY</t>
        </is>
      </c>
      <c r="G312" t="n">
        <v>4.1</v>
      </c>
      <c r="H312" t="n">
        <v>0</v>
      </c>
      <c r="I312" t="n">
        <v>0</v>
      </c>
      <c r="J312" t="n">
        <v>0</v>
      </c>
      <c r="K312" t="n">
        <v>0</v>
      </c>
      <c r="L312" t="n">
        <v>0</v>
      </c>
      <c r="M312" t="n">
        <v>0</v>
      </c>
      <c r="N312" t="n">
        <v>0</v>
      </c>
      <c r="O312" t="n">
        <v>0</v>
      </c>
      <c r="P312" t="n">
        <v>0</v>
      </c>
      <c r="Q312" t="n">
        <v>0</v>
      </c>
      <c r="R312" s="2" t="inlineStr"/>
    </row>
    <row r="313" ht="15" customHeight="1">
      <c r="A313" t="inlineStr">
        <is>
          <t>A 37187-2024</t>
        </is>
      </c>
      <c r="B313" s="1" t="n">
        <v>45539.65212962963</v>
      </c>
      <c r="C313" s="1" t="n">
        <v>45981</v>
      </c>
      <c r="D313" t="inlineStr">
        <is>
          <t>KALMAR LÄN</t>
        </is>
      </c>
      <c r="E313" t="inlineStr">
        <is>
          <t>VIMMERBY</t>
        </is>
      </c>
      <c r="G313" t="n">
        <v>2.7</v>
      </c>
      <c r="H313" t="n">
        <v>0</v>
      </c>
      <c r="I313" t="n">
        <v>0</v>
      </c>
      <c r="J313" t="n">
        <v>0</v>
      </c>
      <c r="K313" t="n">
        <v>0</v>
      </c>
      <c r="L313" t="n">
        <v>0</v>
      </c>
      <c r="M313" t="n">
        <v>0</v>
      </c>
      <c r="N313" t="n">
        <v>0</v>
      </c>
      <c r="O313" t="n">
        <v>0</v>
      </c>
      <c r="P313" t="n">
        <v>0</v>
      </c>
      <c r="Q313" t="n">
        <v>0</v>
      </c>
      <c r="R313" s="2" t="inlineStr"/>
    </row>
    <row r="314" ht="15" customHeight="1">
      <c r="A314" t="inlineStr">
        <is>
          <t>A 55236-2023</t>
        </is>
      </c>
      <c r="B314" s="1" t="n">
        <v>45237.63225694445</v>
      </c>
      <c r="C314" s="1" t="n">
        <v>45981</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55245-2023</t>
        </is>
      </c>
      <c r="B315" s="1" t="n">
        <v>45237.64408564815</v>
      </c>
      <c r="C315" s="1" t="n">
        <v>45981</v>
      </c>
      <c r="D315" t="inlineStr">
        <is>
          <t>KALMAR LÄN</t>
        </is>
      </c>
      <c r="E315" t="inlineStr">
        <is>
          <t>VIMMERBY</t>
        </is>
      </c>
      <c r="G315" t="n">
        <v>1.3</v>
      </c>
      <c r="H315" t="n">
        <v>0</v>
      </c>
      <c r="I315" t="n">
        <v>0</v>
      </c>
      <c r="J315" t="n">
        <v>0</v>
      </c>
      <c r="K315" t="n">
        <v>0</v>
      </c>
      <c r="L315" t="n">
        <v>0</v>
      </c>
      <c r="M315" t="n">
        <v>0</v>
      </c>
      <c r="N315" t="n">
        <v>0</v>
      </c>
      <c r="O315" t="n">
        <v>0</v>
      </c>
      <c r="P315" t="n">
        <v>0</v>
      </c>
      <c r="Q315" t="n">
        <v>0</v>
      </c>
      <c r="R315" s="2" t="inlineStr"/>
    </row>
    <row r="316" ht="15" customHeight="1">
      <c r="A316" t="inlineStr">
        <is>
          <t>A 36055-2024</t>
        </is>
      </c>
      <c r="B316" s="1" t="n">
        <v>45533.63056712963</v>
      </c>
      <c r="C316" s="1" t="n">
        <v>45981</v>
      </c>
      <c r="D316" t="inlineStr">
        <is>
          <t>KALMAR LÄN</t>
        </is>
      </c>
      <c r="E316" t="inlineStr">
        <is>
          <t>VIMMERBY</t>
        </is>
      </c>
      <c r="F316" t="inlineStr">
        <is>
          <t>Kommuner</t>
        </is>
      </c>
      <c r="G316" t="n">
        <v>1.9</v>
      </c>
      <c r="H316" t="n">
        <v>0</v>
      </c>
      <c r="I316" t="n">
        <v>0</v>
      </c>
      <c r="J316" t="n">
        <v>0</v>
      </c>
      <c r="K316" t="n">
        <v>0</v>
      </c>
      <c r="L316" t="n">
        <v>0</v>
      </c>
      <c r="M316" t="n">
        <v>0</v>
      </c>
      <c r="N316" t="n">
        <v>0</v>
      </c>
      <c r="O316" t="n">
        <v>0</v>
      </c>
      <c r="P316" t="n">
        <v>0</v>
      </c>
      <c r="Q316" t="n">
        <v>0</v>
      </c>
      <c r="R316" s="2" t="inlineStr"/>
    </row>
    <row r="317" ht="15" customHeight="1">
      <c r="A317" t="inlineStr">
        <is>
          <t>A 40925-2025</t>
        </is>
      </c>
      <c r="B317" s="1" t="n">
        <v>45897.64208333333</v>
      </c>
      <c r="C317" s="1" t="n">
        <v>45981</v>
      </c>
      <c r="D317" t="inlineStr">
        <is>
          <t>KALMAR LÄN</t>
        </is>
      </c>
      <c r="E317" t="inlineStr">
        <is>
          <t>VIMMERBY</t>
        </is>
      </c>
      <c r="G317" t="n">
        <v>1.9</v>
      </c>
      <c r="H317" t="n">
        <v>0</v>
      </c>
      <c r="I317" t="n">
        <v>0</v>
      </c>
      <c r="J317" t="n">
        <v>0</v>
      </c>
      <c r="K317" t="n">
        <v>0</v>
      </c>
      <c r="L317" t="n">
        <v>0</v>
      </c>
      <c r="M317" t="n">
        <v>0</v>
      </c>
      <c r="N317" t="n">
        <v>0</v>
      </c>
      <c r="O317" t="n">
        <v>0</v>
      </c>
      <c r="P317" t="n">
        <v>0</v>
      </c>
      <c r="Q317" t="n">
        <v>0</v>
      </c>
      <c r="R317" s="2" t="inlineStr"/>
    </row>
    <row r="318" ht="15" customHeight="1">
      <c r="A318" t="inlineStr">
        <is>
          <t>A 1021-2024</t>
        </is>
      </c>
      <c r="B318" s="1" t="n">
        <v>45301.67736111111</v>
      </c>
      <c r="C318" s="1" t="n">
        <v>45981</v>
      </c>
      <c r="D318" t="inlineStr">
        <is>
          <t>KALMAR LÄN</t>
        </is>
      </c>
      <c r="E318" t="inlineStr">
        <is>
          <t>VIMMERBY</t>
        </is>
      </c>
      <c r="G318" t="n">
        <v>1</v>
      </c>
      <c r="H318" t="n">
        <v>0</v>
      </c>
      <c r="I318" t="n">
        <v>0</v>
      </c>
      <c r="J318" t="n">
        <v>0</v>
      </c>
      <c r="K318" t="n">
        <v>0</v>
      </c>
      <c r="L318" t="n">
        <v>0</v>
      </c>
      <c r="M318" t="n">
        <v>0</v>
      </c>
      <c r="N318" t="n">
        <v>0</v>
      </c>
      <c r="O318" t="n">
        <v>0</v>
      </c>
      <c r="P318" t="n">
        <v>0</v>
      </c>
      <c r="Q318" t="n">
        <v>0</v>
      </c>
      <c r="R318" s="2" t="inlineStr"/>
    </row>
    <row r="319" ht="15" customHeight="1">
      <c r="A319" t="inlineStr">
        <is>
          <t>A 40921-2025</t>
        </is>
      </c>
      <c r="B319" s="1" t="n">
        <v>45897.63520833333</v>
      </c>
      <c r="C319" s="1" t="n">
        <v>45981</v>
      </c>
      <c r="D319" t="inlineStr">
        <is>
          <t>KALMAR LÄN</t>
        </is>
      </c>
      <c r="E319" t="inlineStr">
        <is>
          <t>VIMMERBY</t>
        </is>
      </c>
      <c r="G319" t="n">
        <v>4.2</v>
      </c>
      <c r="H319" t="n">
        <v>0</v>
      </c>
      <c r="I319" t="n">
        <v>0</v>
      </c>
      <c r="J319" t="n">
        <v>0</v>
      </c>
      <c r="K319" t="n">
        <v>0</v>
      </c>
      <c r="L319" t="n">
        <v>0</v>
      </c>
      <c r="M319" t="n">
        <v>0</v>
      </c>
      <c r="N319" t="n">
        <v>0</v>
      </c>
      <c r="O319" t="n">
        <v>0</v>
      </c>
      <c r="P319" t="n">
        <v>0</v>
      </c>
      <c r="Q319" t="n">
        <v>0</v>
      </c>
      <c r="R319" s="2" t="inlineStr"/>
    </row>
    <row r="320" ht="15" customHeight="1">
      <c r="A320" t="inlineStr">
        <is>
          <t>A 72701-2021</t>
        </is>
      </c>
      <c r="B320" s="1" t="n">
        <v>44546</v>
      </c>
      <c r="C320" s="1" t="n">
        <v>45981</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19111-2025</t>
        </is>
      </c>
      <c r="B321" s="1" t="n">
        <v>45768.65611111111</v>
      </c>
      <c r="C321" s="1" t="n">
        <v>45981</v>
      </c>
      <c r="D321" t="inlineStr">
        <is>
          <t>KALMAR LÄN</t>
        </is>
      </c>
      <c r="E321" t="inlineStr">
        <is>
          <t>VIMMERBY</t>
        </is>
      </c>
      <c r="G321" t="n">
        <v>6.2</v>
      </c>
      <c r="H321" t="n">
        <v>0</v>
      </c>
      <c r="I321" t="n">
        <v>0</v>
      </c>
      <c r="J321" t="n">
        <v>0</v>
      </c>
      <c r="K321" t="n">
        <v>0</v>
      </c>
      <c r="L321" t="n">
        <v>0</v>
      </c>
      <c r="M321" t="n">
        <v>0</v>
      </c>
      <c r="N321" t="n">
        <v>0</v>
      </c>
      <c r="O321" t="n">
        <v>0</v>
      </c>
      <c r="P321" t="n">
        <v>0</v>
      </c>
      <c r="Q321" t="n">
        <v>0</v>
      </c>
      <c r="R321" s="2" t="inlineStr"/>
    </row>
    <row r="322" ht="15" customHeight="1">
      <c r="A322" t="inlineStr">
        <is>
          <t>A 33374-2021</t>
        </is>
      </c>
      <c r="B322" s="1" t="n">
        <v>44377</v>
      </c>
      <c r="C322" s="1" t="n">
        <v>45981</v>
      </c>
      <c r="D322" t="inlineStr">
        <is>
          <t>KALMAR LÄN</t>
        </is>
      </c>
      <c r="E322" t="inlineStr">
        <is>
          <t>VIMMERBY</t>
        </is>
      </c>
      <c r="G322" t="n">
        <v>3.3</v>
      </c>
      <c r="H322" t="n">
        <v>0</v>
      </c>
      <c r="I322" t="n">
        <v>0</v>
      </c>
      <c r="J322" t="n">
        <v>0</v>
      </c>
      <c r="K322" t="n">
        <v>0</v>
      </c>
      <c r="L322" t="n">
        <v>0</v>
      </c>
      <c r="M322" t="n">
        <v>0</v>
      </c>
      <c r="N322" t="n">
        <v>0</v>
      </c>
      <c r="O322" t="n">
        <v>0</v>
      </c>
      <c r="P322" t="n">
        <v>0</v>
      </c>
      <c r="Q322" t="n">
        <v>0</v>
      </c>
      <c r="R322" s="2" t="inlineStr"/>
    </row>
    <row r="323" ht="15" customHeight="1">
      <c r="A323" t="inlineStr">
        <is>
          <t>A 10807-2024</t>
        </is>
      </c>
      <c r="B323" s="1" t="n">
        <v>45369.62780092593</v>
      </c>
      <c r="C323" s="1" t="n">
        <v>45981</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27443-2023</t>
        </is>
      </c>
      <c r="B324" s="1" t="n">
        <v>45097.40524305555</v>
      </c>
      <c r="C324" s="1" t="n">
        <v>45981</v>
      </c>
      <c r="D324" t="inlineStr">
        <is>
          <t>KALMAR LÄN</t>
        </is>
      </c>
      <c r="E324" t="inlineStr">
        <is>
          <t>VIMMERBY</t>
        </is>
      </c>
      <c r="F324" t="inlineStr">
        <is>
          <t>Övriga Aktiebolag</t>
        </is>
      </c>
      <c r="G324" t="n">
        <v>2.3</v>
      </c>
      <c r="H324" t="n">
        <v>0</v>
      </c>
      <c r="I324" t="n">
        <v>0</v>
      </c>
      <c r="J324" t="n">
        <v>0</v>
      </c>
      <c r="K324" t="n">
        <v>0</v>
      </c>
      <c r="L324" t="n">
        <v>0</v>
      </c>
      <c r="M324" t="n">
        <v>0</v>
      </c>
      <c r="N324" t="n">
        <v>0</v>
      </c>
      <c r="O324" t="n">
        <v>0</v>
      </c>
      <c r="P324" t="n">
        <v>0</v>
      </c>
      <c r="Q324" t="n">
        <v>0</v>
      </c>
      <c r="R324" s="2" t="inlineStr"/>
    </row>
    <row r="325" ht="15" customHeight="1">
      <c r="A325" t="inlineStr">
        <is>
          <t>A 33359-2021</t>
        </is>
      </c>
      <c r="B325" s="1" t="n">
        <v>44377.49684027778</v>
      </c>
      <c r="C325" s="1" t="n">
        <v>45981</v>
      </c>
      <c r="D325" t="inlineStr">
        <is>
          <t>KALMAR LÄN</t>
        </is>
      </c>
      <c r="E325" t="inlineStr">
        <is>
          <t>VIMMERBY</t>
        </is>
      </c>
      <c r="F325" t="inlineStr">
        <is>
          <t>Kommuner</t>
        </is>
      </c>
      <c r="G325" t="n">
        <v>8</v>
      </c>
      <c r="H325" t="n">
        <v>0</v>
      </c>
      <c r="I325" t="n">
        <v>0</v>
      </c>
      <c r="J325" t="n">
        <v>0</v>
      </c>
      <c r="K325" t="n">
        <v>0</v>
      </c>
      <c r="L325" t="n">
        <v>0</v>
      </c>
      <c r="M325" t="n">
        <v>0</v>
      </c>
      <c r="N325" t="n">
        <v>0</v>
      </c>
      <c r="O325" t="n">
        <v>0</v>
      </c>
      <c r="P325" t="n">
        <v>0</v>
      </c>
      <c r="Q325" t="n">
        <v>0</v>
      </c>
      <c r="R325" s="2" t="inlineStr"/>
    </row>
    <row r="326" ht="15" customHeight="1">
      <c r="A326" t="inlineStr">
        <is>
          <t>A 845-2023</t>
        </is>
      </c>
      <c r="B326" s="1" t="n">
        <v>44931</v>
      </c>
      <c r="C326" s="1" t="n">
        <v>45981</v>
      </c>
      <c r="D326" t="inlineStr">
        <is>
          <t>KALMAR LÄN</t>
        </is>
      </c>
      <c r="E326" t="inlineStr">
        <is>
          <t>VIMMERBY</t>
        </is>
      </c>
      <c r="F326" t="inlineStr">
        <is>
          <t>Övriga Aktiebolag</t>
        </is>
      </c>
      <c r="G326" t="n">
        <v>19</v>
      </c>
      <c r="H326" t="n">
        <v>0</v>
      </c>
      <c r="I326" t="n">
        <v>0</v>
      </c>
      <c r="J326" t="n">
        <v>0</v>
      </c>
      <c r="K326" t="n">
        <v>0</v>
      </c>
      <c r="L326" t="n">
        <v>0</v>
      </c>
      <c r="M326" t="n">
        <v>0</v>
      </c>
      <c r="N326" t="n">
        <v>0</v>
      </c>
      <c r="O326" t="n">
        <v>0</v>
      </c>
      <c r="P326" t="n">
        <v>0</v>
      </c>
      <c r="Q326" t="n">
        <v>0</v>
      </c>
      <c r="R326" s="2" t="inlineStr"/>
    </row>
    <row r="327" ht="15" customHeight="1">
      <c r="A327" t="inlineStr">
        <is>
          <t>A 22399-2025</t>
        </is>
      </c>
      <c r="B327" s="1" t="n">
        <v>45786.52996527778</v>
      </c>
      <c r="C327" s="1" t="n">
        <v>45981</v>
      </c>
      <c r="D327" t="inlineStr">
        <is>
          <t>KALMAR LÄN</t>
        </is>
      </c>
      <c r="E327" t="inlineStr">
        <is>
          <t>VIMMERBY</t>
        </is>
      </c>
      <c r="G327" t="n">
        <v>2.1</v>
      </c>
      <c r="H327" t="n">
        <v>0</v>
      </c>
      <c r="I327" t="n">
        <v>0</v>
      </c>
      <c r="J327" t="n">
        <v>0</v>
      </c>
      <c r="K327" t="n">
        <v>0</v>
      </c>
      <c r="L327" t="n">
        <v>0</v>
      </c>
      <c r="M327" t="n">
        <v>0</v>
      </c>
      <c r="N327" t="n">
        <v>0</v>
      </c>
      <c r="O327" t="n">
        <v>0</v>
      </c>
      <c r="P327" t="n">
        <v>0</v>
      </c>
      <c r="Q327" t="n">
        <v>0</v>
      </c>
      <c r="R327" s="2" t="inlineStr"/>
    </row>
    <row r="328" ht="15" customHeight="1">
      <c r="A328" t="inlineStr">
        <is>
          <t>A 22397-2025</t>
        </is>
      </c>
      <c r="B328" s="1" t="n">
        <v>45786.52878472222</v>
      </c>
      <c r="C328" s="1" t="n">
        <v>45981</v>
      </c>
      <c r="D328" t="inlineStr">
        <is>
          <t>KALMAR LÄN</t>
        </is>
      </c>
      <c r="E328" t="inlineStr">
        <is>
          <t>VIMMERBY</t>
        </is>
      </c>
      <c r="G328" t="n">
        <v>0.8</v>
      </c>
      <c r="H328" t="n">
        <v>0</v>
      </c>
      <c r="I328" t="n">
        <v>0</v>
      </c>
      <c r="J328" t="n">
        <v>0</v>
      </c>
      <c r="K328" t="n">
        <v>0</v>
      </c>
      <c r="L328" t="n">
        <v>0</v>
      </c>
      <c r="M328" t="n">
        <v>0</v>
      </c>
      <c r="N328" t="n">
        <v>0</v>
      </c>
      <c r="O328" t="n">
        <v>0</v>
      </c>
      <c r="P328" t="n">
        <v>0</v>
      </c>
      <c r="Q328" t="n">
        <v>0</v>
      </c>
      <c r="R328" s="2" t="inlineStr"/>
    </row>
    <row r="329" ht="15" customHeight="1">
      <c r="A329" t="inlineStr">
        <is>
          <t>A 25582-2024</t>
        </is>
      </c>
      <c r="B329" s="1" t="n">
        <v>45463</v>
      </c>
      <c r="C329" s="1" t="n">
        <v>45981</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34588-2024</t>
        </is>
      </c>
      <c r="B330" s="1" t="n">
        <v>45526.3865625</v>
      </c>
      <c r="C330" s="1" t="n">
        <v>45981</v>
      </c>
      <c r="D330" t="inlineStr">
        <is>
          <t>KALMAR LÄN</t>
        </is>
      </c>
      <c r="E330" t="inlineStr">
        <is>
          <t>VIMMERBY</t>
        </is>
      </c>
      <c r="F330" t="inlineStr">
        <is>
          <t>Övriga Aktiebolag</t>
        </is>
      </c>
      <c r="G330" t="n">
        <v>3.3</v>
      </c>
      <c r="H330" t="n">
        <v>0</v>
      </c>
      <c r="I330" t="n">
        <v>0</v>
      </c>
      <c r="J330" t="n">
        <v>0</v>
      </c>
      <c r="K330" t="n">
        <v>0</v>
      </c>
      <c r="L330" t="n">
        <v>0</v>
      </c>
      <c r="M330" t="n">
        <v>0</v>
      </c>
      <c r="N330" t="n">
        <v>0</v>
      </c>
      <c r="O330" t="n">
        <v>0</v>
      </c>
      <c r="P330" t="n">
        <v>0</v>
      </c>
      <c r="Q330" t="n">
        <v>0</v>
      </c>
      <c r="R330" s="2" t="inlineStr"/>
    </row>
    <row r="331" ht="15" customHeight="1">
      <c r="A331" t="inlineStr">
        <is>
          <t>A 17084-2025</t>
        </is>
      </c>
      <c r="B331" s="1" t="n">
        <v>45755.64450231481</v>
      </c>
      <c r="C331" s="1" t="n">
        <v>45981</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33161-2024</t>
        </is>
      </c>
      <c r="B332" s="1" t="n">
        <v>45518.40657407408</v>
      </c>
      <c r="C332" s="1" t="n">
        <v>45981</v>
      </c>
      <c r="D332" t="inlineStr">
        <is>
          <t>KALMAR LÄN</t>
        </is>
      </c>
      <c r="E332" t="inlineStr">
        <is>
          <t>VIMMERBY</t>
        </is>
      </c>
      <c r="G332" t="n">
        <v>4.7</v>
      </c>
      <c r="H332" t="n">
        <v>0</v>
      </c>
      <c r="I332" t="n">
        <v>0</v>
      </c>
      <c r="J332" t="n">
        <v>0</v>
      </c>
      <c r="K332" t="n">
        <v>0</v>
      </c>
      <c r="L332" t="n">
        <v>0</v>
      </c>
      <c r="M332" t="n">
        <v>0</v>
      </c>
      <c r="N332" t="n">
        <v>0</v>
      </c>
      <c r="O332" t="n">
        <v>0</v>
      </c>
      <c r="P332" t="n">
        <v>0</v>
      </c>
      <c r="Q332" t="n">
        <v>0</v>
      </c>
      <c r="R332" s="2" t="inlineStr"/>
    </row>
    <row r="333" ht="15" customHeight="1">
      <c r="A333" t="inlineStr">
        <is>
          <t>A 41224-2025</t>
        </is>
      </c>
      <c r="B333" s="1" t="n">
        <v>45898.58861111111</v>
      </c>
      <c r="C333" s="1" t="n">
        <v>45981</v>
      </c>
      <c r="D333" t="inlineStr">
        <is>
          <t>KALMAR LÄN</t>
        </is>
      </c>
      <c r="E333" t="inlineStr">
        <is>
          <t>VIMMERBY</t>
        </is>
      </c>
      <c r="G333" t="n">
        <v>4.4</v>
      </c>
      <c r="H333" t="n">
        <v>0</v>
      </c>
      <c r="I333" t="n">
        <v>0</v>
      </c>
      <c r="J333" t="n">
        <v>0</v>
      </c>
      <c r="K333" t="n">
        <v>0</v>
      </c>
      <c r="L333" t="n">
        <v>0</v>
      </c>
      <c r="M333" t="n">
        <v>0</v>
      </c>
      <c r="N333" t="n">
        <v>0</v>
      </c>
      <c r="O333" t="n">
        <v>0</v>
      </c>
      <c r="P333" t="n">
        <v>0</v>
      </c>
      <c r="Q333" t="n">
        <v>0</v>
      </c>
      <c r="R333" s="2" t="inlineStr"/>
    </row>
    <row r="334" ht="15" customHeight="1">
      <c r="A334" t="inlineStr">
        <is>
          <t>A 49871-2025</t>
        </is>
      </c>
      <c r="B334" s="1" t="n">
        <v>45940.54104166666</v>
      </c>
      <c r="C334" s="1" t="n">
        <v>45981</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14359-2025</t>
        </is>
      </c>
      <c r="B335" s="1" t="n">
        <v>45741.37270833334</v>
      </c>
      <c r="C335" s="1" t="n">
        <v>45981</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6321-2023</t>
        </is>
      </c>
      <c r="B336" s="1" t="n">
        <v>44965.4815162037</v>
      </c>
      <c r="C336" s="1" t="n">
        <v>45981</v>
      </c>
      <c r="D336" t="inlineStr">
        <is>
          <t>KALMAR LÄN</t>
        </is>
      </c>
      <c r="E336" t="inlineStr">
        <is>
          <t>VIMMERBY</t>
        </is>
      </c>
      <c r="G336" t="n">
        <v>1.8</v>
      </c>
      <c r="H336" t="n">
        <v>0</v>
      </c>
      <c r="I336" t="n">
        <v>0</v>
      </c>
      <c r="J336" t="n">
        <v>0</v>
      </c>
      <c r="K336" t="n">
        <v>0</v>
      </c>
      <c r="L336" t="n">
        <v>0</v>
      </c>
      <c r="M336" t="n">
        <v>0</v>
      </c>
      <c r="N336" t="n">
        <v>0</v>
      </c>
      <c r="O336" t="n">
        <v>0</v>
      </c>
      <c r="P336" t="n">
        <v>0</v>
      </c>
      <c r="Q336" t="n">
        <v>0</v>
      </c>
      <c r="R336" s="2" t="inlineStr"/>
    </row>
    <row r="337" ht="15" customHeight="1">
      <c r="A337" t="inlineStr">
        <is>
          <t>A 4624-2024</t>
        </is>
      </c>
      <c r="B337" s="1" t="n">
        <v>45328.38755787037</v>
      </c>
      <c r="C337" s="1" t="n">
        <v>45981</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41591-2025</t>
        </is>
      </c>
      <c r="B338" s="1" t="n">
        <v>45901.6327662037</v>
      </c>
      <c r="C338" s="1" t="n">
        <v>45981</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40971-2025</t>
        </is>
      </c>
      <c r="B339" s="1" t="n">
        <v>45897.88836805556</v>
      </c>
      <c r="C339" s="1" t="n">
        <v>45981</v>
      </c>
      <c r="D339" t="inlineStr">
        <is>
          <t>KALMAR LÄN</t>
        </is>
      </c>
      <c r="E339" t="inlineStr">
        <is>
          <t>VIMMERBY</t>
        </is>
      </c>
      <c r="G339" t="n">
        <v>1.5</v>
      </c>
      <c r="H339" t="n">
        <v>0</v>
      </c>
      <c r="I339" t="n">
        <v>0</v>
      </c>
      <c r="J339" t="n">
        <v>0</v>
      </c>
      <c r="K339" t="n">
        <v>0</v>
      </c>
      <c r="L339" t="n">
        <v>0</v>
      </c>
      <c r="M339" t="n">
        <v>0</v>
      </c>
      <c r="N339" t="n">
        <v>0</v>
      </c>
      <c r="O339" t="n">
        <v>0</v>
      </c>
      <c r="P339" t="n">
        <v>0</v>
      </c>
      <c r="Q339" t="n">
        <v>0</v>
      </c>
      <c r="R339" s="2" t="inlineStr"/>
    </row>
    <row r="340" ht="15" customHeight="1">
      <c r="A340" t="inlineStr">
        <is>
          <t>A 41589-2025</t>
        </is>
      </c>
      <c r="B340" s="1" t="n">
        <v>45901.63219907408</v>
      </c>
      <c r="C340" s="1" t="n">
        <v>45981</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40970-2025</t>
        </is>
      </c>
      <c r="B341" s="1" t="n">
        <v>45897.88706018519</v>
      </c>
      <c r="C341" s="1" t="n">
        <v>45981</v>
      </c>
      <c r="D341" t="inlineStr">
        <is>
          <t>KALMAR LÄN</t>
        </is>
      </c>
      <c r="E341" t="inlineStr">
        <is>
          <t>VIMMERBY</t>
        </is>
      </c>
      <c r="G341" t="n">
        <v>1</v>
      </c>
      <c r="H341" t="n">
        <v>0</v>
      </c>
      <c r="I341" t="n">
        <v>0</v>
      </c>
      <c r="J341" t="n">
        <v>0</v>
      </c>
      <c r="K341" t="n">
        <v>0</v>
      </c>
      <c r="L341" t="n">
        <v>0</v>
      </c>
      <c r="M341" t="n">
        <v>0</v>
      </c>
      <c r="N341" t="n">
        <v>0</v>
      </c>
      <c r="O341" t="n">
        <v>0</v>
      </c>
      <c r="P341" t="n">
        <v>0</v>
      </c>
      <c r="Q341" t="n">
        <v>0</v>
      </c>
      <c r="R341" s="2" t="inlineStr"/>
    </row>
    <row r="342" ht="15" customHeight="1">
      <c r="A342" t="inlineStr">
        <is>
          <t>A 40973-2025</t>
        </is>
      </c>
      <c r="B342" s="1" t="n">
        <v>45897.89737268518</v>
      </c>
      <c r="C342" s="1" t="n">
        <v>45981</v>
      </c>
      <c r="D342" t="inlineStr">
        <is>
          <t>KALMAR LÄN</t>
        </is>
      </c>
      <c r="E342" t="inlineStr">
        <is>
          <t>VIMMERBY</t>
        </is>
      </c>
      <c r="G342" t="n">
        <v>1.8</v>
      </c>
      <c r="H342" t="n">
        <v>0</v>
      </c>
      <c r="I342" t="n">
        <v>0</v>
      </c>
      <c r="J342" t="n">
        <v>0</v>
      </c>
      <c r="K342" t="n">
        <v>0</v>
      </c>
      <c r="L342" t="n">
        <v>0</v>
      </c>
      <c r="M342" t="n">
        <v>0</v>
      </c>
      <c r="N342" t="n">
        <v>0</v>
      </c>
      <c r="O342" t="n">
        <v>0</v>
      </c>
      <c r="P342" t="n">
        <v>0</v>
      </c>
      <c r="Q342" t="n">
        <v>0</v>
      </c>
      <c r="R342" s="2" t="inlineStr"/>
    </row>
    <row r="343" ht="15" customHeight="1">
      <c r="A343" t="inlineStr">
        <is>
          <t>A 40730-2024</t>
        </is>
      </c>
      <c r="B343" s="1" t="n">
        <v>45558.44914351852</v>
      </c>
      <c r="C343" s="1" t="n">
        <v>45981</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57578-2024</t>
        </is>
      </c>
      <c r="B344" s="1" t="n">
        <v>45630.47564814815</v>
      </c>
      <c r="C344" s="1" t="n">
        <v>45981</v>
      </c>
      <c r="D344" t="inlineStr">
        <is>
          <t>KALMAR LÄN</t>
        </is>
      </c>
      <c r="E344" t="inlineStr">
        <is>
          <t>VIMMERBY</t>
        </is>
      </c>
      <c r="G344" t="n">
        <v>2.6</v>
      </c>
      <c r="H344" t="n">
        <v>0</v>
      </c>
      <c r="I344" t="n">
        <v>0</v>
      </c>
      <c r="J344" t="n">
        <v>0</v>
      </c>
      <c r="K344" t="n">
        <v>0</v>
      </c>
      <c r="L344" t="n">
        <v>0</v>
      </c>
      <c r="M344" t="n">
        <v>0</v>
      </c>
      <c r="N344" t="n">
        <v>0</v>
      </c>
      <c r="O344" t="n">
        <v>0</v>
      </c>
      <c r="P344" t="n">
        <v>0</v>
      </c>
      <c r="Q344" t="n">
        <v>0</v>
      </c>
      <c r="R344" s="2" t="inlineStr"/>
    </row>
    <row r="345" ht="15" customHeight="1">
      <c r="A345" t="inlineStr">
        <is>
          <t>A 7075-2021</t>
        </is>
      </c>
      <c r="B345" s="1" t="n">
        <v>44237</v>
      </c>
      <c r="C345" s="1" t="n">
        <v>45981</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2157-2024</t>
        </is>
      </c>
      <c r="B346" s="1" t="n">
        <v>45309.59487268519</v>
      </c>
      <c r="C346" s="1" t="n">
        <v>45981</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55605-2024</t>
        </is>
      </c>
      <c r="B347" s="1" t="n">
        <v>45622</v>
      </c>
      <c r="C347" s="1" t="n">
        <v>45981</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44464-2024</t>
        </is>
      </c>
      <c r="B348" s="1" t="n">
        <v>45574.35809027778</v>
      </c>
      <c r="C348" s="1" t="n">
        <v>45981</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36049-2024</t>
        </is>
      </c>
      <c r="B349" s="1" t="n">
        <v>45533.61996527778</v>
      </c>
      <c r="C349" s="1" t="n">
        <v>45981</v>
      </c>
      <c r="D349" t="inlineStr">
        <is>
          <t>KALMAR LÄN</t>
        </is>
      </c>
      <c r="E349" t="inlineStr">
        <is>
          <t>VIMMERBY</t>
        </is>
      </c>
      <c r="F349" t="inlineStr">
        <is>
          <t>Kommuner</t>
        </is>
      </c>
      <c r="G349" t="n">
        <v>2.6</v>
      </c>
      <c r="H349" t="n">
        <v>0</v>
      </c>
      <c r="I349" t="n">
        <v>0</v>
      </c>
      <c r="J349" t="n">
        <v>0</v>
      </c>
      <c r="K349" t="n">
        <v>0</v>
      </c>
      <c r="L349" t="n">
        <v>0</v>
      </c>
      <c r="M349" t="n">
        <v>0</v>
      </c>
      <c r="N349" t="n">
        <v>0</v>
      </c>
      <c r="O349" t="n">
        <v>0</v>
      </c>
      <c r="P349" t="n">
        <v>0</v>
      </c>
      <c r="Q349" t="n">
        <v>0</v>
      </c>
      <c r="R349" s="2" t="inlineStr"/>
    </row>
    <row r="350" ht="15" customHeight="1">
      <c r="A350" t="inlineStr">
        <is>
          <t>A 49461-2022</t>
        </is>
      </c>
      <c r="B350" s="1" t="n">
        <v>44861</v>
      </c>
      <c r="C350" s="1" t="n">
        <v>45981</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4297-2022</t>
        </is>
      </c>
      <c r="B351" s="1" t="n">
        <v>44588</v>
      </c>
      <c r="C351" s="1" t="n">
        <v>45981</v>
      </c>
      <c r="D351" t="inlineStr">
        <is>
          <t>KALMAR LÄN</t>
        </is>
      </c>
      <c r="E351" t="inlineStr">
        <is>
          <t>VIMMERBY</t>
        </is>
      </c>
      <c r="G351" t="n">
        <v>1</v>
      </c>
      <c r="H351" t="n">
        <v>0</v>
      </c>
      <c r="I351" t="n">
        <v>0</v>
      </c>
      <c r="J351" t="n">
        <v>0</v>
      </c>
      <c r="K351" t="n">
        <v>0</v>
      </c>
      <c r="L351" t="n">
        <v>0</v>
      </c>
      <c r="M351" t="n">
        <v>0</v>
      </c>
      <c r="N351" t="n">
        <v>0</v>
      </c>
      <c r="O351" t="n">
        <v>0</v>
      </c>
      <c r="P351" t="n">
        <v>0</v>
      </c>
      <c r="Q351" t="n">
        <v>0</v>
      </c>
      <c r="R351" s="2" t="inlineStr"/>
    </row>
    <row r="352" ht="15" customHeight="1">
      <c r="A352" t="inlineStr">
        <is>
          <t>A 34090-2025</t>
        </is>
      </c>
      <c r="B352" s="1" t="n">
        <v>45845</v>
      </c>
      <c r="C352" s="1" t="n">
        <v>45981</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694-2024</t>
        </is>
      </c>
      <c r="B353" s="1" t="n">
        <v>45300.3794212963</v>
      </c>
      <c r="C353" s="1" t="n">
        <v>45981</v>
      </c>
      <c r="D353" t="inlineStr">
        <is>
          <t>KALMAR LÄN</t>
        </is>
      </c>
      <c r="E353" t="inlineStr">
        <is>
          <t>VIMMERBY</t>
        </is>
      </c>
      <c r="G353" t="n">
        <v>1.4</v>
      </c>
      <c r="H353" t="n">
        <v>0</v>
      </c>
      <c r="I353" t="n">
        <v>0</v>
      </c>
      <c r="J353" t="n">
        <v>0</v>
      </c>
      <c r="K353" t="n">
        <v>0</v>
      </c>
      <c r="L353" t="n">
        <v>0</v>
      </c>
      <c r="M353" t="n">
        <v>0</v>
      </c>
      <c r="N353" t="n">
        <v>0</v>
      </c>
      <c r="O353" t="n">
        <v>0</v>
      </c>
      <c r="P353" t="n">
        <v>0</v>
      </c>
      <c r="Q353" t="n">
        <v>0</v>
      </c>
      <c r="R353" s="2" t="inlineStr"/>
    </row>
    <row r="354" ht="15" customHeight="1">
      <c r="A354" t="inlineStr">
        <is>
          <t>A 6307-2025</t>
        </is>
      </c>
      <c r="B354" s="1" t="n">
        <v>45698.69016203703</v>
      </c>
      <c r="C354" s="1" t="n">
        <v>45981</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59598-2023</t>
        </is>
      </c>
      <c r="B355" s="1" t="n">
        <v>45254.62489583333</v>
      </c>
      <c r="C355" s="1" t="n">
        <v>45981</v>
      </c>
      <c r="D355" t="inlineStr">
        <is>
          <t>KALMAR LÄN</t>
        </is>
      </c>
      <c r="E355" t="inlineStr">
        <is>
          <t>VIMMERBY</t>
        </is>
      </c>
      <c r="F355" t="inlineStr">
        <is>
          <t>Övriga Aktiebolag</t>
        </is>
      </c>
      <c r="G355" t="n">
        <v>4</v>
      </c>
      <c r="H355" t="n">
        <v>0</v>
      </c>
      <c r="I355" t="n">
        <v>0</v>
      </c>
      <c r="J355" t="n">
        <v>0</v>
      </c>
      <c r="K355" t="n">
        <v>0</v>
      </c>
      <c r="L355" t="n">
        <v>0</v>
      </c>
      <c r="M355" t="n">
        <v>0</v>
      </c>
      <c r="N355" t="n">
        <v>0</v>
      </c>
      <c r="O355" t="n">
        <v>0</v>
      </c>
      <c r="P355" t="n">
        <v>0</v>
      </c>
      <c r="Q355" t="n">
        <v>0</v>
      </c>
      <c r="R355" s="2" t="inlineStr"/>
    </row>
    <row r="356" ht="15" customHeight="1">
      <c r="A356" t="inlineStr">
        <is>
          <t>A 7944-2024</t>
        </is>
      </c>
      <c r="B356" s="1" t="n">
        <v>45350.53306712963</v>
      </c>
      <c r="C356" s="1" t="n">
        <v>45981</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46399-2024</t>
        </is>
      </c>
      <c r="B357" s="1" t="n">
        <v>45582.41200231481</v>
      </c>
      <c r="C357" s="1" t="n">
        <v>45981</v>
      </c>
      <c r="D357" t="inlineStr">
        <is>
          <t>KALMAR LÄN</t>
        </is>
      </c>
      <c r="E357" t="inlineStr">
        <is>
          <t>VIMMERBY</t>
        </is>
      </c>
      <c r="G357" t="n">
        <v>4.6</v>
      </c>
      <c r="H357" t="n">
        <v>0</v>
      </c>
      <c r="I357" t="n">
        <v>0</v>
      </c>
      <c r="J357" t="n">
        <v>0</v>
      </c>
      <c r="K357" t="n">
        <v>0</v>
      </c>
      <c r="L357" t="n">
        <v>0</v>
      </c>
      <c r="M357" t="n">
        <v>0</v>
      </c>
      <c r="N357" t="n">
        <v>0</v>
      </c>
      <c r="O357" t="n">
        <v>0</v>
      </c>
      <c r="P357" t="n">
        <v>0</v>
      </c>
      <c r="Q357" t="n">
        <v>0</v>
      </c>
      <c r="R357" s="2" t="inlineStr"/>
    </row>
    <row r="358" ht="15" customHeight="1">
      <c r="A358" t="inlineStr">
        <is>
          <t>A 21496-2023</t>
        </is>
      </c>
      <c r="B358" s="1" t="n">
        <v>45063.49936342592</v>
      </c>
      <c r="C358" s="1" t="n">
        <v>45981</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11442-2025</t>
        </is>
      </c>
      <c r="B359" s="1" t="n">
        <v>45726.62721064815</v>
      </c>
      <c r="C359" s="1" t="n">
        <v>45981</v>
      </c>
      <c r="D359" t="inlineStr">
        <is>
          <t>KALMAR LÄN</t>
        </is>
      </c>
      <c r="E359" t="inlineStr">
        <is>
          <t>VIMMERBY</t>
        </is>
      </c>
      <c r="G359" t="n">
        <v>2.6</v>
      </c>
      <c r="H359" t="n">
        <v>0</v>
      </c>
      <c r="I359" t="n">
        <v>0</v>
      </c>
      <c r="J359" t="n">
        <v>0</v>
      </c>
      <c r="K359" t="n">
        <v>0</v>
      </c>
      <c r="L359" t="n">
        <v>0</v>
      </c>
      <c r="M359" t="n">
        <v>0</v>
      </c>
      <c r="N359" t="n">
        <v>0</v>
      </c>
      <c r="O359" t="n">
        <v>0</v>
      </c>
      <c r="P359" t="n">
        <v>0</v>
      </c>
      <c r="Q359" t="n">
        <v>0</v>
      </c>
      <c r="R359" s="2" t="inlineStr"/>
    </row>
    <row r="360" ht="15" customHeight="1">
      <c r="A360" t="inlineStr">
        <is>
          <t>A 50324-2025</t>
        </is>
      </c>
      <c r="B360" s="1" t="n">
        <v>45944.45962962963</v>
      </c>
      <c r="C360" s="1" t="n">
        <v>45981</v>
      </c>
      <c r="D360" t="inlineStr">
        <is>
          <t>KALMAR LÄN</t>
        </is>
      </c>
      <c r="E360" t="inlineStr">
        <is>
          <t>VIMMERBY</t>
        </is>
      </c>
      <c r="G360" t="n">
        <v>2.1</v>
      </c>
      <c r="H360" t="n">
        <v>0</v>
      </c>
      <c r="I360" t="n">
        <v>0</v>
      </c>
      <c r="J360" t="n">
        <v>0</v>
      </c>
      <c r="K360" t="n">
        <v>0</v>
      </c>
      <c r="L360" t="n">
        <v>0</v>
      </c>
      <c r="M360" t="n">
        <v>0</v>
      </c>
      <c r="N360" t="n">
        <v>0</v>
      </c>
      <c r="O360" t="n">
        <v>0</v>
      </c>
      <c r="P360" t="n">
        <v>0</v>
      </c>
      <c r="Q360" t="n">
        <v>0</v>
      </c>
      <c r="R360" s="2" t="inlineStr"/>
    </row>
    <row r="361" ht="15" customHeight="1">
      <c r="A361" t="inlineStr">
        <is>
          <t>A 13532-2025</t>
        </is>
      </c>
      <c r="B361" s="1" t="n">
        <v>45736.50743055555</v>
      </c>
      <c r="C361" s="1" t="n">
        <v>45981</v>
      </c>
      <c r="D361" t="inlineStr">
        <is>
          <t>KALMAR LÄN</t>
        </is>
      </c>
      <c r="E361" t="inlineStr">
        <is>
          <t>VIMMERBY</t>
        </is>
      </c>
      <c r="G361" t="n">
        <v>3.6</v>
      </c>
      <c r="H361" t="n">
        <v>0</v>
      </c>
      <c r="I361" t="n">
        <v>0</v>
      </c>
      <c r="J361" t="n">
        <v>0</v>
      </c>
      <c r="K361" t="n">
        <v>0</v>
      </c>
      <c r="L361" t="n">
        <v>0</v>
      </c>
      <c r="M361" t="n">
        <v>0</v>
      </c>
      <c r="N361" t="n">
        <v>0</v>
      </c>
      <c r="O361" t="n">
        <v>0</v>
      </c>
      <c r="P361" t="n">
        <v>0</v>
      </c>
      <c r="Q361" t="n">
        <v>0</v>
      </c>
      <c r="R361" s="2" t="inlineStr"/>
    </row>
    <row r="362" ht="15" customHeight="1">
      <c r="A362" t="inlineStr">
        <is>
          <t>A 29783-2024</t>
        </is>
      </c>
      <c r="B362" s="1" t="n">
        <v>45485.45778935185</v>
      </c>
      <c r="C362" s="1" t="n">
        <v>45981</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43038-2022</t>
        </is>
      </c>
      <c r="B363" s="1" t="n">
        <v>44833.60123842592</v>
      </c>
      <c r="C363" s="1" t="n">
        <v>45981</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41735-2025</t>
        </is>
      </c>
      <c r="B364" s="1" t="n">
        <v>45902.47164351852</v>
      </c>
      <c r="C364" s="1" t="n">
        <v>45981</v>
      </c>
      <c r="D364" t="inlineStr">
        <is>
          <t>KALMAR LÄN</t>
        </is>
      </c>
      <c r="E364" t="inlineStr">
        <is>
          <t>VIMMERBY</t>
        </is>
      </c>
      <c r="G364" t="n">
        <v>3</v>
      </c>
      <c r="H364" t="n">
        <v>0</v>
      </c>
      <c r="I364" t="n">
        <v>0</v>
      </c>
      <c r="J364" t="n">
        <v>0</v>
      </c>
      <c r="K364" t="n">
        <v>0</v>
      </c>
      <c r="L364" t="n">
        <v>0</v>
      </c>
      <c r="M364" t="n">
        <v>0</v>
      </c>
      <c r="N364" t="n">
        <v>0</v>
      </c>
      <c r="O364" t="n">
        <v>0</v>
      </c>
      <c r="P364" t="n">
        <v>0</v>
      </c>
      <c r="Q364" t="n">
        <v>0</v>
      </c>
      <c r="R364" s="2" t="inlineStr"/>
    </row>
    <row r="365" ht="15" customHeight="1">
      <c r="A365" t="inlineStr">
        <is>
          <t>A 12596-2021</t>
        </is>
      </c>
      <c r="B365" s="1" t="n">
        <v>44270.39765046296</v>
      </c>
      <c r="C365" s="1" t="n">
        <v>45981</v>
      </c>
      <c r="D365" t="inlineStr">
        <is>
          <t>KALMAR LÄN</t>
        </is>
      </c>
      <c r="E365" t="inlineStr">
        <is>
          <t>VIMMERBY</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35198-2023</t>
        </is>
      </c>
      <c r="B366" s="1" t="n">
        <v>45145</v>
      </c>
      <c r="C366" s="1" t="n">
        <v>45981</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23394-2025</t>
        </is>
      </c>
      <c r="B367" s="1" t="n">
        <v>45791.89865740741</v>
      </c>
      <c r="C367" s="1" t="n">
        <v>45981</v>
      </c>
      <c r="D367" t="inlineStr">
        <is>
          <t>KALMAR LÄN</t>
        </is>
      </c>
      <c r="E367" t="inlineStr">
        <is>
          <t>VIMMERBY</t>
        </is>
      </c>
      <c r="G367" t="n">
        <v>3.1</v>
      </c>
      <c r="H367" t="n">
        <v>0</v>
      </c>
      <c r="I367" t="n">
        <v>0</v>
      </c>
      <c r="J367" t="n">
        <v>0</v>
      </c>
      <c r="K367" t="n">
        <v>0</v>
      </c>
      <c r="L367" t="n">
        <v>0</v>
      </c>
      <c r="M367" t="n">
        <v>0</v>
      </c>
      <c r="N367" t="n">
        <v>0</v>
      </c>
      <c r="O367" t="n">
        <v>0</v>
      </c>
      <c r="P367" t="n">
        <v>0</v>
      </c>
      <c r="Q367" t="n">
        <v>0</v>
      </c>
      <c r="R367" s="2" t="inlineStr"/>
    </row>
    <row r="368" ht="15" customHeight="1">
      <c r="A368" t="inlineStr">
        <is>
          <t>A 43853-2023</t>
        </is>
      </c>
      <c r="B368" s="1" t="n">
        <v>45187.60813657408</v>
      </c>
      <c r="C368" s="1" t="n">
        <v>45981</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57799-2022</t>
        </is>
      </c>
      <c r="B369" s="1" t="n">
        <v>44897</v>
      </c>
      <c r="C369" s="1" t="n">
        <v>45981</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30921-2024</t>
        </is>
      </c>
      <c r="B370" s="1" t="n">
        <v>45498</v>
      </c>
      <c r="C370" s="1" t="n">
        <v>45981</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23984-2025</t>
        </is>
      </c>
      <c r="B371" s="1" t="n">
        <v>45796</v>
      </c>
      <c r="C371" s="1" t="n">
        <v>45981</v>
      </c>
      <c r="D371" t="inlineStr">
        <is>
          <t>KALMAR LÄN</t>
        </is>
      </c>
      <c r="E371" t="inlineStr">
        <is>
          <t>VIMMERBY</t>
        </is>
      </c>
      <c r="G371" t="n">
        <v>1.4</v>
      </c>
      <c r="H371" t="n">
        <v>0</v>
      </c>
      <c r="I371" t="n">
        <v>0</v>
      </c>
      <c r="J371" t="n">
        <v>0</v>
      </c>
      <c r="K371" t="n">
        <v>0</v>
      </c>
      <c r="L371" t="n">
        <v>0</v>
      </c>
      <c r="M371" t="n">
        <v>0</v>
      </c>
      <c r="N371" t="n">
        <v>0</v>
      </c>
      <c r="O371" t="n">
        <v>0</v>
      </c>
      <c r="P371" t="n">
        <v>0</v>
      </c>
      <c r="Q371" t="n">
        <v>0</v>
      </c>
      <c r="R371" s="2" t="inlineStr"/>
    </row>
    <row r="372" ht="15" customHeight="1">
      <c r="A372" t="inlineStr">
        <is>
          <t>A 9511-2023</t>
        </is>
      </c>
      <c r="B372" s="1" t="n">
        <v>44981.64725694444</v>
      </c>
      <c r="C372" s="1" t="n">
        <v>45981</v>
      </c>
      <c r="D372" t="inlineStr">
        <is>
          <t>KALMAR LÄN</t>
        </is>
      </c>
      <c r="E372" t="inlineStr">
        <is>
          <t>VIMMERBY</t>
        </is>
      </c>
      <c r="G372" t="n">
        <v>3.5</v>
      </c>
      <c r="H372" t="n">
        <v>0</v>
      </c>
      <c r="I372" t="n">
        <v>0</v>
      </c>
      <c r="J372" t="n">
        <v>0</v>
      </c>
      <c r="K372" t="n">
        <v>0</v>
      </c>
      <c r="L372" t="n">
        <v>0</v>
      </c>
      <c r="M372" t="n">
        <v>0</v>
      </c>
      <c r="N372" t="n">
        <v>0</v>
      </c>
      <c r="O372" t="n">
        <v>0</v>
      </c>
      <c r="P372" t="n">
        <v>0</v>
      </c>
      <c r="Q372" t="n">
        <v>0</v>
      </c>
      <c r="R372" s="2" t="inlineStr"/>
    </row>
    <row r="373" ht="15" customHeight="1">
      <c r="A373" t="inlineStr">
        <is>
          <t>A 50544-2025</t>
        </is>
      </c>
      <c r="B373" s="1" t="n">
        <v>45945.50736111111</v>
      </c>
      <c r="C373" s="1" t="n">
        <v>45981</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38757-2023</t>
        </is>
      </c>
      <c r="B374" s="1" t="n">
        <v>45163.41376157408</v>
      </c>
      <c r="C374" s="1" t="n">
        <v>45981</v>
      </c>
      <c r="D374" t="inlineStr">
        <is>
          <t>KALMAR LÄN</t>
        </is>
      </c>
      <c r="E374" t="inlineStr">
        <is>
          <t>VIMMERBY</t>
        </is>
      </c>
      <c r="G374" t="n">
        <v>2.5</v>
      </c>
      <c r="H374" t="n">
        <v>0</v>
      </c>
      <c r="I374" t="n">
        <v>0</v>
      </c>
      <c r="J374" t="n">
        <v>0</v>
      </c>
      <c r="K374" t="n">
        <v>0</v>
      </c>
      <c r="L374" t="n">
        <v>0</v>
      </c>
      <c r="M374" t="n">
        <v>0</v>
      </c>
      <c r="N374" t="n">
        <v>0</v>
      </c>
      <c r="O374" t="n">
        <v>0</v>
      </c>
      <c r="P374" t="n">
        <v>0</v>
      </c>
      <c r="Q374" t="n">
        <v>0</v>
      </c>
      <c r="R374" s="2" t="inlineStr"/>
    </row>
    <row r="375" ht="15" customHeight="1">
      <c r="A375" t="inlineStr">
        <is>
          <t>A 35082-2024</t>
        </is>
      </c>
      <c r="B375" s="1" t="n">
        <v>45527.68784722222</v>
      </c>
      <c r="C375" s="1" t="n">
        <v>45981</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29973-2023</t>
        </is>
      </c>
      <c r="B376" s="1" t="n">
        <v>45108.703125</v>
      </c>
      <c r="C376" s="1" t="n">
        <v>45981</v>
      </c>
      <c r="D376" t="inlineStr">
        <is>
          <t>KALMAR LÄN</t>
        </is>
      </c>
      <c r="E376" t="inlineStr">
        <is>
          <t>VIMMERBY</t>
        </is>
      </c>
      <c r="G376" t="n">
        <v>4</v>
      </c>
      <c r="H376" t="n">
        <v>0</v>
      </c>
      <c r="I376" t="n">
        <v>0</v>
      </c>
      <c r="J376" t="n">
        <v>0</v>
      </c>
      <c r="K376" t="n">
        <v>0</v>
      </c>
      <c r="L376" t="n">
        <v>0</v>
      </c>
      <c r="M376" t="n">
        <v>0</v>
      </c>
      <c r="N376" t="n">
        <v>0</v>
      </c>
      <c r="O376" t="n">
        <v>0</v>
      </c>
      <c r="P376" t="n">
        <v>0</v>
      </c>
      <c r="Q376" t="n">
        <v>0</v>
      </c>
      <c r="R376" s="2" t="inlineStr"/>
    </row>
    <row r="377" ht="15" customHeight="1">
      <c r="A377" t="inlineStr">
        <is>
          <t>A 14137-2023</t>
        </is>
      </c>
      <c r="B377" s="1" t="n">
        <v>45009.4671875</v>
      </c>
      <c r="C377" s="1" t="n">
        <v>45981</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64143-2021</t>
        </is>
      </c>
      <c r="B378" s="1" t="n">
        <v>44510.52157407408</v>
      </c>
      <c r="C378" s="1" t="n">
        <v>45981</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73938-2021</t>
        </is>
      </c>
      <c r="B379" s="1" t="n">
        <v>44553</v>
      </c>
      <c r="C379" s="1" t="n">
        <v>45981</v>
      </c>
      <c r="D379" t="inlineStr">
        <is>
          <t>KALMAR LÄN</t>
        </is>
      </c>
      <c r="E379" t="inlineStr">
        <is>
          <t>VIMMERBY</t>
        </is>
      </c>
      <c r="G379" t="n">
        <v>3.2</v>
      </c>
      <c r="H379" t="n">
        <v>0</v>
      </c>
      <c r="I379" t="n">
        <v>0</v>
      </c>
      <c r="J379" t="n">
        <v>0</v>
      </c>
      <c r="K379" t="n">
        <v>0</v>
      </c>
      <c r="L379" t="n">
        <v>0</v>
      </c>
      <c r="M379" t="n">
        <v>0</v>
      </c>
      <c r="N379" t="n">
        <v>0</v>
      </c>
      <c r="O379" t="n">
        <v>0</v>
      </c>
      <c r="P379" t="n">
        <v>0</v>
      </c>
      <c r="Q379" t="n">
        <v>0</v>
      </c>
      <c r="R379" s="2" t="inlineStr"/>
    </row>
    <row r="380" ht="15" customHeight="1">
      <c r="A380" t="inlineStr">
        <is>
          <t>A 51062-2025</t>
        </is>
      </c>
      <c r="B380" s="1" t="n">
        <v>45947.44685185186</v>
      </c>
      <c r="C380" s="1" t="n">
        <v>45981</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11152-2023</t>
        </is>
      </c>
      <c r="B381" s="1" t="n">
        <v>44992</v>
      </c>
      <c r="C381" s="1" t="n">
        <v>45981</v>
      </c>
      <c r="D381" t="inlineStr">
        <is>
          <t>KALMAR LÄN</t>
        </is>
      </c>
      <c r="E381" t="inlineStr">
        <is>
          <t>VIMMERBY</t>
        </is>
      </c>
      <c r="G381" t="n">
        <v>10.6</v>
      </c>
      <c r="H381" t="n">
        <v>0</v>
      </c>
      <c r="I381" t="n">
        <v>0</v>
      </c>
      <c r="J381" t="n">
        <v>0</v>
      </c>
      <c r="K381" t="n">
        <v>0</v>
      </c>
      <c r="L381" t="n">
        <v>0</v>
      </c>
      <c r="M381" t="n">
        <v>0</v>
      </c>
      <c r="N381" t="n">
        <v>0</v>
      </c>
      <c r="O381" t="n">
        <v>0</v>
      </c>
      <c r="P381" t="n">
        <v>0</v>
      </c>
      <c r="Q381" t="n">
        <v>0</v>
      </c>
      <c r="R381" s="2" t="inlineStr"/>
    </row>
    <row r="382" ht="15" customHeight="1">
      <c r="A382" t="inlineStr">
        <is>
          <t>A 40076-2021</t>
        </is>
      </c>
      <c r="B382" s="1" t="n">
        <v>44418</v>
      </c>
      <c r="C382" s="1" t="n">
        <v>45981</v>
      </c>
      <c r="D382" t="inlineStr">
        <is>
          <t>KALMAR LÄN</t>
        </is>
      </c>
      <c r="E382" t="inlineStr">
        <is>
          <t>VIMMERBY</t>
        </is>
      </c>
      <c r="G382" t="n">
        <v>2</v>
      </c>
      <c r="H382" t="n">
        <v>0</v>
      </c>
      <c r="I382" t="n">
        <v>0</v>
      </c>
      <c r="J382" t="n">
        <v>0</v>
      </c>
      <c r="K382" t="n">
        <v>0</v>
      </c>
      <c r="L382" t="n">
        <v>0</v>
      </c>
      <c r="M382" t="n">
        <v>0</v>
      </c>
      <c r="N382" t="n">
        <v>0</v>
      </c>
      <c r="O382" t="n">
        <v>0</v>
      </c>
      <c r="P382" t="n">
        <v>0</v>
      </c>
      <c r="Q382" t="n">
        <v>0</v>
      </c>
      <c r="R382" s="2" t="inlineStr"/>
    </row>
    <row r="383" ht="15" customHeight="1">
      <c r="A383" t="inlineStr">
        <is>
          <t>A 12499-2023</t>
        </is>
      </c>
      <c r="B383" s="1" t="n">
        <v>44999.86172453704</v>
      </c>
      <c r="C383" s="1" t="n">
        <v>45981</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12500-2023</t>
        </is>
      </c>
      <c r="B384" s="1" t="n">
        <v>44999.8625</v>
      </c>
      <c r="C384" s="1" t="n">
        <v>45981</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35846-2023</t>
        </is>
      </c>
      <c r="B385" s="1" t="n">
        <v>45148</v>
      </c>
      <c r="C385" s="1" t="n">
        <v>45981</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50648-2023</t>
        </is>
      </c>
      <c r="B386" s="1" t="n">
        <v>45217.47834490741</v>
      </c>
      <c r="C386" s="1" t="n">
        <v>45981</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49039-2021</t>
        </is>
      </c>
      <c r="B387" s="1" t="n">
        <v>44453.56578703703</v>
      </c>
      <c r="C387" s="1" t="n">
        <v>45981</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529-2022</t>
        </is>
      </c>
      <c r="B388" s="1" t="n">
        <v>44566</v>
      </c>
      <c r="C388" s="1" t="n">
        <v>45981</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58318-2021</t>
        </is>
      </c>
      <c r="B389" s="1" t="n">
        <v>44488.35878472222</v>
      </c>
      <c r="C389" s="1" t="n">
        <v>45981</v>
      </c>
      <c r="D389" t="inlineStr">
        <is>
          <t>KALMAR LÄN</t>
        </is>
      </c>
      <c r="E389" t="inlineStr">
        <is>
          <t>VIMMERBY</t>
        </is>
      </c>
      <c r="G389" t="n">
        <v>4</v>
      </c>
      <c r="H389" t="n">
        <v>0</v>
      </c>
      <c r="I389" t="n">
        <v>0</v>
      </c>
      <c r="J389" t="n">
        <v>0</v>
      </c>
      <c r="K389" t="n">
        <v>0</v>
      </c>
      <c r="L389" t="n">
        <v>0</v>
      </c>
      <c r="M389" t="n">
        <v>0</v>
      </c>
      <c r="N389" t="n">
        <v>0</v>
      </c>
      <c r="O389" t="n">
        <v>0</v>
      </c>
      <c r="P389" t="n">
        <v>0</v>
      </c>
      <c r="Q389" t="n">
        <v>0</v>
      </c>
      <c r="R389" s="2" t="inlineStr"/>
    </row>
    <row r="390" ht="15" customHeight="1">
      <c r="A390" t="inlineStr">
        <is>
          <t>A 89-2023</t>
        </is>
      </c>
      <c r="B390" s="1" t="n">
        <v>44918</v>
      </c>
      <c r="C390" s="1" t="n">
        <v>45981</v>
      </c>
      <c r="D390" t="inlineStr">
        <is>
          <t>KALMAR LÄN</t>
        </is>
      </c>
      <c r="E390" t="inlineStr">
        <is>
          <t>VIMMERBY</t>
        </is>
      </c>
      <c r="G390" t="n">
        <v>16.1</v>
      </c>
      <c r="H390" t="n">
        <v>0</v>
      </c>
      <c r="I390" t="n">
        <v>0</v>
      </c>
      <c r="J390" t="n">
        <v>0</v>
      </c>
      <c r="K390" t="n">
        <v>0</v>
      </c>
      <c r="L390" t="n">
        <v>0</v>
      </c>
      <c r="M390" t="n">
        <v>0</v>
      </c>
      <c r="N390" t="n">
        <v>0</v>
      </c>
      <c r="O390" t="n">
        <v>0</v>
      </c>
      <c r="P390" t="n">
        <v>0</v>
      </c>
      <c r="Q390" t="n">
        <v>0</v>
      </c>
      <c r="R390" s="2" t="inlineStr"/>
    </row>
    <row r="391" ht="15" customHeight="1">
      <c r="A391" t="inlineStr">
        <is>
          <t>A 23088-2024</t>
        </is>
      </c>
      <c r="B391" s="1" t="n">
        <v>45450.51092592593</v>
      </c>
      <c r="C391" s="1" t="n">
        <v>45981</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38851-2023</t>
        </is>
      </c>
      <c r="B392" s="1" t="n">
        <v>45163</v>
      </c>
      <c r="C392" s="1" t="n">
        <v>45981</v>
      </c>
      <c r="D392" t="inlineStr">
        <is>
          <t>KALMAR LÄN</t>
        </is>
      </c>
      <c r="E392" t="inlineStr">
        <is>
          <t>VIMMERBY</t>
        </is>
      </c>
      <c r="G392" t="n">
        <v>4.3</v>
      </c>
      <c r="H392" t="n">
        <v>0</v>
      </c>
      <c r="I392" t="n">
        <v>0</v>
      </c>
      <c r="J392" t="n">
        <v>0</v>
      </c>
      <c r="K392" t="n">
        <v>0</v>
      </c>
      <c r="L392" t="n">
        <v>0</v>
      </c>
      <c r="M392" t="n">
        <v>0</v>
      </c>
      <c r="N392" t="n">
        <v>0</v>
      </c>
      <c r="O392" t="n">
        <v>0</v>
      </c>
      <c r="P392" t="n">
        <v>0</v>
      </c>
      <c r="Q392" t="n">
        <v>0</v>
      </c>
      <c r="R392" s="2" t="inlineStr"/>
    </row>
    <row r="393" ht="15" customHeight="1">
      <c r="A393" t="inlineStr">
        <is>
          <t>A 10759-2023</t>
        </is>
      </c>
      <c r="B393" s="1" t="n">
        <v>44988</v>
      </c>
      <c r="C393" s="1" t="n">
        <v>45981</v>
      </c>
      <c r="D393" t="inlineStr">
        <is>
          <t>KALMAR LÄN</t>
        </is>
      </c>
      <c r="E393" t="inlineStr">
        <is>
          <t>VIMMERBY</t>
        </is>
      </c>
      <c r="G393" t="n">
        <v>0.4</v>
      </c>
      <c r="H393" t="n">
        <v>0</v>
      </c>
      <c r="I393" t="n">
        <v>0</v>
      </c>
      <c r="J393" t="n">
        <v>0</v>
      </c>
      <c r="K393" t="n">
        <v>0</v>
      </c>
      <c r="L393" t="n">
        <v>0</v>
      </c>
      <c r="M393" t="n">
        <v>0</v>
      </c>
      <c r="N393" t="n">
        <v>0</v>
      </c>
      <c r="O393" t="n">
        <v>0</v>
      </c>
      <c r="P393" t="n">
        <v>0</v>
      </c>
      <c r="Q393" t="n">
        <v>0</v>
      </c>
      <c r="R393" s="2" t="inlineStr"/>
    </row>
    <row r="394" ht="15" customHeight="1">
      <c r="A394" t="inlineStr">
        <is>
          <t>A 51278-2024</t>
        </is>
      </c>
      <c r="B394" s="1" t="n">
        <v>45603.74959490741</v>
      </c>
      <c r="C394" s="1" t="n">
        <v>45981</v>
      </c>
      <c r="D394" t="inlineStr">
        <is>
          <t>KALMAR LÄN</t>
        </is>
      </c>
      <c r="E394" t="inlineStr">
        <is>
          <t>VIMMERBY</t>
        </is>
      </c>
      <c r="G394" t="n">
        <v>3.4</v>
      </c>
      <c r="H394" t="n">
        <v>0</v>
      </c>
      <c r="I394" t="n">
        <v>0</v>
      </c>
      <c r="J394" t="n">
        <v>0</v>
      </c>
      <c r="K394" t="n">
        <v>0</v>
      </c>
      <c r="L394" t="n">
        <v>0</v>
      </c>
      <c r="M394" t="n">
        <v>0</v>
      </c>
      <c r="N394" t="n">
        <v>0</v>
      </c>
      <c r="O394" t="n">
        <v>0</v>
      </c>
      <c r="P394" t="n">
        <v>0</v>
      </c>
      <c r="Q394" t="n">
        <v>0</v>
      </c>
      <c r="R394" s="2" t="inlineStr"/>
    </row>
    <row r="395" ht="15" customHeight="1">
      <c r="A395" t="inlineStr">
        <is>
          <t>A 63583-2023</t>
        </is>
      </c>
      <c r="B395" s="1" t="n">
        <v>45275.41833333333</v>
      </c>
      <c r="C395" s="1" t="n">
        <v>45981</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40079-2023</t>
        </is>
      </c>
      <c r="B396" s="1" t="n">
        <v>45168.89298611111</v>
      </c>
      <c r="C396" s="1" t="n">
        <v>45981</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43774-2023</t>
        </is>
      </c>
      <c r="B397" s="1" t="n">
        <v>45187</v>
      </c>
      <c r="C397" s="1" t="n">
        <v>45981</v>
      </c>
      <c r="D397" t="inlineStr">
        <is>
          <t>KALMAR LÄN</t>
        </is>
      </c>
      <c r="E397" t="inlineStr">
        <is>
          <t>VIMMERBY</t>
        </is>
      </c>
      <c r="G397" t="n">
        <v>3.4</v>
      </c>
      <c r="H397" t="n">
        <v>0</v>
      </c>
      <c r="I397" t="n">
        <v>0</v>
      </c>
      <c r="J397" t="n">
        <v>0</v>
      </c>
      <c r="K397" t="n">
        <v>0</v>
      </c>
      <c r="L397" t="n">
        <v>0</v>
      </c>
      <c r="M397" t="n">
        <v>0</v>
      </c>
      <c r="N397" t="n">
        <v>0</v>
      </c>
      <c r="O397" t="n">
        <v>0</v>
      </c>
      <c r="P397" t="n">
        <v>0</v>
      </c>
      <c r="Q397" t="n">
        <v>0</v>
      </c>
      <c r="R397" s="2" t="inlineStr"/>
    </row>
    <row r="398" ht="15" customHeight="1">
      <c r="A398" t="inlineStr">
        <is>
          <t>A 29616-2022</t>
        </is>
      </c>
      <c r="B398" s="1" t="n">
        <v>44754</v>
      </c>
      <c r="C398" s="1" t="n">
        <v>45981</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46224-2024</t>
        </is>
      </c>
      <c r="B399" s="1" t="n">
        <v>45581.57016203704</v>
      </c>
      <c r="C399" s="1" t="n">
        <v>45981</v>
      </c>
      <c r="D399" t="inlineStr">
        <is>
          <t>KALMAR LÄN</t>
        </is>
      </c>
      <c r="E399" t="inlineStr">
        <is>
          <t>VIMMERBY</t>
        </is>
      </c>
      <c r="G399" t="n">
        <v>3.1</v>
      </c>
      <c r="H399" t="n">
        <v>0</v>
      </c>
      <c r="I399" t="n">
        <v>0</v>
      </c>
      <c r="J399" t="n">
        <v>0</v>
      </c>
      <c r="K399" t="n">
        <v>0</v>
      </c>
      <c r="L399" t="n">
        <v>0</v>
      </c>
      <c r="M399" t="n">
        <v>0</v>
      </c>
      <c r="N399" t="n">
        <v>0</v>
      </c>
      <c r="O399" t="n">
        <v>0</v>
      </c>
      <c r="P399" t="n">
        <v>0</v>
      </c>
      <c r="Q399" t="n">
        <v>0</v>
      </c>
      <c r="R399" s="2" t="inlineStr"/>
    </row>
    <row r="400" ht="15" customHeight="1">
      <c r="A400" t="inlineStr">
        <is>
          <t>A 46238-2024</t>
        </is>
      </c>
      <c r="B400" s="1" t="n">
        <v>45581.58418981481</v>
      </c>
      <c r="C400" s="1" t="n">
        <v>45981</v>
      </c>
      <c r="D400" t="inlineStr">
        <is>
          <t>KALMAR LÄN</t>
        </is>
      </c>
      <c r="E400" t="inlineStr">
        <is>
          <t>VIMMERBY</t>
        </is>
      </c>
      <c r="G400" t="n">
        <v>2.1</v>
      </c>
      <c r="H400" t="n">
        <v>0</v>
      </c>
      <c r="I400" t="n">
        <v>0</v>
      </c>
      <c r="J400" t="n">
        <v>0</v>
      </c>
      <c r="K400" t="n">
        <v>0</v>
      </c>
      <c r="L400" t="n">
        <v>0</v>
      </c>
      <c r="M400" t="n">
        <v>0</v>
      </c>
      <c r="N400" t="n">
        <v>0</v>
      </c>
      <c r="O400" t="n">
        <v>0</v>
      </c>
      <c r="P400" t="n">
        <v>0</v>
      </c>
      <c r="Q400" t="n">
        <v>0</v>
      </c>
      <c r="R400" s="2" t="inlineStr"/>
    </row>
    <row r="401" ht="15" customHeight="1">
      <c r="A401" t="inlineStr">
        <is>
          <t>A 30633-2024</t>
        </is>
      </c>
      <c r="B401" s="1" t="n">
        <v>45495</v>
      </c>
      <c r="C401" s="1" t="n">
        <v>45981</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54838-2024</t>
        </is>
      </c>
      <c r="B402" s="1" t="n">
        <v>45618.56787037037</v>
      </c>
      <c r="C402" s="1" t="n">
        <v>45981</v>
      </c>
      <c r="D402" t="inlineStr">
        <is>
          <t>KALMAR LÄN</t>
        </is>
      </c>
      <c r="E402" t="inlineStr">
        <is>
          <t>VIMMERBY</t>
        </is>
      </c>
      <c r="G402" t="n">
        <v>3.3</v>
      </c>
      <c r="H402" t="n">
        <v>0</v>
      </c>
      <c r="I402" t="n">
        <v>0</v>
      </c>
      <c r="J402" t="n">
        <v>0</v>
      </c>
      <c r="K402" t="n">
        <v>0</v>
      </c>
      <c r="L402" t="n">
        <v>0</v>
      </c>
      <c r="M402" t="n">
        <v>0</v>
      </c>
      <c r="N402" t="n">
        <v>0</v>
      </c>
      <c r="O402" t="n">
        <v>0</v>
      </c>
      <c r="P402" t="n">
        <v>0</v>
      </c>
      <c r="Q402" t="n">
        <v>0</v>
      </c>
      <c r="R402" s="2" t="inlineStr"/>
    </row>
    <row r="403" ht="15" customHeight="1">
      <c r="A403" t="inlineStr">
        <is>
          <t>A 6405-2025</t>
        </is>
      </c>
      <c r="B403" s="1" t="n">
        <v>45699.45392361111</v>
      </c>
      <c r="C403" s="1" t="n">
        <v>45981</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9456-2025</t>
        </is>
      </c>
      <c r="B404" s="1" t="n">
        <v>45715.44159722222</v>
      </c>
      <c r="C404" s="1" t="n">
        <v>45981</v>
      </c>
      <c r="D404" t="inlineStr">
        <is>
          <t>KALMAR LÄN</t>
        </is>
      </c>
      <c r="E404" t="inlineStr">
        <is>
          <t>VIMMERBY</t>
        </is>
      </c>
      <c r="G404" t="n">
        <v>1.5</v>
      </c>
      <c r="H404" t="n">
        <v>0</v>
      </c>
      <c r="I404" t="n">
        <v>0</v>
      </c>
      <c r="J404" t="n">
        <v>0</v>
      </c>
      <c r="K404" t="n">
        <v>0</v>
      </c>
      <c r="L404" t="n">
        <v>0</v>
      </c>
      <c r="M404" t="n">
        <v>0</v>
      </c>
      <c r="N404" t="n">
        <v>0</v>
      </c>
      <c r="O404" t="n">
        <v>0</v>
      </c>
      <c r="P404" t="n">
        <v>0</v>
      </c>
      <c r="Q404" t="n">
        <v>0</v>
      </c>
      <c r="R404" s="2" t="inlineStr"/>
    </row>
    <row r="405" ht="15" customHeight="1">
      <c r="A405" t="inlineStr">
        <is>
          <t>A 39578-2024</t>
        </is>
      </c>
      <c r="B405" s="1" t="n">
        <v>45552.36484953704</v>
      </c>
      <c r="C405" s="1" t="n">
        <v>45981</v>
      </c>
      <c r="D405" t="inlineStr">
        <is>
          <t>KALMAR LÄN</t>
        </is>
      </c>
      <c r="E405" t="inlineStr">
        <is>
          <t>VIMMERBY</t>
        </is>
      </c>
      <c r="G405" t="n">
        <v>1.5</v>
      </c>
      <c r="H405" t="n">
        <v>0</v>
      </c>
      <c r="I405" t="n">
        <v>0</v>
      </c>
      <c r="J405" t="n">
        <v>0</v>
      </c>
      <c r="K405" t="n">
        <v>0</v>
      </c>
      <c r="L405" t="n">
        <v>0</v>
      </c>
      <c r="M405" t="n">
        <v>0</v>
      </c>
      <c r="N405" t="n">
        <v>0</v>
      </c>
      <c r="O405" t="n">
        <v>0</v>
      </c>
      <c r="P405" t="n">
        <v>0</v>
      </c>
      <c r="Q405" t="n">
        <v>0</v>
      </c>
      <c r="R405" s="2" t="inlineStr"/>
    </row>
    <row r="406" ht="15" customHeight="1">
      <c r="A406" t="inlineStr">
        <is>
          <t>A 24707-2024</t>
        </is>
      </c>
      <c r="B406" s="1" t="n">
        <v>45460.62172453704</v>
      </c>
      <c r="C406" s="1" t="n">
        <v>45981</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42828-2025</t>
        </is>
      </c>
      <c r="B407" s="1" t="n">
        <v>45908.57716435185</v>
      </c>
      <c r="C407" s="1" t="n">
        <v>45981</v>
      </c>
      <c r="D407" t="inlineStr">
        <is>
          <t>KALMAR LÄN</t>
        </is>
      </c>
      <c r="E407" t="inlineStr">
        <is>
          <t>VIMMERBY</t>
        </is>
      </c>
      <c r="G407" t="n">
        <v>5.2</v>
      </c>
      <c r="H407" t="n">
        <v>0</v>
      </c>
      <c r="I407" t="n">
        <v>0</v>
      </c>
      <c r="J407" t="n">
        <v>0</v>
      </c>
      <c r="K407" t="n">
        <v>0</v>
      </c>
      <c r="L407" t="n">
        <v>0</v>
      </c>
      <c r="M407" t="n">
        <v>0</v>
      </c>
      <c r="N407" t="n">
        <v>0</v>
      </c>
      <c r="O407" t="n">
        <v>0</v>
      </c>
      <c r="P407" t="n">
        <v>0</v>
      </c>
      <c r="Q407" t="n">
        <v>0</v>
      </c>
      <c r="R407" s="2" t="inlineStr"/>
    </row>
    <row r="408" ht="15" customHeight="1">
      <c r="A408" t="inlineStr">
        <is>
          <t>A 11111-2023</t>
        </is>
      </c>
      <c r="B408" s="1" t="n">
        <v>44992.4255787037</v>
      </c>
      <c r="C408" s="1" t="n">
        <v>45981</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42794-2025</t>
        </is>
      </c>
      <c r="B409" s="1" t="n">
        <v>45908</v>
      </c>
      <c r="C409" s="1" t="n">
        <v>45981</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60437-2023</t>
        </is>
      </c>
      <c r="B410" s="1" t="n">
        <v>45259.51916666667</v>
      </c>
      <c r="C410" s="1" t="n">
        <v>45981</v>
      </c>
      <c r="D410" t="inlineStr">
        <is>
          <t>KALMAR LÄN</t>
        </is>
      </c>
      <c r="E410" t="inlineStr">
        <is>
          <t>VIMMERBY</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60438-2023</t>
        </is>
      </c>
      <c r="B411" s="1" t="n">
        <v>45259.52020833334</v>
      </c>
      <c r="C411" s="1" t="n">
        <v>45981</v>
      </c>
      <c r="D411" t="inlineStr">
        <is>
          <t>KALMAR LÄN</t>
        </is>
      </c>
      <c r="E411" t="inlineStr">
        <is>
          <t>VIMMERBY</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31056-2022</t>
        </is>
      </c>
      <c r="B412" s="1" t="n">
        <v>44769.45805555556</v>
      </c>
      <c r="C412" s="1" t="n">
        <v>45981</v>
      </c>
      <c r="D412" t="inlineStr">
        <is>
          <t>KALMAR LÄN</t>
        </is>
      </c>
      <c r="E412" t="inlineStr">
        <is>
          <t>VIMMERBY</t>
        </is>
      </c>
      <c r="G412" t="n">
        <v>2</v>
      </c>
      <c r="H412" t="n">
        <v>0</v>
      </c>
      <c r="I412" t="n">
        <v>0</v>
      </c>
      <c r="J412" t="n">
        <v>0</v>
      </c>
      <c r="K412" t="n">
        <v>0</v>
      </c>
      <c r="L412" t="n">
        <v>0</v>
      </c>
      <c r="M412" t="n">
        <v>0</v>
      </c>
      <c r="N412" t="n">
        <v>0</v>
      </c>
      <c r="O412" t="n">
        <v>0</v>
      </c>
      <c r="P412" t="n">
        <v>0</v>
      </c>
      <c r="Q412" t="n">
        <v>0</v>
      </c>
      <c r="R412" s="2" t="inlineStr"/>
    </row>
    <row r="413" ht="15" customHeight="1">
      <c r="A413" t="inlineStr">
        <is>
          <t>A 33383-2023</t>
        </is>
      </c>
      <c r="B413" s="1" t="n">
        <v>45128.58414351852</v>
      </c>
      <c r="C413" s="1" t="n">
        <v>45981</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42165-2024</t>
        </is>
      </c>
      <c r="B414" s="1" t="n">
        <v>45562.46342592593</v>
      </c>
      <c r="C414" s="1" t="n">
        <v>45981</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42820-2025</t>
        </is>
      </c>
      <c r="B415" s="1" t="n">
        <v>45908</v>
      </c>
      <c r="C415" s="1" t="n">
        <v>45981</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40828-2023</t>
        </is>
      </c>
      <c r="B416" s="1" t="n">
        <v>45171.96248842592</v>
      </c>
      <c r="C416" s="1" t="n">
        <v>45981</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25244-2023</t>
        </is>
      </c>
      <c r="B417" s="1" t="n">
        <v>45086</v>
      </c>
      <c r="C417" s="1" t="n">
        <v>45981</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61861-2024</t>
        </is>
      </c>
      <c r="B418" s="1" t="n">
        <v>45650.37370370371</v>
      </c>
      <c r="C418" s="1" t="n">
        <v>45981</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8650-2022</t>
        </is>
      </c>
      <c r="B419" s="1" t="n">
        <v>44613</v>
      </c>
      <c r="C419" s="1" t="n">
        <v>45981</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66022-2021</t>
        </is>
      </c>
      <c r="B420" s="1" t="n">
        <v>44517</v>
      </c>
      <c r="C420" s="1" t="n">
        <v>45981</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33340-2023</t>
        </is>
      </c>
      <c r="B421" s="1" t="n">
        <v>45128.37305555555</v>
      </c>
      <c r="C421" s="1" t="n">
        <v>45981</v>
      </c>
      <c r="D421" t="inlineStr">
        <is>
          <t>KALMAR LÄN</t>
        </is>
      </c>
      <c r="E421" t="inlineStr">
        <is>
          <t>VIMMERBY</t>
        </is>
      </c>
      <c r="G421" t="n">
        <v>1.5</v>
      </c>
      <c r="H421" t="n">
        <v>0</v>
      </c>
      <c r="I421" t="n">
        <v>0</v>
      </c>
      <c r="J421" t="n">
        <v>0</v>
      </c>
      <c r="K421" t="n">
        <v>0</v>
      </c>
      <c r="L421" t="n">
        <v>0</v>
      </c>
      <c r="M421" t="n">
        <v>0</v>
      </c>
      <c r="N421" t="n">
        <v>0</v>
      </c>
      <c r="O421" t="n">
        <v>0</v>
      </c>
      <c r="P421" t="n">
        <v>0</v>
      </c>
      <c r="Q421" t="n">
        <v>0</v>
      </c>
      <c r="R421" s="2" t="inlineStr"/>
    </row>
    <row r="422" ht="15" customHeight="1">
      <c r="A422" t="inlineStr">
        <is>
          <t>A 35895-2024</t>
        </is>
      </c>
      <c r="B422" s="1" t="n">
        <v>45533.38870370371</v>
      </c>
      <c r="C422" s="1" t="n">
        <v>45981</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44423-2023</t>
        </is>
      </c>
      <c r="B423" s="1" t="n">
        <v>45189</v>
      </c>
      <c r="C423" s="1" t="n">
        <v>45981</v>
      </c>
      <c r="D423" t="inlineStr">
        <is>
          <t>KALMAR LÄN</t>
        </is>
      </c>
      <c r="E423" t="inlineStr">
        <is>
          <t>VIMMERBY</t>
        </is>
      </c>
      <c r="G423" t="n">
        <v>0.7</v>
      </c>
      <c r="H423" t="n">
        <v>0</v>
      </c>
      <c r="I423" t="n">
        <v>0</v>
      </c>
      <c r="J423" t="n">
        <v>0</v>
      </c>
      <c r="K423" t="n">
        <v>0</v>
      </c>
      <c r="L423" t="n">
        <v>0</v>
      </c>
      <c r="M423" t="n">
        <v>0</v>
      </c>
      <c r="N423" t="n">
        <v>0</v>
      </c>
      <c r="O423" t="n">
        <v>0</v>
      </c>
      <c r="P423" t="n">
        <v>0</v>
      </c>
      <c r="Q423" t="n">
        <v>0</v>
      </c>
      <c r="R423" s="2" t="inlineStr"/>
    </row>
    <row r="424" ht="15" customHeight="1">
      <c r="A424" t="inlineStr">
        <is>
          <t>A 11073-2023</t>
        </is>
      </c>
      <c r="B424" s="1" t="n">
        <v>44992</v>
      </c>
      <c r="C424" s="1" t="n">
        <v>45981</v>
      </c>
      <c r="D424" t="inlineStr">
        <is>
          <t>KALMAR LÄN</t>
        </is>
      </c>
      <c r="E424" t="inlineStr">
        <is>
          <t>VIMMERBY</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37323-2024</t>
        </is>
      </c>
      <c r="B425" s="1" t="n">
        <v>45540.50098379629</v>
      </c>
      <c r="C425" s="1" t="n">
        <v>45981</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34060-2025</t>
        </is>
      </c>
      <c r="B426" s="1" t="n">
        <v>45845.42015046296</v>
      </c>
      <c r="C426" s="1" t="n">
        <v>45981</v>
      </c>
      <c r="D426" t="inlineStr">
        <is>
          <t>KALMAR LÄN</t>
        </is>
      </c>
      <c r="E426" t="inlineStr">
        <is>
          <t>VIMMERBY</t>
        </is>
      </c>
      <c r="G426" t="n">
        <v>5.7</v>
      </c>
      <c r="H426" t="n">
        <v>0</v>
      </c>
      <c r="I426" t="n">
        <v>0</v>
      </c>
      <c r="J426" t="n">
        <v>0</v>
      </c>
      <c r="K426" t="n">
        <v>0</v>
      </c>
      <c r="L426" t="n">
        <v>0</v>
      </c>
      <c r="M426" t="n">
        <v>0</v>
      </c>
      <c r="N426" t="n">
        <v>0</v>
      </c>
      <c r="O426" t="n">
        <v>0</v>
      </c>
      <c r="P426" t="n">
        <v>0</v>
      </c>
      <c r="Q426" t="n">
        <v>0</v>
      </c>
      <c r="R426" s="2" t="inlineStr"/>
    </row>
    <row r="427" ht="15" customHeight="1">
      <c r="A427" t="inlineStr">
        <is>
          <t>A 17-2025</t>
        </is>
      </c>
      <c r="B427" s="1" t="n">
        <v>45658.78774305555</v>
      </c>
      <c r="C427" s="1" t="n">
        <v>45981</v>
      </c>
      <c r="D427" t="inlineStr">
        <is>
          <t>KALMAR LÄN</t>
        </is>
      </c>
      <c r="E427" t="inlineStr">
        <is>
          <t>VIMMERBY</t>
        </is>
      </c>
      <c r="G427" t="n">
        <v>4.4</v>
      </c>
      <c r="H427" t="n">
        <v>0</v>
      </c>
      <c r="I427" t="n">
        <v>0</v>
      </c>
      <c r="J427" t="n">
        <v>0</v>
      </c>
      <c r="K427" t="n">
        <v>0</v>
      </c>
      <c r="L427" t="n">
        <v>0</v>
      </c>
      <c r="M427" t="n">
        <v>0</v>
      </c>
      <c r="N427" t="n">
        <v>0</v>
      </c>
      <c r="O427" t="n">
        <v>0</v>
      </c>
      <c r="P427" t="n">
        <v>0</v>
      </c>
      <c r="Q427" t="n">
        <v>0</v>
      </c>
      <c r="R427" s="2" t="inlineStr"/>
    </row>
    <row r="428" ht="15" customHeight="1">
      <c r="A428" t="inlineStr">
        <is>
          <t>A 32655-2023</t>
        </is>
      </c>
      <c r="B428" s="1" t="n">
        <v>45121.61318287037</v>
      </c>
      <c r="C428" s="1" t="n">
        <v>45981</v>
      </c>
      <c r="D428" t="inlineStr">
        <is>
          <t>KALMAR LÄN</t>
        </is>
      </c>
      <c r="E428" t="inlineStr">
        <is>
          <t>VIMMERBY</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63541-2023</t>
        </is>
      </c>
      <c r="B429" s="1" t="n">
        <v>45275.32266203704</v>
      </c>
      <c r="C429" s="1" t="n">
        <v>45981</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43465-2025</t>
        </is>
      </c>
      <c r="B430" s="1" t="n">
        <v>45911.47138888889</v>
      </c>
      <c r="C430" s="1" t="n">
        <v>45981</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28034-2022</t>
        </is>
      </c>
      <c r="B431" s="1" t="n">
        <v>44746.38834490741</v>
      </c>
      <c r="C431" s="1" t="n">
        <v>45981</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51990-2025</t>
        </is>
      </c>
      <c r="B432" s="1" t="n">
        <v>45952.58061342593</v>
      </c>
      <c r="C432" s="1" t="n">
        <v>45981</v>
      </c>
      <c r="D432" t="inlineStr">
        <is>
          <t>KALMAR LÄN</t>
        </is>
      </c>
      <c r="E432" t="inlineStr">
        <is>
          <t>VIMMERBY</t>
        </is>
      </c>
      <c r="G432" t="n">
        <v>2.4</v>
      </c>
      <c r="H432" t="n">
        <v>0</v>
      </c>
      <c r="I432" t="n">
        <v>0</v>
      </c>
      <c r="J432" t="n">
        <v>0</v>
      </c>
      <c r="K432" t="n">
        <v>0</v>
      </c>
      <c r="L432" t="n">
        <v>0</v>
      </c>
      <c r="M432" t="n">
        <v>0</v>
      </c>
      <c r="N432" t="n">
        <v>0</v>
      </c>
      <c r="O432" t="n">
        <v>0</v>
      </c>
      <c r="P432" t="n">
        <v>0</v>
      </c>
      <c r="Q432" t="n">
        <v>0</v>
      </c>
      <c r="R432" s="2" t="inlineStr"/>
    </row>
    <row r="433" ht="15" customHeight="1">
      <c r="A433" t="inlineStr">
        <is>
          <t>A 5938-2022</t>
        </is>
      </c>
      <c r="B433" s="1" t="n">
        <v>44598</v>
      </c>
      <c r="C433" s="1" t="n">
        <v>45981</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43617-2025</t>
        </is>
      </c>
      <c r="B434" s="1" t="n">
        <v>45911.67798611111</v>
      </c>
      <c r="C434" s="1" t="n">
        <v>45981</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18501-2024</t>
        </is>
      </c>
      <c r="B435" s="1" t="n">
        <v>45425.57538194444</v>
      </c>
      <c r="C435" s="1" t="n">
        <v>45981</v>
      </c>
      <c r="D435" t="inlineStr">
        <is>
          <t>KALMAR LÄN</t>
        </is>
      </c>
      <c r="E435" t="inlineStr">
        <is>
          <t>VIMMERBY</t>
        </is>
      </c>
      <c r="G435" t="n">
        <v>2</v>
      </c>
      <c r="H435" t="n">
        <v>0</v>
      </c>
      <c r="I435" t="n">
        <v>0</v>
      </c>
      <c r="J435" t="n">
        <v>0</v>
      </c>
      <c r="K435" t="n">
        <v>0</v>
      </c>
      <c r="L435" t="n">
        <v>0</v>
      </c>
      <c r="M435" t="n">
        <v>0</v>
      </c>
      <c r="N435" t="n">
        <v>0</v>
      </c>
      <c r="O435" t="n">
        <v>0</v>
      </c>
      <c r="P435" t="n">
        <v>0</v>
      </c>
      <c r="Q435" t="n">
        <v>0</v>
      </c>
      <c r="R435" s="2" t="inlineStr"/>
    </row>
    <row r="436" ht="15" customHeight="1">
      <c r="A436" t="inlineStr">
        <is>
          <t>A 44582-2024</t>
        </is>
      </c>
      <c r="B436" s="1" t="n">
        <v>45574.49298611111</v>
      </c>
      <c r="C436" s="1" t="n">
        <v>45981</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24283-2023</t>
        </is>
      </c>
      <c r="B437" s="1" t="n">
        <v>45079.87827546296</v>
      </c>
      <c r="C437" s="1" t="n">
        <v>45981</v>
      </c>
      <c r="D437" t="inlineStr">
        <is>
          <t>KALMAR LÄN</t>
        </is>
      </c>
      <c r="E437" t="inlineStr">
        <is>
          <t>VIMMERBY</t>
        </is>
      </c>
      <c r="G437" t="n">
        <v>2</v>
      </c>
      <c r="H437" t="n">
        <v>0</v>
      </c>
      <c r="I437" t="n">
        <v>0</v>
      </c>
      <c r="J437" t="n">
        <v>0</v>
      </c>
      <c r="K437" t="n">
        <v>0</v>
      </c>
      <c r="L437" t="n">
        <v>0</v>
      </c>
      <c r="M437" t="n">
        <v>0</v>
      </c>
      <c r="N437" t="n">
        <v>0</v>
      </c>
      <c r="O437" t="n">
        <v>0</v>
      </c>
      <c r="P437" t="n">
        <v>0</v>
      </c>
      <c r="Q437" t="n">
        <v>0</v>
      </c>
      <c r="R437" s="2" t="inlineStr"/>
    </row>
    <row r="438" ht="15" customHeight="1">
      <c r="A438" t="inlineStr">
        <is>
          <t>A 27758-2024</t>
        </is>
      </c>
      <c r="B438" s="1" t="n">
        <v>45475.48303240741</v>
      </c>
      <c r="C438" s="1" t="n">
        <v>45981</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13307-2025</t>
        </is>
      </c>
      <c r="B439" s="1" t="n">
        <v>45735.58024305556</v>
      </c>
      <c r="C439" s="1" t="n">
        <v>45981</v>
      </c>
      <c r="D439" t="inlineStr">
        <is>
          <t>KALMAR LÄN</t>
        </is>
      </c>
      <c r="E439" t="inlineStr">
        <is>
          <t>VIMMERBY</t>
        </is>
      </c>
      <c r="G439" t="n">
        <v>0.8</v>
      </c>
      <c r="H439" t="n">
        <v>0</v>
      </c>
      <c r="I439" t="n">
        <v>0</v>
      </c>
      <c r="J439" t="n">
        <v>0</v>
      </c>
      <c r="K439" t="n">
        <v>0</v>
      </c>
      <c r="L439" t="n">
        <v>0</v>
      </c>
      <c r="M439" t="n">
        <v>0</v>
      </c>
      <c r="N439" t="n">
        <v>0</v>
      </c>
      <c r="O439" t="n">
        <v>0</v>
      </c>
      <c r="P439" t="n">
        <v>0</v>
      </c>
      <c r="Q439" t="n">
        <v>0</v>
      </c>
      <c r="R439" s="2" t="inlineStr"/>
    </row>
    <row r="440" ht="15" customHeight="1">
      <c r="A440" t="inlineStr">
        <is>
          <t>A 2462-2022</t>
        </is>
      </c>
      <c r="B440" s="1" t="n">
        <v>44579.62225694444</v>
      </c>
      <c r="C440" s="1" t="n">
        <v>45981</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60228-2021</t>
        </is>
      </c>
      <c r="B441" s="1" t="n">
        <v>44495</v>
      </c>
      <c r="C441" s="1" t="n">
        <v>45981</v>
      </c>
      <c r="D441" t="inlineStr">
        <is>
          <t>KALMAR LÄN</t>
        </is>
      </c>
      <c r="E441" t="inlineStr">
        <is>
          <t>VIMMERBY</t>
        </is>
      </c>
      <c r="G441" t="n">
        <v>4.1</v>
      </c>
      <c r="H441" t="n">
        <v>0</v>
      </c>
      <c r="I441" t="n">
        <v>0</v>
      </c>
      <c r="J441" t="n">
        <v>0</v>
      </c>
      <c r="K441" t="n">
        <v>0</v>
      </c>
      <c r="L441" t="n">
        <v>0</v>
      </c>
      <c r="M441" t="n">
        <v>0</v>
      </c>
      <c r="N441" t="n">
        <v>0</v>
      </c>
      <c r="O441" t="n">
        <v>0</v>
      </c>
      <c r="P441" t="n">
        <v>0</v>
      </c>
      <c r="Q441" t="n">
        <v>0</v>
      </c>
      <c r="R441" s="2" t="inlineStr"/>
    </row>
    <row r="442" ht="15" customHeight="1">
      <c r="A442" t="inlineStr">
        <is>
          <t>A 25979-2023</t>
        </is>
      </c>
      <c r="B442" s="1" t="n">
        <v>45090.89653935185</v>
      </c>
      <c r="C442" s="1" t="n">
        <v>45981</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25980-2023</t>
        </is>
      </c>
      <c r="B443" s="1" t="n">
        <v>45090.89880787037</v>
      </c>
      <c r="C443" s="1" t="n">
        <v>45981</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12510-2022</t>
        </is>
      </c>
      <c r="B444" s="1" t="n">
        <v>44638.55256944444</v>
      </c>
      <c r="C444" s="1" t="n">
        <v>45981</v>
      </c>
      <c r="D444" t="inlineStr">
        <is>
          <t>KALMAR LÄN</t>
        </is>
      </c>
      <c r="E444" t="inlineStr">
        <is>
          <t>VIMMERBY</t>
        </is>
      </c>
      <c r="G444" t="n">
        <v>2.4</v>
      </c>
      <c r="H444" t="n">
        <v>0</v>
      </c>
      <c r="I444" t="n">
        <v>0</v>
      </c>
      <c r="J444" t="n">
        <v>0</v>
      </c>
      <c r="K444" t="n">
        <v>0</v>
      </c>
      <c r="L444" t="n">
        <v>0</v>
      </c>
      <c r="M444" t="n">
        <v>0</v>
      </c>
      <c r="N444" t="n">
        <v>0</v>
      </c>
      <c r="O444" t="n">
        <v>0</v>
      </c>
      <c r="P444" t="n">
        <v>0</v>
      </c>
      <c r="Q444" t="n">
        <v>0</v>
      </c>
      <c r="R444" s="2" t="inlineStr"/>
    </row>
    <row r="445" ht="15" customHeight="1">
      <c r="A445" t="inlineStr">
        <is>
          <t>A 6358-2022</t>
        </is>
      </c>
      <c r="B445" s="1" t="n">
        <v>44600</v>
      </c>
      <c r="C445" s="1" t="n">
        <v>45981</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51993-2025</t>
        </is>
      </c>
      <c r="B446" s="1" t="n">
        <v>45952.58194444444</v>
      </c>
      <c r="C446" s="1" t="n">
        <v>45981</v>
      </c>
      <c r="D446" t="inlineStr">
        <is>
          <t>KALMAR LÄN</t>
        </is>
      </c>
      <c r="E446" t="inlineStr">
        <is>
          <t>VIMMERBY</t>
        </is>
      </c>
      <c r="G446" t="n">
        <v>2.8</v>
      </c>
      <c r="H446" t="n">
        <v>0</v>
      </c>
      <c r="I446" t="n">
        <v>0</v>
      </c>
      <c r="J446" t="n">
        <v>0</v>
      </c>
      <c r="K446" t="n">
        <v>0</v>
      </c>
      <c r="L446" t="n">
        <v>0</v>
      </c>
      <c r="M446" t="n">
        <v>0</v>
      </c>
      <c r="N446" t="n">
        <v>0</v>
      </c>
      <c r="O446" t="n">
        <v>0</v>
      </c>
      <c r="P446" t="n">
        <v>0</v>
      </c>
      <c r="Q446" t="n">
        <v>0</v>
      </c>
      <c r="R446" s="2" t="inlineStr"/>
    </row>
    <row r="447" ht="15" customHeight="1">
      <c r="A447" t="inlineStr">
        <is>
          <t>A 55716-2023</t>
        </is>
      </c>
      <c r="B447" s="1" t="n">
        <v>45232</v>
      </c>
      <c r="C447" s="1" t="n">
        <v>45981</v>
      </c>
      <c r="D447" t="inlineStr">
        <is>
          <t>KALMAR LÄN</t>
        </is>
      </c>
      <c r="E447" t="inlineStr">
        <is>
          <t>VIMMERBY</t>
        </is>
      </c>
      <c r="G447" t="n">
        <v>2.3</v>
      </c>
      <c r="H447" t="n">
        <v>0</v>
      </c>
      <c r="I447" t="n">
        <v>0</v>
      </c>
      <c r="J447" t="n">
        <v>0</v>
      </c>
      <c r="K447" t="n">
        <v>0</v>
      </c>
      <c r="L447" t="n">
        <v>0</v>
      </c>
      <c r="M447" t="n">
        <v>0</v>
      </c>
      <c r="N447" t="n">
        <v>0</v>
      </c>
      <c r="O447" t="n">
        <v>0</v>
      </c>
      <c r="P447" t="n">
        <v>0</v>
      </c>
      <c r="Q447" t="n">
        <v>0</v>
      </c>
      <c r="R447" s="2" t="inlineStr"/>
    </row>
    <row r="448" ht="15" customHeight="1">
      <c r="A448" t="inlineStr">
        <is>
          <t>A 18329-2023</t>
        </is>
      </c>
      <c r="B448" s="1" t="n">
        <v>45041.63380787037</v>
      </c>
      <c r="C448" s="1" t="n">
        <v>45981</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44095-2025</t>
        </is>
      </c>
      <c r="B449" s="1" t="n">
        <v>45915.56430555556</v>
      </c>
      <c r="C449" s="1" t="n">
        <v>45981</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52451-2025</t>
        </is>
      </c>
      <c r="B450" s="1" t="n">
        <v>45954.42326388889</v>
      </c>
      <c r="C450" s="1" t="n">
        <v>45981</v>
      </c>
      <c r="D450" t="inlineStr">
        <is>
          <t>KALMAR LÄN</t>
        </is>
      </c>
      <c r="E450" t="inlineStr">
        <is>
          <t>VIMMERBY</t>
        </is>
      </c>
      <c r="G450" t="n">
        <v>2.8</v>
      </c>
      <c r="H450" t="n">
        <v>0</v>
      </c>
      <c r="I450" t="n">
        <v>0</v>
      </c>
      <c r="J450" t="n">
        <v>0</v>
      </c>
      <c r="K450" t="n">
        <v>0</v>
      </c>
      <c r="L450" t="n">
        <v>0</v>
      </c>
      <c r="M450" t="n">
        <v>0</v>
      </c>
      <c r="N450" t="n">
        <v>0</v>
      </c>
      <c r="O450" t="n">
        <v>0</v>
      </c>
      <c r="P450" t="n">
        <v>0</v>
      </c>
      <c r="Q450" t="n">
        <v>0</v>
      </c>
      <c r="R450" s="2" t="inlineStr"/>
    </row>
    <row r="451" ht="15" customHeight="1">
      <c r="A451" t="inlineStr">
        <is>
          <t>A 15494-2024</t>
        </is>
      </c>
      <c r="B451" s="1" t="n">
        <v>45401.53033564815</v>
      </c>
      <c r="C451" s="1" t="n">
        <v>45981</v>
      </c>
      <c r="D451" t="inlineStr">
        <is>
          <t>KALMAR LÄN</t>
        </is>
      </c>
      <c r="E451" t="inlineStr">
        <is>
          <t>VIMMERBY</t>
        </is>
      </c>
      <c r="G451" t="n">
        <v>3.2</v>
      </c>
      <c r="H451" t="n">
        <v>0</v>
      </c>
      <c r="I451" t="n">
        <v>0</v>
      </c>
      <c r="J451" t="n">
        <v>0</v>
      </c>
      <c r="K451" t="n">
        <v>0</v>
      </c>
      <c r="L451" t="n">
        <v>0</v>
      </c>
      <c r="M451" t="n">
        <v>0</v>
      </c>
      <c r="N451" t="n">
        <v>0</v>
      </c>
      <c r="O451" t="n">
        <v>0</v>
      </c>
      <c r="P451" t="n">
        <v>0</v>
      </c>
      <c r="Q451" t="n">
        <v>0</v>
      </c>
      <c r="R451" s="2" t="inlineStr"/>
    </row>
    <row r="452" ht="15" customHeight="1">
      <c r="A452" t="inlineStr">
        <is>
          <t>A 13015-2023</t>
        </is>
      </c>
      <c r="B452" s="1" t="n">
        <v>45002</v>
      </c>
      <c r="C452" s="1" t="n">
        <v>45981</v>
      </c>
      <c r="D452" t="inlineStr">
        <is>
          <t>KALMAR LÄN</t>
        </is>
      </c>
      <c r="E452" t="inlineStr">
        <is>
          <t>VIMMERBY</t>
        </is>
      </c>
      <c r="G452" t="n">
        <v>3.2</v>
      </c>
      <c r="H452" t="n">
        <v>0</v>
      </c>
      <c r="I452" t="n">
        <v>0</v>
      </c>
      <c r="J452" t="n">
        <v>0</v>
      </c>
      <c r="K452" t="n">
        <v>0</v>
      </c>
      <c r="L452" t="n">
        <v>0</v>
      </c>
      <c r="M452" t="n">
        <v>0</v>
      </c>
      <c r="N452" t="n">
        <v>0</v>
      </c>
      <c r="O452" t="n">
        <v>0</v>
      </c>
      <c r="P452" t="n">
        <v>0</v>
      </c>
      <c r="Q452" t="n">
        <v>0</v>
      </c>
      <c r="R452" s="2" t="inlineStr"/>
    </row>
    <row r="453" ht="15" customHeight="1">
      <c r="A453" t="inlineStr">
        <is>
          <t>A 48373-2021</t>
        </is>
      </c>
      <c r="B453" s="1" t="n">
        <v>44451</v>
      </c>
      <c r="C453" s="1" t="n">
        <v>45981</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52473-2025</t>
        </is>
      </c>
      <c r="B454" s="1" t="n">
        <v>45954.45947916667</v>
      </c>
      <c r="C454" s="1" t="n">
        <v>45981</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52480-2025</t>
        </is>
      </c>
      <c r="B455" s="1" t="n">
        <v>45954.47172453703</v>
      </c>
      <c r="C455" s="1" t="n">
        <v>45981</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44091-2025</t>
        </is>
      </c>
      <c r="B456" s="1" t="n">
        <v>45915.55950231481</v>
      </c>
      <c r="C456" s="1" t="n">
        <v>45981</v>
      </c>
      <c r="D456" t="inlineStr">
        <is>
          <t>KALMAR LÄN</t>
        </is>
      </c>
      <c r="E456" t="inlineStr">
        <is>
          <t>VIMMERBY</t>
        </is>
      </c>
      <c r="G456" t="n">
        <v>0.8</v>
      </c>
      <c r="H456" t="n">
        <v>0</v>
      </c>
      <c r="I456" t="n">
        <v>0</v>
      </c>
      <c r="J456" t="n">
        <v>0</v>
      </c>
      <c r="K456" t="n">
        <v>0</v>
      </c>
      <c r="L456" t="n">
        <v>0</v>
      </c>
      <c r="M456" t="n">
        <v>0</v>
      </c>
      <c r="N456" t="n">
        <v>0</v>
      </c>
      <c r="O456" t="n">
        <v>0</v>
      </c>
      <c r="P456" t="n">
        <v>0</v>
      </c>
      <c r="Q456" t="n">
        <v>0</v>
      </c>
      <c r="R456" s="2" t="inlineStr"/>
    </row>
    <row r="457" ht="15" customHeight="1">
      <c r="A457" t="inlineStr">
        <is>
          <t>A 52466-2025</t>
        </is>
      </c>
      <c r="B457" s="1" t="n">
        <v>45954.44707175926</v>
      </c>
      <c r="C457" s="1" t="n">
        <v>45981</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29186-2024</t>
        </is>
      </c>
      <c r="B458" s="1" t="n">
        <v>45482.54844907407</v>
      </c>
      <c r="C458" s="1" t="n">
        <v>45981</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50993-2022</t>
        </is>
      </c>
      <c r="B459" s="1" t="n">
        <v>44867</v>
      </c>
      <c r="C459" s="1" t="n">
        <v>45981</v>
      </c>
      <c r="D459" t="inlineStr">
        <is>
          <t>KALMAR LÄN</t>
        </is>
      </c>
      <c r="E459" t="inlineStr">
        <is>
          <t>VIMMERBY</t>
        </is>
      </c>
      <c r="G459" t="n">
        <v>1.7</v>
      </c>
      <c r="H459" t="n">
        <v>0</v>
      </c>
      <c r="I459" t="n">
        <v>0</v>
      </c>
      <c r="J459" t="n">
        <v>0</v>
      </c>
      <c r="K459" t="n">
        <v>0</v>
      </c>
      <c r="L459" t="n">
        <v>0</v>
      </c>
      <c r="M459" t="n">
        <v>0</v>
      </c>
      <c r="N459" t="n">
        <v>0</v>
      </c>
      <c r="O459" t="n">
        <v>0</v>
      </c>
      <c r="P459" t="n">
        <v>0</v>
      </c>
      <c r="Q459" t="n">
        <v>0</v>
      </c>
      <c r="R459" s="2" t="inlineStr"/>
    </row>
    <row r="460" ht="15" customHeight="1">
      <c r="A460" t="inlineStr">
        <is>
          <t>A 52475-2025</t>
        </is>
      </c>
      <c r="B460" s="1" t="n">
        <v>45954.468125</v>
      </c>
      <c r="C460" s="1" t="n">
        <v>45981</v>
      </c>
      <c r="D460" t="inlineStr">
        <is>
          <t>KALMAR LÄN</t>
        </is>
      </c>
      <c r="E460" t="inlineStr">
        <is>
          <t>VIMMERBY</t>
        </is>
      </c>
      <c r="G460" t="n">
        <v>1.5</v>
      </c>
      <c r="H460" t="n">
        <v>0</v>
      </c>
      <c r="I460" t="n">
        <v>0</v>
      </c>
      <c r="J460" t="n">
        <v>0</v>
      </c>
      <c r="K460" t="n">
        <v>0</v>
      </c>
      <c r="L460" t="n">
        <v>0</v>
      </c>
      <c r="M460" t="n">
        <v>0</v>
      </c>
      <c r="N460" t="n">
        <v>0</v>
      </c>
      <c r="O460" t="n">
        <v>0</v>
      </c>
      <c r="P460" t="n">
        <v>0</v>
      </c>
      <c r="Q460" t="n">
        <v>0</v>
      </c>
      <c r="R460" s="2" t="inlineStr"/>
    </row>
    <row r="461" ht="15" customHeight="1">
      <c r="A461" t="inlineStr">
        <is>
          <t>A 57256-2023</t>
        </is>
      </c>
      <c r="B461" s="1" t="n">
        <v>45245.5735300926</v>
      </c>
      <c r="C461" s="1" t="n">
        <v>45981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17482-2024</t>
        </is>
      </c>
      <c r="B462" s="1" t="n">
        <v>45415.47848379629</v>
      </c>
      <c r="C462" s="1" t="n">
        <v>45981</v>
      </c>
      <c r="D462" t="inlineStr">
        <is>
          <t>KALMAR LÄN</t>
        </is>
      </c>
      <c r="E462" t="inlineStr">
        <is>
          <t>VIMMERBY</t>
        </is>
      </c>
      <c r="G462" t="n">
        <v>1.7</v>
      </c>
      <c r="H462" t="n">
        <v>0</v>
      </c>
      <c r="I462" t="n">
        <v>0</v>
      </c>
      <c r="J462" t="n">
        <v>0</v>
      </c>
      <c r="K462" t="n">
        <v>0</v>
      </c>
      <c r="L462" t="n">
        <v>0</v>
      </c>
      <c r="M462" t="n">
        <v>0</v>
      </c>
      <c r="N462" t="n">
        <v>0</v>
      </c>
      <c r="O462" t="n">
        <v>0</v>
      </c>
      <c r="P462" t="n">
        <v>0</v>
      </c>
      <c r="Q462" t="n">
        <v>0</v>
      </c>
      <c r="R462" s="2" t="inlineStr"/>
    </row>
    <row r="463" ht="15" customHeight="1">
      <c r="A463" t="inlineStr">
        <is>
          <t>A 52465-2025</t>
        </is>
      </c>
      <c r="B463" s="1" t="n">
        <v>45954.44543981482</v>
      </c>
      <c r="C463" s="1" t="n">
        <v>45981</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54787-2023</t>
        </is>
      </c>
      <c r="B464" s="1" t="n">
        <v>45236</v>
      </c>
      <c r="C464" s="1" t="n">
        <v>45981</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52516-2025</t>
        </is>
      </c>
      <c r="B465" s="1" t="n">
        <v>45954.51412037037</v>
      </c>
      <c r="C465" s="1" t="n">
        <v>45981</v>
      </c>
      <c r="D465" t="inlineStr">
        <is>
          <t>KALMAR LÄN</t>
        </is>
      </c>
      <c r="E465" t="inlineStr">
        <is>
          <t>VIMMERBY</t>
        </is>
      </c>
      <c r="G465" t="n">
        <v>2.8</v>
      </c>
      <c r="H465" t="n">
        <v>0</v>
      </c>
      <c r="I465" t="n">
        <v>0</v>
      </c>
      <c r="J465" t="n">
        <v>0</v>
      </c>
      <c r="K465" t="n">
        <v>0</v>
      </c>
      <c r="L465" t="n">
        <v>0</v>
      </c>
      <c r="M465" t="n">
        <v>0</v>
      </c>
      <c r="N465" t="n">
        <v>0</v>
      </c>
      <c r="O465" t="n">
        <v>0</v>
      </c>
      <c r="P465" t="n">
        <v>0</v>
      </c>
      <c r="Q465" t="n">
        <v>0</v>
      </c>
      <c r="R465" s="2" t="inlineStr"/>
    </row>
    <row r="466" ht="15" customHeight="1">
      <c r="A466" t="inlineStr">
        <is>
          <t>A 32614-2023</t>
        </is>
      </c>
      <c r="B466" s="1" t="n">
        <v>45121</v>
      </c>
      <c r="C466" s="1" t="n">
        <v>45981</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6850-2023</t>
        </is>
      </c>
      <c r="B467" s="1" t="n">
        <v>44967.44255787037</v>
      </c>
      <c r="C467" s="1" t="n">
        <v>45981</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55123-2024</t>
        </is>
      </c>
      <c r="B468" s="1" t="n">
        <v>45621.46103009259</v>
      </c>
      <c r="C468" s="1" t="n">
        <v>45981</v>
      </c>
      <c r="D468" t="inlineStr">
        <is>
          <t>KALMAR LÄN</t>
        </is>
      </c>
      <c r="E468" t="inlineStr">
        <is>
          <t>VIMMERBY</t>
        </is>
      </c>
      <c r="G468" t="n">
        <v>3.1</v>
      </c>
      <c r="H468" t="n">
        <v>0</v>
      </c>
      <c r="I468" t="n">
        <v>0</v>
      </c>
      <c r="J468" t="n">
        <v>0</v>
      </c>
      <c r="K468" t="n">
        <v>0</v>
      </c>
      <c r="L468" t="n">
        <v>0</v>
      </c>
      <c r="M468" t="n">
        <v>0</v>
      </c>
      <c r="N468" t="n">
        <v>0</v>
      </c>
      <c r="O468" t="n">
        <v>0</v>
      </c>
      <c r="P468" t="n">
        <v>0</v>
      </c>
      <c r="Q468" t="n">
        <v>0</v>
      </c>
      <c r="R468" s="2" t="inlineStr"/>
    </row>
    <row r="469" ht="15" customHeight="1">
      <c r="A469" t="inlineStr">
        <is>
          <t>A 58750-2022</t>
        </is>
      </c>
      <c r="B469" s="1" t="n">
        <v>44903.33363425926</v>
      </c>
      <c r="C469" s="1" t="n">
        <v>45981</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58724-2024</t>
        </is>
      </c>
      <c r="B470" s="1" t="n">
        <v>45635.66409722222</v>
      </c>
      <c r="C470" s="1" t="n">
        <v>45981</v>
      </c>
      <c r="D470" t="inlineStr">
        <is>
          <t>KALMAR LÄN</t>
        </is>
      </c>
      <c r="E470" t="inlineStr">
        <is>
          <t>VIMMERBY</t>
        </is>
      </c>
      <c r="G470" t="n">
        <v>1</v>
      </c>
      <c r="H470" t="n">
        <v>0</v>
      </c>
      <c r="I470" t="n">
        <v>0</v>
      </c>
      <c r="J470" t="n">
        <v>0</v>
      </c>
      <c r="K470" t="n">
        <v>0</v>
      </c>
      <c r="L470" t="n">
        <v>0</v>
      </c>
      <c r="M470" t="n">
        <v>0</v>
      </c>
      <c r="N470" t="n">
        <v>0</v>
      </c>
      <c r="O470" t="n">
        <v>0</v>
      </c>
      <c r="P470" t="n">
        <v>0</v>
      </c>
      <c r="Q470" t="n">
        <v>0</v>
      </c>
      <c r="R470" s="2" t="inlineStr"/>
    </row>
    <row r="471" ht="15" customHeight="1">
      <c r="A471" t="inlineStr">
        <is>
          <t>A 41158-2023</t>
        </is>
      </c>
      <c r="B471" s="1" t="n">
        <v>45174.31395833333</v>
      </c>
      <c r="C471" s="1" t="n">
        <v>45981</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25792-2025</t>
        </is>
      </c>
      <c r="B472" s="1" t="n">
        <v>45804.39141203704</v>
      </c>
      <c r="C472" s="1" t="n">
        <v>45981</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2510-2023</t>
        </is>
      </c>
      <c r="B473" s="1" t="n">
        <v>44943.57309027778</v>
      </c>
      <c r="C473" s="1" t="n">
        <v>45981</v>
      </c>
      <c r="D473" t="inlineStr">
        <is>
          <t>KALMAR LÄN</t>
        </is>
      </c>
      <c r="E473" t="inlineStr">
        <is>
          <t>VIMMERBY</t>
        </is>
      </c>
      <c r="G473" t="n">
        <v>8.6</v>
      </c>
      <c r="H473" t="n">
        <v>0</v>
      </c>
      <c r="I473" t="n">
        <v>0</v>
      </c>
      <c r="J473" t="n">
        <v>0</v>
      </c>
      <c r="K473" t="n">
        <v>0</v>
      </c>
      <c r="L473" t="n">
        <v>0</v>
      </c>
      <c r="M473" t="n">
        <v>0</v>
      </c>
      <c r="N473" t="n">
        <v>0</v>
      </c>
      <c r="O473" t="n">
        <v>0</v>
      </c>
      <c r="P473" t="n">
        <v>0</v>
      </c>
      <c r="Q473" t="n">
        <v>0</v>
      </c>
      <c r="R473" s="2" t="inlineStr"/>
    </row>
    <row r="474" ht="15" customHeight="1">
      <c r="A474" t="inlineStr">
        <is>
          <t>A 26039-2025</t>
        </is>
      </c>
      <c r="B474" s="1" t="n">
        <v>45804.6953587963</v>
      </c>
      <c r="C474" s="1" t="n">
        <v>45981</v>
      </c>
      <c r="D474" t="inlineStr">
        <is>
          <t>KALMAR LÄN</t>
        </is>
      </c>
      <c r="E474" t="inlineStr">
        <is>
          <t>VIMMERBY</t>
        </is>
      </c>
      <c r="F474" t="inlineStr">
        <is>
          <t>Sveaskog</t>
        </is>
      </c>
      <c r="G474" t="n">
        <v>5.2</v>
      </c>
      <c r="H474" t="n">
        <v>0</v>
      </c>
      <c r="I474" t="n">
        <v>0</v>
      </c>
      <c r="J474" t="n">
        <v>0</v>
      </c>
      <c r="K474" t="n">
        <v>0</v>
      </c>
      <c r="L474" t="n">
        <v>0</v>
      </c>
      <c r="M474" t="n">
        <v>0</v>
      </c>
      <c r="N474" t="n">
        <v>0</v>
      </c>
      <c r="O474" t="n">
        <v>0</v>
      </c>
      <c r="P474" t="n">
        <v>0</v>
      </c>
      <c r="Q474" t="n">
        <v>0</v>
      </c>
      <c r="R474" s="2" t="inlineStr"/>
    </row>
    <row r="475" ht="15" customHeight="1">
      <c r="A475" t="inlineStr">
        <is>
          <t>A 49313-2022</t>
        </is>
      </c>
      <c r="B475" s="1" t="n">
        <v>44861.52505787037</v>
      </c>
      <c r="C475" s="1" t="n">
        <v>45981</v>
      </c>
      <c r="D475" t="inlineStr">
        <is>
          <t>KALMAR LÄN</t>
        </is>
      </c>
      <c r="E475" t="inlineStr">
        <is>
          <t>VIMMERBY</t>
        </is>
      </c>
      <c r="G475" t="n">
        <v>1.9</v>
      </c>
      <c r="H475" t="n">
        <v>0</v>
      </c>
      <c r="I475" t="n">
        <v>0</v>
      </c>
      <c r="J475" t="n">
        <v>0</v>
      </c>
      <c r="K475" t="n">
        <v>0</v>
      </c>
      <c r="L475" t="n">
        <v>0</v>
      </c>
      <c r="M475" t="n">
        <v>0</v>
      </c>
      <c r="N475" t="n">
        <v>0</v>
      </c>
      <c r="O475" t="n">
        <v>0</v>
      </c>
      <c r="P475" t="n">
        <v>0</v>
      </c>
      <c r="Q475" t="n">
        <v>0</v>
      </c>
      <c r="R475" s="2" t="inlineStr"/>
    </row>
    <row r="476" ht="15" customHeight="1">
      <c r="A476" t="inlineStr">
        <is>
          <t>A 1987-2024</t>
        </is>
      </c>
      <c r="B476" s="1" t="n">
        <v>45308.61152777778</v>
      </c>
      <c r="C476" s="1" t="n">
        <v>45981</v>
      </c>
      <c r="D476" t="inlineStr">
        <is>
          <t>KALMAR LÄN</t>
        </is>
      </c>
      <c r="E476" t="inlineStr">
        <is>
          <t>VIMMERBY</t>
        </is>
      </c>
      <c r="G476" t="n">
        <v>3</v>
      </c>
      <c r="H476" t="n">
        <v>0</v>
      </c>
      <c r="I476" t="n">
        <v>0</v>
      </c>
      <c r="J476" t="n">
        <v>0</v>
      </c>
      <c r="K476" t="n">
        <v>0</v>
      </c>
      <c r="L476" t="n">
        <v>0</v>
      </c>
      <c r="M476" t="n">
        <v>0</v>
      </c>
      <c r="N476" t="n">
        <v>0</v>
      </c>
      <c r="O476" t="n">
        <v>0</v>
      </c>
      <c r="P476" t="n">
        <v>0</v>
      </c>
      <c r="Q476" t="n">
        <v>0</v>
      </c>
      <c r="R476" s="2" t="inlineStr"/>
    </row>
    <row r="477" ht="15" customHeight="1">
      <c r="A477" t="inlineStr">
        <is>
          <t>A 26046-2025</t>
        </is>
      </c>
      <c r="B477" s="1" t="n">
        <v>45804.708125</v>
      </c>
      <c r="C477" s="1" t="n">
        <v>45981</v>
      </c>
      <c r="D477" t="inlineStr">
        <is>
          <t>KALMAR LÄN</t>
        </is>
      </c>
      <c r="E477" t="inlineStr">
        <is>
          <t>VIMMERBY</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53393-2025</t>
        </is>
      </c>
      <c r="B478" s="1" t="n">
        <v>45959.55284722222</v>
      </c>
      <c r="C478" s="1" t="n">
        <v>45981</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53398-2025</t>
        </is>
      </c>
      <c r="B479" s="1" t="n">
        <v>45959.56247685185</v>
      </c>
      <c r="C479" s="1" t="n">
        <v>45981</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26124-2025</t>
        </is>
      </c>
      <c r="B480" s="1" t="n">
        <v>45805.39247685186</v>
      </c>
      <c r="C480" s="1" t="n">
        <v>45981</v>
      </c>
      <c r="D480" t="inlineStr">
        <is>
          <t>KALMAR LÄN</t>
        </is>
      </c>
      <c r="E480" t="inlineStr">
        <is>
          <t>VIMMERBY</t>
        </is>
      </c>
      <c r="G480" t="n">
        <v>6.6</v>
      </c>
      <c r="H480" t="n">
        <v>0</v>
      </c>
      <c r="I480" t="n">
        <v>0</v>
      </c>
      <c r="J480" t="n">
        <v>0</v>
      </c>
      <c r="K480" t="n">
        <v>0</v>
      </c>
      <c r="L480" t="n">
        <v>0</v>
      </c>
      <c r="M480" t="n">
        <v>0</v>
      </c>
      <c r="N480" t="n">
        <v>0</v>
      </c>
      <c r="O480" t="n">
        <v>0</v>
      </c>
      <c r="P480" t="n">
        <v>0</v>
      </c>
      <c r="Q480" t="n">
        <v>0</v>
      </c>
      <c r="R480" s="2" t="inlineStr"/>
    </row>
    <row r="481" ht="15" customHeight="1">
      <c r="A481" t="inlineStr">
        <is>
          <t>A 3269-2024</t>
        </is>
      </c>
      <c r="B481" s="1" t="n">
        <v>45317.40372685185</v>
      </c>
      <c r="C481" s="1" t="n">
        <v>45981</v>
      </c>
      <c r="D481" t="inlineStr">
        <is>
          <t>KALMAR LÄN</t>
        </is>
      </c>
      <c r="E481" t="inlineStr">
        <is>
          <t>VIMMERBY</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48120-2022</t>
        </is>
      </c>
      <c r="B482" s="1" t="n">
        <v>44857.65989583333</v>
      </c>
      <c r="C482" s="1" t="n">
        <v>45981</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21507-2023</t>
        </is>
      </c>
      <c r="B483" s="1" t="n">
        <v>45063.508125</v>
      </c>
      <c r="C483" s="1" t="n">
        <v>45981</v>
      </c>
      <c r="D483" t="inlineStr">
        <is>
          <t>KALMAR LÄN</t>
        </is>
      </c>
      <c r="E483" t="inlineStr">
        <is>
          <t>VIMMERBY</t>
        </is>
      </c>
      <c r="G483" t="n">
        <v>2.8</v>
      </c>
      <c r="H483" t="n">
        <v>0</v>
      </c>
      <c r="I483" t="n">
        <v>0</v>
      </c>
      <c r="J483" t="n">
        <v>0</v>
      </c>
      <c r="K483" t="n">
        <v>0</v>
      </c>
      <c r="L483" t="n">
        <v>0</v>
      </c>
      <c r="M483" t="n">
        <v>0</v>
      </c>
      <c r="N483" t="n">
        <v>0</v>
      </c>
      <c r="O483" t="n">
        <v>0</v>
      </c>
      <c r="P483" t="n">
        <v>0</v>
      </c>
      <c r="Q483" t="n">
        <v>0</v>
      </c>
      <c r="R483" s="2" t="inlineStr"/>
    </row>
    <row r="484" ht="15" customHeight="1">
      <c r="A484" t="inlineStr">
        <is>
          <t>A 57189-2022</t>
        </is>
      </c>
      <c r="B484" s="1" t="n">
        <v>44895.62296296296</v>
      </c>
      <c r="C484" s="1" t="n">
        <v>45981</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6368-2023</t>
        </is>
      </c>
      <c r="B485" s="1" t="n">
        <v>44965</v>
      </c>
      <c r="C485" s="1" t="n">
        <v>45981</v>
      </c>
      <c r="D485" t="inlineStr">
        <is>
          <t>KALMAR LÄN</t>
        </is>
      </c>
      <c r="E485" t="inlineStr">
        <is>
          <t>VIMMERBY</t>
        </is>
      </c>
      <c r="G485" t="n">
        <v>1.3</v>
      </c>
      <c r="H485" t="n">
        <v>0</v>
      </c>
      <c r="I485" t="n">
        <v>0</v>
      </c>
      <c r="J485" t="n">
        <v>0</v>
      </c>
      <c r="K485" t="n">
        <v>0</v>
      </c>
      <c r="L485" t="n">
        <v>0</v>
      </c>
      <c r="M485" t="n">
        <v>0</v>
      </c>
      <c r="N485" t="n">
        <v>0</v>
      </c>
      <c r="O485" t="n">
        <v>0</v>
      </c>
      <c r="P485" t="n">
        <v>0</v>
      </c>
      <c r="Q485" t="n">
        <v>0</v>
      </c>
      <c r="R485" s="2" t="inlineStr"/>
    </row>
    <row r="486" ht="15" customHeight="1">
      <c r="A486" t="inlineStr">
        <is>
          <t>A 9416-2024</t>
        </is>
      </c>
      <c r="B486" s="1" t="n">
        <v>45359.44837962963</v>
      </c>
      <c r="C486" s="1" t="n">
        <v>45981</v>
      </c>
      <c r="D486" t="inlineStr">
        <is>
          <t>KALMAR LÄN</t>
        </is>
      </c>
      <c r="E486" t="inlineStr">
        <is>
          <t>VIMMERBY</t>
        </is>
      </c>
      <c r="G486" t="n">
        <v>3.2</v>
      </c>
      <c r="H486" t="n">
        <v>0</v>
      </c>
      <c r="I486" t="n">
        <v>0</v>
      </c>
      <c r="J486" t="n">
        <v>0</v>
      </c>
      <c r="K486" t="n">
        <v>0</v>
      </c>
      <c r="L486" t="n">
        <v>0</v>
      </c>
      <c r="M486" t="n">
        <v>0</v>
      </c>
      <c r="N486" t="n">
        <v>0</v>
      </c>
      <c r="O486" t="n">
        <v>0</v>
      </c>
      <c r="P486" t="n">
        <v>0</v>
      </c>
      <c r="Q486" t="n">
        <v>0</v>
      </c>
      <c r="R486" s="2" t="inlineStr"/>
    </row>
    <row r="487" ht="15" customHeight="1">
      <c r="A487" t="inlineStr">
        <is>
          <t>A 26207-2025</t>
        </is>
      </c>
      <c r="B487" s="1" t="n">
        <v>45805.52983796296</v>
      </c>
      <c r="C487" s="1" t="n">
        <v>45981</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48673-2021</t>
        </is>
      </c>
      <c r="B488" s="1" t="n">
        <v>44452</v>
      </c>
      <c r="C488" s="1" t="n">
        <v>45981</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44517-2025</t>
        </is>
      </c>
      <c r="B489" s="1" t="n">
        <v>45916.7103587963</v>
      </c>
      <c r="C489" s="1" t="n">
        <v>45981</v>
      </c>
      <c r="D489" t="inlineStr">
        <is>
          <t>KALMAR LÄN</t>
        </is>
      </c>
      <c r="E489" t="inlineStr">
        <is>
          <t>VIMMERBY</t>
        </is>
      </c>
      <c r="G489" t="n">
        <v>0.9</v>
      </c>
      <c r="H489" t="n">
        <v>0</v>
      </c>
      <c r="I489" t="n">
        <v>0</v>
      </c>
      <c r="J489" t="n">
        <v>0</v>
      </c>
      <c r="K489" t="n">
        <v>0</v>
      </c>
      <c r="L489" t="n">
        <v>0</v>
      </c>
      <c r="M489" t="n">
        <v>0</v>
      </c>
      <c r="N489" t="n">
        <v>0</v>
      </c>
      <c r="O489" t="n">
        <v>0</v>
      </c>
      <c r="P489" t="n">
        <v>0</v>
      </c>
      <c r="Q489" t="n">
        <v>0</v>
      </c>
      <c r="R489" s="2" t="inlineStr"/>
    </row>
    <row r="490" ht="15" customHeight="1">
      <c r="A490" t="inlineStr">
        <is>
          <t>A 25830-2025</t>
        </is>
      </c>
      <c r="B490" s="1" t="n">
        <v>45804.44519675926</v>
      </c>
      <c r="C490" s="1" t="n">
        <v>45981</v>
      </c>
      <c r="D490" t="inlineStr">
        <is>
          <t>KALMAR LÄN</t>
        </is>
      </c>
      <c r="E490" t="inlineStr">
        <is>
          <t>VIMMERBY</t>
        </is>
      </c>
      <c r="G490" t="n">
        <v>4.9</v>
      </c>
      <c r="H490" t="n">
        <v>0</v>
      </c>
      <c r="I490" t="n">
        <v>0</v>
      </c>
      <c r="J490" t="n">
        <v>0</v>
      </c>
      <c r="K490" t="n">
        <v>0</v>
      </c>
      <c r="L490" t="n">
        <v>0</v>
      </c>
      <c r="M490" t="n">
        <v>0</v>
      </c>
      <c r="N490" t="n">
        <v>0</v>
      </c>
      <c r="O490" t="n">
        <v>0</v>
      </c>
      <c r="P490" t="n">
        <v>0</v>
      </c>
      <c r="Q490" t="n">
        <v>0</v>
      </c>
      <c r="R490" s="2" t="inlineStr"/>
    </row>
    <row r="491" ht="15" customHeight="1">
      <c r="A491" t="inlineStr">
        <is>
          <t>A 26254-2025</t>
        </is>
      </c>
      <c r="B491" s="1" t="n">
        <v>45805</v>
      </c>
      <c r="C491" s="1" t="n">
        <v>45981</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14248-2023</t>
        </is>
      </c>
      <c r="B492" s="1" t="n">
        <v>45009</v>
      </c>
      <c r="C492" s="1" t="n">
        <v>45981</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12480-2024</t>
        </is>
      </c>
      <c r="B493" s="1" t="n">
        <v>45379</v>
      </c>
      <c r="C493" s="1" t="n">
        <v>45981</v>
      </c>
      <c r="D493" t="inlineStr">
        <is>
          <t>KALMAR LÄN</t>
        </is>
      </c>
      <c r="E493" t="inlineStr">
        <is>
          <t>VIMMERBY</t>
        </is>
      </c>
      <c r="G493" t="n">
        <v>2.8</v>
      </c>
      <c r="H493" t="n">
        <v>0</v>
      </c>
      <c r="I493" t="n">
        <v>0</v>
      </c>
      <c r="J493" t="n">
        <v>0</v>
      </c>
      <c r="K493" t="n">
        <v>0</v>
      </c>
      <c r="L493" t="n">
        <v>0</v>
      </c>
      <c r="M493" t="n">
        <v>0</v>
      </c>
      <c r="N493" t="n">
        <v>0</v>
      </c>
      <c r="O493" t="n">
        <v>0</v>
      </c>
      <c r="P493" t="n">
        <v>0</v>
      </c>
      <c r="Q493" t="n">
        <v>0</v>
      </c>
      <c r="R493" s="2" t="inlineStr"/>
    </row>
    <row r="494" ht="15" customHeight="1">
      <c r="A494" t="inlineStr">
        <is>
          <t>A 44742-2025</t>
        </is>
      </c>
      <c r="B494" s="1" t="n">
        <v>45917.67054398148</v>
      </c>
      <c r="C494" s="1" t="n">
        <v>45981</v>
      </c>
      <c r="D494" t="inlineStr">
        <is>
          <t>KALMAR LÄN</t>
        </is>
      </c>
      <c r="E494" t="inlineStr">
        <is>
          <t>VIMMERBY</t>
        </is>
      </c>
      <c r="G494" t="n">
        <v>4.7</v>
      </c>
      <c r="H494" t="n">
        <v>0</v>
      </c>
      <c r="I494" t="n">
        <v>0</v>
      </c>
      <c r="J494" t="n">
        <v>0</v>
      </c>
      <c r="K494" t="n">
        <v>0</v>
      </c>
      <c r="L494" t="n">
        <v>0</v>
      </c>
      <c r="M494" t="n">
        <v>0</v>
      </c>
      <c r="N494" t="n">
        <v>0</v>
      </c>
      <c r="O494" t="n">
        <v>0</v>
      </c>
      <c r="P494" t="n">
        <v>0</v>
      </c>
      <c r="Q494" t="n">
        <v>0</v>
      </c>
      <c r="R494" s="2" t="inlineStr"/>
    </row>
    <row r="495" ht="15" customHeight="1">
      <c r="A495" t="inlineStr">
        <is>
          <t>A 44329-2025</t>
        </is>
      </c>
      <c r="B495" s="1" t="n">
        <v>45916.41019675926</v>
      </c>
      <c r="C495" s="1" t="n">
        <v>45981</v>
      </c>
      <c r="D495" t="inlineStr">
        <is>
          <t>KALMAR LÄN</t>
        </is>
      </c>
      <c r="E495" t="inlineStr">
        <is>
          <t>VIMMERBY</t>
        </is>
      </c>
      <c r="G495" t="n">
        <v>4.3</v>
      </c>
      <c r="H495" t="n">
        <v>0</v>
      </c>
      <c r="I495" t="n">
        <v>0</v>
      </c>
      <c r="J495" t="n">
        <v>0</v>
      </c>
      <c r="K495" t="n">
        <v>0</v>
      </c>
      <c r="L495" t="n">
        <v>0</v>
      </c>
      <c r="M495" t="n">
        <v>0</v>
      </c>
      <c r="N495" t="n">
        <v>0</v>
      </c>
      <c r="O495" t="n">
        <v>0</v>
      </c>
      <c r="P495" t="n">
        <v>0</v>
      </c>
      <c r="Q495" t="n">
        <v>0</v>
      </c>
      <c r="R495" s="2" t="inlineStr"/>
    </row>
    <row r="496" ht="15" customHeight="1">
      <c r="A496" t="inlineStr">
        <is>
          <t>A 41896-2025</t>
        </is>
      </c>
      <c r="B496" s="1" t="n">
        <v>45903.38800925926</v>
      </c>
      <c r="C496" s="1" t="n">
        <v>45981</v>
      </c>
      <c r="D496" t="inlineStr">
        <is>
          <t>KALMAR LÄN</t>
        </is>
      </c>
      <c r="E496" t="inlineStr">
        <is>
          <t>VIMMERBY</t>
        </is>
      </c>
      <c r="G496" t="n">
        <v>2.9</v>
      </c>
      <c r="H496" t="n">
        <v>0</v>
      </c>
      <c r="I496" t="n">
        <v>0</v>
      </c>
      <c r="J496" t="n">
        <v>0</v>
      </c>
      <c r="K496" t="n">
        <v>0</v>
      </c>
      <c r="L496" t="n">
        <v>0</v>
      </c>
      <c r="M496" t="n">
        <v>0</v>
      </c>
      <c r="N496" t="n">
        <v>0</v>
      </c>
      <c r="O496" t="n">
        <v>0</v>
      </c>
      <c r="P496" t="n">
        <v>0</v>
      </c>
      <c r="Q496" t="n">
        <v>0</v>
      </c>
      <c r="R496" s="2" t="inlineStr"/>
    </row>
    <row r="497" ht="15" customHeight="1">
      <c r="A497" t="inlineStr">
        <is>
          <t>A 2797-2023</t>
        </is>
      </c>
      <c r="B497" s="1" t="n">
        <v>44944.71386574074</v>
      </c>
      <c r="C497" s="1" t="n">
        <v>45981</v>
      </c>
      <c r="D497" t="inlineStr">
        <is>
          <t>KALMAR LÄN</t>
        </is>
      </c>
      <c r="E497" t="inlineStr">
        <is>
          <t>VIMMERBY</t>
        </is>
      </c>
      <c r="G497" t="n">
        <v>3.4</v>
      </c>
      <c r="H497" t="n">
        <v>0</v>
      </c>
      <c r="I497" t="n">
        <v>0</v>
      </c>
      <c r="J497" t="n">
        <v>0</v>
      </c>
      <c r="K497" t="n">
        <v>0</v>
      </c>
      <c r="L497" t="n">
        <v>0</v>
      </c>
      <c r="M497" t="n">
        <v>0</v>
      </c>
      <c r="N497" t="n">
        <v>0</v>
      </c>
      <c r="O497" t="n">
        <v>0</v>
      </c>
      <c r="P497" t="n">
        <v>0</v>
      </c>
      <c r="Q497" t="n">
        <v>0</v>
      </c>
      <c r="R497" s="2" t="inlineStr"/>
    </row>
    <row r="498" ht="15" customHeight="1">
      <c r="A498" t="inlineStr">
        <is>
          <t>A 2799-2023</t>
        </is>
      </c>
      <c r="B498" s="1" t="n">
        <v>44944.72100694444</v>
      </c>
      <c r="C498" s="1" t="n">
        <v>45981</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25987-2024</t>
        </is>
      </c>
      <c r="B499" s="1" t="n">
        <v>45467.74417824074</v>
      </c>
      <c r="C499" s="1" t="n">
        <v>45981</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53413-2025</t>
        </is>
      </c>
      <c r="B500" s="1" t="n">
        <v>45959.5787037037</v>
      </c>
      <c r="C500" s="1" t="n">
        <v>45981</v>
      </c>
      <c r="D500" t="inlineStr">
        <is>
          <t>KALMAR LÄN</t>
        </is>
      </c>
      <c r="E500" t="inlineStr">
        <is>
          <t>VIMMERBY</t>
        </is>
      </c>
      <c r="G500" t="n">
        <v>4.3</v>
      </c>
      <c r="H500" t="n">
        <v>0</v>
      </c>
      <c r="I500" t="n">
        <v>0</v>
      </c>
      <c r="J500" t="n">
        <v>0</v>
      </c>
      <c r="K500" t="n">
        <v>0</v>
      </c>
      <c r="L500" t="n">
        <v>0</v>
      </c>
      <c r="M500" t="n">
        <v>0</v>
      </c>
      <c r="N500" t="n">
        <v>0</v>
      </c>
      <c r="O500" t="n">
        <v>0</v>
      </c>
      <c r="P500" t="n">
        <v>0</v>
      </c>
      <c r="Q500" t="n">
        <v>0</v>
      </c>
      <c r="R500" s="2" t="inlineStr"/>
    </row>
    <row r="501" ht="15" customHeight="1">
      <c r="A501" t="inlineStr">
        <is>
          <t>A 22194-2024</t>
        </is>
      </c>
      <c r="B501" s="1" t="n">
        <v>45446.36482638889</v>
      </c>
      <c r="C501" s="1" t="n">
        <v>45981</v>
      </c>
      <c r="D501" t="inlineStr">
        <is>
          <t>KALMAR LÄN</t>
        </is>
      </c>
      <c r="E501" t="inlineStr">
        <is>
          <t>VIMMERBY</t>
        </is>
      </c>
      <c r="F501" t="inlineStr">
        <is>
          <t>Sveaskog</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19865-2021</t>
        </is>
      </c>
      <c r="B502" s="1" t="n">
        <v>44312</v>
      </c>
      <c r="C502" s="1" t="n">
        <v>45981</v>
      </c>
      <c r="D502" t="inlineStr">
        <is>
          <t>KALMAR LÄN</t>
        </is>
      </c>
      <c r="E502" t="inlineStr">
        <is>
          <t>VIMMERBY</t>
        </is>
      </c>
      <c r="G502" t="n">
        <v>8.6</v>
      </c>
      <c r="H502" t="n">
        <v>0</v>
      </c>
      <c r="I502" t="n">
        <v>0</v>
      </c>
      <c r="J502" t="n">
        <v>0</v>
      </c>
      <c r="K502" t="n">
        <v>0</v>
      </c>
      <c r="L502" t="n">
        <v>0</v>
      </c>
      <c r="M502" t="n">
        <v>0</v>
      </c>
      <c r="N502" t="n">
        <v>0</v>
      </c>
      <c r="O502" t="n">
        <v>0</v>
      </c>
      <c r="P502" t="n">
        <v>0</v>
      </c>
      <c r="Q502" t="n">
        <v>0</v>
      </c>
      <c r="R502" s="2" t="inlineStr"/>
    </row>
    <row r="503" ht="15" customHeight="1">
      <c r="A503" t="inlineStr">
        <is>
          <t>A 53397-2025</t>
        </is>
      </c>
      <c r="B503" s="1" t="n">
        <v>45959.55918981481</v>
      </c>
      <c r="C503" s="1" t="n">
        <v>45981</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53220-2025</t>
        </is>
      </c>
      <c r="B504" s="1" t="n">
        <v>45958.60146990741</v>
      </c>
      <c r="C504" s="1" t="n">
        <v>45981</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40095-2022</t>
        </is>
      </c>
      <c r="B505" s="1" t="n">
        <v>44820</v>
      </c>
      <c r="C505" s="1" t="n">
        <v>45981</v>
      </c>
      <c r="D505" t="inlineStr">
        <is>
          <t>KALMAR LÄN</t>
        </is>
      </c>
      <c r="E505" t="inlineStr">
        <is>
          <t>VIMMERBY</t>
        </is>
      </c>
      <c r="G505" t="n">
        <v>2.4</v>
      </c>
      <c r="H505" t="n">
        <v>0</v>
      </c>
      <c r="I505" t="n">
        <v>0</v>
      </c>
      <c r="J505" t="n">
        <v>0</v>
      </c>
      <c r="K505" t="n">
        <v>0</v>
      </c>
      <c r="L505" t="n">
        <v>0</v>
      </c>
      <c r="M505" t="n">
        <v>0</v>
      </c>
      <c r="N505" t="n">
        <v>0</v>
      </c>
      <c r="O505" t="n">
        <v>0</v>
      </c>
      <c r="P505" t="n">
        <v>0</v>
      </c>
      <c r="Q505" t="n">
        <v>0</v>
      </c>
      <c r="R505" s="2" t="inlineStr"/>
    </row>
    <row r="506" ht="15" customHeight="1">
      <c r="A506" t="inlineStr">
        <is>
          <t>A 53396-2025</t>
        </is>
      </c>
      <c r="B506" s="1" t="n">
        <v>45959.55577546296</v>
      </c>
      <c r="C506" s="1" t="n">
        <v>45981</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53416-2025</t>
        </is>
      </c>
      <c r="B507" s="1" t="n">
        <v>45959.58387731481</v>
      </c>
      <c r="C507" s="1" t="n">
        <v>45981</v>
      </c>
      <c r="D507" t="inlineStr">
        <is>
          <t>KALMAR LÄN</t>
        </is>
      </c>
      <c r="E507" t="inlineStr">
        <is>
          <t>VIMMERBY</t>
        </is>
      </c>
      <c r="G507" t="n">
        <v>4.4</v>
      </c>
      <c r="H507" t="n">
        <v>0</v>
      </c>
      <c r="I507" t="n">
        <v>0</v>
      </c>
      <c r="J507" t="n">
        <v>0</v>
      </c>
      <c r="K507" t="n">
        <v>0</v>
      </c>
      <c r="L507" t="n">
        <v>0</v>
      </c>
      <c r="M507" t="n">
        <v>0</v>
      </c>
      <c r="N507" t="n">
        <v>0</v>
      </c>
      <c r="O507" t="n">
        <v>0</v>
      </c>
      <c r="P507" t="n">
        <v>0</v>
      </c>
      <c r="Q507" t="n">
        <v>0</v>
      </c>
      <c r="R507" s="2" t="inlineStr"/>
    </row>
    <row r="508" ht="15" customHeight="1">
      <c r="A508" t="inlineStr">
        <is>
          <t>A 12630-2023</t>
        </is>
      </c>
      <c r="B508" s="1" t="n">
        <v>45000.47998842593</v>
      </c>
      <c r="C508" s="1" t="n">
        <v>45981</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50085-2023</t>
        </is>
      </c>
      <c r="B509" s="1" t="n">
        <v>45215.5959375</v>
      </c>
      <c r="C509" s="1" t="n">
        <v>45981</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50087-2023</t>
        </is>
      </c>
      <c r="B510" s="1" t="n">
        <v>45215.59743055556</v>
      </c>
      <c r="C510" s="1" t="n">
        <v>45981</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8167-2024</t>
        </is>
      </c>
      <c r="B511" s="1" t="n">
        <v>45351.6062962963</v>
      </c>
      <c r="C511" s="1" t="n">
        <v>45981</v>
      </c>
      <c r="D511" t="inlineStr">
        <is>
          <t>KALMAR LÄN</t>
        </is>
      </c>
      <c r="E511" t="inlineStr">
        <is>
          <t>VIMMERBY</t>
        </is>
      </c>
      <c r="G511" t="n">
        <v>3.8</v>
      </c>
      <c r="H511" t="n">
        <v>0</v>
      </c>
      <c r="I511" t="n">
        <v>0</v>
      </c>
      <c r="J511" t="n">
        <v>0</v>
      </c>
      <c r="K511" t="n">
        <v>0</v>
      </c>
      <c r="L511" t="n">
        <v>0</v>
      </c>
      <c r="M511" t="n">
        <v>0</v>
      </c>
      <c r="N511" t="n">
        <v>0</v>
      </c>
      <c r="O511" t="n">
        <v>0</v>
      </c>
      <c r="P511" t="n">
        <v>0</v>
      </c>
      <c r="Q511" t="n">
        <v>0</v>
      </c>
      <c r="R511" s="2" t="inlineStr"/>
    </row>
    <row r="512" ht="15" customHeight="1">
      <c r="A512" t="inlineStr">
        <is>
          <t>A 21109-2024</t>
        </is>
      </c>
      <c r="B512" s="1" t="n">
        <v>45440.28329861111</v>
      </c>
      <c r="C512" s="1" t="n">
        <v>45981</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30634-2024</t>
        </is>
      </c>
      <c r="B513" s="1" t="n">
        <v>45495</v>
      </c>
      <c r="C513" s="1" t="n">
        <v>45981</v>
      </c>
      <c r="D513" t="inlineStr">
        <is>
          <t>KALMAR LÄN</t>
        </is>
      </c>
      <c r="E513" t="inlineStr">
        <is>
          <t>VIMMERBY</t>
        </is>
      </c>
      <c r="G513" t="n">
        <v>1.2</v>
      </c>
      <c r="H513" t="n">
        <v>0</v>
      </c>
      <c r="I513" t="n">
        <v>0</v>
      </c>
      <c r="J513" t="n">
        <v>0</v>
      </c>
      <c r="K513" t="n">
        <v>0</v>
      </c>
      <c r="L513" t="n">
        <v>0</v>
      </c>
      <c r="M513" t="n">
        <v>0</v>
      </c>
      <c r="N513" t="n">
        <v>0</v>
      </c>
      <c r="O513" t="n">
        <v>0</v>
      </c>
      <c r="P513" t="n">
        <v>0</v>
      </c>
      <c r="Q513" t="n">
        <v>0</v>
      </c>
      <c r="R513" s="2" t="inlineStr"/>
    </row>
    <row r="514" ht="15" customHeight="1">
      <c r="A514" t="inlineStr">
        <is>
          <t>A 40260-2024</t>
        </is>
      </c>
      <c r="B514" s="1" t="n">
        <v>45554.63225694445</v>
      </c>
      <c r="C514" s="1" t="n">
        <v>45981</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53923-2025</t>
        </is>
      </c>
      <c r="B515" s="1" t="n">
        <v>45961.4569212963</v>
      </c>
      <c r="C515" s="1" t="n">
        <v>45981</v>
      </c>
      <c r="D515" t="inlineStr">
        <is>
          <t>KALMAR LÄN</t>
        </is>
      </c>
      <c r="E515" t="inlineStr">
        <is>
          <t>VIMMERBY</t>
        </is>
      </c>
      <c r="G515" t="n">
        <v>2.4</v>
      </c>
      <c r="H515" t="n">
        <v>0</v>
      </c>
      <c r="I515" t="n">
        <v>0</v>
      </c>
      <c r="J515" t="n">
        <v>0</v>
      </c>
      <c r="K515" t="n">
        <v>0</v>
      </c>
      <c r="L515" t="n">
        <v>0</v>
      </c>
      <c r="M515" t="n">
        <v>0</v>
      </c>
      <c r="N515" t="n">
        <v>0</v>
      </c>
      <c r="O515" t="n">
        <v>0</v>
      </c>
      <c r="P515" t="n">
        <v>0</v>
      </c>
      <c r="Q515" t="n">
        <v>0</v>
      </c>
      <c r="R515" s="2" t="inlineStr"/>
    </row>
    <row r="516" ht="15" customHeight="1">
      <c r="A516" t="inlineStr">
        <is>
          <t>A 59943-2023</t>
        </is>
      </c>
      <c r="B516" s="1" t="n">
        <v>45257.67958333333</v>
      </c>
      <c r="C516" s="1" t="n">
        <v>45981</v>
      </c>
      <c r="D516" t="inlineStr">
        <is>
          <t>KALMAR LÄN</t>
        </is>
      </c>
      <c r="E516" t="inlineStr">
        <is>
          <t>VIMMERBY</t>
        </is>
      </c>
      <c r="G516" t="n">
        <v>6.4</v>
      </c>
      <c r="H516" t="n">
        <v>0</v>
      </c>
      <c r="I516" t="n">
        <v>0</v>
      </c>
      <c r="J516" t="n">
        <v>0</v>
      </c>
      <c r="K516" t="n">
        <v>0</v>
      </c>
      <c r="L516" t="n">
        <v>0</v>
      </c>
      <c r="M516" t="n">
        <v>0</v>
      </c>
      <c r="N516" t="n">
        <v>0</v>
      </c>
      <c r="O516" t="n">
        <v>0</v>
      </c>
      <c r="P516" t="n">
        <v>0</v>
      </c>
      <c r="Q516" t="n">
        <v>0</v>
      </c>
      <c r="R516" s="2" t="inlineStr"/>
    </row>
    <row r="517" ht="15" customHeight="1">
      <c r="A517" t="inlineStr">
        <is>
          <t>A 53927-2025</t>
        </is>
      </c>
      <c r="B517" s="1" t="n">
        <v>45961.46740740741</v>
      </c>
      <c r="C517" s="1" t="n">
        <v>45981</v>
      </c>
      <c r="D517" t="inlineStr">
        <is>
          <t>KALMAR LÄN</t>
        </is>
      </c>
      <c r="E517" t="inlineStr">
        <is>
          <t>VIMMERBY</t>
        </is>
      </c>
      <c r="G517" t="n">
        <v>2.5</v>
      </c>
      <c r="H517" t="n">
        <v>0</v>
      </c>
      <c r="I517" t="n">
        <v>0</v>
      </c>
      <c r="J517" t="n">
        <v>0</v>
      </c>
      <c r="K517" t="n">
        <v>0</v>
      </c>
      <c r="L517" t="n">
        <v>0</v>
      </c>
      <c r="M517" t="n">
        <v>0</v>
      </c>
      <c r="N517" t="n">
        <v>0</v>
      </c>
      <c r="O517" t="n">
        <v>0</v>
      </c>
      <c r="P517" t="n">
        <v>0</v>
      </c>
      <c r="Q517" t="n">
        <v>0</v>
      </c>
      <c r="R517" s="2" t="inlineStr"/>
    </row>
    <row r="518" ht="15" customHeight="1">
      <c r="A518" t="inlineStr">
        <is>
          <t>A 53933-2025</t>
        </is>
      </c>
      <c r="B518" s="1" t="n">
        <v>45961.47650462963</v>
      </c>
      <c r="C518" s="1" t="n">
        <v>45981</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5527-2022</t>
        </is>
      </c>
      <c r="B519" s="1" t="n">
        <v>44595.583125</v>
      </c>
      <c r="C519" s="1" t="n">
        <v>45981</v>
      </c>
      <c r="D519" t="inlineStr">
        <is>
          <t>KALMAR LÄN</t>
        </is>
      </c>
      <c r="E519" t="inlineStr">
        <is>
          <t>VIMMERBY</t>
        </is>
      </c>
      <c r="G519" t="n">
        <v>3.6</v>
      </c>
      <c r="H519" t="n">
        <v>0</v>
      </c>
      <c r="I519" t="n">
        <v>0</v>
      </c>
      <c r="J519" t="n">
        <v>0</v>
      </c>
      <c r="K519" t="n">
        <v>0</v>
      </c>
      <c r="L519" t="n">
        <v>0</v>
      </c>
      <c r="M519" t="n">
        <v>0</v>
      </c>
      <c r="N519" t="n">
        <v>0</v>
      </c>
      <c r="O519" t="n">
        <v>0</v>
      </c>
      <c r="P519" t="n">
        <v>0</v>
      </c>
      <c r="Q519" t="n">
        <v>0</v>
      </c>
      <c r="R519" s="2" t="inlineStr"/>
    </row>
    <row r="520" ht="15" customHeight="1">
      <c r="A520" t="inlineStr">
        <is>
          <t>A 2604-2025</t>
        </is>
      </c>
      <c r="B520" s="1" t="n">
        <v>45674.74094907408</v>
      </c>
      <c r="C520" s="1" t="n">
        <v>45981</v>
      </c>
      <c r="D520" t="inlineStr">
        <is>
          <t>KALMAR LÄN</t>
        </is>
      </c>
      <c r="E520" t="inlineStr">
        <is>
          <t>VIMMERBY</t>
        </is>
      </c>
      <c r="G520" t="n">
        <v>7.6</v>
      </c>
      <c r="H520" t="n">
        <v>0</v>
      </c>
      <c r="I520" t="n">
        <v>0</v>
      </c>
      <c r="J520" t="n">
        <v>0</v>
      </c>
      <c r="K520" t="n">
        <v>0</v>
      </c>
      <c r="L520" t="n">
        <v>0</v>
      </c>
      <c r="M520" t="n">
        <v>0</v>
      </c>
      <c r="N520" t="n">
        <v>0</v>
      </c>
      <c r="O520" t="n">
        <v>0</v>
      </c>
      <c r="P520" t="n">
        <v>0</v>
      </c>
      <c r="Q520" t="n">
        <v>0</v>
      </c>
      <c r="R520" s="2" t="inlineStr"/>
    </row>
    <row r="521" ht="15" customHeight="1">
      <c r="A521" t="inlineStr">
        <is>
          <t>A 12325-2023</t>
        </is>
      </c>
      <c r="B521" s="1" t="n">
        <v>44999.35858796296</v>
      </c>
      <c r="C521" s="1" t="n">
        <v>45981</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1016-2024</t>
        </is>
      </c>
      <c r="B522" s="1" t="n">
        <v>45301</v>
      </c>
      <c r="C522" s="1" t="n">
        <v>45981</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37192-2024</t>
        </is>
      </c>
      <c r="B523" s="1" t="n">
        <v>45539.66027777778</v>
      </c>
      <c r="C523" s="1" t="n">
        <v>45981</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45114-2025</t>
        </is>
      </c>
      <c r="B524" s="1" t="n">
        <v>45919.42387731482</v>
      </c>
      <c r="C524" s="1" t="n">
        <v>45981</v>
      </c>
      <c r="D524" t="inlineStr">
        <is>
          <t>KALMAR LÄN</t>
        </is>
      </c>
      <c r="E524" t="inlineStr">
        <is>
          <t>VIMMERBY</t>
        </is>
      </c>
      <c r="G524" t="n">
        <v>2.7</v>
      </c>
      <c r="H524" t="n">
        <v>0</v>
      </c>
      <c r="I524" t="n">
        <v>0</v>
      </c>
      <c r="J524" t="n">
        <v>0</v>
      </c>
      <c r="K524" t="n">
        <v>0</v>
      </c>
      <c r="L524" t="n">
        <v>0</v>
      </c>
      <c r="M524" t="n">
        <v>0</v>
      </c>
      <c r="N524" t="n">
        <v>0</v>
      </c>
      <c r="O524" t="n">
        <v>0</v>
      </c>
      <c r="P524" t="n">
        <v>0</v>
      </c>
      <c r="Q524" t="n">
        <v>0</v>
      </c>
      <c r="R524" s="2" t="inlineStr"/>
    </row>
    <row r="525" ht="15" customHeight="1">
      <c r="A525" t="inlineStr">
        <is>
          <t>A 33681-2022</t>
        </is>
      </c>
      <c r="B525" s="1" t="n">
        <v>44789</v>
      </c>
      <c r="C525" s="1" t="n">
        <v>45981</v>
      </c>
      <c r="D525" t="inlineStr">
        <is>
          <t>KALMAR LÄN</t>
        </is>
      </c>
      <c r="E525" t="inlineStr">
        <is>
          <t>VIMMERBY</t>
        </is>
      </c>
      <c r="G525" t="n">
        <v>3.2</v>
      </c>
      <c r="H525" t="n">
        <v>0</v>
      </c>
      <c r="I525" t="n">
        <v>0</v>
      </c>
      <c r="J525" t="n">
        <v>0</v>
      </c>
      <c r="K525" t="n">
        <v>0</v>
      </c>
      <c r="L525" t="n">
        <v>0</v>
      </c>
      <c r="M525" t="n">
        <v>0</v>
      </c>
      <c r="N525" t="n">
        <v>0</v>
      </c>
      <c r="O525" t="n">
        <v>0</v>
      </c>
      <c r="P525" t="n">
        <v>0</v>
      </c>
      <c r="Q525" t="n">
        <v>0</v>
      </c>
      <c r="R525" s="2" t="inlineStr"/>
    </row>
    <row r="526" ht="15" customHeight="1">
      <c r="A526" t="inlineStr">
        <is>
          <t>A 53903-2025</t>
        </is>
      </c>
      <c r="B526" s="1" t="n">
        <v>45961.43738425926</v>
      </c>
      <c r="C526" s="1" t="n">
        <v>45981</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42429-2024</t>
        </is>
      </c>
      <c r="B527" s="1" t="n">
        <v>45565.40657407408</v>
      </c>
      <c r="C527" s="1" t="n">
        <v>45981</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53920-2025</t>
        </is>
      </c>
      <c r="B528" s="1" t="n">
        <v>45961.44951388889</v>
      </c>
      <c r="C528" s="1" t="n">
        <v>45981</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29180-2024</t>
        </is>
      </c>
      <c r="B529" s="1" t="n">
        <v>45482.54108796296</v>
      </c>
      <c r="C529" s="1" t="n">
        <v>45981</v>
      </c>
      <c r="D529" t="inlineStr">
        <is>
          <t>KALMAR LÄN</t>
        </is>
      </c>
      <c r="E529" t="inlineStr">
        <is>
          <t>VIMMERBY</t>
        </is>
      </c>
      <c r="G529" t="n">
        <v>3.8</v>
      </c>
      <c r="H529" t="n">
        <v>0</v>
      </c>
      <c r="I529" t="n">
        <v>0</v>
      </c>
      <c r="J529" t="n">
        <v>0</v>
      </c>
      <c r="K529" t="n">
        <v>0</v>
      </c>
      <c r="L529" t="n">
        <v>0</v>
      </c>
      <c r="M529" t="n">
        <v>0</v>
      </c>
      <c r="N529" t="n">
        <v>0</v>
      </c>
      <c r="O529" t="n">
        <v>0</v>
      </c>
      <c r="P529" t="n">
        <v>0</v>
      </c>
      <c r="Q529" t="n">
        <v>0</v>
      </c>
      <c r="R529" s="2" t="inlineStr"/>
    </row>
    <row r="530" ht="15" customHeight="1">
      <c r="A530" t="inlineStr">
        <is>
          <t>A 45846-2023</t>
        </is>
      </c>
      <c r="B530" s="1" t="n">
        <v>45195.58452546296</v>
      </c>
      <c r="C530" s="1" t="n">
        <v>45981</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16020-2023</t>
        </is>
      </c>
      <c r="B531" s="1" t="n">
        <v>45026.82216435186</v>
      </c>
      <c r="C531" s="1" t="n">
        <v>45981</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5074-2023</t>
        </is>
      </c>
      <c r="B532" s="1" t="n">
        <v>44958.61047453704</v>
      </c>
      <c r="C532" s="1" t="n">
        <v>45981</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45319-2025</t>
        </is>
      </c>
      <c r="B533" s="1" t="n">
        <v>45921.95611111111</v>
      </c>
      <c r="C533" s="1" t="n">
        <v>45981</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51187-2023</t>
        </is>
      </c>
      <c r="B534" s="1" t="n">
        <v>45219.40528935185</v>
      </c>
      <c r="C534" s="1" t="n">
        <v>45981</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61820-2023</t>
        </is>
      </c>
      <c r="B535" s="1" t="n">
        <v>45266.32614583334</v>
      </c>
      <c r="C535" s="1" t="n">
        <v>45981</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54236-2025</t>
        </is>
      </c>
      <c r="B536" s="1" t="n">
        <v>45964.62671296296</v>
      </c>
      <c r="C536" s="1" t="n">
        <v>45981</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15715-2022</t>
        </is>
      </c>
      <c r="B537" s="1" t="n">
        <v>44663</v>
      </c>
      <c r="C537" s="1" t="n">
        <v>45981</v>
      </c>
      <c r="D537" t="inlineStr">
        <is>
          <t>KALMAR LÄN</t>
        </is>
      </c>
      <c r="E537" t="inlineStr">
        <is>
          <t>VIMMERBY</t>
        </is>
      </c>
      <c r="G537" t="n">
        <v>2.3</v>
      </c>
      <c r="H537" t="n">
        <v>0</v>
      </c>
      <c r="I537" t="n">
        <v>0</v>
      </c>
      <c r="J537" t="n">
        <v>0</v>
      </c>
      <c r="K537" t="n">
        <v>0</v>
      </c>
      <c r="L537" t="n">
        <v>0</v>
      </c>
      <c r="M537" t="n">
        <v>0</v>
      </c>
      <c r="N537" t="n">
        <v>0</v>
      </c>
      <c r="O537" t="n">
        <v>0</v>
      </c>
      <c r="P537" t="n">
        <v>0</v>
      </c>
      <c r="Q537" t="n">
        <v>0</v>
      </c>
      <c r="R537" s="2" t="inlineStr"/>
    </row>
    <row r="538" ht="15" customHeight="1">
      <c r="A538" t="inlineStr">
        <is>
          <t>A 43093-2024</t>
        </is>
      </c>
      <c r="B538" s="1" t="n">
        <v>45567</v>
      </c>
      <c r="C538" s="1" t="n">
        <v>45981</v>
      </c>
      <c r="D538" t="inlineStr">
        <is>
          <t>KALMAR LÄN</t>
        </is>
      </c>
      <c r="E538" t="inlineStr">
        <is>
          <t>VIMMERBY</t>
        </is>
      </c>
      <c r="G538" t="n">
        <v>0.7</v>
      </c>
      <c r="H538" t="n">
        <v>0</v>
      </c>
      <c r="I538" t="n">
        <v>0</v>
      </c>
      <c r="J538" t="n">
        <v>0</v>
      </c>
      <c r="K538" t="n">
        <v>0</v>
      </c>
      <c r="L538" t="n">
        <v>0</v>
      </c>
      <c r="M538" t="n">
        <v>0</v>
      </c>
      <c r="N538" t="n">
        <v>0</v>
      </c>
      <c r="O538" t="n">
        <v>0</v>
      </c>
      <c r="P538" t="n">
        <v>0</v>
      </c>
      <c r="Q538" t="n">
        <v>0</v>
      </c>
      <c r="R538" s="2" t="inlineStr"/>
    </row>
    <row r="539" ht="15" customHeight="1">
      <c r="A539" t="inlineStr">
        <is>
          <t>A 56022-2024</t>
        </is>
      </c>
      <c r="B539" s="1" t="n">
        <v>45623.95947916667</v>
      </c>
      <c r="C539" s="1" t="n">
        <v>45981</v>
      </c>
      <c r="D539" t="inlineStr">
        <is>
          <t>KALMAR LÄN</t>
        </is>
      </c>
      <c r="E539" t="inlineStr">
        <is>
          <t>VIMMERBY</t>
        </is>
      </c>
      <c r="G539" t="n">
        <v>0.3</v>
      </c>
      <c r="H539" t="n">
        <v>0</v>
      </c>
      <c r="I539" t="n">
        <v>0</v>
      </c>
      <c r="J539" t="n">
        <v>0</v>
      </c>
      <c r="K539" t="n">
        <v>0</v>
      </c>
      <c r="L539" t="n">
        <v>0</v>
      </c>
      <c r="M539" t="n">
        <v>0</v>
      </c>
      <c r="N539" t="n">
        <v>0</v>
      </c>
      <c r="O539" t="n">
        <v>0</v>
      </c>
      <c r="P539" t="n">
        <v>0</v>
      </c>
      <c r="Q539" t="n">
        <v>0</v>
      </c>
      <c r="R539" s="2" t="inlineStr"/>
    </row>
    <row r="540" ht="15" customHeight="1">
      <c r="A540" t="inlineStr">
        <is>
          <t>A 45320-2025</t>
        </is>
      </c>
      <c r="B540" s="1" t="n">
        <v>45921.96395833333</v>
      </c>
      <c r="C540" s="1" t="n">
        <v>45981</v>
      </c>
      <c r="D540" t="inlineStr">
        <is>
          <t>KALMAR LÄN</t>
        </is>
      </c>
      <c r="E540" t="inlineStr">
        <is>
          <t>VIMMERBY</t>
        </is>
      </c>
      <c r="G540" t="n">
        <v>1.3</v>
      </c>
      <c r="H540" t="n">
        <v>0</v>
      </c>
      <c r="I540" t="n">
        <v>0</v>
      </c>
      <c r="J540" t="n">
        <v>0</v>
      </c>
      <c r="K540" t="n">
        <v>0</v>
      </c>
      <c r="L540" t="n">
        <v>0</v>
      </c>
      <c r="M540" t="n">
        <v>0</v>
      </c>
      <c r="N540" t="n">
        <v>0</v>
      </c>
      <c r="O540" t="n">
        <v>0</v>
      </c>
      <c r="P540" t="n">
        <v>0</v>
      </c>
      <c r="Q540" t="n">
        <v>0</v>
      </c>
      <c r="R540" s="2" t="inlineStr"/>
    </row>
    <row r="541" ht="15" customHeight="1">
      <c r="A541" t="inlineStr">
        <is>
          <t>A 18330-2023</t>
        </is>
      </c>
      <c r="B541" s="1" t="n">
        <v>45041</v>
      </c>
      <c r="C541" s="1" t="n">
        <v>45981</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45560-2021</t>
        </is>
      </c>
      <c r="B542" s="1" t="n">
        <v>44440</v>
      </c>
      <c r="C542" s="1" t="n">
        <v>45981</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20126-2024</t>
        </is>
      </c>
      <c r="B543" s="1" t="n">
        <v>45434.55471064815</v>
      </c>
      <c r="C543" s="1" t="n">
        <v>45981</v>
      </c>
      <c r="D543" t="inlineStr">
        <is>
          <t>KALMAR LÄN</t>
        </is>
      </c>
      <c r="E543" t="inlineStr">
        <is>
          <t>VIMMERBY</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20136-2024</t>
        </is>
      </c>
      <c r="B544" s="1" t="n">
        <v>45434.56291666667</v>
      </c>
      <c r="C544" s="1" t="n">
        <v>45981</v>
      </c>
      <c r="D544" t="inlineStr">
        <is>
          <t>KALMAR LÄN</t>
        </is>
      </c>
      <c r="E544" t="inlineStr">
        <is>
          <t>VIMMERBY</t>
        </is>
      </c>
      <c r="F544" t="inlineStr">
        <is>
          <t>Sveaskog</t>
        </is>
      </c>
      <c r="G544" t="n">
        <v>8.4</v>
      </c>
      <c r="H544" t="n">
        <v>0</v>
      </c>
      <c r="I544" t="n">
        <v>0</v>
      </c>
      <c r="J544" t="n">
        <v>0</v>
      </c>
      <c r="K544" t="n">
        <v>0</v>
      </c>
      <c r="L544" t="n">
        <v>0</v>
      </c>
      <c r="M544" t="n">
        <v>0</v>
      </c>
      <c r="N544" t="n">
        <v>0</v>
      </c>
      <c r="O544" t="n">
        <v>0</v>
      </c>
      <c r="P544" t="n">
        <v>0</v>
      </c>
      <c r="Q544" t="n">
        <v>0</v>
      </c>
      <c r="R544" s="2" t="inlineStr"/>
    </row>
    <row r="545" ht="15" customHeight="1">
      <c r="A545" t="inlineStr">
        <is>
          <t>A 54234-2025</t>
        </is>
      </c>
      <c r="B545" s="1" t="n">
        <v>45964.62486111111</v>
      </c>
      <c r="C545" s="1" t="n">
        <v>45981</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40256-2024</t>
        </is>
      </c>
      <c r="B546" s="1" t="n">
        <v>45554.62944444444</v>
      </c>
      <c r="C546" s="1" t="n">
        <v>45981</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46921-2023</t>
        </is>
      </c>
      <c r="B547" s="1" t="n">
        <v>45201.39996527778</v>
      </c>
      <c r="C547" s="1" t="n">
        <v>45981</v>
      </c>
      <c r="D547" t="inlineStr">
        <is>
          <t>KALMAR LÄN</t>
        </is>
      </c>
      <c r="E547" t="inlineStr">
        <is>
          <t>VIMMERBY</t>
        </is>
      </c>
      <c r="G547" t="n">
        <v>2.6</v>
      </c>
      <c r="H547" t="n">
        <v>0</v>
      </c>
      <c r="I547" t="n">
        <v>0</v>
      </c>
      <c r="J547" t="n">
        <v>0</v>
      </c>
      <c r="K547" t="n">
        <v>0</v>
      </c>
      <c r="L547" t="n">
        <v>0</v>
      </c>
      <c r="M547" t="n">
        <v>0</v>
      </c>
      <c r="N547" t="n">
        <v>0</v>
      </c>
      <c r="O547" t="n">
        <v>0</v>
      </c>
      <c r="P547" t="n">
        <v>0</v>
      </c>
      <c r="Q547" t="n">
        <v>0</v>
      </c>
      <c r="R547" s="2" t="inlineStr"/>
    </row>
    <row r="548" ht="15" customHeight="1">
      <c r="A548" t="inlineStr">
        <is>
          <t>A 58104-2024</t>
        </is>
      </c>
      <c r="B548" s="1" t="n">
        <v>45632.37459490741</v>
      </c>
      <c r="C548" s="1" t="n">
        <v>45981</v>
      </c>
      <c r="D548" t="inlineStr">
        <is>
          <t>KALMAR LÄN</t>
        </is>
      </c>
      <c r="E548" t="inlineStr">
        <is>
          <t>VIMMERBY</t>
        </is>
      </c>
      <c r="G548" t="n">
        <v>5</v>
      </c>
      <c r="H548" t="n">
        <v>0</v>
      </c>
      <c r="I548" t="n">
        <v>0</v>
      </c>
      <c r="J548" t="n">
        <v>0</v>
      </c>
      <c r="K548" t="n">
        <v>0</v>
      </c>
      <c r="L548" t="n">
        <v>0</v>
      </c>
      <c r="M548" t="n">
        <v>0</v>
      </c>
      <c r="N548" t="n">
        <v>0</v>
      </c>
      <c r="O548" t="n">
        <v>0</v>
      </c>
      <c r="P548" t="n">
        <v>0</v>
      </c>
      <c r="Q548" t="n">
        <v>0</v>
      </c>
      <c r="R548" s="2" t="inlineStr"/>
    </row>
    <row r="549" ht="15" customHeight="1">
      <c r="A549" t="inlineStr">
        <is>
          <t>A 25236-2023</t>
        </is>
      </c>
      <c r="B549" s="1" t="n">
        <v>45086.63334490741</v>
      </c>
      <c r="C549" s="1" t="n">
        <v>45981</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36259-2022</t>
        </is>
      </c>
      <c r="B550" s="1" t="n">
        <v>44803.59118055556</v>
      </c>
      <c r="C550" s="1" t="n">
        <v>45981</v>
      </c>
      <c r="D550" t="inlineStr">
        <is>
          <t>KALMAR LÄN</t>
        </is>
      </c>
      <c r="E550" t="inlineStr">
        <is>
          <t>VIMMERBY</t>
        </is>
      </c>
      <c r="G550" t="n">
        <v>3.9</v>
      </c>
      <c r="H550" t="n">
        <v>0</v>
      </c>
      <c r="I550" t="n">
        <v>0</v>
      </c>
      <c r="J550" t="n">
        <v>0</v>
      </c>
      <c r="K550" t="n">
        <v>0</v>
      </c>
      <c r="L550" t="n">
        <v>0</v>
      </c>
      <c r="M550" t="n">
        <v>0</v>
      </c>
      <c r="N550" t="n">
        <v>0</v>
      </c>
      <c r="O550" t="n">
        <v>0</v>
      </c>
      <c r="P550" t="n">
        <v>0</v>
      </c>
      <c r="Q550" t="n">
        <v>0</v>
      </c>
      <c r="R550" s="2" t="inlineStr"/>
    </row>
    <row r="551" ht="15" customHeight="1">
      <c r="A551" t="inlineStr">
        <is>
          <t>A 43034-2024</t>
        </is>
      </c>
      <c r="B551" s="1" t="n">
        <v>45567.42011574074</v>
      </c>
      <c r="C551" s="1" t="n">
        <v>45981</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53786-2025</t>
        </is>
      </c>
      <c r="B552" s="1" t="n">
        <v>45960</v>
      </c>
      <c r="C552" s="1" t="n">
        <v>45981</v>
      </c>
      <c r="D552" t="inlineStr">
        <is>
          <t>KALMAR LÄN</t>
        </is>
      </c>
      <c r="E552" t="inlineStr">
        <is>
          <t>VIMMERBY</t>
        </is>
      </c>
      <c r="F552" t="inlineStr">
        <is>
          <t>Övriga statliga verk och myndigheter</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3902-2022</t>
        </is>
      </c>
      <c r="B553" s="1" t="n">
        <v>44587.48847222222</v>
      </c>
      <c r="C553" s="1" t="n">
        <v>45981</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30070-2023</t>
        </is>
      </c>
      <c r="B554" s="1" t="n">
        <v>45110.4275</v>
      </c>
      <c r="C554" s="1" t="n">
        <v>45981</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46118-2025</t>
        </is>
      </c>
      <c r="B555" s="1" t="n">
        <v>45924.57697916667</v>
      </c>
      <c r="C555" s="1" t="n">
        <v>45981</v>
      </c>
      <c r="D555" t="inlineStr">
        <is>
          <t>KALMAR LÄN</t>
        </is>
      </c>
      <c r="E555" t="inlineStr">
        <is>
          <t>VIMMERBY</t>
        </is>
      </c>
      <c r="G555" t="n">
        <v>2.9</v>
      </c>
      <c r="H555" t="n">
        <v>0</v>
      </c>
      <c r="I555" t="n">
        <v>0</v>
      </c>
      <c r="J555" t="n">
        <v>0</v>
      </c>
      <c r="K555" t="n">
        <v>0</v>
      </c>
      <c r="L555" t="n">
        <v>0</v>
      </c>
      <c r="M555" t="n">
        <v>0</v>
      </c>
      <c r="N555" t="n">
        <v>0</v>
      </c>
      <c r="O555" t="n">
        <v>0</v>
      </c>
      <c r="P555" t="n">
        <v>0</v>
      </c>
      <c r="Q555" t="n">
        <v>0</v>
      </c>
      <c r="R555" s="2" t="inlineStr"/>
    </row>
    <row r="556" ht="15" customHeight="1">
      <c r="A556" t="inlineStr">
        <is>
          <t>A 46365-2025</t>
        </is>
      </c>
      <c r="B556" s="1" t="n">
        <v>45925.50075231482</v>
      </c>
      <c r="C556" s="1" t="n">
        <v>45981</v>
      </c>
      <c r="D556" t="inlineStr">
        <is>
          <t>KALMAR LÄN</t>
        </is>
      </c>
      <c r="E556" t="inlineStr">
        <is>
          <t>VIMMERBY</t>
        </is>
      </c>
      <c r="G556" t="n">
        <v>5.6</v>
      </c>
      <c r="H556" t="n">
        <v>0</v>
      </c>
      <c r="I556" t="n">
        <v>0</v>
      </c>
      <c r="J556" t="n">
        <v>0</v>
      </c>
      <c r="K556" t="n">
        <v>0</v>
      </c>
      <c r="L556" t="n">
        <v>0</v>
      </c>
      <c r="M556" t="n">
        <v>0</v>
      </c>
      <c r="N556" t="n">
        <v>0</v>
      </c>
      <c r="O556" t="n">
        <v>0</v>
      </c>
      <c r="P556" t="n">
        <v>0</v>
      </c>
      <c r="Q556" t="n">
        <v>0</v>
      </c>
      <c r="R556" s="2" t="inlineStr"/>
    </row>
    <row r="557" ht="15" customHeight="1">
      <c r="A557" t="inlineStr">
        <is>
          <t>A 54737-2025</t>
        </is>
      </c>
      <c r="B557" s="1" t="n">
        <v>45966.56826388889</v>
      </c>
      <c r="C557" s="1" t="n">
        <v>45981</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6082-2022</t>
        </is>
      </c>
      <c r="B558" s="1" t="n">
        <v>44599</v>
      </c>
      <c r="C558" s="1" t="n">
        <v>45981</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2801-2023</t>
        </is>
      </c>
      <c r="B559" s="1" t="n">
        <v>44944.73487268519</v>
      </c>
      <c r="C559" s="1" t="n">
        <v>45981</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31209-2024</t>
        </is>
      </c>
      <c r="B560" s="1" t="n">
        <v>45503.5658912037</v>
      </c>
      <c r="C560" s="1" t="n">
        <v>45981</v>
      </c>
      <c r="D560" t="inlineStr">
        <is>
          <t>KALMAR LÄN</t>
        </is>
      </c>
      <c r="E560" t="inlineStr">
        <is>
          <t>VIMMERBY</t>
        </is>
      </c>
      <c r="G560" t="n">
        <v>1.7</v>
      </c>
      <c r="H560" t="n">
        <v>0</v>
      </c>
      <c r="I560" t="n">
        <v>0</v>
      </c>
      <c r="J560" t="n">
        <v>0</v>
      </c>
      <c r="K560" t="n">
        <v>0</v>
      </c>
      <c r="L560" t="n">
        <v>0</v>
      </c>
      <c r="M560" t="n">
        <v>0</v>
      </c>
      <c r="N560" t="n">
        <v>0</v>
      </c>
      <c r="O560" t="n">
        <v>0</v>
      </c>
      <c r="P560" t="n">
        <v>0</v>
      </c>
      <c r="Q560" t="n">
        <v>0</v>
      </c>
      <c r="R560" s="2" t="inlineStr"/>
    </row>
    <row r="561" ht="15" customHeight="1">
      <c r="A561" t="inlineStr">
        <is>
          <t>A 5146-2024</t>
        </is>
      </c>
      <c r="B561" s="1" t="n">
        <v>45330</v>
      </c>
      <c r="C561" s="1" t="n">
        <v>45981</v>
      </c>
      <c r="D561" t="inlineStr">
        <is>
          <t>KALMAR LÄN</t>
        </is>
      </c>
      <c r="E561" t="inlineStr">
        <is>
          <t>VIMMERBY</t>
        </is>
      </c>
      <c r="G561" t="n">
        <v>5.3</v>
      </c>
      <c r="H561" t="n">
        <v>0</v>
      </c>
      <c r="I561" t="n">
        <v>0</v>
      </c>
      <c r="J561" t="n">
        <v>0</v>
      </c>
      <c r="K561" t="n">
        <v>0</v>
      </c>
      <c r="L561" t="n">
        <v>0</v>
      </c>
      <c r="M561" t="n">
        <v>0</v>
      </c>
      <c r="N561" t="n">
        <v>0</v>
      </c>
      <c r="O561" t="n">
        <v>0</v>
      </c>
      <c r="P561" t="n">
        <v>0</v>
      </c>
      <c r="Q561" t="n">
        <v>0</v>
      </c>
      <c r="R561" s="2" t="inlineStr"/>
    </row>
    <row r="562" ht="15" customHeight="1">
      <c r="A562" t="inlineStr">
        <is>
          <t>A 5148-2024</t>
        </is>
      </c>
      <c r="B562" s="1" t="n">
        <v>45330</v>
      </c>
      <c r="C562" s="1" t="n">
        <v>45981</v>
      </c>
      <c r="D562" t="inlineStr">
        <is>
          <t>KALMAR LÄN</t>
        </is>
      </c>
      <c r="E562" t="inlineStr">
        <is>
          <t>VIMMERBY</t>
        </is>
      </c>
      <c r="G562" t="n">
        <v>5.6</v>
      </c>
      <c r="H562" t="n">
        <v>0</v>
      </c>
      <c r="I562" t="n">
        <v>0</v>
      </c>
      <c r="J562" t="n">
        <v>0</v>
      </c>
      <c r="K562" t="n">
        <v>0</v>
      </c>
      <c r="L562" t="n">
        <v>0</v>
      </c>
      <c r="M562" t="n">
        <v>0</v>
      </c>
      <c r="N562" t="n">
        <v>0</v>
      </c>
      <c r="O562" t="n">
        <v>0</v>
      </c>
      <c r="P562" t="n">
        <v>0</v>
      </c>
      <c r="Q562" t="n">
        <v>0</v>
      </c>
      <c r="R562" s="2" t="inlineStr"/>
    </row>
    <row r="563" ht="15" customHeight="1">
      <c r="A563" t="inlineStr">
        <is>
          <t>A 46361-2025</t>
        </is>
      </c>
      <c r="B563" s="1" t="n">
        <v>45925.49670138889</v>
      </c>
      <c r="C563" s="1" t="n">
        <v>45981</v>
      </c>
      <c r="D563" t="inlineStr">
        <is>
          <t>KALMAR LÄN</t>
        </is>
      </c>
      <c r="E563" t="inlineStr">
        <is>
          <t>VIMMERBY</t>
        </is>
      </c>
      <c r="G563" t="n">
        <v>4.2</v>
      </c>
      <c r="H563" t="n">
        <v>0</v>
      </c>
      <c r="I563" t="n">
        <v>0</v>
      </c>
      <c r="J563" t="n">
        <v>0</v>
      </c>
      <c r="K563" t="n">
        <v>0</v>
      </c>
      <c r="L563" t="n">
        <v>0</v>
      </c>
      <c r="M563" t="n">
        <v>0</v>
      </c>
      <c r="N563" t="n">
        <v>0</v>
      </c>
      <c r="O563" t="n">
        <v>0</v>
      </c>
      <c r="P563" t="n">
        <v>0</v>
      </c>
      <c r="Q563" t="n">
        <v>0</v>
      </c>
      <c r="R563" s="2" t="inlineStr"/>
    </row>
    <row r="564" ht="15" customHeight="1">
      <c r="A564" t="inlineStr">
        <is>
          <t>A 4527-2023</t>
        </is>
      </c>
      <c r="B564" s="1" t="n">
        <v>44956</v>
      </c>
      <c r="C564" s="1" t="n">
        <v>45981</v>
      </c>
      <c r="D564" t="inlineStr">
        <is>
          <t>KALMAR LÄN</t>
        </is>
      </c>
      <c r="E564" t="inlineStr">
        <is>
          <t>VIMMERBY</t>
        </is>
      </c>
      <c r="F564" t="inlineStr">
        <is>
          <t>Kommuner</t>
        </is>
      </c>
      <c r="G564" t="n">
        <v>8.5</v>
      </c>
      <c r="H564" t="n">
        <v>0</v>
      </c>
      <c r="I564" t="n">
        <v>0</v>
      </c>
      <c r="J564" t="n">
        <v>0</v>
      </c>
      <c r="K564" t="n">
        <v>0</v>
      </c>
      <c r="L564" t="n">
        <v>0</v>
      </c>
      <c r="M564" t="n">
        <v>0</v>
      </c>
      <c r="N564" t="n">
        <v>0</v>
      </c>
      <c r="O564" t="n">
        <v>0</v>
      </c>
      <c r="P564" t="n">
        <v>0</v>
      </c>
      <c r="Q564" t="n">
        <v>0</v>
      </c>
      <c r="R564" s="2" t="inlineStr"/>
    </row>
    <row r="565" ht="15" customHeight="1">
      <c r="A565" t="inlineStr">
        <is>
          <t>A 12586-2021</t>
        </is>
      </c>
      <c r="B565" s="1" t="n">
        <v>44270.38002314815</v>
      </c>
      <c r="C565" s="1" t="n">
        <v>45981</v>
      </c>
      <c r="D565" t="inlineStr">
        <is>
          <t>KALMAR LÄN</t>
        </is>
      </c>
      <c r="E565" t="inlineStr">
        <is>
          <t>VIMMERBY</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5864-2022</t>
        </is>
      </c>
      <c r="B566" s="1" t="n">
        <v>44596</v>
      </c>
      <c r="C566" s="1" t="n">
        <v>45981</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58278-2023</t>
        </is>
      </c>
      <c r="B567" s="1" t="n">
        <v>45250.5278587963</v>
      </c>
      <c r="C567" s="1" t="n">
        <v>45981</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30912-2023</t>
        </is>
      </c>
      <c r="B568" s="1" t="n">
        <v>45113.41633101852</v>
      </c>
      <c r="C568" s="1" t="n">
        <v>45981</v>
      </c>
      <c r="D568" t="inlineStr">
        <is>
          <t>KALMAR LÄN</t>
        </is>
      </c>
      <c r="E568" t="inlineStr">
        <is>
          <t>VIMMERBY</t>
        </is>
      </c>
      <c r="G568" t="n">
        <v>5</v>
      </c>
      <c r="H568" t="n">
        <v>0</v>
      </c>
      <c r="I568" t="n">
        <v>0</v>
      </c>
      <c r="J568" t="n">
        <v>0</v>
      </c>
      <c r="K568" t="n">
        <v>0</v>
      </c>
      <c r="L568" t="n">
        <v>0</v>
      </c>
      <c r="M568" t="n">
        <v>0</v>
      </c>
      <c r="N568" t="n">
        <v>0</v>
      </c>
      <c r="O568" t="n">
        <v>0</v>
      </c>
      <c r="P568" t="n">
        <v>0</v>
      </c>
      <c r="Q568" t="n">
        <v>0</v>
      </c>
      <c r="R568" s="2" t="inlineStr"/>
    </row>
    <row r="569" ht="15" customHeight="1">
      <c r="A569" t="inlineStr">
        <is>
          <t>A 22266-2023</t>
        </is>
      </c>
      <c r="B569" s="1" t="n">
        <v>45070</v>
      </c>
      <c r="C569" s="1" t="n">
        <v>45981</v>
      </c>
      <c r="D569" t="inlineStr">
        <is>
          <t>KALMAR LÄN</t>
        </is>
      </c>
      <c r="E569" t="inlineStr">
        <is>
          <t>VIMMERBY</t>
        </is>
      </c>
      <c r="G569" t="n">
        <v>0.5</v>
      </c>
      <c r="H569" t="n">
        <v>0</v>
      </c>
      <c r="I569" t="n">
        <v>0</v>
      </c>
      <c r="J569" t="n">
        <v>0</v>
      </c>
      <c r="K569" t="n">
        <v>0</v>
      </c>
      <c r="L569" t="n">
        <v>0</v>
      </c>
      <c r="M569" t="n">
        <v>0</v>
      </c>
      <c r="N569" t="n">
        <v>0</v>
      </c>
      <c r="O569" t="n">
        <v>0</v>
      </c>
      <c r="P569" t="n">
        <v>0</v>
      </c>
      <c r="Q569" t="n">
        <v>0</v>
      </c>
      <c r="R569" s="2" t="inlineStr"/>
    </row>
    <row r="570" ht="15" customHeight="1">
      <c r="A570" t="inlineStr">
        <is>
          <t>A 52588-2023</t>
        </is>
      </c>
      <c r="B570" s="1" t="n">
        <v>45225.60192129629</v>
      </c>
      <c r="C570" s="1" t="n">
        <v>45981</v>
      </c>
      <c r="D570" t="inlineStr">
        <is>
          <t>KALMAR LÄN</t>
        </is>
      </c>
      <c r="E570" t="inlineStr">
        <is>
          <t>VIMMERBY</t>
        </is>
      </c>
      <c r="G570" t="n">
        <v>2.9</v>
      </c>
      <c r="H570" t="n">
        <v>0</v>
      </c>
      <c r="I570" t="n">
        <v>0</v>
      </c>
      <c r="J570" t="n">
        <v>0</v>
      </c>
      <c r="K570" t="n">
        <v>0</v>
      </c>
      <c r="L570" t="n">
        <v>0</v>
      </c>
      <c r="M570" t="n">
        <v>0</v>
      </c>
      <c r="N570" t="n">
        <v>0</v>
      </c>
      <c r="O570" t="n">
        <v>0</v>
      </c>
      <c r="P570" t="n">
        <v>0</v>
      </c>
      <c r="Q570" t="n">
        <v>0</v>
      </c>
      <c r="R570" s="2" t="inlineStr"/>
    </row>
    <row r="571" ht="15" customHeight="1">
      <c r="A571" t="inlineStr">
        <is>
          <t>A 1146-2025</t>
        </is>
      </c>
      <c r="B571" s="1" t="n">
        <v>45666</v>
      </c>
      <c r="C571" s="1" t="n">
        <v>45981</v>
      </c>
      <c r="D571" t="inlineStr">
        <is>
          <t>KALMAR LÄN</t>
        </is>
      </c>
      <c r="E571" t="inlineStr">
        <is>
          <t>VIMMERBY</t>
        </is>
      </c>
      <c r="G571" t="n">
        <v>4</v>
      </c>
      <c r="H571" t="n">
        <v>0</v>
      </c>
      <c r="I571" t="n">
        <v>0</v>
      </c>
      <c r="J571" t="n">
        <v>0</v>
      </c>
      <c r="K571" t="n">
        <v>0</v>
      </c>
      <c r="L571" t="n">
        <v>0</v>
      </c>
      <c r="M571" t="n">
        <v>0</v>
      </c>
      <c r="N571" t="n">
        <v>0</v>
      </c>
      <c r="O571" t="n">
        <v>0</v>
      </c>
      <c r="P571" t="n">
        <v>0</v>
      </c>
      <c r="Q571" t="n">
        <v>0</v>
      </c>
      <c r="R571" s="2" t="inlineStr"/>
    </row>
    <row r="572" ht="15" customHeight="1">
      <c r="A572" t="inlineStr">
        <is>
          <t>A 53788-2025</t>
        </is>
      </c>
      <c r="B572" s="1" t="n">
        <v>45960</v>
      </c>
      <c r="C572" s="1" t="n">
        <v>45981</v>
      </c>
      <c r="D572" t="inlineStr">
        <is>
          <t>KALMAR LÄN</t>
        </is>
      </c>
      <c r="E572" t="inlineStr">
        <is>
          <t>VIMMERBY</t>
        </is>
      </c>
      <c r="F572" t="inlineStr">
        <is>
          <t>Övriga statliga verk och myndigheter</t>
        </is>
      </c>
      <c r="G572" t="n">
        <v>6.3</v>
      </c>
      <c r="H572" t="n">
        <v>0</v>
      </c>
      <c r="I572" t="n">
        <v>0</v>
      </c>
      <c r="J572" t="n">
        <v>0</v>
      </c>
      <c r="K572" t="n">
        <v>0</v>
      </c>
      <c r="L572" t="n">
        <v>0</v>
      </c>
      <c r="M572" t="n">
        <v>0</v>
      </c>
      <c r="N572" t="n">
        <v>0</v>
      </c>
      <c r="O572" t="n">
        <v>0</v>
      </c>
      <c r="P572" t="n">
        <v>0</v>
      </c>
      <c r="Q572" t="n">
        <v>0</v>
      </c>
      <c r="R572" s="2" t="inlineStr"/>
    </row>
    <row r="573" ht="15" customHeight="1">
      <c r="A573" t="inlineStr">
        <is>
          <t>A 6802-2025</t>
        </is>
      </c>
      <c r="B573" s="1" t="n">
        <v>45700.68289351852</v>
      </c>
      <c r="C573" s="1" t="n">
        <v>45981</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71793-2021</t>
        </is>
      </c>
      <c r="B574" s="1" t="n">
        <v>44539</v>
      </c>
      <c r="C574" s="1" t="n">
        <v>45981</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53586-2025</t>
        </is>
      </c>
      <c r="B575" s="1" t="n">
        <v>45960</v>
      </c>
      <c r="C575" s="1" t="n">
        <v>45981</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62023-2022</t>
        </is>
      </c>
      <c r="B576" s="1" t="n">
        <v>44918.50106481482</v>
      </c>
      <c r="C576" s="1" t="n">
        <v>45981</v>
      </c>
      <c r="D576" t="inlineStr">
        <is>
          <t>KALMAR LÄN</t>
        </is>
      </c>
      <c r="E576" t="inlineStr">
        <is>
          <t>VIMMERBY</t>
        </is>
      </c>
      <c r="G576" t="n">
        <v>0.3</v>
      </c>
      <c r="H576" t="n">
        <v>0</v>
      </c>
      <c r="I576" t="n">
        <v>0</v>
      </c>
      <c r="J576" t="n">
        <v>0</v>
      </c>
      <c r="K576" t="n">
        <v>0</v>
      </c>
      <c r="L576" t="n">
        <v>0</v>
      </c>
      <c r="M576" t="n">
        <v>0</v>
      </c>
      <c r="N576" t="n">
        <v>0</v>
      </c>
      <c r="O576" t="n">
        <v>0</v>
      </c>
      <c r="P576" t="n">
        <v>0</v>
      </c>
      <c r="Q576" t="n">
        <v>0</v>
      </c>
      <c r="R576" s="2" t="inlineStr"/>
    </row>
    <row r="577" ht="15" customHeight="1">
      <c r="A577" t="inlineStr">
        <is>
          <t>A 527-2024</t>
        </is>
      </c>
      <c r="B577" s="1" t="n">
        <v>45299.47513888889</v>
      </c>
      <c r="C577" s="1" t="n">
        <v>45981</v>
      </c>
      <c r="D577" t="inlineStr">
        <is>
          <t>KALMAR LÄN</t>
        </is>
      </c>
      <c r="E577" t="inlineStr">
        <is>
          <t>VIMMERBY</t>
        </is>
      </c>
      <c r="G577" t="n">
        <v>2.2</v>
      </c>
      <c r="H577" t="n">
        <v>0</v>
      </c>
      <c r="I577" t="n">
        <v>0</v>
      </c>
      <c r="J577" t="n">
        <v>0</v>
      </c>
      <c r="K577" t="n">
        <v>0</v>
      </c>
      <c r="L577" t="n">
        <v>0</v>
      </c>
      <c r="M577" t="n">
        <v>0</v>
      </c>
      <c r="N577" t="n">
        <v>0</v>
      </c>
      <c r="O577" t="n">
        <v>0</v>
      </c>
      <c r="P577" t="n">
        <v>0</v>
      </c>
      <c r="Q577" t="n">
        <v>0</v>
      </c>
      <c r="R577" s="2" t="inlineStr"/>
    </row>
    <row r="578" ht="15" customHeight="1">
      <c r="A578" t="inlineStr">
        <is>
          <t>A 54813-2025</t>
        </is>
      </c>
      <c r="B578" s="1" t="n">
        <v>45966.64881944445</v>
      </c>
      <c r="C578" s="1" t="n">
        <v>45981</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60230-2022</t>
        </is>
      </c>
      <c r="B579" s="1" t="n">
        <v>44910</v>
      </c>
      <c r="C579" s="1" t="n">
        <v>45981</v>
      </c>
      <c r="D579" t="inlineStr">
        <is>
          <t>KALMAR LÄN</t>
        </is>
      </c>
      <c r="E579" t="inlineStr">
        <is>
          <t>VIMMERBY</t>
        </is>
      </c>
      <c r="G579" t="n">
        <v>11.3</v>
      </c>
      <c r="H579" t="n">
        <v>0</v>
      </c>
      <c r="I579" t="n">
        <v>0</v>
      </c>
      <c r="J579" t="n">
        <v>0</v>
      </c>
      <c r="K579" t="n">
        <v>0</v>
      </c>
      <c r="L579" t="n">
        <v>0</v>
      </c>
      <c r="M579" t="n">
        <v>0</v>
      </c>
      <c r="N579" t="n">
        <v>0</v>
      </c>
      <c r="O579" t="n">
        <v>0</v>
      </c>
      <c r="P579" t="n">
        <v>0</v>
      </c>
      <c r="Q579" t="n">
        <v>0</v>
      </c>
      <c r="R579" s="2" t="inlineStr"/>
    </row>
    <row r="580" ht="15" customHeight="1">
      <c r="A580" t="inlineStr">
        <is>
          <t>A 46887-2025</t>
        </is>
      </c>
      <c r="B580" s="1" t="n">
        <v>45929.3672337963</v>
      </c>
      <c r="C580" s="1" t="n">
        <v>45981</v>
      </c>
      <c r="D580" t="inlineStr">
        <is>
          <t>KALMAR LÄN</t>
        </is>
      </c>
      <c r="E580" t="inlineStr">
        <is>
          <t>VIMMERBY</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45856-2025</t>
        </is>
      </c>
      <c r="B581" s="1" t="n">
        <v>45923</v>
      </c>
      <c r="C581" s="1" t="n">
        <v>45981</v>
      </c>
      <c r="D581" t="inlineStr">
        <is>
          <t>KALMAR LÄN</t>
        </is>
      </c>
      <c r="E581" t="inlineStr">
        <is>
          <t>VIMMERBY</t>
        </is>
      </c>
      <c r="G581" t="n">
        <v>2.1</v>
      </c>
      <c r="H581" t="n">
        <v>0</v>
      </c>
      <c r="I581" t="n">
        <v>0</v>
      </c>
      <c r="J581" t="n">
        <v>0</v>
      </c>
      <c r="K581" t="n">
        <v>0</v>
      </c>
      <c r="L581" t="n">
        <v>0</v>
      </c>
      <c r="M581" t="n">
        <v>0</v>
      </c>
      <c r="N581" t="n">
        <v>0</v>
      </c>
      <c r="O581" t="n">
        <v>0</v>
      </c>
      <c r="P581" t="n">
        <v>0</v>
      </c>
      <c r="Q581" t="n">
        <v>0</v>
      </c>
      <c r="R581" s="2" t="inlineStr"/>
    </row>
    <row r="582" ht="15" customHeight="1">
      <c r="A582" t="inlineStr">
        <is>
          <t>A 16119-2023</t>
        </is>
      </c>
      <c r="B582" s="1" t="n">
        <v>45027.59450231482</v>
      </c>
      <c r="C582" s="1" t="n">
        <v>45981</v>
      </c>
      <c r="D582" t="inlineStr">
        <is>
          <t>KALMAR LÄN</t>
        </is>
      </c>
      <c r="E582" t="inlineStr">
        <is>
          <t>VIMMERBY</t>
        </is>
      </c>
      <c r="F582" t="inlineStr">
        <is>
          <t>Kommuner</t>
        </is>
      </c>
      <c r="G582" t="n">
        <v>4.4</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44598.7384837963</v>
      </c>
      <c r="C583" s="1" t="n">
        <v>45981</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52327-2023</t>
        </is>
      </c>
      <c r="B584" s="1" t="n">
        <v>45224.6515162037</v>
      </c>
      <c r="C584" s="1" t="n">
        <v>45981</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12075-2024</t>
        </is>
      </c>
      <c r="B585" s="1" t="n">
        <v>45377</v>
      </c>
      <c r="C585" s="1" t="n">
        <v>45981</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29348-2023</t>
        </is>
      </c>
      <c r="B586" s="1" t="n">
        <v>45106.25025462963</v>
      </c>
      <c r="C586" s="1" t="n">
        <v>45981</v>
      </c>
      <c r="D586" t="inlineStr">
        <is>
          <t>KALMAR LÄN</t>
        </is>
      </c>
      <c r="E586" t="inlineStr">
        <is>
          <t>VIMMERBY</t>
        </is>
      </c>
      <c r="G586" t="n">
        <v>2.4</v>
      </c>
      <c r="H586" t="n">
        <v>0</v>
      </c>
      <c r="I586" t="n">
        <v>0</v>
      </c>
      <c r="J586" t="n">
        <v>0</v>
      </c>
      <c r="K586" t="n">
        <v>0</v>
      </c>
      <c r="L586" t="n">
        <v>0</v>
      </c>
      <c r="M586" t="n">
        <v>0</v>
      </c>
      <c r="N586" t="n">
        <v>0</v>
      </c>
      <c r="O586" t="n">
        <v>0</v>
      </c>
      <c r="P586" t="n">
        <v>0</v>
      </c>
      <c r="Q586" t="n">
        <v>0</v>
      </c>
      <c r="R586" s="2" t="inlineStr"/>
    </row>
    <row r="587" ht="15" customHeight="1">
      <c r="A587" t="inlineStr">
        <is>
          <t>A 46522-2022</t>
        </is>
      </c>
      <c r="B587" s="1" t="n">
        <v>44848.59133101852</v>
      </c>
      <c r="C587" s="1" t="n">
        <v>45981</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31340-2023</t>
        </is>
      </c>
      <c r="B588" s="1" t="n">
        <v>45114.47895833333</v>
      </c>
      <c r="C588" s="1" t="n">
        <v>45981</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45854-2025</t>
        </is>
      </c>
      <c r="B589" s="1" t="n">
        <v>45923</v>
      </c>
      <c r="C589" s="1" t="n">
        <v>45981</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45855-2025</t>
        </is>
      </c>
      <c r="B590" s="1" t="n">
        <v>45923</v>
      </c>
      <c r="C590" s="1" t="n">
        <v>45981</v>
      </c>
      <c r="D590" t="inlineStr">
        <is>
          <t>KALMAR LÄN</t>
        </is>
      </c>
      <c r="E590" t="inlineStr">
        <is>
          <t>VIMMERBY</t>
        </is>
      </c>
      <c r="G590" t="n">
        <v>1.4</v>
      </c>
      <c r="H590" t="n">
        <v>0</v>
      </c>
      <c r="I590" t="n">
        <v>0</v>
      </c>
      <c r="J590" t="n">
        <v>0</v>
      </c>
      <c r="K590" t="n">
        <v>0</v>
      </c>
      <c r="L590" t="n">
        <v>0</v>
      </c>
      <c r="M590" t="n">
        <v>0</v>
      </c>
      <c r="N590" t="n">
        <v>0</v>
      </c>
      <c r="O590" t="n">
        <v>0</v>
      </c>
      <c r="P590" t="n">
        <v>0</v>
      </c>
      <c r="Q590" t="n">
        <v>0</v>
      </c>
      <c r="R590" s="2" t="inlineStr"/>
    </row>
    <row r="591" ht="15" customHeight="1">
      <c r="A591" t="inlineStr">
        <is>
          <t>A 41066-2024</t>
        </is>
      </c>
      <c r="B591" s="1" t="n">
        <v>45559.38876157408</v>
      </c>
      <c r="C591" s="1" t="n">
        <v>45981</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52279-2023</t>
        </is>
      </c>
      <c r="B592" s="1" t="n">
        <v>45224</v>
      </c>
      <c r="C592" s="1" t="n">
        <v>45981</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17486-2024</t>
        </is>
      </c>
      <c r="B593" s="1" t="n">
        <v>45415.48979166667</v>
      </c>
      <c r="C593" s="1" t="n">
        <v>45981</v>
      </c>
      <c r="D593" t="inlineStr">
        <is>
          <t>KALMAR LÄN</t>
        </is>
      </c>
      <c r="E593" t="inlineStr">
        <is>
          <t>VIMMERBY</t>
        </is>
      </c>
      <c r="G593" t="n">
        <v>2.6</v>
      </c>
      <c r="H593" t="n">
        <v>0</v>
      </c>
      <c r="I593" t="n">
        <v>0</v>
      </c>
      <c r="J593" t="n">
        <v>0</v>
      </c>
      <c r="K593" t="n">
        <v>0</v>
      </c>
      <c r="L593" t="n">
        <v>0</v>
      </c>
      <c r="M593" t="n">
        <v>0</v>
      </c>
      <c r="N593" t="n">
        <v>0</v>
      </c>
      <c r="O593" t="n">
        <v>0</v>
      </c>
      <c r="P593" t="n">
        <v>0</v>
      </c>
      <c r="Q593" t="n">
        <v>0</v>
      </c>
      <c r="R593" s="2" t="inlineStr"/>
    </row>
    <row r="594" ht="15" customHeight="1">
      <c r="A594" t="inlineStr">
        <is>
          <t>A 71631-2021</t>
        </is>
      </c>
      <c r="B594" s="1" t="n">
        <v>44542.90072916666</v>
      </c>
      <c r="C594" s="1" t="n">
        <v>45981</v>
      </c>
      <c r="D594" t="inlineStr">
        <is>
          <t>KALMAR LÄN</t>
        </is>
      </c>
      <c r="E594" t="inlineStr">
        <is>
          <t>VIMMERBY</t>
        </is>
      </c>
      <c r="G594" t="n">
        <v>0.9</v>
      </c>
      <c r="H594" t="n">
        <v>0</v>
      </c>
      <c r="I594" t="n">
        <v>0</v>
      </c>
      <c r="J594" t="n">
        <v>0</v>
      </c>
      <c r="K594" t="n">
        <v>0</v>
      </c>
      <c r="L594" t="n">
        <v>0</v>
      </c>
      <c r="M594" t="n">
        <v>0</v>
      </c>
      <c r="N594" t="n">
        <v>0</v>
      </c>
      <c r="O594" t="n">
        <v>0</v>
      </c>
      <c r="P594" t="n">
        <v>0</v>
      </c>
      <c r="Q594" t="n">
        <v>0</v>
      </c>
      <c r="R594" s="2" t="inlineStr"/>
    </row>
    <row r="595" ht="15" customHeight="1">
      <c r="A595" t="inlineStr">
        <is>
          <t>A 7758-2024</t>
        </is>
      </c>
      <c r="B595" s="1" t="n">
        <v>45349.54434027777</v>
      </c>
      <c r="C595" s="1" t="n">
        <v>45981</v>
      </c>
      <c r="D595" t="inlineStr">
        <is>
          <t>KALMAR LÄN</t>
        </is>
      </c>
      <c r="E595" t="inlineStr">
        <is>
          <t>VIMMERBY</t>
        </is>
      </c>
      <c r="G595" t="n">
        <v>3.5</v>
      </c>
      <c r="H595" t="n">
        <v>0</v>
      </c>
      <c r="I595" t="n">
        <v>0</v>
      </c>
      <c r="J595" t="n">
        <v>0</v>
      </c>
      <c r="K595" t="n">
        <v>0</v>
      </c>
      <c r="L595" t="n">
        <v>0</v>
      </c>
      <c r="M595" t="n">
        <v>0</v>
      </c>
      <c r="N595" t="n">
        <v>0</v>
      </c>
      <c r="O595" t="n">
        <v>0</v>
      </c>
      <c r="P595" t="n">
        <v>0</v>
      </c>
      <c r="Q595" t="n">
        <v>0</v>
      </c>
      <c r="R595" s="2" t="inlineStr"/>
    </row>
    <row r="596" ht="15" customHeight="1">
      <c r="A596" t="inlineStr">
        <is>
          <t>A 5701-2024</t>
        </is>
      </c>
      <c r="B596" s="1" t="n">
        <v>45334.78826388889</v>
      </c>
      <c r="C596" s="1" t="n">
        <v>45981</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55384-2025</t>
        </is>
      </c>
      <c r="B597" s="1" t="n">
        <v>45971.43178240741</v>
      </c>
      <c r="C597" s="1" t="n">
        <v>45981</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55385-2025</t>
        </is>
      </c>
      <c r="B598" s="1" t="n">
        <v>45971.43350694444</v>
      </c>
      <c r="C598" s="1" t="n">
        <v>45981</v>
      </c>
      <c r="D598" t="inlineStr">
        <is>
          <t>KALMAR LÄN</t>
        </is>
      </c>
      <c r="E598" t="inlineStr">
        <is>
          <t>VIMMERBY</t>
        </is>
      </c>
      <c r="G598" t="n">
        <v>5</v>
      </c>
      <c r="H598" t="n">
        <v>0</v>
      </c>
      <c r="I598" t="n">
        <v>0</v>
      </c>
      <c r="J598" t="n">
        <v>0</v>
      </c>
      <c r="K598" t="n">
        <v>0</v>
      </c>
      <c r="L598" t="n">
        <v>0</v>
      </c>
      <c r="M598" t="n">
        <v>0</v>
      </c>
      <c r="N598" t="n">
        <v>0</v>
      </c>
      <c r="O598" t="n">
        <v>0</v>
      </c>
      <c r="P598" t="n">
        <v>0</v>
      </c>
      <c r="Q598" t="n">
        <v>0</v>
      </c>
      <c r="R598" s="2" t="inlineStr"/>
    </row>
    <row r="599" ht="15" customHeight="1">
      <c r="A599" t="inlineStr">
        <is>
          <t>A 31405-2023</t>
        </is>
      </c>
      <c r="B599" s="1" t="n">
        <v>45114.58148148148</v>
      </c>
      <c r="C599" s="1" t="n">
        <v>45981</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6355-2022</t>
        </is>
      </c>
      <c r="B600" s="1" t="n">
        <v>44600</v>
      </c>
      <c r="C600" s="1" t="n">
        <v>45981</v>
      </c>
      <c r="D600" t="inlineStr">
        <is>
          <t>KALMAR LÄN</t>
        </is>
      </c>
      <c r="E600" t="inlineStr">
        <is>
          <t>VIMMERBY</t>
        </is>
      </c>
      <c r="G600" t="n">
        <v>4.9</v>
      </c>
      <c r="H600" t="n">
        <v>0</v>
      </c>
      <c r="I600" t="n">
        <v>0</v>
      </c>
      <c r="J600" t="n">
        <v>0</v>
      </c>
      <c r="K600" t="n">
        <v>0</v>
      </c>
      <c r="L600" t="n">
        <v>0</v>
      </c>
      <c r="M600" t="n">
        <v>0</v>
      </c>
      <c r="N600" t="n">
        <v>0</v>
      </c>
      <c r="O600" t="n">
        <v>0</v>
      </c>
      <c r="P600" t="n">
        <v>0</v>
      </c>
      <c r="Q600" t="n">
        <v>0</v>
      </c>
      <c r="R600" s="2" t="inlineStr"/>
    </row>
    <row r="601" ht="15" customHeight="1">
      <c r="A601" t="inlineStr">
        <is>
          <t>A 46225-2024</t>
        </is>
      </c>
      <c r="B601" s="1" t="n">
        <v>45581.57333333333</v>
      </c>
      <c r="C601" s="1" t="n">
        <v>45981</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16015-2025</t>
        </is>
      </c>
      <c r="B602" s="1" t="n">
        <v>45749.60487268519</v>
      </c>
      <c r="C602" s="1" t="n">
        <v>45981</v>
      </c>
      <c r="D602" t="inlineStr">
        <is>
          <t>KALMAR LÄN</t>
        </is>
      </c>
      <c r="E602" t="inlineStr">
        <is>
          <t>VIMMERBY</t>
        </is>
      </c>
      <c r="F602" t="inlineStr">
        <is>
          <t>Kyrkan</t>
        </is>
      </c>
      <c r="G602" t="n">
        <v>2.7</v>
      </c>
      <c r="H602" t="n">
        <v>0</v>
      </c>
      <c r="I602" t="n">
        <v>0</v>
      </c>
      <c r="J602" t="n">
        <v>0</v>
      </c>
      <c r="K602" t="n">
        <v>0</v>
      </c>
      <c r="L602" t="n">
        <v>0</v>
      </c>
      <c r="M602" t="n">
        <v>0</v>
      </c>
      <c r="N602" t="n">
        <v>0</v>
      </c>
      <c r="O602" t="n">
        <v>0</v>
      </c>
      <c r="P602" t="n">
        <v>0</v>
      </c>
      <c r="Q602" t="n">
        <v>0</v>
      </c>
      <c r="R602" s="2" t="inlineStr"/>
    </row>
    <row r="603" ht="15" customHeight="1">
      <c r="A603" t="inlineStr">
        <is>
          <t>A 9694-2023</t>
        </is>
      </c>
      <c r="B603" s="1" t="n">
        <v>44984.45895833334</v>
      </c>
      <c r="C603" s="1" t="n">
        <v>45981</v>
      </c>
      <c r="D603" t="inlineStr">
        <is>
          <t>KALMAR LÄN</t>
        </is>
      </c>
      <c r="E603" t="inlineStr">
        <is>
          <t>VIMMERBY</t>
        </is>
      </c>
      <c r="G603" t="n">
        <v>2.1</v>
      </c>
      <c r="H603" t="n">
        <v>0</v>
      </c>
      <c r="I603" t="n">
        <v>0</v>
      </c>
      <c r="J603" t="n">
        <v>0</v>
      </c>
      <c r="K603" t="n">
        <v>0</v>
      </c>
      <c r="L603" t="n">
        <v>0</v>
      </c>
      <c r="M603" t="n">
        <v>0</v>
      </c>
      <c r="N603" t="n">
        <v>0</v>
      </c>
      <c r="O603" t="n">
        <v>0</v>
      </c>
      <c r="P603" t="n">
        <v>0</v>
      </c>
      <c r="Q603" t="n">
        <v>0</v>
      </c>
      <c r="R603" s="2" t="inlineStr"/>
    </row>
    <row r="604" ht="15" customHeight="1">
      <c r="A604" t="inlineStr">
        <is>
          <t>A 9418-2024</t>
        </is>
      </c>
      <c r="B604" s="1" t="n">
        <v>45359.45038194444</v>
      </c>
      <c r="C604" s="1" t="n">
        <v>45981</v>
      </c>
      <c r="D604" t="inlineStr">
        <is>
          <t>KALMAR LÄN</t>
        </is>
      </c>
      <c r="E604" t="inlineStr">
        <is>
          <t>VIMMERBY</t>
        </is>
      </c>
      <c r="G604" t="n">
        <v>1.9</v>
      </c>
      <c r="H604" t="n">
        <v>0</v>
      </c>
      <c r="I604" t="n">
        <v>0</v>
      </c>
      <c r="J604" t="n">
        <v>0</v>
      </c>
      <c r="K604" t="n">
        <v>0</v>
      </c>
      <c r="L604" t="n">
        <v>0</v>
      </c>
      <c r="M604" t="n">
        <v>0</v>
      </c>
      <c r="N604" t="n">
        <v>0</v>
      </c>
      <c r="O604" t="n">
        <v>0</v>
      </c>
      <c r="P604" t="n">
        <v>0</v>
      </c>
      <c r="Q604" t="n">
        <v>0</v>
      </c>
      <c r="R604" s="2" t="inlineStr"/>
    </row>
    <row r="605" ht="15" customHeight="1">
      <c r="A605" t="inlineStr">
        <is>
          <t>A 22198-2024</t>
        </is>
      </c>
      <c r="B605" s="1" t="n">
        <v>45446.36865740741</v>
      </c>
      <c r="C605" s="1" t="n">
        <v>45981</v>
      </c>
      <c r="D605" t="inlineStr">
        <is>
          <t>KALMAR LÄN</t>
        </is>
      </c>
      <c r="E605" t="inlineStr">
        <is>
          <t>VIMMERBY</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57091-2022</t>
        </is>
      </c>
      <c r="B606" s="1" t="n">
        <v>44895.46524305556</v>
      </c>
      <c r="C606" s="1" t="n">
        <v>45981</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3816-2022</t>
        </is>
      </c>
      <c r="B607" s="1" t="n">
        <v>44587</v>
      </c>
      <c r="C607" s="1" t="n">
        <v>45981</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28286-2025</t>
        </is>
      </c>
      <c r="B608" s="1" t="n">
        <v>45818.58993055556</v>
      </c>
      <c r="C608" s="1" t="n">
        <v>45981</v>
      </c>
      <c r="D608" t="inlineStr">
        <is>
          <t>KALMAR LÄN</t>
        </is>
      </c>
      <c r="E608" t="inlineStr">
        <is>
          <t>VIMMERBY</t>
        </is>
      </c>
      <c r="F608" t="inlineStr">
        <is>
          <t>Sveaskog</t>
        </is>
      </c>
      <c r="G608" t="n">
        <v>8</v>
      </c>
      <c r="H608" t="n">
        <v>0</v>
      </c>
      <c r="I608" t="n">
        <v>0</v>
      </c>
      <c r="J608" t="n">
        <v>0</v>
      </c>
      <c r="K608" t="n">
        <v>0</v>
      </c>
      <c r="L608" t="n">
        <v>0</v>
      </c>
      <c r="M608" t="n">
        <v>0</v>
      </c>
      <c r="N608" t="n">
        <v>0</v>
      </c>
      <c r="O608" t="n">
        <v>0</v>
      </c>
      <c r="P608" t="n">
        <v>0</v>
      </c>
      <c r="Q608" t="n">
        <v>0</v>
      </c>
      <c r="R608" s="2" t="inlineStr"/>
    </row>
    <row r="609" ht="15" customHeight="1">
      <c r="A609" t="inlineStr">
        <is>
          <t>A 57311-2023</t>
        </is>
      </c>
      <c r="B609" s="1" t="n">
        <v>45245.63574074074</v>
      </c>
      <c r="C609" s="1" t="n">
        <v>45981</v>
      </c>
      <c r="D609" t="inlineStr">
        <is>
          <t>KALMAR LÄN</t>
        </is>
      </c>
      <c r="E609" t="inlineStr">
        <is>
          <t>VIMMERBY</t>
        </is>
      </c>
      <c r="G609" t="n">
        <v>1.6</v>
      </c>
      <c r="H609" t="n">
        <v>0</v>
      </c>
      <c r="I609" t="n">
        <v>0</v>
      </c>
      <c r="J609" t="n">
        <v>0</v>
      </c>
      <c r="K609" t="n">
        <v>0</v>
      </c>
      <c r="L609" t="n">
        <v>0</v>
      </c>
      <c r="M609" t="n">
        <v>0</v>
      </c>
      <c r="N609" t="n">
        <v>0</v>
      </c>
      <c r="O609" t="n">
        <v>0</v>
      </c>
      <c r="P609" t="n">
        <v>0</v>
      </c>
      <c r="Q609" t="n">
        <v>0</v>
      </c>
      <c r="R609" s="2" t="inlineStr"/>
    </row>
    <row r="610" ht="15" customHeight="1">
      <c r="A610" t="inlineStr">
        <is>
          <t>A 55604-2025</t>
        </is>
      </c>
      <c r="B610" s="1" t="n">
        <v>45971</v>
      </c>
      <c r="C610" s="1" t="n">
        <v>45981</v>
      </c>
      <c r="D610" t="inlineStr">
        <is>
          <t>KALMAR LÄN</t>
        </is>
      </c>
      <c r="E610" t="inlineStr">
        <is>
          <t>VIMMERBY</t>
        </is>
      </c>
      <c r="G610" t="n">
        <v>4.4</v>
      </c>
      <c r="H610" t="n">
        <v>0</v>
      </c>
      <c r="I610" t="n">
        <v>0</v>
      </c>
      <c r="J610" t="n">
        <v>0</v>
      </c>
      <c r="K610" t="n">
        <v>0</v>
      </c>
      <c r="L610" t="n">
        <v>0</v>
      </c>
      <c r="M610" t="n">
        <v>0</v>
      </c>
      <c r="N610" t="n">
        <v>0</v>
      </c>
      <c r="O610" t="n">
        <v>0</v>
      </c>
      <c r="P610" t="n">
        <v>0</v>
      </c>
      <c r="Q610" t="n">
        <v>0</v>
      </c>
      <c r="R610" s="2" t="inlineStr"/>
    </row>
    <row r="611" ht="15" customHeight="1">
      <c r="A611" t="inlineStr">
        <is>
          <t>A 55602-2025</t>
        </is>
      </c>
      <c r="B611" s="1" t="n">
        <v>45971</v>
      </c>
      <c r="C611" s="1" t="n">
        <v>45981</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43606-2024</t>
        </is>
      </c>
      <c r="B612" s="1" t="n">
        <v>45569.45017361111</v>
      </c>
      <c r="C612" s="1" t="n">
        <v>45981</v>
      </c>
      <c r="D612" t="inlineStr">
        <is>
          <t>KALMAR LÄN</t>
        </is>
      </c>
      <c r="E612" t="inlineStr">
        <is>
          <t>VIMMERBY</t>
        </is>
      </c>
      <c r="G612" t="n">
        <v>1</v>
      </c>
      <c r="H612" t="n">
        <v>0</v>
      </c>
      <c r="I612" t="n">
        <v>0</v>
      </c>
      <c r="J612" t="n">
        <v>0</v>
      </c>
      <c r="K612" t="n">
        <v>0</v>
      </c>
      <c r="L612" t="n">
        <v>0</v>
      </c>
      <c r="M612" t="n">
        <v>0</v>
      </c>
      <c r="N612" t="n">
        <v>0</v>
      </c>
      <c r="O612" t="n">
        <v>0</v>
      </c>
      <c r="P612" t="n">
        <v>0</v>
      </c>
      <c r="Q612" t="n">
        <v>0</v>
      </c>
      <c r="R612" s="2" t="inlineStr"/>
    </row>
    <row r="613" ht="15" customHeight="1">
      <c r="A613" t="inlineStr">
        <is>
          <t>A 43617-2024</t>
        </is>
      </c>
      <c r="B613" s="1" t="n">
        <v>45569.47494212963</v>
      </c>
      <c r="C613" s="1" t="n">
        <v>45981</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12588-2025</t>
        </is>
      </c>
      <c r="B614" s="1" t="n">
        <v>45732.76936342593</v>
      </c>
      <c r="C614" s="1" t="n">
        <v>45981</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47859-2024</t>
        </is>
      </c>
      <c r="B615" s="1" t="n">
        <v>45588.67070601852</v>
      </c>
      <c r="C615" s="1" t="n">
        <v>45981</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7932-2025</t>
        </is>
      </c>
      <c r="B616" s="1" t="n">
        <v>45707.3793287037</v>
      </c>
      <c r="C616" s="1" t="n">
        <v>45981</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47227-2025</t>
        </is>
      </c>
      <c r="B617" s="1" t="n">
        <v>45930.39769675926</v>
      </c>
      <c r="C617" s="1" t="n">
        <v>45981</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28282-2025</t>
        </is>
      </c>
      <c r="B618" s="1" t="n">
        <v>45818.58769675926</v>
      </c>
      <c r="C618" s="1" t="n">
        <v>45981</v>
      </c>
      <c r="D618" t="inlineStr">
        <is>
          <t>KALMAR LÄN</t>
        </is>
      </c>
      <c r="E618" t="inlineStr">
        <is>
          <t>VIMMERBY</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28294-2025</t>
        </is>
      </c>
      <c r="B619" s="1" t="n">
        <v>45818.595625</v>
      </c>
      <c r="C619" s="1" t="n">
        <v>45981</v>
      </c>
      <c r="D619" t="inlineStr">
        <is>
          <t>KALMAR LÄN</t>
        </is>
      </c>
      <c r="E619" t="inlineStr">
        <is>
          <t>VIMMERBY</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8540-2024</t>
        </is>
      </c>
      <c r="B620" s="1" t="n">
        <v>45355.54138888889</v>
      </c>
      <c r="C620" s="1" t="n">
        <v>45981</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28290-2025</t>
        </is>
      </c>
      <c r="B621" s="1" t="n">
        <v>45818.59261574074</v>
      </c>
      <c r="C621" s="1" t="n">
        <v>45981</v>
      </c>
      <c r="D621" t="inlineStr">
        <is>
          <t>KALMAR LÄN</t>
        </is>
      </c>
      <c r="E621" t="inlineStr">
        <is>
          <t>VIMMERBY</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28280-2025</t>
        </is>
      </c>
      <c r="B622" s="1" t="n">
        <v>45818.5862037037</v>
      </c>
      <c r="C622" s="1" t="n">
        <v>45981</v>
      </c>
      <c r="D622" t="inlineStr">
        <is>
          <t>KALMAR LÄN</t>
        </is>
      </c>
      <c r="E622" t="inlineStr">
        <is>
          <t>VIMMERBY</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3331-2023</t>
        </is>
      </c>
      <c r="B623" s="1" t="n">
        <v>44949</v>
      </c>
      <c r="C623" s="1" t="n">
        <v>45981</v>
      </c>
      <c r="D623" t="inlineStr">
        <is>
          <t>KALMAR LÄN</t>
        </is>
      </c>
      <c r="E623" t="inlineStr">
        <is>
          <t>VIMMERBY</t>
        </is>
      </c>
      <c r="G623" t="n">
        <v>6.2</v>
      </c>
      <c r="H623" t="n">
        <v>0</v>
      </c>
      <c r="I623" t="n">
        <v>0</v>
      </c>
      <c r="J623" t="n">
        <v>0</v>
      </c>
      <c r="K623" t="n">
        <v>0</v>
      </c>
      <c r="L623" t="n">
        <v>0</v>
      </c>
      <c r="M623" t="n">
        <v>0</v>
      </c>
      <c r="N623" t="n">
        <v>0</v>
      </c>
      <c r="O623" t="n">
        <v>0</v>
      </c>
      <c r="P623" t="n">
        <v>0</v>
      </c>
      <c r="Q623" t="n">
        <v>0</v>
      </c>
      <c r="R623" s="2" t="inlineStr"/>
    </row>
    <row r="624" ht="15" customHeight="1">
      <c r="A624" t="inlineStr">
        <is>
          <t>A 28620-2025</t>
        </is>
      </c>
      <c r="B624" s="1" t="n">
        <v>45819.61060185185</v>
      </c>
      <c r="C624" s="1" t="n">
        <v>45981</v>
      </c>
      <c r="D624" t="inlineStr">
        <is>
          <t>KALMAR LÄN</t>
        </is>
      </c>
      <c r="E624" t="inlineStr">
        <is>
          <t>VIMMERBY</t>
        </is>
      </c>
      <c r="G624" t="n">
        <v>5.6</v>
      </c>
      <c r="H624" t="n">
        <v>0</v>
      </c>
      <c r="I624" t="n">
        <v>0</v>
      </c>
      <c r="J624" t="n">
        <v>0</v>
      </c>
      <c r="K624" t="n">
        <v>0</v>
      </c>
      <c r="L624" t="n">
        <v>0</v>
      </c>
      <c r="M624" t="n">
        <v>0</v>
      </c>
      <c r="N624" t="n">
        <v>0</v>
      </c>
      <c r="O624" t="n">
        <v>0</v>
      </c>
      <c r="P624" t="n">
        <v>0</v>
      </c>
      <c r="Q624" t="n">
        <v>0</v>
      </c>
      <c r="R624" s="2" t="inlineStr"/>
    </row>
    <row r="625" ht="15" customHeight="1">
      <c r="A625" t="inlineStr">
        <is>
          <t>A 598-2025</t>
        </is>
      </c>
      <c r="B625" s="1" t="n">
        <v>45660</v>
      </c>
      <c r="C625" s="1" t="n">
        <v>45981</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25799-2023</t>
        </is>
      </c>
      <c r="B626" s="1" t="n">
        <v>45090</v>
      </c>
      <c r="C626" s="1" t="n">
        <v>45981</v>
      </c>
      <c r="D626" t="inlineStr">
        <is>
          <t>KALMAR LÄN</t>
        </is>
      </c>
      <c r="E626" t="inlineStr">
        <is>
          <t>VIMMERBY</t>
        </is>
      </c>
      <c r="G626" t="n">
        <v>7.7</v>
      </c>
      <c r="H626" t="n">
        <v>0</v>
      </c>
      <c r="I626" t="n">
        <v>0</v>
      </c>
      <c r="J626" t="n">
        <v>0</v>
      </c>
      <c r="K626" t="n">
        <v>0</v>
      </c>
      <c r="L626" t="n">
        <v>0</v>
      </c>
      <c r="M626" t="n">
        <v>0</v>
      </c>
      <c r="N626" t="n">
        <v>0</v>
      </c>
      <c r="O626" t="n">
        <v>0</v>
      </c>
      <c r="P626" t="n">
        <v>0</v>
      </c>
      <c r="Q626" t="n">
        <v>0</v>
      </c>
      <c r="R626" s="2" t="inlineStr"/>
    </row>
    <row r="627" ht="15" customHeight="1">
      <c r="A627" t="inlineStr">
        <is>
          <t>A 53083-2021</t>
        </is>
      </c>
      <c r="B627" s="1" t="n">
        <v>44467.83386574074</v>
      </c>
      <c r="C627" s="1" t="n">
        <v>45981</v>
      </c>
      <c r="D627" t="inlineStr">
        <is>
          <t>KALMAR LÄN</t>
        </is>
      </c>
      <c r="E627" t="inlineStr">
        <is>
          <t>VIMMERBY</t>
        </is>
      </c>
      <c r="G627" t="n">
        <v>6.8</v>
      </c>
      <c r="H627" t="n">
        <v>0</v>
      </c>
      <c r="I627" t="n">
        <v>0</v>
      </c>
      <c r="J627" t="n">
        <v>0</v>
      </c>
      <c r="K627" t="n">
        <v>0</v>
      </c>
      <c r="L627" t="n">
        <v>0</v>
      </c>
      <c r="M627" t="n">
        <v>0</v>
      </c>
      <c r="N627" t="n">
        <v>0</v>
      </c>
      <c r="O627" t="n">
        <v>0</v>
      </c>
      <c r="P627" t="n">
        <v>0</v>
      </c>
      <c r="Q627" t="n">
        <v>0</v>
      </c>
      <c r="R627" s="2" t="inlineStr"/>
    </row>
    <row r="628" ht="15" customHeight="1">
      <c r="A628" t="inlineStr">
        <is>
          <t>A 24655-2021</t>
        </is>
      </c>
      <c r="B628" s="1" t="n">
        <v>44340</v>
      </c>
      <c r="C628" s="1" t="n">
        <v>45981</v>
      </c>
      <c r="D628" t="inlineStr">
        <is>
          <t>KALMAR LÄN</t>
        </is>
      </c>
      <c r="E628" t="inlineStr">
        <is>
          <t>VIMMERBY</t>
        </is>
      </c>
      <c r="G628" t="n">
        <v>14.9</v>
      </c>
      <c r="H628" t="n">
        <v>0</v>
      </c>
      <c r="I628" t="n">
        <v>0</v>
      </c>
      <c r="J628" t="n">
        <v>0</v>
      </c>
      <c r="K628" t="n">
        <v>0</v>
      </c>
      <c r="L628" t="n">
        <v>0</v>
      </c>
      <c r="M628" t="n">
        <v>0</v>
      </c>
      <c r="N628" t="n">
        <v>0</v>
      </c>
      <c r="O628" t="n">
        <v>0</v>
      </c>
      <c r="P628" t="n">
        <v>0</v>
      </c>
      <c r="Q628" t="n">
        <v>0</v>
      </c>
      <c r="R628" s="2" t="inlineStr"/>
    </row>
    <row r="629" ht="15" customHeight="1">
      <c r="A629" t="inlineStr">
        <is>
          <t>A 2121-2022</t>
        </is>
      </c>
      <c r="B629" s="1" t="n">
        <v>44578.32717592592</v>
      </c>
      <c r="C629" s="1" t="n">
        <v>45981</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34386-2024</t>
        </is>
      </c>
      <c r="B630" s="1" t="n">
        <v>45525.41762731481</v>
      </c>
      <c r="C630" s="1" t="n">
        <v>45981</v>
      </c>
      <c r="D630" t="inlineStr">
        <is>
          <t>KALMAR LÄN</t>
        </is>
      </c>
      <c r="E630" t="inlineStr">
        <is>
          <t>VIMMERBY</t>
        </is>
      </c>
      <c r="G630" t="n">
        <v>0.3</v>
      </c>
      <c r="H630" t="n">
        <v>0</v>
      </c>
      <c r="I630" t="n">
        <v>0</v>
      </c>
      <c r="J630" t="n">
        <v>0</v>
      </c>
      <c r="K630" t="n">
        <v>0</v>
      </c>
      <c r="L630" t="n">
        <v>0</v>
      </c>
      <c r="M630" t="n">
        <v>0</v>
      </c>
      <c r="N630" t="n">
        <v>0</v>
      </c>
      <c r="O630" t="n">
        <v>0</v>
      </c>
      <c r="P630" t="n">
        <v>0</v>
      </c>
      <c r="Q630" t="n">
        <v>0</v>
      </c>
      <c r="R630" s="2" t="inlineStr"/>
    </row>
    <row r="631" ht="15" customHeight="1">
      <c r="A631" t="inlineStr">
        <is>
          <t>A 6069-2023</t>
        </is>
      </c>
      <c r="B631" s="1" t="n">
        <v>44964.5115162037</v>
      </c>
      <c r="C631" s="1" t="n">
        <v>45981</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33838-2022</t>
        </is>
      </c>
      <c r="B632" s="1" t="n">
        <v>44790.49040509259</v>
      </c>
      <c r="C632" s="1" t="n">
        <v>45981</v>
      </c>
      <c r="D632" t="inlineStr">
        <is>
          <t>KALMAR LÄN</t>
        </is>
      </c>
      <c r="E632" t="inlineStr">
        <is>
          <t>VIMMERBY</t>
        </is>
      </c>
      <c r="G632" t="n">
        <v>0.7</v>
      </c>
      <c r="H632" t="n">
        <v>0</v>
      </c>
      <c r="I632" t="n">
        <v>0</v>
      </c>
      <c r="J632" t="n">
        <v>0</v>
      </c>
      <c r="K632" t="n">
        <v>0</v>
      </c>
      <c r="L632" t="n">
        <v>0</v>
      </c>
      <c r="M632" t="n">
        <v>0</v>
      </c>
      <c r="N632" t="n">
        <v>0</v>
      </c>
      <c r="O632" t="n">
        <v>0</v>
      </c>
      <c r="P632" t="n">
        <v>0</v>
      </c>
      <c r="Q632" t="n">
        <v>0</v>
      </c>
      <c r="R632" s="2" t="inlineStr"/>
    </row>
    <row r="633" ht="15" customHeight="1">
      <c r="A633" t="inlineStr">
        <is>
          <t>A 32835-2022</t>
        </is>
      </c>
      <c r="B633" s="1" t="n">
        <v>44784.42528935185</v>
      </c>
      <c r="C633" s="1" t="n">
        <v>45981</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32633-2023</t>
        </is>
      </c>
      <c r="B634" s="1" t="n">
        <v>45121.58699074074</v>
      </c>
      <c r="C634" s="1" t="n">
        <v>45981</v>
      </c>
      <c r="D634" t="inlineStr">
        <is>
          <t>KALMAR LÄN</t>
        </is>
      </c>
      <c r="E634" t="inlineStr">
        <is>
          <t>VIMMERBY</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1081-2023</t>
        </is>
      </c>
      <c r="B635" s="1" t="n">
        <v>44935</v>
      </c>
      <c r="C635" s="1" t="n">
        <v>45981</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47063-2022</t>
        </is>
      </c>
      <c r="B636" s="1" t="n">
        <v>44852</v>
      </c>
      <c r="C636" s="1" t="n">
        <v>45981</v>
      </c>
      <c r="D636" t="inlineStr">
        <is>
          <t>KALMAR LÄN</t>
        </is>
      </c>
      <c r="E636" t="inlineStr">
        <is>
          <t>VIMMERBY</t>
        </is>
      </c>
      <c r="G636" t="n">
        <v>2.5</v>
      </c>
      <c r="H636" t="n">
        <v>0</v>
      </c>
      <c r="I636" t="n">
        <v>0</v>
      </c>
      <c r="J636" t="n">
        <v>0</v>
      </c>
      <c r="K636" t="n">
        <v>0</v>
      </c>
      <c r="L636" t="n">
        <v>0</v>
      </c>
      <c r="M636" t="n">
        <v>0</v>
      </c>
      <c r="N636" t="n">
        <v>0</v>
      </c>
      <c r="O636" t="n">
        <v>0</v>
      </c>
      <c r="P636" t="n">
        <v>0</v>
      </c>
      <c r="Q636" t="n">
        <v>0</v>
      </c>
      <c r="R636" s="2" t="inlineStr"/>
    </row>
    <row r="637" ht="15" customHeight="1">
      <c r="A637" t="inlineStr">
        <is>
          <t>A 49461-2023</t>
        </is>
      </c>
      <c r="B637" s="1" t="n">
        <v>45211.52642361111</v>
      </c>
      <c r="C637" s="1" t="n">
        <v>45981</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55603-2025</t>
        </is>
      </c>
      <c r="B638" s="1" t="n">
        <v>45971</v>
      </c>
      <c r="C638" s="1" t="n">
        <v>45981</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55605-2025</t>
        </is>
      </c>
      <c r="B639" s="1" t="n">
        <v>45971</v>
      </c>
      <c r="C639" s="1" t="n">
        <v>45981</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28403-2023</t>
        </is>
      </c>
      <c r="B640" s="1" t="n">
        <v>45100.85270833333</v>
      </c>
      <c r="C640" s="1" t="n">
        <v>45981</v>
      </c>
      <c r="D640" t="inlineStr">
        <is>
          <t>KALMAR LÄN</t>
        </is>
      </c>
      <c r="E640" t="inlineStr">
        <is>
          <t>VIMMERBY</t>
        </is>
      </c>
      <c r="G640" t="n">
        <v>1.8</v>
      </c>
      <c r="H640" t="n">
        <v>0</v>
      </c>
      <c r="I640" t="n">
        <v>0</v>
      </c>
      <c r="J640" t="n">
        <v>0</v>
      </c>
      <c r="K640" t="n">
        <v>0</v>
      </c>
      <c r="L640" t="n">
        <v>0</v>
      </c>
      <c r="M640" t="n">
        <v>0</v>
      </c>
      <c r="N640" t="n">
        <v>0</v>
      </c>
      <c r="O640" t="n">
        <v>0</v>
      </c>
      <c r="P640" t="n">
        <v>0</v>
      </c>
      <c r="Q640" t="n">
        <v>0</v>
      </c>
      <c r="R640" s="2" t="inlineStr"/>
    </row>
    <row r="641" ht="15" customHeight="1">
      <c r="A641" t="inlineStr">
        <is>
          <t>A 23095-2023</t>
        </is>
      </c>
      <c r="B641" s="1" t="n">
        <v>45075.43059027778</v>
      </c>
      <c r="C641" s="1" t="n">
        <v>45981</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11429-2022</t>
        </is>
      </c>
      <c r="B642" s="1" t="n">
        <v>44630</v>
      </c>
      <c r="C642" s="1" t="n">
        <v>45981</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33103-2024</t>
        </is>
      </c>
      <c r="B643" s="1" t="n">
        <v>45517.8162037037</v>
      </c>
      <c r="C643" s="1" t="n">
        <v>45981</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48299-2025</t>
        </is>
      </c>
      <c r="B644" s="1" t="n">
        <v>45933.60982638889</v>
      </c>
      <c r="C644" s="1" t="n">
        <v>45981</v>
      </c>
      <c r="D644" t="inlineStr">
        <is>
          <t>KALMAR LÄN</t>
        </is>
      </c>
      <c r="E644" t="inlineStr">
        <is>
          <t>VIMMERBY</t>
        </is>
      </c>
      <c r="G644" t="n">
        <v>1.8</v>
      </c>
      <c r="H644" t="n">
        <v>0</v>
      </c>
      <c r="I644" t="n">
        <v>0</v>
      </c>
      <c r="J644" t="n">
        <v>0</v>
      </c>
      <c r="K644" t="n">
        <v>0</v>
      </c>
      <c r="L644" t="n">
        <v>0</v>
      </c>
      <c r="M644" t="n">
        <v>0</v>
      </c>
      <c r="N644" t="n">
        <v>0</v>
      </c>
      <c r="O644" t="n">
        <v>0</v>
      </c>
      <c r="P644" t="n">
        <v>0</v>
      </c>
      <c r="Q644" t="n">
        <v>0</v>
      </c>
      <c r="R644" s="2" t="inlineStr"/>
    </row>
    <row r="645" ht="15" customHeight="1">
      <c r="A645" t="inlineStr">
        <is>
          <t>A 11141-2024</t>
        </is>
      </c>
      <c r="B645" s="1" t="n">
        <v>45371.45865740741</v>
      </c>
      <c r="C645" s="1" t="n">
        <v>45981</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28395-2023</t>
        </is>
      </c>
      <c r="B646" s="1" t="n">
        <v>45100.4062962963</v>
      </c>
      <c r="C646" s="1" t="n">
        <v>45981</v>
      </c>
      <c r="D646" t="inlineStr">
        <is>
          <t>KALMAR LÄN</t>
        </is>
      </c>
      <c r="E646" t="inlineStr">
        <is>
          <t>VIMMERBY</t>
        </is>
      </c>
      <c r="G646" t="n">
        <v>1.4</v>
      </c>
      <c r="H646" t="n">
        <v>0</v>
      </c>
      <c r="I646" t="n">
        <v>0</v>
      </c>
      <c r="J646" t="n">
        <v>0</v>
      </c>
      <c r="K646" t="n">
        <v>0</v>
      </c>
      <c r="L646" t="n">
        <v>0</v>
      </c>
      <c r="M646" t="n">
        <v>0</v>
      </c>
      <c r="N646" t="n">
        <v>0</v>
      </c>
      <c r="O646" t="n">
        <v>0</v>
      </c>
      <c r="P646" t="n">
        <v>0</v>
      </c>
      <c r="Q646" t="n">
        <v>0</v>
      </c>
      <c r="R646" s="2" t="inlineStr"/>
    </row>
    <row r="647" ht="15" customHeight="1">
      <c r="A647" t="inlineStr">
        <is>
          <t>A 28712-2025</t>
        </is>
      </c>
      <c r="B647" s="1" t="n">
        <v>45820.33708333333</v>
      </c>
      <c r="C647" s="1" t="n">
        <v>45981</v>
      </c>
      <c r="D647" t="inlineStr">
        <is>
          <t>KALMAR LÄN</t>
        </is>
      </c>
      <c r="E647" t="inlineStr">
        <is>
          <t>VIMMERBY</t>
        </is>
      </c>
      <c r="G647" t="n">
        <v>1.4</v>
      </c>
      <c r="H647" t="n">
        <v>0</v>
      </c>
      <c r="I647" t="n">
        <v>0</v>
      </c>
      <c r="J647" t="n">
        <v>0</v>
      </c>
      <c r="K647" t="n">
        <v>0</v>
      </c>
      <c r="L647" t="n">
        <v>0</v>
      </c>
      <c r="M647" t="n">
        <v>0</v>
      </c>
      <c r="N647" t="n">
        <v>0</v>
      </c>
      <c r="O647" t="n">
        <v>0</v>
      </c>
      <c r="P647" t="n">
        <v>0</v>
      </c>
      <c r="Q647" t="n">
        <v>0</v>
      </c>
      <c r="R647" s="2" t="inlineStr"/>
    </row>
    <row r="648" ht="15" customHeight="1">
      <c r="A648" t="inlineStr">
        <is>
          <t>A 28714-2025</t>
        </is>
      </c>
      <c r="B648" s="1" t="n">
        <v>45820.34128472222</v>
      </c>
      <c r="C648" s="1" t="n">
        <v>45981</v>
      </c>
      <c r="D648" t="inlineStr">
        <is>
          <t>KALMAR LÄN</t>
        </is>
      </c>
      <c r="E648" t="inlineStr">
        <is>
          <t>VIMMERBY</t>
        </is>
      </c>
      <c r="G648" t="n">
        <v>1.8</v>
      </c>
      <c r="H648" t="n">
        <v>0</v>
      </c>
      <c r="I648" t="n">
        <v>0</v>
      </c>
      <c r="J648" t="n">
        <v>0</v>
      </c>
      <c r="K648" t="n">
        <v>0</v>
      </c>
      <c r="L648" t="n">
        <v>0</v>
      </c>
      <c r="M648" t="n">
        <v>0</v>
      </c>
      <c r="N648" t="n">
        <v>0</v>
      </c>
      <c r="O648" t="n">
        <v>0</v>
      </c>
      <c r="P648" t="n">
        <v>0</v>
      </c>
      <c r="Q648" t="n">
        <v>0</v>
      </c>
      <c r="R648" s="2" t="inlineStr"/>
    </row>
    <row r="649" ht="15" customHeight="1">
      <c r="A649" t="inlineStr">
        <is>
          <t>A 34597-2022</t>
        </is>
      </c>
      <c r="B649" s="1" t="n">
        <v>44795</v>
      </c>
      <c r="C649" s="1" t="n">
        <v>45981</v>
      </c>
      <c r="D649" t="inlineStr">
        <is>
          <t>KALMAR LÄN</t>
        </is>
      </c>
      <c r="E649" t="inlineStr">
        <is>
          <t>VIMMERBY</t>
        </is>
      </c>
      <c r="G649" t="n">
        <v>2.2</v>
      </c>
      <c r="H649" t="n">
        <v>0</v>
      </c>
      <c r="I649" t="n">
        <v>0</v>
      </c>
      <c r="J649" t="n">
        <v>0</v>
      </c>
      <c r="K649" t="n">
        <v>0</v>
      </c>
      <c r="L649" t="n">
        <v>0</v>
      </c>
      <c r="M649" t="n">
        <v>0</v>
      </c>
      <c r="N649" t="n">
        <v>0</v>
      </c>
      <c r="O649" t="n">
        <v>0</v>
      </c>
      <c r="P649" t="n">
        <v>0</v>
      </c>
      <c r="Q649" t="n">
        <v>0</v>
      </c>
      <c r="R649" s="2" t="inlineStr"/>
    </row>
    <row r="650" ht="15" customHeight="1">
      <c r="A650" t="inlineStr">
        <is>
          <t>A 2260-2022</t>
        </is>
      </c>
      <c r="B650" s="1" t="n">
        <v>44578.62943287037</v>
      </c>
      <c r="C650" s="1" t="n">
        <v>45981</v>
      </c>
      <c r="D650" t="inlineStr">
        <is>
          <t>KALMAR LÄN</t>
        </is>
      </c>
      <c r="E650" t="inlineStr">
        <is>
          <t>VIMMERBY</t>
        </is>
      </c>
      <c r="G650" t="n">
        <v>1.4</v>
      </c>
      <c r="H650" t="n">
        <v>0</v>
      </c>
      <c r="I650" t="n">
        <v>0</v>
      </c>
      <c r="J650" t="n">
        <v>0</v>
      </c>
      <c r="K650" t="n">
        <v>0</v>
      </c>
      <c r="L650" t="n">
        <v>0</v>
      </c>
      <c r="M650" t="n">
        <v>0</v>
      </c>
      <c r="N650" t="n">
        <v>0</v>
      </c>
      <c r="O650" t="n">
        <v>0</v>
      </c>
      <c r="P650" t="n">
        <v>0</v>
      </c>
      <c r="Q650" t="n">
        <v>0</v>
      </c>
      <c r="R650" s="2" t="inlineStr"/>
    </row>
    <row r="651" ht="15" customHeight="1">
      <c r="A651" t="inlineStr">
        <is>
          <t>A 11661-2023</t>
        </is>
      </c>
      <c r="B651" s="1" t="n">
        <v>44994.46908564815</v>
      </c>
      <c r="C651" s="1" t="n">
        <v>45981</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28713-2025</t>
        </is>
      </c>
      <c r="B652" s="1" t="n">
        <v>45820.33930555556</v>
      </c>
      <c r="C652" s="1" t="n">
        <v>45981</v>
      </c>
      <c r="D652" t="inlineStr">
        <is>
          <t>KALMAR LÄN</t>
        </is>
      </c>
      <c r="E652" t="inlineStr">
        <is>
          <t>VIMMERBY</t>
        </is>
      </c>
      <c r="G652" t="n">
        <v>2.3</v>
      </c>
      <c r="H652" t="n">
        <v>0</v>
      </c>
      <c r="I652" t="n">
        <v>0</v>
      </c>
      <c r="J652" t="n">
        <v>0</v>
      </c>
      <c r="K652" t="n">
        <v>0</v>
      </c>
      <c r="L652" t="n">
        <v>0</v>
      </c>
      <c r="M652" t="n">
        <v>0</v>
      </c>
      <c r="N652" t="n">
        <v>0</v>
      </c>
      <c r="O652" t="n">
        <v>0</v>
      </c>
      <c r="P652" t="n">
        <v>0</v>
      </c>
      <c r="Q652" t="n">
        <v>0</v>
      </c>
      <c r="R652" s="2" t="inlineStr"/>
    </row>
    <row r="653" ht="15" customHeight="1">
      <c r="A653" t="inlineStr">
        <is>
          <t>A 58046-2022</t>
        </is>
      </c>
      <c r="B653" s="1" t="n">
        <v>44900.57393518519</v>
      </c>
      <c r="C653" s="1" t="n">
        <v>45981</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45528-2021</t>
        </is>
      </c>
      <c r="B654" s="1" t="n">
        <v>44440.60415509259</v>
      </c>
      <c r="C654" s="1" t="n">
        <v>45981</v>
      </c>
      <c r="D654" t="inlineStr">
        <is>
          <t>KALMAR LÄN</t>
        </is>
      </c>
      <c r="E654" t="inlineStr">
        <is>
          <t>VIMMERBY</t>
        </is>
      </c>
      <c r="G654" t="n">
        <v>2.2</v>
      </c>
      <c r="H654" t="n">
        <v>0</v>
      </c>
      <c r="I654" t="n">
        <v>0</v>
      </c>
      <c r="J654" t="n">
        <v>0</v>
      </c>
      <c r="K654" t="n">
        <v>0</v>
      </c>
      <c r="L654" t="n">
        <v>0</v>
      </c>
      <c r="M654" t="n">
        <v>0</v>
      </c>
      <c r="N654" t="n">
        <v>0</v>
      </c>
      <c r="O654" t="n">
        <v>0</v>
      </c>
      <c r="P654" t="n">
        <v>0</v>
      </c>
      <c r="Q654" t="n">
        <v>0</v>
      </c>
      <c r="R654" s="2" t="inlineStr"/>
    </row>
    <row r="655" ht="15" customHeight="1">
      <c r="A655" t="inlineStr">
        <is>
          <t>A 46979-2023</t>
        </is>
      </c>
      <c r="B655" s="1" t="n">
        <v>45201</v>
      </c>
      <c r="C655" s="1" t="n">
        <v>45981</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64428-2023</t>
        </is>
      </c>
      <c r="B656" s="1" t="n">
        <v>45280.66769675926</v>
      </c>
      <c r="C656" s="1" t="n">
        <v>45981</v>
      </c>
      <c r="D656" t="inlineStr">
        <is>
          <t>KALMAR LÄN</t>
        </is>
      </c>
      <c r="E656" t="inlineStr">
        <is>
          <t>VIMMERBY</t>
        </is>
      </c>
      <c r="G656" t="n">
        <v>1.2</v>
      </c>
      <c r="H656" t="n">
        <v>0</v>
      </c>
      <c r="I656" t="n">
        <v>0</v>
      </c>
      <c r="J656" t="n">
        <v>0</v>
      </c>
      <c r="K656" t="n">
        <v>0</v>
      </c>
      <c r="L656" t="n">
        <v>0</v>
      </c>
      <c r="M656" t="n">
        <v>0</v>
      </c>
      <c r="N656" t="n">
        <v>0</v>
      </c>
      <c r="O656" t="n">
        <v>0</v>
      </c>
      <c r="P656" t="n">
        <v>0</v>
      </c>
      <c r="Q656" t="n">
        <v>0</v>
      </c>
      <c r="R656" s="2" t="inlineStr"/>
    </row>
    <row r="657" ht="15" customHeight="1">
      <c r="A657" t="inlineStr">
        <is>
          <t>A 6574-2023</t>
        </is>
      </c>
      <c r="B657" s="1" t="n">
        <v>44966</v>
      </c>
      <c r="C657" s="1" t="n">
        <v>45981</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30588-2023</t>
        </is>
      </c>
      <c r="B658" s="1" t="n">
        <v>45112.33599537037</v>
      </c>
      <c r="C658" s="1" t="n">
        <v>45981</v>
      </c>
      <c r="D658" t="inlineStr">
        <is>
          <t>KALMAR LÄN</t>
        </is>
      </c>
      <c r="E658" t="inlineStr">
        <is>
          <t>VIMMERBY</t>
        </is>
      </c>
      <c r="G658" t="n">
        <v>2.7</v>
      </c>
      <c r="H658" t="n">
        <v>0</v>
      </c>
      <c r="I658" t="n">
        <v>0</v>
      </c>
      <c r="J658" t="n">
        <v>0</v>
      </c>
      <c r="K658" t="n">
        <v>0</v>
      </c>
      <c r="L658" t="n">
        <v>0</v>
      </c>
      <c r="M658" t="n">
        <v>0</v>
      </c>
      <c r="N658" t="n">
        <v>0</v>
      </c>
      <c r="O658" t="n">
        <v>0</v>
      </c>
      <c r="P658" t="n">
        <v>0</v>
      </c>
      <c r="Q658" t="n">
        <v>0</v>
      </c>
      <c r="R658" s="2" t="inlineStr"/>
    </row>
    <row r="659" ht="15" customHeight="1">
      <c r="A659" t="inlineStr">
        <is>
          <t>A 30503-2023</t>
        </is>
      </c>
      <c r="B659" s="1" t="n">
        <v>45111</v>
      </c>
      <c r="C659" s="1" t="n">
        <v>45981</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47965-2025</t>
        </is>
      </c>
      <c r="B660" s="1" t="n">
        <v>45932.59597222223</v>
      </c>
      <c r="C660" s="1" t="n">
        <v>45981</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29737-2025</t>
        </is>
      </c>
      <c r="B661" s="1" t="n">
        <v>45825.58672453704</v>
      </c>
      <c r="C661" s="1" t="n">
        <v>45981</v>
      </c>
      <c r="D661" t="inlineStr">
        <is>
          <t>KALMAR LÄN</t>
        </is>
      </c>
      <c r="E661" t="inlineStr">
        <is>
          <t>VIMMERBY</t>
        </is>
      </c>
      <c r="G661" t="n">
        <v>1.2</v>
      </c>
      <c r="H661" t="n">
        <v>0</v>
      </c>
      <c r="I661" t="n">
        <v>0</v>
      </c>
      <c r="J661" t="n">
        <v>0</v>
      </c>
      <c r="K661" t="n">
        <v>0</v>
      </c>
      <c r="L661" t="n">
        <v>0</v>
      </c>
      <c r="M661" t="n">
        <v>0</v>
      </c>
      <c r="N661" t="n">
        <v>0</v>
      </c>
      <c r="O661" t="n">
        <v>0</v>
      </c>
      <c r="P661" t="n">
        <v>0</v>
      </c>
      <c r="Q661" t="n">
        <v>0</v>
      </c>
      <c r="R661" s="2" t="inlineStr"/>
    </row>
    <row r="662" ht="15" customHeight="1">
      <c r="A662" t="inlineStr">
        <is>
          <t>A 4058-2024</t>
        </is>
      </c>
      <c r="B662" s="1" t="n">
        <v>45323.53744212963</v>
      </c>
      <c r="C662" s="1" t="n">
        <v>45981</v>
      </c>
      <c r="D662" t="inlineStr">
        <is>
          <t>KALMAR LÄN</t>
        </is>
      </c>
      <c r="E662" t="inlineStr">
        <is>
          <t>VIMMERBY</t>
        </is>
      </c>
      <c r="G662" t="n">
        <v>6.5</v>
      </c>
      <c r="H662" t="n">
        <v>0</v>
      </c>
      <c r="I662" t="n">
        <v>0</v>
      </c>
      <c r="J662" t="n">
        <v>0</v>
      </c>
      <c r="K662" t="n">
        <v>0</v>
      </c>
      <c r="L662" t="n">
        <v>0</v>
      </c>
      <c r="M662" t="n">
        <v>0</v>
      </c>
      <c r="N662" t="n">
        <v>0</v>
      </c>
      <c r="O662" t="n">
        <v>0</v>
      </c>
      <c r="P662" t="n">
        <v>0</v>
      </c>
      <c r="Q662" t="n">
        <v>0</v>
      </c>
      <c r="R662" s="2" t="inlineStr"/>
    </row>
    <row r="663" ht="15" customHeight="1">
      <c r="A663" t="inlineStr">
        <is>
          <t>A 29727-2025</t>
        </is>
      </c>
      <c r="B663" s="1" t="n">
        <v>45825.5796875</v>
      </c>
      <c r="C663" s="1" t="n">
        <v>45981</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1978-2024</t>
        </is>
      </c>
      <c r="B664" s="1" t="n">
        <v>45308.59001157407</v>
      </c>
      <c r="C664" s="1" t="n">
        <v>45981</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47263-2023</t>
        </is>
      </c>
      <c r="B665" s="1" t="n">
        <v>45202.4209837963</v>
      </c>
      <c r="C665" s="1" t="n">
        <v>45981</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30318-2023</t>
        </is>
      </c>
      <c r="B666" s="1" t="n">
        <v>45111.30824074074</v>
      </c>
      <c r="C666" s="1" t="n">
        <v>45981</v>
      </c>
      <c r="D666" t="inlineStr">
        <is>
          <t>KALMAR LÄN</t>
        </is>
      </c>
      <c r="E666" t="inlineStr">
        <is>
          <t>VIMMERBY</t>
        </is>
      </c>
      <c r="G666" t="n">
        <v>2.6</v>
      </c>
      <c r="H666" t="n">
        <v>0</v>
      </c>
      <c r="I666" t="n">
        <v>0</v>
      </c>
      <c r="J666" t="n">
        <v>0</v>
      </c>
      <c r="K666" t="n">
        <v>0</v>
      </c>
      <c r="L666" t="n">
        <v>0</v>
      </c>
      <c r="M666" t="n">
        <v>0</v>
      </c>
      <c r="N666" t="n">
        <v>0</v>
      </c>
      <c r="O666" t="n">
        <v>0</v>
      </c>
      <c r="P666" t="n">
        <v>0</v>
      </c>
      <c r="Q666" t="n">
        <v>0</v>
      </c>
      <c r="R666" s="2" t="inlineStr"/>
    </row>
    <row r="667" ht="15" customHeight="1">
      <c r="A667" t="inlineStr">
        <is>
          <t>A 58100-2024</t>
        </is>
      </c>
      <c r="B667" s="1" t="n">
        <v>45632.36706018518</v>
      </c>
      <c r="C667" s="1" t="n">
        <v>45981</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58159-2024</t>
        </is>
      </c>
      <c r="B668" s="1" t="n">
        <v>45632.44886574074</v>
      </c>
      <c r="C668" s="1" t="n">
        <v>45981</v>
      </c>
      <c r="D668" t="inlineStr">
        <is>
          <t>KALMAR LÄN</t>
        </is>
      </c>
      <c r="E668" t="inlineStr">
        <is>
          <t>VIMMERBY</t>
        </is>
      </c>
      <c r="G668" t="n">
        <v>7.5</v>
      </c>
      <c r="H668" t="n">
        <v>0</v>
      </c>
      <c r="I668" t="n">
        <v>0</v>
      </c>
      <c r="J668" t="n">
        <v>0</v>
      </c>
      <c r="K668" t="n">
        <v>0</v>
      </c>
      <c r="L668" t="n">
        <v>0</v>
      </c>
      <c r="M668" t="n">
        <v>0</v>
      </c>
      <c r="N668" t="n">
        <v>0</v>
      </c>
      <c r="O668" t="n">
        <v>0</v>
      </c>
      <c r="P668" t="n">
        <v>0</v>
      </c>
      <c r="Q668" t="n">
        <v>0</v>
      </c>
      <c r="R668" s="2" t="inlineStr"/>
    </row>
    <row r="669" ht="15" customHeight="1">
      <c r="A669" t="inlineStr">
        <is>
          <t>A 25234-2023</t>
        </is>
      </c>
      <c r="B669" s="1" t="n">
        <v>45086.63194444445</v>
      </c>
      <c r="C669" s="1" t="n">
        <v>45981</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57114-2023</t>
        </is>
      </c>
      <c r="B670" s="1" t="n">
        <v>45245.36174768519</v>
      </c>
      <c r="C670" s="1" t="n">
        <v>45981</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46078-2023</t>
        </is>
      </c>
      <c r="B671" s="1" t="n">
        <v>45196</v>
      </c>
      <c r="C671" s="1" t="n">
        <v>45981</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3423-2022</t>
        </is>
      </c>
      <c r="B672" s="1" t="n">
        <v>44585.50431712963</v>
      </c>
      <c r="C672" s="1" t="n">
        <v>45981</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40665-2023</t>
        </is>
      </c>
      <c r="B673" s="1" t="n">
        <v>45170</v>
      </c>
      <c r="C673" s="1" t="n">
        <v>45981</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47955-2025</t>
        </is>
      </c>
      <c r="B674" s="1" t="n">
        <v>45932.58896990741</v>
      </c>
      <c r="C674" s="1" t="n">
        <v>45981</v>
      </c>
      <c r="D674" t="inlineStr">
        <is>
          <t>KALMAR LÄN</t>
        </is>
      </c>
      <c r="E674" t="inlineStr">
        <is>
          <t>VIMMERBY</t>
        </is>
      </c>
      <c r="G674" t="n">
        <v>3.4</v>
      </c>
      <c r="H674" t="n">
        <v>0</v>
      </c>
      <c r="I674" t="n">
        <v>0</v>
      </c>
      <c r="J674" t="n">
        <v>0</v>
      </c>
      <c r="K674" t="n">
        <v>0</v>
      </c>
      <c r="L674" t="n">
        <v>0</v>
      </c>
      <c r="M674" t="n">
        <v>0</v>
      </c>
      <c r="N674" t="n">
        <v>0</v>
      </c>
      <c r="O674" t="n">
        <v>0</v>
      </c>
      <c r="P674" t="n">
        <v>0</v>
      </c>
      <c r="Q674" t="n">
        <v>0</v>
      </c>
      <c r="R674" s="2" t="inlineStr"/>
    </row>
    <row r="675" ht="15" customHeight="1">
      <c r="A675" t="inlineStr">
        <is>
          <t>A 48723-2025</t>
        </is>
      </c>
      <c r="B675" s="1" t="n">
        <v>45936.65121527778</v>
      </c>
      <c r="C675" s="1" t="n">
        <v>45981</v>
      </c>
      <c r="D675" t="inlineStr">
        <is>
          <t>KALMAR LÄN</t>
        </is>
      </c>
      <c r="E675" t="inlineStr">
        <is>
          <t>VIMMERBY</t>
        </is>
      </c>
      <c r="G675" t="n">
        <v>3</v>
      </c>
      <c r="H675" t="n">
        <v>0</v>
      </c>
      <c r="I675" t="n">
        <v>0</v>
      </c>
      <c r="J675" t="n">
        <v>0</v>
      </c>
      <c r="K675" t="n">
        <v>0</v>
      </c>
      <c r="L675" t="n">
        <v>0</v>
      </c>
      <c r="M675" t="n">
        <v>0</v>
      </c>
      <c r="N675" t="n">
        <v>0</v>
      </c>
      <c r="O675" t="n">
        <v>0</v>
      </c>
      <c r="P675" t="n">
        <v>0</v>
      </c>
      <c r="Q675" t="n">
        <v>0</v>
      </c>
      <c r="R675" s="2" t="inlineStr"/>
    </row>
    <row r="676" ht="15" customHeight="1">
      <c r="A676" t="inlineStr">
        <is>
          <t>A 3609-2024</t>
        </is>
      </c>
      <c r="B676" s="1" t="n">
        <v>45320.89128472222</v>
      </c>
      <c r="C676" s="1" t="n">
        <v>45981</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10424-2023</t>
        </is>
      </c>
      <c r="B677" s="1" t="n">
        <v>44987.54104166666</v>
      </c>
      <c r="C677" s="1" t="n">
        <v>45981</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48712-2025</t>
        </is>
      </c>
      <c r="B678" s="1" t="n">
        <v>45936.63373842592</v>
      </c>
      <c r="C678" s="1" t="n">
        <v>45981</v>
      </c>
      <c r="D678" t="inlineStr">
        <is>
          <t>KALMAR LÄN</t>
        </is>
      </c>
      <c r="E678" t="inlineStr">
        <is>
          <t>VIMMERBY</t>
        </is>
      </c>
      <c r="G678" t="n">
        <v>3</v>
      </c>
      <c r="H678" t="n">
        <v>0</v>
      </c>
      <c r="I678" t="n">
        <v>0</v>
      </c>
      <c r="J678" t="n">
        <v>0</v>
      </c>
      <c r="K678" t="n">
        <v>0</v>
      </c>
      <c r="L678" t="n">
        <v>0</v>
      </c>
      <c r="M678" t="n">
        <v>0</v>
      </c>
      <c r="N678" t="n">
        <v>0</v>
      </c>
      <c r="O678" t="n">
        <v>0</v>
      </c>
      <c r="P678" t="n">
        <v>0</v>
      </c>
      <c r="Q678" t="n">
        <v>0</v>
      </c>
      <c r="R678" s="2" t="inlineStr"/>
    </row>
    <row r="679" ht="15" customHeight="1">
      <c r="A679" t="inlineStr">
        <is>
          <t>A 50860-2022</t>
        </is>
      </c>
      <c r="B679" s="1" t="n">
        <v>44867</v>
      </c>
      <c r="C679" s="1" t="n">
        <v>45981</v>
      </c>
      <c r="D679" t="inlineStr">
        <is>
          <t>KALMAR LÄN</t>
        </is>
      </c>
      <c r="E679" t="inlineStr">
        <is>
          <t>VIMMERBY</t>
        </is>
      </c>
      <c r="G679" t="n">
        <v>0.6</v>
      </c>
      <c r="H679" t="n">
        <v>0</v>
      </c>
      <c r="I679" t="n">
        <v>0</v>
      </c>
      <c r="J679" t="n">
        <v>0</v>
      </c>
      <c r="K679" t="n">
        <v>0</v>
      </c>
      <c r="L679" t="n">
        <v>0</v>
      </c>
      <c r="M679" t="n">
        <v>0</v>
      </c>
      <c r="N679" t="n">
        <v>0</v>
      </c>
      <c r="O679" t="n">
        <v>0</v>
      </c>
      <c r="P679" t="n">
        <v>0</v>
      </c>
      <c r="Q679" t="n">
        <v>0</v>
      </c>
      <c r="R679" s="2" t="inlineStr"/>
    </row>
    <row r="680" ht="15" customHeight="1">
      <c r="A680" t="inlineStr">
        <is>
          <t>A 25370-2022</t>
        </is>
      </c>
      <c r="B680" s="1" t="n">
        <v>44732.3659837963</v>
      </c>
      <c r="C680" s="1" t="n">
        <v>45981</v>
      </c>
      <c r="D680" t="inlineStr">
        <is>
          <t>KALMAR LÄN</t>
        </is>
      </c>
      <c r="E680" t="inlineStr">
        <is>
          <t>VIMMERBY</t>
        </is>
      </c>
      <c r="G680" t="n">
        <v>1.2</v>
      </c>
      <c r="H680" t="n">
        <v>0</v>
      </c>
      <c r="I680" t="n">
        <v>0</v>
      </c>
      <c r="J680" t="n">
        <v>0</v>
      </c>
      <c r="K680" t="n">
        <v>0</v>
      </c>
      <c r="L680" t="n">
        <v>0</v>
      </c>
      <c r="M680" t="n">
        <v>0</v>
      </c>
      <c r="N680" t="n">
        <v>0</v>
      </c>
      <c r="O680" t="n">
        <v>0</v>
      </c>
      <c r="P680" t="n">
        <v>0</v>
      </c>
      <c r="Q680" t="n">
        <v>0</v>
      </c>
      <c r="R680" s="2" t="inlineStr"/>
    </row>
    <row r="681" ht="15" customHeight="1">
      <c r="A681" t="inlineStr">
        <is>
          <t>A 58577-2024</t>
        </is>
      </c>
      <c r="B681" s="1" t="n">
        <v>45635.4874537037</v>
      </c>
      <c r="C681" s="1" t="n">
        <v>45981</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49382-2023</t>
        </is>
      </c>
      <c r="B682" s="1" t="n">
        <v>45208</v>
      </c>
      <c r="C682" s="1" t="n">
        <v>45981</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12810-2023</t>
        </is>
      </c>
      <c r="B683" s="1" t="n">
        <v>45001.43854166667</v>
      </c>
      <c r="C683" s="1" t="n">
        <v>45981</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48408-2025</t>
        </is>
      </c>
      <c r="B684" s="1" t="n">
        <v>45934.40527777778</v>
      </c>
      <c r="C684" s="1" t="n">
        <v>45981</v>
      </c>
      <c r="D684" t="inlineStr">
        <is>
          <t>KALMAR LÄN</t>
        </is>
      </c>
      <c r="E684" t="inlineStr">
        <is>
          <t>VIMMERBY</t>
        </is>
      </c>
      <c r="G684" t="n">
        <v>2.4</v>
      </c>
      <c r="H684" t="n">
        <v>0</v>
      </c>
      <c r="I684" t="n">
        <v>0</v>
      </c>
      <c r="J684" t="n">
        <v>0</v>
      </c>
      <c r="K684" t="n">
        <v>0</v>
      </c>
      <c r="L684" t="n">
        <v>0</v>
      </c>
      <c r="M684" t="n">
        <v>0</v>
      </c>
      <c r="N684" t="n">
        <v>0</v>
      </c>
      <c r="O684" t="n">
        <v>0</v>
      </c>
      <c r="P684" t="n">
        <v>0</v>
      </c>
      <c r="Q684" t="n">
        <v>0</v>
      </c>
      <c r="R684" s="2" t="inlineStr"/>
    </row>
    <row r="685" ht="15" customHeight="1">
      <c r="A685" t="inlineStr">
        <is>
          <t>A 3425-2022</t>
        </is>
      </c>
      <c r="B685" s="1" t="n">
        <v>44585.51060185185</v>
      </c>
      <c r="C685" s="1" t="n">
        <v>45981</v>
      </c>
      <c r="D685" t="inlineStr">
        <is>
          <t>KALMAR LÄN</t>
        </is>
      </c>
      <c r="E685" t="inlineStr">
        <is>
          <t>VIMMERBY</t>
        </is>
      </c>
      <c r="G685" t="n">
        <v>1.3</v>
      </c>
      <c r="H685" t="n">
        <v>0</v>
      </c>
      <c r="I685" t="n">
        <v>0</v>
      </c>
      <c r="J685" t="n">
        <v>0</v>
      </c>
      <c r="K685" t="n">
        <v>0</v>
      </c>
      <c r="L685" t="n">
        <v>0</v>
      </c>
      <c r="M685" t="n">
        <v>0</v>
      </c>
      <c r="N685" t="n">
        <v>0</v>
      </c>
      <c r="O685" t="n">
        <v>0</v>
      </c>
      <c r="P685" t="n">
        <v>0</v>
      </c>
      <c r="Q685" t="n">
        <v>0</v>
      </c>
      <c r="R685" s="2" t="inlineStr"/>
    </row>
    <row r="686" ht="15" customHeight="1">
      <c r="A686" t="inlineStr">
        <is>
          <t>A 60675-2023</t>
        </is>
      </c>
      <c r="B686" s="1" t="n">
        <v>45260.4716550926</v>
      </c>
      <c r="C686" s="1" t="n">
        <v>45981</v>
      </c>
      <c r="D686" t="inlineStr">
        <is>
          <t>KALMAR LÄN</t>
        </is>
      </c>
      <c r="E686" t="inlineStr">
        <is>
          <t>VIMMERBY</t>
        </is>
      </c>
      <c r="G686" t="n">
        <v>1.2</v>
      </c>
      <c r="H686" t="n">
        <v>0</v>
      </c>
      <c r="I686" t="n">
        <v>0</v>
      </c>
      <c r="J686" t="n">
        <v>0</v>
      </c>
      <c r="K686" t="n">
        <v>0</v>
      </c>
      <c r="L686" t="n">
        <v>0</v>
      </c>
      <c r="M686" t="n">
        <v>0</v>
      </c>
      <c r="N686" t="n">
        <v>0</v>
      </c>
      <c r="O686" t="n">
        <v>0</v>
      </c>
      <c r="P686" t="n">
        <v>0</v>
      </c>
      <c r="Q686" t="n">
        <v>0</v>
      </c>
      <c r="R686" s="2" t="inlineStr"/>
    </row>
    <row r="687" ht="15" customHeight="1">
      <c r="A687" t="inlineStr">
        <is>
          <t>A 30293-2025</t>
        </is>
      </c>
      <c r="B687" s="1" t="n">
        <v>45827</v>
      </c>
      <c r="C687" s="1" t="n">
        <v>45981</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29440-2024</t>
        </is>
      </c>
      <c r="B688" s="1" t="n">
        <v>45483.82479166667</v>
      </c>
      <c r="C688" s="1" t="n">
        <v>45981</v>
      </c>
      <c r="D688" t="inlineStr">
        <is>
          <t>KALMAR LÄN</t>
        </is>
      </c>
      <c r="E688" t="inlineStr">
        <is>
          <t>VIMMERBY</t>
        </is>
      </c>
      <c r="G688" t="n">
        <v>4.5</v>
      </c>
      <c r="H688" t="n">
        <v>0</v>
      </c>
      <c r="I688" t="n">
        <v>0</v>
      </c>
      <c r="J688" t="n">
        <v>0</v>
      </c>
      <c r="K688" t="n">
        <v>0</v>
      </c>
      <c r="L688" t="n">
        <v>0</v>
      </c>
      <c r="M688" t="n">
        <v>0</v>
      </c>
      <c r="N688" t="n">
        <v>0</v>
      </c>
      <c r="O688" t="n">
        <v>0</v>
      </c>
      <c r="P688" t="n">
        <v>0</v>
      </c>
      <c r="Q688" t="n">
        <v>0</v>
      </c>
      <c r="R688" s="2" t="inlineStr"/>
    </row>
    <row r="689" ht="15" customHeight="1">
      <c r="A689" t="inlineStr">
        <is>
          <t>A 2536-2023</t>
        </is>
      </c>
      <c r="B689" s="1" t="n">
        <v>44943.62954861111</v>
      </c>
      <c r="C689" s="1" t="n">
        <v>45981</v>
      </c>
      <c r="D689" t="inlineStr">
        <is>
          <t>KALMAR LÄN</t>
        </is>
      </c>
      <c r="E689" t="inlineStr">
        <is>
          <t>VIMMERBY</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11111-2024</t>
        </is>
      </c>
      <c r="B690" s="1" t="n">
        <v>45371.36359953704</v>
      </c>
      <c r="C690" s="1" t="n">
        <v>45981</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30290-2025</t>
        </is>
      </c>
      <c r="B691" s="1" t="n">
        <v>45827</v>
      </c>
      <c r="C691" s="1" t="n">
        <v>45981</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53789-2025</t>
        </is>
      </c>
      <c r="B692" s="1" t="n">
        <v>45960</v>
      </c>
      <c r="C692" s="1" t="n">
        <v>45981</v>
      </c>
      <c r="D692" t="inlineStr">
        <is>
          <t>KALMAR LÄN</t>
        </is>
      </c>
      <c r="E692" t="inlineStr">
        <is>
          <t>VIMMERBY</t>
        </is>
      </c>
      <c r="F692" t="inlineStr">
        <is>
          <t>Övriga statliga verk och myndigheter</t>
        </is>
      </c>
      <c r="G692" t="n">
        <v>1.6</v>
      </c>
      <c r="H692" t="n">
        <v>0</v>
      </c>
      <c r="I692" t="n">
        <v>0</v>
      </c>
      <c r="J692" t="n">
        <v>0</v>
      </c>
      <c r="K692" t="n">
        <v>0</v>
      </c>
      <c r="L692" t="n">
        <v>0</v>
      </c>
      <c r="M692" t="n">
        <v>0</v>
      </c>
      <c r="N692" t="n">
        <v>0</v>
      </c>
      <c r="O692" t="n">
        <v>0</v>
      </c>
      <c r="P692" t="n">
        <v>0</v>
      </c>
      <c r="Q692" t="n">
        <v>0</v>
      </c>
      <c r="R692" s="2" t="inlineStr"/>
    </row>
    <row r="693" ht="15" customHeight="1">
      <c r="A693" t="inlineStr">
        <is>
          <t>A 9129-2025</t>
        </is>
      </c>
      <c r="B693" s="1" t="n">
        <v>45713.92412037037</v>
      </c>
      <c r="C693" s="1" t="n">
        <v>45981</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22197-2024</t>
        </is>
      </c>
      <c r="B694" s="1" t="n">
        <v>45446.36774305555</v>
      </c>
      <c r="C694" s="1" t="n">
        <v>45981</v>
      </c>
      <c r="D694" t="inlineStr">
        <is>
          <t>KALMAR LÄN</t>
        </is>
      </c>
      <c r="E694" t="inlineStr">
        <is>
          <t>VIMMERBY</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53752-2024</t>
        </is>
      </c>
      <c r="B695" s="1" t="n">
        <v>45615.48927083334</v>
      </c>
      <c r="C695" s="1" t="n">
        <v>45981</v>
      </c>
      <c r="D695" t="inlineStr">
        <is>
          <t>KALMAR LÄN</t>
        </is>
      </c>
      <c r="E695" t="inlineStr">
        <is>
          <t>VIMMERBY</t>
        </is>
      </c>
      <c r="G695" t="n">
        <v>2.4</v>
      </c>
      <c r="H695" t="n">
        <v>0</v>
      </c>
      <c r="I695" t="n">
        <v>0</v>
      </c>
      <c r="J695" t="n">
        <v>0</v>
      </c>
      <c r="K695" t="n">
        <v>0</v>
      </c>
      <c r="L695" t="n">
        <v>0</v>
      </c>
      <c r="M695" t="n">
        <v>0</v>
      </c>
      <c r="N695" t="n">
        <v>0</v>
      </c>
      <c r="O695" t="n">
        <v>0</v>
      </c>
      <c r="P695" t="n">
        <v>0</v>
      </c>
      <c r="Q695" t="n">
        <v>0</v>
      </c>
      <c r="R695" s="2" t="inlineStr"/>
    </row>
    <row r="696" ht="15" customHeight="1">
      <c r="A696" t="inlineStr">
        <is>
          <t>A 1687-2023</t>
        </is>
      </c>
      <c r="B696" s="1" t="n">
        <v>44938</v>
      </c>
      <c r="C696" s="1" t="n">
        <v>45981</v>
      </c>
      <c r="D696" t="inlineStr">
        <is>
          <t>KALMAR LÄN</t>
        </is>
      </c>
      <c r="E696" t="inlineStr">
        <is>
          <t>VIMMERBY</t>
        </is>
      </c>
      <c r="F696" t="inlineStr">
        <is>
          <t>Kommuner</t>
        </is>
      </c>
      <c r="G696" t="n">
        <v>2.5</v>
      </c>
      <c r="H696" t="n">
        <v>0</v>
      </c>
      <c r="I696" t="n">
        <v>0</v>
      </c>
      <c r="J696" t="n">
        <v>0</v>
      </c>
      <c r="K696" t="n">
        <v>0</v>
      </c>
      <c r="L696" t="n">
        <v>0</v>
      </c>
      <c r="M696" t="n">
        <v>0</v>
      </c>
      <c r="N696" t="n">
        <v>0</v>
      </c>
      <c r="O696" t="n">
        <v>0</v>
      </c>
      <c r="P696" t="n">
        <v>0</v>
      </c>
      <c r="Q696" t="n">
        <v>0</v>
      </c>
      <c r="R696" s="2" t="inlineStr"/>
    </row>
    <row r="697" ht="15" customHeight="1">
      <c r="A697" t="inlineStr">
        <is>
          <t>A 48409-2025</t>
        </is>
      </c>
      <c r="B697" s="1" t="n">
        <v>45934.41387731482</v>
      </c>
      <c r="C697" s="1" t="n">
        <v>45981</v>
      </c>
      <c r="D697" t="inlineStr">
        <is>
          <t>KALMAR LÄN</t>
        </is>
      </c>
      <c r="E697" t="inlineStr">
        <is>
          <t>VIMMERBY</t>
        </is>
      </c>
      <c r="G697" t="n">
        <v>1.2</v>
      </c>
      <c r="H697" t="n">
        <v>0</v>
      </c>
      <c r="I697" t="n">
        <v>0</v>
      </c>
      <c r="J697" t="n">
        <v>0</v>
      </c>
      <c r="K697" t="n">
        <v>0</v>
      </c>
      <c r="L697" t="n">
        <v>0</v>
      </c>
      <c r="M697" t="n">
        <v>0</v>
      </c>
      <c r="N697" t="n">
        <v>0</v>
      </c>
      <c r="O697" t="n">
        <v>0</v>
      </c>
      <c r="P697" t="n">
        <v>0</v>
      </c>
      <c r="Q697" t="n">
        <v>0</v>
      </c>
      <c r="R697" s="2" t="inlineStr"/>
    </row>
    <row r="698" ht="15" customHeight="1">
      <c r="A698" t="inlineStr">
        <is>
          <t>A 30850-2025</t>
        </is>
      </c>
      <c r="B698" s="1" t="n">
        <v>45831</v>
      </c>
      <c r="C698" s="1" t="n">
        <v>45981</v>
      </c>
      <c r="D698" t="inlineStr">
        <is>
          <t>KALMAR LÄN</t>
        </is>
      </c>
      <c r="E698" t="inlineStr">
        <is>
          <t>VIMMERBY</t>
        </is>
      </c>
      <c r="G698" t="n">
        <v>2.7</v>
      </c>
      <c r="H698" t="n">
        <v>0</v>
      </c>
      <c r="I698" t="n">
        <v>0</v>
      </c>
      <c r="J698" t="n">
        <v>0</v>
      </c>
      <c r="K698" t="n">
        <v>0</v>
      </c>
      <c r="L698" t="n">
        <v>0</v>
      </c>
      <c r="M698" t="n">
        <v>0</v>
      </c>
      <c r="N698" t="n">
        <v>0</v>
      </c>
      <c r="O698" t="n">
        <v>0</v>
      </c>
      <c r="P698" t="n">
        <v>0</v>
      </c>
      <c r="Q698" t="n">
        <v>0</v>
      </c>
      <c r="R698" s="2" t="inlineStr"/>
    </row>
    <row r="699" ht="15" customHeight="1">
      <c r="A699" t="inlineStr">
        <is>
          <t>A 3494-2023</t>
        </is>
      </c>
      <c r="B699" s="1" t="n">
        <v>44949</v>
      </c>
      <c r="C699" s="1" t="n">
        <v>45981</v>
      </c>
      <c r="D699" t="inlineStr">
        <is>
          <t>KALMAR LÄN</t>
        </is>
      </c>
      <c r="E699" t="inlineStr">
        <is>
          <t>VIMMERBY</t>
        </is>
      </c>
      <c r="F699" t="inlineStr">
        <is>
          <t>Kyrkan</t>
        </is>
      </c>
      <c r="G699" t="n">
        <v>0.8</v>
      </c>
      <c r="H699" t="n">
        <v>0</v>
      </c>
      <c r="I699" t="n">
        <v>0</v>
      </c>
      <c r="J699" t="n">
        <v>0</v>
      </c>
      <c r="K699" t="n">
        <v>0</v>
      </c>
      <c r="L699" t="n">
        <v>0</v>
      </c>
      <c r="M699" t="n">
        <v>0</v>
      </c>
      <c r="N699" t="n">
        <v>0</v>
      </c>
      <c r="O699" t="n">
        <v>0</v>
      </c>
      <c r="P699" t="n">
        <v>0</v>
      </c>
      <c r="Q699" t="n">
        <v>0</v>
      </c>
      <c r="R699" s="2" t="inlineStr"/>
    </row>
    <row r="700" ht="15" customHeight="1">
      <c r="A700" t="inlineStr">
        <is>
          <t>A 12121-2025</t>
        </is>
      </c>
      <c r="B700" s="1" t="n">
        <v>45729.36868055556</v>
      </c>
      <c r="C700" s="1" t="n">
        <v>45981</v>
      </c>
      <c r="D700" t="inlineStr">
        <is>
          <t>KALMAR LÄN</t>
        </is>
      </c>
      <c r="E700" t="inlineStr">
        <is>
          <t>VIMMERBY</t>
        </is>
      </c>
      <c r="G700" t="n">
        <v>4.3</v>
      </c>
      <c r="H700" t="n">
        <v>0</v>
      </c>
      <c r="I700" t="n">
        <v>0</v>
      </c>
      <c r="J700" t="n">
        <v>0</v>
      </c>
      <c r="K700" t="n">
        <v>0</v>
      </c>
      <c r="L700" t="n">
        <v>0</v>
      </c>
      <c r="M700" t="n">
        <v>0</v>
      </c>
      <c r="N700" t="n">
        <v>0</v>
      </c>
      <c r="O700" t="n">
        <v>0</v>
      </c>
      <c r="P700" t="n">
        <v>0</v>
      </c>
      <c r="Q700" t="n">
        <v>0</v>
      </c>
      <c r="R700" s="2" t="inlineStr"/>
    </row>
    <row r="701" ht="15" customHeight="1">
      <c r="A701" t="inlineStr">
        <is>
          <t>A 48600-2025</t>
        </is>
      </c>
      <c r="B701" s="1" t="n">
        <v>45935</v>
      </c>
      <c r="C701" s="1" t="n">
        <v>45981</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15449-2023</t>
        </is>
      </c>
      <c r="B702" s="1" t="n">
        <v>45020</v>
      </c>
      <c r="C702" s="1" t="n">
        <v>45981</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43242-2024</t>
        </is>
      </c>
      <c r="B703" s="1" t="n">
        <v>45568.30189814815</v>
      </c>
      <c r="C703" s="1" t="n">
        <v>45981</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9710-2023</t>
        </is>
      </c>
      <c r="B704" s="1" t="n">
        <v>44984</v>
      </c>
      <c r="C704" s="1" t="n">
        <v>45981</v>
      </c>
      <c r="D704" t="inlineStr">
        <is>
          <t>KALMAR LÄN</t>
        </is>
      </c>
      <c r="E704" t="inlineStr">
        <is>
          <t>VIMMERBY</t>
        </is>
      </c>
      <c r="G704" t="n">
        <v>3.7</v>
      </c>
      <c r="H704" t="n">
        <v>0</v>
      </c>
      <c r="I704" t="n">
        <v>0</v>
      </c>
      <c r="J704" t="n">
        <v>0</v>
      </c>
      <c r="K704" t="n">
        <v>0</v>
      </c>
      <c r="L704" t="n">
        <v>0</v>
      </c>
      <c r="M704" t="n">
        <v>0</v>
      </c>
      <c r="N704" t="n">
        <v>0</v>
      </c>
      <c r="O704" t="n">
        <v>0</v>
      </c>
      <c r="P704" t="n">
        <v>0</v>
      </c>
      <c r="Q704" t="n">
        <v>0</v>
      </c>
      <c r="R704" s="2" t="inlineStr"/>
    </row>
    <row r="705" ht="15" customHeight="1">
      <c r="A705" t="inlineStr">
        <is>
          <t>A 9720-2023</t>
        </is>
      </c>
      <c r="B705" s="1" t="n">
        <v>44984</v>
      </c>
      <c r="C705" s="1" t="n">
        <v>45981</v>
      </c>
      <c r="D705" t="inlineStr">
        <is>
          <t>KALMAR LÄN</t>
        </is>
      </c>
      <c r="E705" t="inlineStr">
        <is>
          <t>VIMMERBY</t>
        </is>
      </c>
      <c r="G705" t="n">
        <v>4.4</v>
      </c>
      <c r="H705" t="n">
        <v>0</v>
      </c>
      <c r="I705" t="n">
        <v>0</v>
      </c>
      <c r="J705" t="n">
        <v>0</v>
      </c>
      <c r="K705" t="n">
        <v>0</v>
      </c>
      <c r="L705" t="n">
        <v>0</v>
      </c>
      <c r="M705" t="n">
        <v>0</v>
      </c>
      <c r="N705" t="n">
        <v>0</v>
      </c>
      <c r="O705" t="n">
        <v>0</v>
      </c>
      <c r="P705" t="n">
        <v>0</v>
      </c>
      <c r="Q705" t="n">
        <v>0</v>
      </c>
      <c r="R705" s="2" t="inlineStr"/>
    </row>
    <row r="706" ht="15" customHeight="1">
      <c r="A706" t="inlineStr">
        <is>
          <t>A 15493-2023</t>
        </is>
      </c>
      <c r="B706" s="1" t="n">
        <v>45018</v>
      </c>
      <c r="C706" s="1" t="n">
        <v>45981</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61878-2020</t>
        </is>
      </c>
      <c r="B707" s="1" t="n">
        <v>44159</v>
      </c>
      <c r="C707" s="1" t="n">
        <v>45981</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56853-2022</t>
        </is>
      </c>
      <c r="B708" s="1" t="n">
        <v>44894.49538194444</v>
      </c>
      <c r="C708" s="1" t="n">
        <v>45981</v>
      </c>
      <c r="D708" t="inlineStr">
        <is>
          <t>KALMAR LÄN</t>
        </is>
      </c>
      <c r="E708" t="inlineStr">
        <is>
          <t>VIMMERBY</t>
        </is>
      </c>
      <c r="G708" t="n">
        <v>4.3</v>
      </c>
      <c r="H708" t="n">
        <v>0</v>
      </c>
      <c r="I708" t="n">
        <v>0</v>
      </c>
      <c r="J708" t="n">
        <v>0</v>
      </c>
      <c r="K708" t="n">
        <v>0</v>
      </c>
      <c r="L708" t="n">
        <v>0</v>
      </c>
      <c r="M708" t="n">
        <v>0</v>
      </c>
      <c r="N708" t="n">
        <v>0</v>
      </c>
      <c r="O708" t="n">
        <v>0</v>
      </c>
      <c r="P708" t="n">
        <v>0</v>
      </c>
      <c r="Q708" t="n">
        <v>0</v>
      </c>
      <c r="R708" s="2" t="inlineStr"/>
    </row>
    <row r="709" ht="15" customHeight="1">
      <c r="A709" t="inlineStr">
        <is>
          <t>A 65049-2020</t>
        </is>
      </c>
      <c r="B709" s="1" t="n">
        <v>44172</v>
      </c>
      <c r="C709" s="1" t="n">
        <v>45981</v>
      </c>
      <c r="D709" t="inlineStr">
        <is>
          <t>KALMAR LÄN</t>
        </is>
      </c>
      <c r="E709" t="inlineStr">
        <is>
          <t>VIMMERBY</t>
        </is>
      </c>
      <c r="G709" t="n">
        <v>2.3</v>
      </c>
      <c r="H709" t="n">
        <v>0</v>
      </c>
      <c r="I709" t="n">
        <v>0</v>
      </c>
      <c r="J709" t="n">
        <v>0</v>
      </c>
      <c r="K709" t="n">
        <v>0</v>
      </c>
      <c r="L709" t="n">
        <v>0</v>
      </c>
      <c r="M709" t="n">
        <v>0</v>
      </c>
      <c r="N709" t="n">
        <v>0</v>
      </c>
      <c r="O709" t="n">
        <v>0</v>
      </c>
      <c r="P709" t="n">
        <v>0</v>
      </c>
      <c r="Q709" t="n">
        <v>0</v>
      </c>
      <c r="R709" s="2" t="inlineStr"/>
    </row>
    <row r="710" ht="15" customHeight="1">
      <c r="A710" t="inlineStr">
        <is>
          <t>A 31552-2025</t>
        </is>
      </c>
      <c r="B710" s="1" t="n">
        <v>45833.64563657407</v>
      </c>
      <c r="C710" s="1" t="n">
        <v>45981</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31555-2025</t>
        </is>
      </c>
      <c r="B711" s="1" t="n">
        <v>45833.64814814815</v>
      </c>
      <c r="C711" s="1" t="n">
        <v>45981</v>
      </c>
      <c r="D711" t="inlineStr">
        <is>
          <t>KALMAR LÄN</t>
        </is>
      </c>
      <c r="E711" t="inlineStr">
        <is>
          <t>VIMMERBY</t>
        </is>
      </c>
      <c r="G711" t="n">
        <v>1.8</v>
      </c>
      <c r="H711" t="n">
        <v>0</v>
      </c>
      <c r="I711" t="n">
        <v>0</v>
      </c>
      <c r="J711" t="n">
        <v>0</v>
      </c>
      <c r="K711" t="n">
        <v>0</v>
      </c>
      <c r="L711" t="n">
        <v>0</v>
      </c>
      <c r="M711" t="n">
        <v>0</v>
      </c>
      <c r="N711" t="n">
        <v>0</v>
      </c>
      <c r="O711" t="n">
        <v>0</v>
      </c>
      <c r="P711" t="n">
        <v>0</v>
      </c>
      <c r="Q711" t="n">
        <v>0</v>
      </c>
      <c r="R711" s="2" t="inlineStr"/>
    </row>
    <row r="712" ht="15" customHeight="1">
      <c r="A712" t="inlineStr">
        <is>
          <t>A 33815-2022</t>
        </is>
      </c>
      <c r="B712" s="1" t="n">
        <v>44790.45876157407</v>
      </c>
      <c r="C712" s="1" t="n">
        <v>45981</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33842-2022</t>
        </is>
      </c>
      <c r="B713" s="1" t="n">
        <v>44790.49523148148</v>
      </c>
      <c r="C713" s="1" t="n">
        <v>45981</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30971-2025</t>
        </is>
      </c>
      <c r="B714" s="1" t="n">
        <v>45832.46146990741</v>
      </c>
      <c r="C714" s="1" t="n">
        <v>45981</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31551-2025</t>
        </is>
      </c>
      <c r="B715" s="1" t="n">
        <v>45833.64237268519</v>
      </c>
      <c r="C715" s="1" t="n">
        <v>45981</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29093-2023</t>
        </is>
      </c>
      <c r="B716" s="1" t="n">
        <v>45105</v>
      </c>
      <c r="C716" s="1" t="n">
        <v>45981</v>
      </c>
      <c r="D716" t="inlineStr">
        <is>
          <t>KALMAR LÄN</t>
        </is>
      </c>
      <c r="E716" t="inlineStr">
        <is>
          <t>VIMMERBY</t>
        </is>
      </c>
      <c r="G716" t="n">
        <v>2.9</v>
      </c>
      <c r="H716" t="n">
        <v>0</v>
      </c>
      <c r="I716" t="n">
        <v>0</v>
      </c>
      <c r="J716" t="n">
        <v>0</v>
      </c>
      <c r="K716" t="n">
        <v>0</v>
      </c>
      <c r="L716" t="n">
        <v>0</v>
      </c>
      <c r="M716" t="n">
        <v>0</v>
      </c>
      <c r="N716" t="n">
        <v>0</v>
      </c>
      <c r="O716" t="n">
        <v>0</v>
      </c>
      <c r="P716" t="n">
        <v>0</v>
      </c>
      <c r="Q716" t="n">
        <v>0</v>
      </c>
      <c r="R716" s="2" t="inlineStr"/>
    </row>
    <row r="717" ht="15" customHeight="1">
      <c r="A717" t="inlineStr">
        <is>
          <t>A 33352-2022</t>
        </is>
      </c>
      <c r="B717" s="1" t="n">
        <v>44788</v>
      </c>
      <c r="C717" s="1" t="n">
        <v>45981</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10674-2021</t>
        </is>
      </c>
      <c r="B718" s="1" t="n">
        <v>44258</v>
      </c>
      <c r="C718" s="1" t="n">
        <v>45981</v>
      </c>
      <c r="D718" t="inlineStr">
        <is>
          <t>KALMAR LÄN</t>
        </is>
      </c>
      <c r="E718" t="inlineStr">
        <is>
          <t>VIMMERBY</t>
        </is>
      </c>
      <c r="G718" t="n">
        <v>8.4</v>
      </c>
      <c r="H718" t="n">
        <v>0</v>
      </c>
      <c r="I718" t="n">
        <v>0</v>
      </c>
      <c r="J718" t="n">
        <v>0</v>
      </c>
      <c r="K718" t="n">
        <v>0</v>
      </c>
      <c r="L718" t="n">
        <v>0</v>
      </c>
      <c r="M718" t="n">
        <v>0</v>
      </c>
      <c r="N718" t="n">
        <v>0</v>
      </c>
      <c r="O718" t="n">
        <v>0</v>
      </c>
      <c r="P718" t="n">
        <v>0</v>
      </c>
      <c r="Q718" t="n">
        <v>0</v>
      </c>
      <c r="R718" s="2" t="inlineStr"/>
    </row>
    <row r="719" ht="15" customHeight="1">
      <c r="A719" t="inlineStr">
        <is>
          <t>A 22264-2023</t>
        </is>
      </c>
      <c r="B719" s="1" t="n">
        <v>45070.3665625</v>
      </c>
      <c r="C719" s="1" t="n">
        <v>45981</v>
      </c>
      <c r="D719" t="inlineStr">
        <is>
          <t>KALMAR LÄN</t>
        </is>
      </c>
      <c r="E719" t="inlineStr">
        <is>
          <t>VIMMERBY</t>
        </is>
      </c>
      <c r="G719" t="n">
        <v>1</v>
      </c>
      <c r="H719" t="n">
        <v>0</v>
      </c>
      <c r="I719" t="n">
        <v>0</v>
      </c>
      <c r="J719" t="n">
        <v>0</v>
      </c>
      <c r="K719" t="n">
        <v>0</v>
      </c>
      <c r="L719" t="n">
        <v>0</v>
      </c>
      <c r="M719" t="n">
        <v>0</v>
      </c>
      <c r="N719" t="n">
        <v>0</v>
      </c>
      <c r="O719" t="n">
        <v>0</v>
      </c>
      <c r="P719" t="n">
        <v>0</v>
      </c>
      <c r="Q719" t="n">
        <v>0</v>
      </c>
      <c r="R719" s="2" t="inlineStr"/>
    </row>
    <row r="720" ht="15" customHeight="1">
      <c r="A720" t="inlineStr">
        <is>
          <t>A 30882-2025</t>
        </is>
      </c>
      <c r="B720" s="1" t="n">
        <v>45832.34540509259</v>
      </c>
      <c r="C720" s="1" t="n">
        <v>45981</v>
      </c>
      <c r="D720" t="inlineStr">
        <is>
          <t>KALMAR LÄN</t>
        </is>
      </c>
      <c r="E720" t="inlineStr">
        <is>
          <t>VIMMERBY</t>
        </is>
      </c>
      <c r="G720" t="n">
        <v>0.7</v>
      </c>
      <c r="H720" t="n">
        <v>0</v>
      </c>
      <c r="I720" t="n">
        <v>0</v>
      </c>
      <c r="J720" t="n">
        <v>0</v>
      </c>
      <c r="K720" t="n">
        <v>0</v>
      </c>
      <c r="L720" t="n">
        <v>0</v>
      </c>
      <c r="M720" t="n">
        <v>0</v>
      </c>
      <c r="N720" t="n">
        <v>0</v>
      </c>
      <c r="O720" t="n">
        <v>0</v>
      </c>
      <c r="P720" t="n">
        <v>0</v>
      </c>
      <c r="Q720" t="n">
        <v>0</v>
      </c>
      <c r="R720" s="2" t="inlineStr"/>
    </row>
    <row r="721" ht="15" customHeight="1">
      <c r="A721" t="inlineStr">
        <is>
          <t>A 16676-2023</t>
        </is>
      </c>
      <c r="B721" s="1" t="n">
        <v>45028</v>
      </c>
      <c r="C721" s="1" t="n">
        <v>45981</v>
      </c>
      <c r="D721" t="inlineStr">
        <is>
          <t>KALMAR LÄN</t>
        </is>
      </c>
      <c r="E721" t="inlineStr">
        <is>
          <t>VIMMERBY</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6220-2025</t>
        </is>
      </c>
      <c r="B722" s="1" t="n">
        <v>45698.53725694444</v>
      </c>
      <c r="C722" s="1" t="n">
        <v>45981</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49408-2023</t>
        </is>
      </c>
      <c r="B723" s="1" t="n">
        <v>45211.43555555555</v>
      </c>
      <c r="C723" s="1" t="n">
        <v>45981</v>
      </c>
      <c r="D723" t="inlineStr">
        <is>
          <t>KALMAR LÄN</t>
        </is>
      </c>
      <c r="E723" t="inlineStr">
        <is>
          <t>VIMMERBY</t>
        </is>
      </c>
      <c r="G723" t="n">
        <v>13.1</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45981</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24096-2024</t>
        </is>
      </c>
      <c r="B725" s="1" t="n">
        <v>45456.59289351852</v>
      </c>
      <c r="C725" s="1" t="n">
        <v>45981</v>
      </c>
      <c r="D725" t="inlineStr">
        <is>
          <t>KALMAR LÄN</t>
        </is>
      </c>
      <c r="E725" t="inlineStr">
        <is>
          <t>VIMMERBY</t>
        </is>
      </c>
      <c r="G725" t="n">
        <v>2.3</v>
      </c>
      <c r="H725" t="n">
        <v>0</v>
      </c>
      <c r="I725" t="n">
        <v>0</v>
      </c>
      <c r="J725" t="n">
        <v>0</v>
      </c>
      <c r="K725" t="n">
        <v>0</v>
      </c>
      <c r="L725" t="n">
        <v>0</v>
      </c>
      <c r="M725" t="n">
        <v>0</v>
      </c>
      <c r="N725" t="n">
        <v>0</v>
      </c>
      <c r="O725" t="n">
        <v>0</v>
      </c>
      <c r="P725" t="n">
        <v>0</v>
      </c>
      <c r="Q725" t="n">
        <v>0</v>
      </c>
      <c r="R725" s="2" t="inlineStr"/>
    </row>
    <row r="726" ht="15" customHeight="1">
      <c r="A726" t="inlineStr">
        <is>
          <t>A 41199-2023</t>
        </is>
      </c>
      <c r="B726" s="1" t="n">
        <v>45174.40454861111</v>
      </c>
      <c r="C726" s="1" t="n">
        <v>45981</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29013-2024</t>
        </is>
      </c>
      <c r="B727" s="1" t="n">
        <v>45481.55984953704</v>
      </c>
      <c r="C727" s="1" t="n">
        <v>45981</v>
      </c>
      <c r="D727" t="inlineStr">
        <is>
          <t>KALMAR LÄN</t>
        </is>
      </c>
      <c r="E727" t="inlineStr">
        <is>
          <t>VIMMERBY</t>
        </is>
      </c>
      <c r="G727" t="n">
        <v>3.4</v>
      </c>
      <c r="H727" t="n">
        <v>0</v>
      </c>
      <c r="I727" t="n">
        <v>0</v>
      </c>
      <c r="J727" t="n">
        <v>0</v>
      </c>
      <c r="K727" t="n">
        <v>0</v>
      </c>
      <c r="L727" t="n">
        <v>0</v>
      </c>
      <c r="M727" t="n">
        <v>0</v>
      </c>
      <c r="N727" t="n">
        <v>0</v>
      </c>
      <c r="O727" t="n">
        <v>0</v>
      </c>
      <c r="P727" t="n">
        <v>0</v>
      </c>
      <c r="Q727" t="n">
        <v>0</v>
      </c>
      <c r="R727" s="2" t="inlineStr"/>
    </row>
    <row r="728" ht="15" customHeight="1">
      <c r="A728" t="inlineStr">
        <is>
          <t>A 6066-2023</t>
        </is>
      </c>
      <c r="B728" s="1" t="n">
        <v>44964.50894675926</v>
      </c>
      <c r="C728" s="1" t="n">
        <v>45981</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59955-2023</t>
        </is>
      </c>
      <c r="B729" s="1" t="n">
        <v>45257.70313657408</v>
      </c>
      <c r="C729" s="1" t="n">
        <v>45981</v>
      </c>
      <c r="D729" t="inlineStr">
        <is>
          <t>KALMAR LÄN</t>
        </is>
      </c>
      <c r="E729" t="inlineStr">
        <is>
          <t>VIMMERBY</t>
        </is>
      </c>
      <c r="G729" t="n">
        <v>13.8</v>
      </c>
      <c r="H729" t="n">
        <v>0</v>
      </c>
      <c r="I729" t="n">
        <v>0</v>
      </c>
      <c r="J729" t="n">
        <v>0</v>
      </c>
      <c r="K729" t="n">
        <v>0</v>
      </c>
      <c r="L729" t="n">
        <v>0</v>
      </c>
      <c r="M729" t="n">
        <v>0</v>
      </c>
      <c r="N729" t="n">
        <v>0</v>
      </c>
      <c r="O729" t="n">
        <v>0</v>
      </c>
      <c r="P729" t="n">
        <v>0</v>
      </c>
      <c r="Q729" t="n">
        <v>0</v>
      </c>
      <c r="R729" s="2" t="inlineStr"/>
    </row>
    <row r="730" ht="15" customHeight="1">
      <c r="A730" t="inlineStr">
        <is>
          <t>A 36040-2024</t>
        </is>
      </c>
      <c r="B730" s="1" t="n">
        <v>45533.60232638889</v>
      </c>
      <c r="C730" s="1" t="n">
        <v>45981</v>
      </c>
      <c r="D730" t="inlineStr">
        <is>
          <t>KALMAR LÄN</t>
        </is>
      </c>
      <c r="E730" t="inlineStr">
        <is>
          <t>VIMMERBY</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36043-2024</t>
        </is>
      </c>
      <c r="B731" s="1" t="n">
        <v>45533.60770833334</v>
      </c>
      <c r="C731" s="1" t="n">
        <v>45981</v>
      </c>
      <c r="D731" t="inlineStr">
        <is>
          <t>KALMAR LÄN</t>
        </is>
      </c>
      <c r="E731" t="inlineStr">
        <is>
          <t>VIMMERBY</t>
        </is>
      </c>
      <c r="F731" t="inlineStr">
        <is>
          <t>Kommuner</t>
        </is>
      </c>
      <c r="G731" t="n">
        <v>1.5</v>
      </c>
      <c r="H731" t="n">
        <v>0</v>
      </c>
      <c r="I731" t="n">
        <v>0</v>
      </c>
      <c r="J731" t="n">
        <v>0</v>
      </c>
      <c r="K731" t="n">
        <v>0</v>
      </c>
      <c r="L731" t="n">
        <v>0</v>
      </c>
      <c r="M731" t="n">
        <v>0</v>
      </c>
      <c r="N731" t="n">
        <v>0</v>
      </c>
      <c r="O731" t="n">
        <v>0</v>
      </c>
      <c r="P731" t="n">
        <v>0</v>
      </c>
      <c r="Q731" t="n">
        <v>0</v>
      </c>
      <c r="R731" s="2" t="inlineStr"/>
    </row>
    <row r="732" ht="15" customHeight="1">
      <c r="A732" t="inlineStr">
        <is>
          <t>A 31872-2025</t>
        </is>
      </c>
      <c r="B732" s="1" t="n">
        <v>45834.65040509259</v>
      </c>
      <c r="C732" s="1" t="n">
        <v>45981</v>
      </c>
      <c r="D732" t="inlineStr">
        <is>
          <t>KALMAR LÄN</t>
        </is>
      </c>
      <c r="E732" t="inlineStr">
        <is>
          <t>VIMMERBY</t>
        </is>
      </c>
      <c r="F732" t="inlineStr">
        <is>
          <t>Sveaskog</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12890-2023</t>
        </is>
      </c>
      <c r="B733" s="1" t="n">
        <v>45001.59209490741</v>
      </c>
      <c r="C733" s="1" t="n">
        <v>45981</v>
      </c>
      <c r="D733" t="inlineStr">
        <is>
          <t>KALMAR LÄN</t>
        </is>
      </c>
      <c r="E733" t="inlineStr">
        <is>
          <t>VIMMERBY</t>
        </is>
      </c>
      <c r="G733" t="n">
        <v>2.8</v>
      </c>
      <c r="H733" t="n">
        <v>0</v>
      </c>
      <c r="I733" t="n">
        <v>0</v>
      </c>
      <c r="J733" t="n">
        <v>0</v>
      </c>
      <c r="K733" t="n">
        <v>0</v>
      </c>
      <c r="L733" t="n">
        <v>0</v>
      </c>
      <c r="M733" t="n">
        <v>0</v>
      </c>
      <c r="N733" t="n">
        <v>0</v>
      </c>
      <c r="O733" t="n">
        <v>0</v>
      </c>
      <c r="P733" t="n">
        <v>0</v>
      </c>
      <c r="Q733" t="n">
        <v>0</v>
      </c>
      <c r="R733" s="2" t="inlineStr"/>
    </row>
    <row r="734" ht="15" customHeight="1">
      <c r="A734" t="inlineStr">
        <is>
          <t>A 43594-2024</t>
        </is>
      </c>
      <c r="B734" s="1" t="n">
        <v>45569.44295138889</v>
      </c>
      <c r="C734" s="1" t="n">
        <v>45981</v>
      </c>
      <c r="D734" t="inlineStr">
        <is>
          <t>KALMAR LÄN</t>
        </is>
      </c>
      <c r="E734" t="inlineStr">
        <is>
          <t>VIMMERBY</t>
        </is>
      </c>
      <c r="G734" t="n">
        <v>3.9</v>
      </c>
      <c r="H734" t="n">
        <v>0</v>
      </c>
      <c r="I734" t="n">
        <v>0</v>
      </c>
      <c r="J734" t="n">
        <v>0</v>
      </c>
      <c r="K734" t="n">
        <v>0</v>
      </c>
      <c r="L734" t="n">
        <v>0</v>
      </c>
      <c r="M734" t="n">
        <v>0</v>
      </c>
      <c r="N734" t="n">
        <v>0</v>
      </c>
      <c r="O734" t="n">
        <v>0</v>
      </c>
      <c r="P734" t="n">
        <v>0</v>
      </c>
      <c r="Q734" t="n">
        <v>0</v>
      </c>
      <c r="R734" s="2" t="inlineStr"/>
    </row>
    <row r="735" ht="15" customHeight="1">
      <c r="A735" t="inlineStr">
        <is>
          <t>A 8945-2025</t>
        </is>
      </c>
      <c r="B735" s="1" t="n">
        <v>45713.45311342592</v>
      </c>
      <c r="C735" s="1" t="n">
        <v>45981</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53482-2022</t>
        </is>
      </c>
      <c r="B736" s="1" t="n">
        <v>44879</v>
      </c>
      <c r="C736" s="1" t="n">
        <v>45981</v>
      </c>
      <c r="D736" t="inlineStr">
        <is>
          <t>KALMAR LÄN</t>
        </is>
      </c>
      <c r="E736" t="inlineStr">
        <is>
          <t>VIMMERBY</t>
        </is>
      </c>
      <c r="G736" t="n">
        <v>10.1</v>
      </c>
      <c r="H736" t="n">
        <v>0</v>
      </c>
      <c r="I736" t="n">
        <v>0</v>
      </c>
      <c r="J736" t="n">
        <v>0</v>
      </c>
      <c r="K736" t="n">
        <v>0</v>
      </c>
      <c r="L736" t="n">
        <v>0</v>
      </c>
      <c r="M736" t="n">
        <v>0</v>
      </c>
      <c r="N736" t="n">
        <v>0</v>
      </c>
      <c r="O736" t="n">
        <v>0</v>
      </c>
      <c r="P736" t="n">
        <v>0</v>
      </c>
      <c r="Q736" t="n">
        <v>0</v>
      </c>
      <c r="R736" s="2" t="inlineStr"/>
    </row>
    <row r="737" ht="15" customHeight="1">
      <c r="A737" t="inlineStr">
        <is>
          <t>A 27761-2024</t>
        </is>
      </c>
      <c r="B737" s="1" t="n">
        <v>45475.49018518518</v>
      </c>
      <c r="C737" s="1" t="n">
        <v>45981</v>
      </c>
      <c r="D737" t="inlineStr">
        <is>
          <t>KALMAR LÄN</t>
        </is>
      </c>
      <c r="E737" t="inlineStr">
        <is>
          <t>VIMMERBY</t>
        </is>
      </c>
      <c r="G737" t="n">
        <v>0.6</v>
      </c>
      <c r="H737" t="n">
        <v>0</v>
      </c>
      <c r="I737" t="n">
        <v>0</v>
      </c>
      <c r="J737" t="n">
        <v>0</v>
      </c>
      <c r="K737" t="n">
        <v>0</v>
      </c>
      <c r="L737" t="n">
        <v>0</v>
      </c>
      <c r="M737" t="n">
        <v>0</v>
      </c>
      <c r="N737" t="n">
        <v>0</v>
      </c>
      <c r="O737" t="n">
        <v>0</v>
      </c>
      <c r="P737" t="n">
        <v>0</v>
      </c>
      <c r="Q737" t="n">
        <v>0</v>
      </c>
      <c r="R737" s="2" t="inlineStr"/>
    </row>
    <row r="738" ht="15" customHeight="1">
      <c r="A738" t="inlineStr">
        <is>
          <t>A 64203-2021</t>
        </is>
      </c>
      <c r="B738" s="1" t="n">
        <v>44510.60921296296</v>
      </c>
      <c r="C738" s="1" t="n">
        <v>45981</v>
      </c>
      <c r="D738" t="inlineStr">
        <is>
          <t>KALMAR LÄN</t>
        </is>
      </c>
      <c r="E738" t="inlineStr">
        <is>
          <t>VIMMERBY</t>
        </is>
      </c>
      <c r="F738" t="inlineStr">
        <is>
          <t>Övriga Aktiebolag</t>
        </is>
      </c>
      <c r="G738" t="n">
        <v>5.4</v>
      </c>
      <c r="H738" t="n">
        <v>0</v>
      </c>
      <c r="I738" t="n">
        <v>0</v>
      </c>
      <c r="J738" t="n">
        <v>0</v>
      </c>
      <c r="K738" t="n">
        <v>0</v>
      </c>
      <c r="L738" t="n">
        <v>0</v>
      </c>
      <c r="M738" t="n">
        <v>0</v>
      </c>
      <c r="N738" t="n">
        <v>0</v>
      </c>
      <c r="O738" t="n">
        <v>0</v>
      </c>
      <c r="P738" t="n">
        <v>0</v>
      </c>
      <c r="Q738" t="n">
        <v>0</v>
      </c>
      <c r="R738" s="2" t="inlineStr"/>
    </row>
    <row r="739" ht="15" customHeight="1">
      <c r="A739" t="inlineStr">
        <is>
          <t>A 8559-2025</t>
        </is>
      </c>
      <c r="B739" s="1" t="n">
        <v>45709.62280092593</v>
      </c>
      <c r="C739" s="1" t="n">
        <v>45981</v>
      </c>
      <c r="D739" t="inlineStr">
        <is>
          <t>KALMAR LÄN</t>
        </is>
      </c>
      <c r="E739" t="inlineStr">
        <is>
          <t>VIMMERBY</t>
        </is>
      </c>
      <c r="G739" t="n">
        <v>8.9</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45981</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11619-2023</t>
        </is>
      </c>
      <c r="B741" s="1" t="n">
        <v>44994.42113425926</v>
      </c>
      <c r="C741" s="1" t="n">
        <v>45981</v>
      </c>
      <c r="D741" t="inlineStr">
        <is>
          <t>KALMAR LÄN</t>
        </is>
      </c>
      <c r="E741" t="inlineStr">
        <is>
          <t>VIMMERBY</t>
        </is>
      </c>
      <c r="G741" t="n">
        <v>2.5</v>
      </c>
      <c r="H741" t="n">
        <v>0</v>
      </c>
      <c r="I741" t="n">
        <v>0</v>
      </c>
      <c r="J741" t="n">
        <v>0</v>
      </c>
      <c r="K741" t="n">
        <v>0</v>
      </c>
      <c r="L741" t="n">
        <v>0</v>
      </c>
      <c r="M741" t="n">
        <v>0</v>
      </c>
      <c r="N741" t="n">
        <v>0</v>
      </c>
      <c r="O741" t="n">
        <v>0</v>
      </c>
      <c r="P741" t="n">
        <v>0</v>
      </c>
      <c r="Q741" t="n">
        <v>0</v>
      </c>
      <c r="R741" s="2" t="inlineStr"/>
    </row>
    <row r="742" ht="15" customHeight="1">
      <c r="A742" t="inlineStr">
        <is>
          <t>A 9643-2023</t>
        </is>
      </c>
      <c r="B742" s="1" t="n">
        <v>44984</v>
      </c>
      <c r="C742" s="1" t="n">
        <v>45981</v>
      </c>
      <c r="D742" t="inlineStr">
        <is>
          <t>KALMAR LÄN</t>
        </is>
      </c>
      <c r="E742" t="inlineStr">
        <is>
          <t>VIMMERBY</t>
        </is>
      </c>
      <c r="G742" t="n">
        <v>2</v>
      </c>
      <c r="H742" t="n">
        <v>0</v>
      </c>
      <c r="I742" t="n">
        <v>0</v>
      </c>
      <c r="J742" t="n">
        <v>0</v>
      </c>
      <c r="K742" t="n">
        <v>0</v>
      </c>
      <c r="L742" t="n">
        <v>0</v>
      </c>
      <c r="M742" t="n">
        <v>0</v>
      </c>
      <c r="N742" t="n">
        <v>0</v>
      </c>
      <c r="O742" t="n">
        <v>0</v>
      </c>
      <c r="P742" t="n">
        <v>0</v>
      </c>
      <c r="Q742" t="n">
        <v>0</v>
      </c>
      <c r="R742" s="2" t="inlineStr"/>
    </row>
    <row r="743" ht="15" customHeight="1">
      <c r="A743" t="inlineStr">
        <is>
          <t>A 25728-2023</t>
        </is>
      </c>
      <c r="B743" s="1" t="n">
        <v>45090.38012731481</v>
      </c>
      <c r="C743" s="1" t="n">
        <v>45981</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32064-2025</t>
        </is>
      </c>
      <c r="B744" s="1" t="n">
        <v>45835.44709490741</v>
      </c>
      <c r="C744" s="1" t="n">
        <v>45981</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41896-2023</t>
        </is>
      </c>
      <c r="B745" s="1" t="n">
        <v>45176.72427083334</v>
      </c>
      <c r="C745" s="1" t="n">
        <v>45981</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32109-2025</t>
        </is>
      </c>
      <c r="B746" s="1" t="n">
        <v>45835.48267361111</v>
      </c>
      <c r="C746" s="1" t="n">
        <v>45981</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32113-2025</t>
        </is>
      </c>
      <c r="B747" s="1" t="n">
        <v>45835.48445601852</v>
      </c>
      <c r="C747" s="1" t="n">
        <v>45981</v>
      </c>
      <c r="D747" t="inlineStr">
        <is>
          <t>KALMAR LÄN</t>
        </is>
      </c>
      <c r="E747" t="inlineStr">
        <is>
          <t>VIMMERBY</t>
        </is>
      </c>
      <c r="G747" t="n">
        <v>3.5</v>
      </c>
      <c r="H747" t="n">
        <v>0</v>
      </c>
      <c r="I747" t="n">
        <v>0</v>
      </c>
      <c r="J747" t="n">
        <v>0</v>
      </c>
      <c r="K747" t="n">
        <v>0</v>
      </c>
      <c r="L747" t="n">
        <v>0</v>
      </c>
      <c r="M747" t="n">
        <v>0</v>
      </c>
      <c r="N747" t="n">
        <v>0</v>
      </c>
      <c r="O747" t="n">
        <v>0</v>
      </c>
      <c r="P747" t="n">
        <v>0</v>
      </c>
      <c r="Q747" t="n">
        <v>0</v>
      </c>
      <c r="R747" s="2" t="inlineStr"/>
    </row>
    <row r="748" ht="15" customHeight="1">
      <c r="A748" t="inlineStr">
        <is>
          <t>A 32116-2025</t>
        </is>
      </c>
      <c r="B748" s="1" t="n">
        <v>45835.48862268519</v>
      </c>
      <c r="C748" s="1" t="n">
        <v>45981</v>
      </c>
      <c r="D748" t="inlineStr">
        <is>
          <t>KALMAR LÄN</t>
        </is>
      </c>
      <c r="E748" t="inlineStr">
        <is>
          <t>VIMMERBY</t>
        </is>
      </c>
      <c r="G748" t="n">
        <v>0.9</v>
      </c>
      <c r="H748" t="n">
        <v>0</v>
      </c>
      <c r="I748" t="n">
        <v>0</v>
      </c>
      <c r="J748" t="n">
        <v>0</v>
      </c>
      <c r="K748" t="n">
        <v>0</v>
      </c>
      <c r="L748" t="n">
        <v>0</v>
      </c>
      <c r="M748" t="n">
        <v>0</v>
      </c>
      <c r="N748" t="n">
        <v>0</v>
      </c>
      <c r="O748" t="n">
        <v>0</v>
      </c>
      <c r="P748" t="n">
        <v>0</v>
      </c>
      <c r="Q748" t="n">
        <v>0</v>
      </c>
      <c r="R748" s="2" t="inlineStr"/>
    </row>
    <row r="749" ht="15" customHeight="1">
      <c r="A749" t="inlineStr">
        <is>
          <t>A 31870-2025</t>
        </is>
      </c>
      <c r="B749" s="1" t="n">
        <v>45834.64667824074</v>
      </c>
      <c r="C749" s="1" t="n">
        <v>45981</v>
      </c>
      <c r="D749" t="inlineStr">
        <is>
          <t>KALMAR LÄN</t>
        </is>
      </c>
      <c r="E749" t="inlineStr">
        <is>
          <t>VIMMERBY</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17926-2025</t>
        </is>
      </c>
      <c r="B750" s="1" t="n">
        <v>45759.38987268518</v>
      </c>
      <c r="C750" s="1" t="n">
        <v>45981</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32065-2025</t>
        </is>
      </c>
      <c r="B751" s="1" t="n">
        <v>45835.44732638889</v>
      </c>
      <c r="C751" s="1" t="n">
        <v>45981</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41311-2023</t>
        </is>
      </c>
      <c r="B752" s="1" t="n">
        <v>45174</v>
      </c>
      <c r="C752" s="1" t="n">
        <v>45981</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21028-2023</t>
        </is>
      </c>
      <c r="B753" s="1" t="n">
        <v>45061</v>
      </c>
      <c r="C753" s="1" t="n">
        <v>45981</v>
      </c>
      <c r="D753" t="inlineStr">
        <is>
          <t>KALMAR LÄN</t>
        </is>
      </c>
      <c r="E753" t="inlineStr">
        <is>
          <t>VIMMERBY</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26318-2023</t>
        </is>
      </c>
      <c r="B754" s="1" t="n">
        <v>45091.67936342592</v>
      </c>
      <c r="C754" s="1" t="n">
        <v>45981</v>
      </c>
      <c r="D754" t="inlineStr">
        <is>
          <t>KALMAR LÄN</t>
        </is>
      </c>
      <c r="E754" t="inlineStr">
        <is>
          <t>VIMMERBY</t>
        </is>
      </c>
      <c r="G754" t="n">
        <v>3.8</v>
      </c>
      <c r="H754" t="n">
        <v>0</v>
      </c>
      <c r="I754" t="n">
        <v>0</v>
      </c>
      <c r="J754" t="n">
        <v>0</v>
      </c>
      <c r="K754" t="n">
        <v>0</v>
      </c>
      <c r="L754" t="n">
        <v>0</v>
      </c>
      <c r="M754" t="n">
        <v>0</v>
      </c>
      <c r="N754" t="n">
        <v>0</v>
      </c>
      <c r="O754" t="n">
        <v>0</v>
      </c>
      <c r="P754" t="n">
        <v>0</v>
      </c>
      <c r="Q754" t="n">
        <v>0</v>
      </c>
      <c r="R754" s="2" t="inlineStr"/>
    </row>
    <row r="755" ht="15" customHeight="1">
      <c r="A755" t="inlineStr">
        <is>
          <t>A 31987-2025</t>
        </is>
      </c>
      <c r="B755" s="1" t="n">
        <v>45835.36229166666</v>
      </c>
      <c r="C755" s="1" t="n">
        <v>45981</v>
      </c>
      <c r="D755" t="inlineStr">
        <is>
          <t>KALMAR LÄN</t>
        </is>
      </c>
      <c r="E755" t="inlineStr">
        <is>
          <t>VIMMERBY</t>
        </is>
      </c>
      <c r="F755" t="inlineStr">
        <is>
          <t>Kyrkan</t>
        </is>
      </c>
      <c r="G755" t="n">
        <v>1.2</v>
      </c>
      <c r="H755" t="n">
        <v>0</v>
      </c>
      <c r="I755" t="n">
        <v>0</v>
      </c>
      <c r="J755" t="n">
        <v>0</v>
      </c>
      <c r="K755" t="n">
        <v>0</v>
      </c>
      <c r="L755" t="n">
        <v>0</v>
      </c>
      <c r="M755" t="n">
        <v>0</v>
      </c>
      <c r="N755" t="n">
        <v>0</v>
      </c>
      <c r="O755" t="n">
        <v>0</v>
      </c>
      <c r="P755" t="n">
        <v>0</v>
      </c>
      <c r="Q755" t="n">
        <v>0</v>
      </c>
      <c r="R755" s="2" t="inlineStr"/>
    </row>
    <row r="756" ht="15" customHeight="1">
      <c r="A756" t="inlineStr">
        <is>
          <t>A 32077-2025</t>
        </is>
      </c>
      <c r="B756" s="1" t="n">
        <v>45835.45099537037</v>
      </c>
      <c r="C756" s="1" t="n">
        <v>45981</v>
      </c>
      <c r="D756" t="inlineStr">
        <is>
          <t>KALMAR LÄN</t>
        </is>
      </c>
      <c r="E756" t="inlineStr">
        <is>
          <t>VIMMERBY</t>
        </is>
      </c>
      <c r="G756" t="n">
        <v>1.8</v>
      </c>
      <c r="H756" t="n">
        <v>0</v>
      </c>
      <c r="I756" t="n">
        <v>0</v>
      </c>
      <c r="J756" t="n">
        <v>0</v>
      </c>
      <c r="K756" t="n">
        <v>0</v>
      </c>
      <c r="L756" t="n">
        <v>0</v>
      </c>
      <c r="M756" t="n">
        <v>0</v>
      </c>
      <c r="N756" t="n">
        <v>0</v>
      </c>
      <c r="O756" t="n">
        <v>0</v>
      </c>
      <c r="P756" t="n">
        <v>0</v>
      </c>
      <c r="Q756" t="n">
        <v>0</v>
      </c>
      <c r="R756" s="2" t="inlineStr"/>
    </row>
    <row r="757" ht="15" customHeight="1">
      <c r="A757" t="inlineStr">
        <is>
          <t>A 19445-2021</t>
        </is>
      </c>
      <c r="B757" s="1" t="n">
        <v>44310</v>
      </c>
      <c r="C757" s="1" t="n">
        <v>45981</v>
      </c>
      <c r="D757" t="inlineStr">
        <is>
          <t>KALMAR LÄN</t>
        </is>
      </c>
      <c r="E757" t="inlineStr">
        <is>
          <t>VIMMERBY</t>
        </is>
      </c>
      <c r="G757" t="n">
        <v>6.8</v>
      </c>
      <c r="H757" t="n">
        <v>0</v>
      </c>
      <c r="I757" t="n">
        <v>0</v>
      </c>
      <c r="J757" t="n">
        <v>0</v>
      </c>
      <c r="K757" t="n">
        <v>0</v>
      </c>
      <c r="L757" t="n">
        <v>0</v>
      </c>
      <c r="M757" t="n">
        <v>0</v>
      </c>
      <c r="N757" t="n">
        <v>0</v>
      </c>
      <c r="O757" t="n">
        <v>0</v>
      </c>
      <c r="P757" t="n">
        <v>0</v>
      </c>
      <c r="Q757" t="n">
        <v>0</v>
      </c>
      <c r="R757" s="2" t="inlineStr"/>
    </row>
    <row r="758" ht="15" customHeight="1">
      <c r="A758" t="inlineStr">
        <is>
          <t>A 27122-2023</t>
        </is>
      </c>
      <c r="B758" s="1" t="n">
        <v>45096.45247685185</v>
      </c>
      <c r="C758" s="1" t="n">
        <v>45981</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32120-2025</t>
        </is>
      </c>
      <c r="B759" s="1" t="n">
        <v>45835.4924537037</v>
      </c>
      <c r="C759" s="1" t="n">
        <v>45981</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13813-2024</t>
        </is>
      </c>
      <c r="B760" s="1" t="n">
        <v>45391.41310185185</v>
      </c>
      <c r="C760" s="1" t="n">
        <v>45981</v>
      </c>
      <c r="D760" t="inlineStr">
        <is>
          <t>KALMAR LÄN</t>
        </is>
      </c>
      <c r="E760" t="inlineStr">
        <is>
          <t>VIMMERBY</t>
        </is>
      </c>
      <c r="G760" t="n">
        <v>0.4</v>
      </c>
      <c r="H760" t="n">
        <v>0</v>
      </c>
      <c r="I760" t="n">
        <v>0</v>
      </c>
      <c r="J760" t="n">
        <v>0</v>
      </c>
      <c r="K760" t="n">
        <v>0</v>
      </c>
      <c r="L760" t="n">
        <v>0</v>
      </c>
      <c r="M760" t="n">
        <v>0</v>
      </c>
      <c r="N760" t="n">
        <v>0</v>
      </c>
      <c r="O760" t="n">
        <v>0</v>
      </c>
      <c r="P760" t="n">
        <v>0</v>
      </c>
      <c r="Q760" t="n">
        <v>0</v>
      </c>
      <c r="R760" s="2" t="inlineStr"/>
    </row>
    <row r="761" ht="15" customHeight="1">
      <c r="A761" t="inlineStr">
        <is>
          <t>A 31876-2025</t>
        </is>
      </c>
      <c r="B761" s="1" t="n">
        <v>45834.65197916667</v>
      </c>
      <c r="C761" s="1" t="n">
        <v>45981</v>
      </c>
      <c r="D761" t="inlineStr">
        <is>
          <t>KALMAR LÄN</t>
        </is>
      </c>
      <c r="E761" t="inlineStr">
        <is>
          <t>VIMMERBY</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38969-2023</t>
        </is>
      </c>
      <c r="B762" s="1" t="n">
        <v>45163.63621527778</v>
      </c>
      <c r="C762" s="1" t="n">
        <v>45981</v>
      </c>
      <c r="D762" t="inlineStr">
        <is>
          <t>KALMAR LÄN</t>
        </is>
      </c>
      <c r="E762" t="inlineStr">
        <is>
          <t>VIMMERBY</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26937-2023</t>
        </is>
      </c>
      <c r="B763" s="1" t="n">
        <v>45093.62777777778</v>
      </c>
      <c r="C763" s="1" t="n">
        <v>45981</v>
      </c>
      <c r="D763" t="inlineStr">
        <is>
          <t>KALMAR LÄN</t>
        </is>
      </c>
      <c r="E763" t="inlineStr">
        <is>
          <t>VIMMERBY</t>
        </is>
      </c>
      <c r="F763" t="inlineStr">
        <is>
          <t>Sveaskog</t>
        </is>
      </c>
      <c r="G763" t="n">
        <v>14.5</v>
      </c>
      <c r="H763" t="n">
        <v>0</v>
      </c>
      <c r="I763" t="n">
        <v>0</v>
      </c>
      <c r="J763" t="n">
        <v>0</v>
      </c>
      <c r="K763" t="n">
        <v>0</v>
      </c>
      <c r="L763" t="n">
        <v>0</v>
      </c>
      <c r="M763" t="n">
        <v>0</v>
      </c>
      <c r="N763" t="n">
        <v>0</v>
      </c>
      <c r="O763" t="n">
        <v>0</v>
      </c>
      <c r="P763" t="n">
        <v>0</v>
      </c>
      <c r="Q763" t="n">
        <v>0</v>
      </c>
      <c r="R763" s="2" t="inlineStr"/>
    </row>
    <row r="764" ht="15" customHeight="1">
      <c r="A764" t="inlineStr">
        <is>
          <t>A 57486-2024</t>
        </is>
      </c>
      <c r="B764" s="1" t="n">
        <v>45630.35827546296</v>
      </c>
      <c r="C764" s="1" t="n">
        <v>45981</v>
      </c>
      <c r="D764" t="inlineStr">
        <is>
          <t>KALMAR LÄN</t>
        </is>
      </c>
      <c r="E764" t="inlineStr">
        <is>
          <t>VIMMERBY</t>
        </is>
      </c>
      <c r="G764" t="n">
        <v>0.4</v>
      </c>
      <c r="H764" t="n">
        <v>0</v>
      </c>
      <c r="I764" t="n">
        <v>0</v>
      </c>
      <c r="J764" t="n">
        <v>0</v>
      </c>
      <c r="K764" t="n">
        <v>0</v>
      </c>
      <c r="L764" t="n">
        <v>0</v>
      </c>
      <c r="M764" t="n">
        <v>0</v>
      </c>
      <c r="N764" t="n">
        <v>0</v>
      </c>
      <c r="O764" t="n">
        <v>0</v>
      </c>
      <c r="P764" t="n">
        <v>0</v>
      </c>
      <c r="Q764" t="n">
        <v>0</v>
      </c>
      <c r="R764" s="2" t="inlineStr"/>
    </row>
    <row r="765" ht="15" customHeight="1">
      <c r="A765" t="inlineStr">
        <is>
          <t>A 61355-2024</t>
        </is>
      </c>
      <c r="B765" s="1" t="n">
        <v>45646.38200231481</v>
      </c>
      <c r="C765" s="1" t="n">
        <v>45981</v>
      </c>
      <c r="D765" t="inlineStr">
        <is>
          <t>KALMAR LÄN</t>
        </is>
      </c>
      <c r="E765" t="inlineStr">
        <is>
          <t>VIMMERBY</t>
        </is>
      </c>
      <c r="G765" t="n">
        <v>2.7</v>
      </c>
      <c r="H765" t="n">
        <v>0</v>
      </c>
      <c r="I765" t="n">
        <v>0</v>
      </c>
      <c r="J765" t="n">
        <v>0</v>
      </c>
      <c r="K765" t="n">
        <v>0</v>
      </c>
      <c r="L765" t="n">
        <v>0</v>
      </c>
      <c r="M765" t="n">
        <v>0</v>
      </c>
      <c r="N765" t="n">
        <v>0</v>
      </c>
      <c r="O765" t="n">
        <v>0</v>
      </c>
      <c r="P765" t="n">
        <v>0</v>
      </c>
      <c r="Q765" t="n">
        <v>0</v>
      </c>
      <c r="R765" s="2" t="inlineStr"/>
    </row>
    <row r="766" ht="15" customHeight="1">
      <c r="A766" t="inlineStr">
        <is>
          <t>A 43186-2021</t>
        </is>
      </c>
      <c r="B766" s="1" t="n">
        <v>44431.84840277778</v>
      </c>
      <c r="C766" s="1" t="n">
        <v>45981</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1799-2025</t>
        </is>
      </c>
      <c r="B767" s="1" t="n">
        <v>45671.46746527778</v>
      </c>
      <c r="C767" s="1" t="n">
        <v>45981</v>
      </c>
      <c r="D767" t="inlineStr">
        <is>
          <t>KALMAR LÄN</t>
        </is>
      </c>
      <c r="E767" t="inlineStr">
        <is>
          <t>VIMMERBY</t>
        </is>
      </c>
      <c r="G767" t="n">
        <v>3.3</v>
      </c>
      <c r="H767" t="n">
        <v>0</v>
      </c>
      <c r="I767" t="n">
        <v>0</v>
      </c>
      <c r="J767" t="n">
        <v>0</v>
      </c>
      <c r="K767" t="n">
        <v>0</v>
      </c>
      <c r="L767" t="n">
        <v>0</v>
      </c>
      <c r="M767" t="n">
        <v>0</v>
      </c>
      <c r="N767" t="n">
        <v>0</v>
      </c>
      <c r="O767" t="n">
        <v>0</v>
      </c>
      <c r="P767" t="n">
        <v>0</v>
      </c>
      <c r="Q767" t="n">
        <v>0</v>
      </c>
      <c r="R767" s="2" t="inlineStr"/>
    </row>
    <row r="768" ht="15" customHeight="1">
      <c r="A768" t="inlineStr">
        <is>
          <t>A 30063-2023</t>
        </is>
      </c>
      <c r="B768" s="1" t="n">
        <v>45110.4184375</v>
      </c>
      <c r="C768" s="1" t="n">
        <v>45981</v>
      </c>
      <c r="D768" t="inlineStr">
        <is>
          <t>KALMAR LÄN</t>
        </is>
      </c>
      <c r="E768" t="inlineStr">
        <is>
          <t>VIMMERBY</t>
        </is>
      </c>
      <c r="G768" t="n">
        <v>1.2</v>
      </c>
      <c r="H768" t="n">
        <v>0</v>
      </c>
      <c r="I768" t="n">
        <v>0</v>
      </c>
      <c r="J768" t="n">
        <v>0</v>
      </c>
      <c r="K768" t="n">
        <v>0</v>
      </c>
      <c r="L768" t="n">
        <v>0</v>
      </c>
      <c r="M768" t="n">
        <v>0</v>
      </c>
      <c r="N768" t="n">
        <v>0</v>
      </c>
      <c r="O768" t="n">
        <v>0</v>
      </c>
      <c r="P768" t="n">
        <v>0</v>
      </c>
      <c r="Q768" t="n">
        <v>0</v>
      </c>
      <c r="R768" s="2" t="inlineStr"/>
    </row>
    <row r="769" ht="15" customHeight="1">
      <c r="A769" t="inlineStr">
        <is>
          <t>A 36802-2021</t>
        </is>
      </c>
      <c r="B769" s="1" t="n">
        <v>44392</v>
      </c>
      <c r="C769" s="1" t="n">
        <v>45981</v>
      </c>
      <c r="D769" t="inlineStr">
        <is>
          <t>KALMAR LÄN</t>
        </is>
      </c>
      <c r="E769" t="inlineStr">
        <is>
          <t>VIMMERBY</t>
        </is>
      </c>
      <c r="F769" t="inlineStr">
        <is>
          <t>Sveaskog</t>
        </is>
      </c>
      <c r="G769" t="n">
        <v>4.6</v>
      </c>
      <c r="H769" t="n">
        <v>0</v>
      </c>
      <c r="I769" t="n">
        <v>0</v>
      </c>
      <c r="J769" t="n">
        <v>0</v>
      </c>
      <c r="K769" t="n">
        <v>0</v>
      </c>
      <c r="L769" t="n">
        <v>0</v>
      </c>
      <c r="M769" t="n">
        <v>0</v>
      </c>
      <c r="N769" t="n">
        <v>0</v>
      </c>
      <c r="O769" t="n">
        <v>0</v>
      </c>
      <c r="P769" t="n">
        <v>0</v>
      </c>
      <c r="Q769" t="n">
        <v>0</v>
      </c>
      <c r="R769" s="2" t="inlineStr"/>
    </row>
    <row r="770" ht="15" customHeight="1">
      <c r="A770" t="inlineStr">
        <is>
          <t>A 43068-2023</t>
        </is>
      </c>
      <c r="B770" s="1" t="n">
        <v>45182.78834490741</v>
      </c>
      <c r="C770" s="1" t="n">
        <v>45981</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18020-2025</t>
        </is>
      </c>
      <c r="B771" s="1" t="n">
        <v>45761.4437962963</v>
      </c>
      <c r="C771" s="1" t="n">
        <v>45981</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33424-2023</t>
        </is>
      </c>
      <c r="B772" s="1" t="n">
        <v>45128.9325</v>
      </c>
      <c r="C772" s="1" t="n">
        <v>45981</v>
      </c>
      <c r="D772" t="inlineStr">
        <is>
          <t>KALMAR LÄN</t>
        </is>
      </c>
      <c r="E772" t="inlineStr">
        <is>
          <t>VIMMERBY</t>
        </is>
      </c>
      <c r="G772" t="n">
        <v>2.4</v>
      </c>
      <c r="H772" t="n">
        <v>0</v>
      </c>
      <c r="I772" t="n">
        <v>0</v>
      </c>
      <c r="J772" t="n">
        <v>0</v>
      </c>
      <c r="K772" t="n">
        <v>0</v>
      </c>
      <c r="L772" t="n">
        <v>0</v>
      </c>
      <c r="M772" t="n">
        <v>0</v>
      </c>
      <c r="N772" t="n">
        <v>0</v>
      </c>
      <c r="O772" t="n">
        <v>0</v>
      </c>
      <c r="P772" t="n">
        <v>0</v>
      </c>
      <c r="Q772" t="n">
        <v>0</v>
      </c>
      <c r="R772" s="2" t="inlineStr"/>
    </row>
    <row r="773" ht="15" customHeight="1">
      <c r="A773" t="inlineStr">
        <is>
          <t>A 33425-2023</t>
        </is>
      </c>
      <c r="B773" s="1" t="n">
        <v>45128.93540509259</v>
      </c>
      <c r="C773" s="1" t="n">
        <v>45981</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12327-2023</t>
        </is>
      </c>
      <c r="B774" s="1" t="n">
        <v>44999.36081018519</v>
      </c>
      <c r="C774" s="1" t="n">
        <v>45981</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38198-2024</t>
        </is>
      </c>
      <c r="B775" s="1" t="n">
        <v>45545.49508101852</v>
      </c>
      <c r="C775" s="1" t="n">
        <v>45981</v>
      </c>
      <c r="D775" t="inlineStr">
        <is>
          <t>KALMAR LÄN</t>
        </is>
      </c>
      <c r="E775" t="inlineStr">
        <is>
          <t>VIMMERBY</t>
        </is>
      </c>
      <c r="G775" t="n">
        <v>7.9</v>
      </c>
      <c r="H775" t="n">
        <v>0</v>
      </c>
      <c r="I775" t="n">
        <v>0</v>
      </c>
      <c r="J775" t="n">
        <v>0</v>
      </c>
      <c r="K775" t="n">
        <v>0</v>
      </c>
      <c r="L775" t="n">
        <v>0</v>
      </c>
      <c r="M775" t="n">
        <v>0</v>
      </c>
      <c r="N775" t="n">
        <v>0</v>
      </c>
      <c r="O775" t="n">
        <v>0</v>
      </c>
      <c r="P775" t="n">
        <v>0</v>
      </c>
      <c r="Q775" t="n">
        <v>0</v>
      </c>
      <c r="R775" s="2" t="inlineStr"/>
    </row>
    <row r="776" ht="15" customHeight="1">
      <c r="A776" t="inlineStr">
        <is>
          <t>A 43092-2024</t>
        </is>
      </c>
      <c r="B776" s="1" t="n">
        <v>45567</v>
      </c>
      <c r="C776" s="1" t="n">
        <v>45981</v>
      </c>
      <c r="D776" t="inlineStr">
        <is>
          <t>KALMAR LÄN</t>
        </is>
      </c>
      <c r="E776" t="inlineStr">
        <is>
          <t>VIMMERBY</t>
        </is>
      </c>
      <c r="G776" t="n">
        <v>2.7</v>
      </c>
      <c r="H776" t="n">
        <v>0</v>
      </c>
      <c r="I776" t="n">
        <v>0</v>
      </c>
      <c r="J776" t="n">
        <v>0</v>
      </c>
      <c r="K776" t="n">
        <v>0</v>
      </c>
      <c r="L776" t="n">
        <v>0</v>
      </c>
      <c r="M776" t="n">
        <v>0</v>
      </c>
      <c r="N776" t="n">
        <v>0</v>
      </c>
      <c r="O776" t="n">
        <v>0</v>
      </c>
      <c r="P776" t="n">
        <v>0</v>
      </c>
      <c r="Q776" t="n">
        <v>0</v>
      </c>
      <c r="R776" s="2" t="inlineStr"/>
    </row>
    <row r="777" ht="15" customHeight="1">
      <c r="A777" t="inlineStr">
        <is>
          <t>A 9623-2024</t>
        </is>
      </c>
      <c r="B777" s="1" t="n">
        <v>45361.87975694444</v>
      </c>
      <c r="C777" s="1" t="n">
        <v>45981</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58967-2022</t>
        </is>
      </c>
      <c r="B778" s="1" t="n">
        <v>44896</v>
      </c>
      <c r="C778" s="1" t="n">
        <v>45981</v>
      </c>
      <c r="D778" t="inlineStr">
        <is>
          <t>KALMAR LÄN</t>
        </is>
      </c>
      <c r="E778" t="inlineStr">
        <is>
          <t>VIMMERBY</t>
        </is>
      </c>
      <c r="G778" t="n">
        <v>5</v>
      </c>
      <c r="H778" t="n">
        <v>0</v>
      </c>
      <c r="I778" t="n">
        <v>0</v>
      </c>
      <c r="J778" t="n">
        <v>0</v>
      </c>
      <c r="K778" t="n">
        <v>0</v>
      </c>
      <c r="L778" t="n">
        <v>0</v>
      </c>
      <c r="M778" t="n">
        <v>0</v>
      </c>
      <c r="N778" t="n">
        <v>0</v>
      </c>
      <c r="O778" t="n">
        <v>0</v>
      </c>
      <c r="P778" t="n">
        <v>0</v>
      </c>
      <c r="Q778" t="n">
        <v>0</v>
      </c>
      <c r="R778" s="2" t="inlineStr"/>
    </row>
    <row r="779" ht="15" customHeight="1">
      <c r="A779" t="inlineStr">
        <is>
          <t>A 52435-2021</t>
        </is>
      </c>
      <c r="B779" s="1" t="n">
        <v>44466.34962962963</v>
      </c>
      <c r="C779" s="1" t="n">
        <v>45981</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6399-2025</t>
        </is>
      </c>
      <c r="B780" s="1" t="n">
        <v>45699.44291666667</v>
      </c>
      <c r="C780" s="1" t="n">
        <v>45981</v>
      </c>
      <c r="D780" t="inlineStr">
        <is>
          <t>KALMAR LÄN</t>
        </is>
      </c>
      <c r="E780" t="inlineStr">
        <is>
          <t>VIMMERBY</t>
        </is>
      </c>
      <c r="G780" t="n">
        <v>3.1</v>
      </c>
      <c r="H780" t="n">
        <v>0</v>
      </c>
      <c r="I780" t="n">
        <v>0</v>
      </c>
      <c r="J780" t="n">
        <v>0</v>
      </c>
      <c r="K780" t="n">
        <v>0</v>
      </c>
      <c r="L780" t="n">
        <v>0</v>
      </c>
      <c r="M780" t="n">
        <v>0</v>
      </c>
      <c r="N780" t="n">
        <v>0</v>
      </c>
      <c r="O780" t="n">
        <v>0</v>
      </c>
      <c r="P780" t="n">
        <v>0</v>
      </c>
      <c r="Q780" t="n">
        <v>0</v>
      </c>
      <c r="R780" s="2" t="inlineStr"/>
    </row>
    <row r="781" ht="15" customHeight="1">
      <c r="A781" t="inlineStr">
        <is>
          <t>A 31355-2023</t>
        </is>
      </c>
      <c r="B781" s="1" t="n">
        <v>45114.49505787037</v>
      </c>
      <c r="C781" s="1" t="n">
        <v>45981</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66295-2020</t>
        </is>
      </c>
      <c r="B782" s="1" t="n">
        <v>44176</v>
      </c>
      <c r="C782" s="1" t="n">
        <v>45981</v>
      </c>
      <c r="D782" t="inlineStr">
        <is>
          <t>KALMAR LÄN</t>
        </is>
      </c>
      <c r="E782" t="inlineStr">
        <is>
          <t>VIMMERBY</t>
        </is>
      </c>
      <c r="G782" t="n">
        <v>4.1</v>
      </c>
      <c r="H782" t="n">
        <v>0</v>
      </c>
      <c r="I782" t="n">
        <v>0</v>
      </c>
      <c r="J782" t="n">
        <v>0</v>
      </c>
      <c r="K782" t="n">
        <v>0</v>
      </c>
      <c r="L782" t="n">
        <v>0</v>
      </c>
      <c r="M782" t="n">
        <v>0</v>
      </c>
      <c r="N782" t="n">
        <v>0</v>
      </c>
      <c r="O782" t="n">
        <v>0</v>
      </c>
      <c r="P782" t="n">
        <v>0</v>
      </c>
      <c r="Q782" t="n">
        <v>0</v>
      </c>
      <c r="R782" s="2" t="inlineStr"/>
    </row>
    <row r="783" ht="15" customHeight="1">
      <c r="A783" t="inlineStr">
        <is>
          <t>A 30400-2023</t>
        </is>
      </c>
      <c r="B783" s="1" t="n">
        <v>45111.48225694444</v>
      </c>
      <c r="C783" s="1" t="n">
        <v>45981</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30404-2023</t>
        </is>
      </c>
      <c r="B784" s="1" t="n">
        <v>45111.48636574074</v>
      </c>
      <c r="C784" s="1" t="n">
        <v>45981</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27705-2023</t>
        </is>
      </c>
      <c r="B785" s="1" t="n">
        <v>45098.30535879629</v>
      </c>
      <c r="C785" s="1" t="n">
        <v>45981</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35127-2024</t>
        </is>
      </c>
      <c r="B786" s="1" t="n">
        <v>45530.33202546297</v>
      </c>
      <c r="C786" s="1" t="n">
        <v>45981</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32380-2025</t>
        </is>
      </c>
      <c r="B787" s="1" t="n">
        <v>45837.77701388889</v>
      </c>
      <c r="C787" s="1" t="n">
        <v>45981</v>
      </c>
      <c r="D787" t="inlineStr">
        <is>
          <t>KALMAR LÄN</t>
        </is>
      </c>
      <c r="E787" t="inlineStr">
        <is>
          <t>VIMMERBY</t>
        </is>
      </c>
      <c r="G787" t="n">
        <v>3.1</v>
      </c>
      <c r="H787" t="n">
        <v>0</v>
      </c>
      <c r="I787" t="n">
        <v>0</v>
      </c>
      <c r="J787" t="n">
        <v>0</v>
      </c>
      <c r="K787" t="n">
        <v>0</v>
      </c>
      <c r="L787" t="n">
        <v>0</v>
      </c>
      <c r="M787" t="n">
        <v>0</v>
      </c>
      <c r="N787" t="n">
        <v>0</v>
      </c>
      <c r="O787" t="n">
        <v>0</v>
      </c>
      <c r="P787" t="n">
        <v>0</v>
      </c>
      <c r="Q787" t="n">
        <v>0</v>
      </c>
      <c r="R787" s="2" t="inlineStr"/>
    </row>
    <row r="788" ht="15" customHeight="1">
      <c r="A788" t="inlineStr">
        <is>
          <t>A 60215-2022</t>
        </is>
      </c>
      <c r="B788" s="1" t="n">
        <v>44910.41346064815</v>
      </c>
      <c r="C788" s="1" t="n">
        <v>45981</v>
      </c>
      <c r="D788" t="inlineStr">
        <is>
          <t>KALMAR LÄN</t>
        </is>
      </c>
      <c r="E788" t="inlineStr">
        <is>
          <t>VIMMERBY</t>
        </is>
      </c>
      <c r="G788" t="n">
        <v>1.1</v>
      </c>
      <c r="H788" t="n">
        <v>0</v>
      </c>
      <c r="I788" t="n">
        <v>0</v>
      </c>
      <c r="J788" t="n">
        <v>0</v>
      </c>
      <c r="K788" t="n">
        <v>0</v>
      </c>
      <c r="L788" t="n">
        <v>0</v>
      </c>
      <c r="M788" t="n">
        <v>0</v>
      </c>
      <c r="N788" t="n">
        <v>0</v>
      </c>
      <c r="O788" t="n">
        <v>0</v>
      </c>
      <c r="P788" t="n">
        <v>0</v>
      </c>
      <c r="Q788" t="n">
        <v>0</v>
      </c>
      <c r="R788" s="2" t="inlineStr"/>
    </row>
    <row r="789" ht="15" customHeight="1">
      <c r="A789" t="inlineStr">
        <is>
          <t>A 29441-2024</t>
        </is>
      </c>
      <c r="B789" s="1" t="n">
        <v>45483.82834490741</v>
      </c>
      <c r="C789" s="1" t="n">
        <v>45981</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33186-2025</t>
        </is>
      </c>
      <c r="B790" s="1" t="n">
        <v>45840.59474537037</v>
      </c>
      <c r="C790" s="1" t="n">
        <v>45981</v>
      </c>
      <c r="D790" t="inlineStr">
        <is>
          <t>KALMAR LÄN</t>
        </is>
      </c>
      <c r="E790" t="inlineStr">
        <is>
          <t>VIMMERBY</t>
        </is>
      </c>
      <c r="G790" t="n">
        <v>2.6</v>
      </c>
      <c r="H790" t="n">
        <v>0</v>
      </c>
      <c r="I790" t="n">
        <v>0</v>
      </c>
      <c r="J790" t="n">
        <v>0</v>
      </c>
      <c r="K790" t="n">
        <v>0</v>
      </c>
      <c r="L790" t="n">
        <v>0</v>
      </c>
      <c r="M790" t="n">
        <v>0</v>
      </c>
      <c r="N790" t="n">
        <v>0</v>
      </c>
      <c r="O790" t="n">
        <v>0</v>
      </c>
      <c r="P790" t="n">
        <v>0</v>
      </c>
      <c r="Q790" t="n">
        <v>0</v>
      </c>
      <c r="R790" s="2" t="inlineStr"/>
    </row>
    <row r="791" ht="15" customHeight="1">
      <c r="A791" t="inlineStr">
        <is>
          <t>A 36843-2023</t>
        </is>
      </c>
      <c r="B791" s="1" t="n">
        <v>45154.49831018518</v>
      </c>
      <c r="C791" s="1" t="n">
        <v>45981</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33695-2025</t>
        </is>
      </c>
      <c r="B792" s="1" t="n">
        <v>45841.70569444444</v>
      </c>
      <c r="C792" s="1" t="n">
        <v>45981</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33698-2025</t>
        </is>
      </c>
      <c r="B793" s="1" t="n">
        <v>45841.70868055556</v>
      </c>
      <c r="C793" s="1" t="n">
        <v>45981</v>
      </c>
      <c r="D793" t="inlineStr">
        <is>
          <t>KALMAR LÄN</t>
        </is>
      </c>
      <c r="E793" t="inlineStr">
        <is>
          <t>VIMMERBY</t>
        </is>
      </c>
      <c r="G793" t="n">
        <v>3.7</v>
      </c>
      <c r="H793" t="n">
        <v>0</v>
      </c>
      <c r="I793" t="n">
        <v>0</v>
      </c>
      <c r="J793" t="n">
        <v>0</v>
      </c>
      <c r="K793" t="n">
        <v>0</v>
      </c>
      <c r="L793" t="n">
        <v>0</v>
      </c>
      <c r="M793" t="n">
        <v>0</v>
      </c>
      <c r="N793" t="n">
        <v>0</v>
      </c>
      <c r="O793" t="n">
        <v>0</v>
      </c>
      <c r="P793" t="n">
        <v>0</v>
      </c>
      <c r="Q793" t="n">
        <v>0</v>
      </c>
      <c r="R793" s="2" t="inlineStr"/>
    </row>
    <row r="794" ht="15" customHeight="1">
      <c r="A794" t="inlineStr">
        <is>
          <t>A 10785-2025</t>
        </is>
      </c>
      <c r="B794" s="1" t="n">
        <v>45722.48634259259</v>
      </c>
      <c r="C794" s="1" t="n">
        <v>45981</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29017-2024</t>
        </is>
      </c>
      <c r="B795" s="1" t="n">
        <v>45481.56722222222</v>
      </c>
      <c r="C795" s="1" t="n">
        <v>45981</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6216-2025</t>
        </is>
      </c>
      <c r="B796" s="1" t="n">
        <v>45698.52806712963</v>
      </c>
      <c r="C796" s="1" t="n">
        <v>45981</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62779-2023</t>
        </is>
      </c>
      <c r="B797" s="1" t="n">
        <v>45271.66576388889</v>
      </c>
      <c r="C797" s="1" t="n">
        <v>45981</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52294-2023</t>
        </is>
      </c>
      <c r="B798" s="1" t="n">
        <v>45224.60075231481</v>
      </c>
      <c r="C798" s="1" t="n">
        <v>45981</v>
      </c>
      <c r="D798" t="inlineStr">
        <is>
          <t>KALMAR LÄN</t>
        </is>
      </c>
      <c r="E798" t="inlineStr">
        <is>
          <t>VIMMERBY</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23263-2024</t>
        </is>
      </c>
      <c r="B799" s="1" t="n">
        <v>45453.36854166666</v>
      </c>
      <c r="C799" s="1" t="n">
        <v>45981</v>
      </c>
      <c r="D799" t="inlineStr">
        <is>
          <t>KALMAR LÄN</t>
        </is>
      </c>
      <c r="E799" t="inlineStr">
        <is>
          <t>VIMMERBY</t>
        </is>
      </c>
      <c r="G799" t="n">
        <v>0.7</v>
      </c>
      <c r="H799" t="n">
        <v>0</v>
      </c>
      <c r="I799" t="n">
        <v>0</v>
      </c>
      <c r="J799" t="n">
        <v>0</v>
      </c>
      <c r="K799" t="n">
        <v>0</v>
      </c>
      <c r="L799" t="n">
        <v>0</v>
      </c>
      <c r="M799" t="n">
        <v>0</v>
      </c>
      <c r="N799" t="n">
        <v>0</v>
      </c>
      <c r="O799" t="n">
        <v>0</v>
      </c>
      <c r="P799" t="n">
        <v>0</v>
      </c>
      <c r="Q799" t="n">
        <v>0</v>
      </c>
      <c r="R799" s="2" t="inlineStr"/>
    </row>
    <row r="800" ht="15" customHeight="1">
      <c r="A800" t="inlineStr">
        <is>
          <t>A 11074-2023</t>
        </is>
      </c>
      <c r="B800" s="1" t="n">
        <v>44992.34151620371</v>
      </c>
      <c r="C800" s="1" t="n">
        <v>45981</v>
      </c>
      <c r="D800" t="inlineStr">
        <is>
          <t>KALMAR LÄN</t>
        </is>
      </c>
      <c r="E800" t="inlineStr">
        <is>
          <t>VIMMERBY</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61939-2021</t>
        </is>
      </c>
      <c r="B801" s="1" t="n">
        <v>44502</v>
      </c>
      <c r="C801" s="1" t="n">
        <v>45981</v>
      </c>
      <c r="D801" t="inlineStr">
        <is>
          <t>KALMAR LÄN</t>
        </is>
      </c>
      <c r="E801" t="inlineStr">
        <is>
          <t>VIMMERBY</t>
        </is>
      </c>
      <c r="G801" t="n">
        <v>2.7</v>
      </c>
      <c r="H801" t="n">
        <v>0</v>
      </c>
      <c r="I801" t="n">
        <v>0</v>
      </c>
      <c r="J801" t="n">
        <v>0</v>
      </c>
      <c r="K801" t="n">
        <v>0</v>
      </c>
      <c r="L801" t="n">
        <v>0</v>
      </c>
      <c r="M801" t="n">
        <v>0</v>
      </c>
      <c r="N801" t="n">
        <v>0</v>
      </c>
      <c r="O801" t="n">
        <v>0</v>
      </c>
      <c r="P801" t="n">
        <v>0</v>
      </c>
      <c r="Q801" t="n">
        <v>0</v>
      </c>
      <c r="R801" s="2" t="inlineStr"/>
    </row>
    <row r="802" ht="15" customHeight="1">
      <c r="A802" t="inlineStr">
        <is>
          <t>A 12215-2024</t>
        </is>
      </c>
      <c r="B802" s="1" t="n">
        <v>45378.32185185186</v>
      </c>
      <c r="C802" s="1" t="n">
        <v>45981</v>
      </c>
      <c r="D802" t="inlineStr">
        <is>
          <t>KALMAR LÄN</t>
        </is>
      </c>
      <c r="E802" t="inlineStr">
        <is>
          <t>VIMMERBY</t>
        </is>
      </c>
      <c r="G802" t="n">
        <v>1.6</v>
      </c>
      <c r="H802" t="n">
        <v>0</v>
      </c>
      <c r="I802" t="n">
        <v>0</v>
      </c>
      <c r="J802" t="n">
        <v>0</v>
      </c>
      <c r="K802" t="n">
        <v>0</v>
      </c>
      <c r="L802" t="n">
        <v>0</v>
      </c>
      <c r="M802" t="n">
        <v>0</v>
      </c>
      <c r="N802" t="n">
        <v>0</v>
      </c>
      <c r="O802" t="n">
        <v>0</v>
      </c>
      <c r="P802" t="n">
        <v>0</v>
      </c>
      <c r="Q802" t="n">
        <v>0</v>
      </c>
      <c r="R802" s="2" t="inlineStr"/>
    </row>
    <row r="803" ht="15" customHeight="1">
      <c r="A803" t="inlineStr">
        <is>
          <t>A 31013-2023</t>
        </is>
      </c>
      <c r="B803" s="1" t="n">
        <v>45113.56574074074</v>
      </c>
      <c r="C803" s="1" t="n">
        <v>45981</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11303-2025</t>
        </is>
      </c>
      <c r="B804" s="1" t="n">
        <v>45726.44471064815</v>
      </c>
      <c r="C804" s="1" t="n">
        <v>45981</v>
      </c>
      <c r="D804" t="inlineStr">
        <is>
          <t>KALMAR LÄN</t>
        </is>
      </c>
      <c r="E804" t="inlineStr">
        <is>
          <t>VIMMERBY</t>
        </is>
      </c>
      <c r="G804" t="n">
        <v>2.1</v>
      </c>
      <c r="H804" t="n">
        <v>0</v>
      </c>
      <c r="I804" t="n">
        <v>0</v>
      </c>
      <c r="J804" t="n">
        <v>0</v>
      </c>
      <c r="K804" t="n">
        <v>0</v>
      </c>
      <c r="L804" t="n">
        <v>0</v>
      </c>
      <c r="M804" t="n">
        <v>0</v>
      </c>
      <c r="N804" t="n">
        <v>0</v>
      </c>
      <c r="O804" t="n">
        <v>0</v>
      </c>
      <c r="P804" t="n">
        <v>0</v>
      </c>
      <c r="Q804" t="n">
        <v>0</v>
      </c>
      <c r="R804" s="2" t="inlineStr"/>
    </row>
    <row r="805" ht="15" customHeight="1">
      <c r="A805" t="inlineStr">
        <is>
          <t>A 72067-2021</t>
        </is>
      </c>
      <c r="B805" s="1" t="n">
        <v>44540</v>
      </c>
      <c r="C805" s="1" t="n">
        <v>45981</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12033-2024</t>
        </is>
      </c>
      <c r="B806" s="1" t="n">
        <v>45377.40043981482</v>
      </c>
      <c r="C806" s="1" t="n">
        <v>45981</v>
      </c>
      <c r="D806" t="inlineStr">
        <is>
          <t>KALMAR LÄN</t>
        </is>
      </c>
      <c r="E806" t="inlineStr">
        <is>
          <t>VIMMERBY</t>
        </is>
      </c>
      <c r="G806" t="n">
        <v>1.6</v>
      </c>
      <c r="H806" t="n">
        <v>0</v>
      </c>
      <c r="I806" t="n">
        <v>0</v>
      </c>
      <c r="J806" t="n">
        <v>0</v>
      </c>
      <c r="K806" t="n">
        <v>0</v>
      </c>
      <c r="L806" t="n">
        <v>0</v>
      </c>
      <c r="M806" t="n">
        <v>0</v>
      </c>
      <c r="N806" t="n">
        <v>0</v>
      </c>
      <c r="O806" t="n">
        <v>0</v>
      </c>
      <c r="P806" t="n">
        <v>0</v>
      </c>
      <c r="Q806" t="n">
        <v>0</v>
      </c>
      <c r="R806" s="2" t="inlineStr"/>
    </row>
    <row r="807" ht="15" customHeight="1">
      <c r="A807" t="inlineStr">
        <is>
          <t>A 61538-2022</t>
        </is>
      </c>
      <c r="B807" s="1" t="n">
        <v>44916.55414351852</v>
      </c>
      <c r="C807" s="1" t="n">
        <v>45981</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30977-2025</t>
        </is>
      </c>
      <c r="B808" s="1" t="n">
        <v>45832.46649305556</v>
      </c>
      <c r="C808" s="1" t="n">
        <v>45981</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51408-2023</t>
        </is>
      </c>
      <c r="B809" s="1" t="n">
        <v>45219.69356481481</v>
      </c>
      <c r="C809" s="1" t="n">
        <v>45981</v>
      </c>
      <c r="D809" t="inlineStr">
        <is>
          <t>KALMAR LÄN</t>
        </is>
      </c>
      <c r="E809" t="inlineStr">
        <is>
          <t>VIMMERBY</t>
        </is>
      </c>
      <c r="G809" t="n">
        <v>0.7</v>
      </c>
      <c r="H809" t="n">
        <v>0</v>
      </c>
      <c r="I809" t="n">
        <v>0</v>
      </c>
      <c r="J809" t="n">
        <v>0</v>
      </c>
      <c r="K809" t="n">
        <v>0</v>
      </c>
      <c r="L809" t="n">
        <v>0</v>
      </c>
      <c r="M809" t="n">
        <v>0</v>
      </c>
      <c r="N809" t="n">
        <v>0</v>
      </c>
      <c r="O809" t="n">
        <v>0</v>
      </c>
      <c r="P809" t="n">
        <v>0</v>
      </c>
      <c r="Q809" t="n">
        <v>0</v>
      </c>
      <c r="R809" s="2" t="inlineStr"/>
    </row>
    <row r="810" ht="15" customHeight="1">
      <c r="A810" t="inlineStr">
        <is>
          <t>A 49488-2023</t>
        </is>
      </c>
      <c r="B810" s="1" t="n">
        <v>45211.55472222222</v>
      </c>
      <c r="C810" s="1" t="n">
        <v>45981</v>
      </c>
      <c r="D810" t="inlineStr">
        <is>
          <t>KALMAR LÄN</t>
        </is>
      </c>
      <c r="E810" t="inlineStr">
        <is>
          <t>VIMMERBY</t>
        </is>
      </c>
      <c r="F810" t="inlineStr">
        <is>
          <t>Sveaskog</t>
        </is>
      </c>
      <c r="G810" t="n">
        <v>6.2</v>
      </c>
      <c r="H810" t="n">
        <v>0</v>
      </c>
      <c r="I810" t="n">
        <v>0</v>
      </c>
      <c r="J810" t="n">
        <v>0</v>
      </c>
      <c r="K810" t="n">
        <v>0</v>
      </c>
      <c r="L810" t="n">
        <v>0</v>
      </c>
      <c r="M810" t="n">
        <v>0</v>
      </c>
      <c r="N810" t="n">
        <v>0</v>
      </c>
      <c r="O810" t="n">
        <v>0</v>
      </c>
      <c r="P810" t="n">
        <v>0</v>
      </c>
      <c r="Q810" t="n">
        <v>0</v>
      </c>
      <c r="R810" s="2" t="inlineStr"/>
    </row>
    <row r="811" ht="15" customHeight="1">
      <c r="A811" t="inlineStr">
        <is>
          <t>A 36155-2023</t>
        </is>
      </c>
      <c r="B811" s="1" t="n">
        <v>45149.60917824074</v>
      </c>
      <c r="C811" s="1" t="n">
        <v>45981</v>
      </c>
      <c r="D811" t="inlineStr">
        <is>
          <t>KALMAR LÄN</t>
        </is>
      </c>
      <c r="E811" t="inlineStr">
        <is>
          <t>VIMMERBY</t>
        </is>
      </c>
      <c r="G811" t="n">
        <v>5</v>
      </c>
      <c r="H811" t="n">
        <v>0</v>
      </c>
      <c r="I811" t="n">
        <v>0</v>
      </c>
      <c r="J811" t="n">
        <v>0</v>
      </c>
      <c r="K811" t="n">
        <v>0</v>
      </c>
      <c r="L811" t="n">
        <v>0</v>
      </c>
      <c r="M811" t="n">
        <v>0</v>
      </c>
      <c r="N811" t="n">
        <v>0</v>
      </c>
      <c r="O811" t="n">
        <v>0</v>
      </c>
      <c r="P811" t="n">
        <v>0</v>
      </c>
      <c r="Q811" t="n">
        <v>0</v>
      </c>
      <c r="R811" s="2" t="inlineStr"/>
    </row>
    <row r="812" ht="15" customHeight="1">
      <c r="A812" t="inlineStr">
        <is>
          <t>A 33696-2025</t>
        </is>
      </c>
      <c r="B812" s="1" t="n">
        <v>45841.7072337963</v>
      </c>
      <c r="C812" s="1" t="n">
        <v>45981</v>
      </c>
      <c r="D812" t="inlineStr">
        <is>
          <t>KALMAR LÄN</t>
        </is>
      </c>
      <c r="E812" t="inlineStr">
        <is>
          <t>VIMMERBY</t>
        </is>
      </c>
      <c r="G812" t="n">
        <v>1.1</v>
      </c>
      <c r="H812" t="n">
        <v>0</v>
      </c>
      <c r="I812" t="n">
        <v>0</v>
      </c>
      <c r="J812" t="n">
        <v>0</v>
      </c>
      <c r="K812" t="n">
        <v>0</v>
      </c>
      <c r="L812" t="n">
        <v>0</v>
      </c>
      <c r="M812" t="n">
        <v>0</v>
      </c>
      <c r="N812" t="n">
        <v>0</v>
      </c>
      <c r="O812" t="n">
        <v>0</v>
      </c>
      <c r="P812" t="n">
        <v>0</v>
      </c>
      <c r="Q812" t="n">
        <v>0</v>
      </c>
      <c r="R812" s="2" t="inlineStr"/>
    </row>
    <row r="813" ht="15" customHeight="1">
      <c r="A813" t="inlineStr">
        <is>
          <t>A 29173-2024</t>
        </is>
      </c>
      <c r="B813" s="1" t="n">
        <v>45482.52887731481</v>
      </c>
      <c r="C813" s="1" t="n">
        <v>45981</v>
      </c>
      <c r="D813" t="inlineStr">
        <is>
          <t>KALMAR LÄN</t>
        </is>
      </c>
      <c r="E813" t="inlineStr">
        <is>
          <t>VIMMERBY</t>
        </is>
      </c>
      <c r="G813" t="n">
        <v>0.6</v>
      </c>
      <c r="H813" t="n">
        <v>0</v>
      </c>
      <c r="I813" t="n">
        <v>0</v>
      </c>
      <c r="J813" t="n">
        <v>0</v>
      </c>
      <c r="K813" t="n">
        <v>0</v>
      </c>
      <c r="L813" t="n">
        <v>0</v>
      </c>
      <c r="M813" t="n">
        <v>0</v>
      </c>
      <c r="N813" t="n">
        <v>0</v>
      </c>
      <c r="O813" t="n">
        <v>0</v>
      </c>
      <c r="P813" t="n">
        <v>0</v>
      </c>
      <c r="Q813" t="n">
        <v>0</v>
      </c>
      <c r="R813" s="2" t="inlineStr"/>
    </row>
    <row r="814" ht="15" customHeight="1">
      <c r="A814" t="inlineStr">
        <is>
          <t>A 53542-2022</t>
        </is>
      </c>
      <c r="B814" s="1" t="n">
        <v>44879.62173611111</v>
      </c>
      <c r="C814" s="1" t="n">
        <v>45981</v>
      </c>
      <c r="D814" t="inlineStr">
        <is>
          <t>KALMAR LÄN</t>
        </is>
      </c>
      <c r="E814" t="inlineStr">
        <is>
          <t>VIMMERBY</t>
        </is>
      </c>
      <c r="G814" t="n">
        <v>2.6</v>
      </c>
      <c r="H814" t="n">
        <v>0</v>
      </c>
      <c r="I814" t="n">
        <v>0</v>
      </c>
      <c r="J814" t="n">
        <v>0</v>
      </c>
      <c r="K814" t="n">
        <v>0</v>
      </c>
      <c r="L814" t="n">
        <v>0</v>
      </c>
      <c r="M814" t="n">
        <v>0</v>
      </c>
      <c r="N814" t="n">
        <v>0</v>
      </c>
      <c r="O814" t="n">
        <v>0</v>
      </c>
      <c r="P814" t="n">
        <v>0</v>
      </c>
      <c r="Q814" t="n">
        <v>0</v>
      </c>
      <c r="R814" s="2" t="inlineStr"/>
    </row>
    <row r="815" ht="15" customHeight="1">
      <c r="A815" t="inlineStr">
        <is>
          <t>A 8410-2023</t>
        </is>
      </c>
      <c r="B815" s="1" t="n">
        <v>44977</v>
      </c>
      <c r="C815" s="1" t="n">
        <v>45981</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30920-2024</t>
        </is>
      </c>
      <c r="B816" s="1" t="n">
        <v>45498.673125</v>
      </c>
      <c r="C816" s="1" t="n">
        <v>45981</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26956-2025</t>
        </is>
      </c>
      <c r="B817" s="1" t="n">
        <v>45811.45460648148</v>
      </c>
      <c r="C817" s="1" t="n">
        <v>45981</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40929-2022</t>
        </is>
      </c>
      <c r="B818" s="1" t="n">
        <v>44825.4336574074</v>
      </c>
      <c r="C818" s="1" t="n">
        <v>45981</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50091-2023</t>
        </is>
      </c>
      <c r="B819" s="1" t="n">
        <v>45215.60199074074</v>
      </c>
      <c r="C819" s="1" t="n">
        <v>45981</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36008-2024</t>
        </is>
      </c>
      <c r="B820" s="1" t="n">
        <v>45533.55362268518</v>
      </c>
      <c r="C820" s="1" t="n">
        <v>45981</v>
      </c>
      <c r="D820" t="inlineStr">
        <is>
          <t>KALMAR LÄN</t>
        </is>
      </c>
      <c r="E820" t="inlineStr">
        <is>
          <t>VIMMERBY</t>
        </is>
      </c>
      <c r="G820" t="n">
        <v>3.7</v>
      </c>
      <c r="H820" t="n">
        <v>0</v>
      </c>
      <c r="I820" t="n">
        <v>0</v>
      </c>
      <c r="J820" t="n">
        <v>0</v>
      </c>
      <c r="K820" t="n">
        <v>0</v>
      </c>
      <c r="L820" t="n">
        <v>0</v>
      </c>
      <c r="M820" t="n">
        <v>0</v>
      </c>
      <c r="N820" t="n">
        <v>0</v>
      </c>
      <c r="O820" t="n">
        <v>0</v>
      </c>
      <c r="P820" t="n">
        <v>0</v>
      </c>
      <c r="Q820" t="n">
        <v>0</v>
      </c>
      <c r="R820" s="2" t="inlineStr"/>
    </row>
    <row r="821" ht="15" customHeight="1">
      <c r="A821" t="inlineStr">
        <is>
          <t>A 6807-2025</t>
        </is>
      </c>
      <c r="B821" s="1" t="n">
        <v>45700.68672453704</v>
      </c>
      <c r="C821" s="1" t="n">
        <v>45981</v>
      </c>
      <c r="D821" t="inlineStr">
        <is>
          <t>KALMAR LÄN</t>
        </is>
      </c>
      <c r="E821" t="inlineStr">
        <is>
          <t>VIMMERBY</t>
        </is>
      </c>
      <c r="G821" t="n">
        <v>1.4</v>
      </c>
      <c r="H821" t="n">
        <v>0</v>
      </c>
      <c r="I821" t="n">
        <v>0</v>
      </c>
      <c r="J821" t="n">
        <v>0</v>
      </c>
      <c r="K821" t="n">
        <v>0</v>
      </c>
      <c r="L821" t="n">
        <v>0</v>
      </c>
      <c r="M821" t="n">
        <v>0</v>
      </c>
      <c r="N821" t="n">
        <v>0</v>
      </c>
      <c r="O821" t="n">
        <v>0</v>
      </c>
      <c r="P821" t="n">
        <v>0</v>
      </c>
      <c r="Q821" t="n">
        <v>0</v>
      </c>
      <c r="R821" s="2" t="inlineStr"/>
    </row>
    <row r="822" ht="15" customHeight="1">
      <c r="A822" t="inlineStr">
        <is>
          <t>A 16622-2025</t>
        </is>
      </c>
      <c r="B822" s="1" t="n">
        <v>45754.33641203704</v>
      </c>
      <c r="C822" s="1" t="n">
        <v>45981</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7047-2022</t>
        </is>
      </c>
      <c r="B823" s="1" t="n">
        <v>44603</v>
      </c>
      <c r="C823" s="1" t="n">
        <v>45981</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17511-2024</t>
        </is>
      </c>
      <c r="B824" s="1" t="n">
        <v>45415.57682870371</v>
      </c>
      <c r="C824" s="1" t="n">
        <v>45981</v>
      </c>
      <c r="D824" t="inlineStr">
        <is>
          <t>KALMAR LÄN</t>
        </is>
      </c>
      <c r="E824" t="inlineStr">
        <is>
          <t>VIMMERBY</t>
        </is>
      </c>
      <c r="G824" t="n">
        <v>5.3</v>
      </c>
      <c r="H824" t="n">
        <v>0</v>
      </c>
      <c r="I824" t="n">
        <v>0</v>
      </c>
      <c r="J824" t="n">
        <v>0</v>
      </c>
      <c r="K824" t="n">
        <v>0</v>
      </c>
      <c r="L824" t="n">
        <v>0</v>
      </c>
      <c r="M824" t="n">
        <v>0</v>
      </c>
      <c r="N824" t="n">
        <v>0</v>
      </c>
      <c r="O824" t="n">
        <v>0</v>
      </c>
      <c r="P824" t="n">
        <v>0</v>
      </c>
      <c r="Q824" t="n">
        <v>0</v>
      </c>
      <c r="R824" s="2" t="inlineStr"/>
    </row>
    <row r="825" ht="15" customHeight="1">
      <c r="A825" t="inlineStr">
        <is>
          <t>A 43705-2023</t>
        </is>
      </c>
      <c r="B825" s="1" t="n">
        <v>45187.42854166667</v>
      </c>
      <c r="C825" s="1" t="n">
        <v>45981</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35711-2023</t>
        </is>
      </c>
      <c r="B826" s="1" t="n">
        <v>45147.67172453704</v>
      </c>
      <c r="C826" s="1" t="n">
        <v>45981</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5382-2023</t>
        </is>
      </c>
      <c r="B827" s="1" t="n">
        <v>44959.66407407408</v>
      </c>
      <c r="C827" s="1" t="n">
        <v>45981</v>
      </c>
      <c r="D827" t="inlineStr">
        <is>
          <t>KALMAR LÄN</t>
        </is>
      </c>
      <c r="E827" t="inlineStr">
        <is>
          <t>VIMMERBY</t>
        </is>
      </c>
      <c r="G827" t="n">
        <v>1</v>
      </c>
      <c r="H827" t="n">
        <v>0</v>
      </c>
      <c r="I827" t="n">
        <v>0</v>
      </c>
      <c r="J827" t="n">
        <v>0</v>
      </c>
      <c r="K827" t="n">
        <v>0</v>
      </c>
      <c r="L827" t="n">
        <v>0</v>
      </c>
      <c r="M827" t="n">
        <v>0</v>
      </c>
      <c r="N827" t="n">
        <v>0</v>
      </c>
      <c r="O827" t="n">
        <v>0</v>
      </c>
      <c r="P827" t="n">
        <v>0</v>
      </c>
      <c r="Q827" t="n">
        <v>0</v>
      </c>
      <c r="R827" s="2" t="inlineStr"/>
    </row>
    <row r="828" ht="15" customHeight="1">
      <c r="A828" t="inlineStr">
        <is>
          <t>A 34071-2025</t>
        </is>
      </c>
      <c r="B828" s="1" t="n">
        <v>45845.43803240741</v>
      </c>
      <c r="C828" s="1" t="n">
        <v>45981</v>
      </c>
      <c r="D828" t="inlineStr">
        <is>
          <t>KALMAR LÄN</t>
        </is>
      </c>
      <c r="E828" t="inlineStr">
        <is>
          <t>VIMMERBY</t>
        </is>
      </c>
      <c r="G828" t="n">
        <v>6.8</v>
      </c>
      <c r="H828" t="n">
        <v>0</v>
      </c>
      <c r="I828" t="n">
        <v>0</v>
      </c>
      <c r="J828" t="n">
        <v>0</v>
      </c>
      <c r="K828" t="n">
        <v>0</v>
      </c>
      <c r="L828" t="n">
        <v>0</v>
      </c>
      <c r="M828" t="n">
        <v>0</v>
      </c>
      <c r="N828" t="n">
        <v>0</v>
      </c>
      <c r="O828" t="n">
        <v>0</v>
      </c>
      <c r="P828" t="n">
        <v>0</v>
      </c>
      <c r="Q828" t="n">
        <v>0</v>
      </c>
      <c r="R828" s="2" t="inlineStr"/>
    </row>
    <row r="829" ht="15" customHeight="1">
      <c r="A829" t="inlineStr">
        <is>
          <t>A 34106-2025</t>
        </is>
      </c>
      <c r="B829" s="1" t="n">
        <v>45845.49414351852</v>
      </c>
      <c r="C829" s="1" t="n">
        <v>45981</v>
      </c>
      <c r="D829" t="inlineStr">
        <is>
          <t>KALMAR LÄN</t>
        </is>
      </c>
      <c r="E829" t="inlineStr">
        <is>
          <t>VIMMERBY</t>
        </is>
      </c>
      <c r="G829" t="n">
        <v>6</v>
      </c>
      <c r="H829" t="n">
        <v>0</v>
      </c>
      <c r="I829" t="n">
        <v>0</v>
      </c>
      <c r="J829" t="n">
        <v>0</v>
      </c>
      <c r="K829" t="n">
        <v>0</v>
      </c>
      <c r="L829" t="n">
        <v>0</v>
      </c>
      <c r="M829" t="n">
        <v>0</v>
      </c>
      <c r="N829" t="n">
        <v>0</v>
      </c>
      <c r="O829" t="n">
        <v>0</v>
      </c>
      <c r="P829" t="n">
        <v>0</v>
      </c>
      <c r="Q829" t="n">
        <v>0</v>
      </c>
      <c r="R829" s="2" t="inlineStr"/>
    </row>
    <row r="830" ht="15" customHeight="1">
      <c r="A830" t="inlineStr">
        <is>
          <t>A 28702-2025</t>
        </is>
      </c>
      <c r="B830" s="1" t="n">
        <v>45820.03976851852</v>
      </c>
      <c r="C830" s="1" t="n">
        <v>45981</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40823-2023</t>
        </is>
      </c>
      <c r="B831" s="1" t="n">
        <v>45171.77335648148</v>
      </c>
      <c r="C831" s="1" t="n">
        <v>45981</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6218-2025</t>
        </is>
      </c>
      <c r="B832" s="1" t="n">
        <v>45698.53336805556</v>
      </c>
      <c r="C832" s="1" t="n">
        <v>45981</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30920-2023</t>
        </is>
      </c>
      <c r="B833" s="1" t="n">
        <v>45113.43921296296</v>
      </c>
      <c r="C833" s="1" t="n">
        <v>45981</v>
      </c>
      <c r="D833" t="inlineStr">
        <is>
          <t>KALMAR LÄN</t>
        </is>
      </c>
      <c r="E833" t="inlineStr">
        <is>
          <t>VIMMERBY</t>
        </is>
      </c>
      <c r="G833" t="n">
        <v>3.1</v>
      </c>
      <c r="H833" t="n">
        <v>0</v>
      </c>
      <c r="I833" t="n">
        <v>0</v>
      </c>
      <c r="J833" t="n">
        <v>0</v>
      </c>
      <c r="K833" t="n">
        <v>0</v>
      </c>
      <c r="L833" t="n">
        <v>0</v>
      </c>
      <c r="M833" t="n">
        <v>0</v>
      </c>
      <c r="N833" t="n">
        <v>0</v>
      </c>
      <c r="O833" t="n">
        <v>0</v>
      </c>
      <c r="P833" t="n">
        <v>0</v>
      </c>
      <c r="Q833" t="n">
        <v>0</v>
      </c>
      <c r="R833" s="2" t="inlineStr"/>
    </row>
    <row r="834" ht="15" customHeight="1">
      <c r="A834" t="inlineStr">
        <is>
          <t>A 6857-2023</t>
        </is>
      </c>
      <c r="B834" s="1" t="n">
        <v>44967.45122685185</v>
      </c>
      <c r="C834" s="1" t="n">
        <v>45981</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34628-2025</t>
        </is>
      </c>
      <c r="B835" s="1" t="n">
        <v>45847.91280092593</v>
      </c>
      <c r="C835" s="1" t="n">
        <v>45981</v>
      </c>
      <c r="D835" t="inlineStr">
        <is>
          <t>KALMAR LÄN</t>
        </is>
      </c>
      <c r="E835" t="inlineStr">
        <is>
          <t>VIMMERBY</t>
        </is>
      </c>
      <c r="G835" t="n">
        <v>4.2</v>
      </c>
      <c r="H835" t="n">
        <v>0</v>
      </c>
      <c r="I835" t="n">
        <v>0</v>
      </c>
      <c r="J835" t="n">
        <v>0</v>
      </c>
      <c r="K835" t="n">
        <v>0</v>
      </c>
      <c r="L835" t="n">
        <v>0</v>
      </c>
      <c r="M835" t="n">
        <v>0</v>
      </c>
      <c r="N835" t="n">
        <v>0</v>
      </c>
      <c r="O835" t="n">
        <v>0</v>
      </c>
      <c r="P835" t="n">
        <v>0</v>
      </c>
      <c r="Q835" t="n">
        <v>0</v>
      </c>
      <c r="R835" s="2" t="inlineStr"/>
    </row>
    <row r="836" ht="15" customHeight="1">
      <c r="A836" t="inlineStr">
        <is>
          <t>A 5792-2023</t>
        </is>
      </c>
      <c r="B836" s="1" t="n">
        <v>44963.44769675926</v>
      </c>
      <c r="C836" s="1" t="n">
        <v>45981</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10303-2025</t>
        </is>
      </c>
      <c r="B837" s="1" t="n">
        <v>45720.44217592593</v>
      </c>
      <c r="C837" s="1" t="n">
        <v>45981</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60110-2022</t>
        </is>
      </c>
      <c r="B838" s="1" t="n">
        <v>44909</v>
      </c>
      <c r="C838" s="1" t="n">
        <v>45981</v>
      </c>
      <c r="D838" t="inlineStr">
        <is>
          <t>KALMAR LÄN</t>
        </is>
      </c>
      <c r="E838" t="inlineStr">
        <is>
          <t>VIMMERBY</t>
        </is>
      </c>
      <c r="G838" t="n">
        <v>1.7</v>
      </c>
      <c r="H838" t="n">
        <v>0</v>
      </c>
      <c r="I838" t="n">
        <v>0</v>
      </c>
      <c r="J838" t="n">
        <v>0</v>
      </c>
      <c r="K838" t="n">
        <v>0</v>
      </c>
      <c r="L838" t="n">
        <v>0</v>
      </c>
      <c r="M838" t="n">
        <v>0</v>
      </c>
      <c r="N838" t="n">
        <v>0</v>
      </c>
      <c r="O838" t="n">
        <v>0</v>
      </c>
      <c r="P838" t="n">
        <v>0</v>
      </c>
      <c r="Q838" t="n">
        <v>0</v>
      </c>
      <c r="R838" s="2" t="inlineStr"/>
    </row>
    <row r="839" ht="15" customHeight="1">
      <c r="A839" t="inlineStr">
        <is>
          <t>A 15394-2025</t>
        </is>
      </c>
      <c r="B839" s="1" t="n">
        <v>45747.43196759259</v>
      </c>
      <c r="C839" s="1" t="n">
        <v>45981</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15388-2025</t>
        </is>
      </c>
      <c r="B840" s="1" t="n">
        <v>45747.42633101852</v>
      </c>
      <c r="C840" s="1" t="n">
        <v>45981</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15391-2025</t>
        </is>
      </c>
      <c r="B841" s="1" t="n">
        <v>45747.42958333333</v>
      </c>
      <c r="C841" s="1" t="n">
        <v>45981</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6474-2025</t>
        </is>
      </c>
      <c r="B842" s="1" t="n">
        <v>45699.60055555555</v>
      </c>
      <c r="C842" s="1" t="n">
        <v>45981</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32919-2022</t>
        </is>
      </c>
      <c r="B843" s="1" t="n">
        <v>44784.62724537037</v>
      </c>
      <c r="C843" s="1" t="n">
        <v>45981</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56659-2023</t>
        </is>
      </c>
      <c r="B844" s="1" t="n">
        <v>45243.84869212963</v>
      </c>
      <c r="C844" s="1" t="n">
        <v>45981</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13015-2022</t>
        </is>
      </c>
      <c r="B845" s="1" t="n">
        <v>44643</v>
      </c>
      <c r="C845" s="1" t="n">
        <v>45981</v>
      </c>
      <c r="D845" t="inlineStr">
        <is>
          <t>KALMAR LÄN</t>
        </is>
      </c>
      <c r="E845" t="inlineStr">
        <is>
          <t>VIMMERBY</t>
        </is>
      </c>
      <c r="G845" t="n">
        <v>2.4</v>
      </c>
      <c r="H845" t="n">
        <v>0</v>
      </c>
      <c r="I845" t="n">
        <v>0</v>
      </c>
      <c r="J845" t="n">
        <v>0</v>
      </c>
      <c r="K845" t="n">
        <v>0</v>
      </c>
      <c r="L845" t="n">
        <v>0</v>
      </c>
      <c r="M845" t="n">
        <v>0</v>
      </c>
      <c r="N845" t="n">
        <v>0</v>
      </c>
      <c r="O845" t="n">
        <v>0</v>
      </c>
      <c r="P845" t="n">
        <v>0</v>
      </c>
      <c r="Q845" t="n">
        <v>0</v>
      </c>
      <c r="R845" s="2" t="inlineStr"/>
    </row>
    <row r="846" ht="15" customHeight="1">
      <c r="A846" t="inlineStr">
        <is>
          <t>A 35270-2025</t>
        </is>
      </c>
      <c r="B846" s="1" t="n">
        <v>45853.87112268519</v>
      </c>
      <c r="C846" s="1" t="n">
        <v>45981</v>
      </c>
      <c r="D846" t="inlineStr">
        <is>
          <t>KALMAR LÄN</t>
        </is>
      </c>
      <c r="E846" t="inlineStr">
        <is>
          <t>VIMMERBY</t>
        </is>
      </c>
      <c r="G846" t="n">
        <v>2.4</v>
      </c>
      <c r="H846" t="n">
        <v>0</v>
      </c>
      <c r="I846" t="n">
        <v>0</v>
      </c>
      <c r="J846" t="n">
        <v>0</v>
      </c>
      <c r="K846" t="n">
        <v>0</v>
      </c>
      <c r="L846" t="n">
        <v>0</v>
      </c>
      <c r="M846" t="n">
        <v>0</v>
      </c>
      <c r="N846" t="n">
        <v>0</v>
      </c>
      <c r="O846" t="n">
        <v>0</v>
      </c>
      <c r="P846" t="n">
        <v>0</v>
      </c>
      <c r="Q846" t="n">
        <v>0</v>
      </c>
      <c r="R846" s="2" t="inlineStr"/>
    </row>
    <row r="847" ht="15" customHeight="1">
      <c r="A847" t="inlineStr">
        <is>
          <t>A 35271-2025</t>
        </is>
      </c>
      <c r="B847" s="1" t="n">
        <v>45853.87599537037</v>
      </c>
      <c r="C847" s="1" t="n">
        <v>45981</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35272-2025</t>
        </is>
      </c>
      <c r="B848" s="1" t="n">
        <v>45853.88070601852</v>
      </c>
      <c r="C848" s="1" t="n">
        <v>45981</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16953-2025</t>
        </is>
      </c>
      <c r="B849" s="1" t="n">
        <v>45755.44333333334</v>
      </c>
      <c r="C849" s="1" t="n">
        <v>45981</v>
      </c>
      <c r="D849" t="inlineStr">
        <is>
          <t>KALMAR LÄN</t>
        </is>
      </c>
      <c r="E849" t="inlineStr">
        <is>
          <t>VIMMERBY</t>
        </is>
      </c>
      <c r="G849" t="n">
        <v>2</v>
      </c>
      <c r="H849" t="n">
        <v>0</v>
      </c>
      <c r="I849" t="n">
        <v>0</v>
      </c>
      <c r="J849" t="n">
        <v>0</v>
      </c>
      <c r="K849" t="n">
        <v>0</v>
      </c>
      <c r="L849" t="n">
        <v>0</v>
      </c>
      <c r="M849" t="n">
        <v>0</v>
      </c>
      <c r="N849" t="n">
        <v>0</v>
      </c>
      <c r="O849" t="n">
        <v>0</v>
      </c>
      <c r="P849" t="n">
        <v>0</v>
      </c>
      <c r="Q849" t="n">
        <v>0</v>
      </c>
      <c r="R849" s="2" t="inlineStr"/>
    </row>
    <row r="850" ht="15" customHeight="1">
      <c r="A850" t="inlineStr">
        <is>
          <t>A 35596-2025</t>
        </is>
      </c>
      <c r="B850" s="1" t="n">
        <v>45858.60641203704</v>
      </c>
      <c r="C850" s="1" t="n">
        <v>45981</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35597-2025</t>
        </is>
      </c>
      <c r="B851" s="1" t="n">
        <v>45858.66019675926</v>
      </c>
      <c r="C851" s="1" t="n">
        <v>45981</v>
      </c>
      <c r="D851" t="inlineStr">
        <is>
          <t>KALMAR LÄN</t>
        </is>
      </c>
      <c r="E851" t="inlineStr">
        <is>
          <t>VIMMERBY</t>
        </is>
      </c>
      <c r="G851" t="n">
        <v>6.4</v>
      </c>
      <c r="H851" t="n">
        <v>0</v>
      </c>
      <c r="I851" t="n">
        <v>0</v>
      </c>
      <c r="J851" t="n">
        <v>0</v>
      </c>
      <c r="K851" t="n">
        <v>0</v>
      </c>
      <c r="L851" t="n">
        <v>0</v>
      </c>
      <c r="M851" t="n">
        <v>0</v>
      </c>
      <c r="N851" t="n">
        <v>0</v>
      </c>
      <c r="O851" t="n">
        <v>0</v>
      </c>
      <c r="P851" t="n">
        <v>0</v>
      </c>
      <c r="Q851" t="n">
        <v>0</v>
      </c>
      <c r="R851" s="2" t="inlineStr"/>
    </row>
    <row r="852" ht="15" customHeight="1">
      <c r="A852" t="inlineStr">
        <is>
          <t>A 17968-2025</t>
        </is>
      </c>
      <c r="B852" s="1" t="n">
        <v>45761.35990740741</v>
      </c>
      <c r="C852" s="1" t="n">
        <v>45981</v>
      </c>
      <c r="D852" t="inlineStr">
        <is>
          <t>KALMAR LÄN</t>
        </is>
      </c>
      <c r="E852" t="inlineStr">
        <is>
          <t>VIMMERBY</t>
        </is>
      </c>
      <c r="G852" t="n">
        <v>3.3</v>
      </c>
      <c r="H852" t="n">
        <v>0</v>
      </c>
      <c r="I852" t="n">
        <v>0</v>
      </c>
      <c r="J852" t="n">
        <v>0</v>
      </c>
      <c r="K852" t="n">
        <v>0</v>
      </c>
      <c r="L852" t="n">
        <v>0</v>
      </c>
      <c r="M852" t="n">
        <v>0</v>
      </c>
      <c r="N852" t="n">
        <v>0</v>
      </c>
      <c r="O852" t="n">
        <v>0</v>
      </c>
      <c r="P852" t="n">
        <v>0</v>
      </c>
      <c r="Q852" t="n">
        <v>0</v>
      </c>
      <c r="R852" s="2" t="inlineStr"/>
    </row>
    <row r="853" ht="15" customHeight="1">
      <c r="A853" t="inlineStr">
        <is>
          <t>A 6028-2023</t>
        </is>
      </c>
      <c r="B853" s="1" t="n">
        <v>44964.44356481481</v>
      </c>
      <c r="C853" s="1" t="n">
        <v>45981</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55436-2023</t>
        </is>
      </c>
      <c r="B854" s="1" t="n">
        <v>45238.4328587963</v>
      </c>
      <c r="C854" s="1" t="n">
        <v>45981</v>
      </c>
      <c r="D854" t="inlineStr">
        <is>
          <t>KALMAR LÄN</t>
        </is>
      </c>
      <c r="E854" t="inlineStr">
        <is>
          <t>VIMMERBY</t>
        </is>
      </c>
      <c r="G854" t="n">
        <v>5.6</v>
      </c>
      <c r="H854" t="n">
        <v>0</v>
      </c>
      <c r="I854" t="n">
        <v>0</v>
      </c>
      <c r="J854" t="n">
        <v>0</v>
      </c>
      <c r="K854" t="n">
        <v>0</v>
      </c>
      <c r="L854" t="n">
        <v>0</v>
      </c>
      <c r="M854" t="n">
        <v>0</v>
      </c>
      <c r="N854" t="n">
        <v>0</v>
      </c>
      <c r="O854" t="n">
        <v>0</v>
      </c>
      <c r="P854" t="n">
        <v>0</v>
      </c>
      <c r="Q854" t="n">
        <v>0</v>
      </c>
      <c r="R854" s="2" t="inlineStr"/>
    </row>
    <row r="855" ht="15" customHeight="1">
      <c r="A855" t="inlineStr">
        <is>
          <t>A 56582-2022</t>
        </is>
      </c>
      <c r="B855" s="1" t="n">
        <v>44893</v>
      </c>
      <c r="C855" s="1" t="n">
        <v>45981</v>
      </c>
      <c r="D855" t="inlineStr">
        <is>
          <t>KALMAR LÄN</t>
        </is>
      </c>
      <c r="E855" t="inlineStr">
        <is>
          <t>VIMMERBY</t>
        </is>
      </c>
      <c r="G855" t="n">
        <v>2.2</v>
      </c>
      <c r="H855" t="n">
        <v>0</v>
      </c>
      <c r="I855" t="n">
        <v>0</v>
      </c>
      <c r="J855" t="n">
        <v>0</v>
      </c>
      <c r="K855" t="n">
        <v>0</v>
      </c>
      <c r="L855" t="n">
        <v>0</v>
      </c>
      <c r="M855" t="n">
        <v>0</v>
      </c>
      <c r="N855" t="n">
        <v>0</v>
      </c>
      <c r="O855" t="n">
        <v>0</v>
      </c>
      <c r="P855" t="n">
        <v>0</v>
      </c>
      <c r="Q855" t="n">
        <v>0</v>
      </c>
      <c r="R855" s="2" t="inlineStr"/>
    </row>
    <row r="856" ht="15" customHeight="1">
      <c r="A856" t="inlineStr">
        <is>
          <t>A 20-2025</t>
        </is>
      </c>
      <c r="B856" s="1" t="n">
        <v>45658.80232638889</v>
      </c>
      <c r="C856" s="1" t="n">
        <v>45981</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23-2025</t>
        </is>
      </c>
      <c r="B857" s="1" t="n">
        <v>45658.80827546296</v>
      </c>
      <c r="C857" s="1" t="n">
        <v>45981</v>
      </c>
      <c r="D857" t="inlineStr">
        <is>
          <t>KALMAR LÄN</t>
        </is>
      </c>
      <c r="E857" t="inlineStr">
        <is>
          <t>VIMMERBY</t>
        </is>
      </c>
      <c r="G857" t="n">
        <v>1.8</v>
      </c>
      <c r="H857" t="n">
        <v>0</v>
      </c>
      <c r="I857" t="n">
        <v>0</v>
      </c>
      <c r="J857" t="n">
        <v>0</v>
      </c>
      <c r="K857" t="n">
        <v>0</v>
      </c>
      <c r="L857" t="n">
        <v>0</v>
      </c>
      <c r="M857" t="n">
        <v>0</v>
      </c>
      <c r="N857" t="n">
        <v>0</v>
      </c>
      <c r="O857" t="n">
        <v>0</v>
      </c>
      <c r="P857" t="n">
        <v>0</v>
      </c>
      <c r="Q857" t="n">
        <v>0</v>
      </c>
      <c r="R857" s="2" t="inlineStr"/>
    </row>
    <row r="858" ht="15" customHeight="1">
      <c r="A858" t="inlineStr">
        <is>
          <t>A 43962-2024</t>
        </is>
      </c>
      <c r="B858" s="1" t="n">
        <v>45572.48293981481</v>
      </c>
      <c r="C858" s="1" t="n">
        <v>45981</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35713-2023</t>
        </is>
      </c>
      <c r="B859" s="1" t="n">
        <v>45147</v>
      </c>
      <c r="C859" s="1" t="n">
        <v>45981</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36226-2025</t>
        </is>
      </c>
      <c r="B860" s="1" t="n">
        <v>45867.51630787037</v>
      </c>
      <c r="C860" s="1" t="n">
        <v>45981</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36273-2025</t>
        </is>
      </c>
      <c r="B861" s="1" t="n">
        <v>45867.63094907408</v>
      </c>
      <c r="C861" s="1" t="n">
        <v>45981</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36282-2025</t>
        </is>
      </c>
      <c r="B862" s="1" t="n">
        <v>45867.64663194444</v>
      </c>
      <c r="C862" s="1" t="n">
        <v>45981</v>
      </c>
      <c r="D862" t="inlineStr">
        <is>
          <t>KALMAR LÄN</t>
        </is>
      </c>
      <c r="E862" t="inlineStr">
        <is>
          <t>VIMMERBY</t>
        </is>
      </c>
      <c r="G862" t="n">
        <v>1.4</v>
      </c>
      <c r="H862" t="n">
        <v>0</v>
      </c>
      <c r="I862" t="n">
        <v>0</v>
      </c>
      <c r="J862" t="n">
        <v>0</v>
      </c>
      <c r="K862" t="n">
        <v>0</v>
      </c>
      <c r="L862" t="n">
        <v>0</v>
      </c>
      <c r="M862" t="n">
        <v>0</v>
      </c>
      <c r="N862" t="n">
        <v>0</v>
      </c>
      <c r="O862" t="n">
        <v>0</v>
      </c>
      <c r="P862" t="n">
        <v>0</v>
      </c>
      <c r="Q862" t="n">
        <v>0</v>
      </c>
      <c r="R862" s="2" t="inlineStr"/>
    </row>
    <row r="863" ht="15" customHeight="1">
      <c r="A863" t="inlineStr">
        <is>
          <t>A 36246-2025</t>
        </is>
      </c>
      <c r="B863" s="1" t="n">
        <v>45867.56320601852</v>
      </c>
      <c r="C863" s="1" t="n">
        <v>45981</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36297-2025</t>
        </is>
      </c>
      <c r="B864" s="1" t="n">
        <v>45867.68625</v>
      </c>
      <c r="C864" s="1" t="n">
        <v>45981</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36221-2025</t>
        </is>
      </c>
      <c r="B865" s="1" t="n">
        <v>45867.50792824074</v>
      </c>
      <c r="C865" s="1" t="n">
        <v>45981</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19502-2025</t>
        </is>
      </c>
      <c r="B866" s="1" t="n">
        <v>45769</v>
      </c>
      <c r="C866" s="1" t="n">
        <v>45981</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36299-2025</t>
        </is>
      </c>
      <c r="B867" s="1" t="n">
        <v>45867.69346064814</v>
      </c>
      <c r="C867" s="1" t="n">
        <v>45981</v>
      </c>
      <c r="D867" t="inlineStr">
        <is>
          <t>KALMAR LÄN</t>
        </is>
      </c>
      <c r="E867" t="inlineStr">
        <is>
          <t>VIMMERBY</t>
        </is>
      </c>
      <c r="G867" t="n">
        <v>7.6</v>
      </c>
      <c r="H867" t="n">
        <v>0</v>
      </c>
      <c r="I867" t="n">
        <v>0</v>
      </c>
      <c r="J867" t="n">
        <v>0</v>
      </c>
      <c r="K867" t="n">
        <v>0</v>
      </c>
      <c r="L867" t="n">
        <v>0</v>
      </c>
      <c r="M867" t="n">
        <v>0</v>
      </c>
      <c r="N867" t="n">
        <v>0</v>
      </c>
      <c r="O867" t="n">
        <v>0</v>
      </c>
      <c r="P867" t="n">
        <v>0</v>
      </c>
      <c r="Q867" t="n">
        <v>0</v>
      </c>
      <c r="R867" s="2" t="inlineStr"/>
    </row>
    <row r="868" ht="15" customHeight="1">
      <c r="A868" t="inlineStr">
        <is>
          <t>A 36538-2025</t>
        </is>
      </c>
      <c r="B868" s="1" t="n">
        <v>45869.62276620371</v>
      </c>
      <c r="C868" s="1" t="n">
        <v>45981</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36598-2025</t>
        </is>
      </c>
      <c r="B869" s="1" t="n">
        <v>45870.51708333333</v>
      </c>
      <c r="C869" s="1" t="n">
        <v>45981</v>
      </c>
      <c r="D869" t="inlineStr">
        <is>
          <t>KALMAR LÄN</t>
        </is>
      </c>
      <c r="E869" t="inlineStr">
        <is>
          <t>VIMMERBY</t>
        </is>
      </c>
      <c r="G869" t="n">
        <v>3.7</v>
      </c>
      <c r="H869" t="n">
        <v>0</v>
      </c>
      <c r="I869" t="n">
        <v>0</v>
      </c>
      <c r="J869" t="n">
        <v>0</v>
      </c>
      <c r="K869" t="n">
        <v>0</v>
      </c>
      <c r="L869" t="n">
        <v>0</v>
      </c>
      <c r="M869" t="n">
        <v>0</v>
      </c>
      <c r="N869" t="n">
        <v>0</v>
      </c>
      <c r="O869" t="n">
        <v>0</v>
      </c>
      <c r="P869" t="n">
        <v>0</v>
      </c>
      <c r="Q869" t="n">
        <v>0</v>
      </c>
      <c r="R869" s="2" t="inlineStr"/>
    </row>
    <row r="870" ht="15" customHeight="1">
      <c r="A870" t="inlineStr">
        <is>
          <t>A 36602-2025</t>
        </is>
      </c>
      <c r="B870" s="1" t="n">
        <v>45870.52111111111</v>
      </c>
      <c r="C870" s="1" t="n">
        <v>45981</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36603-2025</t>
        </is>
      </c>
      <c r="B871" s="1" t="n">
        <v>45870.52142361111</v>
      </c>
      <c r="C871" s="1" t="n">
        <v>45981</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40147-2023</t>
        </is>
      </c>
      <c r="B872" s="1" t="n">
        <v>45169</v>
      </c>
      <c r="C872" s="1" t="n">
        <v>45981</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36600-2025</t>
        </is>
      </c>
      <c r="B873" s="1" t="n">
        <v>45870.51958333333</v>
      </c>
      <c r="C873" s="1" t="n">
        <v>45981</v>
      </c>
      <c r="D873" t="inlineStr">
        <is>
          <t>KALMAR LÄN</t>
        </is>
      </c>
      <c r="E873" t="inlineStr">
        <is>
          <t>VIMMERBY</t>
        </is>
      </c>
      <c r="G873" t="n">
        <v>2</v>
      </c>
      <c r="H873" t="n">
        <v>0</v>
      </c>
      <c r="I873" t="n">
        <v>0</v>
      </c>
      <c r="J873" t="n">
        <v>0</v>
      </c>
      <c r="K873" t="n">
        <v>0</v>
      </c>
      <c r="L873" t="n">
        <v>0</v>
      </c>
      <c r="M873" t="n">
        <v>0</v>
      </c>
      <c r="N873" t="n">
        <v>0</v>
      </c>
      <c r="O873" t="n">
        <v>0</v>
      </c>
      <c r="P873" t="n">
        <v>0</v>
      </c>
      <c r="Q873" t="n">
        <v>0</v>
      </c>
      <c r="R873" s="2" t="inlineStr"/>
    </row>
    <row r="874" ht="15" customHeight="1">
      <c r="A874" t="inlineStr">
        <is>
          <t>A 36601-2025</t>
        </is>
      </c>
      <c r="B874" s="1" t="n">
        <v>45870.52005787037</v>
      </c>
      <c r="C874" s="1" t="n">
        <v>45981</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50995-2022</t>
        </is>
      </c>
      <c r="B875" s="1" t="n">
        <v>44867</v>
      </c>
      <c r="C875" s="1" t="n">
        <v>45981</v>
      </c>
      <c r="D875" t="inlineStr">
        <is>
          <t>KALMAR LÄN</t>
        </is>
      </c>
      <c r="E875" t="inlineStr">
        <is>
          <t>VIMMERBY</t>
        </is>
      </c>
      <c r="G875" t="n">
        <v>2.4</v>
      </c>
      <c r="H875" t="n">
        <v>0</v>
      </c>
      <c r="I875" t="n">
        <v>0</v>
      </c>
      <c r="J875" t="n">
        <v>0</v>
      </c>
      <c r="K875" t="n">
        <v>0</v>
      </c>
      <c r="L875" t="n">
        <v>0</v>
      </c>
      <c r="M875" t="n">
        <v>0</v>
      </c>
      <c r="N875" t="n">
        <v>0</v>
      </c>
      <c r="O875" t="n">
        <v>0</v>
      </c>
      <c r="P875" t="n">
        <v>0</v>
      </c>
      <c r="Q875" t="n">
        <v>0</v>
      </c>
      <c r="R875" s="2" t="inlineStr"/>
    </row>
    <row r="876" ht="15" customHeight="1">
      <c r="A876" t="inlineStr">
        <is>
          <t>A 37088-2025</t>
        </is>
      </c>
      <c r="B876" s="1" t="n">
        <v>45875.45716435185</v>
      </c>
      <c r="C876" s="1" t="n">
        <v>45981</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37102-2025</t>
        </is>
      </c>
      <c r="B877" s="1" t="n">
        <v>45875.47454861111</v>
      </c>
      <c r="C877" s="1" t="n">
        <v>45981</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37079-2025</t>
        </is>
      </c>
      <c r="B878" s="1" t="n">
        <v>45875.42716435185</v>
      </c>
      <c r="C878" s="1" t="n">
        <v>45981</v>
      </c>
      <c r="D878" t="inlineStr">
        <is>
          <t>KALMAR LÄN</t>
        </is>
      </c>
      <c r="E878" t="inlineStr">
        <is>
          <t>VIMMERBY</t>
        </is>
      </c>
      <c r="G878" t="n">
        <v>0.8</v>
      </c>
      <c r="H878" t="n">
        <v>0</v>
      </c>
      <c r="I878" t="n">
        <v>0</v>
      </c>
      <c r="J878" t="n">
        <v>0</v>
      </c>
      <c r="K878" t="n">
        <v>0</v>
      </c>
      <c r="L878" t="n">
        <v>0</v>
      </c>
      <c r="M878" t="n">
        <v>0</v>
      </c>
      <c r="N878" t="n">
        <v>0</v>
      </c>
      <c r="O878" t="n">
        <v>0</v>
      </c>
      <c r="P878" t="n">
        <v>0</v>
      </c>
      <c r="Q878" t="n">
        <v>0</v>
      </c>
      <c r="R878" s="2" t="inlineStr"/>
    </row>
    <row r="879" ht="15" customHeight="1">
      <c r="A879" t="inlineStr">
        <is>
          <t>A 27993-2022</t>
        </is>
      </c>
      <c r="B879" s="1" t="n">
        <v>44745.84396990741</v>
      </c>
      <c r="C879" s="1" t="n">
        <v>45981</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36934-2025</t>
        </is>
      </c>
      <c r="B880" s="1" t="n">
        <v>45874.57109953704</v>
      </c>
      <c r="C880" s="1" t="n">
        <v>45981</v>
      </c>
      <c r="D880" t="inlineStr">
        <is>
          <t>KALMAR LÄN</t>
        </is>
      </c>
      <c r="E880" t="inlineStr">
        <is>
          <t>VIMMERBY</t>
        </is>
      </c>
      <c r="G880" t="n">
        <v>4.2</v>
      </c>
      <c r="H880" t="n">
        <v>0</v>
      </c>
      <c r="I880" t="n">
        <v>0</v>
      </c>
      <c r="J880" t="n">
        <v>0</v>
      </c>
      <c r="K880" t="n">
        <v>0</v>
      </c>
      <c r="L880" t="n">
        <v>0</v>
      </c>
      <c r="M880" t="n">
        <v>0</v>
      </c>
      <c r="N880" t="n">
        <v>0</v>
      </c>
      <c r="O880" t="n">
        <v>0</v>
      </c>
      <c r="P880" t="n">
        <v>0</v>
      </c>
      <c r="Q880" t="n">
        <v>0</v>
      </c>
      <c r="R880" s="2" t="inlineStr"/>
    </row>
    <row r="881" ht="15" customHeight="1">
      <c r="A881" t="inlineStr">
        <is>
          <t>A 57555-2024</t>
        </is>
      </c>
      <c r="B881" s="1" t="n">
        <v>45630.45069444444</v>
      </c>
      <c r="C881" s="1" t="n">
        <v>45981</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37578-2025</t>
        </is>
      </c>
      <c r="B882" s="1" t="n">
        <v>45880.38380787037</v>
      </c>
      <c r="C882" s="1" t="n">
        <v>45981</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36014-2024</t>
        </is>
      </c>
      <c r="B883" s="1" t="n">
        <v>45533.56108796296</v>
      </c>
      <c r="C883" s="1" t="n">
        <v>45981</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36030-2024</t>
        </is>
      </c>
      <c r="B884" s="1" t="n">
        <v>45533.58302083334</v>
      </c>
      <c r="C884" s="1" t="n">
        <v>45981</v>
      </c>
      <c r="D884" t="inlineStr">
        <is>
          <t>KALMAR LÄN</t>
        </is>
      </c>
      <c r="E884" t="inlineStr">
        <is>
          <t>VIMMERBY</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32865-2023</t>
        </is>
      </c>
      <c r="B885" s="1" t="n">
        <v>45124</v>
      </c>
      <c r="C885" s="1" t="n">
        <v>45981</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37668-2025</t>
        </is>
      </c>
      <c r="B886" s="1" t="n">
        <v>45880.51550925926</v>
      </c>
      <c r="C886" s="1" t="n">
        <v>45981</v>
      </c>
      <c r="D886" t="inlineStr">
        <is>
          <t>KALMAR LÄN</t>
        </is>
      </c>
      <c r="E886" t="inlineStr">
        <is>
          <t>VIMMERBY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37939-2025</t>
        </is>
      </c>
      <c r="B887" s="1" t="n">
        <v>45881.59877314815</v>
      </c>
      <c r="C887" s="1" t="n">
        <v>45981</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37866-2025</t>
        </is>
      </c>
      <c r="B888" s="1" t="n">
        <v>45881</v>
      </c>
      <c r="C888" s="1" t="n">
        <v>45981</v>
      </c>
      <c r="D888" t="inlineStr">
        <is>
          <t>KALMAR LÄN</t>
        </is>
      </c>
      <c r="E888" t="inlineStr">
        <is>
          <t>VIMMERBY</t>
        </is>
      </c>
      <c r="G888" t="n">
        <v>3.4</v>
      </c>
      <c r="H888" t="n">
        <v>0</v>
      </c>
      <c r="I888" t="n">
        <v>0</v>
      </c>
      <c r="J888" t="n">
        <v>0</v>
      </c>
      <c r="K888" t="n">
        <v>0</v>
      </c>
      <c r="L888" t="n">
        <v>0</v>
      </c>
      <c r="M888" t="n">
        <v>0</v>
      </c>
      <c r="N888" t="n">
        <v>0</v>
      </c>
      <c r="O888" t="n">
        <v>0</v>
      </c>
      <c r="P888" t="n">
        <v>0</v>
      </c>
      <c r="Q888" t="n">
        <v>0</v>
      </c>
      <c r="R888" s="2" t="inlineStr"/>
    </row>
    <row r="889">
      <c r="A889" t="inlineStr">
        <is>
          <t>A 38964-2025</t>
        </is>
      </c>
      <c r="B889" s="1" t="n">
        <v>45887.68759259259</v>
      </c>
      <c r="C889" s="1" t="n">
        <v>45981</v>
      </c>
      <c r="D889" t="inlineStr">
        <is>
          <t>KALMAR LÄN</t>
        </is>
      </c>
      <c r="E889" t="inlineStr">
        <is>
          <t>VIMMERBY</t>
        </is>
      </c>
      <c r="G889" t="n">
        <v>7.5</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2025-11-20T17:00:01Z</dcterms:created>
  <dcterms:modified xmlns:dcterms="http://purl.org/dc/terms/" xmlns:xsi="http://www.w3.org/2001/XMLSchema-instance" xsi:type="dcterms:W3CDTF">2025-11-20T17:00:01Z</dcterms:modified>
</cp:coreProperties>
</file>