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45974</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45974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45974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15808-2025</t>
        </is>
      </c>
      <c r="B11" s="1" t="n">
        <v>45748</v>
      </c>
      <c r="C11" s="1" t="n">
        <v>45974</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45974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45974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45974</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45974</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45974</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45974</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45974</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41398-2021</t>
        </is>
      </c>
      <c r="B19" s="1" t="n">
        <v>44424</v>
      </c>
      <c r="C19" s="1" t="n">
        <v>45974</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45974</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45974</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22825-2023</t>
        </is>
      </c>
      <c r="B22" s="1" t="n">
        <v>45072</v>
      </c>
      <c r="C22" s="1" t="n">
        <v>45974</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22825-2023 artfynd.xlsx", "A 22825-2023")</f>
        <v/>
      </c>
      <c r="T22">
        <f>HYPERLINK("https://klasma.github.io/Logging_0884/kartor/A 22825-2023 karta.png", "A 22825-2023")</f>
        <v/>
      </c>
      <c r="V22">
        <f>HYPERLINK("https://klasma.github.io/Logging_0884/klagomål/A 22825-2023 FSC-klagomål.docx", "A 22825-2023")</f>
        <v/>
      </c>
      <c r="W22">
        <f>HYPERLINK("https://klasma.github.io/Logging_0884/klagomålsmail/A 22825-2023 FSC-klagomål mail.docx", "A 22825-2023")</f>
        <v/>
      </c>
      <c r="X22">
        <f>HYPERLINK("https://klasma.github.io/Logging_0884/tillsyn/A 22825-2023 tillsynsbegäran.docx", "A 22825-2023")</f>
        <v/>
      </c>
      <c r="Y22">
        <f>HYPERLINK("https://klasma.github.io/Logging_0884/tillsynsmail/A 22825-2023 tillsynsbegäran mail.docx", "A 22825-2023")</f>
        <v/>
      </c>
    </row>
    <row r="23" ht="15" customHeight="1">
      <c r="A23" t="inlineStr">
        <is>
          <t>A 17935-2025</t>
        </is>
      </c>
      <c r="B23" s="1" t="n">
        <v>45760.34877314815</v>
      </c>
      <c r="C23" s="1" t="n">
        <v>45974</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19158-2023</t>
        </is>
      </c>
      <c r="B24" s="1" t="n">
        <v>45048</v>
      </c>
      <c r="C24" s="1" t="n">
        <v>45974</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45974</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22396-2025</t>
        </is>
      </c>
      <c r="B26" s="1" t="n">
        <v>45786.52827546297</v>
      </c>
      <c r="C26" s="1" t="n">
        <v>45974</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14024-2023</t>
        </is>
      </c>
      <c r="B27" s="1" t="n">
        <v>45008.60878472222</v>
      </c>
      <c r="C27" s="1" t="n">
        <v>45974</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40684-2025</t>
        </is>
      </c>
      <c r="B28" s="1" t="n">
        <v>45896.86820601852</v>
      </c>
      <c r="C28" s="1" t="n">
        <v>45974</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45974</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45974</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32396-2021</t>
        </is>
      </c>
      <c r="B31" s="1" t="n">
        <v>44371</v>
      </c>
      <c r="C31" s="1" t="n">
        <v>45974</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45974</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33436-2021</t>
        </is>
      </c>
      <c r="B33" s="1" t="n">
        <v>44377.61104166666</v>
      </c>
      <c r="C33" s="1" t="n">
        <v>45974</v>
      </c>
      <c r="D33" t="inlineStr">
        <is>
          <t>KALMAR LÄN</t>
        </is>
      </c>
      <c r="E33" t="inlineStr">
        <is>
          <t>VIMMERBY</t>
        </is>
      </c>
      <c r="G33" t="n">
        <v>11.8</v>
      </c>
      <c r="H33" t="n">
        <v>1</v>
      </c>
      <c r="I33" t="n">
        <v>0</v>
      </c>
      <c r="J33" t="n">
        <v>0</v>
      </c>
      <c r="K33" t="n">
        <v>1</v>
      </c>
      <c r="L33" t="n">
        <v>0</v>
      </c>
      <c r="M33" t="n">
        <v>0</v>
      </c>
      <c r="N33" t="n">
        <v>0</v>
      </c>
      <c r="O33" t="n">
        <v>1</v>
      </c>
      <c r="P33" t="n">
        <v>1</v>
      </c>
      <c r="Q33" t="n">
        <v>1</v>
      </c>
      <c r="R33" s="2" t="inlineStr">
        <is>
          <t>Knärot</t>
        </is>
      </c>
      <c r="S33">
        <f>HYPERLINK("https://klasma.github.io/Logging_0884/artfynd/A 33436-2021 artfynd.xlsx", "A 33436-2021")</f>
        <v/>
      </c>
      <c r="T33">
        <f>HYPERLINK("https://klasma.github.io/Logging_0884/kartor/A 33436-2021 karta.png", "A 33436-2021")</f>
        <v/>
      </c>
      <c r="U33">
        <f>HYPERLINK("https://klasma.github.io/Logging_0884/knärot/A 33436-2021 karta knärot.png", "A 33436-2021")</f>
        <v/>
      </c>
      <c r="V33">
        <f>HYPERLINK("https://klasma.github.io/Logging_0884/klagomål/A 33436-2021 FSC-klagomål.docx", "A 33436-2021")</f>
        <v/>
      </c>
      <c r="W33">
        <f>HYPERLINK("https://klasma.github.io/Logging_0884/klagomålsmail/A 33436-2021 FSC-klagomål mail.docx", "A 33436-2021")</f>
        <v/>
      </c>
      <c r="X33">
        <f>HYPERLINK("https://klasma.github.io/Logging_0884/tillsyn/A 33436-2021 tillsynsbegäran.docx", "A 33436-2021")</f>
        <v/>
      </c>
      <c r="Y33">
        <f>HYPERLINK("https://klasma.github.io/Logging_0884/tillsynsmail/A 33436-2021 tillsynsbegäran mail.docx", "A 33436-2021")</f>
        <v/>
      </c>
    </row>
    <row r="34" ht="15" customHeight="1">
      <c r="A34" t="inlineStr">
        <is>
          <t>A 40083-2023</t>
        </is>
      </c>
      <c r="B34" s="1" t="n">
        <v>45168</v>
      </c>
      <c r="C34" s="1" t="n">
        <v>45974</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45974</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9067-2025</t>
        </is>
      </c>
      <c r="B36" s="1" t="n">
        <v>45713</v>
      </c>
      <c r="C36" s="1" t="n">
        <v>45974</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45974</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23602-2023</t>
        </is>
      </c>
      <c r="B38" s="1" t="n">
        <v>45077</v>
      </c>
      <c r="C38" s="1" t="n">
        <v>45974</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52301-2023</t>
        </is>
      </c>
      <c r="B39" s="1" t="n">
        <v>45224</v>
      </c>
      <c r="C39" s="1" t="n">
        <v>45974</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1201-2025</t>
        </is>
      </c>
      <c r="B40" s="1" t="n">
        <v>45667</v>
      </c>
      <c r="C40" s="1" t="n">
        <v>45974</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44515-2024</t>
        </is>
      </c>
      <c r="B41" s="1" t="n">
        <v>45574.42767361111</v>
      </c>
      <c r="C41" s="1" t="n">
        <v>45974</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29183-2025</t>
        </is>
      </c>
      <c r="B42" s="1" t="n">
        <v>45821</v>
      </c>
      <c r="C42" s="1" t="n">
        <v>45974</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6841-2021</t>
        </is>
      </c>
      <c r="B43" s="1" t="n">
        <v>44236</v>
      </c>
      <c r="C43" s="1" t="n">
        <v>45974</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32985-2023</t>
        </is>
      </c>
      <c r="B44" s="1" t="n">
        <v>45125</v>
      </c>
      <c r="C44" s="1" t="n">
        <v>45974</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61860-2024</t>
        </is>
      </c>
      <c r="B45" s="1" t="n">
        <v>45649</v>
      </c>
      <c r="C45" s="1" t="n">
        <v>45974</v>
      </c>
      <c r="D45" t="inlineStr">
        <is>
          <t>KALMAR LÄN</t>
        </is>
      </c>
      <c r="E45" t="inlineStr">
        <is>
          <t>VIMMERBY</t>
        </is>
      </c>
      <c r="G45" t="n">
        <v>4.4</v>
      </c>
      <c r="H45" t="n">
        <v>1</v>
      </c>
      <c r="I45" t="n">
        <v>0</v>
      </c>
      <c r="J45" t="n">
        <v>0</v>
      </c>
      <c r="K45" t="n">
        <v>1</v>
      </c>
      <c r="L45" t="n">
        <v>0</v>
      </c>
      <c r="M45" t="n">
        <v>0</v>
      </c>
      <c r="N45" t="n">
        <v>0</v>
      </c>
      <c r="O45" t="n">
        <v>1</v>
      </c>
      <c r="P45" t="n">
        <v>1</v>
      </c>
      <c r="Q45" t="n">
        <v>1</v>
      </c>
      <c r="R45" s="2" t="inlineStr">
        <is>
          <t>Knärot</t>
        </is>
      </c>
      <c r="S45">
        <f>HYPERLINK("https://klasma.github.io/Logging_0884/artfynd/A 61860-2024 artfynd.xlsx", "A 61860-2024")</f>
        <v/>
      </c>
      <c r="T45">
        <f>HYPERLINK("https://klasma.github.io/Logging_0884/kartor/A 61860-2024 karta.png", "A 61860-2024")</f>
        <v/>
      </c>
      <c r="U45">
        <f>HYPERLINK("https://klasma.github.io/Logging_0884/knärot/A 61860-2024 karta knärot.png", "A 61860-2024")</f>
        <v/>
      </c>
      <c r="V45">
        <f>HYPERLINK("https://klasma.github.io/Logging_0884/klagomål/A 61860-2024 FSC-klagomål.docx", "A 61860-2024")</f>
        <v/>
      </c>
      <c r="W45">
        <f>HYPERLINK("https://klasma.github.io/Logging_0884/klagomålsmail/A 61860-2024 FSC-klagomål mail.docx", "A 61860-2024")</f>
        <v/>
      </c>
      <c r="X45">
        <f>HYPERLINK("https://klasma.github.io/Logging_0884/tillsyn/A 61860-2024 tillsynsbegäran.docx", "A 61860-2024")</f>
        <v/>
      </c>
      <c r="Y45">
        <f>HYPERLINK("https://klasma.github.io/Logging_0884/tillsynsmail/A 61860-2024 tillsynsbegäran mail.docx", "A 61860-2024")</f>
        <v/>
      </c>
    </row>
    <row r="46" ht="15" customHeight="1">
      <c r="A46" t="inlineStr">
        <is>
          <t>A 15122-2024</t>
        </is>
      </c>
      <c r="B46" s="1" t="n">
        <v>45399.71412037037</v>
      </c>
      <c r="C46" s="1" t="n">
        <v>45974</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53400-2025</t>
        </is>
      </c>
      <c r="B47" s="1" t="n">
        <v>45959.56684027778</v>
      </c>
      <c r="C47" s="1" t="n">
        <v>45974</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53404-2025</t>
        </is>
      </c>
      <c r="B48" s="1" t="n">
        <v>45959.57126157408</v>
      </c>
      <c r="C48" s="1" t="n">
        <v>45974</v>
      </c>
      <c r="D48" t="inlineStr">
        <is>
          <t>KALMAR LÄN</t>
        </is>
      </c>
      <c r="E48" t="inlineStr">
        <is>
          <t>VIMMERBY</t>
        </is>
      </c>
      <c r="G48" t="n">
        <v>6.4</v>
      </c>
      <c r="H48" t="n">
        <v>1</v>
      </c>
      <c r="I48" t="n">
        <v>0</v>
      </c>
      <c r="J48" t="n">
        <v>0</v>
      </c>
      <c r="K48" t="n">
        <v>1</v>
      </c>
      <c r="L48" t="n">
        <v>0</v>
      </c>
      <c r="M48" t="n">
        <v>0</v>
      </c>
      <c r="N48" t="n">
        <v>0</v>
      </c>
      <c r="O48" t="n">
        <v>1</v>
      </c>
      <c r="P48" t="n">
        <v>1</v>
      </c>
      <c r="Q48" t="n">
        <v>1</v>
      </c>
      <c r="R48" s="2" t="inlineStr">
        <is>
          <t>Knärot</t>
        </is>
      </c>
      <c r="S48">
        <f>HYPERLINK("https://klasma.github.io/Logging_0884/artfynd/A 53404-2025 artfynd.xlsx", "A 53404-2025")</f>
        <v/>
      </c>
      <c r="T48">
        <f>HYPERLINK("https://klasma.github.io/Logging_0884/kartor/A 53404-2025 karta.png", "A 53404-2025")</f>
        <v/>
      </c>
      <c r="U48">
        <f>HYPERLINK("https://klasma.github.io/Logging_0884/knärot/A 53404-2025 karta knärot.png", "A 53404-2025")</f>
        <v/>
      </c>
      <c r="V48">
        <f>HYPERLINK("https://klasma.github.io/Logging_0884/klagomål/A 53404-2025 FSC-klagomål.docx", "A 53404-2025")</f>
        <v/>
      </c>
      <c r="W48">
        <f>HYPERLINK("https://klasma.github.io/Logging_0884/klagomålsmail/A 53404-2025 FSC-klagomål mail.docx", "A 53404-2025")</f>
        <v/>
      </c>
      <c r="X48">
        <f>HYPERLINK("https://klasma.github.io/Logging_0884/tillsyn/A 53404-2025 tillsynsbegäran.docx", "A 53404-2025")</f>
        <v/>
      </c>
      <c r="Y48">
        <f>HYPERLINK("https://klasma.github.io/Logging_0884/tillsynsmail/A 53404-2025 tillsynsbegäran mail.docx", "A 53404-2025")</f>
        <v/>
      </c>
    </row>
    <row r="49" ht="15" customHeight="1">
      <c r="A49" t="inlineStr">
        <is>
          <t>A 15092-2021</t>
        </is>
      </c>
      <c r="B49" s="1" t="n">
        <v>44281.79269675926</v>
      </c>
      <c r="C49" s="1" t="n">
        <v>45974</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45974</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45974</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45974</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45974</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45974</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45974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45974</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45974</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45974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45974</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45974</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45974</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45974</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45974</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45974</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45974</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38348-2021</t>
        </is>
      </c>
      <c r="B66" s="1" t="n">
        <v>44406</v>
      </c>
      <c r="C66" s="1" t="n">
        <v>45974</v>
      </c>
      <c r="D66" t="inlineStr">
        <is>
          <t>KALMAR LÄN</t>
        </is>
      </c>
      <c r="E66" t="inlineStr">
        <is>
          <t>VIMMERBY</t>
        </is>
      </c>
      <c r="G66" t="n">
        <v>2.2</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45974</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45974</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45974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45974</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45974</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45974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45974</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45974</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45974</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45974</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45974</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45974</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45974</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45974</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45974</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45974</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45974</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45974</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45974</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3621-2021</t>
        </is>
      </c>
      <c r="B86" s="1" t="n">
        <v>44221.39408564815</v>
      </c>
      <c r="C86" s="1" t="n">
        <v>45974</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45974</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45974</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45974</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45974</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45974</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45974</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45974</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45974</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45974</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45974</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45974</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45974</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45974</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45974</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45974</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45974</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45974</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45974</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45974</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45974</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45974</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45974</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45974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45974</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35001-2021</t>
        </is>
      </c>
      <c r="B111" s="1" t="n">
        <v>44383</v>
      </c>
      <c r="C111" s="1" t="n">
        <v>45974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45974</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12661-2021</t>
        </is>
      </c>
      <c r="B113" s="1" t="n">
        <v>44270</v>
      </c>
      <c r="C113" s="1" t="n">
        <v>45974</v>
      </c>
      <c r="D113" t="inlineStr">
        <is>
          <t>KALMAR LÄN</t>
        </is>
      </c>
      <c r="E113" t="inlineStr">
        <is>
          <t>VIMMERBY</t>
        </is>
      </c>
      <c r="G113" t="n">
        <v>1.8</v>
      </c>
      <c r="H113" t="n">
        <v>0</v>
      </c>
      <c r="I113" t="n">
        <v>0</v>
      </c>
      <c r="J113" t="n">
        <v>0</v>
      </c>
      <c r="K113" t="n">
        <v>0</v>
      </c>
      <c r="L113" t="n">
        <v>0</v>
      </c>
      <c r="M113" t="n">
        <v>0</v>
      </c>
      <c r="N113" t="n">
        <v>0</v>
      </c>
      <c r="O113" t="n">
        <v>0</v>
      </c>
      <c r="P113" t="n">
        <v>0</v>
      </c>
      <c r="Q113" t="n">
        <v>0</v>
      </c>
      <c r="R113" s="2" t="inlineStr"/>
    </row>
    <row r="114" ht="15" customHeight="1">
      <c r="A114" t="inlineStr">
        <is>
          <t>A 24999-2021</t>
        </is>
      </c>
      <c r="B114" s="1" t="n">
        <v>44341</v>
      </c>
      <c r="C114" s="1" t="n">
        <v>45974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55674-2021</t>
        </is>
      </c>
      <c r="B115" s="1" t="n">
        <v>44476</v>
      </c>
      <c r="C115" s="1" t="n">
        <v>45974</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45974</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45974</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24752-2021</t>
        </is>
      </c>
      <c r="B118" s="1" t="n">
        <v>44340</v>
      </c>
      <c r="C118" s="1" t="n">
        <v>45974</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16705-2021</t>
        </is>
      </c>
      <c r="B119" s="1" t="n">
        <v>44294</v>
      </c>
      <c r="C119" s="1" t="n">
        <v>45974</v>
      </c>
      <c r="D119" t="inlineStr">
        <is>
          <t>KALMAR LÄN</t>
        </is>
      </c>
      <c r="E119" t="inlineStr">
        <is>
          <t>VIMMERBY</t>
        </is>
      </c>
      <c r="G119" t="n">
        <v>2.6</v>
      </c>
      <c r="H119" t="n">
        <v>0</v>
      </c>
      <c r="I119" t="n">
        <v>0</v>
      </c>
      <c r="J119" t="n">
        <v>0</v>
      </c>
      <c r="K119" t="n">
        <v>0</v>
      </c>
      <c r="L119" t="n">
        <v>0</v>
      </c>
      <c r="M119" t="n">
        <v>0</v>
      </c>
      <c r="N119" t="n">
        <v>0</v>
      </c>
      <c r="O119" t="n">
        <v>0</v>
      </c>
      <c r="P119" t="n">
        <v>0</v>
      </c>
      <c r="Q119" t="n">
        <v>0</v>
      </c>
      <c r="R119" s="2" t="inlineStr"/>
    </row>
    <row r="120" ht="15" customHeight="1">
      <c r="A120" t="inlineStr">
        <is>
          <t>A 33690-2022</t>
        </is>
      </c>
      <c r="B120" s="1" t="n">
        <v>44789</v>
      </c>
      <c r="C120" s="1" t="n">
        <v>45974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40077-2021</t>
        </is>
      </c>
      <c r="B121" s="1" t="n">
        <v>44418</v>
      </c>
      <c r="C121" s="1" t="n">
        <v>45974</v>
      </c>
      <c r="D121" t="inlineStr">
        <is>
          <t>KALMAR LÄN</t>
        </is>
      </c>
      <c r="E121" t="inlineStr">
        <is>
          <t>VIMMERBY</t>
        </is>
      </c>
      <c r="G121" t="n">
        <v>2.9</v>
      </c>
      <c r="H121" t="n">
        <v>0</v>
      </c>
      <c r="I121" t="n">
        <v>0</v>
      </c>
      <c r="J121" t="n">
        <v>0</v>
      </c>
      <c r="K121" t="n">
        <v>0</v>
      </c>
      <c r="L121" t="n">
        <v>0</v>
      </c>
      <c r="M121" t="n">
        <v>0</v>
      </c>
      <c r="N121" t="n">
        <v>0</v>
      </c>
      <c r="O121" t="n">
        <v>0</v>
      </c>
      <c r="P121" t="n">
        <v>0</v>
      </c>
      <c r="Q121" t="n">
        <v>0</v>
      </c>
      <c r="R121" s="2" t="inlineStr"/>
    </row>
    <row r="122" ht="15" customHeight="1">
      <c r="A122" t="inlineStr">
        <is>
          <t>A 47769-2022</t>
        </is>
      </c>
      <c r="B122" s="1" t="n">
        <v>44854</v>
      </c>
      <c r="C122" s="1" t="n">
        <v>45974</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31533-2022</t>
        </is>
      </c>
      <c r="B123" s="1" t="n">
        <v>44774</v>
      </c>
      <c r="C123" s="1" t="n">
        <v>45974</v>
      </c>
      <c r="D123" t="inlineStr">
        <is>
          <t>KALMAR LÄN</t>
        </is>
      </c>
      <c r="E123" t="inlineStr">
        <is>
          <t>VIMMERBY</t>
        </is>
      </c>
      <c r="G123" t="n">
        <v>2.5</v>
      </c>
      <c r="H123" t="n">
        <v>0</v>
      </c>
      <c r="I123" t="n">
        <v>0</v>
      </c>
      <c r="J123" t="n">
        <v>0</v>
      </c>
      <c r="K123" t="n">
        <v>0</v>
      </c>
      <c r="L123" t="n">
        <v>0</v>
      </c>
      <c r="M123" t="n">
        <v>0</v>
      </c>
      <c r="N123" t="n">
        <v>0</v>
      </c>
      <c r="O123" t="n">
        <v>0</v>
      </c>
      <c r="P123" t="n">
        <v>0</v>
      </c>
      <c r="Q123" t="n">
        <v>0</v>
      </c>
      <c r="R123" s="2" t="inlineStr"/>
    </row>
    <row r="124" ht="15" customHeight="1">
      <c r="A124" t="inlineStr">
        <is>
          <t>A 56389-2021</t>
        </is>
      </c>
      <c r="B124" s="1" t="n">
        <v>44480</v>
      </c>
      <c r="C124" s="1" t="n">
        <v>45974</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45974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45974</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25859-2022</t>
        </is>
      </c>
      <c r="B127" s="1" t="n">
        <v>44733</v>
      </c>
      <c r="C127" s="1" t="n">
        <v>45974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25868-2022</t>
        </is>
      </c>
      <c r="B128" s="1" t="n">
        <v>44733</v>
      </c>
      <c r="C128" s="1" t="n">
        <v>45974</v>
      </c>
      <c r="D128" t="inlineStr">
        <is>
          <t>KALMAR LÄN</t>
        </is>
      </c>
      <c r="E128" t="inlineStr">
        <is>
          <t>VIMMERBY</t>
        </is>
      </c>
      <c r="G128" t="n">
        <v>1.7</v>
      </c>
      <c r="H128" t="n">
        <v>0</v>
      </c>
      <c r="I128" t="n">
        <v>0</v>
      </c>
      <c r="J128" t="n">
        <v>0</v>
      </c>
      <c r="K128" t="n">
        <v>0</v>
      </c>
      <c r="L128" t="n">
        <v>0</v>
      </c>
      <c r="M128" t="n">
        <v>0</v>
      </c>
      <c r="N128" t="n">
        <v>0</v>
      </c>
      <c r="O128" t="n">
        <v>0</v>
      </c>
      <c r="P128" t="n">
        <v>0</v>
      </c>
      <c r="Q128" t="n">
        <v>0</v>
      </c>
      <c r="R128" s="2" t="inlineStr"/>
    </row>
    <row r="129" ht="15" customHeight="1">
      <c r="A129" t="inlineStr">
        <is>
          <t>A 63244-2021</t>
        </is>
      </c>
      <c r="B129" s="1" t="n">
        <v>44508</v>
      </c>
      <c r="C129" s="1" t="n">
        <v>45974</v>
      </c>
      <c r="D129" t="inlineStr">
        <is>
          <t>KALMAR LÄN</t>
        </is>
      </c>
      <c r="E129" t="inlineStr">
        <is>
          <t>VIMMERBY</t>
        </is>
      </c>
      <c r="F129" t="inlineStr">
        <is>
          <t>Övriga statliga verk och myndigheter</t>
        </is>
      </c>
      <c r="G129" t="n">
        <v>0.6</v>
      </c>
      <c r="H129" t="n">
        <v>0</v>
      </c>
      <c r="I129" t="n">
        <v>0</v>
      </c>
      <c r="J129" t="n">
        <v>0</v>
      </c>
      <c r="K129" t="n">
        <v>0</v>
      </c>
      <c r="L129" t="n">
        <v>0</v>
      </c>
      <c r="M129" t="n">
        <v>0</v>
      </c>
      <c r="N129" t="n">
        <v>0</v>
      </c>
      <c r="O129" t="n">
        <v>0</v>
      </c>
      <c r="P129" t="n">
        <v>0</v>
      </c>
      <c r="Q129" t="n">
        <v>0</v>
      </c>
      <c r="R129" s="2" t="inlineStr"/>
    </row>
    <row r="130" ht="15" customHeight="1">
      <c r="A130" t="inlineStr">
        <is>
          <t>A 48377-2021</t>
        </is>
      </c>
      <c r="B130" s="1" t="n">
        <v>44451.8375</v>
      </c>
      <c r="C130" s="1" t="n">
        <v>45974</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40472-2022</t>
        </is>
      </c>
      <c r="B131" s="1" t="n">
        <v>44823</v>
      </c>
      <c r="C131" s="1" t="n">
        <v>45974</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60810-2020</t>
        </is>
      </c>
      <c r="B132" s="1" t="n">
        <v>44154</v>
      </c>
      <c r="C132" s="1" t="n">
        <v>45974</v>
      </c>
      <c r="D132" t="inlineStr">
        <is>
          <t>KALMAR LÄN</t>
        </is>
      </c>
      <c r="E132" t="inlineStr">
        <is>
          <t>VIMMERBY</t>
        </is>
      </c>
      <c r="G132" t="n">
        <v>0.8</v>
      </c>
      <c r="H132" t="n">
        <v>0</v>
      </c>
      <c r="I132" t="n">
        <v>0</v>
      </c>
      <c r="J132" t="n">
        <v>0</v>
      </c>
      <c r="K132" t="n">
        <v>0</v>
      </c>
      <c r="L132" t="n">
        <v>0</v>
      </c>
      <c r="M132" t="n">
        <v>0</v>
      </c>
      <c r="N132" t="n">
        <v>0</v>
      </c>
      <c r="O132" t="n">
        <v>0</v>
      </c>
      <c r="P132" t="n">
        <v>0</v>
      </c>
      <c r="Q132" t="n">
        <v>0</v>
      </c>
      <c r="R132" s="2" t="inlineStr"/>
    </row>
    <row r="133" ht="15" customHeight="1">
      <c r="A133" t="inlineStr">
        <is>
          <t>A 32386-2021</t>
        </is>
      </c>
      <c r="B133" s="1" t="n">
        <v>44371.62743055556</v>
      </c>
      <c r="C133" s="1" t="n">
        <v>45974</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67952-2021</t>
        </is>
      </c>
      <c r="B134" s="1" t="n">
        <v>44525.63913194444</v>
      </c>
      <c r="C134" s="1" t="n">
        <v>45974</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14521-2021</t>
        </is>
      </c>
      <c r="B135" s="1" t="n">
        <v>44279.64934027778</v>
      </c>
      <c r="C135" s="1" t="n">
        <v>45974</v>
      </c>
      <c r="D135" t="inlineStr">
        <is>
          <t>KALMAR LÄN</t>
        </is>
      </c>
      <c r="E135" t="inlineStr">
        <is>
          <t>VIMMERBY</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15533-2022</t>
        </is>
      </c>
      <c r="B136" s="1" t="n">
        <v>44662</v>
      </c>
      <c r="C136" s="1" t="n">
        <v>45974</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8415-2021</t>
        </is>
      </c>
      <c r="B137" s="1" t="n">
        <v>44245</v>
      </c>
      <c r="C137" s="1" t="n">
        <v>45974</v>
      </c>
      <c r="D137" t="inlineStr">
        <is>
          <t>KALMAR LÄN</t>
        </is>
      </c>
      <c r="E137" t="inlineStr">
        <is>
          <t>VIMMERBY</t>
        </is>
      </c>
      <c r="G137" t="n">
        <v>4.7</v>
      </c>
      <c r="H137" t="n">
        <v>0</v>
      </c>
      <c r="I137" t="n">
        <v>0</v>
      </c>
      <c r="J137" t="n">
        <v>0</v>
      </c>
      <c r="K137" t="n">
        <v>0</v>
      </c>
      <c r="L137" t="n">
        <v>0</v>
      </c>
      <c r="M137" t="n">
        <v>0</v>
      </c>
      <c r="N137" t="n">
        <v>0</v>
      </c>
      <c r="O137" t="n">
        <v>0</v>
      </c>
      <c r="P137" t="n">
        <v>0</v>
      </c>
      <c r="Q137" t="n">
        <v>0</v>
      </c>
      <c r="R137" s="2" t="inlineStr"/>
    </row>
    <row r="138" ht="15" customHeight="1">
      <c r="A138" t="inlineStr">
        <is>
          <t>A 35633-2021</t>
        </is>
      </c>
      <c r="B138" s="1" t="n">
        <v>44386.40783564815</v>
      </c>
      <c r="C138" s="1" t="n">
        <v>45974</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56343-2021</t>
        </is>
      </c>
      <c r="B139" s="1" t="n">
        <v>44480</v>
      </c>
      <c r="C139" s="1" t="n">
        <v>45974</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35316-2021</t>
        </is>
      </c>
      <c r="B140" s="1" t="n">
        <v>44384</v>
      </c>
      <c r="C140" s="1" t="n">
        <v>45974</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33831-2022</t>
        </is>
      </c>
      <c r="B141" s="1" t="n">
        <v>44790.48503472222</v>
      </c>
      <c r="C141" s="1" t="n">
        <v>45974</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45974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45974</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9918-2022</t>
        </is>
      </c>
      <c r="B144" s="1" t="n">
        <v>44620</v>
      </c>
      <c r="C144" s="1" t="n">
        <v>45974</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34040-2021</t>
        </is>
      </c>
      <c r="B145" s="1" t="n">
        <v>44379</v>
      </c>
      <c r="C145" s="1" t="n">
        <v>45974</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15200-2021</t>
        </is>
      </c>
      <c r="B146" s="1" t="n">
        <v>44284.44574074074</v>
      </c>
      <c r="C146" s="1" t="n">
        <v>45974</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12107-2022</t>
        </is>
      </c>
      <c r="B147" s="1" t="n">
        <v>44636</v>
      </c>
      <c r="C147" s="1" t="n">
        <v>45974</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51972-2021</t>
        </is>
      </c>
      <c r="B148" s="1" t="n">
        <v>44463.29439814815</v>
      </c>
      <c r="C148" s="1" t="n">
        <v>45974</v>
      </c>
      <c r="D148" t="inlineStr">
        <is>
          <t>KALMAR LÄN</t>
        </is>
      </c>
      <c r="E148" t="inlineStr">
        <is>
          <t>VIMMERBY</t>
        </is>
      </c>
      <c r="G148" t="n">
        <v>4.5</v>
      </c>
      <c r="H148" t="n">
        <v>0</v>
      </c>
      <c r="I148" t="n">
        <v>0</v>
      </c>
      <c r="J148" t="n">
        <v>0</v>
      </c>
      <c r="K148" t="n">
        <v>0</v>
      </c>
      <c r="L148" t="n">
        <v>0</v>
      </c>
      <c r="M148" t="n">
        <v>0</v>
      </c>
      <c r="N148" t="n">
        <v>0</v>
      </c>
      <c r="O148" t="n">
        <v>0</v>
      </c>
      <c r="P148" t="n">
        <v>0</v>
      </c>
      <c r="Q148" t="n">
        <v>0</v>
      </c>
      <c r="R148" s="2" t="inlineStr"/>
    </row>
    <row r="149" ht="15" customHeight="1">
      <c r="A149" t="inlineStr">
        <is>
          <t>A 24369-2021</t>
        </is>
      </c>
      <c r="B149" s="1" t="n">
        <v>44337</v>
      </c>
      <c r="C149" s="1" t="n">
        <v>45974</v>
      </c>
      <c r="D149" t="inlineStr">
        <is>
          <t>KALMAR LÄN</t>
        </is>
      </c>
      <c r="E149" t="inlineStr">
        <is>
          <t>VIMMERBY</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39225-2022</t>
        </is>
      </c>
      <c r="B150" s="1" t="n">
        <v>44817.57988425926</v>
      </c>
      <c r="C150" s="1" t="n">
        <v>45974</v>
      </c>
      <c r="D150" t="inlineStr">
        <is>
          <t>KALMAR LÄN</t>
        </is>
      </c>
      <c r="E150" t="inlineStr">
        <is>
          <t>VIMMERBY</t>
        </is>
      </c>
      <c r="G150" t="n">
        <v>2.2</v>
      </c>
      <c r="H150" t="n">
        <v>0</v>
      </c>
      <c r="I150" t="n">
        <v>0</v>
      </c>
      <c r="J150" t="n">
        <v>0</v>
      </c>
      <c r="K150" t="n">
        <v>0</v>
      </c>
      <c r="L150" t="n">
        <v>0</v>
      </c>
      <c r="M150" t="n">
        <v>0</v>
      </c>
      <c r="N150" t="n">
        <v>0</v>
      </c>
      <c r="O150" t="n">
        <v>0</v>
      </c>
      <c r="P150" t="n">
        <v>0</v>
      </c>
      <c r="Q150" t="n">
        <v>0</v>
      </c>
      <c r="R150" s="2" t="inlineStr"/>
    </row>
    <row r="151" ht="15" customHeight="1">
      <c r="A151" t="inlineStr">
        <is>
          <t>A 11814-2022</t>
        </is>
      </c>
      <c r="B151" s="1" t="n">
        <v>44634.69703703704</v>
      </c>
      <c r="C151" s="1" t="n">
        <v>45974</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56385-2021</t>
        </is>
      </c>
      <c r="B152" s="1" t="n">
        <v>44480</v>
      </c>
      <c r="C152" s="1" t="n">
        <v>45974</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16602-2021</t>
        </is>
      </c>
      <c r="B153" s="1" t="n">
        <v>44294</v>
      </c>
      <c r="C153" s="1" t="n">
        <v>45974</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16607-2021</t>
        </is>
      </c>
      <c r="B154" s="1" t="n">
        <v>44294</v>
      </c>
      <c r="C154" s="1" t="n">
        <v>45974</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17029-2022</t>
        </is>
      </c>
      <c r="B155" s="1" t="n">
        <v>44676.85248842592</v>
      </c>
      <c r="C155" s="1" t="n">
        <v>45974</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31053-2022</t>
        </is>
      </c>
      <c r="B156" s="1" t="n">
        <v>44769.45422453704</v>
      </c>
      <c r="C156" s="1" t="n">
        <v>45974</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24738-2021</t>
        </is>
      </c>
      <c r="B157" s="1" t="n">
        <v>44340.58002314815</v>
      </c>
      <c r="C157" s="1" t="n">
        <v>45974</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618-2021</t>
        </is>
      </c>
      <c r="B158" s="1" t="n">
        <v>44203</v>
      </c>
      <c r="C158" s="1" t="n">
        <v>45974</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4042-2022</t>
        </is>
      </c>
      <c r="B159" s="1" t="n">
        <v>44588</v>
      </c>
      <c r="C159" s="1" t="n">
        <v>45974</v>
      </c>
      <c r="D159" t="inlineStr">
        <is>
          <t>KALMAR LÄN</t>
        </is>
      </c>
      <c r="E159" t="inlineStr">
        <is>
          <t>VIMMERBY</t>
        </is>
      </c>
      <c r="G159" t="n">
        <v>4.7</v>
      </c>
      <c r="H159" t="n">
        <v>0</v>
      </c>
      <c r="I159" t="n">
        <v>0</v>
      </c>
      <c r="J159" t="n">
        <v>0</v>
      </c>
      <c r="K159" t="n">
        <v>0</v>
      </c>
      <c r="L159" t="n">
        <v>0</v>
      </c>
      <c r="M159" t="n">
        <v>0</v>
      </c>
      <c r="N159" t="n">
        <v>0</v>
      </c>
      <c r="O159" t="n">
        <v>0</v>
      </c>
      <c r="P159" t="n">
        <v>0</v>
      </c>
      <c r="Q159" t="n">
        <v>0</v>
      </c>
      <c r="R159" s="2" t="inlineStr"/>
    </row>
    <row r="160" ht="15" customHeight="1">
      <c r="A160" t="inlineStr">
        <is>
          <t>A 7167-2022</t>
        </is>
      </c>
      <c r="B160" s="1" t="n">
        <v>44604</v>
      </c>
      <c r="C160" s="1" t="n">
        <v>45974</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18356-2021</t>
        </is>
      </c>
      <c r="B161" s="1" t="n">
        <v>44305</v>
      </c>
      <c r="C161" s="1" t="n">
        <v>45974</v>
      </c>
      <c r="D161" t="inlineStr">
        <is>
          <t>KALMAR LÄN</t>
        </is>
      </c>
      <c r="E161" t="inlineStr">
        <is>
          <t>VIMMERBY</t>
        </is>
      </c>
      <c r="G161" t="n">
        <v>3.4</v>
      </c>
      <c r="H161" t="n">
        <v>0</v>
      </c>
      <c r="I161" t="n">
        <v>0</v>
      </c>
      <c r="J161" t="n">
        <v>0</v>
      </c>
      <c r="K161" t="n">
        <v>0</v>
      </c>
      <c r="L161" t="n">
        <v>0</v>
      </c>
      <c r="M161" t="n">
        <v>0</v>
      </c>
      <c r="N161" t="n">
        <v>0</v>
      </c>
      <c r="O161" t="n">
        <v>0</v>
      </c>
      <c r="P161" t="n">
        <v>0</v>
      </c>
      <c r="Q161" t="n">
        <v>0</v>
      </c>
      <c r="R161" s="2" t="inlineStr"/>
    </row>
    <row r="162" ht="15" customHeight="1">
      <c r="A162" t="inlineStr">
        <is>
          <t>A 8454-2022</t>
        </is>
      </c>
      <c r="B162" s="1" t="n">
        <v>44612.86762731482</v>
      </c>
      <c r="C162" s="1" t="n">
        <v>45974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45974</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45974</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45974</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65887-2021</t>
        </is>
      </c>
      <c r="B166" s="1" t="n">
        <v>44517</v>
      </c>
      <c r="C166" s="1" t="n">
        <v>45974</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10086-2022</t>
        </is>
      </c>
      <c r="B167" s="1" t="n">
        <v>44621</v>
      </c>
      <c r="C167" s="1" t="n">
        <v>45974</v>
      </c>
      <c r="D167" t="inlineStr">
        <is>
          <t>KALMAR LÄN</t>
        </is>
      </c>
      <c r="E167" t="inlineStr">
        <is>
          <t>VIMMERBY</t>
        </is>
      </c>
      <c r="G167" t="n">
        <v>1.2</v>
      </c>
      <c r="H167" t="n">
        <v>0</v>
      </c>
      <c r="I167" t="n">
        <v>0</v>
      </c>
      <c r="J167" t="n">
        <v>0</v>
      </c>
      <c r="K167" t="n">
        <v>0</v>
      </c>
      <c r="L167" t="n">
        <v>0</v>
      </c>
      <c r="M167" t="n">
        <v>0</v>
      </c>
      <c r="N167" t="n">
        <v>0</v>
      </c>
      <c r="O167" t="n">
        <v>0</v>
      </c>
      <c r="P167" t="n">
        <v>0</v>
      </c>
      <c r="Q167" t="n">
        <v>0</v>
      </c>
      <c r="R167" s="2" t="inlineStr"/>
    </row>
    <row r="168" ht="15" customHeight="1">
      <c r="A168" t="inlineStr">
        <is>
          <t>A 39959-2022</t>
        </is>
      </c>
      <c r="B168" s="1" t="n">
        <v>44819</v>
      </c>
      <c r="C168" s="1" t="n">
        <v>45974</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65564-2020</t>
        </is>
      </c>
      <c r="B169" s="1" t="n">
        <v>44172</v>
      </c>
      <c r="C169" s="1" t="n">
        <v>45974</v>
      </c>
      <c r="D169" t="inlineStr">
        <is>
          <t>KALMAR LÄN</t>
        </is>
      </c>
      <c r="E169" t="inlineStr">
        <is>
          <t>VIMMERBY</t>
        </is>
      </c>
      <c r="G169" t="n">
        <v>4.1</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45974</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45974</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27758-2024</t>
        </is>
      </c>
      <c r="B172" s="1" t="n">
        <v>45475.48303240741</v>
      </c>
      <c r="C172" s="1" t="n">
        <v>45974</v>
      </c>
      <c r="D172" t="inlineStr">
        <is>
          <t>KALMAR LÄN</t>
        </is>
      </c>
      <c r="E172" t="inlineStr">
        <is>
          <t>VIMMERBY</t>
        </is>
      </c>
      <c r="G172" t="n">
        <v>2.6</v>
      </c>
      <c r="H172" t="n">
        <v>0</v>
      </c>
      <c r="I172" t="n">
        <v>0</v>
      </c>
      <c r="J172" t="n">
        <v>0</v>
      </c>
      <c r="K172" t="n">
        <v>0</v>
      </c>
      <c r="L172" t="n">
        <v>0</v>
      </c>
      <c r="M172" t="n">
        <v>0</v>
      </c>
      <c r="N172" t="n">
        <v>0</v>
      </c>
      <c r="O172" t="n">
        <v>0</v>
      </c>
      <c r="P172" t="n">
        <v>0</v>
      </c>
      <c r="Q172" t="n">
        <v>0</v>
      </c>
      <c r="R172" s="2" t="inlineStr"/>
    </row>
    <row r="173" ht="15" customHeight="1">
      <c r="A173" t="inlineStr">
        <is>
          <t>A 13307-2025</t>
        </is>
      </c>
      <c r="B173" s="1" t="n">
        <v>45735.58024305556</v>
      </c>
      <c r="C173" s="1" t="n">
        <v>45974</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45974</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18276-2021</t>
        </is>
      </c>
      <c r="B175" s="1" t="n">
        <v>44305.40046296296</v>
      </c>
      <c r="C175" s="1" t="n">
        <v>45974</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47473-2021</t>
        </is>
      </c>
      <c r="B176" s="1" t="n">
        <v>44447</v>
      </c>
      <c r="C176" s="1" t="n">
        <v>45974</v>
      </c>
      <c r="D176" t="inlineStr">
        <is>
          <t>KALMAR LÄN</t>
        </is>
      </c>
      <c r="E176" t="inlineStr">
        <is>
          <t>VIMMERBY</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55716-2023</t>
        </is>
      </c>
      <c r="B177" s="1" t="n">
        <v>45232</v>
      </c>
      <c r="C177" s="1" t="n">
        <v>45974</v>
      </c>
      <c r="D177" t="inlineStr">
        <is>
          <t>KALMAR LÄN</t>
        </is>
      </c>
      <c r="E177" t="inlineStr">
        <is>
          <t>VIMMERBY</t>
        </is>
      </c>
      <c r="G177" t="n">
        <v>2.3</v>
      </c>
      <c r="H177" t="n">
        <v>0</v>
      </c>
      <c r="I177" t="n">
        <v>0</v>
      </c>
      <c r="J177" t="n">
        <v>0</v>
      </c>
      <c r="K177" t="n">
        <v>0</v>
      </c>
      <c r="L177" t="n">
        <v>0</v>
      </c>
      <c r="M177" t="n">
        <v>0</v>
      </c>
      <c r="N177" t="n">
        <v>0</v>
      </c>
      <c r="O177" t="n">
        <v>0</v>
      </c>
      <c r="P177" t="n">
        <v>0</v>
      </c>
      <c r="Q177" t="n">
        <v>0</v>
      </c>
      <c r="R177" s="2" t="inlineStr"/>
    </row>
    <row r="178" ht="15" customHeight="1">
      <c r="A178" t="inlineStr">
        <is>
          <t>A 36117-2021</t>
        </is>
      </c>
      <c r="B178" s="1" t="n">
        <v>44386</v>
      </c>
      <c r="C178" s="1" t="n">
        <v>45974</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42521-2021</t>
        </is>
      </c>
      <c r="B179" s="1" t="n">
        <v>44427</v>
      </c>
      <c r="C179" s="1" t="n">
        <v>45974</v>
      </c>
      <c r="D179" t="inlineStr">
        <is>
          <t>KALMAR LÄN</t>
        </is>
      </c>
      <c r="E179" t="inlineStr">
        <is>
          <t>VIMMERBY</t>
        </is>
      </c>
      <c r="G179" t="n">
        <v>5.4</v>
      </c>
      <c r="H179" t="n">
        <v>0</v>
      </c>
      <c r="I179" t="n">
        <v>0</v>
      </c>
      <c r="J179" t="n">
        <v>0</v>
      </c>
      <c r="K179" t="n">
        <v>0</v>
      </c>
      <c r="L179" t="n">
        <v>0</v>
      </c>
      <c r="M179" t="n">
        <v>0</v>
      </c>
      <c r="N179" t="n">
        <v>0</v>
      </c>
      <c r="O179" t="n">
        <v>0</v>
      </c>
      <c r="P179" t="n">
        <v>0</v>
      </c>
      <c r="Q179" t="n">
        <v>0</v>
      </c>
      <c r="R179" s="2" t="inlineStr"/>
    </row>
    <row r="180" ht="15" customHeight="1">
      <c r="A180" t="inlineStr">
        <is>
          <t>A 8194-2022</t>
        </is>
      </c>
      <c r="B180" s="1" t="n">
        <v>44609</v>
      </c>
      <c r="C180" s="1" t="n">
        <v>45974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41056-2022</t>
        </is>
      </c>
      <c r="B181" s="1" t="n">
        <v>44824</v>
      </c>
      <c r="C181" s="1" t="n">
        <v>45974</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15191-2021</t>
        </is>
      </c>
      <c r="B182" s="1" t="n">
        <v>44284.42348379629</v>
      </c>
      <c r="C182" s="1" t="n">
        <v>45974</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31660-2021</t>
        </is>
      </c>
      <c r="B183" s="1" t="n">
        <v>44369</v>
      </c>
      <c r="C183" s="1" t="n">
        <v>45974</v>
      </c>
      <c r="D183" t="inlineStr">
        <is>
          <t>KALMAR LÄN</t>
        </is>
      </c>
      <c r="E183" t="inlineStr">
        <is>
          <t>VIMMERBY</t>
        </is>
      </c>
      <c r="G183" t="n">
        <v>4.2</v>
      </c>
      <c r="H183" t="n">
        <v>0</v>
      </c>
      <c r="I183" t="n">
        <v>0</v>
      </c>
      <c r="J183" t="n">
        <v>0</v>
      </c>
      <c r="K183" t="n">
        <v>0</v>
      </c>
      <c r="L183" t="n">
        <v>0</v>
      </c>
      <c r="M183" t="n">
        <v>0</v>
      </c>
      <c r="N183" t="n">
        <v>0</v>
      </c>
      <c r="O183" t="n">
        <v>0</v>
      </c>
      <c r="P183" t="n">
        <v>0</v>
      </c>
      <c r="Q183" t="n">
        <v>0</v>
      </c>
      <c r="R183" s="2" t="inlineStr"/>
    </row>
    <row r="184" ht="15" customHeight="1">
      <c r="A184" t="inlineStr">
        <is>
          <t>A 27455-2022</t>
        </is>
      </c>
      <c r="B184" s="1" t="n">
        <v>44742</v>
      </c>
      <c r="C184" s="1" t="n">
        <v>45974</v>
      </c>
      <c r="D184" t="inlineStr">
        <is>
          <t>KALMAR LÄN</t>
        </is>
      </c>
      <c r="E184" t="inlineStr">
        <is>
          <t>VIMMERBY</t>
        </is>
      </c>
      <c r="G184" t="n">
        <v>1.6</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45974</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68744-2020</t>
        </is>
      </c>
      <c r="B186" s="1" t="n">
        <v>44186</v>
      </c>
      <c r="C186" s="1" t="n">
        <v>45974</v>
      </c>
      <c r="D186" t="inlineStr">
        <is>
          <t>KALMAR LÄN</t>
        </is>
      </c>
      <c r="E186" t="inlineStr">
        <is>
          <t>VIMMERBY</t>
        </is>
      </c>
      <c r="G186" t="n">
        <v>2.5</v>
      </c>
      <c r="H186" t="n">
        <v>0</v>
      </c>
      <c r="I186" t="n">
        <v>0</v>
      </c>
      <c r="J186" t="n">
        <v>0</v>
      </c>
      <c r="K186" t="n">
        <v>0</v>
      </c>
      <c r="L186" t="n">
        <v>0</v>
      </c>
      <c r="M186" t="n">
        <v>0</v>
      </c>
      <c r="N186" t="n">
        <v>0</v>
      </c>
      <c r="O186" t="n">
        <v>0</v>
      </c>
      <c r="P186" t="n">
        <v>0</v>
      </c>
      <c r="Q186" t="n">
        <v>0</v>
      </c>
      <c r="R186" s="2" t="inlineStr"/>
    </row>
    <row r="187" ht="15" customHeight="1">
      <c r="A187" t="inlineStr">
        <is>
          <t>A 18329-2023</t>
        </is>
      </c>
      <c r="B187" s="1" t="n">
        <v>45041.63380787037</v>
      </c>
      <c r="C187" s="1" t="n">
        <v>45974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45974</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45974</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3330-2021</t>
        </is>
      </c>
      <c r="B190" s="1" t="n">
        <v>44217.79856481482</v>
      </c>
      <c r="C190" s="1" t="n">
        <v>45974</v>
      </c>
      <c r="D190" t="inlineStr">
        <is>
          <t>KALMAR LÄN</t>
        </is>
      </c>
      <c r="E190" t="inlineStr">
        <is>
          <t>VIMMERBY</t>
        </is>
      </c>
      <c r="G190" t="n">
        <v>11.1</v>
      </c>
      <c r="H190" t="n">
        <v>0</v>
      </c>
      <c r="I190" t="n">
        <v>0</v>
      </c>
      <c r="J190" t="n">
        <v>0</v>
      </c>
      <c r="K190" t="n">
        <v>0</v>
      </c>
      <c r="L190" t="n">
        <v>0</v>
      </c>
      <c r="M190" t="n">
        <v>0</v>
      </c>
      <c r="N190" t="n">
        <v>0</v>
      </c>
      <c r="O190" t="n">
        <v>0</v>
      </c>
      <c r="P190" t="n">
        <v>0</v>
      </c>
      <c r="Q190" t="n">
        <v>0</v>
      </c>
      <c r="R190" s="2" t="inlineStr"/>
    </row>
    <row r="191" ht="15" customHeight="1">
      <c r="A191" t="inlineStr">
        <is>
          <t>A 13015-2023</t>
        </is>
      </c>
      <c r="B191" s="1" t="n">
        <v>45002</v>
      </c>
      <c r="C191" s="1" t="n">
        <v>45974</v>
      </c>
      <c r="D191" t="inlineStr">
        <is>
          <t>KALMAR LÄN</t>
        </is>
      </c>
      <c r="E191" t="inlineStr">
        <is>
          <t>VIMMERBY</t>
        </is>
      </c>
      <c r="G191" t="n">
        <v>3.2</v>
      </c>
      <c r="H191" t="n">
        <v>0</v>
      </c>
      <c r="I191" t="n">
        <v>0</v>
      </c>
      <c r="J191" t="n">
        <v>0</v>
      </c>
      <c r="K191" t="n">
        <v>0</v>
      </c>
      <c r="L191" t="n">
        <v>0</v>
      </c>
      <c r="M191" t="n">
        <v>0</v>
      </c>
      <c r="N191" t="n">
        <v>0</v>
      </c>
      <c r="O191" t="n">
        <v>0</v>
      </c>
      <c r="P191" t="n">
        <v>0</v>
      </c>
      <c r="Q191" t="n">
        <v>0</v>
      </c>
      <c r="R191" s="2" t="inlineStr"/>
    </row>
    <row r="192" ht="15" customHeight="1">
      <c r="A192" t="inlineStr">
        <is>
          <t>A 45560-2021</t>
        </is>
      </c>
      <c r="B192" s="1" t="n">
        <v>44440</v>
      </c>
      <c r="C192" s="1" t="n">
        <v>45974</v>
      </c>
      <c r="D192" t="inlineStr">
        <is>
          <t>KALMAR LÄN</t>
        </is>
      </c>
      <c r="E192" t="inlineStr">
        <is>
          <t>VIMMERBY</t>
        </is>
      </c>
      <c r="G192" t="n">
        <v>1.3</v>
      </c>
      <c r="H192" t="n">
        <v>0</v>
      </c>
      <c r="I192" t="n">
        <v>0</v>
      </c>
      <c r="J192" t="n">
        <v>0</v>
      </c>
      <c r="K192" t="n">
        <v>0</v>
      </c>
      <c r="L192" t="n">
        <v>0</v>
      </c>
      <c r="M192" t="n">
        <v>0</v>
      </c>
      <c r="N192" t="n">
        <v>0</v>
      </c>
      <c r="O192" t="n">
        <v>0</v>
      </c>
      <c r="P192" t="n">
        <v>0</v>
      </c>
      <c r="Q192" t="n">
        <v>0</v>
      </c>
      <c r="R192" s="2" t="inlineStr"/>
    </row>
    <row r="193" ht="15" customHeight="1">
      <c r="A193" t="inlineStr">
        <is>
          <t>A 40256-2024</t>
        </is>
      </c>
      <c r="B193" s="1" t="n">
        <v>45554.62944444444</v>
      </c>
      <c r="C193" s="1" t="n">
        <v>45974</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46964-2022</t>
        </is>
      </c>
      <c r="B194" s="1" t="n">
        <v>44851.95016203704</v>
      </c>
      <c r="C194" s="1" t="n">
        <v>45974</v>
      </c>
      <c r="D194" t="inlineStr">
        <is>
          <t>KALMAR LÄN</t>
        </is>
      </c>
      <c r="E194" t="inlineStr">
        <is>
          <t>VIMMERBY</t>
        </is>
      </c>
      <c r="G194" t="n">
        <v>0.2</v>
      </c>
      <c r="H194" t="n">
        <v>0</v>
      </c>
      <c r="I194" t="n">
        <v>0</v>
      </c>
      <c r="J194" t="n">
        <v>0</v>
      </c>
      <c r="K194" t="n">
        <v>0</v>
      </c>
      <c r="L194" t="n">
        <v>0</v>
      </c>
      <c r="M194" t="n">
        <v>0</v>
      </c>
      <c r="N194" t="n">
        <v>0</v>
      </c>
      <c r="O194" t="n">
        <v>0</v>
      </c>
      <c r="P194" t="n">
        <v>0</v>
      </c>
      <c r="Q194" t="n">
        <v>0</v>
      </c>
      <c r="R194" s="2" t="inlineStr"/>
    </row>
    <row r="195" ht="15" customHeight="1">
      <c r="A195" t="inlineStr">
        <is>
          <t>A 58104-2024</t>
        </is>
      </c>
      <c r="B195" s="1" t="n">
        <v>45632.37459490741</v>
      </c>
      <c r="C195" s="1" t="n">
        <v>45974</v>
      </c>
      <c r="D195" t="inlineStr">
        <is>
          <t>KALMAR LÄN</t>
        </is>
      </c>
      <c r="E195" t="inlineStr">
        <is>
          <t>VIMMERBY</t>
        </is>
      </c>
      <c r="G195" t="n">
        <v>5</v>
      </c>
      <c r="H195" t="n">
        <v>0</v>
      </c>
      <c r="I195" t="n">
        <v>0</v>
      </c>
      <c r="J195" t="n">
        <v>0</v>
      </c>
      <c r="K195" t="n">
        <v>0</v>
      </c>
      <c r="L195" t="n">
        <v>0</v>
      </c>
      <c r="M195" t="n">
        <v>0</v>
      </c>
      <c r="N195" t="n">
        <v>0</v>
      </c>
      <c r="O195" t="n">
        <v>0</v>
      </c>
      <c r="P195" t="n">
        <v>0</v>
      </c>
      <c r="Q195" t="n">
        <v>0</v>
      </c>
      <c r="R195" s="2" t="inlineStr"/>
    </row>
    <row r="196" ht="15" customHeight="1">
      <c r="A196" t="inlineStr">
        <is>
          <t>A 8453-2022</t>
        </is>
      </c>
      <c r="B196" s="1" t="n">
        <v>44612.86554398148</v>
      </c>
      <c r="C196" s="1" t="n">
        <v>45974</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36259-2022</t>
        </is>
      </c>
      <c r="B197" s="1" t="n">
        <v>44803.59118055556</v>
      </c>
      <c r="C197" s="1" t="n">
        <v>45974</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43034-2024</t>
        </is>
      </c>
      <c r="B198" s="1" t="n">
        <v>45567.42011574074</v>
      </c>
      <c r="C198" s="1" t="n">
        <v>45974</v>
      </c>
      <c r="D198" t="inlineStr">
        <is>
          <t>KALMAR LÄN</t>
        </is>
      </c>
      <c r="E198" t="inlineStr">
        <is>
          <t>VIMMERBY</t>
        </is>
      </c>
      <c r="G198" t="n">
        <v>1.8</v>
      </c>
      <c r="H198" t="n">
        <v>0</v>
      </c>
      <c r="I198" t="n">
        <v>0</v>
      </c>
      <c r="J198" t="n">
        <v>0</v>
      </c>
      <c r="K198" t="n">
        <v>0</v>
      </c>
      <c r="L198" t="n">
        <v>0</v>
      </c>
      <c r="M198" t="n">
        <v>0</v>
      </c>
      <c r="N198" t="n">
        <v>0</v>
      </c>
      <c r="O198" t="n">
        <v>0</v>
      </c>
      <c r="P198" t="n">
        <v>0</v>
      </c>
      <c r="Q198" t="n">
        <v>0</v>
      </c>
      <c r="R198" s="2" t="inlineStr"/>
    </row>
    <row r="199" ht="15" customHeight="1">
      <c r="A199" t="inlineStr">
        <is>
          <t>A 52433-2021</t>
        </is>
      </c>
      <c r="B199" s="1" t="n">
        <v>44466.34726851852</v>
      </c>
      <c r="C199" s="1" t="n">
        <v>45974</v>
      </c>
      <c r="D199" t="inlineStr">
        <is>
          <t>KALMAR LÄN</t>
        </is>
      </c>
      <c r="E199" t="inlineStr">
        <is>
          <t>VIMMERBY</t>
        </is>
      </c>
      <c r="G199" t="n">
        <v>3.5</v>
      </c>
      <c r="H199" t="n">
        <v>0</v>
      </c>
      <c r="I199" t="n">
        <v>0</v>
      </c>
      <c r="J199" t="n">
        <v>0</v>
      </c>
      <c r="K199" t="n">
        <v>0</v>
      </c>
      <c r="L199" t="n">
        <v>0</v>
      </c>
      <c r="M199" t="n">
        <v>0</v>
      </c>
      <c r="N199" t="n">
        <v>0</v>
      </c>
      <c r="O199" t="n">
        <v>0</v>
      </c>
      <c r="P199" t="n">
        <v>0</v>
      </c>
      <c r="Q199" t="n">
        <v>0</v>
      </c>
      <c r="R199" s="2" t="inlineStr"/>
    </row>
    <row r="200" ht="15" customHeight="1">
      <c r="A200" t="inlineStr">
        <is>
          <t>A 50621-2022</t>
        </is>
      </c>
      <c r="B200" s="1" t="n">
        <v>44866.81100694444</v>
      </c>
      <c r="C200" s="1" t="n">
        <v>45974</v>
      </c>
      <c r="D200" t="inlineStr">
        <is>
          <t>KALMAR LÄN</t>
        </is>
      </c>
      <c r="E200" t="inlineStr">
        <is>
          <t>VIMMERBY</t>
        </is>
      </c>
      <c r="F200" t="inlineStr">
        <is>
          <t>Övriga Aktiebolag</t>
        </is>
      </c>
      <c r="G200" t="n">
        <v>5.1</v>
      </c>
      <c r="H200" t="n">
        <v>0</v>
      </c>
      <c r="I200" t="n">
        <v>0</v>
      </c>
      <c r="J200" t="n">
        <v>0</v>
      </c>
      <c r="K200" t="n">
        <v>0</v>
      </c>
      <c r="L200" t="n">
        <v>0</v>
      </c>
      <c r="M200" t="n">
        <v>0</v>
      </c>
      <c r="N200" t="n">
        <v>0</v>
      </c>
      <c r="O200" t="n">
        <v>0</v>
      </c>
      <c r="P200" t="n">
        <v>0</v>
      </c>
      <c r="Q200" t="n">
        <v>0</v>
      </c>
      <c r="R200" s="2" t="inlineStr"/>
    </row>
    <row r="201" ht="15" customHeight="1">
      <c r="A201" t="inlineStr">
        <is>
          <t>A 54065-2021</t>
        </is>
      </c>
      <c r="B201" s="1" t="n">
        <v>44470.44232638889</v>
      </c>
      <c r="C201" s="1" t="n">
        <v>45974</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3902-2022</t>
        </is>
      </c>
      <c r="B202" s="1" t="n">
        <v>44587.48847222222</v>
      </c>
      <c r="C202" s="1" t="n">
        <v>45974</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30070-2023</t>
        </is>
      </c>
      <c r="B203" s="1" t="n">
        <v>45110.4275</v>
      </c>
      <c r="C203" s="1" t="n">
        <v>45974</v>
      </c>
      <c r="D203" t="inlineStr">
        <is>
          <t>KALMAR LÄN</t>
        </is>
      </c>
      <c r="E203" t="inlineStr">
        <is>
          <t>VIMMERBY</t>
        </is>
      </c>
      <c r="G203" t="n">
        <v>1.6</v>
      </c>
      <c r="H203" t="n">
        <v>0</v>
      </c>
      <c r="I203" t="n">
        <v>0</v>
      </c>
      <c r="J203" t="n">
        <v>0</v>
      </c>
      <c r="K203" t="n">
        <v>0</v>
      </c>
      <c r="L203" t="n">
        <v>0</v>
      </c>
      <c r="M203" t="n">
        <v>0</v>
      </c>
      <c r="N203" t="n">
        <v>0</v>
      </c>
      <c r="O203" t="n">
        <v>0</v>
      </c>
      <c r="P203" t="n">
        <v>0</v>
      </c>
      <c r="Q203" t="n">
        <v>0</v>
      </c>
      <c r="R203" s="2" t="inlineStr"/>
    </row>
    <row r="204" ht="15" customHeight="1">
      <c r="A204" t="inlineStr">
        <is>
          <t>A 13180-2022</t>
        </is>
      </c>
      <c r="B204" s="1" t="n">
        <v>44644</v>
      </c>
      <c r="C204" s="1" t="n">
        <v>45974</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31824-2022</t>
        </is>
      </c>
      <c r="B205" s="1" t="n">
        <v>44776</v>
      </c>
      <c r="C205" s="1" t="n">
        <v>45974</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29186-2024</t>
        </is>
      </c>
      <c r="B206" s="1" t="n">
        <v>45482.54844907407</v>
      </c>
      <c r="C206" s="1" t="n">
        <v>45974</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31209-2024</t>
        </is>
      </c>
      <c r="B207" s="1" t="n">
        <v>45503.5658912037</v>
      </c>
      <c r="C207" s="1" t="n">
        <v>45974</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11733-2022</t>
        </is>
      </c>
      <c r="B208" s="1" t="n">
        <v>44634</v>
      </c>
      <c r="C208" s="1" t="n">
        <v>45974</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50993-2022</t>
        </is>
      </c>
      <c r="B209" s="1" t="n">
        <v>44867</v>
      </c>
      <c r="C209" s="1" t="n">
        <v>45974</v>
      </c>
      <c r="D209" t="inlineStr">
        <is>
          <t>KALMAR LÄN</t>
        </is>
      </c>
      <c r="E209" t="inlineStr">
        <is>
          <t>VIMMERBY</t>
        </is>
      </c>
      <c r="G209" t="n">
        <v>1.7</v>
      </c>
      <c r="H209" t="n">
        <v>0</v>
      </c>
      <c r="I209" t="n">
        <v>0</v>
      </c>
      <c r="J209" t="n">
        <v>0</v>
      </c>
      <c r="K209" t="n">
        <v>0</v>
      </c>
      <c r="L209" t="n">
        <v>0</v>
      </c>
      <c r="M209" t="n">
        <v>0</v>
      </c>
      <c r="N209" t="n">
        <v>0</v>
      </c>
      <c r="O209" t="n">
        <v>0</v>
      </c>
      <c r="P209" t="n">
        <v>0</v>
      </c>
      <c r="Q209" t="n">
        <v>0</v>
      </c>
      <c r="R209" s="2" t="inlineStr"/>
    </row>
    <row r="210" ht="15" customHeight="1">
      <c r="A210" t="inlineStr">
        <is>
          <t>A 7804-2022</t>
        </is>
      </c>
      <c r="B210" s="1" t="n">
        <v>44608.50458333334</v>
      </c>
      <c r="C210" s="1" t="n">
        <v>45974</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39042-2022</t>
        </is>
      </c>
      <c r="B211" s="1" t="n">
        <v>44817</v>
      </c>
      <c r="C211" s="1" t="n">
        <v>45974</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4527-2023</t>
        </is>
      </c>
      <c r="B212" s="1" t="n">
        <v>44956</v>
      </c>
      <c r="C212" s="1" t="n">
        <v>45974</v>
      </c>
      <c r="D212" t="inlineStr">
        <is>
          <t>KALMAR LÄN</t>
        </is>
      </c>
      <c r="E212" t="inlineStr">
        <is>
          <t>VIMMERBY</t>
        </is>
      </c>
      <c r="F212" t="inlineStr">
        <is>
          <t>Kommuner</t>
        </is>
      </c>
      <c r="G212" t="n">
        <v>8.5</v>
      </c>
      <c r="H212" t="n">
        <v>0</v>
      </c>
      <c r="I212" t="n">
        <v>0</v>
      </c>
      <c r="J212" t="n">
        <v>0</v>
      </c>
      <c r="K212" t="n">
        <v>0</v>
      </c>
      <c r="L212" t="n">
        <v>0</v>
      </c>
      <c r="M212" t="n">
        <v>0</v>
      </c>
      <c r="N212" t="n">
        <v>0</v>
      </c>
      <c r="O212" t="n">
        <v>0</v>
      </c>
      <c r="P212" t="n">
        <v>0</v>
      </c>
      <c r="Q212" t="n">
        <v>0</v>
      </c>
      <c r="R212" s="2" t="inlineStr"/>
    </row>
    <row r="213" ht="15" customHeight="1">
      <c r="A213" t="inlineStr">
        <is>
          <t>A 12586-2021</t>
        </is>
      </c>
      <c r="B213" s="1" t="n">
        <v>44270.38002314815</v>
      </c>
      <c r="C213" s="1" t="n">
        <v>45974</v>
      </c>
      <c r="D213" t="inlineStr">
        <is>
          <t>KALMAR LÄN</t>
        </is>
      </c>
      <c r="E213" t="inlineStr">
        <is>
          <t>VIMMERBY</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16288-2021</t>
        </is>
      </c>
      <c r="B214" s="1" t="n">
        <v>44292</v>
      </c>
      <c r="C214" s="1" t="n">
        <v>45974</v>
      </c>
      <c r="D214" t="inlineStr">
        <is>
          <t>KALMAR LÄN</t>
        </is>
      </c>
      <c r="E214" t="inlineStr">
        <is>
          <t>VIMMERBY</t>
        </is>
      </c>
      <c r="F214" t="inlineStr">
        <is>
          <t>Övriga Aktiebolag</t>
        </is>
      </c>
      <c r="G214" t="n">
        <v>27.6</v>
      </c>
      <c r="H214" t="n">
        <v>0</v>
      </c>
      <c r="I214" t="n">
        <v>0</v>
      </c>
      <c r="J214" t="n">
        <v>0</v>
      </c>
      <c r="K214" t="n">
        <v>0</v>
      </c>
      <c r="L214" t="n">
        <v>0</v>
      </c>
      <c r="M214" t="n">
        <v>0</v>
      </c>
      <c r="N214" t="n">
        <v>0</v>
      </c>
      <c r="O214" t="n">
        <v>0</v>
      </c>
      <c r="P214" t="n">
        <v>0</v>
      </c>
      <c r="Q214" t="n">
        <v>0</v>
      </c>
      <c r="R214" s="2" t="inlineStr"/>
    </row>
    <row r="215" ht="15" customHeight="1">
      <c r="A215" t="inlineStr">
        <is>
          <t>A 5864-2022</t>
        </is>
      </c>
      <c r="B215" s="1" t="n">
        <v>44596</v>
      </c>
      <c r="C215" s="1" t="n">
        <v>45974</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54787-2023</t>
        </is>
      </c>
      <c r="B216" s="1" t="n">
        <v>45236</v>
      </c>
      <c r="C216" s="1" t="n">
        <v>45974</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30912-2023</t>
        </is>
      </c>
      <c r="B217" s="1" t="n">
        <v>45113.41633101852</v>
      </c>
      <c r="C217" s="1" t="n">
        <v>45974</v>
      </c>
      <c r="D217" t="inlineStr">
        <is>
          <t>KALMAR LÄN</t>
        </is>
      </c>
      <c r="E217" t="inlineStr">
        <is>
          <t>VIMMERBY</t>
        </is>
      </c>
      <c r="G217" t="n">
        <v>5</v>
      </c>
      <c r="H217" t="n">
        <v>0</v>
      </c>
      <c r="I217" t="n">
        <v>0</v>
      </c>
      <c r="J217" t="n">
        <v>0</v>
      </c>
      <c r="K217" t="n">
        <v>0</v>
      </c>
      <c r="L217" t="n">
        <v>0</v>
      </c>
      <c r="M217" t="n">
        <v>0</v>
      </c>
      <c r="N217" t="n">
        <v>0</v>
      </c>
      <c r="O217" t="n">
        <v>0</v>
      </c>
      <c r="P217" t="n">
        <v>0</v>
      </c>
      <c r="Q217" t="n">
        <v>0</v>
      </c>
      <c r="R217" s="2" t="inlineStr"/>
    </row>
    <row r="218" ht="15" customHeight="1">
      <c r="A218" t="inlineStr">
        <is>
          <t>A 1146-2025</t>
        </is>
      </c>
      <c r="B218" s="1" t="n">
        <v>45666</v>
      </c>
      <c r="C218" s="1" t="n">
        <v>45974</v>
      </c>
      <c r="D218" t="inlineStr">
        <is>
          <t>KALMAR LÄN</t>
        </is>
      </c>
      <c r="E218" t="inlineStr">
        <is>
          <t>VIMMERBY</t>
        </is>
      </c>
      <c r="G218" t="n">
        <v>4</v>
      </c>
      <c r="H218" t="n">
        <v>0</v>
      </c>
      <c r="I218" t="n">
        <v>0</v>
      </c>
      <c r="J218" t="n">
        <v>0</v>
      </c>
      <c r="K218" t="n">
        <v>0</v>
      </c>
      <c r="L218" t="n">
        <v>0</v>
      </c>
      <c r="M218" t="n">
        <v>0</v>
      </c>
      <c r="N218" t="n">
        <v>0</v>
      </c>
      <c r="O218" t="n">
        <v>0</v>
      </c>
      <c r="P218" t="n">
        <v>0</v>
      </c>
      <c r="Q218" t="n">
        <v>0</v>
      </c>
      <c r="R218" s="2" t="inlineStr"/>
    </row>
    <row r="219" ht="15" customHeight="1">
      <c r="A219" t="inlineStr">
        <is>
          <t>A 4076-2022</t>
        </is>
      </c>
      <c r="B219" s="1" t="n">
        <v>44588.37998842593</v>
      </c>
      <c r="C219" s="1" t="n">
        <v>45974</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4122-2022</t>
        </is>
      </c>
      <c r="B220" s="1" t="n">
        <v>44588</v>
      </c>
      <c r="C220" s="1" t="n">
        <v>45974</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32614-2023</t>
        </is>
      </c>
      <c r="B221" s="1" t="n">
        <v>45121</v>
      </c>
      <c r="C221" s="1" t="n">
        <v>45974</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58374-2024</t>
        </is>
      </c>
      <c r="B222" s="1" t="n">
        <v>45632.72635416667</v>
      </c>
      <c r="C222" s="1" t="n">
        <v>45974</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6850-2023</t>
        </is>
      </c>
      <c r="B223" s="1" t="n">
        <v>44967.44255787037</v>
      </c>
      <c r="C223" s="1" t="n">
        <v>45974</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58750-2022</t>
        </is>
      </c>
      <c r="B224" s="1" t="n">
        <v>44903.33363425926</v>
      </c>
      <c r="C224" s="1" t="n">
        <v>45974</v>
      </c>
      <c r="D224" t="inlineStr">
        <is>
          <t>KALMAR LÄN</t>
        </is>
      </c>
      <c r="E224" t="inlineStr">
        <is>
          <t>VIMMERBY</t>
        </is>
      </c>
      <c r="G224" t="n">
        <v>3.3</v>
      </c>
      <c r="H224" t="n">
        <v>0</v>
      </c>
      <c r="I224" t="n">
        <v>0</v>
      </c>
      <c r="J224" t="n">
        <v>0</v>
      </c>
      <c r="K224" t="n">
        <v>0</v>
      </c>
      <c r="L224" t="n">
        <v>0</v>
      </c>
      <c r="M224" t="n">
        <v>0</v>
      </c>
      <c r="N224" t="n">
        <v>0</v>
      </c>
      <c r="O224" t="n">
        <v>0</v>
      </c>
      <c r="P224" t="n">
        <v>0</v>
      </c>
      <c r="Q224" t="n">
        <v>0</v>
      </c>
      <c r="R224" s="2" t="inlineStr"/>
    </row>
    <row r="225" ht="15" customHeight="1">
      <c r="A225" t="inlineStr">
        <is>
          <t>A 41158-2023</t>
        </is>
      </c>
      <c r="B225" s="1" t="n">
        <v>45174.31395833333</v>
      </c>
      <c r="C225" s="1" t="n">
        <v>45974</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42850-2022</t>
        </is>
      </c>
      <c r="B226" s="1" t="n">
        <v>44832.67608796297</v>
      </c>
      <c r="C226" s="1" t="n">
        <v>45974</v>
      </c>
      <c r="D226" t="inlineStr">
        <is>
          <t>KALMAR LÄN</t>
        </is>
      </c>
      <c r="E226" t="inlineStr">
        <is>
          <t>VIMMERBY</t>
        </is>
      </c>
      <c r="G226" t="n">
        <v>5.9</v>
      </c>
      <c r="H226" t="n">
        <v>0</v>
      </c>
      <c r="I226" t="n">
        <v>0</v>
      </c>
      <c r="J226" t="n">
        <v>0</v>
      </c>
      <c r="K226" t="n">
        <v>0</v>
      </c>
      <c r="L226" t="n">
        <v>0</v>
      </c>
      <c r="M226" t="n">
        <v>0</v>
      </c>
      <c r="N226" t="n">
        <v>0</v>
      </c>
      <c r="O226" t="n">
        <v>0</v>
      </c>
      <c r="P226" t="n">
        <v>0</v>
      </c>
      <c r="Q226" t="n">
        <v>0</v>
      </c>
      <c r="R226" s="2" t="inlineStr"/>
    </row>
    <row r="227" ht="15" customHeight="1">
      <c r="A227" t="inlineStr">
        <is>
          <t>A 2510-2023</t>
        </is>
      </c>
      <c r="B227" s="1" t="n">
        <v>44943.57309027778</v>
      </c>
      <c r="C227" s="1" t="n">
        <v>45974</v>
      </c>
      <c r="D227" t="inlineStr">
        <is>
          <t>KALMAR LÄN</t>
        </is>
      </c>
      <c r="E227" t="inlineStr">
        <is>
          <t>VIMMERBY</t>
        </is>
      </c>
      <c r="G227" t="n">
        <v>8.6</v>
      </c>
      <c r="H227" t="n">
        <v>0</v>
      </c>
      <c r="I227" t="n">
        <v>0</v>
      </c>
      <c r="J227" t="n">
        <v>0</v>
      </c>
      <c r="K227" t="n">
        <v>0</v>
      </c>
      <c r="L227" t="n">
        <v>0</v>
      </c>
      <c r="M227" t="n">
        <v>0</v>
      </c>
      <c r="N227" t="n">
        <v>0</v>
      </c>
      <c r="O227" t="n">
        <v>0</v>
      </c>
      <c r="P227" t="n">
        <v>0</v>
      </c>
      <c r="Q227" t="n">
        <v>0</v>
      </c>
      <c r="R227" s="2" t="inlineStr"/>
    </row>
    <row r="228" ht="15" customHeight="1">
      <c r="A228" t="inlineStr">
        <is>
          <t>A 56659-2023</t>
        </is>
      </c>
      <c r="B228" s="1" t="n">
        <v>45243.84869212963</v>
      </c>
      <c r="C228" s="1" t="n">
        <v>45974</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13015-2022</t>
        </is>
      </c>
      <c r="B229" s="1" t="n">
        <v>44643</v>
      </c>
      <c r="C229" s="1" t="n">
        <v>45974</v>
      </c>
      <c r="D229" t="inlineStr">
        <is>
          <t>KALMAR LÄN</t>
        </is>
      </c>
      <c r="E229" t="inlineStr">
        <is>
          <t>VIMMERBY</t>
        </is>
      </c>
      <c r="G229" t="n">
        <v>2.4</v>
      </c>
      <c r="H229" t="n">
        <v>0</v>
      </c>
      <c r="I229" t="n">
        <v>0</v>
      </c>
      <c r="J229" t="n">
        <v>0</v>
      </c>
      <c r="K229" t="n">
        <v>0</v>
      </c>
      <c r="L229" t="n">
        <v>0</v>
      </c>
      <c r="M229" t="n">
        <v>0</v>
      </c>
      <c r="N229" t="n">
        <v>0</v>
      </c>
      <c r="O229" t="n">
        <v>0</v>
      </c>
      <c r="P229" t="n">
        <v>0</v>
      </c>
      <c r="Q229" t="n">
        <v>0</v>
      </c>
      <c r="R229" s="2" t="inlineStr"/>
    </row>
    <row r="230" ht="15" customHeight="1">
      <c r="A230" t="inlineStr">
        <is>
          <t>A 62023-2022</t>
        </is>
      </c>
      <c r="B230" s="1" t="n">
        <v>44918.50106481482</v>
      </c>
      <c r="C230" s="1" t="n">
        <v>45974</v>
      </c>
      <c r="D230" t="inlineStr">
        <is>
          <t>KALMAR LÄN</t>
        </is>
      </c>
      <c r="E230" t="inlineStr">
        <is>
          <t>VIMMERBY</t>
        </is>
      </c>
      <c r="G230" t="n">
        <v>0.3</v>
      </c>
      <c r="H230" t="n">
        <v>0</v>
      </c>
      <c r="I230" t="n">
        <v>0</v>
      </c>
      <c r="J230" t="n">
        <v>0</v>
      </c>
      <c r="K230" t="n">
        <v>0</v>
      </c>
      <c r="L230" t="n">
        <v>0</v>
      </c>
      <c r="M230" t="n">
        <v>0</v>
      </c>
      <c r="N230" t="n">
        <v>0</v>
      </c>
      <c r="O230" t="n">
        <v>0</v>
      </c>
      <c r="P230" t="n">
        <v>0</v>
      </c>
      <c r="Q230" t="n">
        <v>0</v>
      </c>
      <c r="R230" s="2" t="inlineStr"/>
    </row>
    <row r="231" ht="15" customHeight="1">
      <c r="A231" t="inlineStr">
        <is>
          <t>A 3269-2024</t>
        </is>
      </c>
      <c r="B231" s="1" t="n">
        <v>45317.40372685185</v>
      </c>
      <c r="C231" s="1" t="n">
        <v>45974</v>
      </c>
      <c r="D231" t="inlineStr">
        <is>
          <t>KALMAR LÄN</t>
        </is>
      </c>
      <c r="E231" t="inlineStr">
        <is>
          <t>VIMMERBY</t>
        </is>
      </c>
      <c r="F231" t="inlineStr">
        <is>
          <t>Övriga Aktiebolag</t>
        </is>
      </c>
      <c r="G231" t="n">
        <v>1.7</v>
      </c>
      <c r="H231" t="n">
        <v>0</v>
      </c>
      <c r="I231" t="n">
        <v>0</v>
      </c>
      <c r="J231" t="n">
        <v>0</v>
      </c>
      <c r="K231" t="n">
        <v>0</v>
      </c>
      <c r="L231" t="n">
        <v>0</v>
      </c>
      <c r="M231" t="n">
        <v>0</v>
      </c>
      <c r="N231" t="n">
        <v>0</v>
      </c>
      <c r="O231" t="n">
        <v>0</v>
      </c>
      <c r="P231" t="n">
        <v>0</v>
      </c>
      <c r="Q231" t="n">
        <v>0</v>
      </c>
      <c r="R231" s="2" t="inlineStr"/>
    </row>
    <row r="232" ht="15" customHeight="1">
      <c r="A232" t="inlineStr">
        <is>
          <t>A 48120-2022</t>
        </is>
      </c>
      <c r="B232" s="1" t="n">
        <v>44857.65989583333</v>
      </c>
      <c r="C232" s="1" t="n">
        <v>45974</v>
      </c>
      <c r="D232" t="inlineStr">
        <is>
          <t>KALMAR LÄN</t>
        </is>
      </c>
      <c r="E232" t="inlineStr">
        <is>
          <t>VIMMERBY</t>
        </is>
      </c>
      <c r="G232" t="n">
        <v>1.7</v>
      </c>
      <c r="H232" t="n">
        <v>0</v>
      </c>
      <c r="I232" t="n">
        <v>0</v>
      </c>
      <c r="J232" t="n">
        <v>0</v>
      </c>
      <c r="K232" t="n">
        <v>0</v>
      </c>
      <c r="L232" t="n">
        <v>0</v>
      </c>
      <c r="M232" t="n">
        <v>0</v>
      </c>
      <c r="N232" t="n">
        <v>0</v>
      </c>
      <c r="O232" t="n">
        <v>0</v>
      </c>
      <c r="P232" t="n">
        <v>0</v>
      </c>
      <c r="Q232" t="n">
        <v>0</v>
      </c>
      <c r="R232" s="2" t="inlineStr"/>
    </row>
    <row r="233" ht="15" customHeight="1">
      <c r="A233" t="inlineStr">
        <is>
          <t>A 6368-2023</t>
        </is>
      </c>
      <c r="B233" s="1" t="n">
        <v>44965</v>
      </c>
      <c r="C233" s="1" t="n">
        <v>45974</v>
      </c>
      <c r="D233" t="inlineStr">
        <is>
          <t>KALMAR LÄN</t>
        </is>
      </c>
      <c r="E233" t="inlineStr">
        <is>
          <t>VIMMERBY</t>
        </is>
      </c>
      <c r="G233" t="n">
        <v>1.3</v>
      </c>
      <c r="H233" t="n">
        <v>0</v>
      </c>
      <c r="I233" t="n">
        <v>0</v>
      </c>
      <c r="J233" t="n">
        <v>0</v>
      </c>
      <c r="K233" t="n">
        <v>0</v>
      </c>
      <c r="L233" t="n">
        <v>0</v>
      </c>
      <c r="M233" t="n">
        <v>0</v>
      </c>
      <c r="N233" t="n">
        <v>0</v>
      </c>
      <c r="O233" t="n">
        <v>0</v>
      </c>
      <c r="P233" t="n">
        <v>0</v>
      </c>
      <c r="Q233" t="n">
        <v>0</v>
      </c>
      <c r="R233" s="2" t="inlineStr"/>
    </row>
    <row r="234" ht="15" customHeight="1">
      <c r="A234" t="inlineStr">
        <is>
          <t>A 9416-2024</t>
        </is>
      </c>
      <c r="B234" s="1" t="n">
        <v>45359.44837962963</v>
      </c>
      <c r="C234" s="1" t="n">
        <v>45974</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30402-2023</t>
        </is>
      </c>
      <c r="B235" s="1" t="n">
        <v>45111.48395833333</v>
      </c>
      <c r="C235" s="1" t="n">
        <v>45974</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16119-2023</t>
        </is>
      </c>
      <c r="B236" s="1" t="n">
        <v>45027.59450231482</v>
      </c>
      <c r="C236" s="1" t="n">
        <v>45974</v>
      </c>
      <c r="D236" t="inlineStr">
        <is>
          <t>KALMAR LÄN</t>
        </is>
      </c>
      <c r="E236" t="inlineStr">
        <is>
          <t>VIMMERBY</t>
        </is>
      </c>
      <c r="F236" t="inlineStr">
        <is>
          <t>Kommuner</t>
        </is>
      </c>
      <c r="G236" t="n">
        <v>4.4</v>
      </c>
      <c r="H236" t="n">
        <v>0</v>
      </c>
      <c r="I236" t="n">
        <v>0</v>
      </c>
      <c r="J236" t="n">
        <v>0</v>
      </c>
      <c r="K236" t="n">
        <v>0</v>
      </c>
      <c r="L236" t="n">
        <v>0</v>
      </c>
      <c r="M236" t="n">
        <v>0</v>
      </c>
      <c r="N236" t="n">
        <v>0</v>
      </c>
      <c r="O236" t="n">
        <v>0</v>
      </c>
      <c r="P236" t="n">
        <v>0</v>
      </c>
      <c r="Q236" t="n">
        <v>0</v>
      </c>
      <c r="R236" s="2" t="inlineStr"/>
    </row>
    <row r="237" ht="15" customHeight="1">
      <c r="A237" t="inlineStr">
        <is>
          <t>A 17968-2025</t>
        </is>
      </c>
      <c r="B237" s="1" t="n">
        <v>45761.35990740741</v>
      </c>
      <c r="C237" s="1" t="n">
        <v>45974</v>
      </c>
      <c r="D237" t="inlineStr">
        <is>
          <t>KALMAR LÄN</t>
        </is>
      </c>
      <c r="E237" t="inlineStr">
        <is>
          <t>VIMMERBY</t>
        </is>
      </c>
      <c r="G237" t="n">
        <v>3.3</v>
      </c>
      <c r="H237" t="n">
        <v>0</v>
      </c>
      <c r="I237" t="n">
        <v>0</v>
      </c>
      <c r="J237" t="n">
        <v>0</v>
      </c>
      <c r="K237" t="n">
        <v>0</v>
      </c>
      <c r="L237" t="n">
        <v>0</v>
      </c>
      <c r="M237" t="n">
        <v>0</v>
      </c>
      <c r="N237" t="n">
        <v>0</v>
      </c>
      <c r="O237" t="n">
        <v>0</v>
      </c>
      <c r="P237" t="n">
        <v>0</v>
      </c>
      <c r="Q237" t="n">
        <v>0</v>
      </c>
      <c r="R237" s="2" t="inlineStr"/>
    </row>
    <row r="238" ht="15" customHeight="1">
      <c r="A238" t="inlineStr">
        <is>
          <t>A 52327-2023</t>
        </is>
      </c>
      <c r="B238" s="1" t="n">
        <v>45224.6515162037</v>
      </c>
      <c r="C238" s="1" t="n">
        <v>45974</v>
      </c>
      <c r="D238" t="inlineStr">
        <is>
          <t>KALMAR LÄN</t>
        </is>
      </c>
      <c r="E238" t="inlineStr">
        <is>
          <t>VIMMERBY</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12075-2024</t>
        </is>
      </c>
      <c r="B239" s="1" t="n">
        <v>45377</v>
      </c>
      <c r="C239" s="1" t="n">
        <v>45974</v>
      </c>
      <c r="D239" t="inlineStr">
        <is>
          <t>KALMAR LÄN</t>
        </is>
      </c>
      <c r="E239" t="inlineStr">
        <is>
          <t>VIMMERBY</t>
        </is>
      </c>
      <c r="G239" t="n">
        <v>3.7</v>
      </c>
      <c r="H239" t="n">
        <v>0</v>
      </c>
      <c r="I239" t="n">
        <v>0</v>
      </c>
      <c r="J239" t="n">
        <v>0</v>
      </c>
      <c r="K239" t="n">
        <v>0</v>
      </c>
      <c r="L239" t="n">
        <v>0</v>
      </c>
      <c r="M239" t="n">
        <v>0</v>
      </c>
      <c r="N239" t="n">
        <v>0</v>
      </c>
      <c r="O239" t="n">
        <v>0</v>
      </c>
      <c r="P239" t="n">
        <v>0</v>
      </c>
      <c r="Q239" t="n">
        <v>0</v>
      </c>
      <c r="R239" s="2" t="inlineStr"/>
    </row>
    <row r="240" ht="15" customHeight="1">
      <c r="A240" t="inlineStr">
        <is>
          <t>A 29348-2023</t>
        </is>
      </c>
      <c r="B240" s="1" t="n">
        <v>45106.25025462963</v>
      </c>
      <c r="C240" s="1" t="n">
        <v>45974</v>
      </c>
      <c r="D240" t="inlineStr">
        <is>
          <t>KALMAR LÄN</t>
        </is>
      </c>
      <c r="E240" t="inlineStr">
        <is>
          <t>VIMMERBY</t>
        </is>
      </c>
      <c r="G240" t="n">
        <v>2.4</v>
      </c>
      <c r="H240" t="n">
        <v>0</v>
      </c>
      <c r="I240" t="n">
        <v>0</v>
      </c>
      <c r="J240" t="n">
        <v>0</v>
      </c>
      <c r="K240" t="n">
        <v>0</v>
      </c>
      <c r="L240" t="n">
        <v>0</v>
      </c>
      <c r="M240" t="n">
        <v>0</v>
      </c>
      <c r="N240" t="n">
        <v>0</v>
      </c>
      <c r="O240" t="n">
        <v>0</v>
      </c>
      <c r="P240" t="n">
        <v>0</v>
      </c>
      <c r="Q240" t="n">
        <v>0</v>
      </c>
      <c r="R240" s="2" t="inlineStr"/>
    </row>
    <row r="241" ht="15" customHeight="1">
      <c r="A241" t="inlineStr">
        <is>
          <t>A 2797-2023</t>
        </is>
      </c>
      <c r="B241" s="1" t="n">
        <v>44944.71386574074</v>
      </c>
      <c r="C241" s="1" t="n">
        <v>45974</v>
      </c>
      <c r="D241" t="inlineStr">
        <is>
          <t>KALMAR LÄN</t>
        </is>
      </c>
      <c r="E241" t="inlineStr">
        <is>
          <t>VIMMERBY</t>
        </is>
      </c>
      <c r="G241" t="n">
        <v>3.4</v>
      </c>
      <c r="H241" t="n">
        <v>0</v>
      </c>
      <c r="I241" t="n">
        <v>0</v>
      </c>
      <c r="J241" t="n">
        <v>0</v>
      </c>
      <c r="K241" t="n">
        <v>0</v>
      </c>
      <c r="L241" t="n">
        <v>0</v>
      </c>
      <c r="M241" t="n">
        <v>0</v>
      </c>
      <c r="N241" t="n">
        <v>0</v>
      </c>
      <c r="O241" t="n">
        <v>0</v>
      </c>
      <c r="P241" t="n">
        <v>0</v>
      </c>
      <c r="Q241" t="n">
        <v>0</v>
      </c>
      <c r="R241" s="2" t="inlineStr"/>
    </row>
    <row r="242" ht="15" customHeight="1">
      <c r="A242" t="inlineStr">
        <is>
          <t>A 2799-2023</t>
        </is>
      </c>
      <c r="B242" s="1" t="n">
        <v>44944.72100694444</v>
      </c>
      <c r="C242" s="1" t="n">
        <v>45974</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6028-2023</t>
        </is>
      </c>
      <c r="B243" s="1" t="n">
        <v>44964.44356481481</v>
      </c>
      <c r="C243" s="1" t="n">
        <v>45974</v>
      </c>
      <c r="D243" t="inlineStr">
        <is>
          <t>KALMAR LÄN</t>
        </is>
      </c>
      <c r="E243" t="inlineStr">
        <is>
          <t>VIMMERBY</t>
        </is>
      </c>
      <c r="G243" t="n">
        <v>2.5</v>
      </c>
      <c r="H243" t="n">
        <v>0</v>
      </c>
      <c r="I243" t="n">
        <v>0</v>
      </c>
      <c r="J243" t="n">
        <v>0</v>
      </c>
      <c r="K243" t="n">
        <v>0</v>
      </c>
      <c r="L243" t="n">
        <v>0</v>
      </c>
      <c r="M243" t="n">
        <v>0</v>
      </c>
      <c r="N243" t="n">
        <v>0</v>
      </c>
      <c r="O243" t="n">
        <v>0</v>
      </c>
      <c r="P243" t="n">
        <v>0</v>
      </c>
      <c r="Q243" t="n">
        <v>0</v>
      </c>
      <c r="R243" s="2" t="inlineStr"/>
    </row>
    <row r="244" ht="15" customHeight="1">
      <c r="A244" t="inlineStr">
        <is>
          <t>A 55436-2023</t>
        </is>
      </c>
      <c r="B244" s="1" t="n">
        <v>45238.4328587963</v>
      </c>
      <c r="C244" s="1" t="n">
        <v>45974</v>
      </c>
      <c r="D244" t="inlineStr">
        <is>
          <t>KALMAR LÄN</t>
        </is>
      </c>
      <c r="E244" t="inlineStr">
        <is>
          <t>VIMMERBY</t>
        </is>
      </c>
      <c r="G244" t="n">
        <v>5.6</v>
      </c>
      <c r="H244" t="n">
        <v>0</v>
      </c>
      <c r="I244" t="n">
        <v>0</v>
      </c>
      <c r="J244" t="n">
        <v>0</v>
      </c>
      <c r="K244" t="n">
        <v>0</v>
      </c>
      <c r="L244" t="n">
        <v>0</v>
      </c>
      <c r="M244" t="n">
        <v>0</v>
      </c>
      <c r="N244" t="n">
        <v>0</v>
      </c>
      <c r="O244" t="n">
        <v>0</v>
      </c>
      <c r="P244" t="n">
        <v>0</v>
      </c>
      <c r="Q244" t="n">
        <v>0</v>
      </c>
      <c r="R244" s="2" t="inlineStr"/>
    </row>
    <row r="245" ht="15" customHeight="1">
      <c r="A245" t="inlineStr">
        <is>
          <t>A 31340-2023</t>
        </is>
      </c>
      <c r="B245" s="1" t="n">
        <v>45114.47895833333</v>
      </c>
      <c r="C245" s="1" t="n">
        <v>45974</v>
      </c>
      <c r="D245" t="inlineStr">
        <is>
          <t>KALMAR LÄN</t>
        </is>
      </c>
      <c r="E245" t="inlineStr">
        <is>
          <t>VIMMERBY</t>
        </is>
      </c>
      <c r="G245" t="n">
        <v>1.8</v>
      </c>
      <c r="H245" t="n">
        <v>0</v>
      </c>
      <c r="I245" t="n">
        <v>0</v>
      </c>
      <c r="J245" t="n">
        <v>0</v>
      </c>
      <c r="K245" t="n">
        <v>0</v>
      </c>
      <c r="L245" t="n">
        <v>0</v>
      </c>
      <c r="M245" t="n">
        <v>0</v>
      </c>
      <c r="N245" t="n">
        <v>0</v>
      </c>
      <c r="O245" t="n">
        <v>0</v>
      </c>
      <c r="P245" t="n">
        <v>0</v>
      </c>
      <c r="Q245" t="n">
        <v>0</v>
      </c>
      <c r="R245" s="2" t="inlineStr"/>
    </row>
    <row r="246" ht="15" customHeight="1">
      <c r="A246" t="inlineStr">
        <is>
          <t>A 25987-2024</t>
        </is>
      </c>
      <c r="B246" s="1" t="n">
        <v>45467.74417824074</v>
      </c>
      <c r="C246" s="1" t="n">
        <v>45974</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22194-2024</t>
        </is>
      </c>
      <c r="B247" s="1" t="n">
        <v>45446.36482638889</v>
      </c>
      <c r="C247" s="1" t="n">
        <v>45974</v>
      </c>
      <c r="D247" t="inlineStr">
        <is>
          <t>KALMAR LÄN</t>
        </is>
      </c>
      <c r="E247" t="inlineStr">
        <is>
          <t>VIMMERBY</t>
        </is>
      </c>
      <c r="F247" t="inlineStr">
        <is>
          <t>Sveaskog</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11609-2023</t>
        </is>
      </c>
      <c r="B248" s="1" t="n">
        <v>44994.40635416667</v>
      </c>
      <c r="C248" s="1" t="n">
        <v>45974</v>
      </c>
      <c r="D248" t="inlineStr">
        <is>
          <t>KALMAR LÄN</t>
        </is>
      </c>
      <c r="E248" t="inlineStr">
        <is>
          <t>VIMMERBY</t>
        </is>
      </c>
      <c r="G248" t="n">
        <v>4.9</v>
      </c>
      <c r="H248" t="n">
        <v>0</v>
      </c>
      <c r="I248" t="n">
        <v>0</v>
      </c>
      <c r="J248" t="n">
        <v>0</v>
      </c>
      <c r="K248" t="n">
        <v>0</v>
      </c>
      <c r="L248" t="n">
        <v>0</v>
      </c>
      <c r="M248" t="n">
        <v>0</v>
      </c>
      <c r="N248" t="n">
        <v>0</v>
      </c>
      <c r="O248" t="n">
        <v>0</v>
      </c>
      <c r="P248" t="n">
        <v>0</v>
      </c>
      <c r="Q248" t="n">
        <v>0</v>
      </c>
      <c r="R248" s="2" t="inlineStr"/>
    </row>
    <row r="249" ht="15" customHeight="1">
      <c r="A249" t="inlineStr">
        <is>
          <t>A 65961-2020</t>
        </is>
      </c>
      <c r="B249" s="1" t="n">
        <v>44175.39748842592</v>
      </c>
      <c r="C249" s="1" t="n">
        <v>45974</v>
      </c>
      <c r="D249" t="inlineStr">
        <is>
          <t>KALMAR LÄN</t>
        </is>
      </c>
      <c r="E249" t="inlineStr">
        <is>
          <t>VIMMERBY</t>
        </is>
      </c>
      <c r="G249" t="n">
        <v>2.6</v>
      </c>
      <c r="H249" t="n">
        <v>0</v>
      </c>
      <c r="I249" t="n">
        <v>0</v>
      </c>
      <c r="J249" t="n">
        <v>0</v>
      </c>
      <c r="K249" t="n">
        <v>0</v>
      </c>
      <c r="L249" t="n">
        <v>0</v>
      </c>
      <c r="M249" t="n">
        <v>0</v>
      </c>
      <c r="N249" t="n">
        <v>0</v>
      </c>
      <c r="O249" t="n">
        <v>0</v>
      </c>
      <c r="P249" t="n">
        <v>0</v>
      </c>
      <c r="Q249" t="n">
        <v>0</v>
      </c>
      <c r="R249" s="2" t="inlineStr"/>
    </row>
    <row r="250" ht="15" customHeight="1">
      <c r="A250" t="inlineStr">
        <is>
          <t>A 19865-2021</t>
        </is>
      </c>
      <c r="B250" s="1" t="n">
        <v>44312</v>
      </c>
      <c r="C250" s="1" t="n">
        <v>45974</v>
      </c>
      <c r="D250" t="inlineStr">
        <is>
          <t>KALMAR LÄN</t>
        </is>
      </c>
      <c r="E250" t="inlineStr">
        <is>
          <t>VIMMERBY</t>
        </is>
      </c>
      <c r="G250" t="n">
        <v>8.6</v>
      </c>
      <c r="H250" t="n">
        <v>0</v>
      </c>
      <c r="I250" t="n">
        <v>0</v>
      </c>
      <c r="J250" t="n">
        <v>0</v>
      </c>
      <c r="K250" t="n">
        <v>0</v>
      </c>
      <c r="L250" t="n">
        <v>0</v>
      </c>
      <c r="M250" t="n">
        <v>0</v>
      </c>
      <c r="N250" t="n">
        <v>0</v>
      </c>
      <c r="O250" t="n">
        <v>0</v>
      </c>
      <c r="P250" t="n">
        <v>0</v>
      </c>
      <c r="Q250" t="n">
        <v>0</v>
      </c>
      <c r="R250" s="2" t="inlineStr"/>
    </row>
    <row r="251" ht="15" customHeight="1">
      <c r="A251" t="inlineStr">
        <is>
          <t>A 16983-2023</t>
        </is>
      </c>
      <c r="B251" s="1" t="n">
        <v>45033.76043981482</v>
      </c>
      <c r="C251" s="1" t="n">
        <v>45974</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56582-2022</t>
        </is>
      </c>
      <c r="B252" s="1" t="n">
        <v>44893</v>
      </c>
      <c r="C252" s="1" t="n">
        <v>45974</v>
      </c>
      <c r="D252" t="inlineStr">
        <is>
          <t>KALMAR LÄN</t>
        </is>
      </c>
      <c r="E252" t="inlineStr">
        <is>
          <t>VIMMERBY</t>
        </is>
      </c>
      <c r="G252" t="n">
        <v>2.2</v>
      </c>
      <c r="H252" t="n">
        <v>0</v>
      </c>
      <c r="I252" t="n">
        <v>0</v>
      </c>
      <c r="J252" t="n">
        <v>0</v>
      </c>
      <c r="K252" t="n">
        <v>0</v>
      </c>
      <c r="L252" t="n">
        <v>0</v>
      </c>
      <c r="M252" t="n">
        <v>0</v>
      </c>
      <c r="N252" t="n">
        <v>0</v>
      </c>
      <c r="O252" t="n">
        <v>0</v>
      </c>
      <c r="P252" t="n">
        <v>0</v>
      </c>
      <c r="Q252" t="n">
        <v>0</v>
      </c>
      <c r="R252" s="2" t="inlineStr"/>
    </row>
    <row r="253" ht="15" customHeight="1">
      <c r="A253" t="inlineStr">
        <is>
          <t>A 12630-2023</t>
        </is>
      </c>
      <c r="B253" s="1" t="n">
        <v>45000.47998842593</v>
      </c>
      <c r="C253" s="1" t="n">
        <v>45974</v>
      </c>
      <c r="D253" t="inlineStr">
        <is>
          <t>KALMAR LÄN</t>
        </is>
      </c>
      <c r="E253" t="inlineStr">
        <is>
          <t>VIMMERBY</t>
        </is>
      </c>
      <c r="G253" t="n">
        <v>2.1</v>
      </c>
      <c r="H253" t="n">
        <v>0</v>
      </c>
      <c r="I253" t="n">
        <v>0</v>
      </c>
      <c r="J253" t="n">
        <v>0</v>
      </c>
      <c r="K253" t="n">
        <v>0</v>
      </c>
      <c r="L253" t="n">
        <v>0</v>
      </c>
      <c r="M253" t="n">
        <v>0</v>
      </c>
      <c r="N253" t="n">
        <v>0</v>
      </c>
      <c r="O253" t="n">
        <v>0</v>
      </c>
      <c r="P253" t="n">
        <v>0</v>
      </c>
      <c r="Q253" t="n">
        <v>0</v>
      </c>
      <c r="R253" s="2" t="inlineStr"/>
    </row>
    <row r="254" ht="15" customHeight="1">
      <c r="A254" t="inlineStr">
        <is>
          <t>A 7758-2024</t>
        </is>
      </c>
      <c r="B254" s="1" t="n">
        <v>45349.54434027777</v>
      </c>
      <c r="C254" s="1" t="n">
        <v>45974</v>
      </c>
      <c r="D254" t="inlineStr">
        <is>
          <t>KALMAR LÄN</t>
        </is>
      </c>
      <c r="E254" t="inlineStr">
        <is>
          <t>VIMMERBY</t>
        </is>
      </c>
      <c r="G254" t="n">
        <v>3.5</v>
      </c>
      <c r="H254" t="n">
        <v>0</v>
      </c>
      <c r="I254" t="n">
        <v>0</v>
      </c>
      <c r="J254" t="n">
        <v>0</v>
      </c>
      <c r="K254" t="n">
        <v>0</v>
      </c>
      <c r="L254" t="n">
        <v>0</v>
      </c>
      <c r="M254" t="n">
        <v>0</v>
      </c>
      <c r="N254" t="n">
        <v>0</v>
      </c>
      <c r="O254" t="n">
        <v>0</v>
      </c>
      <c r="P254" t="n">
        <v>0</v>
      </c>
      <c r="Q254" t="n">
        <v>0</v>
      </c>
      <c r="R254" s="2" t="inlineStr"/>
    </row>
    <row r="255" ht="15" customHeight="1">
      <c r="A255" t="inlineStr">
        <is>
          <t>A 20-2025</t>
        </is>
      </c>
      <c r="B255" s="1" t="n">
        <v>45658.80232638889</v>
      </c>
      <c r="C255" s="1" t="n">
        <v>45974</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23-2025</t>
        </is>
      </c>
      <c r="B256" s="1" t="n">
        <v>45658.80827546296</v>
      </c>
      <c r="C256" s="1" t="n">
        <v>45974</v>
      </c>
      <c r="D256" t="inlineStr">
        <is>
          <t>KALMAR LÄN</t>
        </is>
      </c>
      <c r="E256" t="inlineStr">
        <is>
          <t>VIMMERBY</t>
        </is>
      </c>
      <c r="G256" t="n">
        <v>1.8</v>
      </c>
      <c r="H256" t="n">
        <v>0</v>
      </c>
      <c r="I256" t="n">
        <v>0</v>
      </c>
      <c r="J256" t="n">
        <v>0</v>
      </c>
      <c r="K256" t="n">
        <v>0</v>
      </c>
      <c r="L256" t="n">
        <v>0</v>
      </c>
      <c r="M256" t="n">
        <v>0</v>
      </c>
      <c r="N256" t="n">
        <v>0</v>
      </c>
      <c r="O256" t="n">
        <v>0</v>
      </c>
      <c r="P256" t="n">
        <v>0</v>
      </c>
      <c r="Q256" t="n">
        <v>0</v>
      </c>
      <c r="R256" s="2" t="inlineStr"/>
    </row>
    <row r="257" ht="15" customHeight="1">
      <c r="A257" t="inlineStr">
        <is>
          <t>A 43962-2024</t>
        </is>
      </c>
      <c r="B257" s="1" t="n">
        <v>45572.48293981481</v>
      </c>
      <c r="C257" s="1" t="n">
        <v>45974</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5701-2024</t>
        </is>
      </c>
      <c r="B258" s="1" t="n">
        <v>45334.78826388889</v>
      </c>
      <c r="C258" s="1" t="n">
        <v>45974</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35713-2023</t>
        </is>
      </c>
      <c r="B259" s="1" t="n">
        <v>45147</v>
      </c>
      <c r="C259" s="1" t="n">
        <v>45974</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31405-2023</t>
        </is>
      </c>
      <c r="B260" s="1" t="n">
        <v>45114.58148148148</v>
      </c>
      <c r="C260" s="1" t="n">
        <v>45974</v>
      </c>
      <c r="D260" t="inlineStr">
        <is>
          <t>KALMAR LÄN</t>
        </is>
      </c>
      <c r="E260" t="inlineStr">
        <is>
          <t>VIMMERBY</t>
        </is>
      </c>
      <c r="G260" t="n">
        <v>2.6</v>
      </c>
      <c r="H260" t="n">
        <v>0</v>
      </c>
      <c r="I260" t="n">
        <v>0</v>
      </c>
      <c r="J260" t="n">
        <v>0</v>
      </c>
      <c r="K260" t="n">
        <v>0</v>
      </c>
      <c r="L260" t="n">
        <v>0</v>
      </c>
      <c r="M260" t="n">
        <v>0</v>
      </c>
      <c r="N260" t="n">
        <v>0</v>
      </c>
      <c r="O260" t="n">
        <v>0</v>
      </c>
      <c r="P260" t="n">
        <v>0</v>
      </c>
      <c r="Q260" t="n">
        <v>0</v>
      </c>
      <c r="R260" s="2" t="inlineStr"/>
    </row>
    <row r="261" ht="15" customHeight="1">
      <c r="A261" t="inlineStr">
        <is>
          <t>A 46144-2023</t>
        </is>
      </c>
      <c r="B261" s="1" t="n">
        <v>45196.57247685185</v>
      </c>
      <c r="C261" s="1" t="n">
        <v>45974</v>
      </c>
      <c r="D261" t="inlineStr">
        <is>
          <t>KALMAR LÄN</t>
        </is>
      </c>
      <c r="E261" t="inlineStr">
        <is>
          <t>VIMMERBY</t>
        </is>
      </c>
      <c r="G261" t="n">
        <v>6.5</v>
      </c>
      <c r="H261" t="n">
        <v>0</v>
      </c>
      <c r="I261" t="n">
        <v>0</v>
      </c>
      <c r="J261" t="n">
        <v>0</v>
      </c>
      <c r="K261" t="n">
        <v>0</v>
      </c>
      <c r="L261" t="n">
        <v>0</v>
      </c>
      <c r="M261" t="n">
        <v>0</v>
      </c>
      <c r="N261" t="n">
        <v>0</v>
      </c>
      <c r="O261" t="n">
        <v>0</v>
      </c>
      <c r="P261" t="n">
        <v>0</v>
      </c>
      <c r="Q261" t="n">
        <v>0</v>
      </c>
      <c r="R261" s="2" t="inlineStr"/>
    </row>
    <row r="262" ht="15" customHeight="1">
      <c r="A262" t="inlineStr">
        <is>
          <t>A 6355-2022</t>
        </is>
      </c>
      <c r="B262" s="1" t="n">
        <v>44600</v>
      </c>
      <c r="C262" s="1" t="n">
        <v>45974</v>
      </c>
      <c r="D262" t="inlineStr">
        <is>
          <t>KALMAR LÄN</t>
        </is>
      </c>
      <c r="E262" t="inlineStr">
        <is>
          <t>VIMMERBY</t>
        </is>
      </c>
      <c r="G262" t="n">
        <v>4.9</v>
      </c>
      <c r="H262" t="n">
        <v>0</v>
      </c>
      <c r="I262" t="n">
        <v>0</v>
      </c>
      <c r="J262" t="n">
        <v>0</v>
      </c>
      <c r="K262" t="n">
        <v>0</v>
      </c>
      <c r="L262" t="n">
        <v>0</v>
      </c>
      <c r="M262" t="n">
        <v>0</v>
      </c>
      <c r="N262" t="n">
        <v>0</v>
      </c>
      <c r="O262" t="n">
        <v>0</v>
      </c>
      <c r="P262" t="n">
        <v>0</v>
      </c>
      <c r="Q262" t="n">
        <v>0</v>
      </c>
      <c r="R262" s="2" t="inlineStr"/>
    </row>
    <row r="263" ht="15" customHeight="1">
      <c r="A263" t="inlineStr">
        <is>
          <t>A 46225-2024</t>
        </is>
      </c>
      <c r="B263" s="1" t="n">
        <v>45581.57333333333</v>
      </c>
      <c r="C263" s="1" t="n">
        <v>45974</v>
      </c>
      <c r="D263" t="inlineStr">
        <is>
          <t>KALMAR LÄN</t>
        </is>
      </c>
      <c r="E263" t="inlineStr">
        <is>
          <t>VIMMERBY</t>
        </is>
      </c>
      <c r="G263" t="n">
        <v>1.3</v>
      </c>
      <c r="H263" t="n">
        <v>0</v>
      </c>
      <c r="I263" t="n">
        <v>0</v>
      </c>
      <c r="J263" t="n">
        <v>0</v>
      </c>
      <c r="K263" t="n">
        <v>0</v>
      </c>
      <c r="L263" t="n">
        <v>0</v>
      </c>
      <c r="M263" t="n">
        <v>0</v>
      </c>
      <c r="N263" t="n">
        <v>0</v>
      </c>
      <c r="O263" t="n">
        <v>0</v>
      </c>
      <c r="P263" t="n">
        <v>0</v>
      </c>
      <c r="Q263" t="n">
        <v>0</v>
      </c>
      <c r="R263" s="2" t="inlineStr"/>
    </row>
    <row r="264" ht="15" customHeight="1">
      <c r="A264" t="inlineStr">
        <is>
          <t>A 9418-2024</t>
        </is>
      </c>
      <c r="B264" s="1" t="n">
        <v>45359.45038194444</v>
      </c>
      <c r="C264" s="1" t="n">
        <v>45974</v>
      </c>
      <c r="D264" t="inlineStr">
        <is>
          <t>KALMAR LÄN</t>
        </is>
      </c>
      <c r="E264" t="inlineStr">
        <is>
          <t>VIMMERBY</t>
        </is>
      </c>
      <c r="G264" t="n">
        <v>1.9</v>
      </c>
      <c r="H264" t="n">
        <v>0</v>
      </c>
      <c r="I264" t="n">
        <v>0</v>
      </c>
      <c r="J264" t="n">
        <v>0</v>
      </c>
      <c r="K264" t="n">
        <v>0</v>
      </c>
      <c r="L264" t="n">
        <v>0</v>
      </c>
      <c r="M264" t="n">
        <v>0</v>
      </c>
      <c r="N264" t="n">
        <v>0</v>
      </c>
      <c r="O264" t="n">
        <v>0</v>
      </c>
      <c r="P264" t="n">
        <v>0</v>
      </c>
      <c r="Q264" t="n">
        <v>0</v>
      </c>
      <c r="R264" s="2" t="inlineStr"/>
    </row>
    <row r="265" ht="15" customHeight="1">
      <c r="A265" t="inlineStr">
        <is>
          <t>A 21109-2024</t>
        </is>
      </c>
      <c r="B265" s="1" t="n">
        <v>45440.28329861111</v>
      </c>
      <c r="C265" s="1" t="n">
        <v>45974</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57091-2022</t>
        </is>
      </c>
      <c r="B266" s="1" t="n">
        <v>44895.46524305556</v>
      </c>
      <c r="C266" s="1" t="n">
        <v>45974</v>
      </c>
      <c r="D266" t="inlineStr">
        <is>
          <t>KALMAR LÄN</t>
        </is>
      </c>
      <c r="E266" t="inlineStr">
        <is>
          <t>VIMMERBY</t>
        </is>
      </c>
      <c r="G266" t="n">
        <v>2.6</v>
      </c>
      <c r="H266" t="n">
        <v>0</v>
      </c>
      <c r="I266" t="n">
        <v>0</v>
      </c>
      <c r="J266" t="n">
        <v>0</v>
      </c>
      <c r="K266" t="n">
        <v>0</v>
      </c>
      <c r="L266" t="n">
        <v>0</v>
      </c>
      <c r="M266" t="n">
        <v>0</v>
      </c>
      <c r="N266" t="n">
        <v>0</v>
      </c>
      <c r="O266" t="n">
        <v>0</v>
      </c>
      <c r="P266" t="n">
        <v>0</v>
      </c>
      <c r="Q266" t="n">
        <v>0</v>
      </c>
      <c r="R266" s="2" t="inlineStr"/>
    </row>
    <row r="267" ht="15" customHeight="1">
      <c r="A267" t="inlineStr">
        <is>
          <t>A 3816-2022</t>
        </is>
      </c>
      <c r="B267" s="1" t="n">
        <v>44587</v>
      </c>
      <c r="C267" s="1" t="n">
        <v>45974</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43606-2024</t>
        </is>
      </c>
      <c r="B268" s="1" t="n">
        <v>45569.45017361111</v>
      </c>
      <c r="C268" s="1" t="n">
        <v>45974</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43617-2024</t>
        </is>
      </c>
      <c r="B269" s="1" t="n">
        <v>45569.47494212963</v>
      </c>
      <c r="C269" s="1" t="n">
        <v>45974</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47859-2024</t>
        </is>
      </c>
      <c r="B270" s="1" t="n">
        <v>45588.67070601852</v>
      </c>
      <c r="C270" s="1" t="n">
        <v>45974</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8540-2024</t>
        </is>
      </c>
      <c r="B271" s="1" t="n">
        <v>45355.54138888889</v>
      </c>
      <c r="C271" s="1" t="n">
        <v>45974</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3331-2023</t>
        </is>
      </c>
      <c r="B272" s="1" t="n">
        <v>44949</v>
      </c>
      <c r="C272" s="1" t="n">
        <v>45974</v>
      </c>
      <c r="D272" t="inlineStr">
        <is>
          <t>KALMAR LÄN</t>
        </is>
      </c>
      <c r="E272" t="inlineStr">
        <is>
          <t>VIMMERBY</t>
        </is>
      </c>
      <c r="G272" t="n">
        <v>6.2</v>
      </c>
      <c r="H272" t="n">
        <v>0</v>
      </c>
      <c r="I272" t="n">
        <v>0</v>
      </c>
      <c r="J272" t="n">
        <v>0</v>
      </c>
      <c r="K272" t="n">
        <v>0</v>
      </c>
      <c r="L272" t="n">
        <v>0</v>
      </c>
      <c r="M272" t="n">
        <v>0</v>
      </c>
      <c r="N272" t="n">
        <v>0</v>
      </c>
      <c r="O272" t="n">
        <v>0</v>
      </c>
      <c r="P272" t="n">
        <v>0</v>
      </c>
      <c r="Q272" t="n">
        <v>0</v>
      </c>
      <c r="R272" s="2" t="inlineStr"/>
    </row>
    <row r="273" ht="15" customHeight="1">
      <c r="A273" t="inlineStr">
        <is>
          <t>A 598-2025</t>
        </is>
      </c>
      <c r="B273" s="1" t="n">
        <v>45660</v>
      </c>
      <c r="C273" s="1" t="n">
        <v>45974</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25799-2023</t>
        </is>
      </c>
      <c r="B274" s="1" t="n">
        <v>45090</v>
      </c>
      <c r="C274" s="1" t="n">
        <v>45974</v>
      </c>
      <c r="D274" t="inlineStr">
        <is>
          <t>KALMAR LÄN</t>
        </is>
      </c>
      <c r="E274" t="inlineStr">
        <is>
          <t>VIMMERBY</t>
        </is>
      </c>
      <c r="G274" t="n">
        <v>7.7</v>
      </c>
      <c r="H274" t="n">
        <v>0</v>
      </c>
      <c r="I274" t="n">
        <v>0</v>
      </c>
      <c r="J274" t="n">
        <v>0</v>
      </c>
      <c r="K274" t="n">
        <v>0</v>
      </c>
      <c r="L274" t="n">
        <v>0</v>
      </c>
      <c r="M274" t="n">
        <v>0</v>
      </c>
      <c r="N274" t="n">
        <v>0</v>
      </c>
      <c r="O274" t="n">
        <v>0</v>
      </c>
      <c r="P274" t="n">
        <v>0</v>
      </c>
      <c r="Q274" t="n">
        <v>0</v>
      </c>
      <c r="R274" s="2" t="inlineStr"/>
    </row>
    <row r="275" ht="15" customHeight="1">
      <c r="A275" t="inlineStr">
        <is>
          <t>A 53083-2021</t>
        </is>
      </c>
      <c r="B275" s="1" t="n">
        <v>44467.83386574074</v>
      </c>
      <c r="C275" s="1" t="n">
        <v>45974</v>
      </c>
      <c r="D275" t="inlineStr">
        <is>
          <t>KALMAR LÄN</t>
        </is>
      </c>
      <c r="E275" t="inlineStr">
        <is>
          <t>VIMMERBY</t>
        </is>
      </c>
      <c r="G275" t="n">
        <v>6.8</v>
      </c>
      <c r="H275" t="n">
        <v>0</v>
      </c>
      <c r="I275" t="n">
        <v>0</v>
      </c>
      <c r="J275" t="n">
        <v>0</v>
      </c>
      <c r="K275" t="n">
        <v>0</v>
      </c>
      <c r="L275" t="n">
        <v>0</v>
      </c>
      <c r="M275" t="n">
        <v>0</v>
      </c>
      <c r="N275" t="n">
        <v>0</v>
      </c>
      <c r="O275" t="n">
        <v>0</v>
      </c>
      <c r="P275" t="n">
        <v>0</v>
      </c>
      <c r="Q275" t="n">
        <v>0</v>
      </c>
      <c r="R275" s="2" t="inlineStr"/>
    </row>
    <row r="276" ht="15" customHeight="1">
      <c r="A276" t="inlineStr">
        <is>
          <t>A 24655-2021</t>
        </is>
      </c>
      <c r="B276" s="1" t="n">
        <v>44340</v>
      </c>
      <c r="C276" s="1" t="n">
        <v>45974</v>
      </c>
      <c r="D276" t="inlineStr">
        <is>
          <t>KALMAR LÄN</t>
        </is>
      </c>
      <c r="E276" t="inlineStr">
        <is>
          <t>VIMMERBY</t>
        </is>
      </c>
      <c r="G276" t="n">
        <v>14.9</v>
      </c>
      <c r="H276" t="n">
        <v>0</v>
      </c>
      <c r="I276" t="n">
        <v>0</v>
      </c>
      <c r="J276" t="n">
        <v>0</v>
      </c>
      <c r="K276" t="n">
        <v>0</v>
      </c>
      <c r="L276" t="n">
        <v>0</v>
      </c>
      <c r="M276" t="n">
        <v>0</v>
      </c>
      <c r="N276" t="n">
        <v>0</v>
      </c>
      <c r="O276" t="n">
        <v>0</v>
      </c>
      <c r="P276" t="n">
        <v>0</v>
      </c>
      <c r="Q276" t="n">
        <v>0</v>
      </c>
      <c r="R276" s="2" t="inlineStr"/>
    </row>
    <row r="277" ht="15" customHeight="1">
      <c r="A277" t="inlineStr">
        <is>
          <t>A 30634-2024</t>
        </is>
      </c>
      <c r="B277" s="1" t="n">
        <v>45495</v>
      </c>
      <c r="C277" s="1" t="n">
        <v>45974</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40147-2023</t>
        </is>
      </c>
      <c r="B278" s="1" t="n">
        <v>45169</v>
      </c>
      <c r="C278" s="1" t="n">
        <v>45974</v>
      </c>
      <c r="D278" t="inlineStr">
        <is>
          <t>KALMAR LÄN</t>
        </is>
      </c>
      <c r="E278" t="inlineStr">
        <is>
          <t>VIMMERBY</t>
        </is>
      </c>
      <c r="G278" t="n">
        <v>1.7</v>
      </c>
      <c r="H278" t="n">
        <v>0</v>
      </c>
      <c r="I278" t="n">
        <v>0</v>
      </c>
      <c r="J278" t="n">
        <v>0</v>
      </c>
      <c r="K278" t="n">
        <v>0</v>
      </c>
      <c r="L278" t="n">
        <v>0</v>
      </c>
      <c r="M278" t="n">
        <v>0</v>
      </c>
      <c r="N278" t="n">
        <v>0</v>
      </c>
      <c r="O278" t="n">
        <v>0</v>
      </c>
      <c r="P278" t="n">
        <v>0</v>
      </c>
      <c r="Q278" t="n">
        <v>0</v>
      </c>
      <c r="R278" s="2" t="inlineStr"/>
    </row>
    <row r="279" ht="15" customHeight="1">
      <c r="A279" t="inlineStr">
        <is>
          <t>A 40260-2024</t>
        </is>
      </c>
      <c r="B279" s="1" t="n">
        <v>45554.63225694445</v>
      </c>
      <c r="C279" s="1" t="n">
        <v>45974</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33838-2022</t>
        </is>
      </c>
      <c r="B280" s="1" t="n">
        <v>44790.49040509259</v>
      </c>
      <c r="C280" s="1" t="n">
        <v>45974</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32835-2022</t>
        </is>
      </c>
      <c r="B281" s="1" t="n">
        <v>44784.42528935185</v>
      </c>
      <c r="C281" s="1" t="n">
        <v>45974</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1081-2023</t>
        </is>
      </c>
      <c r="B282" s="1" t="n">
        <v>44935</v>
      </c>
      <c r="C282" s="1" t="n">
        <v>45974</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47063-2022</t>
        </is>
      </c>
      <c r="B283" s="1" t="n">
        <v>44852</v>
      </c>
      <c r="C283" s="1" t="n">
        <v>45974</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28403-2023</t>
        </is>
      </c>
      <c r="B284" s="1" t="n">
        <v>45100.85270833333</v>
      </c>
      <c r="C284" s="1" t="n">
        <v>45974</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59943-2023</t>
        </is>
      </c>
      <c r="B285" s="1" t="n">
        <v>45257.67958333333</v>
      </c>
      <c r="C285" s="1" t="n">
        <v>45974</v>
      </c>
      <c r="D285" t="inlineStr">
        <is>
          <t>KALMAR LÄN</t>
        </is>
      </c>
      <c r="E285" t="inlineStr">
        <is>
          <t>VIMMERBY</t>
        </is>
      </c>
      <c r="G285" t="n">
        <v>6.4</v>
      </c>
      <c r="H285" t="n">
        <v>0</v>
      </c>
      <c r="I285" t="n">
        <v>0</v>
      </c>
      <c r="J285" t="n">
        <v>0</v>
      </c>
      <c r="K285" t="n">
        <v>0</v>
      </c>
      <c r="L285" t="n">
        <v>0</v>
      </c>
      <c r="M285" t="n">
        <v>0</v>
      </c>
      <c r="N285" t="n">
        <v>0</v>
      </c>
      <c r="O285" t="n">
        <v>0</v>
      </c>
      <c r="P285" t="n">
        <v>0</v>
      </c>
      <c r="Q285" t="n">
        <v>0</v>
      </c>
      <c r="R285" s="2" t="inlineStr"/>
    </row>
    <row r="286" ht="15" customHeight="1">
      <c r="A286" t="inlineStr">
        <is>
          <t>A 33103-2024</t>
        </is>
      </c>
      <c r="B286" s="1" t="n">
        <v>45517.8162037037</v>
      </c>
      <c r="C286" s="1" t="n">
        <v>45974</v>
      </c>
      <c r="D286" t="inlineStr">
        <is>
          <t>KALMAR LÄN</t>
        </is>
      </c>
      <c r="E286" t="inlineStr">
        <is>
          <t>VIMMERBY</t>
        </is>
      </c>
      <c r="G286" t="n">
        <v>1.6</v>
      </c>
      <c r="H286" t="n">
        <v>0</v>
      </c>
      <c r="I286" t="n">
        <v>0</v>
      </c>
      <c r="J286" t="n">
        <v>0</v>
      </c>
      <c r="K286" t="n">
        <v>0</v>
      </c>
      <c r="L286" t="n">
        <v>0</v>
      </c>
      <c r="M286" t="n">
        <v>0</v>
      </c>
      <c r="N286" t="n">
        <v>0</v>
      </c>
      <c r="O286" t="n">
        <v>0</v>
      </c>
      <c r="P286" t="n">
        <v>0</v>
      </c>
      <c r="Q286" t="n">
        <v>0</v>
      </c>
      <c r="R286" s="2" t="inlineStr"/>
    </row>
    <row r="287" ht="15" customHeight="1">
      <c r="A287" t="inlineStr">
        <is>
          <t>A 31382-2023</t>
        </is>
      </c>
      <c r="B287" s="1" t="n">
        <v>45114.55136574074</v>
      </c>
      <c r="C287" s="1" t="n">
        <v>45974</v>
      </c>
      <c r="D287" t="inlineStr">
        <is>
          <t>KALMAR LÄN</t>
        </is>
      </c>
      <c r="E287" t="inlineStr">
        <is>
          <t>VIMMERBY</t>
        </is>
      </c>
      <c r="G287" t="n">
        <v>3.7</v>
      </c>
      <c r="H287" t="n">
        <v>0</v>
      </c>
      <c r="I287" t="n">
        <v>0</v>
      </c>
      <c r="J287" t="n">
        <v>0</v>
      </c>
      <c r="K287" t="n">
        <v>0</v>
      </c>
      <c r="L287" t="n">
        <v>0</v>
      </c>
      <c r="M287" t="n">
        <v>0</v>
      </c>
      <c r="N287" t="n">
        <v>0</v>
      </c>
      <c r="O287" t="n">
        <v>0</v>
      </c>
      <c r="P287" t="n">
        <v>0</v>
      </c>
      <c r="Q287" t="n">
        <v>0</v>
      </c>
      <c r="R287" s="2" t="inlineStr"/>
    </row>
    <row r="288" ht="15" customHeight="1">
      <c r="A288" t="inlineStr">
        <is>
          <t>A 50995-2022</t>
        </is>
      </c>
      <c r="B288" s="1" t="n">
        <v>44867</v>
      </c>
      <c r="C288" s="1" t="n">
        <v>45974</v>
      </c>
      <c r="D288" t="inlineStr">
        <is>
          <t>KALMAR LÄN</t>
        </is>
      </c>
      <c r="E288" t="inlineStr">
        <is>
          <t>VIMMERBY</t>
        </is>
      </c>
      <c r="G288" t="n">
        <v>2.4</v>
      </c>
      <c r="H288" t="n">
        <v>0</v>
      </c>
      <c r="I288" t="n">
        <v>0</v>
      </c>
      <c r="J288" t="n">
        <v>0</v>
      </c>
      <c r="K288" t="n">
        <v>0</v>
      </c>
      <c r="L288" t="n">
        <v>0</v>
      </c>
      <c r="M288" t="n">
        <v>0</v>
      </c>
      <c r="N288" t="n">
        <v>0</v>
      </c>
      <c r="O288" t="n">
        <v>0</v>
      </c>
      <c r="P288" t="n">
        <v>0</v>
      </c>
      <c r="Q288" t="n">
        <v>0</v>
      </c>
      <c r="R288" s="2" t="inlineStr"/>
    </row>
    <row r="289" ht="15" customHeight="1">
      <c r="A289" t="inlineStr">
        <is>
          <t>A 5527-2022</t>
        </is>
      </c>
      <c r="B289" s="1" t="n">
        <v>44595.583125</v>
      </c>
      <c r="C289" s="1" t="n">
        <v>45974</v>
      </c>
      <c r="D289" t="inlineStr">
        <is>
          <t>KALMAR LÄN</t>
        </is>
      </c>
      <c r="E289" t="inlineStr">
        <is>
          <t>VIMMERBY</t>
        </is>
      </c>
      <c r="G289" t="n">
        <v>3.6</v>
      </c>
      <c r="H289" t="n">
        <v>0</v>
      </c>
      <c r="I289" t="n">
        <v>0</v>
      </c>
      <c r="J289" t="n">
        <v>0</v>
      </c>
      <c r="K289" t="n">
        <v>0</v>
      </c>
      <c r="L289" t="n">
        <v>0</v>
      </c>
      <c r="M289" t="n">
        <v>0</v>
      </c>
      <c r="N289" t="n">
        <v>0</v>
      </c>
      <c r="O289" t="n">
        <v>0</v>
      </c>
      <c r="P289" t="n">
        <v>0</v>
      </c>
      <c r="Q289" t="n">
        <v>0</v>
      </c>
      <c r="R289" s="2" t="inlineStr"/>
    </row>
    <row r="290" ht="15" customHeight="1">
      <c r="A290" t="inlineStr">
        <is>
          <t>A 56213-2024</t>
        </is>
      </c>
      <c r="B290" s="1" t="n">
        <v>45624.60141203704</v>
      </c>
      <c r="C290" s="1" t="n">
        <v>45974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54409-2024</t>
        </is>
      </c>
      <c r="B291" s="1" t="n">
        <v>45617.47570601852</v>
      </c>
      <c r="C291" s="1" t="n">
        <v>45974</v>
      </c>
      <c r="D291" t="inlineStr">
        <is>
          <t>KALMAR LÄN</t>
        </is>
      </c>
      <c r="E291" t="inlineStr">
        <is>
          <t>VIMMERBY</t>
        </is>
      </c>
      <c r="G291" t="n">
        <v>4.3</v>
      </c>
      <c r="H291" t="n">
        <v>0</v>
      </c>
      <c r="I291" t="n">
        <v>0</v>
      </c>
      <c r="J291" t="n">
        <v>0</v>
      </c>
      <c r="K291" t="n">
        <v>0</v>
      </c>
      <c r="L291" t="n">
        <v>0</v>
      </c>
      <c r="M291" t="n">
        <v>0</v>
      </c>
      <c r="N291" t="n">
        <v>0</v>
      </c>
      <c r="O291" t="n">
        <v>0</v>
      </c>
      <c r="P291" t="n">
        <v>0</v>
      </c>
      <c r="Q291" t="n">
        <v>0</v>
      </c>
      <c r="R291" s="2" t="inlineStr"/>
    </row>
    <row r="292" ht="15" customHeight="1">
      <c r="A292" t="inlineStr">
        <is>
          <t>A 12325-2023</t>
        </is>
      </c>
      <c r="B292" s="1" t="n">
        <v>44999.35858796296</v>
      </c>
      <c r="C292" s="1" t="n">
        <v>45974</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16825-2024</t>
        </is>
      </c>
      <c r="B293" s="1" t="n">
        <v>45411.47335648148</v>
      </c>
      <c r="C293" s="1" t="n">
        <v>45974</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1016-2024</t>
        </is>
      </c>
      <c r="B294" s="1" t="n">
        <v>45301</v>
      </c>
      <c r="C294" s="1" t="n">
        <v>45974</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7643-2022</t>
        </is>
      </c>
      <c r="B295" s="1" t="n">
        <v>44607</v>
      </c>
      <c r="C295" s="1" t="n">
        <v>45974</v>
      </c>
      <c r="D295" t="inlineStr">
        <is>
          <t>KALMAR LÄN</t>
        </is>
      </c>
      <c r="E295" t="inlineStr">
        <is>
          <t>VIMMERBY</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2260-2022</t>
        </is>
      </c>
      <c r="B296" s="1" t="n">
        <v>44578.62943287037</v>
      </c>
      <c r="C296" s="1" t="n">
        <v>45974</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33681-2022</t>
        </is>
      </c>
      <c r="B297" s="1" t="n">
        <v>44789</v>
      </c>
      <c r="C297" s="1" t="n">
        <v>45974</v>
      </c>
      <c r="D297" t="inlineStr">
        <is>
          <t>KALMAR LÄN</t>
        </is>
      </c>
      <c r="E297" t="inlineStr">
        <is>
          <t>VIMMERBY</t>
        </is>
      </c>
      <c r="G297" t="n">
        <v>3.2</v>
      </c>
      <c r="H297" t="n">
        <v>0</v>
      </c>
      <c r="I297" t="n">
        <v>0</v>
      </c>
      <c r="J297" t="n">
        <v>0</v>
      </c>
      <c r="K297" t="n">
        <v>0</v>
      </c>
      <c r="L297" t="n">
        <v>0</v>
      </c>
      <c r="M297" t="n">
        <v>0</v>
      </c>
      <c r="N297" t="n">
        <v>0</v>
      </c>
      <c r="O297" t="n">
        <v>0</v>
      </c>
      <c r="P297" t="n">
        <v>0</v>
      </c>
      <c r="Q297" t="n">
        <v>0</v>
      </c>
      <c r="R297" s="2" t="inlineStr"/>
    </row>
    <row r="298" ht="15" customHeight="1">
      <c r="A298" t="inlineStr">
        <is>
          <t>A 11027-2023</t>
        </is>
      </c>
      <c r="B298" s="1" t="n">
        <v>44991.89657407408</v>
      </c>
      <c r="C298" s="1" t="n">
        <v>45974</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11661-2023</t>
        </is>
      </c>
      <c r="B299" s="1" t="n">
        <v>44994.46908564815</v>
      </c>
      <c r="C299" s="1" t="n">
        <v>45974</v>
      </c>
      <c r="D299" t="inlineStr">
        <is>
          <t>KALMAR LÄN</t>
        </is>
      </c>
      <c r="E299" t="inlineStr">
        <is>
          <t>VIMMERBY</t>
        </is>
      </c>
      <c r="G299" t="n">
        <v>2.7</v>
      </c>
      <c r="H299" t="n">
        <v>0</v>
      </c>
      <c r="I299" t="n">
        <v>0</v>
      </c>
      <c r="J299" t="n">
        <v>0</v>
      </c>
      <c r="K299" t="n">
        <v>0</v>
      </c>
      <c r="L299" t="n">
        <v>0</v>
      </c>
      <c r="M299" t="n">
        <v>0</v>
      </c>
      <c r="N299" t="n">
        <v>0</v>
      </c>
      <c r="O299" t="n">
        <v>0</v>
      </c>
      <c r="P299" t="n">
        <v>0</v>
      </c>
      <c r="Q299" t="n">
        <v>0</v>
      </c>
      <c r="R299" s="2" t="inlineStr"/>
    </row>
    <row r="300" ht="15" customHeight="1">
      <c r="A300" t="inlineStr">
        <is>
          <t>A 58046-2022</t>
        </is>
      </c>
      <c r="B300" s="1" t="n">
        <v>44900.57393518519</v>
      </c>
      <c r="C300" s="1" t="n">
        <v>45974</v>
      </c>
      <c r="D300" t="inlineStr">
        <is>
          <t>KALMAR LÄN</t>
        </is>
      </c>
      <c r="E300" t="inlineStr">
        <is>
          <t>VIMMERBY</t>
        </is>
      </c>
      <c r="G300" t="n">
        <v>2.5</v>
      </c>
      <c r="H300" t="n">
        <v>0</v>
      </c>
      <c r="I300" t="n">
        <v>0</v>
      </c>
      <c r="J300" t="n">
        <v>0</v>
      </c>
      <c r="K300" t="n">
        <v>0</v>
      </c>
      <c r="L300" t="n">
        <v>0</v>
      </c>
      <c r="M300" t="n">
        <v>0</v>
      </c>
      <c r="N300" t="n">
        <v>0</v>
      </c>
      <c r="O300" t="n">
        <v>0</v>
      </c>
      <c r="P300" t="n">
        <v>0</v>
      </c>
      <c r="Q300" t="n">
        <v>0</v>
      </c>
      <c r="R300" s="2" t="inlineStr"/>
    </row>
    <row r="301" ht="15" customHeight="1">
      <c r="A301" t="inlineStr">
        <is>
          <t>A 45528-2021</t>
        </is>
      </c>
      <c r="B301" s="1" t="n">
        <v>44440.60415509259</v>
      </c>
      <c r="C301" s="1" t="n">
        <v>45974</v>
      </c>
      <c r="D301" t="inlineStr">
        <is>
          <t>KALMAR LÄN</t>
        </is>
      </c>
      <c r="E301" t="inlineStr">
        <is>
          <t>VIMMERBY</t>
        </is>
      </c>
      <c r="G301" t="n">
        <v>2.2</v>
      </c>
      <c r="H301" t="n">
        <v>0</v>
      </c>
      <c r="I301" t="n">
        <v>0</v>
      </c>
      <c r="J301" t="n">
        <v>0</v>
      </c>
      <c r="K301" t="n">
        <v>0</v>
      </c>
      <c r="L301" t="n">
        <v>0</v>
      </c>
      <c r="M301" t="n">
        <v>0</v>
      </c>
      <c r="N301" t="n">
        <v>0</v>
      </c>
      <c r="O301" t="n">
        <v>0</v>
      </c>
      <c r="P301" t="n">
        <v>0</v>
      </c>
      <c r="Q301" t="n">
        <v>0</v>
      </c>
      <c r="R301" s="2" t="inlineStr"/>
    </row>
    <row r="302" ht="15" customHeight="1">
      <c r="A302" t="inlineStr">
        <is>
          <t>A 46979-2023</t>
        </is>
      </c>
      <c r="B302" s="1" t="n">
        <v>45201</v>
      </c>
      <c r="C302" s="1" t="n">
        <v>45974</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53483-2022</t>
        </is>
      </c>
      <c r="B303" s="1" t="n">
        <v>44879.55940972222</v>
      </c>
      <c r="C303" s="1" t="n">
        <v>45974</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18899-2025</t>
        </is>
      </c>
      <c r="B304" s="1" t="n">
        <v>45764.44931712963</v>
      </c>
      <c r="C304" s="1" t="n">
        <v>45974</v>
      </c>
      <c r="D304" t="inlineStr">
        <is>
          <t>KALMAR LÄN</t>
        </is>
      </c>
      <c r="E304" t="inlineStr">
        <is>
          <t>VIMMERBY</t>
        </is>
      </c>
      <c r="F304" t="inlineStr">
        <is>
          <t>Kommuner</t>
        </is>
      </c>
      <c r="G304" t="n">
        <v>4</v>
      </c>
      <c r="H304" t="n">
        <v>0</v>
      </c>
      <c r="I304" t="n">
        <v>0</v>
      </c>
      <c r="J304" t="n">
        <v>0</v>
      </c>
      <c r="K304" t="n">
        <v>0</v>
      </c>
      <c r="L304" t="n">
        <v>0</v>
      </c>
      <c r="M304" t="n">
        <v>0</v>
      </c>
      <c r="N304" t="n">
        <v>0</v>
      </c>
      <c r="O304" t="n">
        <v>0</v>
      </c>
      <c r="P304" t="n">
        <v>0</v>
      </c>
      <c r="Q304" t="n">
        <v>0</v>
      </c>
      <c r="R304" s="2" t="inlineStr"/>
    </row>
    <row r="305" ht="15" customHeight="1">
      <c r="A305" t="inlineStr">
        <is>
          <t>A 20054-2023</t>
        </is>
      </c>
      <c r="B305" s="1" t="n">
        <v>45054.6750462963</v>
      </c>
      <c r="C305" s="1" t="n">
        <v>45974</v>
      </c>
      <c r="D305" t="inlineStr">
        <is>
          <t>KALMAR LÄN</t>
        </is>
      </c>
      <c r="E305" t="inlineStr">
        <is>
          <t>VIMMERBY</t>
        </is>
      </c>
      <c r="G305" t="n">
        <v>2.4</v>
      </c>
      <c r="H305" t="n">
        <v>0</v>
      </c>
      <c r="I305" t="n">
        <v>0</v>
      </c>
      <c r="J305" t="n">
        <v>0</v>
      </c>
      <c r="K305" t="n">
        <v>0</v>
      </c>
      <c r="L305" t="n">
        <v>0</v>
      </c>
      <c r="M305" t="n">
        <v>0</v>
      </c>
      <c r="N305" t="n">
        <v>0</v>
      </c>
      <c r="O305" t="n">
        <v>0</v>
      </c>
      <c r="P305" t="n">
        <v>0</v>
      </c>
      <c r="Q305" t="n">
        <v>0</v>
      </c>
      <c r="R305" s="2" t="inlineStr"/>
    </row>
    <row r="306" ht="15" customHeight="1">
      <c r="A306" t="inlineStr">
        <is>
          <t>A 27993-2022</t>
        </is>
      </c>
      <c r="B306" s="1" t="n">
        <v>44745.84396990741</v>
      </c>
      <c r="C306" s="1" t="n">
        <v>45974</v>
      </c>
      <c r="D306" t="inlineStr">
        <is>
          <t>KALMAR LÄN</t>
        </is>
      </c>
      <c r="E306" t="inlineStr">
        <is>
          <t>VIMMERBY</t>
        </is>
      </c>
      <c r="G306" t="n">
        <v>2.8</v>
      </c>
      <c r="H306" t="n">
        <v>0</v>
      </c>
      <c r="I306" t="n">
        <v>0</v>
      </c>
      <c r="J306" t="n">
        <v>0</v>
      </c>
      <c r="K306" t="n">
        <v>0</v>
      </c>
      <c r="L306" t="n">
        <v>0</v>
      </c>
      <c r="M306" t="n">
        <v>0</v>
      </c>
      <c r="N306" t="n">
        <v>0</v>
      </c>
      <c r="O306" t="n">
        <v>0</v>
      </c>
      <c r="P306" t="n">
        <v>0</v>
      </c>
      <c r="Q306" t="n">
        <v>0</v>
      </c>
      <c r="R306" s="2" t="inlineStr"/>
    </row>
    <row r="307" ht="15" customHeight="1">
      <c r="A307" t="inlineStr">
        <is>
          <t>A 58962-2022</t>
        </is>
      </c>
      <c r="B307" s="1" t="n">
        <v>44903</v>
      </c>
      <c r="C307" s="1" t="n">
        <v>45974</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6574-2023</t>
        </is>
      </c>
      <c r="B308" s="1" t="n">
        <v>44966</v>
      </c>
      <c r="C308" s="1" t="n">
        <v>45974</v>
      </c>
      <c r="D308" t="inlineStr">
        <is>
          <t>KALMAR LÄN</t>
        </is>
      </c>
      <c r="E308" t="inlineStr">
        <is>
          <t>VIMMERBY</t>
        </is>
      </c>
      <c r="G308" t="n">
        <v>2.5</v>
      </c>
      <c r="H308" t="n">
        <v>0</v>
      </c>
      <c r="I308" t="n">
        <v>0</v>
      </c>
      <c r="J308" t="n">
        <v>0</v>
      </c>
      <c r="K308" t="n">
        <v>0</v>
      </c>
      <c r="L308" t="n">
        <v>0</v>
      </c>
      <c r="M308" t="n">
        <v>0</v>
      </c>
      <c r="N308" t="n">
        <v>0</v>
      </c>
      <c r="O308" t="n">
        <v>0</v>
      </c>
      <c r="P308" t="n">
        <v>0</v>
      </c>
      <c r="Q308" t="n">
        <v>0</v>
      </c>
      <c r="R308" s="2" t="inlineStr"/>
    </row>
    <row r="309" ht="15" customHeight="1">
      <c r="A309" t="inlineStr">
        <is>
          <t>A 5074-2023</t>
        </is>
      </c>
      <c r="B309" s="1" t="n">
        <v>44958.61047453704</v>
      </c>
      <c r="C309" s="1" t="n">
        <v>45974</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51187-2023</t>
        </is>
      </c>
      <c r="B310" s="1" t="n">
        <v>45219.40528935185</v>
      </c>
      <c r="C310" s="1" t="n">
        <v>45974</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10837-2023</t>
        </is>
      </c>
      <c r="B311" s="1" t="n">
        <v>44991.30547453704</v>
      </c>
      <c r="C311" s="1" t="n">
        <v>45974</v>
      </c>
      <c r="D311" t="inlineStr">
        <is>
          <t>KALMAR LÄN</t>
        </is>
      </c>
      <c r="E311" t="inlineStr">
        <is>
          <t>VIMMERBY</t>
        </is>
      </c>
      <c r="G311" t="n">
        <v>7.3</v>
      </c>
      <c r="H311" t="n">
        <v>0</v>
      </c>
      <c r="I311" t="n">
        <v>0</v>
      </c>
      <c r="J311" t="n">
        <v>0</v>
      </c>
      <c r="K311" t="n">
        <v>0</v>
      </c>
      <c r="L311" t="n">
        <v>0</v>
      </c>
      <c r="M311" t="n">
        <v>0</v>
      </c>
      <c r="N311" t="n">
        <v>0</v>
      </c>
      <c r="O311" t="n">
        <v>0</v>
      </c>
      <c r="P311" t="n">
        <v>0</v>
      </c>
      <c r="Q311" t="n">
        <v>0</v>
      </c>
      <c r="R311" s="2" t="inlineStr"/>
    </row>
    <row r="312" ht="15" customHeight="1">
      <c r="A312" t="inlineStr">
        <is>
          <t>A 10838-2023</t>
        </is>
      </c>
      <c r="B312" s="1" t="n">
        <v>44991</v>
      </c>
      <c r="C312" s="1" t="n">
        <v>45974</v>
      </c>
      <c r="D312" t="inlineStr">
        <is>
          <t>KALMAR LÄN</t>
        </is>
      </c>
      <c r="E312" t="inlineStr">
        <is>
          <t>VIMMERBY</t>
        </is>
      </c>
      <c r="G312" t="n">
        <v>5.1</v>
      </c>
      <c r="H312" t="n">
        <v>0</v>
      </c>
      <c r="I312" t="n">
        <v>0</v>
      </c>
      <c r="J312" t="n">
        <v>0</v>
      </c>
      <c r="K312" t="n">
        <v>0</v>
      </c>
      <c r="L312" t="n">
        <v>0</v>
      </c>
      <c r="M312" t="n">
        <v>0</v>
      </c>
      <c r="N312" t="n">
        <v>0</v>
      </c>
      <c r="O312" t="n">
        <v>0</v>
      </c>
      <c r="P312" t="n">
        <v>0</v>
      </c>
      <c r="Q312" t="n">
        <v>0</v>
      </c>
      <c r="R312" s="2" t="inlineStr"/>
    </row>
    <row r="313" ht="15" customHeight="1">
      <c r="A313" t="inlineStr">
        <is>
          <t>A 57555-2024</t>
        </is>
      </c>
      <c r="B313" s="1" t="n">
        <v>45630.45069444444</v>
      </c>
      <c r="C313" s="1" t="n">
        <v>45974</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15715-2022</t>
        </is>
      </c>
      <c r="B314" s="1" t="n">
        <v>44663</v>
      </c>
      <c r="C314" s="1" t="n">
        <v>45974</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43093-2024</t>
        </is>
      </c>
      <c r="B315" s="1" t="n">
        <v>45567</v>
      </c>
      <c r="C315" s="1" t="n">
        <v>45974</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56022-2024</t>
        </is>
      </c>
      <c r="B316" s="1" t="n">
        <v>45623.95947916667</v>
      </c>
      <c r="C316" s="1" t="n">
        <v>45974</v>
      </c>
      <c r="D316" t="inlineStr">
        <is>
          <t>KALMAR LÄN</t>
        </is>
      </c>
      <c r="E316" t="inlineStr">
        <is>
          <t>VIMMERBY</t>
        </is>
      </c>
      <c r="G316" t="n">
        <v>0.3</v>
      </c>
      <c r="H316" t="n">
        <v>0</v>
      </c>
      <c r="I316" t="n">
        <v>0</v>
      </c>
      <c r="J316" t="n">
        <v>0</v>
      </c>
      <c r="K316" t="n">
        <v>0</v>
      </c>
      <c r="L316" t="n">
        <v>0</v>
      </c>
      <c r="M316" t="n">
        <v>0</v>
      </c>
      <c r="N316" t="n">
        <v>0</v>
      </c>
      <c r="O316" t="n">
        <v>0</v>
      </c>
      <c r="P316" t="n">
        <v>0</v>
      </c>
      <c r="Q316" t="n">
        <v>0</v>
      </c>
      <c r="R316" s="2" t="inlineStr"/>
    </row>
    <row r="317" ht="15" customHeight="1">
      <c r="A317" t="inlineStr">
        <is>
          <t>A 18330-2023</t>
        </is>
      </c>
      <c r="B317" s="1" t="n">
        <v>45041</v>
      </c>
      <c r="C317" s="1" t="n">
        <v>45974</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36014-2024</t>
        </is>
      </c>
      <c r="B318" s="1" t="n">
        <v>45533.56108796296</v>
      </c>
      <c r="C318" s="1" t="n">
        <v>45974</v>
      </c>
      <c r="D318" t="inlineStr">
        <is>
          <t>KALMAR LÄN</t>
        </is>
      </c>
      <c r="E318" t="inlineStr">
        <is>
          <t>VIMMERBY</t>
        </is>
      </c>
      <c r="G318" t="n">
        <v>2.3</v>
      </c>
      <c r="H318" t="n">
        <v>0</v>
      </c>
      <c r="I318" t="n">
        <v>0</v>
      </c>
      <c r="J318" t="n">
        <v>0</v>
      </c>
      <c r="K318" t="n">
        <v>0</v>
      </c>
      <c r="L318" t="n">
        <v>0</v>
      </c>
      <c r="M318" t="n">
        <v>0</v>
      </c>
      <c r="N318" t="n">
        <v>0</v>
      </c>
      <c r="O318" t="n">
        <v>0</v>
      </c>
      <c r="P318" t="n">
        <v>0</v>
      </c>
      <c r="Q318" t="n">
        <v>0</v>
      </c>
      <c r="R318" s="2" t="inlineStr"/>
    </row>
    <row r="319" ht="15" customHeight="1">
      <c r="A319" t="inlineStr">
        <is>
          <t>A 36030-2024</t>
        </is>
      </c>
      <c r="B319" s="1" t="n">
        <v>45533.58302083334</v>
      </c>
      <c r="C319" s="1" t="n">
        <v>45974</v>
      </c>
      <c r="D319" t="inlineStr">
        <is>
          <t>KALMAR LÄN</t>
        </is>
      </c>
      <c r="E319" t="inlineStr">
        <is>
          <t>VIMMERBY</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32865-2023</t>
        </is>
      </c>
      <c r="B320" s="1" t="n">
        <v>45124</v>
      </c>
      <c r="C320" s="1" t="n">
        <v>45974</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20126-2024</t>
        </is>
      </c>
      <c r="B321" s="1" t="n">
        <v>45434.55471064815</v>
      </c>
      <c r="C321" s="1" t="n">
        <v>45974</v>
      </c>
      <c r="D321" t="inlineStr">
        <is>
          <t>KALMAR LÄN</t>
        </is>
      </c>
      <c r="E321" t="inlineStr">
        <is>
          <t>VIMMERBY</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20136-2024</t>
        </is>
      </c>
      <c r="B322" s="1" t="n">
        <v>45434.56291666667</v>
      </c>
      <c r="C322" s="1" t="n">
        <v>45974</v>
      </c>
      <c r="D322" t="inlineStr">
        <is>
          <t>KALMAR LÄN</t>
        </is>
      </c>
      <c r="E322" t="inlineStr">
        <is>
          <t>VIMMERBY</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13290-2025</t>
        </is>
      </c>
      <c r="B323" s="1" t="n">
        <v>45735.56751157407</v>
      </c>
      <c r="C323" s="1" t="n">
        <v>45974</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19162-2023</t>
        </is>
      </c>
      <c r="B324" s="1" t="n">
        <v>45048.59699074074</v>
      </c>
      <c r="C324" s="1" t="n">
        <v>45974</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46921-2023</t>
        </is>
      </c>
      <c r="B325" s="1" t="n">
        <v>45201.39996527778</v>
      </c>
      <c r="C325" s="1" t="n">
        <v>45974</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9475-2023</t>
        </is>
      </c>
      <c r="B326" s="1" t="n">
        <v>44981.58834490741</v>
      </c>
      <c r="C326" s="1" t="n">
        <v>45974</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42918-2021</t>
        </is>
      </c>
      <c r="B327" s="1" t="n">
        <v>44431</v>
      </c>
      <c r="C327" s="1" t="n">
        <v>45974</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25236-2023</t>
        </is>
      </c>
      <c r="B328" s="1" t="n">
        <v>45086.63334490741</v>
      </c>
      <c r="C328" s="1" t="n">
        <v>45974</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11946-2025</t>
        </is>
      </c>
      <c r="B329" s="1" t="n">
        <v>45728.54832175926</v>
      </c>
      <c r="C329" s="1" t="n">
        <v>45974</v>
      </c>
      <c r="D329" t="inlineStr">
        <is>
          <t>KALMAR LÄN</t>
        </is>
      </c>
      <c r="E329" t="inlineStr">
        <is>
          <t>VIMMERBY</t>
        </is>
      </c>
      <c r="G329" t="n">
        <v>0.4</v>
      </c>
      <c r="H329" t="n">
        <v>0</v>
      </c>
      <c r="I329" t="n">
        <v>0</v>
      </c>
      <c r="J329" t="n">
        <v>0</v>
      </c>
      <c r="K329" t="n">
        <v>0</v>
      </c>
      <c r="L329" t="n">
        <v>0</v>
      </c>
      <c r="M329" t="n">
        <v>0</v>
      </c>
      <c r="N329" t="n">
        <v>0</v>
      </c>
      <c r="O329" t="n">
        <v>0</v>
      </c>
      <c r="P329" t="n">
        <v>0</v>
      </c>
      <c r="Q329" t="n">
        <v>0</v>
      </c>
      <c r="R329" s="2" t="inlineStr"/>
    </row>
    <row r="330" ht="15" customHeight="1">
      <c r="A330" t="inlineStr">
        <is>
          <t>A 19537-2022</t>
        </is>
      </c>
      <c r="B330" s="1" t="n">
        <v>44693.62822916666</v>
      </c>
      <c r="C330" s="1" t="n">
        <v>45974</v>
      </c>
      <c r="D330" t="inlineStr">
        <is>
          <t>KALMAR LÄN</t>
        </is>
      </c>
      <c r="E330" t="inlineStr">
        <is>
          <t>VIMMERBY</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22643-2023</t>
        </is>
      </c>
      <c r="B331" s="1" t="n">
        <v>45071</v>
      </c>
      <c r="C331" s="1" t="n">
        <v>45974</v>
      </c>
      <c r="D331" t="inlineStr">
        <is>
          <t>KALMAR LÄN</t>
        </is>
      </c>
      <c r="E331" t="inlineStr">
        <is>
          <t>VIMMERBY</t>
        </is>
      </c>
      <c r="G331" t="n">
        <v>3.9</v>
      </c>
      <c r="H331" t="n">
        <v>0</v>
      </c>
      <c r="I331" t="n">
        <v>0</v>
      </c>
      <c r="J331" t="n">
        <v>0</v>
      </c>
      <c r="K331" t="n">
        <v>0</v>
      </c>
      <c r="L331" t="n">
        <v>0</v>
      </c>
      <c r="M331" t="n">
        <v>0</v>
      </c>
      <c r="N331" t="n">
        <v>0</v>
      </c>
      <c r="O331" t="n">
        <v>0</v>
      </c>
      <c r="P331" t="n">
        <v>0</v>
      </c>
      <c r="Q331" t="n">
        <v>0</v>
      </c>
      <c r="R331" s="2" t="inlineStr"/>
    </row>
    <row r="332" ht="15" customHeight="1">
      <c r="A332" t="inlineStr">
        <is>
          <t>A 18669-2025</t>
        </is>
      </c>
      <c r="B332" s="1" t="n">
        <v>45763.59436342592</v>
      </c>
      <c r="C332" s="1" t="n">
        <v>45974</v>
      </c>
      <c r="D332" t="inlineStr">
        <is>
          <t>KALMAR LÄN</t>
        </is>
      </c>
      <c r="E332" t="inlineStr">
        <is>
          <t>VIMMERBY</t>
        </is>
      </c>
      <c r="G332" t="n">
        <v>2.7</v>
      </c>
      <c r="H332" t="n">
        <v>0</v>
      </c>
      <c r="I332" t="n">
        <v>0</v>
      </c>
      <c r="J332" t="n">
        <v>0</v>
      </c>
      <c r="K332" t="n">
        <v>0</v>
      </c>
      <c r="L332" t="n">
        <v>0</v>
      </c>
      <c r="M332" t="n">
        <v>0</v>
      </c>
      <c r="N332" t="n">
        <v>0</v>
      </c>
      <c r="O332" t="n">
        <v>0</v>
      </c>
      <c r="P332" t="n">
        <v>0</v>
      </c>
      <c r="Q332" t="n">
        <v>0</v>
      </c>
      <c r="R332" s="2" t="inlineStr"/>
    </row>
    <row r="333" ht="15" customHeight="1">
      <c r="A333" t="inlineStr">
        <is>
          <t>A 38780-2021</t>
        </is>
      </c>
      <c r="B333" s="1" t="n">
        <v>44410</v>
      </c>
      <c r="C333" s="1" t="n">
        <v>45974</v>
      </c>
      <c r="D333" t="inlineStr">
        <is>
          <t>KALMAR LÄN</t>
        </is>
      </c>
      <c r="E333" t="inlineStr">
        <is>
          <t>VIMMERBY</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60951-2023</t>
        </is>
      </c>
      <c r="B334" s="1" t="n">
        <v>45261.44914351852</v>
      </c>
      <c r="C334" s="1" t="n">
        <v>45974</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60292-2022</t>
        </is>
      </c>
      <c r="B335" s="1" t="n">
        <v>44910.54231481482</v>
      </c>
      <c r="C335" s="1" t="n">
        <v>45974</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6082-2022</t>
        </is>
      </c>
      <c r="B336" s="1" t="n">
        <v>44599</v>
      </c>
      <c r="C336" s="1" t="n">
        <v>45974</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2801-2023</t>
        </is>
      </c>
      <c r="B337" s="1" t="n">
        <v>44944.73487268519</v>
      </c>
      <c r="C337" s="1" t="n">
        <v>45974</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29020-2024</t>
        </is>
      </c>
      <c r="B338" s="1" t="n">
        <v>45481.58048611111</v>
      </c>
      <c r="C338" s="1" t="n">
        <v>45974</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7485-2024</t>
        </is>
      </c>
      <c r="B339" s="1" t="n">
        <v>45346.67184027778</v>
      </c>
      <c r="C339" s="1" t="n">
        <v>45974</v>
      </c>
      <c r="D339" t="inlineStr">
        <is>
          <t>KALMAR LÄN</t>
        </is>
      </c>
      <c r="E339" t="inlineStr">
        <is>
          <t>VIMMERBY</t>
        </is>
      </c>
      <c r="G339" t="n">
        <v>1.9</v>
      </c>
      <c r="H339" t="n">
        <v>0</v>
      </c>
      <c r="I339" t="n">
        <v>0</v>
      </c>
      <c r="J339" t="n">
        <v>0</v>
      </c>
      <c r="K339" t="n">
        <v>0</v>
      </c>
      <c r="L339" t="n">
        <v>0</v>
      </c>
      <c r="M339" t="n">
        <v>0</v>
      </c>
      <c r="N339" t="n">
        <v>0</v>
      </c>
      <c r="O339" t="n">
        <v>0</v>
      </c>
      <c r="P339" t="n">
        <v>0</v>
      </c>
      <c r="Q339" t="n">
        <v>0</v>
      </c>
      <c r="R339" s="2" t="inlineStr"/>
    </row>
    <row r="340" ht="15" customHeight="1">
      <c r="A340" t="inlineStr">
        <is>
          <t>A 30406-2023</t>
        </is>
      </c>
      <c r="B340" s="1" t="n">
        <v>45111.48787037037</v>
      </c>
      <c r="C340" s="1" t="n">
        <v>45974</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13817-2024</t>
        </is>
      </c>
      <c r="B341" s="1" t="n">
        <v>45391.41976851852</v>
      </c>
      <c r="C341" s="1" t="n">
        <v>45974</v>
      </c>
      <c r="D341" t="inlineStr">
        <is>
          <t>KALMAR LÄN</t>
        </is>
      </c>
      <c r="E341" t="inlineStr">
        <is>
          <t>VIMMERBY</t>
        </is>
      </c>
      <c r="G341" t="n">
        <v>1</v>
      </c>
      <c r="H341" t="n">
        <v>0</v>
      </c>
      <c r="I341" t="n">
        <v>0</v>
      </c>
      <c r="J341" t="n">
        <v>0</v>
      </c>
      <c r="K341" t="n">
        <v>0</v>
      </c>
      <c r="L341" t="n">
        <v>0</v>
      </c>
      <c r="M341" t="n">
        <v>0</v>
      </c>
      <c r="N341" t="n">
        <v>0</v>
      </c>
      <c r="O341" t="n">
        <v>0</v>
      </c>
      <c r="P341" t="n">
        <v>0</v>
      </c>
      <c r="Q341" t="n">
        <v>0</v>
      </c>
      <c r="R341" s="2" t="inlineStr"/>
    </row>
    <row r="342" ht="15" customHeight="1">
      <c r="A342" t="inlineStr">
        <is>
          <t>A 5146-2024</t>
        </is>
      </c>
      <c r="B342" s="1" t="n">
        <v>45330</v>
      </c>
      <c r="C342" s="1" t="n">
        <v>45974</v>
      </c>
      <c r="D342" t="inlineStr">
        <is>
          <t>KALMAR LÄN</t>
        </is>
      </c>
      <c r="E342" t="inlineStr">
        <is>
          <t>VIMMERBY</t>
        </is>
      </c>
      <c r="G342" t="n">
        <v>5.3</v>
      </c>
      <c r="H342" t="n">
        <v>0</v>
      </c>
      <c r="I342" t="n">
        <v>0</v>
      </c>
      <c r="J342" t="n">
        <v>0</v>
      </c>
      <c r="K342" t="n">
        <v>0</v>
      </c>
      <c r="L342" t="n">
        <v>0</v>
      </c>
      <c r="M342" t="n">
        <v>0</v>
      </c>
      <c r="N342" t="n">
        <v>0</v>
      </c>
      <c r="O342" t="n">
        <v>0</v>
      </c>
      <c r="P342" t="n">
        <v>0</v>
      </c>
      <c r="Q342" t="n">
        <v>0</v>
      </c>
      <c r="R342" s="2" t="inlineStr"/>
    </row>
    <row r="343" ht="15" customHeight="1">
      <c r="A343" t="inlineStr">
        <is>
          <t>A 5148-2024</t>
        </is>
      </c>
      <c r="B343" s="1" t="n">
        <v>45330</v>
      </c>
      <c r="C343" s="1" t="n">
        <v>45974</v>
      </c>
      <c r="D343" t="inlineStr">
        <is>
          <t>KALMAR LÄN</t>
        </is>
      </c>
      <c r="E343" t="inlineStr">
        <is>
          <t>VIMMERBY</t>
        </is>
      </c>
      <c r="G343" t="n">
        <v>5.6</v>
      </c>
      <c r="H343" t="n">
        <v>0</v>
      </c>
      <c r="I343" t="n">
        <v>0</v>
      </c>
      <c r="J343" t="n">
        <v>0</v>
      </c>
      <c r="K343" t="n">
        <v>0</v>
      </c>
      <c r="L343" t="n">
        <v>0</v>
      </c>
      <c r="M343" t="n">
        <v>0</v>
      </c>
      <c r="N343" t="n">
        <v>0</v>
      </c>
      <c r="O343" t="n">
        <v>0</v>
      </c>
      <c r="P343" t="n">
        <v>0</v>
      </c>
      <c r="Q343" t="n">
        <v>0</v>
      </c>
      <c r="R343" s="2" t="inlineStr"/>
    </row>
    <row r="344" ht="15" customHeight="1">
      <c r="A344" t="inlineStr">
        <is>
          <t>A 12590-2025</t>
        </is>
      </c>
      <c r="B344" s="1" t="n">
        <v>45732.79925925926</v>
      </c>
      <c r="C344" s="1" t="n">
        <v>45974</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35710-2023</t>
        </is>
      </c>
      <c r="B345" s="1" t="n">
        <v>45147.67096064815</v>
      </c>
      <c r="C345" s="1" t="n">
        <v>45974</v>
      </c>
      <c r="D345" t="inlineStr">
        <is>
          <t>KALMAR LÄN</t>
        </is>
      </c>
      <c r="E345" t="inlineStr">
        <is>
          <t>VIMMERBY</t>
        </is>
      </c>
      <c r="G345" t="n">
        <v>3.1</v>
      </c>
      <c r="H345" t="n">
        <v>0</v>
      </c>
      <c r="I345" t="n">
        <v>0</v>
      </c>
      <c r="J345" t="n">
        <v>0</v>
      </c>
      <c r="K345" t="n">
        <v>0</v>
      </c>
      <c r="L345" t="n">
        <v>0</v>
      </c>
      <c r="M345" t="n">
        <v>0</v>
      </c>
      <c r="N345" t="n">
        <v>0</v>
      </c>
      <c r="O345" t="n">
        <v>0</v>
      </c>
      <c r="P345" t="n">
        <v>0</v>
      </c>
      <c r="Q345" t="n">
        <v>0</v>
      </c>
      <c r="R345" s="2" t="inlineStr"/>
    </row>
    <row r="346" ht="15" customHeight="1">
      <c r="A346" t="inlineStr">
        <is>
          <t>A 52823-2024</t>
        </is>
      </c>
      <c r="B346" s="1" t="n">
        <v>45610.59094907407</v>
      </c>
      <c r="C346" s="1" t="n">
        <v>45974</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4058-2024</t>
        </is>
      </c>
      <c r="B347" s="1" t="n">
        <v>45323.53744212963</v>
      </c>
      <c r="C347" s="1" t="n">
        <v>45974</v>
      </c>
      <c r="D347" t="inlineStr">
        <is>
          <t>KALMAR LÄN</t>
        </is>
      </c>
      <c r="E347" t="inlineStr">
        <is>
          <t>VIMMERBY</t>
        </is>
      </c>
      <c r="G347" t="n">
        <v>6.5</v>
      </c>
      <c r="H347" t="n">
        <v>0</v>
      </c>
      <c r="I347" t="n">
        <v>0</v>
      </c>
      <c r="J347" t="n">
        <v>0</v>
      </c>
      <c r="K347" t="n">
        <v>0</v>
      </c>
      <c r="L347" t="n">
        <v>0</v>
      </c>
      <c r="M347" t="n">
        <v>0</v>
      </c>
      <c r="N347" t="n">
        <v>0</v>
      </c>
      <c r="O347" t="n">
        <v>0</v>
      </c>
      <c r="P347" t="n">
        <v>0</v>
      </c>
      <c r="Q347" t="n">
        <v>0</v>
      </c>
      <c r="R347" s="2" t="inlineStr"/>
    </row>
    <row r="348" ht="15" customHeight="1">
      <c r="A348" t="inlineStr">
        <is>
          <t>A 58278-2023</t>
        </is>
      </c>
      <c r="B348" s="1" t="n">
        <v>45250.5278587963</v>
      </c>
      <c r="C348" s="1" t="n">
        <v>45974</v>
      </c>
      <c r="D348" t="inlineStr">
        <is>
          <t>KALMAR LÄN</t>
        </is>
      </c>
      <c r="E348" t="inlineStr">
        <is>
          <t>VIMMERBY</t>
        </is>
      </c>
      <c r="G348" t="n">
        <v>1.8</v>
      </c>
      <c r="H348" t="n">
        <v>0</v>
      </c>
      <c r="I348" t="n">
        <v>0</v>
      </c>
      <c r="J348" t="n">
        <v>0</v>
      </c>
      <c r="K348" t="n">
        <v>0</v>
      </c>
      <c r="L348" t="n">
        <v>0</v>
      </c>
      <c r="M348" t="n">
        <v>0</v>
      </c>
      <c r="N348" t="n">
        <v>0</v>
      </c>
      <c r="O348" t="n">
        <v>0</v>
      </c>
      <c r="P348" t="n">
        <v>0</v>
      </c>
      <c r="Q348" t="n">
        <v>0</v>
      </c>
      <c r="R348" s="2" t="inlineStr"/>
    </row>
    <row r="349" ht="15" customHeight="1">
      <c r="A349" t="inlineStr">
        <is>
          <t>A 22266-2023</t>
        </is>
      </c>
      <c r="B349" s="1" t="n">
        <v>45070</v>
      </c>
      <c r="C349" s="1" t="n">
        <v>45974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52588-2023</t>
        </is>
      </c>
      <c r="B350" s="1" t="n">
        <v>45225.60192129629</v>
      </c>
      <c r="C350" s="1" t="n">
        <v>45974</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11147-2023</t>
        </is>
      </c>
      <c r="B351" s="1" t="n">
        <v>44992</v>
      </c>
      <c r="C351" s="1" t="n">
        <v>45974</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19833-2023</t>
        </is>
      </c>
      <c r="B352" s="1" t="n">
        <v>45052</v>
      </c>
      <c r="C352" s="1" t="n">
        <v>45974</v>
      </c>
      <c r="D352" t="inlineStr">
        <is>
          <t>KALMAR LÄN</t>
        </is>
      </c>
      <c r="E352" t="inlineStr">
        <is>
          <t>VIMMERBY</t>
        </is>
      </c>
      <c r="G352" t="n">
        <v>6.7</v>
      </c>
      <c r="H352" t="n">
        <v>0</v>
      </c>
      <c r="I352" t="n">
        <v>0</v>
      </c>
      <c r="J352" t="n">
        <v>0</v>
      </c>
      <c r="K352" t="n">
        <v>0</v>
      </c>
      <c r="L352" t="n">
        <v>0</v>
      </c>
      <c r="M352" t="n">
        <v>0</v>
      </c>
      <c r="N352" t="n">
        <v>0</v>
      </c>
      <c r="O352" t="n">
        <v>0</v>
      </c>
      <c r="P352" t="n">
        <v>0</v>
      </c>
      <c r="Q352" t="n">
        <v>0</v>
      </c>
      <c r="R352" s="2" t="inlineStr"/>
    </row>
    <row r="353" ht="15" customHeight="1">
      <c r="A353" t="inlineStr">
        <is>
          <t>A 6802-2025</t>
        </is>
      </c>
      <c r="B353" s="1" t="n">
        <v>45700.68289351852</v>
      </c>
      <c r="C353" s="1" t="n">
        <v>45974</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71793-2021</t>
        </is>
      </c>
      <c r="B354" s="1" t="n">
        <v>44539</v>
      </c>
      <c r="C354" s="1" t="n">
        <v>45974</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14548-2024</t>
        </is>
      </c>
      <c r="B355" s="1" t="n">
        <v>45394.66887731481</v>
      </c>
      <c r="C355" s="1" t="n">
        <v>45974</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585-2024</t>
        </is>
      </c>
      <c r="B356" s="1" t="n">
        <v>45299.62576388889</v>
      </c>
      <c r="C356" s="1" t="n">
        <v>45974</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527-2024</t>
        </is>
      </c>
      <c r="B357" s="1" t="n">
        <v>45299.47513888889</v>
      </c>
      <c r="C357" s="1" t="n">
        <v>45974</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56020-2024</t>
        </is>
      </c>
      <c r="B358" s="1" t="n">
        <v>45623.9525462963</v>
      </c>
      <c r="C358" s="1" t="n">
        <v>45974</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60230-2022</t>
        </is>
      </c>
      <c r="B359" s="1" t="n">
        <v>44910</v>
      </c>
      <c r="C359" s="1" t="n">
        <v>45974</v>
      </c>
      <c r="D359" t="inlineStr">
        <is>
          <t>KALMAR LÄN</t>
        </is>
      </c>
      <c r="E359" t="inlineStr">
        <is>
          <t>VIMMERBY</t>
        </is>
      </c>
      <c r="G359" t="n">
        <v>11.3</v>
      </c>
      <c r="H359" t="n">
        <v>0</v>
      </c>
      <c r="I359" t="n">
        <v>0</v>
      </c>
      <c r="J359" t="n">
        <v>0</v>
      </c>
      <c r="K359" t="n">
        <v>0</v>
      </c>
      <c r="L359" t="n">
        <v>0</v>
      </c>
      <c r="M359" t="n">
        <v>0</v>
      </c>
      <c r="N359" t="n">
        <v>0</v>
      </c>
      <c r="O359" t="n">
        <v>0</v>
      </c>
      <c r="P359" t="n">
        <v>0</v>
      </c>
      <c r="Q359" t="n">
        <v>0</v>
      </c>
      <c r="R359" s="2" t="inlineStr"/>
    </row>
    <row r="360" ht="15" customHeight="1">
      <c r="A360" t="inlineStr">
        <is>
          <t>A 23252-2024</t>
        </is>
      </c>
      <c r="B360" s="1" t="n">
        <v>45453.36067129629</v>
      </c>
      <c r="C360" s="1" t="n">
        <v>45974</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1978-2024</t>
        </is>
      </c>
      <c r="B361" s="1" t="n">
        <v>45308.59001157407</v>
      </c>
      <c r="C361" s="1" t="n">
        <v>45974</v>
      </c>
      <c r="D361" t="inlineStr">
        <is>
          <t>KALMAR LÄN</t>
        </is>
      </c>
      <c r="E361" t="inlineStr">
        <is>
          <t>VIMMERBY</t>
        </is>
      </c>
      <c r="G361" t="n">
        <v>0.9</v>
      </c>
      <c r="H361" t="n">
        <v>0</v>
      </c>
      <c r="I361" t="n">
        <v>0</v>
      </c>
      <c r="J361" t="n">
        <v>0</v>
      </c>
      <c r="K361" t="n">
        <v>0</v>
      </c>
      <c r="L361" t="n">
        <v>0</v>
      </c>
      <c r="M361" t="n">
        <v>0</v>
      </c>
      <c r="N361" t="n">
        <v>0</v>
      </c>
      <c r="O361" t="n">
        <v>0</v>
      </c>
      <c r="P361" t="n">
        <v>0</v>
      </c>
      <c r="Q361" t="n">
        <v>0</v>
      </c>
      <c r="R361" s="2" t="inlineStr"/>
    </row>
    <row r="362" ht="15" customHeight="1">
      <c r="A362" t="inlineStr">
        <is>
          <t>A 15550-2023</t>
        </is>
      </c>
      <c r="B362" s="1" t="n">
        <v>45020</v>
      </c>
      <c r="C362" s="1" t="n">
        <v>45974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5925-2022</t>
        </is>
      </c>
      <c r="B363" s="1" t="n">
        <v>44598.7384837963</v>
      </c>
      <c r="C363" s="1" t="n">
        <v>45974</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11219-2023</t>
        </is>
      </c>
      <c r="B364" s="1" t="n">
        <v>44992.62498842592</v>
      </c>
      <c r="C364" s="1" t="n">
        <v>45974</v>
      </c>
      <c r="D364" t="inlineStr">
        <is>
          <t>KALMAR LÄN</t>
        </is>
      </c>
      <c r="E364" t="inlineStr">
        <is>
          <t>VIMMERBY</t>
        </is>
      </c>
      <c r="G364" t="n">
        <v>2.5</v>
      </c>
      <c r="H364" t="n">
        <v>0</v>
      </c>
      <c r="I364" t="n">
        <v>0</v>
      </c>
      <c r="J364" t="n">
        <v>0</v>
      </c>
      <c r="K364" t="n">
        <v>0</v>
      </c>
      <c r="L364" t="n">
        <v>0</v>
      </c>
      <c r="M364" t="n">
        <v>0</v>
      </c>
      <c r="N364" t="n">
        <v>0</v>
      </c>
      <c r="O364" t="n">
        <v>0</v>
      </c>
      <c r="P364" t="n">
        <v>0</v>
      </c>
      <c r="Q364" t="n">
        <v>0</v>
      </c>
      <c r="R364" s="2" t="inlineStr"/>
    </row>
    <row r="365" ht="15" customHeight="1">
      <c r="A365" t="inlineStr">
        <is>
          <t>A 30318-2023</t>
        </is>
      </c>
      <c r="B365" s="1" t="n">
        <v>45111.30824074074</v>
      </c>
      <c r="C365" s="1" t="n">
        <v>45974</v>
      </c>
      <c r="D365" t="inlineStr">
        <is>
          <t>KALMAR LÄN</t>
        </is>
      </c>
      <c r="E365" t="inlineStr">
        <is>
          <t>VIMMERBY</t>
        </is>
      </c>
      <c r="G365" t="n">
        <v>2.6</v>
      </c>
      <c r="H365" t="n">
        <v>0</v>
      </c>
      <c r="I365" t="n">
        <v>0</v>
      </c>
      <c r="J365" t="n">
        <v>0</v>
      </c>
      <c r="K365" t="n">
        <v>0</v>
      </c>
      <c r="L365" t="n">
        <v>0</v>
      </c>
      <c r="M365" t="n">
        <v>0</v>
      </c>
      <c r="N365" t="n">
        <v>0</v>
      </c>
      <c r="O365" t="n">
        <v>0</v>
      </c>
      <c r="P365" t="n">
        <v>0</v>
      </c>
      <c r="Q365" t="n">
        <v>0</v>
      </c>
      <c r="R365" s="2" t="inlineStr"/>
    </row>
    <row r="366" ht="15" customHeight="1">
      <c r="A366" t="inlineStr">
        <is>
          <t>A 18411-2021</t>
        </is>
      </c>
      <c r="B366" s="1" t="n">
        <v>44302</v>
      </c>
      <c r="C366" s="1" t="n">
        <v>45974</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47855-2024</t>
        </is>
      </c>
      <c r="B367" s="1" t="n">
        <v>45588.66457175926</v>
      </c>
      <c r="C367" s="1" t="n">
        <v>45974</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46522-2022</t>
        </is>
      </c>
      <c r="B368" s="1" t="n">
        <v>44848.59133101852</v>
      </c>
      <c r="C368" s="1" t="n">
        <v>45974</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172-2022</t>
        </is>
      </c>
      <c r="B369" s="1" t="n">
        <v>44564.62598379629</v>
      </c>
      <c r="C369" s="1" t="n">
        <v>45974</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39584-2024</t>
        </is>
      </c>
      <c r="B370" s="1" t="n">
        <v>45552.36759259259</v>
      </c>
      <c r="C370" s="1" t="n">
        <v>45974</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41066-2024</t>
        </is>
      </c>
      <c r="B371" s="1" t="n">
        <v>45559.38876157408</v>
      </c>
      <c r="C371" s="1" t="n">
        <v>45974</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51881-2024</t>
        </is>
      </c>
      <c r="B372" s="1" t="n">
        <v>45607.56773148148</v>
      </c>
      <c r="C372" s="1" t="n">
        <v>45974</v>
      </c>
      <c r="D372" t="inlineStr">
        <is>
          <t>KALMAR LÄN</t>
        </is>
      </c>
      <c r="E372" t="inlineStr">
        <is>
          <t>VIMMERBY</t>
        </is>
      </c>
      <c r="G372" t="n">
        <v>3.4</v>
      </c>
      <c r="H372" t="n">
        <v>0</v>
      </c>
      <c r="I372" t="n">
        <v>0</v>
      </c>
      <c r="J372" t="n">
        <v>0</v>
      </c>
      <c r="K372" t="n">
        <v>0</v>
      </c>
      <c r="L372" t="n">
        <v>0</v>
      </c>
      <c r="M372" t="n">
        <v>0</v>
      </c>
      <c r="N372" t="n">
        <v>0</v>
      </c>
      <c r="O372" t="n">
        <v>0</v>
      </c>
      <c r="P372" t="n">
        <v>0</v>
      </c>
      <c r="Q372" t="n">
        <v>0</v>
      </c>
      <c r="R372" s="2" t="inlineStr"/>
    </row>
    <row r="373" ht="15" customHeight="1">
      <c r="A373" t="inlineStr">
        <is>
          <t>A 2596-2025</t>
        </is>
      </c>
      <c r="B373" s="1" t="n">
        <v>45674.71810185185</v>
      </c>
      <c r="C373" s="1" t="n">
        <v>45974</v>
      </c>
      <c r="D373" t="inlineStr">
        <is>
          <t>KALMAR LÄN</t>
        </is>
      </c>
      <c r="E373" t="inlineStr">
        <is>
          <t>VIMMERBY</t>
        </is>
      </c>
      <c r="G373" t="n">
        <v>9</v>
      </c>
      <c r="H373" t="n">
        <v>0</v>
      </c>
      <c r="I373" t="n">
        <v>0</v>
      </c>
      <c r="J373" t="n">
        <v>0</v>
      </c>
      <c r="K373" t="n">
        <v>0</v>
      </c>
      <c r="L373" t="n">
        <v>0</v>
      </c>
      <c r="M373" t="n">
        <v>0</v>
      </c>
      <c r="N373" t="n">
        <v>0</v>
      </c>
      <c r="O373" t="n">
        <v>0</v>
      </c>
      <c r="P373" t="n">
        <v>0</v>
      </c>
      <c r="Q373" t="n">
        <v>0</v>
      </c>
      <c r="R373" s="2" t="inlineStr"/>
    </row>
    <row r="374" ht="15" customHeight="1">
      <c r="A374" t="inlineStr">
        <is>
          <t>A 52279-2023</t>
        </is>
      </c>
      <c r="B374" s="1" t="n">
        <v>45224</v>
      </c>
      <c r="C374" s="1" t="n">
        <v>45974</v>
      </c>
      <c r="D374" t="inlineStr">
        <is>
          <t>KALMAR LÄN</t>
        </is>
      </c>
      <c r="E374" t="inlineStr">
        <is>
          <t>VIMMERBY</t>
        </is>
      </c>
      <c r="G374" t="n">
        <v>1.8</v>
      </c>
      <c r="H374" t="n">
        <v>0</v>
      </c>
      <c r="I374" t="n">
        <v>0</v>
      </c>
      <c r="J374" t="n">
        <v>0</v>
      </c>
      <c r="K374" t="n">
        <v>0</v>
      </c>
      <c r="L374" t="n">
        <v>0</v>
      </c>
      <c r="M374" t="n">
        <v>0</v>
      </c>
      <c r="N374" t="n">
        <v>0</v>
      </c>
      <c r="O374" t="n">
        <v>0</v>
      </c>
      <c r="P374" t="n">
        <v>0</v>
      </c>
      <c r="Q374" t="n">
        <v>0</v>
      </c>
      <c r="R374" s="2" t="inlineStr"/>
    </row>
    <row r="375" ht="15" customHeight="1">
      <c r="A375" t="inlineStr">
        <is>
          <t>A 17486-2024</t>
        </is>
      </c>
      <c r="B375" s="1" t="n">
        <v>45415.48979166667</v>
      </c>
      <c r="C375" s="1" t="n">
        <v>45974</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16734-2023</t>
        </is>
      </c>
      <c r="B376" s="1" t="n">
        <v>45030.71012731481</v>
      </c>
      <c r="C376" s="1" t="n">
        <v>45974</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25234-2023</t>
        </is>
      </c>
      <c r="B377" s="1" t="n">
        <v>45086.63194444445</v>
      </c>
      <c r="C377" s="1" t="n">
        <v>45974</v>
      </c>
      <c r="D377" t="inlineStr">
        <is>
          <t>KALMAR LÄN</t>
        </is>
      </c>
      <c r="E377" t="inlineStr">
        <is>
          <t>VIMMERBY</t>
        </is>
      </c>
      <c r="G377" t="n">
        <v>2.1</v>
      </c>
      <c r="H377" t="n">
        <v>0</v>
      </c>
      <c r="I377" t="n">
        <v>0</v>
      </c>
      <c r="J377" t="n">
        <v>0</v>
      </c>
      <c r="K377" t="n">
        <v>0</v>
      </c>
      <c r="L377" t="n">
        <v>0</v>
      </c>
      <c r="M377" t="n">
        <v>0</v>
      </c>
      <c r="N377" t="n">
        <v>0</v>
      </c>
      <c r="O377" t="n">
        <v>0</v>
      </c>
      <c r="P377" t="n">
        <v>0</v>
      </c>
      <c r="Q377" t="n">
        <v>0</v>
      </c>
      <c r="R377" s="2" t="inlineStr"/>
    </row>
    <row r="378" ht="15" customHeight="1">
      <c r="A378" t="inlineStr">
        <is>
          <t>A 46078-2023</t>
        </is>
      </c>
      <c r="B378" s="1" t="n">
        <v>45196</v>
      </c>
      <c r="C378" s="1" t="n">
        <v>45974</v>
      </c>
      <c r="D378" t="inlineStr">
        <is>
          <t>KALMAR LÄN</t>
        </is>
      </c>
      <c r="E378" t="inlineStr">
        <is>
          <t>VIMMERBY</t>
        </is>
      </c>
      <c r="G378" t="n">
        <v>0.7</v>
      </c>
      <c r="H378" t="n">
        <v>0</v>
      </c>
      <c r="I378" t="n">
        <v>0</v>
      </c>
      <c r="J378" t="n">
        <v>0</v>
      </c>
      <c r="K378" t="n">
        <v>0</v>
      </c>
      <c r="L378" t="n">
        <v>0</v>
      </c>
      <c r="M378" t="n">
        <v>0</v>
      </c>
      <c r="N378" t="n">
        <v>0</v>
      </c>
      <c r="O378" t="n">
        <v>0</v>
      </c>
      <c r="P378" t="n">
        <v>0</v>
      </c>
      <c r="Q378" t="n">
        <v>0</v>
      </c>
      <c r="R378" s="2" t="inlineStr"/>
    </row>
    <row r="379" ht="15" customHeight="1">
      <c r="A379" t="inlineStr">
        <is>
          <t>A 71631-2021</t>
        </is>
      </c>
      <c r="B379" s="1" t="n">
        <v>44542.90072916666</v>
      </c>
      <c r="C379" s="1" t="n">
        <v>45974</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22399-2025</t>
        </is>
      </c>
      <c r="B380" s="1" t="n">
        <v>45786.52996527778</v>
      </c>
      <c r="C380" s="1" t="n">
        <v>45974</v>
      </c>
      <c r="D380" t="inlineStr">
        <is>
          <t>KALMAR LÄN</t>
        </is>
      </c>
      <c r="E380" t="inlineStr">
        <is>
          <t>VIMMERBY</t>
        </is>
      </c>
      <c r="G380" t="n">
        <v>2.1</v>
      </c>
      <c r="H380" t="n">
        <v>0</v>
      </c>
      <c r="I380" t="n">
        <v>0</v>
      </c>
      <c r="J380" t="n">
        <v>0</v>
      </c>
      <c r="K380" t="n">
        <v>0</v>
      </c>
      <c r="L380" t="n">
        <v>0</v>
      </c>
      <c r="M380" t="n">
        <v>0</v>
      </c>
      <c r="N380" t="n">
        <v>0</v>
      </c>
      <c r="O380" t="n">
        <v>0</v>
      </c>
      <c r="P380" t="n">
        <v>0</v>
      </c>
      <c r="Q380" t="n">
        <v>0</v>
      </c>
      <c r="R380" s="2" t="inlineStr"/>
    </row>
    <row r="381" ht="15" customHeight="1">
      <c r="A381" t="inlineStr">
        <is>
          <t>A 22397-2025</t>
        </is>
      </c>
      <c r="B381" s="1" t="n">
        <v>45786.52878472222</v>
      </c>
      <c r="C381" s="1" t="n">
        <v>45974</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20129-2024</t>
        </is>
      </c>
      <c r="B382" s="1" t="n">
        <v>45434.55831018519</v>
      </c>
      <c r="C382" s="1" t="n">
        <v>45974</v>
      </c>
      <c r="D382" t="inlineStr">
        <is>
          <t>KALMAR LÄN</t>
        </is>
      </c>
      <c r="E382" t="inlineStr">
        <is>
          <t>VIMMERBY</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20137-2024</t>
        </is>
      </c>
      <c r="B383" s="1" t="n">
        <v>45434.56398148148</v>
      </c>
      <c r="C383" s="1" t="n">
        <v>45974</v>
      </c>
      <c r="D383" t="inlineStr">
        <is>
          <t>KALMAR LÄN</t>
        </is>
      </c>
      <c r="E383" t="inlineStr">
        <is>
          <t>VIMMERBY</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7456-2024</t>
        </is>
      </c>
      <c r="B384" s="1" t="n">
        <v>45345.83557870371</v>
      </c>
      <c r="C384" s="1" t="n">
        <v>45974</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25582-2024</t>
        </is>
      </c>
      <c r="B385" s="1" t="n">
        <v>45463</v>
      </c>
      <c r="C385" s="1" t="n">
        <v>45974</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16015-2025</t>
        </is>
      </c>
      <c r="B386" s="1" t="n">
        <v>45749.60487268519</v>
      </c>
      <c r="C386" s="1" t="n">
        <v>45974</v>
      </c>
      <c r="D386" t="inlineStr">
        <is>
          <t>KALMAR LÄN</t>
        </is>
      </c>
      <c r="E386" t="inlineStr">
        <is>
          <t>VIMMERBY</t>
        </is>
      </c>
      <c r="F386" t="inlineStr">
        <is>
          <t>Kyrkan</t>
        </is>
      </c>
      <c r="G386" t="n">
        <v>2.7</v>
      </c>
      <c r="H386" t="n">
        <v>0</v>
      </c>
      <c r="I386" t="n">
        <v>0</v>
      </c>
      <c r="J386" t="n">
        <v>0</v>
      </c>
      <c r="K386" t="n">
        <v>0</v>
      </c>
      <c r="L386" t="n">
        <v>0</v>
      </c>
      <c r="M386" t="n">
        <v>0</v>
      </c>
      <c r="N386" t="n">
        <v>0</v>
      </c>
      <c r="O386" t="n">
        <v>0</v>
      </c>
      <c r="P386" t="n">
        <v>0</v>
      </c>
      <c r="Q386" t="n">
        <v>0</v>
      </c>
      <c r="R386" s="2" t="inlineStr"/>
    </row>
    <row r="387" ht="15" customHeight="1">
      <c r="A387" t="inlineStr">
        <is>
          <t>A 52324-2023</t>
        </is>
      </c>
      <c r="B387" s="1" t="n">
        <v>45224.64659722222</v>
      </c>
      <c r="C387" s="1" t="n">
        <v>45974</v>
      </c>
      <c r="D387" t="inlineStr">
        <is>
          <t>KALMAR LÄN</t>
        </is>
      </c>
      <c r="E387" t="inlineStr">
        <is>
          <t>VIMMERBY</t>
        </is>
      </c>
      <c r="F387" t="inlineStr">
        <is>
          <t>Sveaskog</t>
        </is>
      </c>
      <c r="G387" t="n">
        <v>2.9</v>
      </c>
      <c r="H387" t="n">
        <v>0</v>
      </c>
      <c r="I387" t="n">
        <v>0</v>
      </c>
      <c r="J387" t="n">
        <v>0</v>
      </c>
      <c r="K387" t="n">
        <v>0</v>
      </c>
      <c r="L387" t="n">
        <v>0</v>
      </c>
      <c r="M387" t="n">
        <v>0</v>
      </c>
      <c r="N387" t="n">
        <v>0</v>
      </c>
      <c r="O387" t="n">
        <v>0</v>
      </c>
      <c r="P387" t="n">
        <v>0</v>
      </c>
      <c r="Q387" t="n">
        <v>0</v>
      </c>
      <c r="R387" s="2" t="inlineStr"/>
    </row>
    <row r="388" ht="15" customHeight="1">
      <c r="A388" t="inlineStr">
        <is>
          <t>A 9694-2023</t>
        </is>
      </c>
      <c r="B388" s="1" t="n">
        <v>44984.45895833334</v>
      </c>
      <c r="C388" s="1" t="n">
        <v>45974</v>
      </c>
      <c r="D388" t="inlineStr">
        <is>
          <t>KALMAR LÄN</t>
        </is>
      </c>
      <c r="E388" t="inlineStr">
        <is>
          <t>VIMMERBY</t>
        </is>
      </c>
      <c r="G388" t="n">
        <v>2.1</v>
      </c>
      <c r="H388" t="n">
        <v>0</v>
      </c>
      <c r="I388" t="n">
        <v>0</v>
      </c>
      <c r="J388" t="n">
        <v>0</v>
      </c>
      <c r="K388" t="n">
        <v>0</v>
      </c>
      <c r="L388" t="n">
        <v>0</v>
      </c>
      <c r="M388" t="n">
        <v>0</v>
      </c>
      <c r="N388" t="n">
        <v>0</v>
      </c>
      <c r="O388" t="n">
        <v>0</v>
      </c>
      <c r="P388" t="n">
        <v>0</v>
      </c>
      <c r="Q388" t="n">
        <v>0</v>
      </c>
      <c r="R388" s="2" t="inlineStr"/>
    </row>
    <row r="389" ht="15" customHeight="1">
      <c r="A389" t="inlineStr">
        <is>
          <t>A 57578-2024</t>
        </is>
      </c>
      <c r="B389" s="1" t="n">
        <v>45630.47564814815</v>
      </c>
      <c r="C389" s="1" t="n">
        <v>45974</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17988-2025</t>
        </is>
      </c>
      <c r="B390" s="1" t="n">
        <v>45761.39600694444</v>
      </c>
      <c r="C390" s="1" t="n">
        <v>45974</v>
      </c>
      <c r="D390" t="inlineStr">
        <is>
          <t>KALMAR LÄN</t>
        </is>
      </c>
      <c r="E390" t="inlineStr">
        <is>
          <t>VIMMERBY</t>
        </is>
      </c>
      <c r="G390" t="n">
        <v>2.8</v>
      </c>
      <c r="H390" t="n">
        <v>0</v>
      </c>
      <c r="I390" t="n">
        <v>0</v>
      </c>
      <c r="J390" t="n">
        <v>0</v>
      </c>
      <c r="K390" t="n">
        <v>0</v>
      </c>
      <c r="L390" t="n">
        <v>0</v>
      </c>
      <c r="M390" t="n">
        <v>0</v>
      </c>
      <c r="N390" t="n">
        <v>0</v>
      </c>
      <c r="O390" t="n">
        <v>0</v>
      </c>
      <c r="P390" t="n">
        <v>0</v>
      </c>
      <c r="Q390" t="n">
        <v>0</v>
      </c>
      <c r="R390" s="2" t="inlineStr"/>
    </row>
    <row r="391" ht="15" customHeight="1">
      <c r="A391" t="inlineStr">
        <is>
          <t>A 22198-2024</t>
        </is>
      </c>
      <c r="B391" s="1" t="n">
        <v>45446.36865740741</v>
      </c>
      <c r="C391" s="1" t="n">
        <v>45974</v>
      </c>
      <c r="D391" t="inlineStr">
        <is>
          <t>KALMAR LÄN</t>
        </is>
      </c>
      <c r="E391" t="inlineStr">
        <is>
          <t>VIMMERBY</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57311-2023</t>
        </is>
      </c>
      <c r="B392" s="1" t="n">
        <v>45245.63574074074</v>
      </c>
      <c r="C392" s="1" t="n">
        <v>45974</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23341-2022</t>
        </is>
      </c>
      <c r="B393" s="1" t="n">
        <v>44720.53898148148</v>
      </c>
      <c r="C393" s="1" t="n">
        <v>45974</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12588-2025</t>
        </is>
      </c>
      <c r="B394" s="1" t="n">
        <v>45732.76936342593</v>
      </c>
      <c r="C394" s="1" t="n">
        <v>45974</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6307-2025</t>
        </is>
      </c>
      <c r="B395" s="1" t="n">
        <v>45698.69016203703</v>
      </c>
      <c r="C395" s="1" t="n">
        <v>45974</v>
      </c>
      <c r="D395" t="inlineStr">
        <is>
          <t>KALMAR LÄN</t>
        </is>
      </c>
      <c r="E395" t="inlineStr">
        <is>
          <t>VIMMERBY</t>
        </is>
      </c>
      <c r="G395" t="n">
        <v>3</v>
      </c>
      <c r="H395" t="n">
        <v>0</v>
      </c>
      <c r="I395" t="n">
        <v>0</v>
      </c>
      <c r="J395" t="n">
        <v>0</v>
      </c>
      <c r="K395" t="n">
        <v>0</v>
      </c>
      <c r="L395" t="n">
        <v>0</v>
      </c>
      <c r="M395" t="n">
        <v>0</v>
      </c>
      <c r="N395" t="n">
        <v>0</v>
      </c>
      <c r="O395" t="n">
        <v>0</v>
      </c>
      <c r="P395" t="n">
        <v>0</v>
      </c>
      <c r="Q395" t="n">
        <v>0</v>
      </c>
      <c r="R395" s="2" t="inlineStr"/>
    </row>
    <row r="396" ht="15" customHeight="1">
      <c r="A396" t="inlineStr">
        <is>
          <t>A 37028-2024</t>
        </is>
      </c>
      <c r="B396" s="1" t="n">
        <v>45539.38744212963</v>
      </c>
      <c r="C396" s="1" t="n">
        <v>45974</v>
      </c>
      <c r="D396" t="inlineStr">
        <is>
          <t>KALMAR LÄN</t>
        </is>
      </c>
      <c r="E396" t="inlineStr">
        <is>
          <t>VIMMERBY</t>
        </is>
      </c>
      <c r="G396" t="n">
        <v>5.2</v>
      </c>
      <c r="H396" t="n">
        <v>0</v>
      </c>
      <c r="I396" t="n">
        <v>0</v>
      </c>
      <c r="J396" t="n">
        <v>0</v>
      </c>
      <c r="K396" t="n">
        <v>0</v>
      </c>
      <c r="L396" t="n">
        <v>0</v>
      </c>
      <c r="M396" t="n">
        <v>0</v>
      </c>
      <c r="N396" t="n">
        <v>0</v>
      </c>
      <c r="O396" t="n">
        <v>0</v>
      </c>
      <c r="P396" t="n">
        <v>0</v>
      </c>
      <c r="Q396" t="n">
        <v>0</v>
      </c>
      <c r="R396" s="2" t="inlineStr"/>
    </row>
    <row r="397" ht="15" customHeight="1">
      <c r="A397" t="inlineStr">
        <is>
          <t>A 7932-2025</t>
        </is>
      </c>
      <c r="B397" s="1" t="n">
        <v>45707.3793287037</v>
      </c>
      <c r="C397" s="1" t="n">
        <v>45974</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11442-2025</t>
        </is>
      </c>
      <c r="B398" s="1" t="n">
        <v>45726.62721064815</v>
      </c>
      <c r="C398" s="1" t="n">
        <v>45974</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6668-2023</t>
        </is>
      </c>
      <c r="B399" s="1" t="n">
        <v>44966</v>
      </c>
      <c r="C399" s="1" t="n">
        <v>45974</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29168-2024</t>
        </is>
      </c>
      <c r="B400" s="1" t="n">
        <v>45482.49870370371</v>
      </c>
      <c r="C400" s="1" t="n">
        <v>45974</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8086-2021</t>
        </is>
      </c>
      <c r="B401" s="1" t="n">
        <v>44243</v>
      </c>
      <c r="C401" s="1" t="n">
        <v>45974</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55236-2023</t>
        </is>
      </c>
      <c r="B402" s="1" t="n">
        <v>45237.63225694445</v>
      </c>
      <c r="C402" s="1" t="n">
        <v>45974</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55245-2023</t>
        </is>
      </c>
      <c r="B403" s="1" t="n">
        <v>45237.64408564815</v>
      </c>
      <c r="C403" s="1" t="n">
        <v>45974</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36055-2024</t>
        </is>
      </c>
      <c r="B404" s="1" t="n">
        <v>45533.63056712963</v>
      </c>
      <c r="C404" s="1" t="n">
        <v>45974</v>
      </c>
      <c r="D404" t="inlineStr">
        <is>
          <t>KALMAR LÄN</t>
        </is>
      </c>
      <c r="E404" t="inlineStr">
        <is>
          <t>VIMMERBY</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2121-2022</t>
        </is>
      </c>
      <c r="B405" s="1" t="n">
        <v>44578.32717592592</v>
      </c>
      <c r="C405" s="1" t="n">
        <v>45974</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34386-2024</t>
        </is>
      </c>
      <c r="B406" s="1" t="n">
        <v>45525.41762731481</v>
      </c>
      <c r="C406" s="1" t="n">
        <v>45974</v>
      </c>
      <c r="D406" t="inlineStr">
        <is>
          <t>KALMAR LÄN</t>
        </is>
      </c>
      <c r="E406" t="inlineStr">
        <is>
          <t>VIMMERBY</t>
        </is>
      </c>
      <c r="G406" t="n">
        <v>0.3</v>
      </c>
      <c r="H406" t="n">
        <v>0</v>
      </c>
      <c r="I406" t="n">
        <v>0</v>
      </c>
      <c r="J406" t="n">
        <v>0</v>
      </c>
      <c r="K406" t="n">
        <v>0</v>
      </c>
      <c r="L406" t="n">
        <v>0</v>
      </c>
      <c r="M406" t="n">
        <v>0</v>
      </c>
      <c r="N406" t="n">
        <v>0</v>
      </c>
      <c r="O406" t="n">
        <v>0</v>
      </c>
      <c r="P406" t="n">
        <v>0</v>
      </c>
      <c r="Q406" t="n">
        <v>0</v>
      </c>
      <c r="R406" s="2" t="inlineStr"/>
    </row>
    <row r="407" ht="15" customHeight="1">
      <c r="A407" t="inlineStr">
        <is>
          <t>A 6069-2023</t>
        </is>
      </c>
      <c r="B407" s="1" t="n">
        <v>44964.5115162037</v>
      </c>
      <c r="C407" s="1" t="n">
        <v>45974</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27443-2023</t>
        </is>
      </c>
      <c r="B408" s="1" t="n">
        <v>45097.40524305555</v>
      </c>
      <c r="C408" s="1" t="n">
        <v>45974</v>
      </c>
      <c r="D408" t="inlineStr">
        <is>
          <t>KALMAR LÄN</t>
        </is>
      </c>
      <c r="E408" t="inlineStr">
        <is>
          <t>VIMMERBY</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845-2023</t>
        </is>
      </c>
      <c r="B409" s="1" t="n">
        <v>44931</v>
      </c>
      <c r="C409" s="1" t="n">
        <v>45974</v>
      </c>
      <c r="D409" t="inlineStr">
        <is>
          <t>KALMAR LÄN</t>
        </is>
      </c>
      <c r="E409" t="inlineStr">
        <is>
          <t>VIMMERBY</t>
        </is>
      </c>
      <c r="F409" t="inlineStr">
        <is>
          <t>Övriga Aktiebolag</t>
        </is>
      </c>
      <c r="G409" t="n">
        <v>19</v>
      </c>
      <c r="H409" t="n">
        <v>0</v>
      </c>
      <c r="I409" t="n">
        <v>0</v>
      </c>
      <c r="J409" t="n">
        <v>0</v>
      </c>
      <c r="K409" t="n">
        <v>0</v>
      </c>
      <c r="L409" t="n">
        <v>0</v>
      </c>
      <c r="M409" t="n">
        <v>0</v>
      </c>
      <c r="N409" t="n">
        <v>0</v>
      </c>
      <c r="O409" t="n">
        <v>0</v>
      </c>
      <c r="P409" t="n">
        <v>0</v>
      </c>
      <c r="Q409" t="n">
        <v>0</v>
      </c>
      <c r="R409" s="2" t="inlineStr"/>
    </row>
    <row r="410" ht="15" customHeight="1">
      <c r="A410" t="inlineStr">
        <is>
          <t>A 32633-2023</t>
        </is>
      </c>
      <c r="B410" s="1" t="n">
        <v>45121.58699074074</v>
      </c>
      <c r="C410" s="1" t="n">
        <v>45974</v>
      </c>
      <c r="D410" t="inlineStr">
        <is>
          <t>KALMAR LÄN</t>
        </is>
      </c>
      <c r="E410" t="inlineStr">
        <is>
          <t>VIMMERBY</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49461-2023</t>
        </is>
      </c>
      <c r="B411" s="1" t="n">
        <v>45211.52642361111</v>
      </c>
      <c r="C411" s="1" t="n">
        <v>45974</v>
      </c>
      <c r="D411" t="inlineStr">
        <is>
          <t>KALMAR LÄN</t>
        </is>
      </c>
      <c r="E411" t="inlineStr">
        <is>
          <t>VIMMERBY</t>
        </is>
      </c>
      <c r="G411" t="n">
        <v>1.5</v>
      </c>
      <c r="H411" t="n">
        <v>0</v>
      </c>
      <c r="I411" t="n">
        <v>0</v>
      </c>
      <c r="J411" t="n">
        <v>0</v>
      </c>
      <c r="K411" t="n">
        <v>0</v>
      </c>
      <c r="L411" t="n">
        <v>0</v>
      </c>
      <c r="M411" t="n">
        <v>0</v>
      </c>
      <c r="N411" t="n">
        <v>0</v>
      </c>
      <c r="O411" t="n">
        <v>0</v>
      </c>
      <c r="P411" t="n">
        <v>0</v>
      </c>
      <c r="Q411" t="n">
        <v>0</v>
      </c>
      <c r="R411" s="2" t="inlineStr"/>
    </row>
    <row r="412" ht="15" customHeight="1">
      <c r="A412" t="inlineStr">
        <is>
          <t>A 23095-2023</t>
        </is>
      </c>
      <c r="B412" s="1" t="n">
        <v>45075.43059027778</v>
      </c>
      <c r="C412" s="1" t="n">
        <v>45974</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11429-2022</t>
        </is>
      </c>
      <c r="B413" s="1" t="n">
        <v>44630</v>
      </c>
      <c r="C413" s="1" t="n">
        <v>45974</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23394-2025</t>
        </is>
      </c>
      <c r="B414" s="1" t="n">
        <v>45791.89865740741</v>
      </c>
      <c r="C414" s="1" t="n">
        <v>45974</v>
      </c>
      <c r="D414" t="inlineStr">
        <is>
          <t>KALMAR LÄN</t>
        </is>
      </c>
      <c r="E414" t="inlineStr">
        <is>
          <t>VIMMERBY</t>
        </is>
      </c>
      <c r="G414" t="n">
        <v>3.1</v>
      </c>
      <c r="H414" t="n">
        <v>0</v>
      </c>
      <c r="I414" t="n">
        <v>0</v>
      </c>
      <c r="J414" t="n">
        <v>0</v>
      </c>
      <c r="K414" t="n">
        <v>0</v>
      </c>
      <c r="L414" t="n">
        <v>0</v>
      </c>
      <c r="M414" t="n">
        <v>0</v>
      </c>
      <c r="N414" t="n">
        <v>0</v>
      </c>
      <c r="O414" t="n">
        <v>0</v>
      </c>
      <c r="P414" t="n">
        <v>0</v>
      </c>
      <c r="Q414" t="n">
        <v>0</v>
      </c>
      <c r="R414" s="2" t="inlineStr"/>
    </row>
    <row r="415" ht="15" customHeight="1">
      <c r="A415" t="inlineStr">
        <is>
          <t>A 6321-2023</t>
        </is>
      </c>
      <c r="B415" s="1" t="n">
        <v>44965.4815162037</v>
      </c>
      <c r="C415" s="1" t="n">
        <v>45974</v>
      </c>
      <c r="D415" t="inlineStr">
        <is>
          <t>KALMAR LÄN</t>
        </is>
      </c>
      <c r="E415" t="inlineStr">
        <is>
          <t>VIMMERBY</t>
        </is>
      </c>
      <c r="G415" t="n">
        <v>1.8</v>
      </c>
      <c r="H415" t="n">
        <v>0</v>
      </c>
      <c r="I415" t="n">
        <v>0</v>
      </c>
      <c r="J415" t="n">
        <v>0</v>
      </c>
      <c r="K415" t="n">
        <v>0</v>
      </c>
      <c r="L415" t="n">
        <v>0</v>
      </c>
      <c r="M415" t="n">
        <v>0</v>
      </c>
      <c r="N415" t="n">
        <v>0</v>
      </c>
      <c r="O415" t="n">
        <v>0</v>
      </c>
      <c r="P415" t="n">
        <v>0</v>
      </c>
      <c r="Q415" t="n">
        <v>0</v>
      </c>
      <c r="R415" s="2" t="inlineStr"/>
    </row>
    <row r="416" ht="15" customHeight="1">
      <c r="A416" t="inlineStr">
        <is>
          <t>A 4624-2024</t>
        </is>
      </c>
      <c r="B416" s="1" t="n">
        <v>45328.38755787037</v>
      </c>
      <c r="C416" s="1" t="n">
        <v>45974</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3609-2024</t>
        </is>
      </c>
      <c r="B417" s="1" t="n">
        <v>45320.89128472222</v>
      </c>
      <c r="C417" s="1" t="n">
        <v>45974</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10424-2023</t>
        </is>
      </c>
      <c r="B418" s="1" t="n">
        <v>44987.54104166666</v>
      </c>
      <c r="C418" s="1" t="n">
        <v>45974</v>
      </c>
      <c r="D418" t="inlineStr">
        <is>
          <t>KALMAR LÄN</t>
        </is>
      </c>
      <c r="E418" t="inlineStr">
        <is>
          <t>VIMMERBY</t>
        </is>
      </c>
      <c r="G418" t="n">
        <v>0.5</v>
      </c>
      <c r="H418" t="n">
        <v>0</v>
      </c>
      <c r="I418" t="n">
        <v>0</v>
      </c>
      <c r="J418" t="n">
        <v>0</v>
      </c>
      <c r="K418" t="n">
        <v>0</v>
      </c>
      <c r="L418" t="n">
        <v>0</v>
      </c>
      <c r="M418" t="n">
        <v>0</v>
      </c>
      <c r="N418" t="n">
        <v>0</v>
      </c>
      <c r="O418" t="n">
        <v>0</v>
      </c>
      <c r="P418" t="n">
        <v>0</v>
      </c>
      <c r="Q418" t="n">
        <v>0</v>
      </c>
      <c r="R418" s="2" t="inlineStr"/>
    </row>
    <row r="419" ht="15" customHeight="1">
      <c r="A419" t="inlineStr">
        <is>
          <t>A 40730-2024</t>
        </is>
      </c>
      <c r="B419" s="1" t="n">
        <v>45558.44914351852</v>
      </c>
      <c r="C419" s="1" t="n">
        <v>45974</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49382-2023</t>
        </is>
      </c>
      <c r="B420" s="1" t="n">
        <v>45208</v>
      </c>
      <c r="C420" s="1" t="n">
        <v>45974</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12810-2023</t>
        </is>
      </c>
      <c r="B421" s="1" t="n">
        <v>45001.43854166667</v>
      </c>
      <c r="C421" s="1" t="n">
        <v>45974</v>
      </c>
      <c r="D421" t="inlineStr">
        <is>
          <t>KALMAR LÄN</t>
        </is>
      </c>
      <c r="E421" t="inlineStr">
        <is>
          <t>VIMMERBY</t>
        </is>
      </c>
      <c r="G421" t="n">
        <v>1.5</v>
      </c>
      <c r="H421" t="n">
        <v>0</v>
      </c>
      <c r="I421" t="n">
        <v>0</v>
      </c>
      <c r="J421" t="n">
        <v>0</v>
      </c>
      <c r="K421" t="n">
        <v>0</v>
      </c>
      <c r="L421" t="n">
        <v>0</v>
      </c>
      <c r="M421" t="n">
        <v>0</v>
      </c>
      <c r="N421" t="n">
        <v>0</v>
      </c>
      <c r="O421" t="n">
        <v>0</v>
      </c>
      <c r="P421" t="n">
        <v>0</v>
      </c>
      <c r="Q421" t="n">
        <v>0</v>
      </c>
      <c r="R421" s="2" t="inlineStr"/>
    </row>
    <row r="422" ht="15" customHeight="1">
      <c r="A422" t="inlineStr">
        <is>
          <t>A 3425-2022</t>
        </is>
      </c>
      <c r="B422" s="1" t="n">
        <v>44585.51060185185</v>
      </c>
      <c r="C422" s="1" t="n">
        <v>45974</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60675-2023</t>
        </is>
      </c>
      <c r="B423" s="1" t="n">
        <v>45260.4716550926</v>
      </c>
      <c r="C423" s="1" t="n">
        <v>45974</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2157-2024</t>
        </is>
      </c>
      <c r="B424" s="1" t="n">
        <v>45309.59487268519</v>
      </c>
      <c r="C424" s="1" t="n">
        <v>45974</v>
      </c>
      <c r="D424" t="inlineStr">
        <is>
          <t>KALMAR LÄN</t>
        </is>
      </c>
      <c r="E424" t="inlineStr">
        <is>
          <t>VIMMERBY</t>
        </is>
      </c>
      <c r="G424" t="n">
        <v>0.7</v>
      </c>
      <c r="H424" t="n">
        <v>0</v>
      </c>
      <c r="I424" t="n">
        <v>0</v>
      </c>
      <c r="J424" t="n">
        <v>0</v>
      </c>
      <c r="K424" t="n">
        <v>0</v>
      </c>
      <c r="L424" t="n">
        <v>0</v>
      </c>
      <c r="M424" t="n">
        <v>0</v>
      </c>
      <c r="N424" t="n">
        <v>0</v>
      </c>
      <c r="O424" t="n">
        <v>0</v>
      </c>
      <c r="P424" t="n">
        <v>0</v>
      </c>
      <c r="Q424" t="n">
        <v>0</v>
      </c>
      <c r="R424" s="2" t="inlineStr"/>
    </row>
    <row r="425" ht="15" customHeight="1">
      <c r="A425" t="inlineStr">
        <is>
          <t>A 2536-2023</t>
        </is>
      </c>
      <c r="B425" s="1" t="n">
        <v>44943.62954861111</v>
      </c>
      <c r="C425" s="1" t="n">
        <v>45974</v>
      </c>
      <c r="D425" t="inlineStr">
        <is>
          <t>KALMAR LÄN</t>
        </is>
      </c>
      <c r="E425" t="inlineStr">
        <is>
          <t>VIMMERBY</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49461-2022</t>
        </is>
      </c>
      <c r="B426" s="1" t="n">
        <v>44861</v>
      </c>
      <c r="C426" s="1" t="n">
        <v>45974</v>
      </c>
      <c r="D426" t="inlineStr">
        <is>
          <t>KALMAR LÄN</t>
        </is>
      </c>
      <c r="E426" t="inlineStr">
        <is>
          <t>VIMMERBY</t>
        </is>
      </c>
      <c r="G426" t="n">
        <v>3.2</v>
      </c>
      <c r="H426" t="n">
        <v>0</v>
      </c>
      <c r="I426" t="n">
        <v>0</v>
      </c>
      <c r="J426" t="n">
        <v>0</v>
      </c>
      <c r="K426" t="n">
        <v>0</v>
      </c>
      <c r="L426" t="n">
        <v>0</v>
      </c>
      <c r="M426" t="n">
        <v>0</v>
      </c>
      <c r="N426" t="n">
        <v>0</v>
      </c>
      <c r="O426" t="n">
        <v>0</v>
      </c>
      <c r="P426" t="n">
        <v>0</v>
      </c>
      <c r="Q426" t="n">
        <v>0</v>
      </c>
      <c r="R426" s="2" t="inlineStr"/>
    </row>
    <row r="427" ht="15" customHeight="1">
      <c r="A427" t="inlineStr">
        <is>
          <t>A 23984-2025</t>
        </is>
      </c>
      <c r="B427" s="1" t="n">
        <v>45796</v>
      </c>
      <c r="C427" s="1" t="n">
        <v>45974</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11111-2024</t>
        </is>
      </c>
      <c r="B428" s="1" t="n">
        <v>45371.36359953704</v>
      </c>
      <c r="C428" s="1" t="n">
        <v>45974</v>
      </c>
      <c r="D428" t="inlineStr">
        <is>
          <t>KALMAR LÄN</t>
        </is>
      </c>
      <c r="E428" t="inlineStr">
        <is>
          <t>VIMMERBY</t>
        </is>
      </c>
      <c r="G428" t="n">
        <v>1.4</v>
      </c>
      <c r="H428" t="n">
        <v>0</v>
      </c>
      <c r="I428" t="n">
        <v>0</v>
      </c>
      <c r="J428" t="n">
        <v>0</v>
      </c>
      <c r="K428" t="n">
        <v>0</v>
      </c>
      <c r="L428" t="n">
        <v>0</v>
      </c>
      <c r="M428" t="n">
        <v>0</v>
      </c>
      <c r="N428" t="n">
        <v>0</v>
      </c>
      <c r="O428" t="n">
        <v>0</v>
      </c>
      <c r="P428" t="n">
        <v>0</v>
      </c>
      <c r="Q428" t="n">
        <v>0</v>
      </c>
      <c r="R428" s="2" t="inlineStr"/>
    </row>
    <row r="429" ht="15" customHeight="1">
      <c r="A429" t="inlineStr">
        <is>
          <t>A 11141-2024</t>
        </is>
      </c>
      <c r="B429" s="1" t="n">
        <v>45371.45865740741</v>
      </c>
      <c r="C429" s="1" t="n">
        <v>45974</v>
      </c>
      <c r="D429" t="inlineStr">
        <is>
          <t>KALMAR LÄN</t>
        </is>
      </c>
      <c r="E429" t="inlineStr">
        <is>
          <t>VIMMERBY</t>
        </is>
      </c>
      <c r="G429" t="n">
        <v>0.7</v>
      </c>
      <c r="H429" t="n">
        <v>0</v>
      </c>
      <c r="I429" t="n">
        <v>0</v>
      </c>
      <c r="J429" t="n">
        <v>0</v>
      </c>
      <c r="K429" t="n">
        <v>0</v>
      </c>
      <c r="L429" t="n">
        <v>0</v>
      </c>
      <c r="M429" t="n">
        <v>0</v>
      </c>
      <c r="N429" t="n">
        <v>0</v>
      </c>
      <c r="O429" t="n">
        <v>0</v>
      </c>
      <c r="P429" t="n">
        <v>0</v>
      </c>
      <c r="Q429" t="n">
        <v>0</v>
      </c>
      <c r="R429" s="2" t="inlineStr"/>
    </row>
    <row r="430" ht="15" customHeight="1">
      <c r="A430" t="inlineStr">
        <is>
          <t>A 28395-2023</t>
        </is>
      </c>
      <c r="B430" s="1" t="n">
        <v>45100.4062962963</v>
      </c>
      <c r="C430" s="1" t="n">
        <v>45974</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694-2024</t>
        </is>
      </c>
      <c r="B431" s="1" t="n">
        <v>45300.3794212963</v>
      </c>
      <c r="C431" s="1" t="n">
        <v>45974</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1687-2023</t>
        </is>
      </c>
      <c r="B432" s="1" t="n">
        <v>44938</v>
      </c>
      <c r="C432" s="1" t="n">
        <v>45974</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59598-2023</t>
        </is>
      </c>
      <c r="B433" s="1" t="n">
        <v>45254.62489583333</v>
      </c>
      <c r="C433" s="1" t="n">
        <v>45974</v>
      </c>
      <c r="D433" t="inlineStr">
        <is>
          <t>KALMAR LÄN</t>
        </is>
      </c>
      <c r="E433" t="inlineStr">
        <is>
          <t>VIMMERBY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7944-2024</t>
        </is>
      </c>
      <c r="B434" s="1" t="n">
        <v>45350.53306712963</v>
      </c>
      <c r="C434" s="1" t="n">
        <v>45974</v>
      </c>
      <c r="D434" t="inlineStr">
        <is>
          <t>KALMAR LÄN</t>
        </is>
      </c>
      <c r="E434" t="inlineStr">
        <is>
          <t>VIMMERBY</t>
        </is>
      </c>
      <c r="G434" t="n">
        <v>1.2</v>
      </c>
      <c r="H434" t="n">
        <v>0</v>
      </c>
      <c r="I434" t="n">
        <v>0</v>
      </c>
      <c r="J434" t="n">
        <v>0</v>
      </c>
      <c r="K434" t="n">
        <v>0</v>
      </c>
      <c r="L434" t="n">
        <v>0</v>
      </c>
      <c r="M434" t="n">
        <v>0</v>
      </c>
      <c r="N434" t="n">
        <v>0</v>
      </c>
      <c r="O434" t="n">
        <v>0</v>
      </c>
      <c r="P434" t="n">
        <v>0</v>
      </c>
      <c r="Q434" t="n">
        <v>0</v>
      </c>
      <c r="R434" s="2" t="inlineStr"/>
    </row>
    <row r="435" ht="15" customHeight="1">
      <c r="A435" t="inlineStr">
        <is>
          <t>A 3494-2023</t>
        </is>
      </c>
      <c r="B435" s="1" t="n">
        <v>44949</v>
      </c>
      <c r="C435" s="1" t="n">
        <v>45974</v>
      </c>
      <c r="D435" t="inlineStr">
        <is>
          <t>KALMAR LÄN</t>
        </is>
      </c>
      <c r="E435" t="inlineStr">
        <is>
          <t>VIMMERBY</t>
        </is>
      </c>
      <c r="F435" t="inlineStr">
        <is>
          <t>Kyrkan</t>
        </is>
      </c>
      <c r="G435" t="n">
        <v>0.8</v>
      </c>
      <c r="H435" t="n">
        <v>0</v>
      </c>
      <c r="I435" t="n">
        <v>0</v>
      </c>
      <c r="J435" t="n">
        <v>0</v>
      </c>
      <c r="K435" t="n">
        <v>0</v>
      </c>
      <c r="L435" t="n">
        <v>0</v>
      </c>
      <c r="M435" t="n">
        <v>0</v>
      </c>
      <c r="N435" t="n">
        <v>0</v>
      </c>
      <c r="O435" t="n">
        <v>0</v>
      </c>
      <c r="P435" t="n">
        <v>0</v>
      </c>
      <c r="Q435" t="n">
        <v>0</v>
      </c>
      <c r="R435" s="2" t="inlineStr"/>
    </row>
    <row r="436" ht="15" customHeight="1">
      <c r="A436" t="inlineStr">
        <is>
          <t>A 34597-2022</t>
        </is>
      </c>
      <c r="B436" s="1" t="n">
        <v>44795</v>
      </c>
      <c r="C436" s="1" t="n">
        <v>45974</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21496-2023</t>
        </is>
      </c>
      <c r="B437" s="1" t="n">
        <v>45063.49936342592</v>
      </c>
      <c r="C437" s="1" t="n">
        <v>45974</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15449-2023</t>
        </is>
      </c>
      <c r="B438" s="1" t="n">
        <v>45020</v>
      </c>
      <c r="C438" s="1" t="n">
        <v>45974</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43242-2024</t>
        </is>
      </c>
      <c r="B439" s="1" t="n">
        <v>45568.30189814815</v>
      </c>
      <c r="C439" s="1" t="n">
        <v>45974</v>
      </c>
      <c r="D439" t="inlineStr">
        <is>
          <t>KALMAR LÄN</t>
        </is>
      </c>
      <c r="E439" t="inlineStr">
        <is>
          <t>VIMMERBY</t>
        </is>
      </c>
      <c r="G439" t="n">
        <v>2.6</v>
      </c>
      <c r="H439" t="n">
        <v>0</v>
      </c>
      <c r="I439" t="n">
        <v>0</v>
      </c>
      <c r="J439" t="n">
        <v>0</v>
      </c>
      <c r="K439" t="n">
        <v>0</v>
      </c>
      <c r="L439" t="n">
        <v>0</v>
      </c>
      <c r="M439" t="n">
        <v>0</v>
      </c>
      <c r="N439" t="n">
        <v>0</v>
      </c>
      <c r="O439" t="n">
        <v>0</v>
      </c>
      <c r="P439" t="n">
        <v>0</v>
      </c>
      <c r="Q439" t="n">
        <v>0</v>
      </c>
      <c r="R439" s="2" t="inlineStr"/>
    </row>
    <row r="440" ht="15" customHeight="1">
      <c r="A440" t="inlineStr">
        <is>
          <t>A 64428-2023</t>
        </is>
      </c>
      <c r="B440" s="1" t="n">
        <v>45280.66769675926</v>
      </c>
      <c r="C440" s="1" t="n">
        <v>45974</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30588-2023</t>
        </is>
      </c>
      <c r="B441" s="1" t="n">
        <v>45112.33599537037</v>
      </c>
      <c r="C441" s="1" t="n">
        <v>45974</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61878-2020</t>
        </is>
      </c>
      <c r="B442" s="1" t="n">
        <v>44159</v>
      </c>
      <c r="C442" s="1" t="n">
        <v>45974</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29783-2024</t>
        </is>
      </c>
      <c r="B443" s="1" t="n">
        <v>45485.45778935185</v>
      </c>
      <c r="C443" s="1" t="n">
        <v>45974</v>
      </c>
      <c r="D443" t="inlineStr">
        <is>
          <t>KALMAR LÄN</t>
        </is>
      </c>
      <c r="E443" t="inlineStr">
        <is>
          <t>VIMMERBY</t>
        </is>
      </c>
      <c r="G443" t="n">
        <v>3.1</v>
      </c>
      <c r="H443" t="n">
        <v>0</v>
      </c>
      <c r="I443" t="n">
        <v>0</v>
      </c>
      <c r="J443" t="n">
        <v>0</v>
      </c>
      <c r="K443" t="n">
        <v>0</v>
      </c>
      <c r="L443" t="n">
        <v>0</v>
      </c>
      <c r="M443" t="n">
        <v>0</v>
      </c>
      <c r="N443" t="n">
        <v>0</v>
      </c>
      <c r="O443" t="n">
        <v>0</v>
      </c>
      <c r="P443" t="n">
        <v>0</v>
      </c>
      <c r="Q443" t="n">
        <v>0</v>
      </c>
      <c r="R443" s="2" t="inlineStr"/>
    </row>
    <row r="444" ht="15" customHeight="1">
      <c r="A444" t="inlineStr">
        <is>
          <t>A 56853-2022</t>
        </is>
      </c>
      <c r="B444" s="1" t="n">
        <v>44894.49538194444</v>
      </c>
      <c r="C444" s="1" t="n">
        <v>45974</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65049-2020</t>
        </is>
      </c>
      <c r="B445" s="1" t="n">
        <v>44172</v>
      </c>
      <c r="C445" s="1" t="n">
        <v>45974</v>
      </c>
      <c r="D445" t="inlineStr">
        <is>
          <t>KALMAR LÄN</t>
        </is>
      </c>
      <c r="E445" t="inlineStr">
        <is>
          <t>VIMMERBY</t>
        </is>
      </c>
      <c r="G445" t="n">
        <v>2.3</v>
      </c>
      <c r="H445" t="n">
        <v>0</v>
      </c>
      <c r="I445" t="n">
        <v>0</v>
      </c>
      <c r="J445" t="n">
        <v>0</v>
      </c>
      <c r="K445" t="n">
        <v>0</v>
      </c>
      <c r="L445" t="n">
        <v>0</v>
      </c>
      <c r="M445" t="n">
        <v>0</v>
      </c>
      <c r="N445" t="n">
        <v>0</v>
      </c>
      <c r="O445" t="n">
        <v>0</v>
      </c>
      <c r="P445" t="n">
        <v>0</v>
      </c>
      <c r="Q445" t="n">
        <v>0</v>
      </c>
      <c r="R445" s="2" t="inlineStr"/>
    </row>
    <row r="446" ht="15" customHeight="1">
      <c r="A446" t="inlineStr">
        <is>
          <t>A 35082-2024</t>
        </is>
      </c>
      <c r="B446" s="1" t="n">
        <v>45527.68784722222</v>
      </c>
      <c r="C446" s="1" t="n">
        <v>45974</v>
      </c>
      <c r="D446" t="inlineStr">
        <is>
          <t>KALMAR LÄN</t>
        </is>
      </c>
      <c r="E446" t="inlineStr">
        <is>
          <t>VIMMERBY</t>
        </is>
      </c>
      <c r="G446" t="n">
        <v>0.8</v>
      </c>
      <c r="H446" t="n">
        <v>0</v>
      </c>
      <c r="I446" t="n">
        <v>0</v>
      </c>
      <c r="J446" t="n">
        <v>0</v>
      </c>
      <c r="K446" t="n">
        <v>0</v>
      </c>
      <c r="L446" t="n">
        <v>0</v>
      </c>
      <c r="M446" t="n">
        <v>0</v>
      </c>
      <c r="N446" t="n">
        <v>0</v>
      </c>
      <c r="O446" t="n">
        <v>0</v>
      </c>
      <c r="P446" t="n">
        <v>0</v>
      </c>
      <c r="Q446" t="n">
        <v>0</v>
      </c>
      <c r="R446" s="2" t="inlineStr"/>
    </row>
    <row r="447" ht="15" customHeight="1">
      <c r="A447" t="inlineStr">
        <is>
          <t>A 30503-2023</t>
        </is>
      </c>
      <c r="B447" s="1" t="n">
        <v>45111</v>
      </c>
      <c r="C447" s="1" t="n">
        <v>45974</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33815-2022</t>
        </is>
      </c>
      <c r="B448" s="1" t="n">
        <v>44790.45876157407</v>
      </c>
      <c r="C448" s="1" t="n">
        <v>45974</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33842-2022</t>
        </is>
      </c>
      <c r="B449" s="1" t="n">
        <v>44790.49523148148</v>
      </c>
      <c r="C449" s="1" t="n">
        <v>45974</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51278-2024</t>
        </is>
      </c>
      <c r="B450" s="1" t="n">
        <v>45603.74959490741</v>
      </c>
      <c r="C450" s="1" t="n">
        <v>45974</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9456-2025</t>
        </is>
      </c>
      <c r="B451" s="1" t="n">
        <v>45715.44159722222</v>
      </c>
      <c r="C451" s="1" t="n">
        <v>45974</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11111-2023</t>
        </is>
      </c>
      <c r="B452" s="1" t="n">
        <v>44992.4255787037</v>
      </c>
      <c r="C452" s="1" t="n">
        <v>45974</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35198-2023</t>
        </is>
      </c>
      <c r="B453" s="1" t="n">
        <v>45145</v>
      </c>
      <c r="C453" s="1" t="n">
        <v>45974</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43853-2023</t>
        </is>
      </c>
      <c r="B454" s="1" t="n">
        <v>45187.60813657408</v>
      </c>
      <c r="C454" s="1" t="n">
        <v>45974</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47263-2023</t>
        </is>
      </c>
      <c r="B455" s="1" t="n">
        <v>45202.4209837963</v>
      </c>
      <c r="C455" s="1" t="n">
        <v>45974</v>
      </c>
      <c r="D455" t="inlineStr">
        <is>
          <t>KALMAR LÄN</t>
        </is>
      </c>
      <c r="E455" t="inlineStr">
        <is>
          <t>VIMMERBY</t>
        </is>
      </c>
      <c r="G455" t="n">
        <v>1.8</v>
      </c>
      <c r="H455" t="n">
        <v>0</v>
      </c>
      <c r="I455" t="n">
        <v>0</v>
      </c>
      <c r="J455" t="n">
        <v>0</v>
      </c>
      <c r="K455" t="n">
        <v>0</v>
      </c>
      <c r="L455" t="n">
        <v>0</v>
      </c>
      <c r="M455" t="n">
        <v>0</v>
      </c>
      <c r="N455" t="n">
        <v>0</v>
      </c>
      <c r="O455" t="n">
        <v>0</v>
      </c>
      <c r="P455" t="n">
        <v>0</v>
      </c>
      <c r="Q455" t="n">
        <v>0</v>
      </c>
      <c r="R455" s="2" t="inlineStr"/>
    </row>
    <row r="456" ht="15" customHeight="1">
      <c r="A456" t="inlineStr">
        <is>
          <t>A 58100-2024</t>
        </is>
      </c>
      <c r="B456" s="1" t="n">
        <v>45632.36706018518</v>
      </c>
      <c r="C456" s="1" t="n">
        <v>45974</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44582-2024</t>
        </is>
      </c>
      <c r="B457" s="1" t="n">
        <v>45574.49298611111</v>
      </c>
      <c r="C457" s="1" t="n">
        <v>45974</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58159-2024</t>
        </is>
      </c>
      <c r="B458" s="1" t="n">
        <v>45632.44886574074</v>
      </c>
      <c r="C458" s="1" t="n">
        <v>45974</v>
      </c>
      <c r="D458" t="inlineStr">
        <is>
          <t>KALMAR LÄN</t>
        </is>
      </c>
      <c r="E458" t="inlineStr">
        <is>
          <t>VIMMERBY</t>
        </is>
      </c>
      <c r="G458" t="n">
        <v>7.5</v>
      </c>
      <c r="H458" t="n">
        <v>0</v>
      </c>
      <c r="I458" t="n">
        <v>0</v>
      </c>
      <c r="J458" t="n">
        <v>0</v>
      </c>
      <c r="K458" t="n">
        <v>0</v>
      </c>
      <c r="L458" t="n">
        <v>0</v>
      </c>
      <c r="M458" t="n">
        <v>0</v>
      </c>
      <c r="N458" t="n">
        <v>0</v>
      </c>
      <c r="O458" t="n">
        <v>0</v>
      </c>
      <c r="P458" t="n">
        <v>0</v>
      </c>
      <c r="Q458" t="n">
        <v>0</v>
      </c>
      <c r="R458" s="2" t="inlineStr"/>
    </row>
    <row r="459" ht="15" customHeight="1">
      <c r="A459" t="inlineStr">
        <is>
          <t>A 49408-2023</t>
        </is>
      </c>
      <c r="B459" s="1" t="n">
        <v>45211.43555555555</v>
      </c>
      <c r="C459" s="1" t="n">
        <v>45974</v>
      </c>
      <c r="D459" t="inlineStr">
        <is>
          <t>KALMAR LÄN</t>
        </is>
      </c>
      <c r="E459" t="inlineStr">
        <is>
          <t>VIMMERBY</t>
        </is>
      </c>
      <c r="G459" t="n">
        <v>13.1</v>
      </c>
      <c r="H459" t="n">
        <v>0</v>
      </c>
      <c r="I459" t="n">
        <v>0</v>
      </c>
      <c r="J459" t="n">
        <v>0</v>
      </c>
      <c r="K459" t="n">
        <v>0</v>
      </c>
      <c r="L459" t="n">
        <v>0</v>
      </c>
      <c r="M459" t="n">
        <v>0</v>
      </c>
      <c r="N459" t="n">
        <v>0</v>
      </c>
      <c r="O459" t="n">
        <v>0</v>
      </c>
      <c r="P459" t="n">
        <v>0</v>
      </c>
      <c r="Q459" t="n">
        <v>0</v>
      </c>
      <c r="R459" s="2" t="inlineStr"/>
    </row>
    <row r="460" ht="15" customHeight="1">
      <c r="A460" t="inlineStr">
        <is>
          <t>A 56536-2022</t>
        </is>
      </c>
      <c r="B460" s="1" t="n">
        <v>44893</v>
      </c>
      <c r="C460" s="1" t="n">
        <v>45974</v>
      </c>
      <c r="D460" t="inlineStr">
        <is>
          <t>KALMAR LÄN</t>
        </is>
      </c>
      <c r="E460" t="inlineStr">
        <is>
          <t>VIMMERBY</t>
        </is>
      </c>
      <c r="G460" t="n">
        <v>3.2</v>
      </c>
      <c r="H460" t="n">
        <v>0</v>
      </c>
      <c r="I460" t="n">
        <v>0</v>
      </c>
      <c r="J460" t="n">
        <v>0</v>
      </c>
      <c r="K460" t="n">
        <v>0</v>
      </c>
      <c r="L460" t="n">
        <v>0</v>
      </c>
      <c r="M460" t="n">
        <v>0</v>
      </c>
      <c r="N460" t="n">
        <v>0</v>
      </c>
      <c r="O460" t="n">
        <v>0</v>
      </c>
      <c r="P460" t="n">
        <v>0</v>
      </c>
      <c r="Q460" t="n">
        <v>0</v>
      </c>
      <c r="R460" s="2" t="inlineStr"/>
    </row>
    <row r="461" ht="15" customHeight="1">
      <c r="A461" t="inlineStr">
        <is>
          <t>A 15494-2024</t>
        </is>
      </c>
      <c r="B461" s="1" t="n">
        <v>45401.53033564815</v>
      </c>
      <c r="C461" s="1" t="n">
        <v>45974</v>
      </c>
      <c r="D461" t="inlineStr">
        <is>
          <t>KALMAR LÄN</t>
        </is>
      </c>
      <c r="E461" t="inlineStr">
        <is>
          <t>VIMMERBY</t>
        </is>
      </c>
      <c r="G461" t="n">
        <v>3.2</v>
      </c>
      <c r="H461" t="n">
        <v>0</v>
      </c>
      <c r="I461" t="n">
        <v>0</v>
      </c>
      <c r="J461" t="n">
        <v>0</v>
      </c>
      <c r="K461" t="n">
        <v>0</v>
      </c>
      <c r="L461" t="n">
        <v>0</v>
      </c>
      <c r="M461" t="n">
        <v>0</v>
      </c>
      <c r="N461" t="n">
        <v>0</v>
      </c>
      <c r="O461" t="n">
        <v>0</v>
      </c>
      <c r="P461" t="n">
        <v>0</v>
      </c>
      <c r="Q461" t="n">
        <v>0</v>
      </c>
      <c r="R461" s="2" t="inlineStr"/>
    </row>
    <row r="462" ht="15" customHeight="1">
      <c r="A462" t="inlineStr">
        <is>
          <t>A 57114-2023</t>
        </is>
      </c>
      <c r="B462" s="1" t="n">
        <v>45245.36174768519</v>
      </c>
      <c r="C462" s="1" t="n">
        <v>45974</v>
      </c>
      <c r="D462" t="inlineStr">
        <is>
          <t>KALMAR LÄN</t>
        </is>
      </c>
      <c r="E462" t="inlineStr">
        <is>
          <t>VIMMERBY</t>
        </is>
      </c>
      <c r="G462" t="n">
        <v>1.5</v>
      </c>
      <c r="H462" t="n">
        <v>0</v>
      </c>
      <c r="I462" t="n">
        <v>0</v>
      </c>
      <c r="J462" t="n">
        <v>0</v>
      </c>
      <c r="K462" t="n">
        <v>0</v>
      </c>
      <c r="L462" t="n">
        <v>0</v>
      </c>
      <c r="M462" t="n">
        <v>0</v>
      </c>
      <c r="N462" t="n">
        <v>0</v>
      </c>
      <c r="O462" t="n">
        <v>0</v>
      </c>
      <c r="P462" t="n">
        <v>0</v>
      </c>
      <c r="Q462" t="n">
        <v>0</v>
      </c>
      <c r="R462" s="2" t="inlineStr"/>
    </row>
    <row r="463" ht="15" customHeight="1">
      <c r="A463" t="inlineStr">
        <is>
          <t>A 3423-2022</t>
        </is>
      </c>
      <c r="B463" s="1" t="n">
        <v>44585.50431712963</v>
      </c>
      <c r="C463" s="1" t="n">
        <v>45974</v>
      </c>
      <c r="D463" t="inlineStr">
        <is>
          <t>KALMAR LÄN</t>
        </is>
      </c>
      <c r="E463" t="inlineStr">
        <is>
          <t>VIMMERBY</t>
        </is>
      </c>
      <c r="G463" t="n">
        <v>1.7</v>
      </c>
      <c r="H463" t="n">
        <v>0</v>
      </c>
      <c r="I463" t="n">
        <v>0</v>
      </c>
      <c r="J463" t="n">
        <v>0</v>
      </c>
      <c r="K463" t="n">
        <v>0</v>
      </c>
      <c r="L463" t="n">
        <v>0</v>
      </c>
      <c r="M463" t="n">
        <v>0</v>
      </c>
      <c r="N463" t="n">
        <v>0</v>
      </c>
      <c r="O463" t="n">
        <v>0</v>
      </c>
      <c r="P463" t="n">
        <v>0</v>
      </c>
      <c r="Q463" t="n">
        <v>0</v>
      </c>
      <c r="R463" s="2" t="inlineStr"/>
    </row>
    <row r="464" ht="15" customHeight="1">
      <c r="A464" t="inlineStr">
        <is>
          <t>A 9511-2023</t>
        </is>
      </c>
      <c r="B464" s="1" t="n">
        <v>44981.64725694444</v>
      </c>
      <c r="C464" s="1" t="n">
        <v>45974</v>
      </c>
      <c r="D464" t="inlineStr">
        <is>
          <t>KALMAR LÄN</t>
        </is>
      </c>
      <c r="E464" t="inlineStr">
        <is>
          <t>VIMMERBY</t>
        </is>
      </c>
      <c r="G464" t="n">
        <v>3.5</v>
      </c>
      <c r="H464" t="n">
        <v>0</v>
      </c>
      <c r="I464" t="n">
        <v>0</v>
      </c>
      <c r="J464" t="n">
        <v>0</v>
      </c>
      <c r="K464" t="n">
        <v>0</v>
      </c>
      <c r="L464" t="n">
        <v>0</v>
      </c>
      <c r="M464" t="n">
        <v>0</v>
      </c>
      <c r="N464" t="n">
        <v>0</v>
      </c>
      <c r="O464" t="n">
        <v>0</v>
      </c>
      <c r="P464" t="n">
        <v>0</v>
      </c>
      <c r="Q464" t="n">
        <v>0</v>
      </c>
      <c r="R464" s="2" t="inlineStr"/>
    </row>
    <row r="465" ht="15" customHeight="1">
      <c r="A465" t="inlineStr">
        <is>
          <t>A 41199-2023</t>
        </is>
      </c>
      <c r="B465" s="1" t="n">
        <v>45174.40454861111</v>
      </c>
      <c r="C465" s="1" t="n">
        <v>45974</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40665-2023</t>
        </is>
      </c>
      <c r="B466" s="1" t="n">
        <v>45170</v>
      </c>
      <c r="C466" s="1" t="n">
        <v>45974</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38757-2023</t>
        </is>
      </c>
      <c r="B467" s="1" t="n">
        <v>45163.41376157408</v>
      </c>
      <c r="C467" s="1" t="n">
        <v>45974</v>
      </c>
      <c r="D467" t="inlineStr">
        <is>
          <t>KALMAR LÄN</t>
        </is>
      </c>
      <c r="E467" t="inlineStr">
        <is>
          <t>VIMMERBY</t>
        </is>
      </c>
      <c r="G467" t="n">
        <v>2.5</v>
      </c>
      <c r="H467" t="n">
        <v>0</v>
      </c>
      <c r="I467" t="n">
        <v>0</v>
      </c>
      <c r="J467" t="n">
        <v>0</v>
      </c>
      <c r="K467" t="n">
        <v>0</v>
      </c>
      <c r="L467" t="n">
        <v>0</v>
      </c>
      <c r="M467" t="n">
        <v>0</v>
      </c>
      <c r="N467" t="n">
        <v>0</v>
      </c>
      <c r="O467" t="n">
        <v>0</v>
      </c>
      <c r="P467" t="n">
        <v>0</v>
      </c>
      <c r="Q467" t="n">
        <v>0</v>
      </c>
      <c r="R467" s="2" t="inlineStr"/>
    </row>
    <row r="468" ht="15" customHeight="1">
      <c r="A468" t="inlineStr">
        <is>
          <t>A 29973-2023</t>
        </is>
      </c>
      <c r="B468" s="1" t="n">
        <v>45108.703125</v>
      </c>
      <c r="C468" s="1" t="n">
        <v>45974</v>
      </c>
      <c r="D468" t="inlineStr">
        <is>
          <t>KALMAR LÄN</t>
        </is>
      </c>
      <c r="E468" t="inlineStr">
        <is>
          <t>VIMMERBY</t>
        </is>
      </c>
      <c r="G468" t="n">
        <v>4</v>
      </c>
      <c r="H468" t="n">
        <v>0</v>
      </c>
      <c r="I468" t="n">
        <v>0</v>
      </c>
      <c r="J468" t="n">
        <v>0</v>
      </c>
      <c r="K468" t="n">
        <v>0</v>
      </c>
      <c r="L468" t="n">
        <v>0</v>
      </c>
      <c r="M468" t="n">
        <v>0</v>
      </c>
      <c r="N468" t="n">
        <v>0</v>
      </c>
      <c r="O468" t="n">
        <v>0</v>
      </c>
      <c r="P468" t="n">
        <v>0</v>
      </c>
      <c r="Q468" t="n">
        <v>0</v>
      </c>
      <c r="R468" s="2" t="inlineStr"/>
    </row>
    <row r="469" ht="15" customHeight="1">
      <c r="A469" t="inlineStr">
        <is>
          <t>A 64143-2021</t>
        </is>
      </c>
      <c r="B469" s="1" t="n">
        <v>44510.52157407408</v>
      </c>
      <c r="C469" s="1" t="n">
        <v>45974</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73938-2021</t>
        </is>
      </c>
      <c r="B470" s="1" t="n">
        <v>44553</v>
      </c>
      <c r="C470" s="1" t="n">
        <v>45974</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58724-2024</t>
        </is>
      </c>
      <c r="B471" s="1" t="n">
        <v>45635.66409722222</v>
      </c>
      <c r="C471" s="1" t="n">
        <v>45974</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25792-2025</t>
        </is>
      </c>
      <c r="B472" s="1" t="n">
        <v>45804.39141203704</v>
      </c>
      <c r="C472" s="1" t="n">
        <v>45974</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26039-2025</t>
        </is>
      </c>
      <c r="B473" s="1" t="n">
        <v>45804.6953587963</v>
      </c>
      <c r="C473" s="1" t="n">
        <v>45974</v>
      </c>
      <c r="D473" t="inlineStr">
        <is>
          <t>KALMAR LÄN</t>
        </is>
      </c>
      <c r="E473" t="inlineStr">
        <is>
          <t>VIMMERBY</t>
        </is>
      </c>
      <c r="F473" t="inlineStr">
        <is>
          <t>Sveaskog</t>
        </is>
      </c>
      <c r="G473" t="n">
        <v>5.2</v>
      </c>
      <c r="H473" t="n">
        <v>0</v>
      </c>
      <c r="I473" t="n">
        <v>0</v>
      </c>
      <c r="J473" t="n">
        <v>0</v>
      </c>
      <c r="K473" t="n">
        <v>0</v>
      </c>
      <c r="L473" t="n">
        <v>0</v>
      </c>
      <c r="M473" t="n">
        <v>0</v>
      </c>
      <c r="N473" t="n">
        <v>0</v>
      </c>
      <c r="O473" t="n">
        <v>0</v>
      </c>
      <c r="P473" t="n">
        <v>0</v>
      </c>
      <c r="Q473" t="n">
        <v>0</v>
      </c>
      <c r="R473" s="2" t="inlineStr"/>
    </row>
    <row r="474" ht="15" customHeight="1">
      <c r="A474" t="inlineStr">
        <is>
          <t>A 40076-2021</t>
        </is>
      </c>
      <c r="B474" s="1" t="n">
        <v>44418</v>
      </c>
      <c r="C474" s="1" t="n">
        <v>45974</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26046-2025</t>
        </is>
      </c>
      <c r="B475" s="1" t="n">
        <v>45804.708125</v>
      </c>
      <c r="C475" s="1" t="n">
        <v>45974</v>
      </c>
      <c r="D475" t="inlineStr">
        <is>
          <t>KALMAR LÄN</t>
        </is>
      </c>
      <c r="E475" t="inlineStr">
        <is>
          <t>VIMMERBY</t>
        </is>
      </c>
      <c r="F475" t="inlineStr">
        <is>
          <t>Sveaskog</t>
        </is>
      </c>
      <c r="G475" t="n">
        <v>5.1</v>
      </c>
      <c r="H475" t="n">
        <v>0</v>
      </c>
      <c r="I475" t="n">
        <v>0</v>
      </c>
      <c r="J475" t="n">
        <v>0</v>
      </c>
      <c r="K475" t="n">
        <v>0</v>
      </c>
      <c r="L475" t="n">
        <v>0</v>
      </c>
      <c r="M475" t="n">
        <v>0</v>
      </c>
      <c r="N475" t="n">
        <v>0</v>
      </c>
      <c r="O475" t="n">
        <v>0</v>
      </c>
      <c r="P475" t="n">
        <v>0</v>
      </c>
      <c r="Q475" t="n">
        <v>0</v>
      </c>
      <c r="R475" s="2" t="inlineStr"/>
    </row>
    <row r="476" ht="15" customHeight="1">
      <c r="A476" t="inlineStr">
        <is>
          <t>A 50860-2022</t>
        </is>
      </c>
      <c r="B476" s="1" t="n">
        <v>44867</v>
      </c>
      <c r="C476" s="1" t="n">
        <v>45974</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50648-2023</t>
        </is>
      </c>
      <c r="B477" s="1" t="n">
        <v>45217.47834490741</v>
      </c>
      <c r="C477" s="1" t="n">
        <v>45974</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26124-2025</t>
        </is>
      </c>
      <c r="B478" s="1" t="n">
        <v>45805.39247685186</v>
      </c>
      <c r="C478" s="1" t="n">
        <v>45974</v>
      </c>
      <c r="D478" t="inlineStr">
        <is>
          <t>KALMAR LÄN</t>
        </is>
      </c>
      <c r="E478" t="inlineStr">
        <is>
          <t>VIMMERBY</t>
        </is>
      </c>
      <c r="G478" t="n">
        <v>6.6</v>
      </c>
      <c r="H478" t="n">
        <v>0</v>
      </c>
      <c r="I478" t="n">
        <v>0</v>
      </c>
      <c r="J478" t="n">
        <v>0</v>
      </c>
      <c r="K478" t="n">
        <v>0</v>
      </c>
      <c r="L478" t="n">
        <v>0</v>
      </c>
      <c r="M478" t="n">
        <v>0</v>
      </c>
      <c r="N478" t="n">
        <v>0</v>
      </c>
      <c r="O478" t="n">
        <v>0</v>
      </c>
      <c r="P478" t="n">
        <v>0</v>
      </c>
      <c r="Q478" t="n">
        <v>0</v>
      </c>
      <c r="R478" s="2" t="inlineStr"/>
    </row>
    <row r="479" ht="15" customHeight="1">
      <c r="A479" t="inlineStr">
        <is>
          <t>A 25370-2022</t>
        </is>
      </c>
      <c r="B479" s="1" t="n">
        <v>44732.3659837963</v>
      </c>
      <c r="C479" s="1" t="n">
        <v>45974</v>
      </c>
      <c r="D479" t="inlineStr">
        <is>
          <t>KALMAR LÄN</t>
        </is>
      </c>
      <c r="E479" t="inlineStr">
        <is>
          <t>VIMMERBY</t>
        </is>
      </c>
      <c r="G479" t="n">
        <v>1.2</v>
      </c>
      <c r="H479" t="n">
        <v>0</v>
      </c>
      <c r="I479" t="n">
        <v>0</v>
      </c>
      <c r="J479" t="n">
        <v>0</v>
      </c>
      <c r="K479" t="n">
        <v>0</v>
      </c>
      <c r="L479" t="n">
        <v>0</v>
      </c>
      <c r="M479" t="n">
        <v>0</v>
      </c>
      <c r="N479" t="n">
        <v>0</v>
      </c>
      <c r="O479" t="n">
        <v>0</v>
      </c>
      <c r="P479" t="n">
        <v>0</v>
      </c>
      <c r="Q479" t="n">
        <v>0</v>
      </c>
      <c r="R479" s="2" t="inlineStr"/>
    </row>
    <row r="480" ht="15" customHeight="1">
      <c r="A480" t="inlineStr">
        <is>
          <t>A 529-2022</t>
        </is>
      </c>
      <c r="B480" s="1" t="n">
        <v>44566</v>
      </c>
      <c r="C480" s="1" t="n">
        <v>45974</v>
      </c>
      <c r="D480" t="inlineStr">
        <is>
          <t>KALMAR LÄN</t>
        </is>
      </c>
      <c r="E480" t="inlineStr">
        <is>
          <t>VIMMERBY</t>
        </is>
      </c>
      <c r="G480" t="n">
        <v>1.5</v>
      </c>
      <c r="H480" t="n">
        <v>0</v>
      </c>
      <c r="I480" t="n">
        <v>0</v>
      </c>
      <c r="J480" t="n">
        <v>0</v>
      </c>
      <c r="K480" t="n">
        <v>0</v>
      </c>
      <c r="L480" t="n">
        <v>0</v>
      </c>
      <c r="M480" t="n">
        <v>0</v>
      </c>
      <c r="N480" t="n">
        <v>0</v>
      </c>
      <c r="O480" t="n">
        <v>0</v>
      </c>
      <c r="P480" t="n">
        <v>0</v>
      </c>
      <c r="Q480" t="n">
        <v>0</v>
      </c>
      <c r="R480" s="2" t="inlineStr"/>
    </row>
    <row r="481" ht="15" customHeight="1">
      <c r="A481" t="inlineStr">
        <is>
          <t>A 58318-2021</t>
        </is>
      </c>
      <c r="B481" s="1" t="n">
        <v>44488.35878472222</v>
      </c>
      <c r="C481" s="1" t="n">
        <v>45974</v>
      </c>
      <c r="D481" t="inlineStr">
        <is>
          <t>KALMAR LÄN</t>
        </is>
      </c>
      <c r="E481" t="inlineStr">
        <is>
          <t>VIMMERBY</t>
        </is>
      </c>
      <c r="G481" t="n">
        <v>4</v>
      </c>
      <c r="H481" t="n">
        <v>0</v>
      </c>
      <c r="I481" t="n">
        <v>0</v>
      </c>
      <c r="J481" t="n">
        <v>0</v>
      </c>
      <c r="K481" t="n">
        <v>0</v>
      </c>
      <c r="L481" t="n">
        <v>0</v>
      </c>
      <c r="M481" t="n">
        <v>0</v>
      </c>
      <c r="N481" t="n">
        <v>0</v>
      </c>
      <c r="O481" t="n">
        <v>0</v>
      </c>
      <c r="P481" t="n">
        <v>0</v>
      </c>
      <c r="Q481" t="n">
        <v>0</v>
      </c>
      <c r="R481" s="2" t="inlineStr"/>
    </row>
    <row r="482" ht="15" customHeight="1">
      <c r="A482" t="inlineStr">
        <is>
          <t>A 58577-2024</t>
        </is>
      </c>
      <c r="B482" s="1" t="n">
        <v>45635.4874537037</v>
      </c>
      <c r="C482" s="1" t="n">
        <v>45974</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89-2023</t>
        </is>
      </c>
      <c r="B483" s="1" t="n">
        <v>44918</v>
      </c>
      <c r="C483" s="1" t="n">
        <v>45974</v>
      </c>
      <c r="D483" t="inlineStr">
        <is>
          <t>KALMAR LÄN</t>
        </is>
      </c>
      <c r="E483" t="inlineStr">
        <is>
          <t>VIMMERBY</t>
        </is>
      </c>
      <c r="G483" t="n">
        <v>16.1</v>
      </c>
      <c r="H483" t="n">
        <v>0</v>
      </c>
      <c r="I483" t="n">
        <v>0</v>
      </c>
      <c r="J483" t="n">
        <v>0</v>
      </c>
      <c r="K483" t="n">
        <v>0</v>
      </c>
      <c r="L483" t="n">
        <v>0</v>
      </c>
      <c r="M483" t="n">
        <v>0</v>
      </c>
      <c r="N483" t="n">
        <v>0</v>
      </c>
      <c r="O483" t="n">
        <v>0</v>
      </c>
      <c r="P483" t="n">
        <v>0</v>
      </c>
      <c r="Q483" t="n">
        <v>0</v>
      </c>
      <c r="R483" s="2" t="inlineStr"/>
    </row>
    <row r="484" ht="15" customHeight="1">
      <c r="A484" t="inlineStr">
        <is>
          <t>A 23088-2024</t>
        </is>
      </c>
      <c r="B484" s="1" t="n">
        <v>45450.51092592593</v>
      </c>
      <c r="C484" s="1" t="n">
        <v>45974</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26207-2025</t>
        </is>
      </c>
      <c r="B485" s="1" t="n">
        <v>45805.52983796296</v>
      </c>
      <c r="C485" s="1" t="n">
        <v>45974</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29440-2024</t>
        </is>
      </c>
      <c r="B486" s="1" t="n">
        <v>45483.82479166667</v>
      </c>
      <c r="C486" s="1" t="n">
        <v>45974</v>
      </c>
      <c r="D486" t="inlineStr">
        <is>
          <t>KALMAR LÄN</t>
        </is>
      </c>
      <c r="E486" t="inlineStr">
        <is>
          <t>VIMMERBY</t>
        </is>
      </c>
      <c r="G486" t="n">
        <v>4.5</v>
      </c>
      <c r="H486" t="n">
        <v>0</v>
      </c>
      <c r="I486" t="n">
        <v>0</v>
      </c>
      <c r="J486" t="n">
        <v>0</v>
      </c>
      <c r="K486" t="n">
        <v>0</v>
      </c>
      <c r="L486" t="n">
        <v>0</v>
      </c>
      <c r="M486" t="n">
        <v>0</v>
      </c>
      <c r="N486" t="n">
        <v>0</v>
      </c>
      <c r="O486" t="n">
        <v>0</v>
      </c>
      <c r="P486" t="n">
        <v>0</v>
      </c>
      <c r="Q486" t="n">
        <v>0</v>
      </c>
      <c r="R486" s="2" t="inlineStr"/>
    </row>
    <row r="487" ht="15" customHeight="1">
      <c r="A487" t="inlineStr">
        <is>
          <t>A 25830-2025</t>
        </is>
      </c>
      <c r="B487" s="1" t="n">
        <v>45804.44519675926</v>
      </c>
      <c r="C487" s="1" t="n">
        <v>45974</v>
      </c>
      <c r="D487" t="inlineStr">
        <is>
          <t>KALMAR LÄN</t>
        </is>
      </c>
      <c r="E487" t="inlineStr">
        <is>
          <t>VIMMERBY</t>
        </is>
      </c>
      <c r="G487" t="n">
        <v>4.9</v>
      </c>
      <c r="H487" t="n">
        <v>0</v>
      </c>
      <c r="I487" t="n">
        <v>0</v>
      </c>
      <c r="J487" t="n">
        <v>0</v>
      </c>
      <c r="K487" t="n">
        <v>0</v>
      </c>
      <c r="L487" t="n">
        <v>0</v>
      </c>
      <c r="M487" t="n">
        <v>0</v>
      </c>
      <c r="N487" t="n">
        <v>0</v>
      </c>
      <c r="O487" t="n">
        <v>0</v>
      </c>
      <c r="P487" t="n">
        <v>0</v>
      </c>
      <c r="Q487" t="n">
        <v>0</v>
      </c>
      <c r="R487" s="2" t="inlineStr"/>
    </row>
    <row r="488" ht="15" customHeight="1">
      <c r="A488" t="inlineStr">
        <is>
          <t>A 38851-2023</t>
        </is>
      </c>
      <c r="B488" s="1" t="n">
        <v>45163</v>
      </c>
      <c r="C488" s="1" t="n">
        <v>45974</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10759-2023</t>
        </is>
      </c>
      <c r="B489" s="1" t="n">
        <v>44988</v>
      </c>
      <c r="C489" s="1" t="n">
        <v>45974</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26254-2025</t>
        </is>
      </c>
      <c r="B490" s="1" t="n">
        <v>45805</v>
      </c>
      <c r="C490" s="1" t="n">
        <v>45974</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63583-2023</t>
        </is>
      </c>
      <c r="B491" s="1" t="n">
        <v>45275.41833333333</v>
      </c>
      <c r="C491" s="1" t="n">
        <v>45974</v>
      </c>
      <c r="D491" t="inlineStr">
        <is>
          <t>KALMAR LÄN</t>
        </is>
      </c>
      <c r="E491" t="inlineStr">
        <is>
          <t>VIMMERBY</t>
        </is>
      </c>
      <c r="G491" t="n">
        <v>1.4</v>
      </c>
      <c r="H491" t="n">
        <v>0</v>
      </c>
      <c r="I491" t="n">
        <v>0</v>
      </c>
      <c r="J491" t="n">
        <v>0</v>
      </c>
      <c r="K491" t="n">
        <v>0</v>
      </c>
      <c r="L491" t="n">
        <v>0</v>
      </c>
      <c r="M491" t="n">
        <v>0</v>
      </c>
      <c r="N491" t="n">
        <v>0</v>
      </c>
      <c r="O491" t="n">
        <v>0</v>
      </c>
      <c r="P491" t="n">
        <v>0</v>
      </c>
      <c r="Q491" t="n">
        <v>0</v>
      </c>
      <c r="R491" s="2" t="inlineStr"/>
    </row>
    <row r="492" ht="15" customHeight="1">
      <c r="A492" t="inlineStr">
        <is>
          <t>A 40079-2023</t>
        </is>
      </c>
      <c r="B492" s="1" t="n">
        <v>45168.89298611111</v>
      </c>
      <c r="C492" s="1" t="n">
        <v>45974</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43774-2023</t>
        </is>
      </c>
      <c r="B493" s="1" t="n">
        <v>45187</v>
      </c>
      <c r="C493" s="1" t="n">
        <v>45974</v>
      </c>
      <c r="D493" t="inlineStr">
        <is>
          <t>KALMAR LÄN</t>
        </is>
      </c>
      <c r="E493" t="inlineStr">
        <is>
          <t>VIMMERBY</t>
        </is>
      </c>
      <c r="G493" t="n">
        <v>3.4</v>
      </c>
      <c r="H493" t="n">
        <v>0</v>
      </c>
      <c r="I493" t="n">
        <v>0</v>
      </c>
      <c r="J493" t="n">
        <v>0</v>
      </c>
      <c r="K493" t="n">
        <v>0</v>
      </c>
      <c r="L493" t="n">
        <v>0</v>
      </c>
      <c r="M493" t="n">
        <v>0</v>
      </c>
      <c r="N493" t="n">
        <v>0</v>
      </c>
      <c r="O493" t="n">
        <v>0</v>
      </c>
      <c r="P493" t="n">
        <v>0</v>
      </c>
      <c r="Q493" t="n">
        <v>0</v>
      </c>
      <c r="R493" s="2" t="inlineStr"/>
    </row>
    <row r="494" ht="15" customHeight="1">
      <c r="A494" t="inlineStr">
        <is>
          <t>A 29616-2022</t>
        </is>
      </c>
      <c r="B494" s="1" t="n">
        <v>44754</v>
      </c>
      <c r="C494" s="1" t="n">
        <v>45974</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8945-2025</t>
        </is>
      </c>
      <c r="B495" s="1" t="n">
        <v>45713.45311342592</v>
      </c>
      <c r="C495" s="1" t="n">
        <v>45974</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39578-2024</t>
        </is>
      </c>
      <c r="B496" s="1" t="n">
        <v>45552.36484953704</v>
      </c>
      <c r="C496" s="1" t="n">
        <v>45974</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24707-2024</t>
        </is>
      </c>
      <c r="B497" s="1" t="n">
        <v>45460.62172453704</v>
      </c>
      <c r="C497" s="1" t="n">
        <v>45974</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9129-2025</t>
        </is>
      </c>
      <c r="B498" s="1" t="n">
        <v>45713.92412037037</v>
      </c>
      <c r="C498" s="1" t="n">
        <v>45974</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22197-2024</t>
        </is>
      </c>
      <c r="B499" s="1" t="n">
        <v>45446.36774305555</v>
      </c>
      <c r="C499" s="1" t="n">
        <v>45974</v>
      </c>
      <c r="D499" t="inlineStr">
        <is>
          <t>KALMAR LÄN</t>
        </is>
      </c>
      <c r="E499" t="inlineStr">
        <is>
          <t>VIMMERBY</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53752-2024</t>
        </is>
      </c>
      <c r="B500" s="1" t="n">
        <v>45615.48927083334</v>
      </c>
      <c r="C500" s="1" t="n">
        <v>45974</v>
      </c>
      <c r="D500" t="inlineStr">
        <is>
          <t>KALMAR LÄN</t>
        </is>
      </c>
      <c r="E500" t="inlineStr">
        <is>
          <t>VIMMERBY</t>
        </is>
      </c>
      <c r="G500" t="n">
        <v>2.4</v>
      </c>
      <c r="H500" t="n">
        <v>0</v>
      </c>
      <c r="I500" t="n">
        <v>0</v>
      </c>
      <c r="J500" t="n">
        <v>0</v>
      </c>
      <c r="K500" t="n">
        <v>0</v>
      </c>
      <c r="L500" t="n">
        <v>0</v>
      </c>
      <c r="M500" t="n">
        <v>0</v>
      </c>
      <c r="N500" t="n">
        <v>0</v>
      </c>
      <c r="O500" t="n">
        <v>0</v>
      </c>
      <c r="P500" t="n">
        <v>0</v>
      </c>
      <c r="Q500" t="n">
        <v>0</v>
      </c>
      <c r="R500" s="2" t="inlineStr"/>
    </row>
    <row r="501" ht="15" customHeight="1">
      <c r="A501" t="inlineStr">
        <is>
          <t>A 11619-2023</t>
        </is>
      </c>
      <c r="B501" s="1" t="n">
        <v>44994.42113425926</v>
      </c>
      <c r="C501" s="1" t="n">
        <v>45974</v>
      </c>
      <c r="D501" t="inlineStr">
        <is>
          <t>KALMAR LÄN</t>
        </is>
      </c>
      <c r="E501" t="inlineStr">
        <is>
          <t>VIMMERBY</t>
        </is>
      </c>
      <c r="G501" t="n">
        <v>2.5</v>
      </c>
      <c r="H501" t="n">
        <v>0</v>
      </c>
      <c r="I501" t="n">
        <v>0</v>
      </c>
      <c r="J501" t="n">
        <v>0</v>
      </c>
      <c r="K501" t="n">
        <v>0</v>
      </c>
      <c r="L501" t="n">
        <v>0</v>
      </c>
      <c r="M501" t="n">
        <v>0</v>
      </c>
      <c r="N501" t="n">
        <v>0</v>
      </c>
      <c r="O501" t="n">
        <v>0</v>
      </c>
      <c r="P501" t="n">
        <v>0</v>
      </c>
      <c r="Q501" t="n">
        <v>0</v>
      </c>
      <c r="R501" s="2" t="inlineStr"/>
    </row>
    <row r="502" ht="15" customHeight="1">
      <c r="A502" t="inlineStr">
        <is>
          <t>A 31056-2022</t>
        </is>
      </c>
      <c r="B502" s="1" t="n">
        <v>44769.45805555556</v>
      </c>
      <c r="C502" s="1" t="n">
        <v>45974</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41896-2023</t>
        </is>
      </c>
      <c r="B503" s="1" t="n">
        <v>45176.72427083334</v>
      </c>
      <c r="C503" s="1" t="n">
        <v>45974</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33383-2023</t>
        </is>
      </c>
      <c r="B504" s="1" t="n">
        <v>45128.58414351852</v>
      </c>
      <c r="C504" s="1" t="n">
        <v>45974</v>
      </c>
      <c r="D504" t="inlineStr">
        <is>
          <t>KALMAR LÄN</t>
        </is>
      </c>
      <c r="E504" t="inlineStr">
        <is>
          <t>VIMMERBY</t>
        </is>
      </c>
      <c r="G504" t="n">
        <v>2.3</v>
      </c>
      <c r="H504" t="n">
        <v>0</v>
      </c>
      <c r="I504" t="n">
        <v>0</v>
      </c>
      <c r="J504" t="n">
        <v>0</v>
      </c>
      <c r="K504" t="n">
        <v>0</v>
      </c>
      <c r="L504" t="n">
        <v>0</v>
      </c>
      <c r="M504" t="n">
        <v>0</v>
      </c>
      <c r="N504" t="n">
        <v>0</v>
      </c>
      <c r="O504" t="n">
        <v>0</v>
      </c>
      <c r="P504" t="n">
        <v>0</v>
      </c>
      <c r="Q504" t="n">
        <v>0</v>
      </c>
      <c r="R504" s="2" t="inlineStr"/>
    </row>
    <row r="505" ht="15" customHeight="1">
      <c r="A505" t="inlineStr">
        <is>
          <t>A 17926-2025</t>
        </is>
      </c>
      <c r="B505" s="1" t="n">
        <v>45759.38987268518</v>
      </c>
      <c r="C505" s="1" t="n">
        <v>45974</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40828-2023</t>
        </is>
      </c>
      <c r="B506" s="1" t="n">
        <v>45171.96248842592</v>
      </c>
      <c r="C506" s="1" t="n">
        <v>45974</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21028-2023</t>
        </is>
      </c>
      <c r="B507" s="1" t="n">
        <v>45061</v>
      </c>
      <c r="C507" s="1" t="n">
        <v>45974</v>
      </c>
      <c r="D507" t="inlineStr">
        <is>
          <t>KALMAR LÄN</t>
        </is>
      </c>
      <c r="E507" t="inlineStr">
        <is>
          <t>VIMMERBY</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19445-2021</t>
        </is>
      </c>
      <c r="B508" s="1" t="n">
        <v>44310</v>
      </c>
      <c r="C508" s="1" t="n">
        <v>45974</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27122-2023</t>
        </is>
      </c>
      <c r="B509" s="1" t="n">
        <v>45096.45247685185</v>
      </c>
      <c r="C509" s="1" t="n">
        <v>45974</v>
      </c>
      <c r="D509" t="inlineStr">
        <is>
          <t>KALMAR LÄN</t>
        </is>
      </c>
      <c r="E509" t="inlineStr">
        <is>
          <t>VIMMERBY</t>
        </is>
      </c>
      <c r="G509" t="n">
        <v>1.7</v>
      </c>
      <c r="H509" t="n">
        <v>0</v>
      </c>
      <c r="I509" t="n">
        <v>0</v>
      </c>
      <c r="J509" t="n">
        <v>0</v>
      </c>
      <c r="K509" t="n">
        <v>0</v>
      </c>
      <c r="L509" t="n">
        <v>0</v>
      </c>
      <c r="M509" t="n">
        <v>0</v>
      </c>
      <c r="N509" t="n">
        <v>0</v>
      </c>
      <c r="O509" t="n">
        <v>0</v>
      </c>
      <c r="P509" t="n">
        <v>0</v>
      </c>
      <c r="Q509" t="n">
        <v>0</v>
      </c>
      <c r="R509" s="2" t="inlineStr"/>
    </row>
    <row r="510" ht="15" customHeight="1">
      <c r="A510" t="inlineStr">
        <is>
          <t>A 13813-2024</t>
        </is>
      </c>
      <c r="B510" s="1" t="n">
        <v>45391.41310185185</v>
      </c>
      <c r="C510" s="1" t="n">
        <v>45974</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38969-2023</t>
        </is>
      </c>
      <c r="B511" s="1" t="n">
        <v>45163.63621527778</v>
      </c>
      <c r="C511" s="1" t="n">
        <v>45974</v>
      </c>
      <c r="D511" t="inlineStr">
        <is>
          <t>KALMAR LÄN</t>
        </is>
      </c>
      <c r="E511" t="inlineStr">
        <is>
          <t>VIMMERBY</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12121-2025</t>
        </is>
      </c>
      <c r="B512" s="1" t="n">
        <v>45729.36868055556</v>
      </c>
      <c r="C512" s="1" t="n">
        <v>45974</v>
      </c>
      <c r="D512" t="inlineStr">
        <is>
          <t>KALMAR LÄN</t>
        </is>
      </c>
      <c r="E512" t="inlineStr">
        <is>
          <t>VIMMERBY</t>
        </is>
      </c>
      <c r="G512" t="n">
        <v>4.3</v>
      </c>
      <c r="H512" t="n">
        <v>0</v>
      </c>
      <c r="I512" t="n">
        <v>0</v>
      </c>
      <c r="J512" t="n">
        <v>0</v>
      </c>
      <c r="K512" t="n">
        <v>0</v>
      </c>
      <c r="L512" t="n">
        <v>0</v>
      </c>
      <c r="M512" t="n">
        <v>0</v>
      </c>
      <c r="N512" t="n">
        <v>0</v>
      </c>
      <c r="O512" t="n">
        <v>0</v>
      </c>
      <c r="P512" t="n">
        <v>0</v>
      </c>
      <c r="Q512" t="n">
        <v>0</v>
      </c>
      <c r="R512" s="2" t="inlineStr"/>
    </row>
    <row r="513" ht="15" customHeight="1">
      <c r="A513" t="inlineStr">
        <is>
          <t>A 61861-2024</t>
        </is>
      </c>
      <c r="B513" s="1" t="n">
        <v>45650.37370370371</v>
      </c>
      <c r="C513" s="1" t="n">
        <v>45974</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26937-2023</t>
        </is>
      </c>
      <c r="B514" s="1" t="n">
        <v>45093.62777777778</v>
      </c>
      <c r="C514" s="1" t="n">
        <v>45974</v>
      </c>
      <c r="D514" t="inlineStr">
        <is>
          <t>KALMAR LÄN</t>
        </is>
      </c>
      <c r="E514" t="inlineStr">
        <is>
          <t>VIMMERBY</t>
        </is>
      </c>
      <c r="F514" t="inlineStr">
        <is>
          <t>Sveaskog</t>
        </is>
      </c>
      <c r="G514" t="n">
        <v>14.5</v>
      </c>
      <c r="H514" t="n">
        <v>0</v>
      </c>
      <c r="I514" t="n">
        <v>0</v>
      </c>
      <c r="J514" t="n">
        <v>0</v>
      </c>
      <c r="K514" t="n">
        <v>0</v>
      </c>
      <c r="L514" t="n">
        <v>0</v>
      </c>
      <c r="M514" t="n">
        <v>0</v>
      </c>
      <c r="N514" t="n">
        <v>0</v>
      </c>
      <c r="O514" t="n">
        <v>0</v>
      </c>
      <c r="P514" t="n">
        <v>0</v>
      </c>
      <c r="Q514" t="n">
        <v>0</v>
      </c>
      <c r="R514" s="2" t="inlineStr"/>
    </row>
    <row r="515" ht="15" customHeight="1">
      <c r="A515" t="inlineStr">
        <is>
          <t>A 57486-2024</t>
        </is>
      </c>
      <c r="B515" s="1" t="n">
        <v>45630.35827546296</v>
      </c>
      <c r="C515" s="1" t="n">
        <v>45974</v>
      </c>
      <c r="D515" t="inlineStr">
        <is>
          <t>KALMAR LÄN</t>
        </is>
      </c>
      <c r="E515" t="inlineStr">
        <is>
          <t>VIMMERBY</t>
        </is>
      </c>
      <c r="G515" t="n">
        <v>0.4</v>
      </c>
      <c r="H515" t="n">
        <v>0</v>
      </c>
      <c r="I515" t="n">
        <v>0</v>
      </c>
      <c r="J515" t="n">
        <v>0</v>
      </c>
      <c r="K515" t="n">
        <v>0</v>
      </c>
      <c r="L515" t="n">
        <v>0</v>
      </c>
      <c r="M515" t="n">
        <v>0</v>
      </c>
      <c r="N515" t="n">
        <v>0</v>
      </c>
      <c r="O515" t="n">
        <v>0</v>
      </c>
      <c r="P515" t="n">
        <v>0</v>
      </c>
      <c r="Q515" t="n">
        <v>0</v>
      </c>
      <c r="R515" s="2" t="inlineStr"/>
    </row>
    <row r="516" ht="15" customHeight="1">
      <c r="A516" t="inlineStr">
        <is>
          <t>A 43186-2021</t>
        </is>
      </c>
      <c r="B516" s="1" t="n">
        <v>44431.84840277778</v>
      </c>
      <c r="C516" s="1" t="n">
        <v>45974</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1799-2025</t>
        </is>
      </c>
      <c r="B517" s="1" t="n">
        <v>45671.46746527778</v>
      </c>
      <c r="C517" s="1" t="n">
        <v>45974</v>
      </c>
      <c r="D517" t="inlineStr">
        <is>
          <t>KALMAR LÄN</t>
        </is>
      </c>
      <c r="E517" t="inlineStr">
        <is>
          <t>VIMMERBY</t>
        </is>
      </c>
      <c r="G517" t="n">
        <v>3.3</v>
      </c>
      <c r="H517" t="n">
        <v>0</v>
      </c>
      <c r="I517" t="n">
        <v>0</v>
      </c>
      <c r="J517" t="n">
        <v>0</v>
      </c>
      <c r="K517" t="n">
        <v>0</v>
      </c>
      <c r="L517" t="n">
        <v>0</v>
      </c>
      <c r="M517" t="n">
        <v>0</v>
      </c>
      <c r="N517" t="n">
        <v>0</v>
      </c>
      <c r="O517" t="n">
        <v>0</v>
      </c>
      <c r="P517" t="n">
        <v>0</v>
      </c>
      <c r="Q517" t="n">
        <v>0</v>
      </c>
      <c r="R517" s="2" t="inlineStr"/>
    </row>
    <row r="518" ht="15" customHeight="1">
      <c r="A518" t="inlineStr">
        <is>
          <t>A 30063-2023</t>
        </is>
      </c>
      <c r="B518" s="1" t="n">
        <v>45110.4184375</v>
      </c>
      <c r="C518" s="1" t="n">
        <v>45974</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8650-2022</t>
        </is>
      </c>
      <c r="B519" s="1" t="n">
        <v>44613</v>
      </c>
      <c r="C519" s="1" t="n">
        <v>45974</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9710-2023</t>
        </is>
      </c>
      <c r="B520" s="1" t="n">
        <v>44984</v>
      </c>
      <c r="C520" s="1" t="n">
        <v>45974</v>
      </c>
      <c r="D520" t="inlineStr">
        <is>
          <t>KALMAR LÄN</t>
        </is>
      </c>
      <c r="E520" t="inlineStr">
        <is>
          <t>VIMMERBY</t>
        </is>
      </c>
      <c r="G520" t="n">
        <v>3.7</v>
      </c>
      <c r="H520" t="n">
        <v>0</v>
      </c>
      <c r="I520" t="n">
        <v>0</v>
      </c>
      <c r="J520" t="n">
        <v>0</v>
      </c>
      <c r="K520" t="n">
        <v>0</v>
      </c>
      <c r="L520" t="n">
        <v>0</v>
      </c>
      <c r="M520" t="n">
        <v>0</v>
      </c>
      <c r="N520" t="n">
        <v>0</v>
      </c>
      <c r="O520" t="n">
        <v>0</v>
      </c>
      <c r="P520" t="n">
        <v>0</v>
      </c>
      <c r="Q520" t="n">
        <v>0</v>
      </c>
      <c r="R520" s="2" t="inlineStr"/>
    </row>
    <row r="521" ht="15" customHeight="1">
      <c r="A521" t="inlineStr">
        <is>
          <t>A 33340-2023</t>
        </is>
      </c>
      <c r="B521" s="1" t="n">
        <v>45128.37305555555</v>
      </c>
      <c r="C521" s="1" t="n">
        <v>45974</v>
      </c>
      <c r="D521" t="inlineStr">
        <is>
          <t>KALMAR LÄN</t>
        </is>
      </c>
      <c r="E521" t="inlineStr">
        <is>
          <t>VIMMERBY</t>
        </is>
      </c>
      <c r="G521" t="n">
        <v>1.5</v>
      </c>
      <c r="H521" t="n">
        <v>0</v>
      </c>
      <c r="I521" t="n">
        <v>0</v>
      </c>
      <c r="J521" t="n">
        <v>0</v>
      </c>
      <c r="K521" t="n">
        <v>0</v>
      </c>
      <c r="L521" t="n">
        <v>0</v>
      </c>
      <c r="M521" t="n">
        <v>0</v>
      </c>
      <c r="N521" t="n">
        <v>0</v>
      </c>
      <c r="O521" t="n">
        <v>0</v>
      </c>
      <c r="P521" t="n">
        <v>0</v>
      </c>
      <c r="Q521" t="n">
        <v>0</v>
      </c>
      <c r="R521" s="2" t="inlineStr"/>
    </row>
    <row r="522" ht="15" customHeight="1">
      <c r="A522" t="inlineStr">
        <is>
          <t>A 9720-2023</t>
        </is>
      </c>
      <c r="B522" s="1" t="n">
        <v>44984</v>
      </c>
      <c r="C522" s="1" t="n">
        <v>45974</v>
      </c>
      <c r="D522" t="inlineStr">
        <is>
          <t>KALMAR LÄN</t>
        </is>
      </c>
      <c r="E522" t="inlineStr">
        <is>
          <t>VIMMERBY</t>
        </is>
      </c>
      <c r="G522" t="n">
        <v>4.4</v>
      </c>
      <c r="H522" t="n">
        <v>0</v>
      </c>
      <c r="I522" t="n">
        <v>0</v>
      </c>
      <c r="J522" t="n">
        <v>0</v>
      </c>
      <c r="K522" t="n">
        <v>0</v>
      </c>
      <c r="L522" t="n">
        <v>0</v>
      </c>
      <c r="M522" t="n">
        <v>0</v>
      </c>
      <c r="N522" t="n">
        <v>0</v>
      </c>
      <c r="O522" t="n">
        <v>0</v>
      </c>
      <c r="P522" t="n">
        <v>0</v>
      </c>
      <c r="Q522" t="n">
        <v>0</v>
      </c>
      <c r="R522" s="2" t="inlineStr"/>
    </row>
    <row r="523" ht="15" customHeight="1">
      <c r="A523" t="inlineStr">
        <is>
          <t>A 44423-2023</t>
        </is>
      </c>
      <c r="B523" s="1" t="n">
        <v>45189</v>
      </c>
      <c r="C523" s="1" t="n">
        <v>45974</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15493-2023</t>
        </is>
      </c>
      <c r="B524" s="1" t="n">
        <v>45018</v>
      </c>
      <c r="C524" s="1" t="n">
        <v>45974</v>
      </c>
      <c r="D524" t="inlineStr">
        <is>
          <t>KALMAR LÄN</t>
        </is>
      </c>
      <c r="E524" t="inlineStr">
        <is>
          <t>VIMMERBY</t>
        </is>
      </c>
      <c r="G524" t="n">
        <v>1</v>
      </c>
      <c r="H524" t="n">
        <v>0</v>
      </c>
      <c r="I524" t="n">
        <v>0</v>
      </c>
      <c r="J524" t="n">
        <v>0</v>
      </c>
      <c r="K524" t="n">
        <v>0</v>
      </c>
      <c r="L524" t="n">
        <v>0</v>
      </c>
      <c r="M524" t="n">
        <v>0</v>
      </c>
      <c r="N524" t="n">
        <v>0</v>
      </c>
      <c r="O524" t="n">
        <v>0</v>
      </c>
      <c r="P524" t="n">
        <v>0</v>
      </c>
      <c r="Q524" t="n">
        <v>0</v>
      </c>
      <c r="R524" s="2" t="inlineStr"/>
    </row>
    <row r="525" ht="15" customHeight="1">
      <c r="A525" t="inlineStr">
        <is>
          <t>A 43068-2023</t>
        </is>
      </c>
      <c r="B525" s="1" t="n">
        <v>45182.78834490741</v>
      </c>
      <c r="C525" s="1" t="n">
        <v>45974</v>
      </c>
      <c r="D525" t="inlineStr">
        <is>
          <t>KALMAR LÄN</t>
        </is>
      </c>
      <c r="E525" t="inlineStr">
        <is>
          <t>VIMMERBY</t>
        </is>
      </c>
      <c r="G525" t="n">
        <v>1.5</v>
      </c>
      <c r="H525" t="n">
        <v>0</v>
      </c>
      <c r="I525" t="n">
        <v>0</v>
      </c>
      <c r="J525" t="n">
        <v>0</v>
      </c>
      <c r="K525" t="n">
        <v>0</v>
      </c>
      <c r="L525" t="n">
        <v>0</v>
      </c>
      <c r="M525" t="n">
        <v>0</v>
      </c>
      <c r="N525" t="n">
        <v>0</v>
      </c>
      <c r="O525" t="n">
        <v>0</v>
      </c>
      <c r="P525" t="n">
        <v>0</v>
      </c>
      <c r="Q525" t="n">
        <v>0</v>
      </c>
      <c r="R525" s="2" t="inlineStr"/>
    </row>
    <row r="526" ht="15" customHeight="1">
      <c r="A526" t="inlineStr">
        <is>
          <t>A 37323-2024</t>
        </is>
      </c>
      <c r="B526" s="1" t="n">
        <v>45540.50098379629</v>
      </c>
      <c r="C526" s="1" t="n">
        <v>45974</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18020-2025</t>
        </is>
      </c>
      <c r="B527" s="1" t="n">
        <v>45761.4437962963</v>
      </c>
      <c r="C527" s="1" t="n">
        <v>45974</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29093-2023</t>
        </is>
      </c>
      <c r="B528" s="1" t="n">
        <v>45105</v>
      </c>
      <c r="C528" s="1" t="n">
        <v>45974</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33352-2022</t>
        </is>
      </c>
      <c r="B529" s="1" t="n">
        <v>44788</v>
      </c>
      <c r="C529" s="1" t="n">
        <v>45974</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33424-2023</t>
        </is>
      </c>
      <c r="B530" s="1" t="n">
        <v>45128.9325</v>
      </c>
      <c r="C530" s="1" t="n">
        <v>45974</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10674-2021</t>
        </is>
      </c>
      <c r="B531" s="1" t="n">
        <v>44258</v>
      </c>
      <c r="C531" s="1" t="n">
        <v>45974</v>
      </c>
      <c r="D531" t="inlineStr">
        <is>
          <t>KALMAR LÄN</t>
        </is>
      </c>
      <c r="E531" t="inlineStr">
        <is>
          <t>VIMMERBY</t>
        </is>
      </c>
      <c r="G531" t="n">
        <v>8.4</v>
      </c>
      <c r="H531" t="n">
        <v>0</v>
      </c>
      <c r="I531" t="n">
        <v>0</v>
      </c>
      <c r="J531" t="n">
        <v>0</v>
      </c>
      <c r="K531" t="n">
        <v>0</v>
      </c>
      <c r="L531" t="n">
        <v>0</v>
      </c>
      <c r="M531" t="n">
        <v>0</v>
      </c>
      <c r="N531" t="n">
        <v>0</v>
      </c>
      <c r="O531" t="n">
        <v>0</v>
      </c>
      <c r="P531" t="n">
        <v>0</v>
      </c>
      <c r="Q531" t="n">
        <v>0</v>
      </c>
      <c r="R531" s="2" t="inlineStr"/>
    </row>
    <row r="532" ht="15" customHeight="1">
      <c r="A532" t="inlineStr">
        <is>
          <t>A 22264-2023</t>
        </is>
      </c>
      <c r="B532" s="1" t="n">
        <v>45070.3665625</v>
      </c>
      <c r="C532" s="1" t="n">
        <v>45974</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28286-2025</t>
        </is>
      </c>
      <c r="B533" s="1" t="n">
        <v>45818.58993055556</v>
      </c>
      <c r="C533" s="1" t="n">
        <v>45974</v>
      </c>
      <c r="D533" t="inlineStr">
        <is>
          <t>KALMAR LÄN</t>
        </is>
      </c>
      <c r="E533" t="inlineStr">
        <is>
          <t>VIMMERBY</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33425-2023</t>
        </is>
      </c>
      <c r="B534" s="1" t="n">
        <v>45128.93540509259</v>
      </c>
      <c r="C534" s="1" t="n">
        <v>45974</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28282-2025</t>
        </is>
      </c>
      <c r="B535" s="1" t="n">
        <v>45818.58769675926</v>
      </c>
      <c r="C535" s="1" t="n">
        <v>45974</v>
      </c>
      <c r="D535" t="inlineStr">
        <is>
          <t>KALMAR LÄN</t>
        </is>
      </c>
      <c r="E535" t="inlineStr">
        <is>
          <t>VIMMERBY</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28294-2025</t>
        </is>
      </c>
      <c r="B536" s="1" t="n">
        <v>45818.595625</v>
      </c>
      <c r="C536" s="1" t="n">
        <v>45974</v>
      </c>
      <c r="D536" t="inlineStr">
        <is>
          <t>KALMAR LÄN</t>
        </is>
      </c>
      <c r="E536" t="inlineStr">
        <is>
          <t>VIMMERBY</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28290-2025</t>
        </is>
      </c>
      <c r="B537" s="1" t="n">
        <v>45818.59261574074</v>
      </c>
      <c r="C537" s="1" t="n">
        <v>45974</v>
      </c>
      <c r="D537" t="inlineStr">
        <is>
          <t>KALMAR LÄN</t>
        </is>
      </c>
      <c r="E537" t="inlineStr">
        <is>
          <t>VIMMERBY</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12327-2023</t>
        </is>
      </c>
      <c r="B538" s="1" t="n">
        <v>44999.36081018519</v>
      </c>
      <c r="C538" s="1" t="n">
        <v>45974</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16676-2023</t>
        </is>
      </c>
      <c r="B539" s="1" t="n">
        <v>45028</v>
      </c>
      <c r="C539" s="1" t="n">
        <v>45974</v>
      </c>
      <c r="D539" t="inlineStr">
        <is>
          <t>KALMAR LÄN</t>
        </is>
      </c>
      <c r="E539" t="inlineStr">
        <is>
          <t>VIMMERBY</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18501-2024</t>
        </is>
      </c>
      <c r="B540" s="1" t="n">
        <v>45425.57538194444</v>
      </c>
      <c r="C540" s="1" t="n">
        <v>45974</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43092-2024</t>
        </is>
      </c>
      <c r="B541" s="1" t="n">
        <v>45567</v>
      </c>
      <c r="C541" s="1" t="n">
        <v>45974</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6220-2025</t>
        </is>
      </c>
      <c r="B542" s="1" t="n">
        <v>45698.53725694444</v>
      </c>
      <c r="C542" s="1" t="n">
        <v>45974</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28280-2025</t>
        </is>
      </c>
      <c r="B543" s="1" t="n">
        <v>45818.5862037037</v>
      </c>
      <c r="C543" s="1" t="n">
        <v>45974</v>
      </c>
      <c r="D543" t="inlineStr">
        <is>
          <t>KALMAR LÄN</t>
        </is>
      </c>
      <c r="E543" t="inlineStr">
        <is>
          <t>VIMMERBY</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24096-2024</t>
        </is>
      </c>
      <c r="B544" s="1" t="n">
        <v>45456.59289351852</v>
      </c>
      <c r="C544" s="1" t="n">
        <v>45974</v>
      </c>
      <c r="D544" t="inlineStr">
        <is>
          <t>KALMAR LÄN</t>
        </is>
      </c>
      <c r="E544" t="inlineStr">
        <is>
          <t>VIMMERBY</t>
        </is>
      </c>
      <c r="G544" t="n">
        <v>2.3</v>
      </c>
      <c r="H544" t="n">
        <v>0</v>
      </c>
      <c r="I544" t="n">
        <v>0</v>
      </c>
      <c r="J544" t="n">
        <v>0</v>
      </c>
      <c r="K544" t="n">
        <v>0</v>
      </c>
      <c r="L544" t="n">
        <v>0</v>
      </c>
      <c r="M544" t="n">
        <v>0</v>
      </c>
      <c r="N544" t="n">
        <v>0</v>
      </c>
      <c r="O544" t="n">
        <v>0</v>
      </c>
      <c r="P544" t="n">
        <v>0</v>
      </c>
      <c r="Q544" t="n">
        <v>0</v>
      </c>
      <c r="R544" s="2" t="inlineStr"/>
    </row>
    <row r="545" ht="15" customHeight="1">
      <c r="A545" t="inlineStr">
        <is>
          <t>A 28620-2025</t>
        </is>
      </c>
      <c r="B545" s="1" t="n">
        <v>45819.61060185185</v>
      </c>
      <c r="C545" s="1" t="n">
        <v>45974</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38964-2025</t>
        </is>
      </c>
      <c r="B546" s="1" t="n">
        <v>45887.68759259259</v>
      </c>
      <c r="C546" s="1" t="n">
        <v>45974</v>
      </c>
      <c r="D546" t="inlineStr">
        <is>
          <t>KALMAR LÄN</t>
        </is>
      </c>
      <c r="E546" t="inlineStr">
        <is>
          <t>VIMMERBY</t>
        </is>
      </c>
      <c r="G546" t="n">
        <v>7.5</v>
      </c>
      <c r="H546" t="n">
        <v>0</v>
      </c>
      <c r="I546" t="n">
        <v>0</v>
      </c>
      <c r="J546" t="n">
        <v>0</v>
      </c>
      <c r="K546" t="n">
        <v>0</v>
      </c>
      <c r="L546" t="n">
        <v>0</v>
      </c>
      <c r="M546" t="n">
        <v>0</v>
      </c>
      <c r="N546" t="n">
        <v>0</v>
      </c>
      <c r="O546" t="n">
        <v>0</v>
      </c>
      <c r="P546" t="n">
        <v>0</v>
      </c>
      <c r="Q546" t="n">
        <v>0</v>
      </c>
      <c r="R546" s="2" t="inlineStr"/>
    </row>
    <row r="547" ht="15" customHeight="1">
      <c r="A547" t="inlineStr">
        <is>
          <t>A 29013-2024</t>
        </is>
      </c>
      <c r="B547" s="1" t="n">
        <v>45481.55984953704</v>
      </c>
      <c r="C547" s="1" t="n">
        <v>45974</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6066-2023</t>
        </is>
      </c>
      <c r="B548" s="1" t="n">
        <v>44964.50894675926</v>
      </c>
      <c r="C548" s="1" t="n">
        <v>45974</v>
      </c>
      <c r="D548" t="inlineStr">
        <is>
          <t>KALMAR LÄN</t>
        </is>
      </c>
      <c r="E548" t="inlineStr">
        <is>
          <t>VIMMERBY</t>
        </is>
      </c>
      <c r="G548" t="n">
        <v>2.8</v>
      </c>
      <c r="H548" t="n">
        <v>0</v>
      </c>
      <c r="I548" t="n">
        <v>0</v>
      </c>
      <c r="J548" t="n">
        <v>0</v>
      </c>
      <c r="K548" t="n">
        <v>0</v>
      </c>
      <c r="L548" t="n">
        <v>0</v>
      </c>
      <c r="M548" t="n">
        <v>0</v>
      </c>
      <c r="N548" t="n">
        <v>0</v>
      </c>
      <c r="O548" t="n">
        <v>0</v>
      </c>
      <c r="P548" t="n">
        <v>0</v>
      </c>
      <c r="Q548" t="n">
        <v>0</v>
      </c>
      <c r="R548" s="2" t="inlineStr"/>
    </row>
    <row r="549" ht="15" customHeight="1">
      <c r="A549" t="inlineStr">
        <is>
          <t>A 59955-2023</t>
        </is>
      </c>
      <c r="B549" s="1" t="n">
        <v>45257.70313657408</v>
      </c>
      <c r="C549" s="1" t="n">
        <v>45974</v>
      </c>
      <c r="D549" t="inlineStr">
        <is>
          <t>KALMAR LÄN</t>
        </is>
      </c>
      <c r="E549" t="inlineStr">
        <is>
          <t>VIMMERBY</t>
        </is>
      </c>
      <c r="G549" t="n">
        <v>13.8</v>
      </c>
      <c r="H549" t="n">
        <v>0</v>
      </c>
      <c r="I549" t="n">
        <v>0</v>
      </c>
      <c r="J549" t="n">
        <v>0</v>
      </c>
      <c r="K549" t="n">
        <v>0</v>
      </c>
      <c r="L549" t="n">
        <v>0</v>
      </c>
      <c r="M549" t="n">
        <v>0</v>
      </c>
      <c r="N549" t="n">
        <v>0</v>
      </c>
      <c r="O549" t="n">
        <v>0</v>
      </c>
      <c r="P549" t="n">
        <v>0</v>
      </c>
      <c r="Q549" t="n">
        <v>0</v>
      </c>
      <c r="R549" s="2" t="inlineStr"/>
    </row>
    <row r="550" ht="15" customHeight="1">
      <c r="A550" t="inlineStr">
        <is>
          <t>A 36040-2024</t>
        </is>
      </c>
      <c r="B550" s="1" t="n">
        <v>45533.60232638889</v>
      </c>
      <c r="C550" s="1" t="n">
        <v>45974</v>
      </c>
      <c r="D550" t="inlineStr">
        <is>
          <t>KALMAR LÄN</t>
        </is>
      </c>
      <c r="E550" t="inlineStr">
        <is>
          <t>VIMMERBY</t>
        </is>
      </c>
      <c r="F550" t="inlineStr">
        <is>
          <t>Kommuner</t>
        </is>
      </c>
      <c r="G550" t="n">
        <v>3.6</v>
      </c>
      <c r="H550" t="n">
        <v>0</v>
      </c>
      <c r="I550" t="n">
        <v>0</v>
      </c>
      <c r="J550" t="n">
        <v>0</v>
      </c>
      <c r="K550" t="n">
        <v>0</v>
      </c>
      <c r="L550" t="n">
        <v>0</v>
      </c>
      <c r="M550" t="n">
        <v>0</v>
      </c>
      <c r="N550" t="n">
        <v>0</v>
      </c>
      <c r="O550" t="n">
        <v>0</v>
      </c>
      <c r="P550" t="n">
        <v>0</v>
      </c>
      <c r="Q550" t="n">
        <v>0</v>
      </c>
      <c r="R550" s="2" t="inlineStr"/>
    </row>
    <row r="551" ht="15" customHeight="1">
      <c r="A551" t="inlineStr">
        <is>
          <t>A 36043-2024</t>
        </is>
      </c>
      <c r="B551" s="1" t="n">
        <v>45533.60770833334</v>
      </c>
      <c r="C551" s="1" t="n">
        <v>45974</v>
      </c>
      <c r="D551" t="inlineStr">
        <is>
          <t>KALMAR LÄN</t>
        </is>
      </c>
      <c r="E551" t="inlineStr">
        <is>
          <t>VIMMERBY</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12890-2023</t>
        </is>
      </c>
      <c r="B552" s="1" t="n">
        <v>45001.59209490741</v>
      </c>
      <c r="C552" s="1" t="n">
        <v>45974</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52435-2021</t>
        </is>
      </c>
      <c r="B553" s="1" t="n">
        <v>44466.34962962963</v>
      </c>
      <c r="C553" s="1" t="n">
        <v>45974</v>
      </c>
      <c r="D553" t="inlineStr">
        <is>
          <t>KALMAR LÄN</t>
        </is>
      </c>
      <c r="E553" t="inlineStr">
        <is>
          <t>VIMMERBY</t>
        </is>
      </c>
      <c r="G553" t="n">
        <v>2.8</v>
      </c>
      <c r="H553" t="n">
        <v>0</v>
      </c>
      <c r="I553" t="n">
        <v>0</v>
      </c>
      <c r="J553" t="n">
        <v>0</v>
      </c>
      <c r="K553" t="n">
        <v>0</v>
      </c>
      <c r="L553" t="n">
        <v>0</v>
      </c>
      <c r="M553" t="n">
        <v>0</v>
      </c>
      <c r="N553" t="n">
        <v>0</v>
      </c>
      <c r="O553" t="n">
        <v>0</v>
      </c>
      <c r="P553" t="n">
        <v>0</v>
      </c>
      <c r="Q553" t="n">
        <v>0</v>
      </c>
      <c r="R553" s="2" t="inlineStr"/>
    </row>
    <row r="554" ht="15" customHeight="1">
      <c r="A554" t="inlineStr">
        <is>
          <t>A 43594-2024</t>
        </is>
      </c>
      <c r="B554" s="1" t="n">
        <v>45569.44295138889</v>
      </c>
      <c r="C554" s="1" t="n">
        <v>45974</v>
      </c>
      <c r="D554" t="inlineStr">
        <is>
          <t>KALMAR LÄN</t>
        </is>
      </c>
      <c r="E554" t="inlineStr">
        <is>
          <t>VIMMERBY</t>
        </is>
      </c>
      <c r="G554" t="n">
        <v>3.9</v>
      </c>
      <c r="H554" t="n">
        <v>0</v>
      </c>
      <c r="I554" t="n">
        <v>0</v>
      </c>
      <c r="J554" t="n">
        <v>0</v>
      </c>
      <c r="K554" t="n">
        <v>0</v>
      </c>
      <c r="L554" t="n">
        <v>0</v>
      </c>
      <c r="M554" t="n">
        <v>0</v>
      </c>
      <c r="N554" t="n">
        <v>0</v>
      </c>
      <c r="O554" t="n">
        <v>0</v>
      </c>
      <c r="P554" t="n">
        <v>0</v>
      </c>
      <c r="Q554" t="n">
        <v>0</v>
      </c>
      <c r="R554" s="2" t="inlineStr"/>
    </row>
    <row r="555" ht="15" customHeight="1">
      <c r="A555" t="inlineStr">
        <is>
          <t>A 28712-2025</t>
        </is>
      </c>
      <c r="B555" s="1" t="n">
        <v>45820.33708333333</v>
      </c>
      <c r="C555" s="1" t="n">
        <v>45974</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28714-2025</t>
        </is>
      </c>
      <c r="B556" s="1" t="n">
        <v>45820.34128472222</v>
      </c>
      <c r="C556" s="1" t="n">
        <v>45974</v>
      </c>
      <c r="D556" t="inlineStr">
        <is>
          <t>KALMAR LÄN</t>
        </is>
      </c>
      <c r="E556" t="inlineStr">
        <is>
          <t>VIMMERBY</t>
        </is>
      </c>
      <c r="G556" t="n">
        <v>1.8</v>
      </c>
      <c r="H556" t="n">
        <v>0</v>
      </c>
      <c r="I556" t="n">
        <v>0</v>
      </c>
      <c r="J556" t="n">
        <v>0</v>
      </c>
      <c r="K556" t="n">
        <v>0</v>
      </c>
      <c r="L556" t="n">
        <v>0</v>
      </c>
      <c r="M556" t="n">
        <v>0</v>
      </c>
      <c r="N556" t="n">
        <v>0</v>
      </c>
      <c r="O556" t="n">
        <v>0</v>
      </c>
      <c r="P556" t="n">
        <v>0</v>
      </c>
      <c r="Q556" t="n">
        <v>0</v>
      </c>
      <c r="R556" s="2" t="inlineStr"/>
    </row>
    <row r="557" ht="15" customHeight="1">
      <c r="A557" t="inlineStr">
        <is>
          <t>A 53482-2022</t>
        </is>
      </c>
      <c r="B557" s="1" t="n">
        <v>44879</v>
      </c>
      <c r="C557" s="1" t="n">
        <v>45974</v>
      </c>
      <c r="D557" t="inlineStr">
        <is>
          <t>KALMAR LÄN</t>
        </is>
      </c>
      <c r="E557" t="inlineStr">
        <is>
          <t>VIMMERBY</t>
        </is>
      </c>
      <c r="G557" t="n">
        <v>10.1</v>
      </c>
      <c r="H557" t="n">
        <v>0</v>
      </c>
      <c r="I557" t="n">
        <v>0</v>
      </c>
      <c r="J557" t="n">
        <v>0</v>
      </c>
      <c r="K557" t="n">
        <v>0</v>
      </c>
      <c r="L557" t="n">
        <v>0</v>
      </c>
      <c r="M557" t="n">
        <v>0</v>
      </c>
      <c r="N557" t="n">
        <v>0</v>
      </c>
      <c r="O557" t="n">
        <v>0</v>
      </c>
      <c r="P557" t="n">
        <v>0</v>
      </c>
      <c r="Q557" t="n">
        <v>0</v>
      </c>
      <c r="R557" s="2" t="inlineStr"/>
    </row>
    <row r="558" ht="15" customHeight="1">
      <c r="A558" t="inlineStr">
        <is>
          <t>A 28713-2025</t>
        </is>
      </c>
      <c r="B558" s="1" t="n">
        <v>45820.33930555556</v>
      </c>
      <c r="C558" s="1" t="n">
        <v>45974</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27761-2024</t>
        </is>
      </c>
      <c r="B559" s="1" t="n">
        <v>45475.49018518518</v>
      </c>
      <c r="C559" s="1" t="n">
        <v>45974</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64203-2021</t>
        </is>
      </c>
      <c r="B560" s="1" t="n">
        <v>44510.60921296296</v>
      </c>
      <c r="C560" s="1" t="n">
        <v>45974</v>
      </c>
      <c r="D560" t="inlineStr">
        <is>
          <t>KALMAR LÄN</t>
        </is>
      </c>
      <c r="E560" t="inlineStr">
        <is>
          <t>VIMMERBY</t>
        </is>
      </c>
      <c r="F560" t="inlineStr">
        <is>
          <t>Övriga Aktiebolag</t>
        </is>
      </c>
      <c r="G560" t="n">
        <v>5.4</v>
      </c>
      <c r="H560" t="n">
        <v>0</v>
      </c>
      <c r="I560" t="n">
        <v>0</v>
      </c>
      <c r="J560" t="n">
        <v>0</v>
      </c>
      <c r="K560" t="n">
        <v>0</v>
      </c>
      <c r="L560" t="n">
        <v>0</v>
      </c>
      <c r="M560" t="n">
        <v>0</v>
      </c>
      <c r="N560" t="n">
        <v>0</v>
      </c>
      <c r="O560" t="n">
        <v>0</v>
      </c>
      <c r="P560" t="n">
        <v>0</v>
      </c>
      <c r="Q560" t="n">
        <v>0</v>
      </c>
      <c r="R560" s="2" t="inlineStr"/>
    </row>
    <row r="561" ht="15" customHeight="1">
      <c r="A561" t="inlineStr">
        <is>
          <t>A 5720-2023</t>
        </is>
      </c>
      <c r="B561" s="1" t="n">
        <v>44961</v>
      </c>
      <c r="C561" s="1" t="n">
        <v>45974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9643-2023</t>
        </is>
      </c>
      <c r="B562" s="1" t="n">
        <v>44984</v>
      </c>
      <c r="C562" s="1" t="n">
        <v>45974</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35127-2024</t>
        </is>
      </c>
      <c r="B563" s="1" t="n">
        <v>45530.33202546297</v>
      </c>
      <c r="C563" s="1" t="n">
        <v>45974</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25728-2023</t>
        </is>
      </c>
      <c r="B564" s="1" t="n">
        <v>45090.38012731481</v>
      </c>
      <c r="C564" s="1" t="n">
        <v>45974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29737-2025</t>
        </is>
      </c>
      <c r="B565" s="1" t="n">
        <v>45825.58672453704</v>
      </c>
      <c r="C565" s="1" t="n">
        <v>45974</v>
      </c>
      <c r="D565" t="inlineStr">
        <is>
          <t>KALMAR LÄN</t>
        </is>
      </c>
      <c r="E565" t="inlineStr">
        <is>
          <t>VIMMERBY</t>
        </is>
      </c>
      <c r="G565" t="n">
        <v>1.2</v>
      </c>
      <c r="H565" t="n">
        <v>0</v>
      </c>
      <c r="I565" t="n">
        <v>0</v>
      </c>
      <c r="J565" t="n">
        <v>0</v>
      </c>
      <c r="K565" t="n">
        <v>0</v>
      </c>
      <c r="L565" t="n">
        <v>0</v>
      </c>
      <c r="M565" t="n">
        <v>0</v>
      </c>
      <c r="N565" t="n">
        <v>0</v>
      </c>
      <c r="O565" t="n">
        <v>0</v>
      </c>
      <c r="P565" t="n">
        <v>0</v>
      </c>
      <c r="Q565" t="n">
        <v>0</v>
      </c>
      <c r="R565" s="2" t="inlineStr"/>
    </row>
    <row r="566" ht="15" customHeight="1">
      <c r="A566" t="inlineStr">
        <is>
          <t>A 29727-2025</t>
        </is>
      </c>
      <c r="B566" s="1" t="n">
        <v>45825.5796875</v>
      </c>
      <c r="C566" s="1" t="n">
        <v>45974</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41311-2023</t>
        </is>
      </c>
      <c r="B567" s="1" t="n">
        <v>45174</v>
      </c>
      <c r="C567" s="1" t="n">
        <v>45974</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60215-2022</t>
        </is>
      </c>
      <c r="B568" s="1" t="n">
        <v>44910.41346064815</v>
      </c>
      <c r="C568" s="1" t="n">
        <v>45974</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26318-2023</t>
        </is>
      </c>
      <c r="B569" s="1" t="n">
        <v>45091.67936342592</v>
      </c>
      <c r="C569" s="1" t="n">
        <v>45974</v>
      </c>
      <c r="D569" t="inlineStr">
        <is>
          <t>KALMAR LÄN</t>
        </is>
      </c>
      <c r="E569" t="inlineStr">
        <is>
          <t>VIMMERBY</t>
        </is>
      </c>
      <c r="G569" t="n">
        <v>3.8</v>
      </c>
      <c r="H569" t="n">
        <v>0</v>
      </c>
      <c r="I569" t="n">
        <v>0</v>
      </c>
      <c r="J569" t="n">
        <v>0</v>
      </c>
      <c r="K569" t="n">
        <v>0</v>
      </c>
      <c r="L569" t="n">
        <v>0</v>
      </c>
      <c r="M569" t="n">
        <v>0</v>
      </c>
      <c r="N569" t="n">
        <v>0</v>
      </c>
      <c r="O569" t="n">
        <v>0</v>
      </c>
      <c r="P569" t="n">
        <v>0</v>
      </c>
      <c r="Q569" t="n">
        <v>0</v>
      </c>
      <c r="R569" s="2" t="inlineStr"/>
    </row>
    <row r="570" ht="15" customHeight="1">
      <c r="A570" t="inlineStr">
        <is>
          <t>A 29441-2024</t>
        </is>
      </c>
      <c r="B570" s="1" t="n">
        <v>45483.82834490741</v>
      </c>
      <c r="C570" s="1" t="n">
        <v>45974</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6216-2025</t>
        </is>
      </c>
      <c r="B571" s="1" t="n">
        <v>45698.52806712963</v>
      </c>
      <c r="C571" s="1" t="n">
        <v>45974</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62779-2023</t>
        </is>
      </c>
      <c r="B572" s="1" t="n">
        <v>45271.66576388889</v>
      </c>
      <c r="C572" s="1" t="n">
        <v>45974</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52294-2023</t>
        </is>
      </c>
      <c r="B573" s="1" t="n">
        <v>45224.60075231481</v>
      </c>
      <c r="C573" s="1" t="n">
        <v>45974</v>
      </c>
      <c r="D573" t="inlineStr">
        <is>
          <t>KALMAR LÄN</t>
        </is>
      </c>
      <c r="E573" t="inlineStr">
        <is>
          <t>VIMMERBY</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30293-2025</t>
        </is>
      </c>
      <c r="B574" s="1" t="n">
        <v>45827</v>
      </c>
      <c r="C574" s="1" t="n">
        <v>45974</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30290-2025</t>
        </is>
      </c>
      <c r="B575" s="1" t="n">
        <v>45827</v>
      </c>
      <c r="C575" s="1" t="n">
        <v>45974</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61355-2024</t>
        </is>
      </c>
      <c r="B576" s="1" t="n">
        <v>45646.38200231481</v>
      </c>
      <c r="C576" s="1" t="n">
        <v>45974</v>
      </c>
      <c r="D576" t="inlineStr">
        <is>
          <t>KALMAR LÄN</t>
        </is>
      </c>
      <c r="E576" t="inlineStr">
        <is>
          <t>VIMMERBY</t>
        </is>
      </c>
      <c r="G576" t="n">
        <v>2.7</v>
      </c>
      <c r="H576" t="n">
        <v>0</v>
      </c>
      <c r="I576" t="n">
        <v>0</v>
      </c>
      <c r="J576" t="n">
        <v>0</v>
      </c>
      <c r="K576" t="n">
        <v>0</v>
      </c>
      <c r="L576" t="n">
        <v>0</v>
      </c>
      <c r="M576" t="n">
        <v>0</v>
      </c>
      <c r="N576" t="n">
        <v>0</v>
      </c>
      <c r="O576" t="n">
        <v>0</v>
      </c>
      <c r="P576" t="n">
        <v>0</v>
      </c>
      <c r="Q576" t="n">
        <v>0</v>
      </c>
      <c r="R576" s="2" t="inlineStr"/>
    </row>
    <row r="577" ht="15" customHeight="1">
      <c r="A577" t="inlineStr">
        <is>
          <t>A 31013-2023</t>
        </is>
      </c>
      <c r="B577" s="1" t="n">
        <v>45113.56574074074</v>
      </c>
      <c r="C577" s="1" t="n">
        <v>45974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30850-2025</t>
        </is>
      </c>
      <c r="B578" s="1" t="n">
        <v>45831</v>
      </c>
      <c r="C578" s="1" t="n">
        <v>45974</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72067-2021</t>
        </is>
      </c>
      <c r="B579" s="1" t="n">
        <v>44540</v>
      </c>
      <c r="C579" s="1" t="n">
        <v>45974</v>
      </c>
      <c r="D579" t="inlineStr">
        <is>
          <t>KALMAR LÄN</t>
        </is>
      </c>
      <c r="E579" t="inlineStr">
        <is>
          <t>VIMMERBY</t>
        </is>
      </c>
      <c r="G579" t="n">
        <v>1.6</v>
      </c>
      <c r="H579" t="n">
        <v>0</v>
      </c>
      <c r="I579" t="n">
        <v>0</v>
      </c>
      <c r="J579" t="n">
        <v>0</v>
      </c>
      <c r="K579" t="n">
        <v>0</v>
      </c>
      <c r="L579" t="n">
        <v>0</v>
      </c>
      <c r="M579" t="n">
        <v>0</v>
      </c>
      <c r="N579" t="n">
        <v>0</v>
      </c>
      <c r="O579" t="n">
        <v>0</v>
      </c>
      <c r="P579" t="n">
        <v>0</v>
      </c>
      <c r="Q579" t="n">
        <v>0</v>
      </c>
      <c r="R579" s="2" t="inlineStr"/>
    </row>
    <row r="580" ht="15" customHeight="1">
      <c r="A580" t="inlineStr">
        <is>
          <t>A 61538-2022</t>
        </is>
      </c>
      <c r="B580" s="1" t="n">
        <v>44916.55414351852</v>
      </c>
      <c r="C580" s="1" t="n">
        <v>45974</v>
      </c>
      <c r="D580" t="inlineStr">
        <is>
          <t>KALMAR LÄN</t>
        </is>
      </c>
      <c r="E580" t="inlineStr">
        <is>
          <t>VIMMERBY</t>
        </is>
      </c>
      <c r="G580" t="n">
        <v>1.5</v>
      </c>
      <c r="H580" t="n">
        <v>0</v>
      </c>
      <c r="I580" t="n">
        <v>0</v>
      </c>
      <c r="J580" t="n">
        <v>0</v>
      </c>
      <c r="K580" t="n">
        <v>0</v>
      </c>
      <c r="L580" t="n">
        <v>0</v>
      </c>
      <c r="M580" t="n">
        <v>0</v>
      </c>
      <c r="N580" t="n">
        <v>0</v>
      </c>
      <c r="O580" t="n">
        <v>0</v>
      </c>
      <c r="P580" t="n">
        <v>0</v>
      </c>
      <c r="Q580" t="n">
        <v>0</v>
      </c>
      <c r="R580" s="2" t="inlineStr"/>
    </row>
    <row r="581" ht="15" customHeight="1">
      <c r="A581" t="inlineStr">
        <is>
          <t>A 36155-2023</t>
        </is>
      </c>
      <c r="B581" s="1" t="n">
        <v>45149.60917824074</v>
      </c>
      <c r="C581" s="1" t="n">
        <v>45974</v>
      </c>
      <c r="D581" t="inlineStr">
        <is>
          <t>KALMAR LÄN</t>
        </is>
      </c>
      <c r="E581" t="inlineStr">
        <is>
          <t>VIMMERBY</t>
        </is>
      </c>
      <c r="G581" t="n">
        <v>5</v>
      </c>
      <c r="H581" t="n">
        <v>0</v>
      </c>
      <c r="I581" t="n">
        <v>0</v>
      </c>
      <c r="J581" t="n">
        <v>0</v>
      </c>
      <c r="K581" t="n">
        <v>0</v>
      </c>
      <c r="L581" t="n">
        <v>0</v>
      </c>
      <c r="M581" t="n">
        <v>0</v>
      </c>
      <c r="N581" t="n">
        <v>0</v>
      </c>
      <c r="O581" t="n">
        <v>0</v>
      </c>
      <c r="P581" t="n">
        <v>0</v>
      </c>
      <c r="Q581" t="n">
        <v>0</v>
      </c>
      <c r="R581" s="2" t="inlineStr"/>
    </row>
    <row r="582" ht="15" customHeight="1">
      <c r="A582" t="inlineStr">
        <is>
          <t>A 29173-2024</t>
        </is>
      </c>
      <c r="B582" s="1" t="n">
        <v>45482.52887731481</v>
      </c>
      <c r="C582" s="1" t="n">
        <v>45974</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53542-2022</t>
        </is>
      </c>
      <c r="B583" s="1" t="n">
        <v>44879.62173611111</v>
      </c>
      <c r="C583" s="1" t="n">
        <v>45974</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38604-2025</t>
        </is>
      </c>
      <c r="B584" s="1" t="n">
        <v>45884.50613425926</v>
      </c>
      <c r="C584" s="1" t="n">
        <v>45974</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31552-2025</t>
        </is>
      </c>
      <c r="B585" s="1" t="n">
        <v>45833.64563657407</v>
      </c>
      <c r="C585" s="1" t="n">
        <v>45974</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31555-2025</t>
        </is>
      </c>
      <c r="B586" s="1" t="n">
        <v>45833.64814814815</v>
      </c>
      <c r="C586" s="1" t="n">
        <v>45974</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36802-2021</t>
        </is>
      </c>
      <c r="B587" s="1" t="n">
        <v>44392</v>
      </c>
      <c r="C587" s="1" t="n">
        <v>45974</v>
      </c>
      <c r="D587" t="inlineStr">
        <is>
          <t>KALMAR LÄN</t>
        </is>
      </c>
      <c r="E587" t="inlineStr">
        <is>
          <t>VIMMERBY</t>
        </is>
      </c>
      <c r="F587" t="inlineStr">
        <is>
          <t>Sveaskog</t>
        </is>
      </c>
      <c r="G587" t="n">
        <v>4.6</v>
      </c>
      <c r="H587" t="n">
        <v>0</v>
      </c>
      <c r="I587" t="n">
        <v>0</v>
      </c>
      <c r="J587" t="n">
        <v>0</v>
      </c>
      <c r="K587" t="n">
        <v>0</v>
      </c>
      <c r="L587" t="n">
        <v>0</v>
      </c>
      <c r="M587" t="n">
        <v>0</v>
      </c>
      <c r="N587" t="n">
        <v>0</v>
      </c>
      <c r="O587" t="n">
        <v>0</v>
      </c>
      <c r="P587" t="n">
        <v>0</v>
      </c>
      <c r="Q587" t="n">
        <v>0</v>
      </c>
      <c r="R587" s="2" t="inlineStr"/>
    </row>
    <row r="588" ht="15" customHeight="1">
      <c r="A588" t="inlineStr">
        <is>
          <t>A 30971-2025</t>
        </is>
      </c>
      <c r="B588" s="1" t="n">
        <v>45832.46146990741</v>
      </c>
      <c r="C588" s="1" t="n">
        <v>45974</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31551-2025</t>
        </is>
      </c>
      <c r="B589" s="1" t="n">
        <v>45833.64237268519</v>
      </c>
      <c r="C589" s="1" t="n">
        <v>45974</v>
      </c>
      <c r="D589" t="inlineStr">
        <is>
          <t>KALMAR LÄN</t>
        </is>
      </c>
      <c r="E589" t="inlineStr">
        <is>
          <t>VIMMERBY</t>
        </is>
      </c>
      <c r="G589" t="n">
        <v>1.9</v>
      </c>
      <c r="H589" t="n">
        <v>0</v>
      </c>
      <c r="I589" t="n">
        <v>0</v>
      </c>
      <c r="J589" t="n">
        <v>0</v>
      </c>
      <c r="K589" t="n">
        <v>0</v>
      </c>
      <c r="L589" t="n">
        <v>0</v>
      </c>
      <c r="M589" t="n">
        <v>0</v>
      </c>
      <c r="N589" t="n">
        <v>0</v>
      </c>
      <c r="O589" t="n">
        <v>0</v>
      </c>
      <c r="P589" t="n">
        <v>0</v>
      </c>
      <c r="Q589" t="n">
        <v>0</v>
      </c>
      <c r="R589" s="2" t="inlineStr"/>
    </row>
    <row r="590" ht="15" customHeight="1">
      <c r="A590" t="inlineStr">
        <is>
          <t>A 30882-2025</t>
        </is>
      </c>
      <c r="B590" s="1" t="n">
        <v>45832.34540509259</v>
      </c>
      <c r="C590" s="1" t="n">
        <v>45974</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6807-2025</t>
        </is>
      </c>
      <c r="B591" s="1" t="n">
        <v>45700.68672453704</v>
      </c>
      <c r="C591" s="1" t="n">
        <v>45974</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31872-2025</t>
        </is>
      </c>
      <c r="B592" s="1" t="n">
        <v>45834.65040509259</v>
      </c>
      <c r="C592" s="1" t="n">
        <v>45974</v>
      </c>
      <c r="D592" t="inlineStr">
        <is>
          <t>KALMAR LÄN</t>
        </is>
      </c>
      <c r="E592" t="inlineStr">
        <is>
          <t>VIMMERBY</t>
        </is>
      </c>
      <c r="F592" t="inlineStr">
        <is>
          <t>Sveaskog</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45974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8559-2025</t>
        </is>
      </c>
      <c r="B594" s="1" t="n">
        <v>45709.62280092593</v>
      </c>
      <c r="C594" s="1" t="n">
        <v>45974</v>
      </c>
      <c r="D594" t="inlineStr">
        <is>
          <t>KALMAR LÄN</t>
        </is>
      </c>
      <c r="E594" t="inlineStr">
        <is>
          <t>VIMMERBY</t>
        </is>
      </c>
      <c r="G594" t="n">
        <v>8.9</v>
      </c>
      <c r="H594" t="n">
        <v>0</v>
      </c>
      <c r="I594" t="n">
        <v>0</v>
      </c>
      <c r="J594" t="n">
        <v>0</v>
      </c>
      <c r="K594" t="n">
        <v>0</v>
      </c>
      <c r="L594" t="n">
        <v>0</v>
      </c>
      <c r="M594" t="n">
        <v>0</v>
      </c>
      <c r="N594" t="n">
        <v>0</v>
      </c>
      <c r="O594" t="n">
        <v>0</v>
      </c>
      <c r="P594" t="n">
        <v>0</v>
      </c>
      <c r="Q594" t="n">
        <v>0</v>
      </c>
      <c r="R594" s="2" t="inlineStr"/>
    </row>
    <row r="595" ht="15" customHeight="1">
      <c r="A595" t="inlineStr">
        <is>
          <t>A 35711-2023</t>
        </is>
      </c>
      <c r="B595" s="1" t="n">
        <v>45147.67172453704</v>
      </c>
      <c r="C595" s="1" t="n">
        <v>45974</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5382-2023</t>
        </is>
      </c>
      <c r="B596" s="1" t="n">
        <v>44959.66407407408</v>
      </c>
      <c r="C596" s="1" t="n">
        <v>45974</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32064-2025</t>
        </is>
      </c>
      <c r="B597" s="1" t="n">
        <v>45835.44709490741</v>
      </c>
      <c r="C597" s="1" t="n">
        <v>45974</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32109-2025</t>
        </is>
      </c>
      <c r="B598" s="1" t="n">
        <v>45835.48267361111</v>
      </c>
      <c r="C598" s="1" t="n">
        <v>45974</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32113-2025</t>
        </is>
      </c>
      <c r="B599" s="1" t="n">
        <v>45835.48445601852</v>
      </c>
      <c r="C599" s="1" t="n">
        <v>45974</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32116-2025</t>
        </is>
      </c>
      <c r="B600" s="1" t="n">
        <v>45835.48862268519</v>
      </c>
      <c r="C600" s="1" t="n">
        <v>45974</v>
      </c>
      <c r="D600" t="inlineStr">
        <is>
          <t>KALMAR LÄN</t>
        </is>
      </c>
      <c r="E600" t="inlineStr">
        <is>
          <t>VIMMERBY</t>
        </is>
      </c>
      <c r="G600" t="n">
        <v>0.9</v>
      </c>
      <c r="H600" t="n">
        <v>0</v>
      </c>
      <c r="I600" t="n">
        <v>0</v>
      </c>
      <c r="J600" t="n">
        <v>0</v>
      </c>
      <c r="K600" t="n">
        <v>0</v>
      </c>
      <c r="L600" t="n">
        <v>0</v>
      </c>
      <c r="M600" t="n">
        <v>0</v>
      </c>
      <c r="N600" t="n">
        <v>0</v>
      </c>
      <c r="O600" t="n">
        <v>0</v>
      </c>
      <c r="P600" t="n">
        <v>0</v>
      </c>
      <c r="Q600" t="n">
        <v>0</v>
      </c>
      <c r="R600" s="2" t="inlineStr"/>
    </row>
    <row r="601" ht="15" customHeight="1">
      <c r="A601" t="inlineStr">
        <is>
          <t>A 31870-2025</t>
        </is>
      </c>
      <c r="B601" s="1" t="n">
        <v>45834.64667824074</v>
      </c>
      <c r="C601" s="1" t="n">
        <v>45974</v>
      </c>
      <c r="D601" t="inlineStr">
        <is>
          <t>KALMAR LÄN</t>
        </is>
      </c>
      <c r="E601" t="inlineStr">
        <is>
          <t>VIMMERBY</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32065-2025</t>
        </is>
      </c>
      <c r="B602" s="1" t="n">
        <v>45835.44732638889</v>
      </c>
      <c r="C602" s="1" t="n">
        <v>45974</v>
      </c>
      <c r="D602" t="inlineStr">
        <is>
          <t>KALMAR LÄN</t>
        </is>
      </c>
      <c r="E602" t="inlineStr">
        <is>
          <t>VIMMERBY</t>
        </is>
      </c>
      <c r="G602" t="n">
        <v>1</v>
      </c>
      <c r="H602" t="n">
        <v>0</v>
      </c>
      <c r="I602" t="n">
        <v>0</v>
      </c>
      <c r="J602" t="n">
        <v>0</v>
      </c>
      <c r="K602" t="n">
        <v>0</v>
      </c>
      <c r="L602" t="n">
        <v>0</v>
      </c>
      <c r="M602" t="n">
        <v>0</v>
      </c>
      <c r="N602" t="n">
        <v>0</v>
      </c>
      <c r="O602" t="n">
        <v>0</v>
      </c>
      <c r="P602" t="n">
        <v>0</v>
      </c>
      <c r="Q602" t="n">
        <v>0</v>
      </c>
      <c r="R602" s="2" t="inlineStr"/>
    </row>
    <row r="603" ht="15" customHeight="1">
      <c r="A603" t="inlineStr">
        <is>
          <t>A 38198-2024</t>
        </is>
      </c>
      <c r="B603" s="1" t="n">
        <v>45545.49508101852</v>
      </c>
      <c r="C603" s="1" t="n">
        <v>45974</v>
      </c>
      <c r="D603" t="inlineStr">
        <is>
          <t>KALMAR LÄN</t>
        </is>
      </c>
      <c r="E603" t="inlineStr">
        <is>
          <t>VIMMERBY</t>
        </is>
      </c>
      <c r="G603" t="n">
        <v>7.9</v>
      </c>
      <c r="H603" t="n">
        <v>0</v>
      </c>
      <c r="I603" t="n">
        <v>0</v>
      </c>
      <c r="J603" t="n">
        <v>0</v>
      </c>
      <c r="K603" t="n">
        <v>0</v>
      </c>
      <c r="L603" t="n">
        <v>0</v>
      </c>
      <c r="M603" t="n">
        <v>0</v>
      </c>
      <c r="N603" t="n">
        <v>0</v>
      </c>
      <c r="O603" t="n">
        <v>0</v>
      </c>
      <c r="P603" t="n">
        <v>0</v>
      </c>
      <c r="Q603" t="n">
        <v>0</v>
      </c>
      <c r="R603" s="2" t="inlineStr"/>
    </row>
    <row r="604" ht="15" customHeight="1">
      <c r="A604" t="inlineStr">
        <is>
          <t>A 9623-2024</t>
        </is>
      </c>
      <c r="B604" s="1" t="n">
        <v>45361.87975694444</v>
      </c>
      <c r="C604" s="1" t="n">
        <v>45974</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31987-2025</t>
        </is>
      </c>
      <c r="B605" s="1" t="n">
        <v>45835.36229166666</v>
      </c>
      <c r="C605" s="1" t="n">
        <v>45974</v>
      </c>
      <c r="D605" t="inlineStr">
        <is>
          <t>KALMAR LÄN</t>
        </is>
      </c>
      <c r="E605" t="inlineStr">
        <is>
          <t>VIMMERBY</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32077-2025</t>
        </is>
      </c>
      <c r="B606" s="1" t="n">
        <v>45835.45099537037</v>
      </c>
      <c r="C606" s="1" t="n">
        <v>45974</v>
      </c>
      <c r="D606" t="inlineStr">
        <is>
          <t>KALMAR LÄN</t>
        </is>
      </c>
      <c r="E606" t="inlineStr">
        <is>
          <t>VIMMERBY</t>
        </is>
      </c>
      <c r="G606" t="n">
        <v>1.8</v>
      </c>
      <c r="H606" t="n">
        <v>0</v>
      </c>
      <c r="I606" t="n">
        <v>0</v>
      </c>
      <c r="J606" t="n">
        <v>0</v>
      </c>
      <c r="K606" t="n">
        <v>0</v>
      </c>
      <c r="L606" t="n">
        <v>0</v>
      </c>
      <c r="M606" t="n">
        <v>0</v>
      </c>
      <c r="N606" t="n">
        <v>0</v>
      </c>
      <c r="O606" t="n">
        <v>0</v>
      </c>
      <c r="P606" t="n">
        <v>0</v>
      </c>
      <c r="Q606" t="n">
        <v>0</v>
      </c>
      <c r="R606" s="2" t="inlineStr"/>
    </row>
    <row r="607" ht="15" customHeight="1">
      <c r="A607" t="inlineStr">
        <is>
          <t>A 32120-2025</t>
        </is>
      </c>
      <c r="B607" s="1" t="n">
        <v>45835.4924537037</v>
      </c>
      <c r="C607" s="1" t="n">
        <v>45974</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31876-2025</t>
        </is>
      </c>
      <c r="B608" s="1" t="n">
        <v>45834.65197916667</v>
      </c>
      <c r="C608" s="1" t="n">
        <v>45974</v>
      </c>
      <c r="D608" t="inlineStr">
        <is>
          <t>KALMAR LÄN</t>
        </is>
      </c>
      <c r="E608" t="inlineStr">
        <is>
          <t>VIMMERBY</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29726-2025</t>
        </is>
      </c>
      <c r="B609" s="1" t="n">
        <v>45825.57805555555</v>
      </c>
      <c r="C609" s="1" t="n">
        <v>45974</v>
      </c>
      <c r="D609" t="inlineStr">
        <is>
          <t>KALMAR LÄN</t>
        </is>
      </c>
      <c r="E609" t="inlineStr">
        <is>
          <t>VIMMERBY</t>
        </is>
      </c>
      <c r="G609" t="n">
        <v>2</v>
      </c>
      <c r="H609" t="n">
        <v>0</v>
      </c>
      <c r="I609" t="n">
        <v>0</v>
      </c>
      <c r="J609" t="n">
        <v>0</v>
      </c>
      <c r="K609" t="n">
        <v>0</v>
      </c>
      <c r="L609" t="n">
        <v>0</v>
      </c>
      <c r="M609" t="n">
        <v>0</v>
      </c>
      <c r="N609" t="n">
        <v>0</v>
      </c>
      <c r="O609" t="n">
        <v>0</v>
      </c>
      <c r="P609" t="n">
        <v>0</v>
      </c>
      <c r="Q609" t="n">
        <v>0</v>
      </c>
      <c r="R609" s="2" t="inlineStr"/>
    </row>
    <row r="610" ht="15" customHeight="1">
      <c r="A610" t="inlineStr">
        <is>
          <t>A 58967-2022</t>
        </is>
      </c>
      <c r="B610" s="1" t="n">
        <v>44896</v>
      </c>
      <c r="C610" s="1" t="n">
        <v>45974</v>
      </c>
      <c r="D610" t="inlineStr">
        <is>
          <t>KALMAR LÄN</t>
        </is>
      </c>
      <c r="E610" t="inlineStr">
        <is>
          <t>VIMMERBY</t>
        </is>
      </c>
      <c r="G610" t="n">
        <v>5</v>
      </c>
      <c r="H610" t="n">
        <v>0</v>
      </c>
      <c r="I610" t="n">
        <v>0</v>
      </c>
      <c r="J610" t="n">
        <v>0</v>
      </c>
      <c r="K610" t="n">
        <v>0</v>
      </c>
      <c r="L610" t="n">
        <v>0</v>
      </c>
      <c r="M610" t="n">
        <v>0</v>
      </c>
      <c r="N610" t="n">
        <v>0</v>
      </c>
      <c r="O610" t="n">
        <v>0</v>
      </c>
      <c r="P610" t="n">
        <v>0</v>
      </c>
      <c r="Q610" t="n">
        <v>0</v>
      </c>
      <c r="R610" s="2" t="inlineStr"/>
    </row>
    <row r="611" ht="15" customHeight="1">
      <c r="A611" t="inlineStr">
        <is>
          <t>A 40823-2023</t>
        </is>
      </c>
      <c r="B611" s="1" t="n">
        <v>45171.77335648148</v>
      </c>
      <c r="C611" s="1" t="n">
        <v>45974</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6218-2025</t>
        </is>
      </c>
      <c r="B612" s="1" t="n">
        <v>45698.53336805556</v>
      </c>
      <c r="C612" s="1" t="n">
        <v>45974</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30920-2023</t>
        </is>
      </c>
      <c r="B613" s="1" t="n">
        <v>45113.43921296296</v>
      </c>
      <c r="C613" s="1" t="n">
        <v>45974</v>
      </c>
      <c r="D613" t="inlineStr">
        <is>
          <t>KALMAR LÄN</t>
        </is>
      </c>
      <c r="E613" t="inlineStr">
        <is>
          <t>VIMMERBY</t>
        </is>
      </c>
      <c r="G613" t="n">
        <v>3.1</v>
      </c>
      <c r="H613" t="n">
        <v>0</v>
      </c>
      <c r="I613" t="n">
        <v>0</v>
      </c>
      <c r="J613" t="n">
        <v>0</v>
      </c>
      <c r="K613" t="n">
        <v>0</v>
      </c>
      <c r="L613" t="n">
        <v>0</v>
      </c>
      <c r="M613" t="n">
        <v>0</v>
      </c>
      <c r="N613" t="n">
        <v>0</v>
      </c>
      <c r="O613" t="n">
        <v>0</v>
      </c>
      <c r="P613" t="n">
        <v>0</v>
      </c>
      <c r="Q613" t="n">
        <v>0</v>
      </c>
      <c r="R613" s="2" t="inlineStr"/>
    </row>
    <row r="614" ht="15" customHeight="1">
      <c r="A614" t="inlineStr">
        <is>
          <t>A 6399-2025</t>
        </is>
      </c>
      <c r="B614" s="1" t="n">
        <v>45699.44291666667</v>
      </c>
      <c r="C614" s="1" t="n">
        <v>45974</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31355-2023</t>
        </is>
      </c>
      <c r="B615" s="1" t="n">
        <v>45114.49505787037</v>
      </c>
      <c r="C615" s="1" t="n">
        <v>45974</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66295-2020</t>
        </is>
      </c>
      <c r="B616" s="1" t="n">
        <v>44176</v>
      </c>
      <c r="C616" s="1" t="n">
        <v>45974</v>
      </c>
      <c r="D616" t="inlineStr">
        <is>
          <t>KALMAR LÄN</t>
        </is>
      </c>
      <c r="E616" t="inlineStr">
        <is>
          <t>VIMMERBY</t>
        </is>
      </c>
      <c r="G616" t="n">
        <v>4.1</v>
      </c>
      <c r="H616" t="n">
        <v>0</v>
      </c>
      <c r="I616" t="n">
        <v>0</v>
      </c>
      <c r="J616" t="n">
        <v>0</v>
      </c>
      <c r="K616" t="n">
        <v>0</v>
      </c>
      <c r="L616" t="n">
        <v>0</v>
      </c>
      <c r="M616" t="n">
        <v>0</v>
      </c>
      <c r="N616" t="n">
        <v>0</v>
      </c>
      <c r="O616" t="n">
        <v>0</v>
      </c>
      <c r="P616" t="n">
        <v>0</v>
      </c>
      <c r="Q616" t="n">
        <v>0</v>
      </c>
      <c r="R616" s="2" t="inlineStr"/>
    </row>
    <row r="617" ht="15" customHeight="1">
      <c r="A617" t="inlineStr">
        <is>
          <t>A 30400-2023</t>
        </is>
      </c>
      <c r="B617" s="1" t="n">
        <v>45111.48225694444</v>
      </c>
      <c r="C617" s="1" t="n">
        <v>45974</v>
      </c>
      <c r="D617" t="inlineStr">
        <is>
          <t>KALMAR LÄN</t>
        </is>
      </c>
      <c r="E617" t="inlineStr">
        <is>
          <t>VIMMERBY</t>
        </is>
      </c>
      <c r="G617" t="n">
        <v>2.7</v>
      </c>
      <c r="H617" t="n">
        <v>0</v>
      </c>
      <c r="I617" t="n">
        <v>0</v>
      </c>
      <c r="J617" t="n">
        <v>0</v>
      </c>
      <c r="K617" t="n">
        <v>0</v>
      </c>
      <c r="L617" t="n">
        <v>0</v>
      </c>
      <c r="M617" t="n">
        <v>0</v>
      </c>
      <c r="N617" t="n">
        <v>0</v>
      </c>
      <c r="O617" t="n">
        <v>0</v>
      </c>
      <c r="P617" t="n">
        <v>0</v>
      </c>
      <c r="Q617" t="n">
        <v>0</v>
      </c>
      <c r="R617" s="2" t="inlineStr"/>
    </row>
    <row r="618" ht="15" customHeight="1">
      <c r="A618" t="inlineStr">
        <is>
          <t>A 30404-2023</t>
        </is>
      </c>
      <c r="B618" s="1" t="n">
        <v>45111.48636574074</v>
      </c>
      <c r="C618" s="1" t="n">
        <v>45974</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6857-2023</t>
        </is>
      </c>
      <c r="B619" s="1" t="n">
        <v>44967.45122685185</v>
      </c>
      <c r="C619" s="1" t="n">
        <v>45974</v>
      </c>
      <c r="D619" t="inlineStr">
        <is>
          <t>KALMAR LÄN</t>
        </is>
      </c>
      <c r="E619" t="inlineStr">
        <is>
          <t>VIMMERBY</t>
        </is>
      </c>
      <c r="G619" t="n">
        <v>2.1</v>
      </c>
      <c r="H619" t="n">
        <v>0</v>
      </c>
      <c r="I619" t="n">
        <v>0</v>
      </c>
      <c r="J619" t="n">
        <v>0</v>
      </c>
      <c r="K619" t="n">
        <v>0</v>
      </c>
      <c r="L619" t="n">
        <v>0</v>
      </c>
      <c r="M619" t="n">
        <v>0</v>
      </c>
      <c r="N619" t="n">
        <v>0</v>
      </c>
      <c r="O619" t="n">
        <v>0</v>
      </c>
      <c r="P619" t="n">
        <v>0</v>
      </c>
      <c r="Q619" t="n">
        <v>0</v>
      </c>
      <c r="R619" s="2" t="inlineStr"/>
    </row>
    <row r="620" ht="15" customHeight="1">
      <c r="A620" t="inlineStr">
        <is>
          <t>A 27705-2023</t>
        </is>
      </c>
      <c r="B620" s="1" t="n">
        <v>45098.30535879629</v>
      </c>
      <c r="C620" s="1" t="n">
        <v>45974</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39801-2025</t>
        </is>
      </c>
      <c r="B621" s="1" t="n">
        <v>45891.50216435185</v>
      </c>
      <c r="C621" s="1" t="n">
        <v>45974</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47955-2025</t>
        </is>
      </c>
      <c r="B622" s="1" t="n">
        <v>45932.58896990741</v>
      </c>
      <c r="C622" s="1" t="n">
        <v>45974</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32380-2025</t>
        </is>
      </c>
      <c r="B623" s="1" t="n">
        <v>45837.77701388889</v>
      </c>
      <c r="C623" s="1" t="n">
        <v>45974</v>
      </c>
      <c r="D623" t="inlineStr">
        <is>
          <t>KALMAR LÄN</t>
        </is>
      </c>
      <c r="E623" t="inlineStr">
        <is>
          <t>VIMMERBY</t>
        </is>
      </c>
      <c r="G623" t="n">
        <v>3.1</v>
      </c>
      <c r="H623" t="n">
        <v>0</v>
      </c>
      <c r="I623" t="n">
        <v>0</v>
      </c>
      <c r="J623" t="n">
        <v>0</v>
      </c>
      <c r="K623" t="n">
        <v>0</v>
      </c>
      <c r="L623" t="n">
        <v>0</v>
      </c>
      <c r="M623" t="n">
        <v>0</v>
      </c>
      <c r="N623" t="n">
        <v>0</v>
      </c>
      <c r="O623" t="n">
        <v>0</v>
      </c>
      <c r="P623" t="n">
        <v>0</v>
      </c>
      <c r="Q623" t="n">
        <v>0</v>
      </c>
      <c r="R623" s="2" t="inlineStr"/>
    </row>
    <row r="624" ht="15" customHeight="1">
      <c r="A624" t="inlineStr">
        <is>
          <t>A 39807-2025</t>
        </is>
      </c>
      <c r="B624" s="1" t="n">
        <v>45891.50986111111</v>
      </c>
      <c r="C624" s="1" t="n">
        <v>45974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33186-2025</t>
        </is>
      </c>
      <c r="B625" s="1" t="n">
        <v>45840.59474537037</v>
      </c>
      <c r="C625" s="1" t="n">
        <v>45974</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39736-2025</t>
        </is>
      </c>
      <c r="B626" s="1" t="n">
        <v>45891</v>
      </c>
      <c r="C626" s="1" t="n">
        <v>45974</v>
      </c>
      <c r="D626" t="inlineStr">
        <is>
          <t>KALMAR LÄN</t>
        </is>
      </c>
      <c r="E626" t="inlineStr">
        <is>
          <t>VIMMERBY</t>
        </is>
      </c>
      <c r="G626" t="n">
        <v>12.8</v>
      </c>
      <c r="H626" t="n">
        <v>0</v>
      </c>
      <c r="I626" t="n">
        <v>0</v>
      </c>
      <c r="J626" t="n">
        <v>0</v>
      </c>
      <c r="K626" t="n">
        <v>0</v>
      </c>
      <c r="L626" t="n">
        <v>0</v>
      </c>
      <c r="M626" t="n">
        <v>0</v>
      </c>
      <c r="N626" t="n">
        <v>0</v>
      </c>
      <c r="O626" t="n">
        <v>0</v>
      </c>
      <c r="P626" t="n">
        <v>0</v>
      </c>
      <c r="Q626" t="n">
        <v>0</v>
      </c>
      <c r="R626" s="2" t="inlineStr"/>
    </row>
    <row r="627" ht="15" customHeight="1">
      <c r="A627" t="inlineStr">
        <is>
          <t>A 33695-2025</t>
        </is>
      </c>
      <c r="B627" s="1" t="n">
        <v>45841.70569444444</v>
      </c>
      <c r="C627" s="1" t="n">
        <v>45974</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33698-2025</t>
        </is>
      </c>
      <c r="B628" s="1" t="n">
        <v>45841.70868055556</v>
      </c>
      <c r="C628" s="1" t="n">
        <v>45974</v>
      </c>
      <c r="D628" t="inlineStr">
        <is>
          <t>KALMAR LÄN</t>
        </is>
      </c>
      <c r="E628" t="inlineStr">
        <is>
          <t>VIMMERBY</t>
        </is>
      </c>
      <c r="G628" t="n">
        <v>3.7</v>
      </c>
      <c r="H628" t="n">
        <v>0</v>
      </c>
      <c r="I628" t="n">
        <v>0</v>
      </c>
      <c r="J628" t="n">
        <v>0</v>
      </c>
      <c r="K628" t="n">
        <v>0</v>
      </c>
      <c r="L628" t="n">
        <v>0</v>
      </c>
      <c r="M628" t="n">
        <v>0</v>
      </c>
      <c r="N628" t="n">
        <v>0</v>
      </c>
      <c r="O628" t="n">
        <v>0</v>
      </c>
      <c r="P628" t="n">
        <v>0</v>
      </c>
      <c r="Q628" t="n">
        <v>0</v>
      </c>
      <c r="R628" s="2" t="inlineStr"/>
    </row>
    <row r="629" ht="15" customHeight="1">
      <c r="A629" t="inlineStr">
        <is>
          <t>A 30977-2025</t>
        </is>
      </c>
      <c r="B629" s="1" t="n">
        <v>45832.46649305556</v>
      </c>
      <c r="C629" s="1" t="n">
        <v>45974</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36843-2023</t>
        </is>
      </c>
      <c r="B630" s="1" t="n">
        <v>45154.49831018518</v>
      </c>
      <c r="C630" s="1" t="n">
        <v>45974</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5792-2023</t>
        </is>
      </c>
      <c r="B631" s="1" t="n">
        <v>44963.44769675926</v>
      </c>
      <c r="C631" s="1" t="n">
        <v>45974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10303-2025</t>
        </is>
      </c>
      <c r="B632" s="1" t="n">
        <v>45720.44217592593</v>
      </c>
      <c r="C632" s="1" t="n">
        <v>45974</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33696-2025</t>
        </is>
      </c>
      <c r="B633" s="1" t="n">
        <v>45841.7072337963</v>
      </c>
      <c r="C633" s="1" t="n">
        <v>45974</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47965-2025</t>
        </is>
      </c>
      <c r="B634" s="1" t="n">
        <v>45932.59597222223</v>
      </c>
      <c r="C634" s="1" t="n">
        <v>45974</v>
      </c>
      <c r="D634" t="inlineStr">
        <is>
          <t>KALMAR LÄN</t>
        </is>
      </c>
      <c r="E634" t="inlineStr">
        <is>
          <t>VIMMERBY</t>
        </is>
      </c>
      <c r="G634" t="n">
        <v>2.2</v>
      </c>
      <c r="H634" t="n">
        <v>0</v>
      </c>
      <c r="I634" t="n">
        <v>0</v>
      </c>
      <c r="J634" t="n">
        <v>0</v>
      </c>
      <c r="K634" t="n">
        <v>0</v>
      </c>
      <c r="L634" t="n">
        <v>0</v>
      </c>
      <c r="M634" t="n">
        <v>0</v>
      </c>
      <c r="N634" t="n">
        <v>0</v>
      </c>
      <c r="O634" t="n">
        <v>0</v>
      </c>
      <c r="P634" t="n">
        <v>0</v>
      </c>
      <c r="Q634" t="n">
        <v>0</v>
      </c>
      <c r="R634" s="2" t="inlineStr"/>
    </row>
    <row r="635" ht="15" customHeight="1">
      <c r="A635" t="inlineStr">
        <is>
          <t>A 60110-2022</t>
        </is>
      </c>
      <c r="B635" s="1" t="n">
        <v>44909</v>
      </c>
      <c r="C635" s="1" t="n">
        <v>45974</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15394-2025</t>
        </is>
      </c>
      <c r="B636" s="1" t="n">
        <v>45747.43196759259</v>
      </c>
      <c r="C636" s="1" t="n">
        <v>45974</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15388-2025</t>
        </is>
      </c>
      <c r="B637" s="1" t="n">
        <v>45747.42633101852</v>
      </c>
      <c r="C637" s="1" t="n">
        <v>45974</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15391-2025</t>
        </is>
      </c>
      <c r="B638" s="1" t="n">
        <v>45747.42958333333</v>
      </c>
      <c r="C638" s="1" t="n">
        <v>45974</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6474-2025</t>
        </is>
      </c>
      <c r="B639" s="1" t="n">
        <v>45699.60055555555</v>
      </c>
      <c r="C639" s="1" t="n">
        <v>45974</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32919-2022</t>
        </is>
      </c>
      <c r="B640" s="1" t="n">
        <v>44784.62724537037</v>
      </c>
      <c r="C640" s="1" t="n">
        <v>45974</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10785-2025</t>
        </is>
      </c>
      <c r="B641" s="1" t="n">
        <v>45722.48634259259</v>
      </c>
      <c r="C641" s="1" t="n">
        <v>45974</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29017-2024</t>
        </is>
      </c>
      <c r="B642" s="1" t="n">
        <v>45481.56722222222</v>
      </c>
      <c r="C642" s="1" t="n">
        <v>45974</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23263-2024</t>
        </is>
      </c>
      <c r="B643" s="1" t="n">
        <v>45453.36854166666</v>
      </c>
      <c r="C643" s="1" t="n">
        <v>45974</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48299-2025</t>
        </is>
      </c>
      <c r="B644" s="1" t="n">
        <v>45933.60982638889</v>
      </c>
      <c r="C644" s="1" t="n">
        <v>45974</v>
      </c>
      <c r="D644" t="inlineStr">
        <is>
          <t>KALMAR LÄN</t>
        </is>
      </c>
      <c r="E644" t="inlineStr">
        <is>
          <t>VIMMERBY</t>
        </is>
      </c>
      <c r="G644" t="n">
        <v>1.8</v>
      </c>
      <c r="H644" t="n">
        <v>0</v>
      </c>
      <c r="I644" t="n">
        <v>0</v>
      </c>
      <c r="J644" t="n">
        <v>0</v>
      </c>
      <c r="K644" t="n">
        <v>0</v>
      </c>
      <c r="L644" t="n">
        <v>0</v>
      </c>
      <c r="M644" t="n">
        <v>0</v>
      </c>
      <c r="N644" t="n">
        <v>0</v>
      </c>
      <c r="O644" t="n">
        <v>0</v>
      </c>
      <c r="P644" t="n">
        <v>0</v>
      </c>
      <c r="Q644" t="n">
        <v>0</v>
      </c>
      <c r="R644" s="2" t="inlineStr"/>
    </row>
    <row r="645" ht="15" customHeight="1">
      <c r="A645" t="inlineStr">
        <is>
          <t>A 11074-2023</t>
        </is>
      </c>
      <c r="B645" s="1" t="n">
        <v>44992.34151620371</v>
      </c>
      <c r="C645" s="1" t="n">
        <v>45974</v>
      </c>
      <c r="D645" t="inlineStr">
        <is>
          <t>KALMAR LÄN</t>
        </is>
      </c>
      <c r="E645" t="inlineStr">
        <is>
          <t>VIMMERBY</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26956-2025</t>
        </is>
      </c>
      <c r="B646" s="1" t="n">
        <v>45811.45460648148</v>
      </c>
      <c r="C646" s="1" t="n">
        <v>45974</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61939-2021</t>
        </is>
      </c>
      <c r="B647" s="1" t="n">
        <v>44502</v>
      </c>
      <c r="C647" s="1" t="n">
        <v>45974</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12215-2024</t>
        </is>
      </c>
      <c r="B648" s="1" t="n">
        <v>45378.32185185186</v>
      </c>
      <c r="C648" s="1" t="n">
        <v>45974</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39803-2025</t>
        </is>
      </c>
      <c r="B649" s="1" t="n">
        <v>45891.50525462963</v>
      </c>
      <c r="C649" s="1" t="n">
        <v>45974</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39889-2025</t>
        </is>
      </c>
      <c r="B650" s="1" t="n">
        <v>45891</v>
      </c>
      <c r="C650" s="1" t="n">
        <v>45974</v>
      </c>
      <c r="D650" t="inlineStr">
        <is>
          <t>KALMAR LÄN</t>
        </is>
      </c>
      <c r="E650" t="inlineStr">
        <is>
          <t>VIMMERBY</t>
        </is>
      </c>
      <c r="G650" t="n">
        <v>4.5</v>
      </c>
      <c r="H650" t="n">
        <v>0</v>
      </c>
      <c r="I650" t="n">
        <v>0</v>
      </c>
      <c r="J650" t="n">
        <v>0</v>
      </c>
      <c r="K650" t="n">
        <v>0</v>
      </c>
      <c r="L650" t="n">
        <v>0</v>
      </c>
      <c r="M650" t="n">
        <v>0</v>
      </c>
      <c r="N650" t="n">
        <v>0</v>
      </c>
      <c r="O650" t="n">
        <v>0</v>
      </c>
      <c r="P650" t="n">
        <v>0</v>
      </c>
      <c r="Q650" t="n">
        <v>0</v>
      </c>
      <c r="R650" s="2" t="inlineStr"/>
    </row>
    <row r="651" ht="15" customHeight="1">
      <c r="A651" t="inlineStr">
        <is>
          <t>A 11303-2025</t>
        </is>
      </c>
      <c r="B651" s="1" t="n">
        <v>45726.44471064815</v>
      </c>
      <c r="C651" s="1" t="n">
        <v>45974</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34071-2025</t>
        </is>
      </c>
      <c r="B652" s="1" t="n">
        <v>45845.43803240741</v>
      </c>
      <c r="C652" s="1" t="n">
        <v>45974</v>
      </c>
      <c r="D652" t="inlineStr">
        <is>
          <t>KALMAR LÄN</t>
        </is>
      </c>
      <c r="E652" t="inlineStr">
        <is>
          <t>VIMMERBY</t>
        </is>
      </c>
      <c r="G652" t="n">
        <v>6.8</v>
      </c>
      <c r="H652" t="n">
        <v>0</v>
      </c>
      <c r="I652" t="n">
        <v>0</v>
      </c>
      <c r="J652" t="n">
        <v>0</v>
      </c>
      <c r="K652" t="n">
        <v>0</v>
      </c>
      <c r="L652" t="n">
        <v>0</v>
      </c>
      <c r="M652" t="n">
        <v>0</v>
      </c>
      <c r="N652" t="n">
        <v>0</v>
      </c>
      <c r="O652" t="n">
        <v>0</v>
      </c>
      <c r="P652" t="n">
        <v>0</v>
      </c>
      <c r="Q652" t="n">
        <v>0</v>
      </c>
      <c r="R652" s="2" t="inlineStr"/>
    </row>
    <row r="653" ht="15" customHeight="1">
      <c r="A653" t="inlineStr">
        <is>
          <t>A 34106-2025</t>
        </is>
      </c>
      <c r="B653" s="1" t="n">
        <v>45845.49414351852</v>
      </c>
      <c r="C653" s="1" t="n">
        <v>45974</v>
      </c>
      <c r="D653" t="inlineStr">
        <is>
          <t>KALMAR LÄN</t>
        </is>
      </c>
      <c r="E653" t="inlineStr">
        <is>
          <t>VIMMERBY</t>
        </is>
      </c>
      <c r="G653" t="n">
        <v>6</v>
      </c>
      <c r="H653" t="n">
        <v>0</v>
      </c>
      <c r="I653" t="n">
        <v>0</v>
      </c>
      <c r="J653" t="n">
        <v>0</v>
      </c>
      <c r="K653" t="n">
        <v>0</v>
      </c>
      <c r="L653" t="n">
        <v>0</v>
      </c>
      <c r="M653" t="n">
        <v>0</v>
      </c>
      <c r="N653" t="n">
        <v>0</v>
      </c>
      <c r="O653" t="n">
        <v>0</v>
      </c>
      <c r="P653" t="n">
        <v>0</v>
      </c>
      <c r="Q653" t="n">
        <v>0</v>
      </c>
      <c r="R653" s="2" t="inlineStr"/>
    </row>
    <row r="654" ht="15" customHeight="1">
      <c r="A654" t="inlineStr">
        <is>
          <t>A 28702-2025</t>
        </is>
      </c>
      <c r="B654" s="1" t="n">
        <v>45820.03976851852</v>
      </c>
      <c r="C654" s="1" t="n">
        <v>45974</v>
      </c>
      <c r="D654" t="inlineStr">
        <is>
          <t>KALMAR LÄN</t>
        </is>
      </c>
      <c r="E654" t="inlineStr">
        <is>
          <t>VIMMERBY</t>
        </is>
      </c>
      <c r="G654" t="n">
        <v>2.1</v>
      </c>
      <c r="H654" t="n">
        <v>0</v>
      </c>
      <c r="I654" t="n">
        <v>0</v>
      </c>
      <c r="J654" t="n">
        <v>0</v>
      </c>
      <c r="K654" t="n">
        <v>0</v>
      </c>
      <c r="L654" t="n">
        <v>0</v>
      </c>
      <c r="M654" t="n">
        <v>0</v>
      </c>
      <c r="N654" t="n">
        <v>0</v>
      </c>
      <c r="O654" t="n">
        <v>0</v>
      </c>
      <c r="P654" t="n">
        <v>0</v>
      </c>
      <c r="Q654" t="n">
        <v>0</v>
      </c>
      <c r="R654" s="2" t="inlineStr"/>
    </row>
    <row r="655" ht="15" customHeight="1">
      <c r="A655" t="inlineStr">
        <is>
          <t>A 12033-2024</t>
        </is>
      </c>
      <c r="B655" s="1" t="n">
        <v>45377.40043981482</v>
      </c>
      <c r="C655" s="1" t="n">
        <v>45974</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51408-2023</t>
        </is>
      </c>
      <c r="B656" s="1" t="n">
        <v>45219.69356481481</v>
      </c>
      <c r="C656" s="1" t="n">
        <v>45974</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48723-2025</t>
        </is>
      </c>
      <c r="B657" s="1" t="n">
        <v>45936.65121527778</v>
      </c>
      <c r="C657" s="1" t="n">
        <v>45974</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48600-2025</t>
        </is>
      </c>
      <c r="B658" s="1" t="n">
        <v>45935</v>
      </c>
      <c r="C658" s="1" t="n">
        <v>45974</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49488-2023</t>
        </is>
      </c>
      <c r="B659" s="1" t="n">
        <v>45211.55472222222</v>
      </c>
      <c r="C659" s="1" t="n">
        <v>45974</v>
      </c>
      <c r="D659" t="inlineStr">
        <is>
          <t>KALMAR LÄN</t>
        </is>
      </c>
      <c r="E659" t="inlineStr">
        <is>
          <t>VIMMERBY</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8410-2023</t>
        </is>
      </c>
      <c r="B660" s="1" t="n">
        <v>44977</v>
      </c>
      <c r="C660" s="1" t="n">
        <v>45974</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48408-2025</t>
        </is>
      </c>
      <c r="B661" s="1" t="n">
        <v>45934.40527777778</v>
      </c>
      <c r="C661" s="1" t="n">
        <v>45974</v>
      </c>
      <c r="D661" t="inlineStr">
        <is>
          <t>KALMAR LÄN</t>
        </is>
      </c>
      <c r="E661" t="inlineStr">
        <is>
          <t>VIMMERBY</t>
        </is>
      </c>
      <c r="G661" t="n">
        <v>2.4</v>
      </c>
      <c r="H661" t="n">
        <v>0</v>
      </c>
      <c r="I661" t="n">
        <v>0</v>
      </c>
      <c r="J661" t="n">
        <v>0</v>
      </c>
      <c r="K661" t="n">
        <v>0</v>
      </c>
      <c r="L661" t="n">
        <v>0</v>
      </c>
      <c r="M661" t="n">
        <v>0</v>
      </c>
      <c r="N661" t="n">
        <v>0</v>
      </c>
      <c r="O661" t="n">
        <v>0</v>
      </c>
      <c r="P661" t="n">
        <v>0</v>
      </c>
      <c r="Q661" t="n">
        <v>0</v>
      </c>
      <c r="R661" s="2" t="inlineStr"/>
    </row>
    <row r="662" ht="15" customHeight="1">
      <c r="A662" t="inlineStr">
        <is>
          <t>A 48409-2025</t>
        </is>
      </c>
      <c r="B662" s="1" t="n">
        <v>45934.41387731482</v>
      </c>
      <c r="C662" s="1" t="n">
        <v>45974</v>
      </c>
      <c r="D662" t="inlineStr">
        <is>
          <t>KALMAR LÄN</t>
        </is>
      </c>
      <c r="E662" t="inlineStr">
        <is>
          <t>VIMMERBY</t>
        </is>
      </c>
      <c r="G662" t="n">
        <v>1.2</v>
      </c>
      <c r="H662" t="n">
        <v>0</v>
      </c>
      <c r="I662" t="n">
        <v>0</v>
      </c>
      <c r="J662" t="n">
        <v>0</v>
      </c>
      <c r="K662" t="n">
        <v>0</v>
      </c>
      <c r="L662" t="n">
        <v>0</v>
      </c>
      <c r="M662" t="n">
        <v>0</v>
      </c>
      <c r="N662" t="n">
        <v>0</v>
      </c>
      <c r="O662" t="n">
        <v>0</v>
      </c>
      <c r="P662" t="n">
        <v>0</v>
      </c>
      <c r="Q662" t="n">
        <v>0</v>
      </c>
      <c r="R662" s="2" t="inlineStr"/>
    </row>
    <row r="663" ht="15" customHeight="1">
      <c r="A663" t="inlineStr">
        <is>
          <t>A 30920-2024</t>
        </is>
      </c>
      <c r="B663" s="1" t="n">
        <v>45498.673125</v>
      </c>
      <c r="C663" s="1" t="n">
        <v>45974</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34628-2025</t>
        </is>
      </c>
      <c r="B664" s="1" t="n">
        <v>45847.91280092593</v>
      </c>
      <c r="C664" s="1" t="n">
        <v>45974</v>
      </c>
      <c r="D664" t="inlineStr">
        <is>
          <t>KALMAR LÄN</t>
        </is>
      </c>
      <c r="E664" t="inlineStr">
        <is>
          <t>VIMMERBY</t>
        </is>
      </c>
      <c r="G664" t="n">
        <v>4.2</v>
      </c>
      <c r="H664" t="n">
        <v>0</v>
      </c>
      <c r="I664" t="n">
        <v>0</v>
      </c>
      <c r="J664" t="n">
        <v>0</v>
      </c>
      <c r="K664" t="n">
        <v>0</v>
      </c>
      <c r="L664" t="n">
        <v>0</v>
      </c>
      <c r="M664" t="n">
        <v>0</v>
      </c>
      <c r="N664" t="n">
        <v>0</v>
      </c>
      <c r="O664" t="n">
        <v>0</v>
      </c>
      <c r="P664" t="n">
        <v>0</v>
      </c>
      <c r="Q664" t="n">
        <v>0</v>
      </c>
      <c r="R664" s="2" t="inlineStr"/>
    </row>
    <row r="665" ht="15" customHeight="1">
      <c r="A665" t="inlineStr">
        <is>
          <t>A 48712-2025</t>
        </is>
      </c>
      <c r="B665" s="1" t="n">
        <v>45936.63373842592</v>
      </c>
      <c r="C665" s="1" t="n">
        <v>45974</v>
      </c>
      <c r="D665" t="inlineStr">
        <is>
          <t>KALMAR LÄN</t>
        </is>
      </c>
      <c r="E665" t="inlineStr">
        <is>
          <t>VIMMERBY</t>
        </is>
      </c>
      <c r="G665" t="n">
        <v>3</v>
      </c>
      <c r="H665" t="n">
        <v>0</v>
      </c>
      <c r="I665" t="n">
        <v>0</v>
      </c>
      <c r="J665" t="n">
        <v>0</v>
      </c>
      <c r="K665" t="n">
        <v>0</v>
      </c>
      <c r="L665" t="n">
        <v>0</v>
      </c>
      <c r="M665" t="n">
        <v>0</v>
      </c>
      <c r="N665" t="n">
        <v>0</v>
      </c>
      <c r="O665" t="n">
        <v>0</v>
      </c>
      <c r="P665" t="n">
        <v>0</v>
      </c>
      <c r="Q665" t="n">
        <v>0</v>
      </c>
      <c r="R665" s="2" t="inlineStr"/>
    </row>
    <row r="666" ht="15" customHeight="1">
      <c r="A666" t="inlineStr">
        <is>
          <t>A 40929-2022</t>
        </is>
      </c>
      <c r="B666" s="1" t="n">
        <v>44825.4336574074</v>
      </c>
      <c r="C666" s="1" t="n">
        <v>45974</v>
      </c>
      <c r="D666" t="inlineStr">
        <is>
          <t>KALMAR LÄN</t>
        </is>
      </c>
      <c r="E666" t="inlineStr">
        <is>
          <t>VIMMERBY</t>
        </is>
      </c>
      <c r="G666" t="n">
        <v>2.5</v>
      </c>
      <c r="H666" t="n">
        <v>0</v>
      </c>
      <c r="I666" t="n">
        <v>0</v>
      </c>
      <c r="J666" t="n">
        <v>0</v>
      </c>
      <c r="K666" t="n">
        <v>0</v>
      </c>
      <c r="L666" t="n">
        <v>0</v>
      </c>
      <c r="M666" t="n">
        <v>0</v>
      </c>
      <c r="N666" t="n">
        <v>0</v>
      </c>
      <c r="O666" t="n">
        <v>0</v>
      </c>
      <c r="P666" t="n">
        <v>0</v>
      </c>
      <c r="Q666" t="n">
        <v>0</v>
      </c>
      <c r="R666" s="2" t="inlineStr"/>
    </row>
    <row r="667" ht="15" customHeight="1">
      <c r="A667" t="inlineStr">
        <is>
          <t>A 50091-2023</t>
        </is>
      </c>
      <c r="B667" s="1" t="n">
        <v>45215.60199074074</v>
      </c>
      <c r="C667" s="1" t="n">
        <v>45974</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36008-2024</t>
        </is>
      </c>
      <c r="B668" s="1" t="n">
        <v>45533.55362268518</v>
      </c>
      <c r="C668" s="1" t="n">
        <v>45974</v>
      </c>
      <c r="D668" t="inlineStr">
        <is>
          <t>KALMAR LÄN</t>
        </is>
      </c>
      <c r="E668" t="inlineStr">
        <is>
          <t>VIMMERBY</t>
        </is>
      </c>
      <c r="G668" t="n">
        <v>3.7</v>
      </c>
      <c r="H668" t="n">
        <v>0</v>
      </c>
      <c r="I668" t="n">
        <v>0</v>
      </c>
      <c r="J668" t="n">
        <v>0</v>
      </c>
      <c r="K668" t="n">
        <v>0</v>
      </c>
      <c r="L668" t="n">
        <v>0</v>
      </c>
      <c r="M668" t="n">
        <v>0</v>
      </c>
      <c r="N668" t="n">
        <v>0</v>
      </c>
      <c r="O668" t="n">
        <v>0</v>
      </c>
      <c r="P668" t="n">
        <v>0</v>
      </c>
      <c r="Q668" t="n">
        <v>0</v>
      </c>
      <c r="R668" s="2" t="inlineStr"/>
    </row>
    <row r="669" ht="15" customHeight="1">
      <c r="A669" t="inlineStr">
        <is>
          <t>A 40925-2025</t>
        </is>
      </c>
      <c r="B669" s="1" t="n">
        <v>45897.64208333333</v>
      </c>
      <c r="C669" s="1" t="n">
        <v>45974</v>
      </c>
      <c r="D669" t="inlineStr">
        <is>
          <t>KALMAR LÄN</t>
        </is>
      </c>
      <c r="E669" t="inlineStr">
        <is>
          <t>VIMMERBY</t>
        </is>
      </c>
      <c r="G669" t="n">
        <v>1.9</v>
      </c>
      <c r="H669" t="n">
        <v>0</v>
      </c>
      <c r="I669" t="n">
        <v>0</v>
      </c>
      <c r="J669" t="n">
        <v>0</v>
      </c>
      <c r="K669" t="n">
        <v>0</v>
      </c>
      <c r="L669" t="n">
        <v>0</v>
      </c>
      <c r="M669" t="n">
        <v>0</v>
      </c>
      <c r="N669" t="n">
        <v>0</v>
      </c>
      <c r="O669" t="n">
        <v>0</v>
      </c>
      <c r="P669" t="n">
        <v>0</v>
      </c>
      <c r="Q669" t="n">
        <v>0</v>
      </c>
      <c r="R669" s="2" t="inlineStr"/>
    </row>
    <row r="670" ht="15" customHeight="1">
      <c r="A670" t="inlineStr">
        <is>
          <t>A 16622-2025</t>
        </is>
      </c>
      <c r="B670" s="1" t="n">
        <v>45754.33641203704</v>
      </c>
      <c r="C670" s="1" t="n">
        <v>45974</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17511-2024</t>
        </is>
      </c>
      <c r="B671" s="1" t="n">
        <v>45415.57682870371</v>
      </c>
      <c r="C671" s="1" t="n">
        <v>45974</v>
      </c>
      <c r="D671" t="inlineStr">
        <is>
          <t>KALMAR LÄN</t>
        </is>
      </c>
      <c r="E671" t="inlineStr">
        <is>
          <t>VIMMERBY</t>
        </is>
      </c>
      <c r="G671" t="n">
        <v>5.3</v>
      </c>
      <c r="H671" t="n">
        <v>0</v>
      </c>
      <c r="I671" t="n">
        <v>0</v>
      </c>
      <c r="J671" t="n">
        <v>0</v>
      </c>
      <c r="K671" t="n">
        <v>0</v>
      </c>
      <c r="L671" t="n">
        <v>0</v>
      </c>
      <c r="M671" t="n">
        <v>0</v>
      </c>
      <c r="N671" t="n">
        <v>0</v>
      </c>
      <c r="O671" t="n">
        <v>0</v>
      </c>
      <c r="P671" t="n">
        <v>0</v>
      </c>
      <c r="Q671" t="n">
        <v>0</v>
      </c>
      <c r="R671" s="2" t="inlineStr"/>
    </row>
    <row r="672" ht="15" customHeight="1">
      <c r="A672" t="inlineStr">
        <is>
          <t>A 43705-2023</t>
        </is>
      </c>
      <c r="B672" s="1" t="n">
        <v>45187.42854166667</v>
      </c>
      <c r="C672" s="1" t="n">
        <v>45974</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40921-2025</t>
        </is>
      </c>
      <c r="B673" s="1" t="n">
        <v>45897.63520833333</v>
      </c>
      <c r="C673" s="1" t="n">
        <v>45974</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35270-2025</t>
        </is>
      </c>
      <c r="B674" s="1" t="n">
        <v>45853.87112268519</v>
      </c>
      <c r="C674" s="1" t="n">
        <v>45974</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35271-2025</t>
        </is>
      </c>
      <c r="B675" s="1" t="n">
        <v>45853.87599537037</v>
      </c>
      <c r="C675" s="1" t="n">
        <v>45974</v>
      </c>
      <c r="D675" t="inlineStr">
        <is>
          <t>KALMAR LÄN</t>
        </is>
      </c>
      <c r="E675" t="inlineStr">
        <is>
          <t>VIMMERBY</t>
        </is>
      </c>
      <c r="G675" t="n">
        <v>0.4</v>
      </c>
      <c r="H675" t="n">
        <v>0</v>
      </c>
      <c r="I675" t="n">
        <v>0</v>
      </c>
      <c r="J675" t="n">
        <v>0</v>
      </c>
      <c r="K675" t="n">
        <v>0</v>
      </c>
      <c r="L675" t="n">
        <v>0</v>
      </c>
      <c r="M675" t="n">
        <v>0</v>
      </c>
      <c r="N675" t="n">
        <v>0</v>
      </c>
      <c r="O675" t="n">
        <v>0</v>
      </c>
      <c r="P675" t="n">
        <v>0</v>
      </c>
      <c r="Q675" t="n">
        <v>0</v>
      </c>
      <c r="R675" s="2" t="inlineStr"/>
    </row>
    <row r="676" ht="15" customHeight="1">
      <c r="A676" t="inlineStr">
        <is>
          <t>A 35272-2025</t>
        </is>
      </c>
      <c r="B676" s="1" t="n">
        <v>45853.88070601852</v>
      </c>
      <c r="C676" s="1" t="n">
        <v>45974</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16953-2025</t>
        </is>
      </c>
      <c r="B677" s="1" t="n">
        <v>45755.44333333334</v>
      </c>
      <c r="C677" s="1" t="n">
        <v>45974</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35596-2025</t>
        </is>
      </c>
      <c r="B678" s="1" t="n">
        <v>45858.60641203704</v>
      </c>
      <c r="C678" s="1" t="n">
        <v>45974</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55300-2021</t>
        </is>
      </c>
      <c r="B679" s="1" t="n">
        <v>44475</v>
      </c>
      <c r="C679" s="1" t="n">
        <v>45974</v>
      </c>
      <c r="D679" t="inlineStr">
        <is>
          <t>KALMAR LÄN</t>
        </is>
      </c>
      <c r="E679" t="inlineStr">
        <is>
          <t>VIMMERBY</t>
        </is>
      </c>
      <c r="G679" t="n">
        <v>3.4</v>
      </c>
      <c r="H679" t="n">
        <v>0</v>
      </c>
      <c r="I679" t="n">
        <v>0</v>
      </c>
      <c r="J679" t="n">
        <v>0</v>
      </c>
      <c r="K679" t="n">
        <v>0</v>
      </c>
      <c r="L679" t="n">
        <v>0</v>
      </c>
      <c r="M679" t="n">
        <v>0</v>
      </c>
      <c r="N679" t="n">
        <v>0</v>
      </c>
      <c r="O679" t="n">
        <v>0</v>
      </c>
      <c r="P679" t="n">
        <v>0</v>
      </c>
      <c r="Q679" t="n">
        <v>0</v>
      </c>
      <c r="R679" s="2" t="inlineStr"/>
    </row>
    <row r="680" ht="15" customHeight="1">
      <c r="A680" t="inlineStr">
        <is>
          <t>A 35597-2025</t>
        </is>
      </c>
      <c r="B680" s="1" t="n">
        <v>45858.66019675926</v>
      </c>
      <c r="C680" s="1" t="n">
        <v>45974</v>
      </c>
      <c r="D680" t="inlineStr">
        <is>
          <t>KALMAR LÄN</t>
        </is>
      </c>
      <c r="E680" t="inlineStr">
        <is>
          <t>VIMMERBY</t>
        </is>
      </c>
      <c r="G680" t="n">
        <v>6.4</v>
      </c>
      <c r="H680" t="n">
        <v>0</v>
      </c>
      <c r="I680" t="n">
        <v>0</v>
      </c>
      <c r="J680" t="n">
        <v>0</v>
      </c>
      <c r="K680" t="n">
        <v>0</v>
      </c>
      <c r="L680" t="n">
        <v>0</v>
      </c>
      <c r="M680" t="n">
        <v>0</v>
      </c>
      <c r="N680" t="n">
        <v>0</v>
      </c>
      <c r="O680" t="n">
        <v>0</v>
      </c>
      <c r="P680" t="n">
        <v>0</v>
      </c>
      <c r="Q680" t="n">
        <v>0</v>
      </c>
      <c r="R680" s="2" t="inlineStr"/>
    </row>
    <row r="681" ht="15" customHeight="1">
      <c r="A681" t="inlineStr">
        <is>
          <t>A 44179-2022</t>
        </is>
      </c>
      <c r="B681" s="1" t="n">
        <v>44839.4528125</v>
      </c>
      <c r="C681" s="1" t="n">
        <v>45974</v>
      </c>
      <c r="D681" t="inlineStr">
        <is>
          <t>KALMAR LÄN</t>
        </is>
      </c>
      <c r="E681" t="inlineStr">
        <is>
          <t>VIMMERBY</t>
        </is>
      </c>
      <c r="G681" t="n">
        <v>2.8</v>
      </c>
      <c r="H681" t="n">
        <v>0</v>
      </c>
      <c r="I681" t="n">
        <v>0</v>
      </c>
      <c r="J681" t="n">
        <v>0</v>
      </c>
      <c r="K681" t="n">
        <v>0</v>
      </c>
      <c r="L681" t="n">
        <v>0</v>
      </c>
      <c r="M681" t="n">
        <v>0</v>
      </c>
      <c r="N681" t="n">
        <v>0</v>
      </c>
      <c r="O681" t="n">
        <v>0</v>
      </c>
      <c r="P681" t="n">
        <v>0</v>
      </c>
      <c r="Q681" t="n">
        <v>0</v>
      </c>
      <c r="R681" s="2" t="inlineStr"/>
    </row>
    <row r="682" ht="15" customHeight="1">
      <c r="A682" t="inlineStr">
        <is>
          <t>A 52755-2022</t>
        </is>
      </c>
      <c r="B682" s="1" t="n">
        <v>44875.27736111111</v>
      </c>
      <c r="C682" s="1" t="n">
        <v>45974</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35998-2024</t>
        </is>
      </c>
      <c r="B683" s="1" t="n">
        <v>45533.54429398148</v>
      </c>
      <c r="C683" s="1" t="n">
        <v>45974</v>
      </c>
      <c r="D683" t="inlineStr">
        <is>
          <t>KALMAR LÄN</t>
        </is>
      </c>
      <c r="E683" t="inlineStr">
        <is>
          <t>VIMMERBY</t>
        </is>
      </c>
      <c r="G683" t="n">
        <v>8.6</v>
      </c>
      <c r="H683" t="n">
        <v>0</v>
      </c>
      <c r="I683" t="n">
        <v>0</v>
      </c>
      <c r="J683" t="n">
        <v>0</v>
      </c>
      <c r="K683" t="n">
        <v>0</v>
      </c>
      <c r="L683" t="n">
        <v>0</v>
      </c>
      <c r="M683" t="n">
        <v>0</v>
      </c>
      <c r="N683" t="n">
        <v>0</v>
      </c>
      <c r="O683" t="n">
        <v>0</v>
      </c>
      <c r="P683" t="n">
        <v>0</v>
      </c>
      <c r="Q683" t="n">
        <v>0</v>
      </c>
      <c r="R683" s="2" t="inlineStr"/>
    </row>
    <row r="684" ht="15" customHeight="1">
      <c r="A684" t="inlineStr">
        <is>
          <t>A 7797-2023</t>
        </is>
      </c>
      <c r="B684" s="1" t="n">
        <v>44973.43075231482</v>
      </c>
      <c r="C684" s="1" t="n">
        <v>45974</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29351-2023</t>
        </is>
      </c>
      <c r="B685" s="1" t="n">
        <v>45106.2610300926</v>
      </c>
      <c r="C685" s="1" t="n">
        <v>45974</v>
      </c>
      <c r="D685" t="inlineStr">
        <is>
          <t>KALMAR LÄN</t>
        </is>
      </c>
      <c r="E685" t="inlineStr">
        <is>
          <t>VIMMERBY</t>
        </is>
      </c>
      <c r="G685" t="n">
        <v>0.4</v>
      </c>
      <c r="H685" t="n">
        <v>0</v>
      </c>
      <c r="I685" t="n">
        <v>0</v>
      </c>
      <c r="J685" t="n">
        <v>0</v>
      </c>
      <c r="K685" t="n">
        <v>0</v>
      </c>
      <c r="L685" t="n">
        <v>0</v>
      </c>
      <c r="M685" t="n">
        <v>0</v>
      </c>
      <c r="N685" t="n">
        <v>0</v>
      </c>
      <c r="O685" t="n">
        <v>0</v>
      </c>
      <c r="P685" t="n">
        <v>0</v>
      </c>
      <c r="Q685" t="n">
        <v>0</v>
      </c>
      <c r="R685" s="2" t="inlineStr"/>
    </row>
    <row r="686" ht="15" customHeight="1">
      <c r="A686" t="inlineStr">
        <is>
          <t>A 7630-2025</t>
        </is>
      </c>
      <c r="B686" s="1" t="n">
        <v>45705.74418981482</v>
      </c>
      <c r="C686" s="1" t="n">
        <v>45974</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1024-2024</t>
        </is>
      </c>
      <c r="B687" s="1" t="n">
        <v>45301.68237268519</v>
      </c>
      <c r="C687" s="1" t="n">
        <v>45974</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41224-2025</t>
        </is>
      </c>
      <c r="B688" s="1" t="n">
        <v>45898.58861111111</v>
      </c>
      <c r="C688" s="1" t="n">
        <v>45974</v>
      </c>
      <c r="D688" t="inlineStr">
        <is>
          <t>KALMAR LÄN</t>
        </is>
      </c>
      <c r="E688" t="inlineStr">
        <is>
          <t>VIMMERBY</t>
        </is>
      </c>
      <c r="G688" t="n">
        <v>4.4</v>
      </c>
      <c r="H688" t="n">
        <v>0</v>
      </c>
      <c r="I688" t="n">
        <v>0</v>
      </c>
      <c r="J688" t="n">
        <v>0</v>
      </c>
      <c r="K688" t="n">
        <v>0</v>
      </c>
      <c r="L688" t="n">
        <v>0</v>
      </c>
      <c r="M688" t="n">
        <v>0</v>
      </c>
      <c r="N688" t="n">
        <v>0</v>
      </c>
      <c r="O688" t="n">
        <v>0</v>
      </c>
      <c r="P688" t="n">
        <v>0</v>
      </c>
      <c r="Q688" t="n">
        <v>0</v>
      </c>
      <c r="R688" s="2" t="inlineStr"/>
    </row>
    <row r="689" ht="15" customHeight="1">
      <c r="A689" t="inlineStr">
        <is>
          <t>A 10787-2025</t>
        </is>
      </c>
      <c r="B689" s="1" t="n">
        <v>45722.48915509259</v>
      </c>
      <c r="C689" s="1" t="n">
        <v>45974</v>
      </c>
      <c r="D689" t="inlineStr">
        <is>
          <t>KALMAR LÄN</t>
        </is>
      </c>
      <c r="E689" t="inlineStr">
        <is>
          <t>VIMMERBY</t>
        </is>
      </c>
      <c r="G689" t="n">
        <v>0.5</v>
      </c>
      <c r="H689" t="n">
        <v>0</v>
      </c>
      <c r="I689" t="n">
        <v>0</v>
      </c>
      <c r="J689" t="n">
        <v>0</v>
      </c>
      <c r="K689" t="n">
        <v>0</v>
      </c>
      <c r="L689" t="n">
        <v>0</v>
      </c>
      <c r="M689" t="n">
        <v>0</v>
      </c>
      <c r="N689" t="n">
        <v>0</v>
      </c>
      <c r="O689" t="n">
        <v>0</v>
      </c>
      <c r="P689" t="n">
        <v>0</v>
      </c>
      <c r="Q689" t="n">
        <v>0</v>
      </c>
      <c r="R689" s="2" t="inlineStr"/>
    </row>
    <row r="690" ht="15" customHeight="1">
      <c r="A690" t="inlineStr">
        <is>
          <t>A 49871-2025</t>
        </is>
      </c>
      <c r="B690" s="1" t="n">
        <v>45940.54104166666</v>
      </c>
      <c r="C690" s="1" t="n">
        <v>45974</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36226-2025</t>
        </is>
      </c>
      <c r="B691" s="1" t="n">
        <v>45867.51630787037</v>
      </c>
      <c r="C691" s="1" t="n">
        <v>45974</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36273-2025</t>
        </is>
      </c>
      <c r="B692" s="1" t="n">
        <v>45867.63094907408</v>
      </c>
      <c r="C692" s="1" t="n">
        <v>45974</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36282-2025</t>
        </is>
      </c>
      <c r="B693" s="1" t="n">
        <v>45867.64663194444</v>
      </c>
      <c r="C693" s="1" t="n">
        <v>45974</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41591-2025</t>
        </is>
      </c>
      <c r="B694" s="1" t="n">
        <v>45901.6327662037</v>
      </c>
      <c r="C694" s="1" t="n">
        <v>45974</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36246-2025</t>
        </is>
      </c>
      <c r="B695" s="1" t="n">
        <v>45867.56320601852</v>
      </c>
      <c r="C695" s="1" t="n">
        <v>45974</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40971-2025</t>
        </is>
      </c>
      <c r="B696" s="1" t="n">
        <v>45897.88836805556</v>
      </c>
      <c r="C696" s="1" t="n">
        <v>45974</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36297-2025</t>
        </is>
      </c>
      <c r="B697" s="1" t="n">
        <v>45867.68625</v>
      </c>
      <c r="C697" s="1" t="n">
        <v>45974</v>
      </c>
      <c r="D697" t="inlineStr">
        <is>
          <t>KALMAR LÄN</t>
        </is>
      </c>
      <c r="E697" t="inlineStr">
        <is>
          <t>VIMMERBY</t>
        </is>
      </c>
      <c r="G697" t="n">
        <v>4.9</v>
      </c>
      <c r="H697" t="n">
        <v>0</v>
      </c>
      <c r="I697" t="n">
        <v>0</v>
      </c>
      <c r="J697" t="n">
        <v>0</v>
      </c>
      <c r="K697" t="n">
        <v>0</v>
      </c>
      <c r="L697" t="n">
        <v>0</v>
      </c>
      <c r="M697" t="n">
        <v>0</v>
      </c>
      <c r="N697" t="n">
        <v>0</v>
      </c>
      <c r="O697" t="n">
        <v>0</v>
      </c>
      <c r="P697" t="n">
        <v>0</v>
      </c>
      <c r="Q697" t="n">
        <v>0</v>
      </c>
      <c r="R697" s="2" t="inlineStr"/>
    </row>
    <row r="698" ht="15" customHeight="1">
      <c r="A698" t="inlineStr">
        <is>
          <t>A 41589-2025</t>
        </is>
      </c>
      <c r="B698" s="1" t="n">
        <v>45901.63219907408</v>
      </c>
      <c r="C698" s="1" t="n">
        <v>45974</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29350-2023</t>
        </is>
      </c>
      <c r="B699" s="1" t="n">
        <v>45106</v>
      </c>
      <c r="C699" s="1" t="n">
        <v>45974</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36221-2025</t>
        </is>
      </c>
      <c r="B700" s="1" t="n">
        <v>45867.50792824074</v>
      </c>
      <c r="C700" s="1" t="n">
        <v>45974</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14855-2025</t>
        </is>
      </c>
      <c r="B701" s="1" t="n">
        <v>45743.41148148148</v>
      </c>
      <c r="C701" s="1" t="n">
        <v>45974</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19502-2025</t>
        </is>
      </c>
      <c r="B702" s="1" t="n">
        <v>45769</v>
      </c>
      <c r="C702" s="1" t="n">
        <v>45974</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40970-2025</t>
        </is>
      </c>
      <c r="B703" s="1" t="n">
        <v>45897.88706018519</v>
      </c>
      <c r="C703" s="1" t="n">
        <v>45974</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40973-2025</t>
        </is>
      </c>
      <c r="B704" s="1" t="n">
        <v>45897.89737268518</v>
      </c>
      <c r="C704" s="1" t="n">
        <v>45974</v>
      </c>
      <c r="D704" t="inlineStr">
        <is>
          <t>KALMAR LÄN</t>
        </is>
      </c>
      <c r="E704" t="inlineStr">
        <is>
          <t>VIMMERBY</t>
        </is>
      </c>
      <c r="G704" t="n">
        <v>1.8</v>
      </c>
      <c r="H704" t="n">
        <v>0</v>
      </c>
      <c r="I704" t="n">
        <v>0</v>
      </c>
      <c r="J704" t="n">
        <v>0</v>
      </c>
      <c r="K704" t="n">
        <v>0</v>
      </c>
      <c r="L704" t="n">
        <v>0</v>
      </c>
      <c r="M704" t="n">
        <v>0</v>
      </c>
      <c r="N704" t="n">
        <v>0</v>
      </c>
      <c r="O704" t="n">
        <v>0</v>
      </c>
      <c r="P704" t="n">
        <v>0</v>
      </c>
      <c r="Q704" t="n">
        <v>0</v>
      </c>
      <c r="R704" s="2" t="inlineStr"/>
    </row>
    <row r="705" ht="15" customHeight="1">
      <c r="A705" t="inlineStr">
        <is>
          <t>A 43601-2024</t>
        </is>
      </c>
      <c r="B705" s="1" t="n">
        <v>45569.44684027778</v>
      </c>
      <c r="C705" s="1" t="n">
        <v>45974</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35913-2023</t>
        </is>
      </c>
      <c r="B706" s="1" t="n">
        <v>45148</v>
      </c>
      <c r="C706" s="1" t="n">
        <v>45974</v>
      </c>
      <c r="D706" t="inlineStr">
        <is>
          <t>KALMAR LÄN</t>
        </is>
      </c>
      <c r="E706" t="inlineStr">
        <is>
          <t>VIMMERBY</t>
        </is>
      </c>
      <c r="G706" t="n">
        <v>6.9</v>
      </c>
      <c r="H706" t="n">
        <v>0</v>
      </c>
      <c r="I706" t="n">
        <v>0</v>
      </c>
      <c r="J706" t="n">
        <v>0</v>
      </c>
      <c r="K706" t="n">
        <v>0</v>
      </c>
      <c r="L706" t="n">
        <v>0</v>
      </c>
      <c r="M706" t="n">
        <v>0</v>
      </c>
      <c r="N706" t="n">
        <v>0</v>
      </c>
      <c r="O706" t="n">
        <v>0</v>
      </c>
      <c r="P706" t="n">
        <v>0</v>
      </c>
      <c r="Q706" t="n">
        <v>0</v>
      </c>
      <c r="R706" s="2" t="inlineStr"/>
    </row>
    <row r="707" ht="15" customHeight="1">
      <c r="A707" t="inlineStr">
        <is>
          <t>A 36299-2025</t>
        </is>
      </c>
      <c r="B707" s="1" t="n">
        <v>45867.69346064814</v>
      </c>
      <c r="C707" s="1" t="n">
        <v>45974</v>
      </c>
      <c r="D707" t="inlineStr">
        <is>
          <t>KALMAR LÄN</t>
        </is>
      </c>
      <c r="E707" t="inlineStr">
        <is>
          <t>VIMMERBY</t>
        </is>
      </c>
      <c r="G707" t="n">
        <v>7.6</v>
      </c>
      <c r="H707" t="n">
        <v>0</v>
      </c>
      <c r="I707" t="n">
        <v>0</v>
      </c>
      <c r="J707" t="n">
        <v>0</v>
      </c>
      <c r="K707" t="n">
        <v>0</v>
      </c>
      <c r="L707" t="n">
        <v>0</v>
      </c>
      <c r="M707" t="n">
        <v>0</v>
      </c>
      <c r="N707" t="n">
        <v>0</v>
      </c>
      <c r="O707" t="n">
        <v>0</v>
      </c>
      <c r="P707" t="n">
        <v>0</v>
      </c>
      <c r="Q707" t="n">
        <v>0</v>
      </c>
      <c r="R707" s="2" t="inlineStr"/>
    </row>
    <row r="708" ht="15" customHeight="1">
      <c r="A708" t="inlineStr">
        <is>
          <t>A 9624-2024</t>
        </is>
      </c>
      <c r="B708" s="1" t="n">
        <v>45361.90282407407</v>
      </c>
      <c r="C708" s="1" t="n">
        <v>45974</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3938-2023</t>
        </is>
      </c>
      <c r="B709" s="1" t="n">
        <v>44952.35775462963</v>
      </c>
      <c r="C709" s="1" t="n">
        <v>45974</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36538-2025</t>
        </is>
      </c>
      <c r="B710" s="1" t="n">
        <v>45869.62276620371</v>
      </c>
      <c r="C710" s="1" t="n">
        <v>45974</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39053-2024</t>
        </is>
      </c>
      <c r="B711" s="1" t="n">
        <v>45548</v>
      </c>
      <c r="C711" s="1" t="n">
        <v>45974</v>
      </c>
      <c r="D711" t="inlineStr">
        <is>
          <t>KALMAR LÄN</t>
        </is>
      </c>
      <c r="E711" t="inlineStr">
        <is>
          <t>VIMMERBY</t>
        </is>
      </c>
      <c r="G711" t="n">
        <v>5</v>
      </c>
      <c r="H711" t="n">
        <v>0</v>
      </c>
      <c r="I711" t="n">
        <v>0</v>
      </c>
      <c r="J711" t="n">
        <v>0</v>
      </c>
      <c r="K711" t="n">
        <v>0</v>
      </c>
      <c r="L711" t="n">
        <v>0</v>
      </c>
      <c r="M711" t="n">
        <v>0</v>
      </c>
      <c r="N711" t="n">
        <v>0</v>
      </c>
      <c r="O711" t="n">
        <v>0</v>
      </c>
      <c r="P711" t="n">
        <v>0</v>
      </c>
      <c r="Q711" t="n">
        <v>0</v>
      </c>
      <c r="R711" s="2" t="inlineStr"/>
    </row>
    <row r="712" ht="15" customHeight="1">
      <c r="A712" t="inlineStr">
        <is>
          <t>A 34090-2025</t>
        </is>
      </c>
      <c r="B712" s="1" t="n">
        <v>45845</v>
      </c>
      <c r="C712" s="1" t="n">
        <v>45974</v>
      </c>
      <c r="D712" t="inlineStr">
        <is>
          <t>KALMAR LÄN</t>
        </is>
      </c>
      <c r="E712" t="inlineStr">
        <is>
          <t>VIMMERBY</t>
        </is>
      </c>
      <c r="G712" t="n">
        <v>2.8</v>
      </c>
      <c r="H712" t="n">
        <v>0</v>
      </c>
      <c r="I712" t="n">
        <v>0</v>
      </c>
      <c r="J712" t="n">
        <v>0</v>
      </c>
      <c r="K712" t="n">
        <v>0</v>
      </c>
      <c r="L712" t="n">
        <v>0</v>
      </c>
      <c r="M712" t="n">
        <v>0</v>
      </c>
      <c r="N712" t="n">
        <v>0</v>
      </c>
      <c r="O712" t="n">
        <v>0</v>
      </c>
      <c r="P712" t="n">
        <v>0</v>
      </c>
      <c r="Q712" t="n">
        <v>0</v>
      </c>
      <c r="R712" s="2" t="inlineStr"/>
    </row>
    <row r="713" ht="15" customHeight="1">
      <c r="A713" t="inlineStr">
        <is>
          <t>A 14451-2024</t>
        </is>
      </c>
      <c r="B713" s="1" t="n">
        <v>45394.50028935185</v>
      </c>
      <c r="C713" s="1" t="n">
        <v>45974</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36598-2025</t>
        </is>
      </c>
      <c r="B714" s="1" t="n">
        <v>45870.51708333333</v>
      </c>
      <c r="C714" s="1" t="n">
        <v>45974</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36602-2025</t>
        </is>
      </c>
      <c r="B715" s="1" t="n">
        <v>45870.52111111111</v>
      </c>
      <c r="C715" s="1" t="n">
        <v>45974</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34205-2023</t>
        </is>
      </c>
      <c r="B716" s="1" t="n">
        <v>45138</v>
      </c>
      <c r="C716" s="1" t="n">
        <v>45974</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36603-2025</t>
        </is>
      </c>
      <c r="B717" s="1" t="n">
        <v>45870.52142361111</v>
      </c>
      <c r="C717" s="1" t="n">
        <v>45974</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36600-2025</t>
        </is>
      </c>
      <c r="B718" s="1" t="n">
        <v>45870.51958333333</v>
      </c>
      <c r="C718" s="1" t="n">
        <v>45974</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36601-2025</t>
        </is>
      </c>
      <c r="B719" s="1" t="n">
        <v>45870.52005787037</v>
      </c>
      <c r="C719" s="1" t="n">
        <v>45974</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37088-2025</t>
        </is>
      </c>
      <c r="B720" s="1" t="n">
        <v>45875.45716435185</v>
      </c>
      <c r="C720" s="1" t="n">
        <v>45974</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37102-2025</t>
        </is>
      </c>
      <c r="B721" s="1" t="n">
        <v>45875.47454861111</v>
      </c>
      <c r="C721" s="1" t="n">
        <v>45974</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50324-2025</t>
        </is>
      </c>
      <c r="B722" s="1" t="n">
        <v>45944.45962962963</v>
      </c>
      <c r="C722" s="1" t="n">
        <v>45974</v>
      </c>
      <c r="D722" t="inlineStr">
        <is>
          <t>KALMAR LÄN</t>
        </is>
      </c>
      <c r="E722" t="inlineStr">
        <is>
          <t>VIMMERBY</t>
        </is>
      </c>
      <c r="G722" t="n">
        <v>2.1</v>
      </c>
      <c r="H722" t="n">
        <v>0</v>
      </c>
      <c r="I722" t="n">
        <v>0</v>
      </c>
      <c r="J722" t="n">
        <v>0</v>
      </c>
      <c r="K722" t="n">
        <v>0</v>
      </c>
      <c r="L722" t="n">
        <v>0</v>
      </c>
      <c r="M722" t="n">
        <v>0</v>
      </c>
      <c r="N722" t="n">
        <v>0</v>
      </c>
      <c r="O722" t="n">
        <v>0</v>
      </c>
      <c r="P722" t="n">
        <v>0</v>
      </c>
      <c r="Q722" t="n">
        <v>0</v>
      </c>
      <c r="R722" s="2" t="inlineStr"/>
    </row>
    <row r="723" ht="15" customHeight="1">
      <c r="A723" t="inlineStr">
        <is>
          <t>A 37079-2025</t>
        </is>
      </c>
      <c r="B723" s="1" t="n">
        <v>45875.42716435185</v>
      </c>
      <c r="C723" s="1" t="n">
        <v>45974</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36934-2025</t>
        </is>
      </c>
      <c r="B724" s="1" t="n">
        <v>45874.57109953704</v>
      </c>
      <c r="C724" s="1" t="n">
        <v>45974</v>
      </c>
      <c r="D724" t="inlineStr">
        <is>
          <t>KALMAR LÄN</t>
        </is>
      </c>
      <c r="E724" t="inlineStr">
        <is>
          <t>VIMMERBY</t>
        </is>
      </c>
      <c r="G724" t="n">
        <v>4.2</v>
      </c>
      <c r="H724" t="n">
        <v>0</v>
      </c>
      <c r="I724" t="n">
        <v>0</v>
      </c>
      <c r="J724" t="n">
        <v>0</v>
      </c>
      <c r="K724" t="n">
        <v>0</v>
      </c>
      <c r="L724" t="n">
        <v>0</v>
      </c>
      <c r="M724" t="n">
        <v>0</v>
      </c>
      <c r="N724" t="n">
        <v>0</v>
      </c>
      <c r="O724" t="n">
        <v>0</v>
      </c>
      <c r="P724" t="n">
        <v>0</v>
      </c>
      <c r="Q724" t="n">
        <v>0</v>
      </c>
      <c r="R724" s="2" t="inlineStr"/>
    </row>
    <row r="725" ht="15" customHeight="1">
      <c r="A725" t="inlineStr">
        <is>
          <t>A 3268-2024</t>
        </is>
      </c>
      <c r="B725" s="1" t="n">
        <v>45317</v>
      </c>
      <c r="C725" s="1" t="n">
        <v>45974</v>
      </c>
      <c r="D725" t="inlineStr">
        <is>
          <t>KALMAR LÄN</t>
        </is>
      </c>
      <c r="E725" t="inlineStr">
        <is>
          <t>VIMMERBY</t>
        </is>
      </c>
      <c r="F725" t="inlineStr">
        <is>
          <t>Övriga Aktiebolag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12819-2024</t>
        </is>
      </c>
      <c r="B726" s="1" t="n">
        <v>45384.66917824074</v>
      </c>
      <c r="C726" s="1" t="n">
        <v>45974</v>
      </c>
      <c r="D726" t="inlineStr">
        <is>
          <t>KALMAR LÄN</t>
        </is>
      </c>
      <c r="E726" t="inlineStr">
        <is>
          <t>VIMMERBY</t>
        </is>
      </c>
      <c r="G726" t="n">
        <v>5.1</v>
      </c>
      <c r="H726" t="n">
        <v>0</v>
      </c>
      <c r="I726" t="n">
        <v>0</v>
      </c>
      <c r="J726" t="n">
        <v>0</v>
      </c>
      <c r="K726" t="n">
        <v>0</v>
      </c>
      <c r="L726" t="n">
        <v>0</v>
      </c>
      <c r="M726" t="n">
        <v>0</v>
      </c>
      <c r="N726" t="n">
        <v>0</v>
      </c>
      <c r="O726" t="n">
        <v>0</v>
      </c>
      <c r="P726" t="n">
        <v>0</v>
      </c>
      <c r="Q726" t="n">
        <v>0</v>
      </c>
      <c r="R726" s="2" t="inlineStr"/>
    </row>
    <row r="727" ht="15" customHeight="1">
      <c r="A727" t="inlineStr">
        <is>
          <t>A 41735-2025</t>
        </is>
      </c>
      <c r="B727" s="1" t="n">
        <v>45902.47164351852</v>
      </c>
      <c r="C727" s="1" t="n">
        <v>45974</v>
      </c>
      <c r="D727" t="inlineStr">
        <is>
          <t>KALMAR LÄN</t>
        </is>
      </c>
      <c r="E727" t="inlineStr">
        <is>
          <t>VIMMERBY</t>
        </is>
      </c>
      <c r="G727" t="n">
        <v>3</v>
      </c>
      <c r="H727" t="n">
        <v>0</v>
      </c>
      <c r="I727" t="n">
        <v>0</v>
      </c>
      <c r="J727" t="n">
        <v>0</v>
      </c>
      <c r="K727" t="n">
        <v>0</v>
      </c>
      <c r="L727" t="n">
        <v>0</v>
      </c>
      <c r="M727" t="n">
        <v>0</v>
      </c>
      <c r="N727" t="n">
        <v>0</v>
      </c>
      <c r="O727" t="n">
        <v>0</v>
      </c>
      <c r="P727" t="n">
        <v>0</v>
      </c>
      <c r="Q727" t="n">
        <v>0</v>
      </c>
      <c r="R727" s="2" t="inlineStr"/>
    </row>
    <row r="728" ht="15" customHeight="1">
      <c r="A728" t="inlineStr">
        <is>
          <t>A 37578-2025</t>
        </is>
      </c>
      <c r="B728" s="1" t="n">
        <v>45880.38380787037</v>
      </c>
      <c r="C728" s="1" t="n">
        <v>45974</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6214-2025</t>
        </is>
      </c>
      <c r="B729" s="1" t="n">
        <v>45698.51711805556</v>
      </c>
      <c r="C729" s="1" t="n">
        <v>45974</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32569-2024</t>
        </is>
      </c>
      <c r="B730" s="1" t="n">
        <v>45513.55840277778</v>
      </c>
      <c r="C730" s="1" t="n">
        <v>45974</v>
      </c>
      <c r="D730" t="inlineStr">
        <is>
          <t>KALMAR LÄN</t>
        </is>
      </c>
      <c r="E730" t="inlineStr">
        <is>
          <t>VIMMERBY</t>
        </is>
      </c>
      <c r="G730" t="n">
        <v>3.7</v>
      </c>
      <c r="H730" t="n">
        <v>0</v>
      </c>
      <c r="I730" t="n">
        <v>0</v>
      </c>
      <c r="J730" t="n">
        <v>0</v>
      </c>
      <c r="K730" t="n">
        <v>0</v>
      </c>
      <c r="L730" t="n">
        <v>0</v>
      </c>
      <c r="M730" t="n">
        <v>0</v>
      </c>
      <c r="N730" t="n">
        <v>0</v>
      </c>
      <c r="O730" t="n">
        <v>0</v>
      </c>
      <c r="P730" t="n">
        <v>0</v>
      </c>
      <c r="Q730" t="n">
        <v>0</v>
      </c>
      <c r="R730" s="2" t="inlineStr"/>
    </row>
    <row r="731" ht="15" customHeight="1">
      <c r="A731" t="inlineStr">
        <is>
          <t>A 32575-2024</t>
        </is>
      </c>
      <c r="B731" s="1" t="n">
        <v>45513.56527777778</v>
      </c>
      <c r="C731" s="1" t="n">
        <v>45974</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50544-2025</t>
        </is>
      </c>
      <c r="B732" s="1" t="n">
        <v>45945.50736111111</v>
      </c>
      <c r="C732" s="1" t="n">
        <v>45974</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37668-2025</t>
        </is>
      </c>
      <c r="B733" s="1" t="n">
        <v>45880.51550925926</v>
      </c>
      <c r="C733" s="1" t="n">
        <v>45974</v>
      </c>
      <c r="D733" t="inlineStr">
        <is>
          <t>KALMAR LÄN</t>
        </is>
      </c>
      <c r="E733" t="inlineStr">
        <is>
          <t>VIMMERBY</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59300-2024</t>
        </is>
      </c>
      <c r="B734" s="1" t="n">
        <v>45637.66542824074</v>
      </c>
      <c r="C734" s="1" t="n">
        <v>45974</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37939-2025</t>
        </is>
      </c>
      <c r="B735" s="1" t="n">
        <v>45881.59877314815</v>
      </c>
      <c r="C735" s="1" t="n">
        <v>45974</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51062-2025</t>
        </is>
      </c>
      <c r="B736" s="1" t="n">
        <v>45947.44685185186</v>
      </c>
      <c r="C736" s="1" t="n">
        <v>45974</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37866-2025</t>
        </is>
      </c>
      <c r="B737" s="1" t="n">
        <v>45881</v>
      </c>
      <c r="C737" s="1" t="n">
        <v>45974</v>
      </c>
      <c r="D737" t="inlineStr">
        <is>
          <t>KALMAR LÄN</t>
        </is>
      </c>
      <c r="E737" t="inlineStr">
        <is>
          <t>VIMMERBY</t>
        </is>
      </c>
      <c r="G737" t="n">
        <v>3.4</v>
      </c>
      <c r="H737" t="n">
        <v>0</v>
      </c>
      <c r="I737" t="n">
        <v>0</v>
      </c>
      <c r="J737" t="n">
        <v>0</v>
      </c>
      <c r="K737" t="n">
        <v>0</v>
      </c>
      <c r="L737" t="n">
        <v>0</v>
      </c>
      <c r="M737" t="n">
        <v>0</v>
      </c>
      <c r="N737" t="n">
        <v>0</v>
      </c>
      <c r="O737" t="n">
        <v>0</v>
      </c>
      <c r="P737" t="n">
        <v>0</v>
      </c>
      <c r="Q737" t="n">
        <v>0</v>
      </c>
      <c r="R737" s="2" t="inlineStr"/>
    </row>
    <row r="738" ht="15" customHeight="1">
      <c r="A738" t="inlineStr">
        <is>
          <t>A 59768-2024</t>
        </is>
      </c>
      <c r="B738" s="1" t="n">
        <v>45639.56185185185</v>
      </c>
      <c r="C738" s="1" t="n">
        <v>45974</v>
      </c>
      <c r="D738" t="inlineStr">
        <is>
          <t>KALMAR LÄN</t>
        </is>
      </c>
      <c r="E738" t="inlineStr">
        <is>
          <t>VIMMERBY</t>
        </is>
      </c>
      <c r="G738" t="n">
        <v>5.9</v>
      </c>
      <c r="H738" t="n">
        <v>0</v>
      </c>
      <c r="I738" t="n">
        <v>0</v>
      </c>
      <c r="J738" t="n">
        <v>0</v>
      </c>
      <c r="K738" t="n">
        <v>0</v>
      </c>
      <c r="L738" t="n">
        <v>0</v>
      </c>
      <c r="M738" t="n">
        <v>0</v>
      </c>
      <c r="N738" t="n">
        <v>0</v>
      </c>
      <c r="O738" t="n">
        <v>0</v>
      </c>
      <c r="P738" t="n">
        <v>0</v>
      </c>
      <c r="Q738" t="n">
        <v>0</v>
      </c>
      <c r="R738" s="2" t="inlineStr"/>
    </row>
    <row r="739" ht="15" customHeight="1">
      <c r="A739" t="inlineStr">
        <is>
          <t>A 36526-2023</t>
        </is>
      </c>
      <c r="B739" s="1" t="n">
        <v>45153.32778935185</v>
      </c>
      <c r="C739" s="1" t="n">
        <v>45974</v>
      </c>
      <c r="D739" t="inlineStr">
        <is>
          <t>KALMAR LÄN</t>
        </is>
      </c>
      <c r="E739" t="inlineStr">
        <is>
          <t>VIMMERBY</t>
        </is>
      </c>
      <c r="G739" t="n">
        <v>2.7</v>
      </c>
      <c r="H739" t="n">
        <v>0</v>
      </c>
      <c r="I739" t="n">
        <v>0</v>
      </c>
      <c r="J739" t="n">
        <v>0</v>
      </c>
      <c r="K739" t="n">
        <v>0</v>
      </c>
      <c r="L739" t="n">
        <v>0</v>
      </c>
      <c r="M739" t="n">
        <v>0</v>
      </c>
      <c r="N739" t="n">
        <v>0</v>
      </c>
      <c r="O739" t="n">
        <v>0</v>
      </c>
      <c r="P739" t="n">
        <v>0</v>
      </c>
      <c r="Q739" t="n">
        <v>0</v>
      </c>
      <c r="R739" s="2" t="inlineStr"/>
    </row>
    <row r="740" ht="15" customHeight="1">
      <c r="A740" t="inlineStr">
        <is>
          <t>A 58728-2024</t>
        </is>
      </c>
      <c r="B740" s="1" t="n">
        <v>45635.66695601852</v>
      </c>
      <c r="C740" s="1" t="n">
        <v>45974</v>
      </c>
      <c r="D740" t="inlineStr">
        <is>
          <t>KALMAR LÄN</t>
        </is>
      </c>
      <c r="E740" t="inlineStr">
        <is>
          <t>VIMMERBY</t>
        </is>
      </c>
      <c r="G740" t="n">
        <v>0.4</v>
      </c>
      <c r="H740" t="n">
        <v>0</v>
      </c>
      <c r="I740" t="n">
        <v>0</v>
      </c>
      <c r="J740" t="n">
        <v>0</v>
      </c>
      <c r="K740" t="n">
        <v>0</v>
      </c>
      <c r="L740" t="n">
        <v>0</v>
      </c>
      <c r="M740" t="n">
        <v>0</v>
      </c>
      <c r="N740" t="n">
        <v>0</v>
      </c>
      <c r="O740" t="n">
        <v>0</v>
      </c>
      <c r="P740" t="n">
        <v>0</v>
      </c>
      <c r="Q740" t="n">
        <v>0</v>
      </c>
      <c r="R740" s="2" t="inlineStr"/>
    </row>
    <row r="741" ht="15" customHeight="1">
      <c r="A741" t="inlineStr">
        <is>
          <t>A 49474-2023</t>
        </is>
      </c>
      <c r="B741" s="1" t="n">
        <v>45211.541875</v>
      </c>
      <c r="C741" s="1" t="n">
        <v>45974</v>
      </c>
      <c r="D741" t="inlineStr">
        <is>
          <t>KALMAR LÄN</t>
        </is>
      </c>
      <c r="E741" t="inlineStr">
        <is>
          <t>VIMMERBY</t>
        </is>
      </c>
      <c r="G741" t="n">
        <v>3.6</v>
      </c>
      <c r="H741" t="n">
        <v>0</v>
      </c>
      <c r="I741" t="n">
        <v>0</v>
      </c>
      <c r="J741" t="n">
        <v>0</v>
      </c>
      <c r="K741" t="n">
        <v>0</v>
      </c>
      <c r="L741" t="n">
        <v>0</v>
      </c>
      <c r="M741" t="n">
        <v>0</v>
      </c>
      <c r="N741" t="n">
        <v>0</v>
      </c>
      <c r="O741" t="n">
        <v>0</v>
      </c>
      <c r="P741" t="n">
        <v>0</v>
      </c>
      <c r="Q741" t="n">
        <v>0</v>
      </c>
      <c r="R741" s="2" t="inlineStr"/>
    </row>
    <row r="742" ht="15" customHeight="1">
      <c r="A742" t="inlineStr">
        <is>
          <t>A 57682-2022</t>
        </is>
      </c>
      <c r="B742" s="1" t="n">
        <v>44890</v>
      </c>
      <c r="C742" s="1" t="n">
        <v>45974</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14220-2021</t>
        </is>
      </c>
      <c r="B743" s="1" t="n">
        <v>44278.54855324074</v>
      </c>
      <c r="C743" s="1" t="n">
        <v>45974</v>
      </c>
      <c r="D743" t="inlineStr">
        <is>
          <t>KALMAR LÄN</t>
        </is>
      </c>
      <c r="E743" t="inlineStr">
        <is>
          <t>VIMMERBY</t>
        </is>
      </c>
      <c r="G743" t="n">
        <v>0.3</v>
      </c>
      <c r="H743" t="n">
        <v>0</v>
      </c>
      <c r="I743" t="n">
        <v>0</v>
      </c>
      <c r="J743" t="n">
        <v>0</v>
      </c>
      <c r="K743" t="n">
        <v>0</v>
      </c>
      <c r="L743" t="n">
        <v>0</v>
      </c>
      <c r="M743" t="n">
        <v>0</v>
      </c>
      <c r="N743" t="n">
        <v>0</v>
      </c>
      <c r="O743" t="n">
        <v>0</v>
      </c>
      <c r="P743" t="n">
        <v>0</v>
      </c>
      <c r="Q743" t="n">
        <v>0</v>
      </c>
      <c r="R743" s="2" t="inlineStr"/>
    </row>
    <row r="744" ht="15" customHeight="1">
      <c r="A744" t="inlineStr">
        <is>
          <t>A 63950-2023</t>
        </is>
      </c>
      <c r="B744" s="1" t="n">
        <v>45278</v>
      </c>
      <c r="C744" s="1" t="n">
        <v>45974</v>
      </c>
      <c r="D744" t="inlineStr">
        <is>
          <t>KALMAR LÄN</t>
        </is>
      </c>
      <c r="E744" t="inlineStr">
        <is>
          <t>VIMMERBY</t>
        </is>
      </c>
      <c r="F744" t="inlineStr">
        <is>
          <t>Kyrkan</t>
        </is>
      </c>
      <c r="G744" t="n">
        <v>2.7</v>
      </c>
      <c r="H744" t="n">
        <v>0</v>
      </c>
      <c r="I744" t="n">
        <v>0</v>
      </c>
      <c r="J744" t="n">
        <v>0</v>
      </c>
      <c r="K744" t="n">
        <v>0</v>
      </c>
      <c r="L744" t="n">
        <v>0</v>
      </c>
      <c r="M744" t="n">
        <v>0</v>
      </c>
      <c r="N744" t="n">
        <v>0</v>
      </c>
      <c r="O744" t="n">
        <v>0</v>
      </c>
      <c r="P744" t="n">
        <v>0</v>
      </c>
      <c r="Q744" t="n">
        <v>0</v>
      </c>
      <c r="R744" s="2" t="inlineStr"/>
    </row>
    <row r="745" ht="15" customHeight="1">
      <c r="A745" t="inlineStr">
        <is>
          <t>A 16516-2023</t>
        </is>
      </c>
      <c r="B745" s="1" t="n">
        <v>45029</v>
      </c>
      <c r="C745" s="1" t="n">
        <v>45974</v>
      </c>
      <c r="D745" t="inlineStr">
        <is>
          <t>KALMAR LÄN</t>
        </is>
      </c>
      <c r="E745" t="inlineStr">
        <is>
          <t>VIMMERBY</t>
        </is>
      </c>
      <c r="G745" t="n">
        <v>4.3</v>
      </c>
      <c r="H745" t="n">
        <v>0</v>
      </c>
      <c r="I745" t="n">
        <v>0</v>
      </c>
      <c r="J745" t="n">
        <v>0</v>
      </c>
      <c r="K745" t="n">
        <v>0</v>
      </c>
      <c r="L745" t="n">
        <v>0</v>
      </c>
      <c r="M745" t="n">
        <v>0</v>
      </c>
      <c r="N745" t="n">
        <v>0</v>
      </c>
      <c r="O745" t="n">
        <v>0</v>
      </c>
      <c r="P745" t="n">
        <v>0</v>
      </c>
      <c r="Q745" t="n">
        <v>0</v>
      </c>
      <c r="R745" s="2" t="inlineStr"/>
    </row>
    <row r="746" ht="15" customHeight="1">
      <c r="A746" t="inlineStr">
        <is>
          <t>A 47842-2024</t>
        </is>
      </c>
      <c r="B746" s="1" t="n">
        <v>45588.65545138889</v>
      </c>
      <c r="C746" s="1" t="n">
        <v>45974</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42828-2025</t>
        </is>
      </c>
      <c r="B747" s="1" t="n">
        <v>45908.57716435185</v>
      </c>
      <c r="C747" s="1" t="n">
        <v>45974</v>
      </c>
      <c r="D747" t="inlineStr">
        <is>
          <t>KALMAR LÄN</t>
        </is>
      </c>
      <c r="E747" t="inlineStr">
        <is>
          <t>VIMMERBY</t>
        </is>
      </c>
      <c r="G747" t="n">
        <v>5.2</v>
      </c>
      <c r="H747" t="n">
        <v>0</v>
      </c>
      <c r="I747" t="n">
        <v>0</v>
      </c>
      <c r="J747" t="n">
        <v>0</v>
      </c>
      <c r="K747" t="n">
        <v>0</v>
      </c>
      <c r="L747" t="n">
        <v>0</v>
      </c>
      <c r="M747" t="n">
        <v>0</v>
      </c>
      <c r="N747" t="n">
        <v>0</v>
      </c>
      <c r="O747" t="n">
        <v>0</v>
      </c>
      <c r="P747" t="n">
        <v>0</v>
      </c>
      <c r="Q747" t="n">
        <v>0</v>
      </c>
      <c r="R747" s="2" t="inlineStr"/>
    </row>
    <row r="748" ht="15" customHeight="1">
      <c r="A748" t="inlineStr">
        <is>
          <t>A 6408-2025</t>
        </is>
      </c>
      <c r="B748" s="1" t="n">
        <v>45699.45671296296</v>
      </c>
      <c r="C748" s="1" t="n">
        <v>45974</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25109-2023</t>
        </is>
      </c>
      <c r="B749" s="1" t="n">
        <v>45086</v>
      </c>
      <c r="C749" s="1" t="n">
        <v>45974</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33380-2023</t>
        </is>
      </c>
      <c r="B750" s="1" t="n">
        <v>45128</v>
      </c>
      <c r="C750" s="1" t="n">
        <v>45974</v>
      </c>
      <c r="D750" t="inlineStr">
        <is>
          <t>KALMAR LÄN</t>
        </is>
      </c>
      <c r="E750" t="inlineStr">
        <is>
          <t>VIMMERBY</t>
        </is>
      </c>
      <c r="G750" t="n">
        <v>5.2</v>
      </c>
      <c r="H750" t="n">
        <v>0</v>
      </c>
      <c r="I750" t="n">
        <v>0</v>
      </c>
      <c r="J750" t="n">
        <v>0</v>
      </c>
      <c r="K750" t="n">
        <v>0</v>
      </c>
      <c r="L750" t="n">
        <v>0</v>
      </c>
      <c r="M750" t="n">
        <v>0</v>
      </c>
      <c r="N750" t="n">
        <v>0</v>
      </c>
      <c r="O750" t="n">
        <v>0</v>
      </c>
      <c r="P750" t="n">
        <v>0</v>
      </c>
      <c r="Q750" t="n">
        <v>0</v>
      </c>
      <c r="R750" s="2" t="inlineStr"/>
    </row>
    <row r="751" ht="15" customHeight="1">
      <c r="A751" t="inlineStr">
        <is>
          <t>A 42794-2025</t>
        </is>
      </c>
      <c r="B751" s="1" t="n">
        <v>45908</v>
      </c>
      <c r="C751" s="1" t="n">
        <v>45974</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32639-2023</t>
        </is>
      </c>
      <c r="B752" s="1" t="n">
        <v>45121.5965162037</v>
      </c>
      <c r="C752" s="1" t="n">
        <v>45974</v>
      </c>
      <c r="D752" t="inlineStr">
        <is>
          <t>KALMAR LÄN</t>
        </is>
      </c>
      <c r="E752" t="inlineStr">
        <is>
          <t>VIMMERBY</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32642-2023</t>
        </is>
      </c>
      <c r="B753" s="1" t="n">
        <v>45121.59954861111</v>
      </c>
      <c r="C753" s="1" t="n">
        <v>45974</v>
      </c>
      <c r="D753" t="inlineStr">
        <is>
          <t>KALMAR LÄN</t>
        </is>
      </c>
      <c r="E753" t="inlineStr">
        <is>
          <t>VIMMERBY</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32651-2023</t>
        </is>
      </c>
      <c r="B754" s="1" t="n">
        <v>45121.6096875</v>
      </c>
      <c r="C754" s="1" t="n">
        <v>45974</v>
      </c>
      <c r="D754" t="inlineStr">
        <is>
          <t>KALMAR LÄN</t>
        </is>
      </c>
      <c r="E754" t="inlineStr">
        <is>
          <t>VIMMERBY</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42820-2025</t>
        </is>
      </c>
      <c r="B755" s="1" t="n">
        <v>45908</v>
      </c>
      <c r="C755" s="1" t="n">
        <v>45974</v>
      </c>
      <c r="D755" t="inlineStr">
        <is>
          <t>KALMAR LÄN</t>
        </is>
      </c>
      <c r="E755" t="inlineStr">
        <is>
          <t>VIMMERBY</t>
        </is>
      </c>
      <c r="G755" t="n">
        <v>1.2</v>
      </c>
      <c r="H755" t="n">
        <v>0</v>
      </c>
      <c r="I755" t="n">
        <v>0</v>
      </c>
      <c r="J755" t="n">
        <v>0</v>
      </c>
      <c r="K755" t="n">
        <v>0</v>
      </c>
      <c r="L755" t="n">
        <v>0</v>
      </c>
      <c r="M755" t="n">
        <v>0</v>
      </c>
      <c r="N755" t="n">
        <v>0</v>
      </c>
      <c r="O755" t="n">
        <v>0</v>
      </c>
      <c r="P755" t="n">
        <v>0</v>
      </c>
      <c r="Q755" t="n">
        <v>0</v>
      </c>
      <c r="R755" s="2" t="inlineStr"/>
    </row>
    <row r="756" ht="15" customHeight="1">
      <c r="A756" t="inlineStr">
        <is>
          <t>A 11928-2022</t>
        </is>
      </c>
      <c r="B756" s="1" t="n">
        <v>44635</v>
      </c>
      <c r="C756" s="1" t="n">
        <v>45974</v>
      </c>
      <c r="D756" t="inlineStr">
        <is>
          <t>KALMAR LÄN</t>
        </is>
      </c>
      <c r="E756" t="inlineStr">
        <is>
          <t>VIMMERBY</t>
        </is>
      </c>
      <c r="G756" t="n">
        <v>2.8</v>
      </c>
      <c r="H756" t="n">
        <v>0</v>
      </c>
      <c r="I756" t="n">
        <v>0</v>
      </c>
      <c r="J756" t="n">
        <v>0</v>
      </c>
      <c r="K756" t="n">
        <v>0</v>
      </c>
      <c r="L756" t="n">
        <v>0</v>
      </c>
      <c r="M756" t="n">
        <v>0</v>
      </c>
      <c r="N756" t="n">
        <v>0</v>
      </c>
      <c r="O756" t="n">
        <v>0</v>
      </c>
      <c r="P756" t="n">
        <v>0</v>
      </c>
      <c r="Q756" t="n">
        <v>0</v>
      </c>
      <c r="R756" s="2" t="inlineStr"/>
    </row>
    <row r="757" ht="15" customHeight="1">
      <c r="A757" t="inlineStr">
        <is>
          <t>A 7068-2024</t>
        </is>
      </c>
      <c r="B757" s="1" t="n">
        <v>45343.68038194445</v>
      </c>
      <c r="C757" s="1" t="n">
        <v>45974</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46234-2024</t>
        </is>
      </c>
      <c r="B758" s="1" t="n">
        <v>45581.57958333333</v>
      </c>
      <c r="C758" s="1" t="n">
        <v>45974</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37187-2024</t>
        </is>
      </c>
      <c r="B759" s="1" t="n">
        <v>45539.65212962963</v>
      </c>
      <c r="C759" s="1" t="n">
        <v>45974</v>
      </c>
      <c r="D759" t="inlineStr">
        <is>
          <t>KALMAR LÄN</t>
        </is>
      </c>
      <c r="E759" t="inlineStr">
        <is>
          <t>VIMMERBY</t>
        </is>
      </c>
      <c r="G759" t="n">
        <v>2.7</v>
      </c>
      <c r="H759" t="n">
        <v>0</v>
      </c>
      <c r="I759" t="n">
        <v>0</v>
      </c>
      <c r="J759" t="n">
        <v>0</v>
      </c>
      <c r="K759" t="n">
        <v>0</v>
      </c>
      <c r="L759" t="n">
        <v>0</v>
      </c>
      <c r="M759" t="n">
        <v>0</v>
      </c>
      <c r="N759" t="n">
        <v>0</v>
      </c>
      <c r="O759" t="n">
        <v>0</v>
      </c>
      <c r="P759" t="n">
        <v>0</v>
      </c>
      <c r="Q759" t="n">
        <v>0</v>
      </c>
      <c r="R759" s="2" t="inlineStr"/>
    </row>
    <row r="760" ht="15" customHeight="1">
      <c r="A760" t="inlineStr">
        <is>
          <t>A 34060-2025</t>
        </is>
      </c>
      <c r="B760" s="1" t="n">
        <v>45845.42015046296</v>
      </c>
      <c r="C760" s="1" t="n">
        <v>45974</v>
      </c>
      <c r="D760" t="inlineStr">
        <is>
          <t>KALMAR LÄN</t>
        </is>
      </c>
      <c r="E760" t="inlineStr">
        <is>
          <t>VIMMERBY</t>
        </is>
      </c>
      <c r="G760" t="n">
        <v>5.7</v>
      </c>
      <c r="H760" t="n">
        <v>0</v>
      </c>
      <c r="I760" t="n">
        <v>0</v>
      </c>
      <c r="J760" t="n">
        <v>0</v>
      </c>
      <c r="K760" t="n">
        <v>0</v>
      </c>
      <c r="L760" t="n">
        <v>0</v>
      </c>
      <c r="M760" t="n">
        <v>0</v>
      </c>
      <c r="N760" t="n">
        <v>0</v>
      </c>
      <c r="O760" t="n">
        <v>0</v>
      </c>
      <c r="P760" t="n">
        <v>0</v>
      </c>
      <c r="Q760" t="n">
        <v>0</v>
      </c>
      <c r="R760" s="2" t="inlineStr"/>
    </row>
    <row r="761" ht="15" customHeight="1">
      <c r="A761" t="inlineStr">
        <is>
          <t>A 1021-2024</t>
        </is>
      </c>
      <c r="B761" s="1" t="n">
        <v>45301.67736111111</v>
      </c>
      <c r="C761" s="1" t="n">
        <v>45974</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72701-2021</t>
        </is>
      </c>
      <c r="B762" s="1" t="n">
        <v>44546</v>
      </c>
      <c r="C762" s="1" t="n">
        <v>45974</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43465-2025</t>
        </is>
      </c>
      <c r="B763" s="1" t="n">
        <v>45911.47138888889</v>
      </c>
      <c r="C763" s="1" t="n">
        <v>45974</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19111-2025</t>
        </is>
      </c>
      <c r="B764" s="1" t="n">
        <v>45768.65611111111</v>
      </c>
      <c r="C764" s="1" t="n">
        <v>45974</v>
      </c>
      <c r="D764" t="inlineStr">
        <is>
          <t>KALMAR LÄN</t>
        </is>
      </c>
      <c r="E764" t="inlineStr">
        <is>
          <t>VIMMERBY</t>
        </is>
      </c>
      <c r="G764" t="n">
        <v>6.2</v>
      </c>
      <c r="H764" t="n">
        <v>0</v>
      </c>
      <c r="I764" t="n">
        <v>0</v>
      </c>
      <c r="J764" t="n">
        <v>0</v>
      </c>
      <c r="K764" t="n">
        <v>0</v>
      </c>
      <c r="L764" t="n">
        <v>0</v>
      </c>
      <c r="M764" t="n">
        <v>0</v>
      </c>
      <c r="N764" t="n">
        <v>0</v>
      </c>
      <c r="O764" t="n">
        <v>0</v>
      </c>
      <c r="P764" t="n">
        <v>0</v>
      </c>
      <c r="Q764" t="n">
        <v>0</v>
      </c>
      <c r="R764" s="2" t="inlineStr"/>
    </row>
    <row r="765" ht="15" customHeight="1">
      <c r="A765" t="inlineStr">
        <is>
          <t>A 33374-2021</t>
        </is>
      </c>
      <c r="B765" s="1" t="n">
        <v>44377</v>
      </c>
      <c r="C765" s="1" t="n">
        <v>45974</v>
      </c>
      <c r="D765" t="inlineStr">
        <is>
          <t>KALMAR LÄN</t>
        </is>
      </c>
      <c r="E765" t="inlineStr">
        <is>
          <t>VIMMERBY</t>
        </is>
      </c>
      <c r="G765" t="n">
        <v>3.3</v>
      </c>
      <c r="H765" t="n">
        <v>0</v>
      </c>
      <c r="I765" t="n">
        <v>0</v>
      </c>
      <c r="J765" t="n">
        <v>0</v>
      </c>
      <c r="K765" t="n">
        <v>0</v>
      </c>
      <c r="L765" t="n">
        <v>0</v>
      </c>
      <c r="M765" t="n">
        <v>0</v>
      </c>
      <c r="N765" t="n">
        <v>0</v>
      </c>
      <c r="O765" t="n">
        <v>0</v>
      </c>
      <c r="P765" t="n">
        <v>0</v>
      </c>
      <c r="Q765" t="n">
        <v>0</v>
      </c>
      <c r="R765" s="2" t="inlineStr"/>
    </row>
    <row r="766" ht="15" customHeight="1">
      <c r="A766" t="inlineStr">
        <is>
          <t>A 10807-2024</t>
        </is>
      </c>
      <c r="B766" s="1" t="n">
        <v>45369.62780092593</v>
      </c>
      <c r="C766" s="1" t="n">
        <v>45974</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51990-2025</t>
        </is>
      </c>
      <c r="B767" s="1" t="n">
        <v>45952.58061342593</v>
      </c>
      <c r="C767" s="1" t="n">
        <v>45974</v>
      </c>
      <c r="D767" t="inlineStr">
        <is>
          <t>KALMAR LÄN</t>
        </is>
      </c>
      <c r="E767" t="inlineStr">
        <is>
          <t>VIMMERBY</t>
        </is>
      </c>
      <c r="G767" t="n">
        <v>2.4</v>
      </c>
      <c r="H767" t="n">
        <v>0</v>
      </c>
      <c r="I767" t="n">
        <v>0</v>
      </c>
      <c r="J767" t="n">
        <v>0</v>
      </c>
      <c r="K767" t="n">
        <v>0</v>
      </c>
      <c r="L767" t="n">
        <v>0</v>
      </c>
      <c r="M767" t="n">
        <v>0</v>
      </c>
      <c r="N767" t="n">
        <v>0</v>
      </c>
      <c r="O767" t="n">
        <v>0</v>
      </c>
      <c r="P767" t="n">
        <v>0</v>
      </c>
      <c r="Q767" t="n">
        <v>0</v>
      </c>
      <c r="R767" s="2" t="inlineStr"/>
    </row>
    <row r="768" ht="15" customHeight="1">
      <c r="A768" t="inlineStr">
        <is>
          <t>A 33359-2021</t>
        </is>
      </c>
      <c r="B768" s="1" t="n">
        <v>44377.49684027778</v>
      </c>
      <c r="C768" s="1" t="n">
        <v>45974</v>
      </c>
      <c r="D768" t="inlineStr">
        <is>
          <t>KALMAR LÄN</t>
        </is>
      </c>
      <c r="E768" t="inlineStr">
        <is>
          <t>VIMMERBY</t>
        </is>
      </c>
      <c r="F768" t="inlineStr">
        <is>
          <t>Kommuner</t>
        </is>
      </c>
      <c r="G768" t="n">
        <v>8</v>
      </c>
      <c r="H768" t="n">
        <v>0</v>
      </c>
      <c r="I768" t="n">
        <v>0</v>
      </c>
      <c r="J768" t="n">
        <v>0</v>
      </c>
      <c r="K768" t="n">
        <v>0</v>
      </c>
      <c r="L768" t="n">
        <v>0</v>
      </c>
      <c r="M768" t="n">
        <v>0</v>
      </c>
      <c r="N768" t="n">
        <v>0</v>
      </c>
      <c r="O768" t="n">
        <v>0</v>
      </c>
      <c r="P768" t="n">
        <v>0</v>
      </c>
      <c r="Q768" t="n">
        <v>0</v>
      </c>
      <c r="R768" s="2" t="inlineStr"/>
    </row>
    <row r="769" ht="15" customHeight="1">
      <c r="A769" t="inlineStr">
        <is>
          <t>A 43617-2025</t>
        </is>
      </c>
      <c r="B769" s="1" t="n">
        <v>45911.67798611111</v>
      </c>
      <c r="C769" s="1" t="n">
        <v>45974</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34588-2024</t>
        </is>
      </c>
      <c r="B770" s="1" t="n">
        <v>45526.3865625</v>
      </c>
      <c r="C770" s="1" t="n">
        <v>45974</v>
      </c>
      <c r="D770" t="inlineStr">
        <is>
          <t>KALMAR LÄN</t>
        </is>
      </c>
      <c r="E770" t="inlineStr">
        <is>
          <t>VIMMERBY</t>
        </is>
      </c>
      <c r="F770" t="inlineStr">
        <is>
          <t>Övriga Aktiebolag</t>
        </is>
      </c>
      <c r="G770" t="n">
        <v>3.3</v>
      </c>
      <c r="H770" t="n">
        <v>0</v>
      </c>
      <c r="I770" t="n">
        <v>0</v>
      </c>
      <c r="J770" t="n">
        <v>0</v>
      </c>
      <c r="K770" t="n">
        <v>0</v>
      </c>
      <c r="L770" t="n">
        <v>0</v>
      </c>
      <c r="M770" t="n">
        <v>0</v>
      </c>
      <c r="N770" t="n">
        <v>0</v>
      </c>
      <c r="O770" t="n">
        <v>0</v>
      </c>
      <c r="P770" t="n">
        <v>0</v>
      </c>
      <c r="Q770" t="n">
        <v>0</v>
      </c>
      <c r="R770" s="2" t="inlineStr"/>
    </row>
    <row r="771" ht="15" customHeight="1">
      <c r="A771" t="inlineStr">
        <is>
          <t>A 17084-2025</t>
        </is>
      </c>
      <c r="B771" s="1" t="n">
        <v>45755.64450231481</v>
      </c>
      <c r="C771" s="1" t="n">
        <v>45974</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33161-2024</t>
        </is>
      </c>
      <c r="B772" s="1" t="n">
        <v>45518.40657407408</v>
      </c>
      <c r="C772" s="1" t="n">
        <v>45974</v>
      </c>
      <c r="D772" t="inlineStr">
        <is>
          <t>KALMAR LÄN</t>
        </is>
      </c>
      <c r="E772" t="inlineStr">
        <is>
          <t>VIMMERBY</t>
        </is>
      </c>
      <c r="G772" t="n">
        <v>4.7</v>
      </c>
      <c r="H772" t="n">
        <v>0</v>
      </c>
      <c r="I772" t="n">
        <v>0</v>
      </c>
      <c r="J772" t="n">
        <v>0</v>
      </c>
      <c r="K772" t="n">
        <v>0</v>
      </c>
      <c r="L772" t="n">
        <v>0</v>
      </c>
      <c r="M772" t="n">
        <v>0</v>
      </c>
      <c r="N772" t="n">
        <v>0</v>
      </c>
      <c r="O772" t="n">
        <v>0</v>
      </c>
      <c r="P772" t="n">
        <v>0</v>
      </c>
      <c r="Q772" t="n">
        <v>0</v>
      </c>
      <c r="R772" s="2" t="inlineStr"/>
    </row>
    <row r="773" ht="15" customHeight="1">
      <c r="A773" t="inlineStr">
        <is>
          <t>A 14359-2025</t>
        </is>
      </c>
      <c r="B773" s="1" t="n">
        <v>45741.37270833334</v>
      </c>
      <c r="C773" s="1" t="n">
        <v>45974</v>
      </c>
      <c r="D773" t="inlineStr">
        <is>
          <t>KALMAR LÄN</t>
        </is>
      </c>
      <c r="E773" t="inlineStr">
        <is>
          <t>VIMMERBY</t>
        </is>
      </c>
      <c r="G773" t="n">
        <v>2</v>
      </c>
      <c r="H773" t="n">
        <v>0</v>
      </c>
      <c r="I773" t="n">
        <v>0</v>
      </c>
      <c r="J773" t="n">
        <v>0</v>
      </c>
      <c r="K773" t="n">
        <v>0</v>
      </c>
      <c r="L773" t="n">
        <v>0</v>
      </c>
      <c r="M773" t="n">
        <v>0</v>
      </c>
      <c r="N773" t="n">
        <v>0</v>
      </c>
      <c r="O773" t="n">
        <v>0</v>
      </c>
      <c r="P773" t="n">
        <v>0</v>
      </c>
      <c r="Q773" t="n">
        <v>0</v>
      </c>
      <c r="R773" s="2" t="inlineStr"/>
    </row>
    <row r="774" ht="15" customHeight="1">
      <c r="A774" t="inlineStr">
        <is>
          <t>A 51993-2025</t>
        </is>
      </c>
      <c r="B774" s="1" t="n">
        <v>45952.58194444444</v>
      </c>
      <c r="C774" s="1" t="n">
        <v>45974</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7075-2021</t>
        </is>
      </c>
      <c r="B775" s="1" t="n">
        <v>44237</v>
      </c>
      <c r="C775" s="1" t="n">
        <v>45974</v>
      </c>
      <c r="D775" t="inlineStr">
        <is>
          <t>KALMAR LÄN</t>
        </is>
      </c>
      <c r="E775" t="inlineStr">
        <is>
          <t>VIMMERBY</t>
        </is>
      </c>
      <c r="G775" t="n">
        <v>3.6</v>
      </c>
      <c r="H775" t="n">
        <v>0</v>
      </c>
      <c r="I775" t="n">
        <v>0</v>
      </c>
      <c r="J775" t="n">
        <v>0</v>
      </c>
      <c r="K775" t="n">
        <v>0</v>
      </c>
      <c r="L775" t="n">
        <v>0</v>
      </c>
      <c r="M775" t="n">
        <v>0</v>
      </c>
      <c r="N775" t="n">
        <v>0</v>
      </c>
      <c r="O775" t="n">
        <v>0</v>
      </c>
      <c r="P775" t="n">
        <v>0</v>
      </c>
      <c r="Q775" t="n">
        <v>0</v>
      </c>
      <c r="R775" s="2" t="inlineStr"/>
    </row>
    <row r="776" ht="15" customHeight="1">
      <c r="A776" t="inlineStr">
        <is>
          <t>A 55605-2024</t>
        </is>
      </c>
      <c r="B776" s="1" t="n">
        <v>45622</v>
      </c>
      <c r="C776" s="1" t="n">
        <v>45974</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44464-2024</t>
        </is>
      </c>
      <c r="B777" s="1" t="n">
        <v>45574.35809027778</v>
      </c>
      <c r="C777" s="1" t="n">
        <v>45974</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44095-2025</t>
        </is>
      </c>
      <c r="B778" s="1" t="n">
        <v>45915.56430555556</v>
      </c>
      <c r="C778" s="1" t="n">
        <v>45974</v>
      </c>
      <c r="D778" t="inlineStr">
        <is>
          <t>KALMAR LÄN</t>
        </is>
      </c>
      <c r="E778" t="inlineStr">
        <is>
          <t>VIMMERBY</t>
        </is>
      </c>
      <c r="G778" t="n">
        <v>2.4</v>
      </c>
      <c r="H778" t="n">
        <v>0</v>
      </c>
      <c r="I778" t="n">
        <v>0</v>
      </c>
      <c r="J778" t="n">
        <v>0</v>
      </c>
      <c r="K778" t="n">
        <v>0</v>
      </c>
      <c r="L778" t="n">
        <v>0</v>
      </c>
      <c r="M778" t="n">
        <v>0</v>
      </c>
      <c r="N778" t="n">
        <v>0</v>
      </c>
      <c r="O778" t="n">
        <v>0</v>
      </c>
      <c r="P778" t="n">
        <v>0</v>
      </c>
      <c r="Q778" t="n">
        <v>0</v>
      </c>
      <c r="R778" s="2" t="inlineStr"/>
    </row>
    <row r="779" ht="15" customHeight="1">
      <c r="A779" t="inlineStr">
        <is>
          <t>A 52451-2025</t>
        </is>
      </c>
      <c r="B779" s="1" t="n">
        <v>45954.42326388889</v>
      </c>
      <c r="C779" s="1" t="n">
        <v>45974</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36049-2024</t>
        </is>
      </c>
      <c r="B780" s="1" t="n">
        <v>45533.61996527778</v>
      </c>
      <c r="C780" s="1" t="n">
        <v>45974</v>
      </c>
      <c r="D780" t="inlineStr">
        <is>
          <t>KALMAR LÄN</t>
        </is>
      </c>
      <c r="E780" t="inlineStr">
        <is>
          <t>VIMMERBY</t>
        </is>
      </c>
      <c r="F780" t="inlineStr">
        <is>
          <t>Kommuner</t>
        </is>
      </c>
      <c r="G780" t="n">
        <v>2.6</v>
      </c>
      <c r="H780" t="n">
        <v>0</v>
      </c>
      <c r="I780" t="n">
        <v>0</v>
      </c>
      <c r="J780" t="n">
        <v>0</v>
      </c>
      <c r="K780" t="n">
        <v>0</v>
      </c>
      <c r="L780" t="n">
        <v>0</v>
      </c>
      <c r="M780" t="n">
        <v>0</v>
      </c>
      <c r="N780" t="n">
        <v>0</v>
      </c>
      <c r="O780" t="n">
        <v>0</v>
      </c>
      <c r="P780" t="n">
        <v>0</v>
      </c>
      <c r="Q780" t="n">
        <v>0</v>
      </c>
      <c r="R780" s="2" t="inlineStr"/>
    </row>
    <row r="781" ht="15" customHeight="1">
      <c r="A781" t="inlineStr">
        <is>
          <t>A 4297-2022</t>
        </is>
      </c>
      <c r="B781" s="1" t="n">
        <v>44588</v>
      </c>
      <c r="C781" s="1" t="n">
        <v>45974</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46399-2024</t>
        </is>
      </c>
      <c r="B782" s="1" t="n">
        <v>45582.41200231481</v>
      </c>
      <c r="C782" s="1" t="n">
        <v>45974</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52473-2025</t>
        </is>
      </c>
      <c r="B783" s="1" t="n">
        <v>45954.45947916667</v>
      </c>
      <c r="C783" s="1" t="n">
        <v>45974</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52480-2025</t>
        </is>
      </c>
      <c r="B784" s="1" t="n">
        <v>45954.47172453703</v>
      </c>
      <c r="C784" s="1" t="n">
        <v>45974</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44091-2025</t>
        </is>
      </c>
      <c r="B785" s="1" t="n">
        <v>45915.55950231481</v>
      </c>
      <c r="C785" s="1" t="n">
        <v>45974</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13532-2025</t>
        </is>
      </c>
      <c r="B786" s="1" t="n">
        <v>45736.50743055555</v>
      </c>
      <c r="C786" s="1" t="n">
        <v>45974</v>
      </c>
      <c r="D786" t="inlineStr">
        <is>
          <t>KALMAR LÄN</t>
        </is>
      </c>
      <c r="E786" t="inlineStr">
        <is>
          <t>VIMMERBY</t>
        </is>
      </c>
      <c r="G786" t="n">
        <v>3.6</v>
      </c>
      <c r="H786" t="n">
        <v>0</v>
      </c>
      <c r="I786" t="n">
        <v>0</v>
      </c>
      <c r="J786" t="n">
        <v>0</v>
      </c>
      <c r="K786" t="n">
        <v>0</v>
      </c>
      <c r="L786" t="n">
        <v>0</v>
      </c>
      <c r="M786" t="n">
        <v>0</v>
      </c>
      <c r="N786" t="n">
        <v>0</v>
      </c>
      <c r="O786" t="n">
        <v>0</v>
      </c>
      <c r="P786" t="n">
        <v>0</v>
      </c>
      <c r="Q786" t="n">
        <v>0</v>
      </c>
      <c r="R786" s="2" t="inlineStr"/>
    </row>
    <row r="787" ht="15" customHeight="1">
      <c r="A787" t="inlineStr">
        <is>
          <t>A 52466-2025</t>
        </is>
      </c>
      <c r="B787" s="1" t="n">
        <v>45954.44707175926</v>
      </c>
      <c r="C787" s="1" t="n">
        <v>45974</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43038-2022</t>
        </is>
      </c>
      <c r="B788" s="1" t="n">
        <v>44833.60123842592</v>
      </c>
      <c r="C788" s="1" t="n">
        <v>45974</v>
      </c>
      <c r="D788" t="inlineStr">
        <is>
          <t>KALMAR LÄN</t>
        </is>
      </c>
      <c r="E788" t="inlineStr">
        <is>
          <t>VIMMERBY</t>
        </is>
      </c>
      <c r="G788" t="n">
        <v>4.2</v>
      </c>
      <c r="H788" t="n">
        <v>0</v>
      </c>
      <c r="I788" t="n">
        <v>0</v>
      </c>
      <c r="J788" t="n">
        <v>0</v>
      </c>
      <c r="K788" t="n">
        <v>0</v>
      </c>
      <c r="L788" t="n">
        <v>0</v>
      </c>
      <c r="M788" t="n">
        <v>0</v>
      </c>
      <c r="N788" t="n">
        <v>0</v>
      </c>
      <c r="O788" t="n">
        <v>0</v>
      </c>
      <c r="P788" t="n">
        <v>0</v>
      </c>
      <c r="Q788" t="n">
        <v>0</v>
      </c>
      <c r="R788" s="2" t="inlineStr"/>
    </row>
    <row r="789" ht="15" customHeight="1">
      <c r="A789" t="inlineStr">
        <is>
          <t>A 52475-2025</t>
        </is>
      </c>
      <c r="B789" s="1" t="n">
        <v>45954.468125</v>
      </c>
      <c r="C789" s="1" t="n">
        <v>45974</v>
      </c>
      <c r="D789" t="inlineStr">
        <is>
          <t>KALMAR LÄN</t>
        </is>
      </c>
      <c r="E789" t="inlineStr">
        <is>
          <t>VIMMERBY</t>
        </is>
      </c>
      <c r="G789" t="n">
        <v>1.5</v>
      </c>
      <c r="H789" t="n">
        <v>0</v>
      </c>
      <c r="I789" t="n">
        <v>0</v>
      </c>
      <c r="J789" t="n">
        <v>0</v>
      </c>
      <c r="K789" t="n">
        <v>0</v>
      </c>
      <c r="L789" t="n">
        <v>0</v>
      </c>
      <c r="M789" t="n">
        <v>0</v>
      </c>
      <c r="N789" t="n">
        <v>0</v>
      </c>
      <c r="O789" t="n">
        <v>0</v>
      </c>
      <c r="P789" t="n">
        <v>0</v>
      </c>
      <c r="Q789" t="n">
        <v>0</v>
      </c>
      <c r="R789" s="2" t="inlineStr"/>
    </row>
    <row r="790" ht="15" customHeight="1">
      <c r="A790" t="inlineStr">
        <is>
          <t>A 12596-2021</t>
        </is>
      </c>
      <c r="B790" s="1" t="n">
        <v>44270.39765046296</v>
      </c>
      <c r="C790" s="1" t="n">
        <v>45974</v>
      </c>
      <c r="D790" t="inlineStr">
        <is>
          <t>KALMAR LÄN</t>
        </is>
      </c>
      <c r="E790" t="inlineStr">
        <is>
          <t>VIMMERBY</t>
        </is>
      </c>
      <c r="F790" t="inlineStr">
        <is>
          <t>Sveaskog</t>
        </is>
      </c>
      <c r="G790" t="n">
        <v>3.1</v>
      </c>
      <c r="H790" t="n">
        <v>0</v>
      </c>
      <c r="I790" t="n">
        <v>0</v>
      </c>
      <c r="J790" t="n">
        <v>0</v>
      </c>
      <c r="K790" t="n">
        <v>0</v>
      </c>
      <c r="L790" t="n">
        <v>0</v>
      </c>
      <c r="M790" t="n">
        <v>0</v>
      </c>
      <c r="N790" t="n">
        <v>0</v>
      </c>
      <c r="O790" t="n">
        <v>0</v>
      </c>
      <c r="P790" t="n">
        <v>0</v>
      </c>
      <c r="Q790" t="n">
        <v>0</v>
      </c>
      <c r="R790" s="2" t="inlineStr"/>
    </row>
    <row r="791" ht="15" customHeight="1">
      <c r="A791" t="inlineStr">
        <is>
          <t>A 52465-2025</t>
        </is>
      </c>
      <c r="B791" s="1" t="n">
        <v>45954.44543981482</v>
      </c>
      <c r="C791" s="1" t="n">
        <v>45974</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52516-2025</t>
        </is>
      </c>
      <c r="B792" s="1" t="n">
        <v>45954.51412037037</v>
      </c>
      <c r="C792" s="1" t="n">
        <v>45974</v>
      </c>
      <c r="D792" t="inlineStr">
        <is>
          <t>KALMAR LÄN</t>
        </is>
      </c>
      <c r="E792" t="inlineStr">
        <is>
          <t>VIMMERBY</t>
        </is>
      </c>
      <c r="G792" t="n">
        <v>2.8</v>
      </c>
      <c r="H792" t="n">
        <v>0</v>
      </c>
      <c r="I792" t="n">
        <v>0</v>
      </c>
      <c r="J792" t="n">
        <v>0</v>
      </c>
      <c r="K792" t="n">
        <v>0</v>
      </c>
      <c r="L792" t="n">
        <v>0</v>
      </c>
      <c r="M792" t="n">
        <v>0</v>
      </c>
      <c r="N792" t="n">
        <v>0</v>
      </c>
      <c r="O792" t="n">
        <v>0</v>
      </c>
      <c r="P792" t="n">
        <v>0</v>
      </c>
      <c r="Q792" t="n">
        <v>0</v>
      </c>
      <c r="R792" s="2" t="inlineStr"/>
    </row>
    <row r="793" ht="15" customHeight="1">
      <c r="A793" t="inlineStr">
        <is>
          <t>A 57799-2022</t>
        </is>
      </c>
      <c r="B793" s="1" t="n">
        <v>44897</v>
      </c>
      <c r="C793" s="1" t="n">
        <v>45974</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30921-2024</t>
        </is>
      </c>
      <c r="B794" s="1" t="n">
        <v>45498</v>
      </c>
      <c r="C794" s="1" t="n">
        <v>45974</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53393-2025</t>
        </is>
      </c>
      <c r="B795" s="1" t="n">
        <v>45959.55284722222</v>
      </c>
      <c r="C795" s="1" t="n">
        <v>45974</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53398-2025</t>
        </is>
      </c>
      <c r="B796" s="1" t="n">
        <v>45959.56247685185</v>
      </c>
      <c r="C796" s="1" t="n">
        <v>45974</v>
      </c>
      <c r="D796" t="inlineStr">
        <is>
          <t>KALMAR LÄN</t>
        </is>
      </c>
      <c r="E796" t="inlineStr">
        <is>
          <t>VIMMERBY</t>
        </is>
      </c>
      <c r="G796" t="n">
        <v>0.8</v>
      </c>
      <c r="H796" t="n">
        <v>0</v>
      </c>
      <c r="I796" t="n">
        <v>0</v>
      </c>
      <c r="J796" t="n">
        <v>0</v>
      </c>
      <c r="K796" t="n">
        <v>0</v>
      </c>
      <c r="L796" t="n">
        <v>0</v>
      </c>
      <c r="M796" t="n">
        <v>0</v>
      </c>
      <c r="N796" t="n">
        <v>0</v>
      </c>
      <c r="O796" t="n">
        <v>0</v>
      </c>
      <c r="P796" t="n">
        <v>0</v>
      </c>
      <c r="Q796" t="n">
        <v>0</v>
      </c>
      <c r="R796" s="2" t="inlineStr"/>
    </row>
    <row r="797" ht="15" customHeight="1">
      <c r="A797" t="inlineStr">
        <is>
          <t>A 44517-2025</t>
        </is>
      </c>
      <c r="B797" s="1" t="n">
        <v>45916.7103587963</v>
      </c>
      <c r="C797" s="1" t="n">
        <v>45974</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14137-2023</t>
        </is>
      </c>
      <c r="B798" s="1" t="n">
        <v>45009.4671875</v>
      </c>
      <c r="C798" s="1" t="n">
        <v>45974</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44742-2025</t>
        </is>
      </c>
      <c r="B799" s="1" t="n">
        <v>45917.67054398148</v>
      </c>
      <c r="C799" s="1" t="n">
        <v>45974</v>
      </c>
      <c r="D799" t="inlineStr">
        <is>
          <t>KALMAR LÄN</t>
        </is>
      </c>
      <c r="E799" t="inlineStr">
        <is>
          <t>VIMMERBY</t>
        </is>
      </c>
      <c r="G799" t="n">
        <v>4.7</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45974</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44329-2025</t>
        </is>
      </c>
      <c r="B801" s="1" t="n">
        <v>45916.41019675926</v>
      </c>
      <c r="C801" s="1" t="n">
        <v>45974</v>
      </c>
      <c r="D801" t="inlineStr">
        <is>
          <t>KALMAR LÄN</t>
        </is>
      </c>
      <c r="E801" t="inlineStr">
        <is>
          <t>VIMMERBY</t>
        </is>
      </c>
      <c r="G801" t="n">
        <v>4.3</v>
      </c>
      <c r="H801" t="n">
        <v>0</v>
      </c>
      <c r="I801" t="n">
        <v>0</v>
      </c>
      <c r="J801" t="n">
        <v>0</v>
      </c>
      <c r="K801" t="n">
        <v>0</v>
      </c>
      <c r="L801" t="n">
        <v>0</v>
      </c>
      <c r="M801" t="n">
        <v>0</v>
      </c>
      <c r="N801" t="n">
        <v>0</v>
      </c>
      <c r="O801" t="n">
        <v>0</v>
      </c>
      <c r="P801" t="n">
        <v>0</v>
      </c>
      <c r="Q801" t="n">
        <v>0</v>
      </c>
      <c r="R801" s="2" t="inlineStr"/>
    </row>
    <row r="802" ht="15" customHeight="1">
      <c r="A802" t="inlineStr">
        <is>
          <t>A 41896-2025</t>
        </is>
      </c>
      <c r="B802" s="1" t="n">
        <v>45903.38800925926</v>
      </c>
      <c r="C802" s="1" t="n">
        <v>45974</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12499-2023</t>
        </is>
      </c>
      <c r="B803" s="1" t="n">
        <v>44999.86172453704</v>
      </c>
      <c r="C803" s="1" t="n">
        <v>45974</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12500-2023</t>
        </is>
      </c>
      <c r="B804" s="1" t="n">
        <v>44999.8625</v>
      </c>
      <c r="C804" s="1" t="n">
        <v>45974</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35846-2023</t>
        </is>
      </c>
      <c r="B805" s="1" t="n">
        <v>45148</v>
      </c>
      <c r="C805" s="1" t="n">
        <v>45974</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53413-2025</t>
        </is>
      </c>
      <c r="B806" s="1" t="n">
        <v>45959.5787037037</v>
      </c>
      <c r="C806" s="1" t="n">
        <v>45974</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49039-2021</t>
        </is>
      </c>
      <c r="B807" s="1" t="n">
        <v>44453.56578703703</v>
      </c>
      <c r="C807" s="1" t="n">
        <v>45974</v>
      </c>
      <c r="D807" t="inlineStr">
        <is>
          <t>KALMAR LÄN</t>
        </is>
      </c>
      <c r="E807" t="inlineStr">
        <is>
          <t>VIMMERBY</t>
        </is>
      </c>
      <c r="G807" t="n">
        <v>0.6</v>
      </c>
      <c r="H807" t="n">
        <v>0</v>
      </c>
      <c r="I807" t="n">
        <v>0</v>
      </c>
      <c r="J807" t="n">
        <v>0</v>
      </c>
      <c r="K807" t="n">
        <v>0</v>
      </c>
      <c r="L807" t="n">
        <v>0</v>
      </c>
      <c r="M807" t="n">
        <v>0</v>
      </c>
      <c r="N807" t="n">
        <v>0</v>
      </c>
      <c r="O807" t="n">
        <v>0</v>
      </c>
      <c r="P807" t="n">
        <v>0</v>
      </c>
      <c r="Q807" t="n">
        <v>0</v>
      </c>
      <c r="R807" s="2" t="inlineStr"/>
    </row>
    <row r="808" ht="15" customHeight="1">
      <c r="A808" t="inlineStr">
        <is>
          <t>A 53397-2025</t>
        </is>
      </c>
      <c r="B808" s="1" t="n">
        <v>45959.55918981481</v>
      </c>
      <c r="C808" s="1" t="n">
        <v>45974</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53220-2025</t>
        </is>
      </c>
      <c r="B809" s="1" t="n">
        <v>45958.60146990741</v>
      </c>
      <c r="C809" s="1" t="n">
        <v>45974</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53396-2025</t>
        </is>
      </c>
      <c r="B810" s="1" t="n">
        <v>45959.55577546296</v>
      </c>
      <c r="C810" s="1" t="n">
        <v>45974</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53416-2025</t>
        </is>
      </c>
      <c r="B811" s="1" t="n">
        <v>45959.58387731481</v>
      </c>
      <c r="C811" s="1" t="n">
        <v>45974</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46224-2024</t>
        </is>
      </c>
      <c r="B812" s="1" t="n">
        <v>45581.57016203704</v>
      </c>
      <c r="C812" s="1" t="n">
        <v>45974</v>
      </c>
      <c r="D812" t="inlineStr">
        <is>
          <t>KALMAR LÄN</t>
        </is>
      </c>
      <c r="E812" t="inlineStr">
        <is>
          <t>VIMMERBY</t>
        </is>
      </c>
      <c r="G812" t="n">
        <v>3.1</v>
      </c>
      <c r="H812" t="n">
        <v>0</v>
      </c>
      <c r="I812" t="n">
        <v>0</v>
      </c>
      <c r="J812" t="n">
        <v>0</v>
      </c>
      <c r="K812" t="n">
        <v>0</v>
      </c>
      <c r="L812" t="n">
        <v>0</v>
      </c>
      <c r="M812" t="n">
        <v>0</v>
      </c>
      <c r="N812" t="n">
        <v>0</v>
      </c>
      <c r="O812" t="n">
        <v>0</v>
      </c>
      <c r="P812" t="n">
        <v>0</v>
      </c>
      <c r="Q812" t="n">
        <v>0</v>
      </c>
      <c r="R812" s="2" t="inlineStr"/>
    </row>
    <row r="813" ht="15" customHeight="1">
      <c r="A813" t="inlineStr">
        <is>
          <t>A 46238-2024</t>
        </is>
      </c>
      <c r="B813" s="1" t="n">
        <v>45581.58418981481</v>
      </c>
      <c r="C813" s="1" t="n">
        <v>45974</v>
      </c>
      <c r="D813" t="inlineStr">
        <is>
          <t>KALMAR LÄN</t>
        </is>
      </c>
      <c r="E813" t="inlineStr">
        <is>
          <t>VIMMERBY</t>
        </is>
      </c>
      <c r="G813" t="n">
        <v>2.1</v>
      </c>
      <c r="H813" t="n">
        <v>0</v>
      </c>
      <c r="I813" t="n">
        <v>0</v>
      </c>
      <c r="J813" t="n">
        <v>0</v>
      </c>
      <c r="K813" t="n">
        <v>0</v>
      </c>
      <c r="L813" t="n">
        <v>0</v>
      </c>
      <c r="M813" t="n">
        <v>0</v>
      </c>
      <c r="N813" t="n">
        <v>0</v>
      </c>
      <c r="O813" t="n">
        <v>0</v>
      </c>
      <c r="P813" t="n">
        <v>0</v>
      </c>
      <c r="Q813" t="n">
        <v>0</v>
      </c>
      <c r="R813" s="2" t="inlineStr"/>
    </row>
    <row r="814" ht="15" customHeight="1">
      <c r="A814" t="inlineStr">
        <is>
          <t>A 30633-2024</t>
        </is>
      </c>
      <c r="B814" s="1" t="n">
        <v>45495</v>
      </c>
      <c r="C814" s="1" t="n">
        <v>45974</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54838-2024</t>
        </is>
      </c>
      <c r="B815" s="1" t="n">
        <v>45618.56787037037</v>
      </c>
      <c r="C815" s="1" t="n">
        <v>45974</v>
      </c>
      <c r="D815" t="inlineStr">
        <is>
          <t>KALMAR LÄN</t>
        </is>
      </c>
      <c r="E815" t="inlineStr">
        <is>
          <t>VIMMERBY</t>
        </is>
      </c>
      <c r="G815" t="n">
        <v>3.3</v>
      </c>
      <c r="H815" t="n">
        <v>0</v>
      </c>
      <c r="I815" t="n">
        <v>0</v>
      </c>
      <c r="J815" t="n">
        <v>0</v>
      </c>
      <c r="K815" t="n">
        <v>0</v>
      </c>
      <c r="L815" t="n">
        <v>0</v>
      </c>
      <c r="M815" t="n">
        <v>0</v>
      </c>
      <c r="N815" t="n">
        <v>0</v>
      </c>
      <c r="O815" t="n">
        <v>0</v>
      </c>
      <c r="P815" t="n">
        <v>0</v>
      </c>
      <c r="Q815" t="n">
        <v>0</v>
      </c>
      <c r="R815" s="2" t="inlineStr"/>
    </row>
    <row r="816" ht="15" customHeight="1">
      <c r="A816" t="inlineStr">
        <is>
          <t>A 6405-2025</t>
        </is>
      </c>
      <c r="B816" s="1" t="n">
        <v>45699.45392361111</v>
      </c>
      <c r="C816" s="1" t="n">
        <v>45974</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53923-2025</t>
        </is>
      </c>
      <c r="B817" s="1" t="n">
        <v>45961.4569212963</v>
      </c>
      <c r="C817" s="1" t="n">
        <v>45974</v>
      </c>
      <c r="D817" t="inlineStr">
        <is>
          <t>KALMAR LÄN</t>
        </is>
      </c>
      <c r="E817" t="inlineStr">
        <is>
          <t>VIMMERBY</t>
        </is>
      </c>
      <c r="G817" t="n">
        <v>2.4</v>
      </c>
      <c r="H817" t="n">
        <v>0</v>
      </c>
      <c r="I817" t="n">
        <v>0</v>
      </c>
      <c r="J817" t="n">
        <v>0</v>
      </c>
      <c r="K817" t="n">
        <v>0</v>
      </c>
      <c r="L817" t="n">
        <v>0</v>
      </c>
      <c r="M817" t="n">
        <v>0</v>
      </c>
      <c r="N817" t="n">
        <v>0</v>
      </c>
      <c r="O817" t="n">
        <v>0</v>
      </c>
      <c r="P817" t="n">
        <v>0</v>
      </c>
      <c r="Q817" t="n">
        <v>0</v>
      </c>
      <c r="R817" s="2" t="inlineStr"/>
    </row>
    <row r="818" ht="15" customHeight="1">
      <c r="A818" t="inlineStr">
        <is>
          <t>A 60437-2023</t>
        </is>
      </c>
      <c r="B818" s="1" t="n">
        <v>45259.51916666667</v>
      </c>
      <c r="C818" s="1" t="n">
        <v>45974</v>
      </c>
      <c r="D818" t="inlineStr">
        <is>
          <t>KALMAR LÄN</t>
        </is>
      </c>
      <c r="E818" t="inlineStr">
        <is>
          <t>VIMMERBY</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60438-2023</t>
        </is>
      </c>
      <c r="B819" s="1" t="n">
        <v>45259.52020833334</v>
      </c>
      <c r="C819" s="1" t="n">
        <v>45974</v>
      </c>
      <c r="D819" t="inlineStr">
        <is>
          <t>KALMAR LÄN</t>
        </is>
      </c>
      <c r="E819" t="inlineStr">
        <is>
          <t>VIMMERBY</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42165-2024</t>
        </is>
      </c>
      <c r="B820" s="1" t="n">
        <v>45562.46342592593</v>
      </c>
      <c r="C820" s="1" t="n">
        <v>45974</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53927-2025</t>
        </is>
      </c>
      <c r="B821" s="1" t="n">
        <v>45961.46740740741</v>
      </c>
      <c r="C821" s="1" t="n">
        <v>45974</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53933-2025</t>
        </is>
      </c>
      <c r="B822" s="1" t="n">
        <v>45961.47650462963</v>
      </c>
      <c r="C822" s="1" t="n">
        <v>45974</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25244-2023</t>
        </is>
      </c>
      <c r="B823" s="1" t="n">
        <v>45086</v>
      </c>
      <c r="C823" s="1" t="n">
        <v>45974</v>
      </c>
      <c r="D823" t="inlineStr">
        <is>
          <t>KALMAR LÄN</t>
        </is>
      </c>
      <c r="E823" t="inlineStr">
        <is>
          <t>VIMMERBY</t>
        </is>
      </c>
      <c r="G823" t="n">
        <v>4.7</v>
      </c>
      <c r="H823" t="n">
        <v>0</v>
      </c>
      <c r="I823" t="n">
        <v>0</v>
      </c>
      <c r="J823" t="n">
        <v>0</v>
      </c>
      <c r="K823" t="n">
        <v>0</v>
      </c>
      <c r="L823" t="n">
        <v>0</v>
      </c>
      <c r="M823" t="n">
        <v>0</v>
      </c>
      <c r="N823" t="n">
        <v>0</v>
      </c>
      <c r="O823" t="n">
        <v>0</v>
      </c>
      <c r="P823" t="n">
        <v>0</v>
      </c>
      <c r="Q823" t="n">
        <v>0</v>
      </c>
      <c r="R823" s="2" t="inlineStr"/>
    </row>
    <row r="824" ht="15" customHeight="1">
      <c r="A824" t="inlineStr">
        <is>
          <t>A 66022-2021</t>
        </is>
      </c>
      <c r="B824" s="1" t="n">
        <v>44517</v>
      </c>
      <c r="C824" s="1" t="n">
        <v>45974</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35895-2024</t>
        </is>
      </c>
      <c r="B825" s="1" t="n">
        <v>45533.38870370371</v>
      </c>
      <c r="C825" s="1" t="n">
        <v>45974</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11073-2023</t>
        </is>
      </c>
      <c r="B826" s="1" t="n">
        <v>44992</v>
      </c>
      <c r="C826" s="1" t="n">
        <v>45974</v>
      </c>
      <c r="D826" t="inlineStr">
        <is>
          <t>KALMAR LÄN</t>
        </is>
      </c>
      <c r="E826" t="inlineStr">
        <is>
          <t>VIMMERBY</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45114-2025</t>
        </is>
      </c>
      <c r="B827" s="1" t="n">
        <v>45919.42387731482</v>
      </c>
      <c r="C827" s="1" t="n">
        <v>45974</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53903-2025</t>
        </is>
      </c>
      <c r="B828" s="1" t="n">
        <v>45961.43738425926</v>
      </c>
      <c r="C828" s="1" t="n">
        <v>45974</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53920-2025</t>
        </is>
      </c>
      <c r="B829" s="1" t="n">
        <v>45961.44951388889</v>
      </c>
      <c r="C829" s="1" t="n">
        <v>45974</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17-2025</t>
        </is>
      </c>
      <c r="B830" s="1" t="n">
        <v>45658.78774305555</v>
      </c>
      <c r="C830" s="1" t="n">
        <v>45974</v>
      </c>
      <c r="D830" t="inlineStr">
        <is>
          <t>KALMAR LÄN</t>
        </is>
      </c>
      <c r="E830" t="inlineStr">
        <is>
          <t>VIMMERBY</t>
        </is>
      </c>
      <c r="G830" t="n">
        <v>4.4</v>
      </c>
      <c r="H830" t="n">
        <v>0</v>
      </c>
      <c r="I830" t="n">
        <v>0</v>
      </c>
      <c r="J830" t="n">
        <v>0</v>
      </c>
      <c r="K830" t="n">
        <v>0</v>
      </c>
      <c r="L830" t="n">
        <v>0</v>
      </c>
      <c r="M830" t="n">
        <v>0</v>
      </c>
      <c r="N830" t="n">
        <v>0</v>
      </c>
      <c r="O830" t="n">
        <v>0</v>
      </c>
      <c r="P830" t="n">
        <v>0</v>
      </c>
      <c r="Q830" t="n">
        <v>0</v>
      </c>
      <c r="R830" s="2" t="inlineStr"/>
    </row>
    <row r="831" ht="15" customHeight="1">
      <c r="A831" t="inlineStr">
        <is>
          <t>A 32655-2023</t>
        </is>
      </c>
      <c r="B831" s="1" t="n">
        <v>45121.61318287037</v>
      </c>
      <c r="C831" s="1" t="n">
        <v>45974</v>
      </c>
      <c r="D831" t="inlineStr">
        <is>
          <t>KALMAR LÄN</t>
        </is>
      </c>
      <c r="E831" t="inlineStr">
        <is>
          <t>VIMMERBY</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63541-2023</t>
        </is>
      </c>
      <c r="B832" s="1" t="n">
        <v>45275.32266203704</v>
      </c>
      <c r="C832" s="1" t="n">
        <v>45974</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45319-2025</t>
        </is>
      </c>
      <c r="B833" s="1" t="n">
        <v>45921.95611111111</v>
      </c>
      <c r="C833" s="1" t="n">
        <v>45974</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28034-2022</t>
        </is>
      </c>
      <c r="B834" s="1" t="n">
        <v>44746.38834490741</v>
      </c>
      <c r="C834" s="1" t="n">
        <v>45974</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5938-2022</t>
        </is>
      </c>
      <c r="B835" s="1" t="n">
        <v>44598</v>
      </c>
      <c r="C835" s="1" t="n">
        <v>45974</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54236-2025</t>
        </is>
      </c>
      <c r="B836" s="1" t="n">
        <v>45964.62671296296</v>
      </c>
      <c r="C836" s="1" t="n">
        <v>45974</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24283-2023</t>
        </is>
      </c>
      <c r="B837" s="1" t="n">
        <v>45079.87827546296</v>
      </c>
      <c r="C837" s="1" t="n">
        <v>45974</v>
      </c>
      <c r="D837" t="inlineStr">
        <is>
          <t>KALMAR LÄN</t>
        </is>
      </c>
      <c r="E837" t="inlineStr">
        <is>
          <t>VIMMERBY</t>
        </is>
      </c>
      <c r="G837" t="n">
        <v>2</v>
      </c>
      <c r="H837" t="n">
        <v>0</v>
      </c>
      <c r="I837" t="n">
        <v>0</v>
      </c>
      <c r="J837" t="n">
        <v>0</v>
      </c>
      <c r="K837" t="n">
        <v>0</v>
      </c>
      <c r="L837" t="n">
        <v>0</v>
      </c>
      <c r="M837" t="n">
        <v>0</v>
      </c>
      <c r="N837" t="n">
        <v>0</v>
      </c>
      <c r="O837" t="n">
        <v>0</v>
      </c>
      <c r="P837" t="n">
        <v>0</v>
      </c>
      <c r="Q837" t="n">
        <v>0</v>
      </c>
      <c r="R837" s="2" t="inlineStr"/>
    </row>
    <row r="838" ht="15" customHeight="1">
      <c r="A838" t="inlineStr">
        <is>
          <t>A 45320-2025</t>
        </is>
      </c>
      <c r="B838" s="1" t="n">
        <v>45921.96395833333</v>
      </c>
      <c r="C838" s="1" t="n">
        <v>45974</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2462-2022</t>
        </is>
      </c>
      <c r="B839" s="1" t="n">
        <v>44579.62225694444</v>
      </c>
      <c r="C839" s="1" t="n">
        <v>45974</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60228-2021</t>
        </is>
      </c>
      <c r="B840" s="1" t="n">
        <v>44495</v>
      </c>
      <c r="C840" s="1" t="n">
        <v>45974</v>
      </c>
      <c r="D840" t="inlineStr">
        <is>
          <t>KALMAR LÄN</t>
        </is>
      </c>
      <c r="E840" t="inlineStr">
        <is>
          <t>VIMMERBY</t>
        </is>
      </c>
      <c r="G840" t="n">
        <v>4.1</v>
      </c>
      <c r="H840" t="n">
        <v>0</v>
      </c>
      <c r="I840" t="n">
        <v>0</v>
      </c>
      <c r="J840" t="n">
        <v>0</v>
      </c>
      <c r="K840" t="n">
        <v>0</v>
      </c>
      <c r="L840" t="n">
        <v>0</v>
      </c>
      <c r="M840" t="n">
        <v>0</v>
      </c>
      <c r="N840" t="n">
        <v>0</v>
      </c>
      <c r="O840" t="n">
        <v>0</v>
      </c>
      <c r="P840" t="n">
        <v>0</v>
      </c>
      <c r="Q840" t="n">
        <v>0</v>
      </c>
      <c r="R840" s="2" t="inlineStr"/>
    </row>
    <row r="841" ht="15" customHeight="1">
      <c r="A841" t="inlineStr">
        <is>
          <t>A 25979-2023</t>
        </is>
      </c>
      <c r="B841" s="1" t="n">
        <v>45090.89653935185</v>
      </c>
      <c r="C841" s="1" t="n">
        <v>45974</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25980-2023</t>
        </is>
      </c>
      <c r="B842" s="1" t="n">
        <v>45090.89880787037</v>
      </c>
      <c r="C842" s="1" t="n">
        <v>45974</v>
      </c>
      <c r="D842" t="inlineStr">
        <is>
          <t>KALMAR LÄN</t>
        </is>
      </c>
      <c r="E842" t="inlineStr">
        <is>
          <t>VIMMERBY</t>
        </is>
      </c>
      <c r="G842" t="n">
        <v>0.7</v>
      </c>
      <c r="H842" t="n">
        <v>0</v>
      </c>
      <c r="I842" t="n">
        <v>0</v>
      </c>
      <c r="J842" t="n">
        <v>0</v>
      </c>
      <c r="K842" t="n">
        <v>0</v>
      </c>
      <c r="L842" t="n">
        <v>0</v>
      </c>
      <c r="M842" t="n">
        <v>0</v>
      </c>
      <c r="N842" t="n">
        <v>0</v>
      </c>
      <c r="O842" t="n">
        <v>0</v>
      </c>
      <c r="P842" t="n">
        <v>0</v>
      </c>
      <c r="Q842" t="n">
        <v>0</v>
      </c>
      <c r="R842" s="2" t="inlineStr"/>
    </row>
    <row r="843" ht="15" customHeight="1">
      <c r="A843" t="inlineStr">
        <is>
          <t>A 12510-2022</t>
        </is>
      </c>
      <c r="B843" s="1" t="n">
        <v>44638.55256944444</v>
      </c>
      <c r="C843" s="1" t="n">
        <v>45974</v>
      </c>
      <c r="D843" t="inlineStr">
        <is>
          <t>KALMAR LÄN</t>
        </is>
      </c>
      <c r="E843" t="inlineStr">
        <is>
          <t>VIMMERBY</t>
        </is>
      </c>
      <c r="G843" t="n">
        <v>2.4</v>
      </c>
      <c r="H843" t="n">
        <v>0</v>
      </c>
      <c r="I843" t="n">
        <v>0</v>
      </c>
      <c r="J843" t="n">
        <v>0</v>
      </c>
      <c r="K843" t="n">
        <v>0</v>
      </c>
      <c r="L843" t="n">
        <v>0</v>
      </c>
      <c r="M843" t="n">
        <v>0</v>
      </c>
      <c r="N843" t="n">
        <v>0</v>
      </c>
      <c r="O843" t="n">
        <v>0</v>
      </c>
      <c r="P843" t="n">
        <v>0</v>
      </c>
      <c r="Q843" t="n">
        <v>0</v>
      </c>
      <c r="R843" s="2" t="inlineStr"/>
    </row>
    <row r="844" ht="15" customHeight="1">
      <c r="A844" t="inlineStr">
        <is>
          <t>A 6358-2022</t>
        </is>
      </c>
      <c r="B844" s="1" t="n">
        <v>44600</v>
      </c>
      <c r="C844" s="1" t="n">
        <v>45974</v>
      </c>
      <c r="D844" t="inlineStr">
        <is>
          <t>KALMAR LÄN</t>
        </is>
      </c>
      <c r="E844" t="inlineStr">
        <is>
          <t>VIMMERBY</t>
        </is>
      </c>
      <c r="G844" t="n">
        <v>1.7</v>
      </c>
      <c r="H844" t="n">
        <v>0</v>
      </c>
      <c r="I844" t="n">
        <v>0</v>
      </c>
      <c r="J844" t="n">
        <v>0</v>
      </c>
      <c r="K844" t="n">
        <v>0</v>
      </c>
      <c r="L844" t="n">
        <v>0</v>
      </c>
      <c r="M844" t="n">
        <v>0</v>
      </c>
      <c r="N844" t="n">
        <v>0</v>
      </c>
      <c r="O844" t="n">
        <v>0</v>
      </c>
      <c r="P844" t="n">
        <v>0</v>
      </c>
      <c r="Q844" t="n">
        <v>0</v>
      </c>
      <c r="R844" s="2" t="inlineStr"/>
    </row>
    <row r="845" ht="15" customHeight="1">
      <c r="A845" t="inlineStr">
        <is>
          <t>A 54234-2025</t>
        </is>
      </c>
      <c r="B845" s="1" t="n">
        <v>45964.62486111111</v>
      </c>
      <c r="C845" s="1" t="n">
        <v>45974</v>
      </c>
      <c r="D845" t="inlineStr">
        <is>
          <t>KALMAR LÄN</t>
        </is>
      </c>
      <c r="E845" t="inlineStr">
        <is>
          <t>VIMMERBY</t>
        </is>
      </c>
      <c r="G845" t="n">
        <v>4.1</v>
      </c>
      <c r="H845" t="n">
        <v>0</v>
      </c>
      <c r="I845" t="n">
        <v>0</v>
      </c>
      <c r="J845" t="n">
        <v>0</v>
      </c>
      <c r="K845" t="n">
        <v>0</v>
      </c>
      <c r="L845" t="n">
        <v>0</v>
      </c>
      <c r="M845" t="n">
        <v>0</v>
      </c>
      <c r="N845" t="n">
        <v>0</v>
      </c>
      <c r="O845" t="n">
        <v>0</v>
      </c>
      <c r="P845" t="n">
        <v>0</v>
      </c>
      <c r="Q845" t="n">
        <v>0</v>
      </c>
      <c r="R845" s="2" t="inlineStr"/>
    </row>
    <row r="846" ht="15" customHeight="1">
      <c r="A846" t="inlineStr">
        <is>
          <t>A 53786-2025</t>
        </is>
      </c>
      <c r="B846" s="1" t="n">
        <v>45960</v>
      </c>
      <c r="C846" s="1" t="n">
        <v>45974</v>
      </c>
      <c r="D846" t="inlineStr">
        <is>
          <t>KALMAR LÄN</t>
        </is>
      </c>
      <c r="E846" t="inlineStr">
        <is>
          <t>VIMMERBY</t>
        </is>
      </c>
      <c r="F846" t="inlineStr">
        <is>
          <t>Övriga statliga verk och myndigheter</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46118-2025</t>
        </is>
      </c>
      <c r="B847" s="1" t="n">
        <v>45924.57697916667</v>
      </c>
      <c r="C847" s="1" t="n">
        <v>45974</v>
      </c>
      <c r="D847" t="inlineStr">
        <is>
          <t>KALMAR LÄN</t>
        </is>
      </c>
      <c r="E847" t="inlineStr">
        <is>
          <t>VIMMERBY</t>
        </is>
      </c>
      <c r="G847" t="n">
        <v>2.9</v>
      </c>
      <c r="H847" t="n">
        <v>0</v>
      </c>
      <c r="I847" t="n">
        <v>0</v>
      </c>
      <c r="J847" t="n">
        <v>0</v>
      </c>
      <c r="K847" t="n">
        <v>0</v>
      </c>
      <c r="L847" t="n">
        <v>0</v>
      </c>
      <c r="M847" t="n">
        <v>0</v>
      </c>
      <c r="N847" t="n">
        <v>0</v>
      </c>
      <c r="O847" t="n">
        <v>0</v>
      </c>
      <c r="P847" t="n">
        <v>0</v>
      </c>
      <c r="Q847" t="n">
        <v>0</v>
      </c>
      <c r="R847" s="2" t="inlineStr"/>
    </row>
    <row r="848" ht="15" customHeight="1">
      <c r="A848" t="inlineStr">
        <is>
          <t>A 48373-2021</t>
        </is>
      </c>
      <c r="B848" s="1" t="n">
        <v>44451</v>
      </c>
      <c r="C848" s="1" t="n">
        <v>45974</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46365-2025</t>
        </is>
      </c>
      <c r="B849" s="1" t="n">
        <v>45925.50075231482</v>
      </c>
      <c r="C849" s="1" t="n">
        <v>45974</v>
      </c>
      <c r="D849" t="inlineStr">
        <is>
          <t>KALMAR LÄN</t>
        </is>
      </c>
      <c r="E849" t="inlineStr">
        <is>
          <t>VIMMERBY</t>
        </is>
      </c>
      <c r="G849" t="n">
        <v>5.6</v>
      </c>
      <c r="H849" t="n">
        <v>0</v>
      </c>
      <c r="I849" t="n">
        <v>0</v>
      </c>
      <c r="J849" t="n">
        <v>0</v>
      </c>
      <c r="K849" t="n">
        <v>0</v>
      </c>
      <c r="L849" t="n">
        <v>0</v>
      </c>
      <c r="M849" t="n">
        <v>0</v>
      </c>
      <c r="N849" t="n">
        <v>0</v>
      </c>
      <c r="O849" t="n">
        <v>0</v>
      </c>
      <c r="P849" t="n">
        <v>0</v>
      </c>
      <c r="Q849" t="n">
        <v>0</v>
      </c>
      <c r="R849" s="2" t="inlineStr"/>
    </row>
    <row r="850" ht="15" customHeight="1">
      <c r="A850" t="inlineStr">
        <is>
          <t>A 54737-2025</t>
        </is>
      </c>
      <c r="B850" s="1" t="n">
        <v>45966.56826388889</v>
      </c>
      <c r="C850" s="1" t="n">
        <v>45974</v>
      </c>
      <c r="D850" t="inlineStr">
        <is>
          <t>KALMAR LÄN</t>
        </is>
      </c>
      <c r="E850" t="inlineStr">
        <is>
          <t>VIMMERBY</t>
        </is>
      </c>
      <c r="G850" t="n">
        <v>2.1</v>
      </c>
      <c r="H850" t="n">
        <v>0</v>
      </c>
      <c r="I850" t="n">
        <v>0</v>
      </c>
      <c r="J850" t="n">
        <v>0</v>
      </c>
      <c r="K850" t="n">
        <v>0</v>
      </c>
      <c r="L850" t="n">
        <v>0</v>
      </c>
      <c r="M850" t="n">
        <v>0</v>
      </c>
      <c r="N850" t="n">
        <v>0</v>
      </c>
      <c r="O850" t="n">
        <v>0</v>
      </c>
      <c r="P850" t="n">
        <v>0</v>
      </c>
      <c r="Q850" t="n">
        <v>0</v>
      </c>
      <c r="R850" s="2" t="inlineStr"/>
    </row>
    <row r="851" ht="15" customHeight="1">
      <c r="A851" t="inlineStr">
        <is>
          <t>A 57256-2023</t>
        </is>
      </c>
      <c r="B851" s="1" t="n">
        <v>45245.5735300926</v>
      </c>
      <c r="C851" s="1" t="n">
        <v>45974</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17482-2024</t>
        </is>
      </c>
      <c r="B852" s="1" t="n">
        <v>45415.47848379629</v>
      </c>
      <c r="C852" s="1" t="n">
        <v>45974</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46361-2025</t>
        </is>
      </c>
      <c r="B853" s="1" t="n">
        <v>45925.49670138889</v>
      </c>
      <c r="C853" s="1" t="n">
        <v>45974</v>
      </c>
      <c r="D853" t="inlineStr">
        <is>
          <t>KALMAR LÄN</t>
        </is>
      </c>
      <c r="E853" t="inlineStr">
        <is>
          <t>VIMMERBY</t>
        </is>
      </c>
      <c r="G853" t="n">
        <v>4.2</v>
      </c>
      <c r="H853" t="n">
        <v>0</v>
      </c>
      <c r="I853" t="n">
        <v>0</v>
      </c>
      <c r="J853" t="n">
        <v>0</v>
      </c>
      <c r="K853" t="n">
        <v>0</v>
      </c>
      <c r="L853" t="n">
        <v>0</v>
      </c>
      <c r="M853" t="n">
        <v>0</v>
      </c>
      <c r="N853" t="n">
        <v>0</v>
      </c>
      <c r="O853" t="n">
        <v>0</v>
      </c>
      <c r="P853" t="n">
        <v>0</v>
      </c>
      <c r="Q853" t="n">
        <v>0</v>
      </c>
      <c r="R853" s="2" t="inlineStr"/>
    </row>
    <row r="854" ht="15" customHeight="1">
      <c r="A854" t="inlineStr">
        <is>
          <t>A 55123-2024</t>
        </is>
      </c>
      <c r="B854" s="1" t="n">
        <v>45621.46103009259</v>
      </c>
      <c r="C854" s="1" t="n">
        <v>45974</v>
      </c>
      <c r="D854" t="inlineStr">
        <is>
          <t>KALMAR LÄN</t>
        </is>
      </c>
      <c r="E854" t="inlineStr">
        <is>
          <t>VIMMERBY</t>
        </is>
      </c>
      <c r="G854" t="n">
        <v>3.1</v>
      </c>
      <c r="H854" t="n">
        <v>0</v>
      </c>
      <c r="I854" t="n">
        <v>0</v>
      </c>
      <c r="J854" t="n">
        <v>0</v>
      </c>
      <c r="K854" t="n">
        <v>0</v>
      </c>
      <c r="L854" t="n">
        <v>0</v>
      </c>
      <c r="M854" t="n">
        <v>0</v>
      </c>
      <c r="N854" t="n">
        <v>0</v>
      </c>
      <c r="O854" t="n">
        <v>0</v>
      </c>
      <c r="P854" t="n">
        <v>0</v>
      </c>
      <c r="Q854" t="n">
        <v>0</v>
      </c>
      <c r="R854" s="2" t="inlineStr"/>
    </row>
    <row r="855" ht="15" customHeight="1">
      <c r="A855" t="inlineStr">
        <is>
          <t>A 49313-2022</t>
        </is>
      </c>
      <c r="B855" s="1" t="n">
        <v>44861.52505787037</v>
      </c>
      <c r="C855" s="1" t="n">
        <v>45974</v>
      </c>
      <c r="D855" t="inlineStr">
        <is>
          <t>KALMAR LÄN</t>
        </is>
      </c>
      <c r="E855" t="inlineStr">
        <is>
          <t>VIMMERBY</t>
        </is>
      </c>
      <c r="G855" t="n">
        <v>1.9</v>
      </c>
      <c r="H855" t="n">
        <v>0</v>
      </c>
      <c r="I855" t="n">
        <v>0</v>
      </c>
      <c r="J855" t="n">
        <v>0</v>
      </c>
      <c r="K855" t="n">
        <v>0</v>
      </c>
      <c r="L855" t="n">
        <v>0</v>
      </c>
      <c r="M855" t="n">
        <v>0</v>
      </c>
      <c r="N855" t="n">
        <v>0</v>
      </c>
      <c r="O855" t="n">
        <v>0</v>
      </c>
      <c r="P855" t="n">
        <v>0</v>
      </c>
      <c r="Q855" t="n">
        <v>0</v>
      </c>
      <c r="R855" s="2" t="inlineStr"/>
    </row>
    <row r="856" ht="15" customHeight="1">
      <c r="A856" t="inlineStr">
        <is>
          <t>A 1987-2024</t>
        </is>
      </c>
      <c r="B856" s="1" t="n">
        <v>45308.61152777778</v>
      </c>
      <c r="C856" s="1" t="n">
        <v>45974</v>
      </c>
      <c r="D856" t="inlineStr">
        <is>
          <t>KALMAR LÄN</t>
        </is>
      </c>
      <c r="E856" t="inlineStr">
        <is>
          <t>VIMMERBY</t>
        </is>
      </c>
      <c r="G856" t="n">
        <v>3</v>
      </c>
      <c r="H856" t="n">
        <v>0</v>
      </c>
      <c r="I856" t="n">
        <v>0</v>
      </c>
      <c r="J856" t="n">
        <v>0</v>
      </c>
      <c r="K856" t="n">
        <v>0</v>
      </c>
      <c r="L856" t="n">
        <v>0</v>
      </c>
      <c r="M856" t="n">
        <v>0</v>
      </c>
      <c r="N856" t="n">
        <v>0</v>
      </c>
      <c r="O856" t="n">
        <v>0</v>
      </c>
      <c r="P856" t="n">
        <v>0</v>
      </c>
      <c r="Q856" t="n">
        <v>0</v>
      </c>
      <c r="R856" s="2" t="inlineStr"/>
    </row>
    <row r="857" ht="15" customHeight="1">
      <c r="A857" t="inlineStr">
        <is>
          <t>A 53789-2025</t>
        </is>
      </c>
      <c r="B857" s="1" t="n">
        <v>45960</v>
      </c>
      <c r="C857" s="1" t="n">
        <v>45974</v>
      </c>
      <c r="D857" t="inlineStr">
        <is>
          <t>KALMAR LÄN</t>
        </is>
      </c>
      <c r="E857" t="inlineStr">
        <is>
          <t>VIMMERBY</t>
        </is>
      </c>
      <c r="F857" t="inlineStr">
        <is>
          <t>Övriga statliga verk och myndigheter</t>
        </is>
      </c>
      <c r="G857" t="n">
        <v>1.6</v>
      </c>
      <c r="H857" t="n">
        <v>0</v>
      </c>
      <c r="I857" t="n">
        <v>0</v>
      </c>
      <c r="J857" t="n">
        <v>0</v>
      </c>
      <c r="K857" t="n">
        <v>0</v>
      </c>
      <c r="L857" t="n">
        <v>0</v>
      </c>
      <c r="M857" t="n">
        <v>0</v>
      </c>
      <c r="N857" t="n">
        <v>0</v>
      </c>
      <c r="O857" t="n">
        <v>0</v>
      </c>
      <c r="P857" t="n">
        <v>0</v>
      </c>
      <c r="Q857" t="n">
        <v>0</v>
      </c>
      <c r="R857" s="2" t="inlineStr"/>
    </row>
    <row r="858" ht="15" customHeight="1">
      <c r="A858" t="inlineStr">
        <is>
          <t>A 53788-2025</t>
        </is>
      </c>
      <c r="B858" s="1" t="n">
        <v>45960</v>
      </c>
      <c r="C858" s="1" t="n">
        <v>45974</v>
      </c>
      <c r="D858" t="inlineStr">
        <is>
          <t>KALMAR LÄN</t>
        </is>
      </c>
      <c r="E858" t="inlineStr">
        <is>
          <t>VIMMERBY</t>
        </is>
      </c>
      <c r="F858" t="inlineStr">
        <is>
          <t>Övriga statliga verk och myndigheter</t>
        </is>
      </c>
      <c r="G858" t="n">
        <v>6.3</v>
      </c>
      <c r="H858" t="n">
        <v>0</v>
      </c>
      <c r="I858" t="n">
        <v>0</v>
      </c>
      <c r="J858" t="n">
        <v>0</v>
      </c>
      <c r="K858" t="n">
        <v>0</v>
      </c>
      <c r="L858" t="n">
        <v>0</v>
      </c>
      <c r="M858" t="n">
        <v>0</v>
      </c>
      <c r="N858" t="n">
        <v>0</v>
      </c>
      <c r="O858" t="n">
        <v>0</v>
      </c>
      <c r="P858" t="n">
        <v>0</v>
      </c>
      <c r="Q858" t="n">
        <v>0</v>
      </c>
      <c r="R858" s="2" t="inlineStr"/>
    </row>
    <row r="859" ht="15" customHeight="1">
      <c r="A859" t="inlineStr">
        <is>
          <t>A 53586-2025</t>
        </is>
      </c>
      <c r="B859" s="1" t="n">
        <v>45960</v>
      </c>
      <c r="C859" s="1" t="n">
        <v>45974</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21507-2023</t>
        </is>
      </c>
      <c r="B860" s="1" t="n">
        <v>45063.508125</v>
      </c>
      <c r="C860" s="1" t="n">
        <v>45974</v>
      </c>
      <c r="D860" t="inlineStr">
        <is>
          <t>KALMAR LÄN</t>
        </is>
      </c>
      <c r="E860" t="inlineStr">
        <is>
          <t>VIMMERBY</t>
        </is>
      </c>
      <c r="G860" t="n">
        <v>2.8</v>
      </c>
      <c r="H860" t="n">
        <v>0</v>
      </c>
      <c r="I860" t="n">
        <v>0</v>
      </c>
      <c r="J860" t="n">
        <v>0</v>
      </c>
      <c r="K860" t="n">
        <v>0</v>
      </c>
      <c r="L860" t="n">
        <v>0</v>
      </c>
      <c r="M860" t="n">
        <v>0</v>
      </c>
      <c r="N860" t="n">
        <v>0</v>
      </c>
      <c r="O860" t="n">
        <v>0</v>
      </c>
      <c r="P860" t="n">
        <v>0</v>
      </c>
      <c r="Q860" t="n">
        <v>0</v>
      </c>
      <c r="R860" s="2" t="inlineStr"/>
    </row>
    <row r="861" ht="15" customHeight="1">
      <c r="A861" t="inlineStr">
        <is>
          <t>A 57189-2022</t>
        </is>
      </c>
      <c r="B861" s="1" t="n">
        <v>44895.62296296296</v>
      </c>
      <c r="C861" s="1" t="n">
        <v>45974</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48673-2021</t>
        </is>
      </c>
      <c r="B862" s="1" t="n">
        <v>44452</v>
      </c>
      <c r="C862" s="1" t="n">
        <v>45974</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14248-2023</t>
        </is>
      </c>
      <c r="B863" s="1" t="n">
        <v>45009</v>
      </c>
      <c r="C863" s="1" t="n">
        <v>45974</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12480-2024</t>
        </is>
      </c>
      <c r="B864" s="1" t="n">
        <v>45379</v>
      </c>
      <c r="C864" s="1" t="n">
        <v>45974</v>
      </c>
      <c r="D864" t="inlineStr">
        <is>
          <t>KALMAR LÄN</t>
        </is>
      </c>
      <c r="E864" t="inlineStr">
        <is>
          <t>VIMMERBY</t>
        </is>
      </c>
      <c r="G864" t="n">
        <v>2.8</v>
      </c>
      <c r="H864" t="n">
        <v>0</v>
      </c>
      <c r="I864" t="n">
        <v>0</v>
      </c>
      <c r="J864" t="n">
        <v>0</v>
      </c>
      <c r="K864" t="n">
        <v>0</v>
      </c>
      <c r="L864" t="n">
        <v>0</v>
      </c>
      <c r="M864" t="n">
        <v>0</v>
      </c>
      <c r="N864" t="n">
        <v>0</v>
      </c>
      <c r="O864" t="n">
        <v>0</v>
      </c>
      <c r="P864" t="n">
        <v>0</v>
      </c>
      <c r="Q864" t="n">
        <v>0</v>
      </c>
      <c r="R864" s="2" t="inlineStr"/>
    </row>
    <row r="865" ht="15" customHeight="1">
      <c r="A865" t="inlineStr">
        <is>
          <t>A 54813-2025</t>
        </is>
      </c>
      <c r="B865" s="1" t="n">
        <v>45966.64881944445</v>
      </c>
      <c r="C865" s="1" t="n">
        <v>45974</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46887-2025</t>
        </is>
      </c>
      <c r="B866" s="1" t="n">
        <v>45929.3672337963</v>
      </c>
      <c r="C866" s="1" t="n">
        <v>45974</v>
      </c>
      <c r="D866" t="inlineStr">
        <is>
          <t>KALMAR LÄN</t>
        </is>
      </c>
      <c r="E866" t="inlineStr">
        <is>
          <t>VIMMERBY</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45856-2025</t>
        </is>
      </c>
      <c r="B867" s="1" t="n">
        <v>45923</v>
      </c>
      <c r="C867" s="1" t="n">
        <v>45974</v>
      </c>
      <c r="D867" t="inlineStr">
        <is>
          <t>KALMAR LÄN</t>
        </is>
      </c>
      <c r="E867" t="inlineStr">
        <is>
          <t>VIMMERBY</t>
        </is>
      </c>
      <c r="G867" t="n">
        <v>2.1</v>
      </c>
      <c r="H867" t="n">
        <v>0</v>
      </c>
      <c r="I867" t="n">
        <v>0</v>
      </c>
      <c r="J867" t="n">
        <v>0</v>
      </c>
      <c r="K867" t="n">
        <v>0</v>
      </c>
      <c r="L867" t="n">
        <v>0</v>
      </c>
      <c r="M867" t="n">
        <v>0</v>
      </c>
      <c r="N867" t="n">
        <v>0</v>
      </c>
      <c r="O867" t="n">
        <v>0</v>
      </c>
      <c r="P867" t="n">
        <v>0</v>
      </c>
      <c r="Q867" t="n">
        <v>0</v>
      </c>
      <c r="R867" s="2" t="inlineStr"/>
    </row>
    <row r="868" ht="15" customHeight="1">
      <c r="A868" t="inlineStr">
        <is>
          <t>A 40095-2022</t>
        </is>
      </c>
      <c r="B868" s="1" t="n">
        <v>44820</v>
      </c>
      <c r="C868" s="1" t="n">
        <v>45974</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50085-2023</t>
        </is>
      </c>
      <c r="B869" s="1" t="n">
        <v>45215.5959375</v>
      </c>
      <c r="C869" s="1" t="n">
        <v>45974</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50087-2023</t>
        </is>
      </c>
      <c r="B870" s="1" t="n">
        <v>45215.59743055556</v>
      </c>
      <c r="C870" s="1" t="n">
        <v>45974</v>
      </c>
      <c r="D870" t="inlineStr">
        <is>
          <t>KALMAR LÄN</t>
        </is>
      </c>
      <c r="E870" t="inlineStr">
        <is>
          <t>VIMMERBY</t>
        </is>
      </c>
      <c r="G870" t="n">
        <v>0.9</v>
      </c>
      <c r="H870" t="n">
        <v>0</v>
      </c>
      <c r="I870" t="n">
        <v>0</v>
      </c>
      <c r="J870" t="n">
        <v>0</v>
      </c>
      <c r="K870" t="n">
        <v>0</v>
      </c>
      <c r="L870" t="n">
        <v>0</v>
      </c>
      <c r="M870" t="n">
        <v>0</v>
      </c>
      <c r="N870" t="n">
        <v>0</v>
      </c>
      <c r="O870" t="n">
        <v>0</v>
      </c>
      <c r="P870" t="n">
        <v>0</v>
      </c>
      <c r="Q870" t="n">
        <v>0</v>
      </c>
      <c r="R870" s="2" t="inlineStr"/>
    </row>
    <row r="871" ht="15" customHeight="1">
      <c r="A871" t="inlineStr">
        <is>
          <t>A 8167-2024</t>
        </is>
      </c>
      <c r="B871" s="1" t="n">
        <v>45351.6062962963</v>
      </c>
      <c r="C871" s="1" t="n">
        <v>45974</v>
      </c>
      <c r="D871" t="inlineStr">
        <is>
          <t>KALMAR LÄN</t>
        </is>
      </c>
      <c r="E871" t="inlineStr">
        <is>
          <t>VIMMERBY</t>
        </is>
      </c>
      <c r="G871" t="n">
        <v>3.8</v>
      </c>
      <c r="H871" t="n">
        <v>0</v>
      </c>
      <c r="I871" t="n">
        <v>0</v>
      </c>
      <c r="J871" t="n">
        <v>0</v>
      </c>
      <c r="K871" t="n">
        <v>0</v>
      </c>
      <c r="L871" t="n">
        <v>0</v>
      </c>
      <c r="M871" t="n">
        <v>0</v>
      </c>
      <c r="N871" t="n">
        <v>0</v>
      </c>
      <c r="O871" t="n">
        <v>0</v>
      </c>
      <c r="P871" t="n">
        <v>0</v>
      </c>
      <c r="Q871" t="n">
        <v>0</v>
      </c>
      <c r="R871" s="2" t="inlineStr"/>
    </row>
    <row r="872" ht="15" customHeight="1">
      <c r="A872" t="inlineStr">
        <is>
          <t>A 45854-2025</t>
        </is>
      </c>
      <c r="B872" s="1" t="n">
        <v>45923</v>
      </c>
      <c r="C872" s="1" t="n">
        <v>45974</v>
      </c>
      <c r="D872" t="inlineStr">
        <is>
          <t>KALMAR LÄN</t>
        </is>
      </c>
      <c r="E872" t="inlineStr">
        <is>
          <t>VIMMERBY</t>
        </is>
      </c>
      <c r="G872" t="n">
        <v>2.2</v>
      </c>
      <c r="H872" t="n">
        <v>0</v>
      </c>
      <c r="I872" t="n">
        <v>0</v>
      </c>
      <c r="J872" t="n">
        <v>0</v>
      </c>
      <c r="K872" t="n">
        <v>0</v>
      </c>
      <c r="L872" t="n">
        <v>0</v>
      </c>
      <c r="M872" t="n">
        <v>0</v>
      </c>
      <c r="N872" t="n">
        <v>0</v>
      </c>
      <c r="O872" t="n">
        <v>0</v>
      </c>
      <c r="P872" t="n">
        <v>0</v>
      </c>
      <c r="Q872" t="n">
        <v>0</v>
      </c>
      <c r="R872" s="2" t="inlineStr"/>
    </row>
    <row r="873" ht="15" customHeight="1">
      <c r="A873" t="inlineStr">
        <is>
          <t>A 45855-2025</t>
        </is>
      </c>
      <c r="B873" s="1" t="n">
        <v>45923</v>
      </c>
      <c r="C873" s="1" t="n">
        <v>45974</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2604-2025</t>
        </is>
      </c>
      <c r="B874" s="1" t="n">
        <v>45674.74094907408</v>
      </c>
      <c r="C874" s="1" t="n">
        <v>45974</v>
      </c>
      <c r="D874" t="inlineStr">
        <is>
          <t>KALMAR LÄN</t>
        </is>
      </c>
      <c r="E874" t="inlineStr">
        <is>
          <t>VIMMERBY</t>
        </is>
      </c>
      <c r="G874" t="n">
        <v>7.6</v>
      </c>
      <c r="H874" t="n">
        <v>0</v>
      </c>
      <c r="I874" t="n">
        <v>0</v>
      </c>
      <c r="J874" t="n">
        <v>0</v>
      </c>
      <c r="K874" t="n">
        <v>0</v>
      </c>
      <c r="L874" t="n">
        <v>0</v>
      </c>
      <c r="M874" t="n">
        <v>0</v>
      </c>
      <c r="N874" t="n">
        <v>0</v>
      </c>
      <c r="O874" t="n">
        <v>0</v>
      </c>
      <c r="P874" t="n">
        <v>0</v>
      </c>
      <c r="Q874" t="n">
        <v>0</v>
      </c>
      <c r="R874" s="2" t="inlineStr"/>
    </row>
    <row r="875" ht="15" customHeight="1">
      <c r="A875" t="inlineStr">
        <is>
          <t>A 55384-2025</t>
        </is>
      </c>
      <c r="B875" s="1" t="n">
        <v>45971.43178240741</v>
      </c>
      <c r="C875" s="1" t="n">
        <v>45974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55385-2025</t>
        </is>
      </c>
      <c r="B876" s="1" t="n">
        <v>45971.43350694444</v>
      </c>
      <c r="C876" s="1" t="n">
        <v>45974</v>
      </c>
      <c r="D876" t="inlineStr">
        <is>
          <t>KALMAR LÄN</t>
        </is>
      </c>
      <c r="E876" t="inlineStr">
        <is>
          <t>VIMMERBY</t>
        </is>
      </c>
      <c r="G876" t="n">
        <v>5</v>
      </c>
      <c r="H876" t="n">
        <v>0</v>
      </c>
      <c r="I876" t="n">
        <v>0</v>
      </c>
      <c r="J876" t="n">
        <v>0</v>
      </c>
      <c r="K876" t="n">
        <v>0</v>
      </c>
      <c r="L876" t="n">
        <v>0</v>
      </c>
      <c r="M876" t="n">
        <v>0</v>
      </c>
      <c r="N876" t="n">
        <v>0</v>
      </c>
      <c r="O876" t="n">
        <v>0</v>
      </c>
      <c r="P876" t="n">
        <v>0</v>
      </c>
      <c r="Q876" t="n">
        <v>0</v>
      </c>
      <c r="R876" s="2" t="inlineStr"/>
    </row>
    <row r="877" ht="15" customHeight="1">
      <c r="A877" t="inlineStr">
        <is>
          <t>A 37192-2024</t>
        </is>
      </c>
      <c r="B877" s="1" t="n">
        <v>45539.66027777778</v>
      </c>
      <c r="C877" s="1" t="n">
        <v>45974</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42429-2024</t>
        </is>
      </c>
      <c r="B878" s="1" t="n">
        <v>45565.40657407408</v>
      </c>
      <c r="C878" s="1" t="n">
        <v>45974</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29180-2024</t>
        </is>
      </c>
      <c r="B879" s="1" t="n">
        <v>45482.54108796296</v>
      </c>
      <c r="C879" s="1" t="n">
        <v>45974</v>
      </c>
      <c r="D879" t="inlineStr">
        <is>
          <t>KALMAR LÄN</t>
        </is>
      </c>
      <c r="E879" t="inlineStr">
        <is>
          <t>VIMMERBY</t>
        </is>
      </c>
      <c r="G879" t="n">
        <v>3.8</v>
      </c>
      <c r="H879" t="n">
        <v>0</v>
      </c>
      <c r="I879" t="n">
        <v>0</v>
      </c>
      <c r="J879" t="n">
        <v>0</v>
      </c>
      <c r="K879" t="n">
        <v>0</v>
      </c>
      <c r="L879" t="n">
        <v>0</v>
      </c>
      <c r="M879" t="n">
        <v>0</v>
      </c>
      <c r="N879" t="n">
        <v>0</v>
      </c>
      <c r="O879" t="n">
        <v>0</v>
      </c>
      <c r="P879" t="n">
        <v>0</v>
      </c>
      <c r="Q879" t="n">
        <v>0</v>
      </c>
      <c r="R879" s="2" t="inlineStr"/>
    </row>
    <row r="880" ht="15" customHeight="1">
      <c r="A880" t="inlineStr">
        <is>
          <t>A 55604-2025</t>
        </is>
      </c>
      <c r="B880" s="1" t="n">
        <v>45971</v>
      </c>
      <c r="C880" s="1" t="n">
        <v>45974</v>
      </c>
      <c r="D880" t="inlineStr">
        <is>
          <t>KALMAR LÄN</t>
        </is>
      </c>
      <c r="E880" t="inlineStr">
        <is>
          <t>VIMMERBY</t>
        </is>
      </c>
      <c r="G880" t="n">
        <v>4.4</v>
      </c>
      <c r="H880" t="n">
        <v>0</v>
      </c>
      <c r="I880" t="n">
        <v>0</v>
      </c>
      <c r="J880" t="n">
        <v>0</v>
      </c>
      <c r="K880" t="n">
        <v>0</v>
      </c>
      <c r="L880" t="n">
        <v>0</v>
      </c>
      <c r="M880" t="n">
        <v>0</v>
      </c>
      <c r="N880" t="n">
        <v>0</v>
      </c>
      <c r="O880" t="n">
        <v>0</v>
      </c>
      <c r="P880" t="n">
        <v>0</v>
      </c>
      <c r="Q880" t="n">
        <v>0</v>
      </c>
      <c r="R880" s="2" t="inlineStr"/>
    </row>
    <row r="881" ht="15" customHeight="1">
      <c r="A881" t="inlineStr">
        <is>
          <t>A 45846-2023</t>
        </is>
      </c>
      <c r="B881" s="1" t="n">
        <v>45195.58452546296</v>
      </c>
      <c r="C881" s="1" t="n">
        <v>45974</v>
      </c>
      <c r="D881" t="inlineStr">
        <is>
          <t>KALMAR LÄN</t>
        </is>
      </c>
      <c r="E881" t="inlineStr">
        <is>
          <t>VIMMERBY</t>
        </is>
      </c>
      <c r="G881" t="n">
        <v>0.7</v>
      </c>
      <c r="H881" t="n">
        <v>0</v>
      </c>
      <c r="I881" t="n">
        <v>0</v>
      </c>
      <c r="J881" t="n">
        <v>0</v>
      </c>
      <c r="K881" t="n">
        <v>0</v>
      </c>
      <c r="L881" t="n">
        <v>0</v>
      </c>
      <c r="M881" t="n">
        <v>0</v>
      </c>
      <c r="N881" t="n">
        <v>0</v>
      </c>
      <c r="O881" t="n">
        <v>0</v>
      </c>
      <c r="P881" t="n">
        <v>0</v>
      </c>
      <c r="Q881" t="n">
        <v>0</v>
      </c>
      <c r="R881" s="2" t="inlineStr"/>
    </row>
    <row r="882" ht="15" customHeight="1">
      <c r="A882" t="inlineStr">
        <is>
          <t>A 55602-2025</t>
        </is>
      </c>
      <c r="B882" s="1" t="n">
        <v>45971</v>
      </c>
      <c r="C882" s="1" t="n">
        <v>45974</v>
      </c>
      <c r="D882" t="inlineStr">
        <is>
          <t>KALMAR LÄN</t>
        </is>
      </c>
      <c r="E882" t="inlineStr">
        <is>
          <t>VIMMERBY</t>
        </is>
      </c>
      <c r="G882" t="n">
        <v>2.7</v>
      </c>
      <c r="H882" t="n">
        <v>0</v>
      </c>
      <c r="I882" t="n">
        <v>0</v>
      </c>
      <c r="J882" t="n">
        <v>0</v>
      </c>
      <c r="K882" t="n">
        <v>0</v>
      </c>
      <c r="L882" t="n">
        <v>0</v>
      </c>
      <c r="M882" t="n">
        <v>0</v>
      </c>
      <c r="N882" t="n">
        <v>0</v>
      </c>
      <c r="O882" t="n">
        <v>0</v>
      </c>
      <c r="P882" t="n">
        <v>0</v>
      </c>
      <c r="Q882" t="n">
        <v>0</v>
      </c>
      <c r="R882" s="2" t="inlineStr"/>
    </row>
    <row r="883" ht="15" customHeight="1">
      <c r="A883" t="inlineStr">
        <is>
          <t>A 16020-2023</t>
        </is>
      </c>
      <c r="B883" s="1" t="n">
        <v>45026.82216435186</v>
      </c>
      <c r="C883" s="1" t="n">
        <v>45974</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47227-2025</t>
        </is>
      </c>
      <c r="B884" s="1" t="n">
        <v>45930.39769675926</v>
      </c>
      <c r="C884" s="1" t="n">
        <v>45974</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61820-2023</t>
        </is>
      </c>
      <c r="B885" s="1" t="n">
        <v>45266.32614583334</v>
      </c>
      <c r="C885" s="1" t="n">
        <v>45974</v>
      </c>
      <c r="D885" t="inlineStr">
        <is>
          <t>KALMAR LÄN</t>
        </is>
      </c>
      <c r="E885" t="inlineStr">
        <is>
          <t>VIMMERBY</t>
        </is>
      </c>
      <c r="G885" t="n">
        <v>0.8</v>
      </c>
      <c r="H885" t="n">
        <v>0</v>
      </c>
      <c r="I885" t="n">
        <v>0</v>
      </c>
      <c r="J885" t="n">
        <v>0</v>
      </c>
      <c r="K885" t="n">
        <v>0</v>
      </c>
      <c r="L885" t="n">
        <v>0</v>
      </c>
      <c r="M885" t="n">
        <v>0</v>
      </c>
      <c r="N885" t="n">
        <v>0</v>
      </c>
      <c r="O885" t="n">
        <v>0</v>
      </c>
      <c r="P885" t="n">
        <v>0</v>
      </c>
      <c r="Q885" t="n">
        <v>0</v>
      </c>
      <c r="R885" s="2" t="inlineStr"/>
    </row>
    <row r="886" ht="15" customHeight="1">
      <c r="A886" t="inlineStr">
        <is>
          <t>A 55603-2025</t>
        </is>
      </c>
      <c r="B886" s="1" t="n">
        <v>45971</v>
      </c>
      <c r="C886" s="1" t="n">
        <v>45974</v>
      </c>
      <c r="D886" t="inlineStr">
        <is>
          <t>KALMAR LÄN</t>
        </is>
      </c>
      <c r="E886" t="inlineStr">
        <is>
          <t>VIMMERBY</t>
        </is>
      </c>
      <c r="G886" t="n">
        <v>0.9</v>
      </c>
      <c r="H886" t="n">
        <v>0</v>
      </c>
      <c r="I886" t="n">
        <v>0</v>
      </c>
      <c r="J886" t="n">
        <v>0</v>
      </c>
      <c r="K886" t="n">
        <v>0</v>
      </c>
      <c r="L886" t="n">
        <v>0</v>
      </c>
      <c r="M886" t="n">
        <v>0</v>
      </c>
      <c r="N886" t="n">
        <v>0</v>
      </c>
      <c r="O886" t="n">
        <v>0</v>
      </c>
      <c r="P886" t="n">
        <v>0</v>
      </c>
      <c r="Q886" t="n">
        <v>0</v>
      </c>
      <c r="R886" s="2" t="inlineStr"/>
    </row>
    <row r="887">
      <c r="A887" t="inlineStr">
        <is>
          <t>A 55605-2025</t>
        </is>
      </c>
      <c r="B887" s="1" t="n">
        <v>45971</v>
      </c>
      <c r="C887" s="1" t="n">
        <v>45974</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2025-11-13T10:12:19Z</dcterms:created>
  <dcterms:modified xmlns:dcterms="http://purl.org/dc/terms/" xmlns:xsi="http://www.w3.org/2001/XMLSchema-instance" xsi:type="dcterms:W3CDTF">2025-11-13T10:12:20Z</dcterms:modified>
</cp:coreProperties>
</file>