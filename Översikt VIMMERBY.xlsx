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45887</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45887</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45887</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45887</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45887</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45887</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45887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45887</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32645-2023</t>
        </is>
      </c>
      <c r="B15" s="1" t="n">
        <v>45121.60543981481</v>
      </c>
      <c r="C15" s="1" t="n">
        <v>45887</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8411-2021</t>
        </is>
      </c>
      <c r="B16" s="1" t="n">
        <v>44245</v>
      </c>
      <c r="C16" s="1" t="n">
        <v>45887</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45887</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45887</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14584-2025</t>
        </is>
      </c>
      <c r="B19" s="1" t="n">
        <v>45742</v>
      </c>
      <c r="C19" s="1" t="n">
        <v>45887</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45887</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45887</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45887</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45887</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45887</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14024-2023</t>
        </is>
      </c>
      <c r="B25" s="1" t="n">
        <v>45008.60878472222</v>
      </c>
      <c r="C25" s="1" t="n">
        <v>45887</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2518-2023</t>
        </is>
      </c>
      <c r="B26" s="1" t="n">
        <v>44943</v>
      </c>
      <c r="C26" s="1" t="n">
        <v>45887</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45887</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22825-2023</t>
        </is>
      </c>
      <c r="B28" s="1" t="n">
        <v>45072</v>
      </c>
      <c r="C28" s="1" t="n">
        <v>45887</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45887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32396-2021</t>
        </is>
      </c>
      <c r="B30" s="1" t="n">
        <v>44371</v>
      </c>
      <c r="C30" s="1" t="n">
        <v>45887</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37930-2021</t>
        </is>
      </c>
      <c r="B31" s="1" t="n">
        <v>44403</v>
      </c>
      <c r="C31" s="1" t="n">
        <v>45887</v>
      </c>
      <c r="D31" t="inlineStr">
        <is>
          <t>KALMAR LÄN</t>
        </is>
      </c>
      <c r="E31" t="inlineStr">
        <is>
          <t>VIMMERBY</t>
        </is>
      </c>
      <c r="G31" t="n">
        <v>4.4</v>
      </c>
      <c r="H31" t="n">
        <v>0</v>
      </c>
      <c r="I31" t="n">
        <v>0</v>
      </c>
      <c r="J31" t="n">
        <v>1</v>
      </c>
      <c r="K31" t="n">
        <v>0</v>
      </c>
      <c r="L31" t="n">
        <v>0</v>
      </c>
      <c r="M31" t="n">
        <v>0</v>
      </c>
      <c r="N31" t="n">
        <v>0</v>
      </c>
      <c r="O31" t="n">
        <v>1</v>
      </c>
      <c r="P31" t="n">
        <v>0</v>
      </c>
      <c r="Q31" t="n">
        <v>1</v>
      </c>
      <c r="R31" s="2" t="inlineStr">
        <is>
          <t>Spindelört</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15122-2024</t>
        </is>
      </c>
      <c r="B32" s="1" t="n">
        <v>45399.71412037037</v>
      </c>
      <c r="C32" s="1" t="n">
        <v>45887</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32985-2023</t>
        </is>
      </c>
      <c r="B33" s="1" t="n">
        <v>45125</v>
      </c>
      <c r="C33" s="1" t="n">
        <v>45887</v>
      </c>
      <c r="D33" t="inlineStr">
        <is>
          <t>KALMAR LÄN</t>
        </is>
      </c>
      <c r="E33" t="inlineStr">
        <is>
          <t>VIMMERBY</t>
        </is>
      </c>
      <c r="G33" t="n">
        <v>1.9</v>
      </c>
      <c r="H33" t="n">
        <v>0</v>
      </c>
      <c r="I33" t="n">
        <v>0</v>
      </c>
      <c r="J33" t="n">
        <v>0</v>
      </c>
      <c r="K33" t="n">
        <v>0</v>
      </c>
      <c r="L33" t="n">
        <v>1</v>
      </c>
      <c r="M33" t="n">
        <v>0</v>
      </c>
      <c r="N33" t="n">
        <v>0</v>
      </c>
      <c r="O33" t="n">
        <v>1</v>
      </c>
      <c r="P33" t="n">
        <v>1</v>
      </c>
      <c r="Q33" t="n">
        <v>1</v>
      </c>
      <c r="R33" s="2" t="inlineStr">
        <is>
          <t>Ryl</t>
        </is>
      </c>
      <c r="S33">
        <f>HYPERLINK("https://klasma.github.io/Logging_0884/artfynd/A 32985-2023 artfynd.xlsx", "A 32985-2023")</f>
        <v/>
      </c>
      <c r="T33">
        <f>HYPERLINK("https://klasma.github.io/Logging_0884/kartor/A 32985-2023 karta.png", "A 32985-2023")</f>
        <v/>
      </c>
      <c r="V33">
        <f>HYPERLINK("https://klasma.github.io/Logging_0884/klagomål/A 32985-2023 FSC-klagomål.docx", "A 32985-2023")</f>
        <v/>
      </c>
      <c r="W33">
        <f>HYPERLINK("https://klasma.github.io/Logging_0884/klagomålsmail/A 32985-2023 FSC-klagomål mail.docx", "A 32985-2023")</f>
        <v/>
      </c>
      <c r="X33">
        <f>HYPERLINK("https://klasma.github.io/Logging_0884/tillsyn/A 32985-2023 tillsynsbegäran.docx", "A 32985-2023")</f>
        <v/>
      </c>
      <c r="Y33">
        <f>HYPERLINK("https://klasma.github.io/Logging_0884/tillsynsmail/A 32985-2023 tillsynsbegäran mail.docx", "A 32985-2023")</f>
        <v/>
      </c>
    </row>
    <row r="34" ht="15" customHeight="1">
      <c r="A34" t="inlineStr">
        <is>
          <t>A 28852-2023</t>
        </is>
      </c>
      <c r="B34" s="1" t="n">
        <v>45104</v>
      </c>
      <c r="C34" s="1" t="n">
        <v>45887</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1201-2025</t>
        </is>
      </c>
      <c r="B35" s="1" t="n">
        <v>45667</v>
      </c>
      <c r="C35" s="1" t="n">
        <v>45887</v>
      </c>
      <c r="D35" t="inlineStr">
        <is>
          <t>KALMAR LÄN</t>
        </is>
      </c>
      <c r="E35" t="inlineStr">
        <is>
          <t>VIMMERBY</t>
        </is>
      </c>
      <c r="G35" t="n">
        <v>6.4</v>
      </c>
      <c r="H35" t="n">
        <v>1</v>
      </c>
      <c r="I35" t="n">
        <v>0</v>
      </c>
      <c r="J35" t="n">
        <v>0</v>
      </c>
      <c r="K35" t="n">
        <v>1</v>
      </c>
      <c r="L35" t="n">
        <v>0</v>
      </c>
      <c r="M35" t="n">
        <v>0</v>
      </c>
      <c r="N35" t="n">
        <v>0</v>
      </c>
      <c r="O35" t="n">
        <v>1</v>
      </c>
      <c r="P35" t="n">
        <v>1</v>
      </c>
      <c r="Q35" t="n">
        <v>1</v>
      </c>
      <c r="R35" s="2" t="inlineStr">
        <is>
          <t>Knärot</t>
        </is>
      </c>
      <c r="S35">
        <f>HYPERLINK("https://klasma.github.io/Logging_0884/artfynd/A 1201-2025 artfynd.xlsx", "A 1201-2025")</f>
        <v/>
      </c>
      <c r="T35">
        <f>HYPERLINK("https://klasma.github.io/Logging_0884/kartor/A 1201-2025 karta.png", "A 1201-2025")</f>
        <v/>
      </c>
      <c r="U35">
        <f>HYPERLINK("https://klasma.github.io/Logging_0884/knärot/A 1201-2025 karta knärot.png", "A 1201-2025")</f>
        <v/>
      </c>
      <c r="V35">
        <f>HYPERLINK("https://klasma.github.io/Logging_0884/klagomål/A 1201-2025 FSC-klagomål.docx", "A 1201-2025")</f>
        <v/>
      </c>
      <c r="W35">
        <f>HYPERLINK("https://klasma.github.io/Logging_0884/klagomålsmail/A 1201-2025 FSC-klagomål mail.docx", "A 1201-2025")</f>
        <v/>
      </c>
      <c r="X35">
        <f>HYPERLINK("https://klasma.github.io/Logging_0884/tillsyn/A 1201-2025 tillsynsbegäran.docx", "A 1201-2025")</f>
        <v/>
      </c>
      <c r="Y35">
        <f>HYPERLINK("https://klasma.github.io/Logging_0884/tillsynsmail/A 1201-2025 tillsynsbegäran mail.docx", "A 1201-2025")</f>
        <v/>
      </c>
    </row>
    <row r="36" ht="15" customHeight="1">
      <c r="A36" t="inlineStr">
        <is>
          <t>A 44515-2024</t>
        </is>
      </c>
      <c r="B36" s="1" t="n">
        <v>45574.42767361111</v>
      </c>
      <c r="C36" s="1" t="n">
        <v>45887</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44306-2020</t>
        </is>
      </c>
      <c r="B37" s="1" t="n">
        <v>44082</v>
      </c>
      <c r="C37" s="1" t="n">
        <v>45887</v>
      </c>
      <c r="D37" t="inlineStr">
        <is>
          <t>KALMAR LÄN</t>
        </is>
      </c>
      <c r="E37" t="inlineStr">
        <is>
          <t>VIMMERBY</t>
        </is>
      </c>
      <c r="G37" t="n">
        <v>16.4</v>
      </c>
      <c r="H37" t="n">
        <v>1</v>
      </c>
      <c r="I37" t="n">
        <v>1</v>
      </c>
      <c r="J37" t="n">
        <v>0</v>
      </c>
      <c r="K37" t="n">
        <v>0</v>
      </c>
      <c r="L37" t="n">
        <v>0</v>
      </c>
      <c r="M37" t="n">
        <v>0</v>
      </c>
      <c r="N37" t="n">
        <v>0</v>
      </c>
      <c r="O37" t="n">
        <v>0</v>
      </c>
      <c r="P37" t="n">
        <v>0</v>
      </c>
      <c r="Q37" t="n">
        <v>1</v>
      </c>
      <c r="R37" s="2" t="inlineStr">
        <is>
          <t>Plattlummer</t>
        </is>
      </c>
      <c r="S37">
        <f>HYPERLINK("https://klasma.github.io/Logging_0884/artfynd/A 44306-2020 artfynd.xlsx", "A 44306-2020")</f>
        <v/>
      </c>
      <c r="T37">
        <f>HYPERLINK("https://klasma.github.io/Logging_0884/kartor/A 44306-2020 karta.png", "A 44306-2020")</f>
        <v/>
      </c>
      <c r="V37">
        <f>HYPERLINK("https://klasma.github.io/Logging_0884/klagomål/A 44306-2020 FSC-klagomål.docx", "A 44306-2020")</f>
        <v/>
      </c>
      <c r="W37">
        <f>HYPERLINK("https://klasma.github.io/Logging_0884/klagomålsmail/A 44306-2020 FSC-klagomål mail.docx", "A 44306-2020")</f>
        <v/>
      </c>
      <c r="X37">
        <f>HYPERLINK("https://klasma.github.io/Logging_0884/tillsyn/A 44306-2020 tillsynsbegäran.docx", "A 44306-2020")</f>
        <v/>
      </c>
      <c r="Y37">
        <f>HYPERLINK("https://klasma.github.io/Logging_0884/tillsynsmail/A 44306-2020 tillsynsbegäran mail.docx", "A 44306-2020")</f>
        <v/>
      </c>
    </row>
    <row r="38" ht="15" customHeight="1">
      <c r="A38" t="inlineStr">
        <is>
          <t>A 61860-2024</t>
        </is>
      </c>
      <c r="B38" s="1" t="n">
        <v>45649</v>
      </c>
      <c r="C38" s="1" t="n">
        <v>45887</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45887</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29736-2025</t>
        </is>
      </c>
      <c r="B40" s="1" t="n">
        <v>45825.58484953704</v>
      </c>
      <c r="C40" s="1" t="n">
        <v>45887</v>
      </c>
      <c r="D40" t="inlineStr">
        <is>
          <t>KALMAR LÄN</t>
        </is>
      </c>
      <c r="E40" t="inlineStr">
        <is>
          <t>VIMMERBY</t>
        </is>
      </c>
      <c r="G40" t="n">
        <v>7.3</v>
      </c>
      <c r="H40" t="n">
        <v>1</v>
      </c>
      <c r="I40" t="n">
        <v>0</v>
      </c>
      <c r="J40" t="n">
        <v>1</v>
      </c>
      <c r="K40" t="n">
        <v>0</v>
      </c>
      <c r="L40" t="n">
        <v>0</v>
      </c>
      <c r="M40" t="n">
        <v>0</v>
      </c>
      <c r="N40" t="n">
        <v>0</v>
      </c>
      <c r="O40" t="n">
        <v>1</v>
      </c>
      <c r="P40" t="n">
        <v>0</v>
      </c>
      <c r="Q40" t="n">
        <v>1</v>
      </c>
      <c r="R40" s="2" t="inlineStr">
        <is>
          <t>Spillkråka</t>
        </is>
      </c>
      <c r="S40">
        <f>HYPERLINK("https://klasma.github.io/Logging_0884/artfynd/A 29736-2025 artfynd.xlsx", "A 29736-2025")</f>
        <v/>
      </c>
      <c r="T40">
        <f>HYPERLINK("https://klasma.github.io/Logging_0884/kartor/A 29736-2025 karta.png", "A 29736-2025")</f>
        <v/>
      </c>
      <c r="V40">
        <f>HYPERLINK("https://klasma.github.io/Logging_0884/klagomål/A 29736-2025 FSC-klagomål.docx", "A 29736-2025")</f>
        <v/>
      </c>
      <c r="W40">
        <f>HYPERLINK("https://klasma.github.io/Logging_0884/klagomålsmail/A 29736-2025 FSC-klagomål mail.docx", "A 29736-2025")</f>
        <v/>
      </c>
      <c r="X40">
        <f>HYPERLINK("https://klasma.github.io/Logging_0884/tillsyn/A 29736-2025 tillsynsbegäran.docx", "A 29736-2025")</f>
        <v/>
      </c>
      <c r="Y40">
        <f>HYPERLINK("https://klasma.github.io/Logging_0884/tillsynsmail/A 29736-2025 tillsynsbegäran mail.docx", "A 29736-2025")</f>
        <v/>
      </c>
      <c r="Z40">
        <f>HYPERLINK("https://klasma.github.io/Logging_0884/fåglar/A 29736-2025 prioriterade fågelarter.docx", "A 29736-2025")</f>
        <v/>
      </c>
    </row>
    <row r="41" ht="15" customHeight="1">
      <c r="A41" t="inlineStr">
        <is>
          <t>A 6841-2021</t>
        </is>
      </c>
      <c r="B41" s="1" t="n">
        <v>44236</v>
      </c>
      <c r="C41" s="1" t="n">
        <v>45887</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9067-2025</t>
        </is>
      </c>
      <c r="B42" s="1" t="n">
        <v>45713</v>
      </c>
      <c r="C42" s="1" t="n">
        <v>45887</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40083-2023</t>
        </is>
      </c>
      <c r="B43" s="1" t="n">
        <v>45168</v>
      </c>
      <c r="C43" s="1" t="n">
        <v>45887</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45887</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42097-2020</t>
        </is>
      </c>
      <c r="B45" s="1" t="n">
        <v>44075</v>
      </c>
      <c r="C45" s="1" t="n">
        <v>45887</v>
      </c>
      <c r="D45" t="inlineStr">
        <is>
          <t>KALMAR LÄN</t>
        </is>
      </c>
      <c r="E45" t="inlineStr">
        <is>
          <t>VIMMERBY</t>
        </is>
      </c>
      <c r="G45" t="n">
        <v>5.5</v>
      </c>
      <c r="H45" t="n">
        <v>0</v>
      </c>
      <c r="I45" t="n">
        <v>0</v>
      </c>
      <c r="J45" t="n">
        <v>1</v>
      </c>
      <c r="K45" t="n">
        <v>0</v>
      </c>
      <c r="L45" t="n">
        <v>0</v>
      </c>
      <c r="M45" t="n">
        <v>0</v>
      </c>
      <c r="N45" t="n">
        <v>0</v>
      </c>
      <c r="O45" t="n">
        <v>1</v>
      </c>
      <c r="P45" t="n">
        <v>0</v>
      </c>
      <c r="Q45" t="n">
        <v>1</v>
      </c>
      <c r="R45" s="2" t="inlineStr">
        <is>
          <t>Mjukdån</t>
        </is>
      </c>
      <c r="S45">
        <f>HYPERLINK("https://klasma.github.io/Logging_0884/artfynd/A 42097-2020 artfynd.xlsx", "A 42097-2020")</f>
        <v/>
      </c>
      <c r="T45">
        <f>HYPERLINK("https://klasma.github.io/Logging_0884/kartor/A 42097-2020 karta.png", "A 42097-2020")</f>
        <v/>
      </c>
      <c r="V45">
        <f>HYPERLINK("https://klasma.github.io/Logging_0884/klagomål/A 42097-2020 FSC-klagomål.docx", "A 42097-2020")</f>
        <v/>
      </c>
      <c r="W45">
        <f>HYPERLINK("https://klasma.github.io/Logging_0884/klagomålsmail/A 42097-2020 FSC-klagomål mail.docx", "A 42097-2020")</f>
        <v/>
      </c>
      <c r="X45">
        <f>HYPERLINK("https://klasma.github.io/Logging_0884/tillsyn/A 42097-2020 tillsynsbegäran.docx", "A 42097-2020")</f>
        <v/>
      </c>
      <c r="Y45">
        <f>HYPERLINK("https://klasma.github.io/Logging_0884/tillsynsmail/A 42097-2020 tillsynsbegäran mail.docx", "A 42097-2020")</f>
        <v/>
      </c>
    </row>
    <row r="46" ht="15" customHeight="1">
      <c r="A46" t="inlineStr">
        <is>
          <t>A 52301-2023</t>
        </is>
      </c>
      <c r="B46" s="1" t="n">
        <v>45224</v>
      </c>
      <c r="C46" s="1" t="n">
        <v>45887</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23602-2023</t>
        </is>
      </c>
      <c r="B47" s="1" t="n">
        <v>45077</v>
      </c>
      <c r="C47" s="1" t="n">
        <v>45887</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33436-2021</t>
        </is>
      </c>
      <c r="B48" s="1" t="n">
        <v>44377.61104166666</v>
      </c>
      <c r="C48" s="1" t="n">
        <v>45887</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39508-2020</t>
        </is>
      </c>
      <c r="B49" s="1" t="n">
        <v>44064</v>
      </c>
      <c r="C49" s="1" t="n">
        <v>45887</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45887</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45887</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49059-2020</t>
        </is>
      </c>
      <c r="B52" s="1" t="n">
        <v>44102</v>
      </c>
      <c r="C52" s="1" t="n">
        <v>45887</v>
      </c>
      <c r="D52" t="inlineStr">
        <is>
          <t>KALMAR LÄN</t>
        </is>
      </c>
      <c r="E52" t="inlineStr">
        <is>
          <t>VIMMERBY</t>
        </is>
      </c>
      <c r="G52" t="n">
        <v>5.8</v>
      </c>
      <c r="H52" t="n">
        <v>0</v>
      </c>
      <c r="I52" t="n">
        <v>0</v>
      </c>
      <c r="J52" t="n">
        <v>0</v>
      </c>
      <c r="K52" t="n">
        <v>0</v>
      </c>
      <c r="L52" t="n">
        <v>0</v>
      </c>
      <c r="M52" t="n">
        <v>0</v>
      </c>
      <c r="N52" t="n">
        <v>0</v>
      </c>
      <c r="O52" t="n">
        <v>0</v>
      </c>
      <c r="P52" t="n">
        <v>0</v>
      </c>
      <c r="Q52" t="n">
        <v>0</v>
      </c>
      <c r="R52" s="2" t="inlineStr"/>
    </row>
    <row r="53" ht="15" customHeight="1">
      <c r="A53" t="inlineStr">
        <is>
          <t>A 55053-2020</t>
        </is>
      </c>
      <c r="B53" s="1" t="n">
        <v>44130</v>
      </c>
      <c r="C53" s="1" t="n">
        <v>45887</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45887</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45887</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1929-2021</t>
        </is>
      </c>
      <c r="B57" s="1" t="n">
        <v>44210</v>
      </c>
      <c r="C57" s="1" t="n">
        <v>45887</v>
      </c>
      <c r="D57" t="inlineStr">
        <is>
          <t>KALMAR LÄN</t>
        </is>
      </c>
      <c r="E57" t="inlineStr">
        <is>
          <t>VIMMERBY</t>
        </is>
      </c>
      <c r="G57" t="n">
        <v>1.6</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45887</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45887</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45887</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45887</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45887</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45887</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45887</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45887</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45887</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45887</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39288-2020</t>
        </is>
      </c>
      <c r="B68" s="1" t="n">
        <v>44063</v>
      </c>
      <c r="C68" s="1" t="n">
        <v>45887</v>
      </c>
      <c r="D68" t="inlineStr">
        <is>
          <t>KALMAR LÄN</t>
        </is>
      </c>
      <c r="E68" t="inlineStr">
        <is>
          <t>VIMMERBY</t>
        </is>
      </c>
      <c r="G68" t="n">
        <v>0.8</v>
      </c>
      <c r="H68" t="n">
        <v>0</v>
      </c>
      <c r="I68" t="n">
        <v>0</v>
      </c>
      <c r="J68" t="n">
        <v>0</v>
      </c>
      <c r="K68" t="n">
        <v>0</v>
      </c>
      <c r="L68" t="n">
        <v>0</v>
      </c>
      <c r="M68" t="n">
        <v>0</v>
      </c>
      <c r="N68" t="n">
        <v>0</v>
      </c>
      <c r="O68" t="n">
        <v>0</v>
      </c>
      <c r="P68" t="n">
        <v>0</v>
      </c>
      <c r="Q68" t="n">
        <v>0</v>
      </c>
      <c r="R68" s="2" t="inlineStr"/>
    </row>
    <row r="69" ht="15" customHeight="1">
      <c r="A69" t="inlineStr">
        <is>
          <t>A 18756-2021</t>
        </is>
      </c>
      <c r="B69" s="1" t="n">
        <v>44307</v>
      </c>
      <c r="C69" s="1" t="n">
        <v>45887</v>
      </c>
      <c r="D69" t="inlineStr">
        <is>
          <t>KALMAR LÄN</t>
        </is>
      </c>
      <c r="E69" t="inlineStr">
        <is>
          <t>VIMMERBY</t>
        </is>
      </c>
      <c r="G69" t="n">
        <v>7.4</v>
      </c>
      <c r="H69" t="n">
        <v>0</v>
      </c>
      <c r="I69" t="n">
        <v>0</v>
      </c>
      <c r="J69" t="n">
        <v>0</v>
      </c>
      <c r="K69" t="n">
        <v>0</v>
      </c>
      <c r="L69" t="n">
        <v>0</v>
      </c>
      <c r="M69" t="n">
        <v>0</v>
      </c>
      <c r="N69" t="n">
        <v>0</v>
      </c>
      <c r="O69" t="n">
        <v>0</v>
      </c>
      <c r="P69" t="n">
        <v>0</v>
      </c>
      <c r="Q69" t="n">
        <v>0</v>
      </c>
      <c r="R69" s="2" t="inlineStr"/>
    </row>
    <row r="70" ht="15" customHeight="1">
      <c r="A70" t="inlineStr">
        <is>
          <t>A 27086-2021</t>
        </is>
      </c>
      <c r="B70" s="1" t="n">
        <v>44350</v>
      </c>
      <c r="C70" s="1" t="n">
        <v>45887</v>
      </c>
      <c r="D70" t="inlineStr">
        <is>
          <t>KALMAR LÄN</t>
        </is>
      </c>
      <c r="E70" t="inlineStr">
        <is>
          <t>VIMMERBY</t>
        </is>
      </c>
      <c r="G70" t="n">
        <v>0.6</v>
      </c>
      <c r="H70" t="n">
        <v>0</v>
      </c>
      <c r="I70" t="n">
        <v>0</v>
      </c>
      <c r="J70" t="n">
        <v>0</v>
      </c>
      <c r="K70" t="n">
        <v>0</v>
      </c>
      <c r="L70" t="n">
        <v>0</v>
      </c>
      <c r="M70" t="n">
        <v>0</v>
      </c>
      <c r="N70" t="n">
        <v>0</v>
      </c>
      <c r="O70" t="n">
        <v>0</v>
      </c>
      <c r="P70" t="n">
        <v>0</v>
      </c>
      <c r="Q70" t="n">
        <v>0</v>
      </c>
      <c r="R70" s="2" t="inlineStr"/>
    </row>
    <row r="71" ht="15" customHeight="1">
      <c r="A71" t="inlineStr">
        <is>
          <t>A 49186-2020</t>
        </is>
      </c>
      <c r="B71" s="1" t="n">
        <v>44105</v>
      </c>
      <c r="C71" s="1" t="n">
        <v>45887</v>
      </c>
      <c r="D71" t="inlineStr">
        <is>
          <t>KALMAR LÄN</t>
        </is>
      </c>
      <c r="E71" t="inlineStr">
        <is>
          <t>VIMMERBY</t>
        </is>
      </c>
      <c r="F71" t="inlineStr">
        <is>
          <t>Sveaskog</t>
        </is>
      </c>
      <c r="G71" t="n">
        <v>3.8</v>
      </c>
      <c r="H71" t="n">
        <v>0</v>
      </c>
      <c r="I71" t="n">
        <v>0</v>
      </c>
      <c r="J71" t="n">
        <v>0</v>
      </c>
      <c r="K71" t="n">
        <v>0</v>
      </c>
      <c r="L71" t="n">
        <v>0</v>
      </c>
      <c r="M71" t="n">
        <v>0</v>
      </c>
      <c r="N71" t="n">
        <v>0</v>
      </c>
      <c r="O71" t="n">
        <v>0</v>
      </c>
      <c r="P71" t="n">
        <v>0</v>
      </c>
      <c r="Q71" t="n">
        <v>0</v>
      </c>
      <c r="R71" s="2" t="inlineStr"/>
    </row>
    <row r="72" ht="15" customHeight="1">
      <c r="A72" t="inlineStr">
        <is>
          <t>A 4762-2021</t>
        </is>
      </c>
      <c r="B72" s="1" t="n">
        <v>44225</v>
      </c>
      <c r="C72" s="1" t="n">
        <v>45887</v>
      </c>
      <c r="D72" t="inlineStr">
        <is>
          <t>KALMAR LÄN</t>
        </is>
      </c>
      <c r="E72" t="inlineStr">
        <is>
          <t>VIMMERBY</t>
        </is>
      </c>
      <c r="G72" t="n">
        <v>5.3</v>
      </c>
      <c r="H72" t="n">
        <v>0</v>
      </c>
      <c r="I72" t="n">
        <v>0</v>
      </c>
      <c r="J72" t="n">
        <v>0</v>
      </c>
      <c r="K72" t="n">
        <v>0</v>
      </c>
      <c r="L72" t="n">
        <v>0</v>
      </c>
      <c r="M72" t="n">
        <v>0</v>
      </c>
      <c r="N72" t="n">
        <v>0</v>
      </c>
      <c r="O72" t="n">
        <v>0</v>
      </c>
      <c r="P72" t="n">
        <v>0</v>
      </c>
      <c r="Q72" t="n">
        <v>0</v>
      </c>
      <c r="R72" s="2" t="inlineStr"/>
    </row>
    <row r="73" ht="15" customHeight="1">
      <c r="A73" t="inlineStr">
        <is>
          <t>A 22637-2021</t>
        </is>
      </c>
      <c r="B73" s="1" t="n">
        <v>44327.47658564815</v>
      </c>
      <c r="C73" s="1" t="n">
        <v>45887</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40812-2020</t>
        </is>
      </c>
      <c r="B74" s="1" t="n">
        <v>44070</v>
      </c>
      <c r="C74" s="1" t="n">
        <v>45887</v>
      </c>
      <c r="D74" t="inlineStr">
        <is>
          <t>KALMAR LÄN</t>
        </is>
      </c>
      <c r="E74" t="inlineStr">
        <is>
          <t>VIMMERBY</t>
        </is>
      </c>
      <c r="G74" t="n">
        <v>4.9</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45887</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38348-2021</t>
        </is>
      </c>
      <c r="B76" s="1" t="n">
        <v>44406</v>
      </c>
      <c r="C76" s="1" t="n">
        <v>45887</v>
      </c>
      <c r="D76" t="inlineStr">
        <is>
          <t>KALMAR LÄN</t>
        </is>
      </c>
      <c r="E76" t="inlineStr">
        <is>
          <t>VIMMERBY</t>
        </is>
      </c>
      <c r="G76" t="n">
        <v>2.2</v>
      </c>
      <c r="H76" t="n">
        <v>0</v>
      </c>
      <c r="I76" t="n">
        <v>0</v>
      </c>
      <c r="J76" t="n">
        <v>0</v>
      </c>
      <c r="K76" t="n">
        <v>0</v>
      </c>
      <c r="L76" t="n">
        <v>0</v>
      </c>
      <c r="M76" t="n">
        <v>0</v>
      </c>
      <c r="N76" t="n">
        <v>0</v>
      </c>
      <c r="O76" t="n">
        <v>0</v>
      </c>
      <c r="P76" t="n">
        <v>0</v>
      </c>
      <c r="Q76" t="n">
        <v>0</v>
      </c>
      <c r="R76" s="2" t="inlineStr"/>
    </row>
    <row r="77" ht="15" customHeight="1">
      <c r="A77" t="inlineStr">
        <is>
          <t>A 5689-2021</t>
        </is>
      </c>
      <c r="B77" s="1" t="n">
        <v>44230.58883101852</v>
      </c>
      <c r="C77" s="1" t="n">
        <v>45887</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56378-2021</t>
        </is>
      </c>
      <c r="B78" s="1" t="n">
        <v>44480</v>
      </c>
      <c r="C78" s="1" t="n">
        <v>45887</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39300-2020</t>
        </is>
      </c>
      <c r="B79" s="1" t="n">
        <v>44063</v>
      </c>
      <c r="C79" s="1" t="n">
        <v>45887</v>
      </c>
      <c r="D79" t="inlineStr">
        <is>
          <t>KALMAR LÄN</t>
        </is>
      </c>
      <c r="E79" t="inlineStr">
        <is>
          <t>VIMMERBY</t>
        </is>
      </c>
      <c r="G79" t="n">
        <v>5.1</v>
      </c>
      <c r="H79" t="n">
        <v>0</v>
      </c>
      <c r="I79" t="n">
        <v>0</v>
      </c>
      <c r="J79" t="n">
        <v>0</v>
      </c>
      <c r="K79" t="n">
        <v>0</v>
      </c>
      <c r="L79" t="n">
        <v>0</v>
      </c>
      <c r="M79" t="n">
        <v>0</v>
      </c>
      <c r="N79" t="n">
        <v>0</v>
      </c>
      <c r="O79" t="n">
        <v>0</v>
      </c>
      <c r="P79" t="n">
        <v>0</v>
      </c>
      <c r="Q79" t="n">
        <v>0</v>
      </c>
      <c r="R79" s="2" t="inlineStr"/>
    </row>
    <row r="80" ht="15" customHeight="1">
      <c r="A80" t="inlineStr">
        <is>
          <t>A 7515-2021</t>
        </is>
      </c>
      <c r="B80" s="1" t="n">
        <v>44238</v>
      </c>
      <c r="C80" s="1" t="n">
        <v>45887</v>
      </c>
      <c r="D80" t="inlineStr">
        <is>
          <t>KALMAR LÄN</t>
        </is>
      </c>
      <c r="E80" t="inlineStr">
        <is>
          <t>VIMMERBY</t>
        </is>
      </c>
      <c r="G80" t="n">
        <v>20.9</v>
      </c>
      <c r="H80" t="n">
        <v>0</v>
      </c>
      <c r="I80" t="n">
        <v>0</v>
      </c>
      <c r="J80" t="n">
        <v>0</v>
      </c>
      <c r="K80" t="n">
        <v>0</v>
      </c>
      <c r="L80" t="n">
        <v>0</v>
      </c>
      <c r="M80" t="n">
        <v>0</v>
      </c>
      <c r="N80" t="n">
        <v>0</v>
      </c>
      <c r="O80" t="n">
        <v>0</v>
      </c>
      <c r="P80" t="n">
        <v>0</v>
      </c>
      <c r="Q80" t="n">
        <v>0</v>
      </c>
      <c r="R80" s="2" t="inlineStr"/>
    </row>
    <row r="81" ht="15" customHeight="1">
      <c r="A81" t="inlineStr">
        <is>
          <t>A 3426-2022</t>
        </is>
      </c>
      <c r="B81" s="1" t="n">
        <v>44585.51829861111</v>
      </c>
      <c r="C81" s="1" t="n">
        <v>45887</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40728-2022</t>
        </is>
      </c>
      <c r="B82" s="1" t="n">
        <v>44824.53434027778</v>
      </c>
      <c r="C82" s="1" t="n">
        <v>45887</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40073-2021</t>
        </is>
      </c>
      <c r="B83" s="1" t="n">
        <v>44418</v>
      </c>
      <c r="C83" s="1" t="n">
        <v>45887</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33051-2022</t>
        </is>
      </c>
      <c r="B84" s="1" t="n">
        <v>44785.40800925926</v>
      </c>
      <c r="C84" s="1" t="n">
        <v>45887</v>
      </c>
      <c r="D84" t="inlineStr">
        <is>
          <t>KALMAR LÄN</t>
        </is>
      </c>
      <c r="E84" t="inlineStr">
        <is>
          <t>VIMMERBY</t>
        </is>
      </c>
      <c r="G84" t="n">
        <v>0.3</v>
      </c>
      <c r="H84" t="n">
        <v>0</v>
      </c>
      <c r="I84" t="n">
        <v>0</v>
      </c>
      <c r="J84" t="n">
        <v>0</v>
      </c>
      <c r="K84" t="n">
        <v>0</v>
      </c>
      <c r="L84" t="n">
        <v>0</v>
      </c>
      <c r="M84" t="n">
        <v>0</v>
      </c>
      <c r="N84" t="n">
        <v>0</v>
      </c>
      <c r="O84" t="n">
        <v>0</v>
      </c>
      <c r="P84" t="n">
        <v>0</v>
      </c>
      <c r="Q84" t="n">
        <v>0</v>
      </c>
      <c r="R84" s="2" t="inlineStr"/>
    </row>
    <row r="85" ht="15" customHeight="1">
      <c r="A85" t="inlineStr">
        <is>
          <t>A 2183-2022</t>
        </is>
      </c>
      <c r="B85" s="1" t="n">
        <v>44578.47597222222</v>
      </c>
      <c r="C85" s="1" t="n">
        <v>45887</v>
      </c>
      <c r="D85" t="inlineStr">
        <is>
          <t>KALMAR LÄN</t>
        </is>
      </c>
      <c r="E85" t="inlineStr">
        <is>
          <t>VIMMERBY</t>
        </is>
      </c>
      <c r="G85" t="n">
        <v>4.8</v>
      </c>
      <c r="H85" t="n">
        <v>0</v>
      </c>
      <c r="I85" t="n">
        <v>0</v>
      </c>
      <c r="J85" t="n">
        <v>0</v>
      </c>
      <c r="K85" t="n">
        <v>0</v>
      </c>
      <c r="L85" t="n">
        <v>0</v>
      </c>
      <c r="M85" t="n">
        <v>0</v>
      </c>
      <c r="N85" t="n">
        <v>0</v>
      </c>
      <c r="O85" t="n">
        <v>0</v>
      </c>
      <c r="P85" t="n">
        <v>0</v>
      </c>
      <c r="Q85" t="n">
        <v>0</v>
      </c>
      <c r="R85" s="2" t="inlineStr"/>
    </row>
    <row r="86" ht="15" customHeight="1">
      <c r="A86" t="inlineStr">
        <is>
          <t>A 65670-2021</t>
        </is>
      </c>
      <c r="B86" s="1" t="n">
        <v>44516.59703703703</v>
      </c>
      <c r="C86" s="1" t="n">
        <v>45887</v>
      </c>
      <c r="D86" t="inlineStr">
        <is>
          <t>KALMAR LÄN</t>
        </is>
      </c>
      <c r="E86" t="inlineStr">
        <is>
          <t>VIMMERBY</t>
        </is>
      </c>
      <c r="G86" t="n">
        <v>1.9</v>
      </c>
      <c r="H86" t="n">
        <v>0</v>
      </c>
      <c r="I86" t="n">
        <v>0</v>
      </c>
      <c r="J86" t="n">
        <v>0</v>
      </c>
      <c r="K86" t="n">
        <v>0</v>
      </c>
      <c r="L86" t="n">
        <v>0</v>
      </c>
      <c r="M86" t="n">
        <v>0</v>
      </c>
      <c r="N86" t="n">
        <v>0</v>
      </c>
      <c r="O86" t="n">
        <v>0</v>
      </c>
      <c r="P86" t="n">
        <v>0</v>
      </c>
      <c r="Q86" t="n">
        <v>0</v>
      </c>
      <c r="R86" s="2" t="inlineStr"/>
    </row>
    <row r="87" ht="15" customHeight="1">
      <c r="A87" t="inlineStr">
        <is>
          <t>A 50809-2022</t>
        </is>
      </c>
      <c r="B87" s="1" t="n">
        <v>44862</v>
      </c>
      <c r="C87" s="1" t="n">
        <v>45887</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41438-2022</t>
        </is>
      </c>
      <c r="B88" s="1" t="n">
        <v>44826.68010416667</v>
      </c>
      <c r="C88" s="1" t="n">
        <v>45887</v>
      </c>
      <c r="D88" t="inlineStr">
        <is>
          <t>KALMAR LÄN</t>
        </is>
      </c>
      <c r="E88" t="inlineStr">
        <is>
          <t>VIMMERBY</t>
        </is>
      </c>
      <c r="G88" t="n">
        <v>3.1</v>
      </c>
      <c r="H88" t="n">
        <v>0</v>
      </c>
      <c r="I88" t="n">
        <v>0</v>
      </c>
      <c r="J88" t="n">
        <v>0</v>
      </c>
      <c r="K88" t="n">
        <v>0</v>
      </c>
      <c r="L88" t="n">
        <v>0</v>
      </c>
      <c r="M88" t="n">
        <v>0</v>
      </c>
      <c r="N88" t="n">
        <v>0</v>
      </c>
      <c r="O88" t="n">
        <v>0</v>
      </c>
      <c r="P88" t="n">
        <v>0</v>
      </c>
      <c r="Q88" t="n">
        <v>0</v>
      </c>
      <c r="R88" s="2" t="inlineStr"/>
    </row>
    <row r="89" ht="15" customHeight="1">
      <c r="A89" t="inlineStr">
        <is>
          <t>A 7049-2022</t>
        </is>
      </c>
      <c r="B89" s="1" t="n">
        <v>44603</v>
      </c>
      <c r="C89" s="1" t="n">
        <v>45887</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4296-2022</t>
        </is>
      </c>
      <c r="B90" s="1" t="n">
        <v>44588</v>
      </c>
      <c r="C90" s="1" t="n">
        <v>45887</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38086-2021</t>
        </is>
      </c>
      <c r="B91" s="1" t="n">
        <v>44404.87505787037</v>
      </c>
      <c r="C91" s="1" t="n">
        <v>45887</v>
      </c>
      <c r="D91" t="inlineStr">
        <is>
          <t>KALMAR LÄN</t>
        </is>
      </c>
      <c r="E91" t="inlineStr">
        <is>
          <t>VIMMERBY</t>
        </is>
      </c>
      <c r="G91" t="n">
        <v>4.4</v>
      </c>
      <c r="H91" t="n">
        <v>0</v>
      </c>
      <c r="I91" t="n">
        <v>0</v>
      </c>
      <c r="J91" t="n">
        <v>0</v>
      </c>
      <c r="K91" t="n">
        <v>0</v>
      </c>
      <c r="L91" t="n">
        <v>0</v>
      </c>
      <c r="M91" t="n">
        <v>0</v>
      </c>
      <c r="N91" t="n">
        <v>0</v>
      </c>
      <c r="O91" t="n">
        <v>0</v>
      </c>
      <c r="P91" t="n">
        <v>0</v>
      </c>
      <c r="Q91" t="n">
        <v>0</v>
      </c>
      <c r="R91" s="2" t="inlineStr"/>
    </row>
    <row r="92" ht="15" customHeight="1">
      <c r="A92" t="inlineStr">
        <is>
          <t>A 57416-2021</t>
        </is>
      </c>
      <c r="B92" s="1" t="n">
        <v>44483.58295138889</v>
      </c>
      <c r="C92" s="1" t="n">
        <v>45887</v>
      </c>
      <c r="D92" t="inlineStr">
        <is>
          <t>KALMAR LÄN</t>
        </is>
      </c>
      <c r="E92" t="inlineStr">
        <is>
          <t>VIMMERBY</t>
        </is>
      </c>
      <c r="G92" t="n">
        <v>2.9</v>
      </c>
      <c r="H92" t="n">
        <v>0</v>
      </c>
      <c r="I92" t="n">
        <v>0</v>
      </c>
      <c r="J92" t="n">
        <v>0</v>
      </c>
      <c r="K92" t="n">
        <v>0</v>
      </c>
      <c r="L92" t="n">
        <v>0</v>
      </c>
      <c r="M92" t="n">
        <v>0</v>
      </c>
      <c r="N92" t="n">
        <v>0</v>
      </c>
      <c r="O92" t="n">
        <v>0</v>
      </c>
      <c r="P92" t="n">
        <v>0</v>
      </c>
      <c r="Q92" t="n">
        <v>0</v>
      </c>
      <c r="R92" s="2" t="inlineStr"/>
    </row>
    <row r="93" ht="15" customHeight="1">
      <c r="A93" t="inlineStr">
        <is>
          <t>A 27762-2021</t>
        </is>
      </c>
      <c r="B93" s="1" t="n">
        <v>44354</v>
      </c>
      <c r="C93" s="1" t="n">
        <v>45887</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71626-2021</t>
        </is>
      </c>
      <c r="B94" s="1" t="n">
        <v>44542.8859375</v>
      </c>
      <c r="C94" s="1" t="n">
        <v>45887</v>
      </c>
      <c r="D94" t="inlineStr">
        <is>
          <t>KALMAR LÄN</t>
        </is>
      </c>
      <c r="E94" t="inlineStr">
        <is>
          <t>VIMMERBY</t>
        </is>
      </c>
      <c r="G94" t="n">
        <v>1.1</v>
      </c>
      <c r="H94" t="n">
        <v>0</v>
      </c>
      <c r="I94" t="n">
        <v>0</v>
      </c>
      <c r="J94" t="n">
        <v>0</v>
      </c>
      <c r="K94" t="n">
        <v>0</v>
      </c>
      <c r="L94" t="n">
        <v>0</v>
      </c>
      <c r="M94" t="n">
        <v>0</v>
      </c>
      <c r="N94" t="n">
        <v>0</v>
      </c>
      <c r="O94" t="n">
        <v>0</v>
      </c>
      <c r="P94" t="n">
        <v>0</v>
      </c>
      <c r="Q94" t="n">
        <v>0</v>
      </c>
      <c r="R94" s="2" t="inlineStr"/>
    </row>
    <row r="95" ht="15" customHeight="1">
      <c r="A95" t="inlineStr">
        <is>
          <t>A 64923-2021</t>
        </is>
      </c>
      <c r="B95" s="1" t="n">
        <v>44512.70245370371</v>
      </c>
      <c r="C95" s="1" t="n">
        <v>45887</v>
      </c>
      <c r="D95" t="inlineStr">
        <is>
          <t>KALMAR LÄN</t>
        </is>
      </c>
      <c r="E95" t="inlineStr">
        <is>
          <t>VIMMERBY</t>
        </is>
      </c>
      <c r="G95" t="n">
        <v>1</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45887</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33829-2022</t>
        </is>
      </c>
      <c r="B97" s="1" t="n">
        <v>44790</v>
      </c>
      <c r="C97" s="1" t="n">
        <v>45887</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45678-2020</t>
        </is>
      </c>
      <c r="B98" s="1" t="n">
        <v>44090</v>
      </c>
      <c r="C98" s="1" t="n">
        <v>45887</v>
      </c>
      <c r="D98" t="inlineStr">
        <is>
          <t>KALMAR LÄN</t>
        </is>
      </c>
      <c r="E98" t="inlineStr">
        <is>
          <t>VIMMERBY</t>
        </is>
      </c>
      <c r="G98" t="n">
        <v>4.3</v>
      </c>
      <c r="H98" t="n">
        <v>0</v>
      </c>
      <c r="I98" t="n">
        <v>0</v>
      </c>
      <c r="J98" t="n">
        <v>0</v>
      </c>
      <c r="K98" t="n">
        <v>0</v>
      </c>
      <c r="L98" t="n">
        <v>0</v>
      </c>
      <c r="M98" t="n">
        <v>0</v>
      </c>
      <c r="N98" t="n">
        <v>0</v>
      </c>
      <c r="O98" t="n">
        <v>0</v>
      </c>
      <c r="P98" t="n">
        <v>0</v>
      </c>
      <c r="Q98" t="n">
        <v>0</v>
      </c>
      <c r="R98" s="2" t="inlineStr"/>
    </row>
    <row r="99" ht="15" customHeight="1">
      <c r="A99" t="inlineStr">
        <is>
          <t>A 3621-2021</t>
        </is>
      </c>
      <c r="B99" s="1" t="n">
        <v>44221.39408564815</v>
      </c>
      <c r="C99" s="1" t="n">
        <v>45887</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45887</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45887</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45887</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45887</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33820-2022</t>
        </is>
      </c>
      <c r="B104" s="1" t="n">
        <v>44790</v>
      </c>
      <c r="C104" s="1" t="n">
        <v>45887</v>
      </c>
      <c r="D104" t="inlineStr">
        <is>
          <t>KALMAR LÄN</t>
        </is>
      </c>
      <c r="E104" t="inlineStr">
        <is>
          <t>VIMMERBY</t>
        </is>
      </c>
      <c r="G104" t="n">
        <v>3</v>
      </c>
      <c r="H104" t="n">
        <v>0</v>
      </c>
      <c r="I104" t="n">
        <v>0</v>
      </c>
      <c r="J104" t="n">
        <v>0</v>
      </c>
      <c r="K104" t="n">
        <v>0</v>
      </c>
      <c r="L104" t="n">
        <v>0</v>
      </c>
      <c r="M104" t="n">
        <v>0</v>
      </c>
      <c r="N104" t="n">
        <v>0</v>
      </c>
      <c r="O104" t="n">
        <v>0</v>
      </c>
      <c r="P104" t="n">
        <v>0</v>
      </c>
      <c r="Q104" t="n">
        <v>0</v>
      </c>
      <c r="R104" s="2" t="inlineStr"/>
    </row>
    <row r="105" ht="15" customHeight="1">
      <c r="A105" t="inlineStr">
        <is>
          <t>A 33824-2022</t>
        </is>
      </c>
      <c r="B105" s="1" t="n">
        <v>44790.47628472222</v>
      </c>
      <c r="C105" s="1" t="n">
        <v>45887</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65952-2020</t>
        </is>
      </c>
      <c r="B106" s="1" t="n">
        <v>44175.3815625</v>
      </c>
      <c r="C106" s="1" t="n">
        <v>45887</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65973-2020</t>
        </is>
      </c>
      <c r="B107" s="1" t="n">
        <v>44175.40881944444</v>
      </c>
      <c r="C107" s="1" t="n">
        <v>45887</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38844-2020</t>
        </is>
      </c>
      <c r="B108" s="1" t="n">
        <v>44062</v>
      </c>
      <c r="C108" s="1" t="n">
        <v>45887</v>
      </c>
      <c r="D108" t="inlineStr">
        <is>
          <t>KALMAR LÄN</t>
        </is>
      </c>
      <c r="E108" t="inlineStr">
        <is>
          <t>VIMMERBY</t>
        </is>
      </c>
      <c r="G108" t="n">
        <v>3</v>
      </c>
      <c r="H108" t="n">
        <v>0</v>
      </c>
      <c r="I108" t="n">
        <v>0</v>
      </c>
      <c r="J108" t="n">
        <v>0</v>
      </c>
      <c r="K108" t="n">
        <v>0</v>
      </c>
      <c r="L108" t="n">
        <v>0</v>
      </c>
      <c r="M108" t="n">
        <v>0</v>
      </c>
      <c r="N108" t="n">
        <v>0</v>
      </c>
      <c r="O108" t="n">
        <v>0</v>
      </c>
      <c r="P108" t="n">
        <v>0</v>
      </c>
      <c r="Q108" t="n">
        <v>0</v>
      </c>
      <c r="R108" s="2" t="inlineStr"/>
    </row>
    <row r="109" ht="15" customHeight="1">
      <c r="A109" t="inlineStr">
        <is>
          <t>A 19863-2021</t>
        </is>
      </c>
      <c r="B109" s="1" t="n">
        <v>44312</v>
      </c>
      <c r="C109" s="1" t="n">
        <v>45887</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55297-2021</t>
        </is>
      </c>
      <c r="B110" s="1" t="n">
        <v>44475</v>
      </c>
      <c r="C110" s="1" t="n">
        <v>45887</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35531-2021</t>
        </is>
      </c>
      <c r="B111" s="1" t="n">
        <v>44385</v>
      </c>
      <c r="C111" s="1" t="n">
        <v>45887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53711-2020</t>
        </is>
      </c>
      <c r="B112" s="1" t="n">
        <v>44124.59795138889</v>
      </c>
      <c r="C112" s="1" t="n">
        <v>45887</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7072-2021</t>
        </is>
      </c>
      <c r="B113" s="1" t="n">
        <v>44237.8550925926</v>
      </c>
      <c r="C113" s="1" t="n">
        <v>45887</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38789-2021</t>
        </is>
      </c>
      <c r="B114" s="1" t="n">
        <v>44410.71038194445</v>
      </c>
      <c r="C114" s="1" t="n">
        <v>45887</v>
      </c>
      <c r="D114" t="inlineStr">
        <is>
          <t>KALMAR LÄN</t>
        </is>
      </c>
      <c r="E114" t="inlineStr">
        <is>
          <t>VIMMERBY</t>
        </is>
      </c>
      <c r="G114" t="n">
        <v>3.7</v>
      </c>
      <c r="H114" t="n">
        <v>0</v>
      </c>
      <c r="I114" t="n">
        <v>0</v>
      </c>
      <c r="J114" t="n">
        <v>0</v>
      </c>
      <c r="K114" t="n">
        <v>0</v>
      </c>
      <c r="L114" t="n">
        <v>0</v>
      </c>
      <c r="M114" t="n">
        <v>0</v>
      </c>
      <c r="N114" t="n">
        <v>0</v>
      </c>
      <c r="O114" t="n">
        <v>0</v>
      </c>
      <c r="P114" t="n">
        <v>0</v>
      </c>
      <c r="Q114" t="n">
        <v>0</v>
      </c>
      <c r="R114" s="2" t="inlineStr"/>
    </row>
    <row r="115" ht="15" customHeight="1">
      <c r="A115" t="inlineStr">
        <is>
          <t>A 14347-2021</t>
        </is>
      </c>
      <c r="B115" s="1" t="n">
        <v>44279.33400462963</v>
      </c>
      <c r="C115" s="1" t="n">
        <v>45887</v>
      </c>
      <c r="D115" t="inlineStr">
        <is>
          <t>KALMAR LÄN</t>
        </is>
      </c>
      <c r="E115" t="inlineStr">
        <is>
          <t>VIMMERBY</t>
        </is>
      </c>
      <c r="G115" t="n">
        <v>6.4</v>
      </c>
      <c r="H115" t="n">
        <v>0</v>
      </c>
      <c r="I115" t="n">
        <v>0</v>
      </c>
      <c r="J115" t="n">
        <v>0</v>
      </c>
      <c r="K115" t="n">
        <v>0</v>
      </c>
      <c r="L115" t="n">
        <v>0</v>
      </c>
      <c r="M115" t="n">
        <v>0</v>
      </c>
      <c r="N115" t="n">
        <v>0</v>
      </c>
      <c r="O115" t="n">
        <v>0</v>
      </c>
      <c r="P115" t="n">
        <v>0</v>
      </c>
      <c r="Q115" t="n">
        <v>0</v>
      </c>
      <c r="R115" s="2" t="inlineStr"/>
    </row>
    <row r="116" ht="15" customHeight="1">
      <c r="A116" t="inlineStr">
        <is>
          <t>A 66913-2020</t>
        </is>
      </c>
      <c r="B116" s="1" t="n">
        <v>44175</v>
      </c>
      <c r="C116" s="1" t="n">
        <v>45887</v>
      </c>
      <c r="D116" t="inlineStr">
        <is>
          <t>KALMAR LÄN</t>
        </is>
      </c>
      <c r="E116" t="inlineStr">
        <is>
          <t>VIMMERBY</t>
        </is>
      </c>
      <c r="G116" t="n">
        <v>5.6</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45887</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30682-2021</t>
        </is>
      </c>
      <c r="B118" s="1" t="n">
        <v>44365</v>
      </c>
      <c r="C118" s="1" t="n">
        <v>45887</v>
      </c>
      <c r="D118" t="inlineStr">
        <is>
          <t>KALMAR LÄN</t>
        </is>
      </c>
      <c r="E118" t="inlineStr">
        <is>
          <t>VIMMERBY</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64707-2020</t>
        </is>
      </c>
      <c r="B119" s="1" t="n">
        <v>44169</v>
      </c>
      <c r="C119" s="1" t="n">
        <v>45887</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13492-2021</t>
        </is>
      </c>
      <c r="B120" s="1" t="n">
        <v>44273</v>
      </c>
      <c r="C120" s="1" t="n">
        <v>45887</v>
      </c>
      <c r="D120" t="inlineStr">
        <is>
          <t>KALMAR LÄN</t>
        </is>
      </c>
      <c r="E120" t="inlineStr">
        <is>
          <t>VIMMERBY</t>
        </is>
      </c>
      <c r="G120" t="n">
        <v>3.1</v>
      </c>
      <c r="H120" t="n">
        <v>0</v>
      </c>
      <c r="I120" t="n">
        <v>0</v>
      </c>
      <c r="J120" t="n">
        <v>0</v>
      </c>
      <c r="K120" t="n">
        <v>0</v>
      </c>
      <c r="L120" t="n">
        <v>0</v>
      </c>
      <c r="M120" t="n">
        <v>0</v>
      </c>
      <c r="N120" t="n">
        <v>0</v>
      </c>
      <c r="O120" t="n">
        <v>0</v>
      </c>
      <c r="P120" t="n">
        <v>0</v>
      </c>
      <c r="Q120" t="n">
        <v>0</v>
      </c>
      <c r="R120" s="2" t="inlineStr"/>
    </row>
    <row r="121" ht="15" customHeight="1">
      <c r="A121" t="inlineStr">
        <is>
          <t>A 17869-2021</t>
        </is>
      </c>
      <c r="B121" s="1" t="n">
        <v>44301.36048611111</v>
      </c>
      <c r="C121" s="1" t="n">
        <v>45887</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12848-2021</t>
        </is>
      </c>
      <c r="B122" s="1" t="n">
        <v>44271.37226851852</v>
      </c>
      <c r="C122" s="1" t="n">
        <v>45887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25049-2022</t>
        </is>
      </c>
      <c r="B123" s="1" t="n">
        <v>44729.28226851852</v>
      </c>
      <c r="C123" s="1" t="n">
        <v>45887</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24723-2021</t>
        </is>
      </c>
      <c r="B124" s="1" t="n">
        <v>44340.54472222222</v>
      </c>
      <c r="C124" s="1" t="n">
        <v>45887</v>
      </c>
      <c r="D124" t="inlineStr">
        <is>
          <t>KALMAR LÄN</t>
        </is>
      </c>
      <c r="E124" t="inlineStr">
        <is>
          <t>VIMMERBY</t>
        </is>
      </c>
      <c r="G124" t="n">
        <v>3.3</v>
      </c>
      <c r="H124" t="n">
        <v>0</v>
      </c>
      <c r="I124" t="n">
        <v>0</v>
      </c>
      <c r="J124" t="n">
        <v>0</v>
      </c>
      <c r="K124" t="n">
        <v>0</v>
      </c>
      <c r="L124" t="n">
        <v>0</v>
      </c>
      <c r="M124" t="n">
        <v>0</v>
      </c>
      <c r="N124" t="n">
        <v>0</v>
      </c>
      <c r="O124" t="n">
        <v>0</v>
      </c>
      <c r="P124" t="n">
        <v>0</v>
      </c>
      <c r="Q124" t="n">
        <v>0</v>
      </c>
      <c r="R124" s="2" t="inlineStr"/>
    </row>
    <row r="125" ht="15" customHeight="1">
      <c r="A125" t="inlineStr">
        <is>
          <t>A 24752-2021</t>
        </is>
      </c>
      <c r="B125" s="1" t="n">
        <v>44340</v>
      </c>
      <c r="C125" s="1" t="n">
        <v>45887</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31533-2022</t>
        </is>
      </c>
      <c r="B126" s="1" t="n">
        <v>44774</v>
      </c>
      <c r="C126" s="1" t="n">
        <v>45887</v>
      </c>
      <c r="D126" t="inlineStr">
        <is>
          <t>KALMAR LÄN</t>
        </is>
      </c>
      <c r="E126" t="inlineStr">
        <is>
          <t>VIMMERBY</t>
        </is>
      </c>
      <c r="G126" t="n">
        <v>2.5</v>
      </c>
      <c r="H126" t="n">
        <v>0</v>
      </c>
      <c r="I126" t="n">
        <v>0</v>
      </c>
      <c r="J126" t="n">
        <v>0</v>
      </c>
      <c r="K126" t="n">
        <v>0</v>
      </c>
      <c r="L126" t="n">
        <v>0</v>
      </c>
      <c r="M126" t="n">
        <v>0</v>
      </c>
      <c r="N126" t="n">
        <v>0</v>
      </c>
      <c r="O126" t="n">
        <v>0</v>
      </c>
      <c r="P126" t="n">
        <v>0</v>
      </c>
      <c r="Q126" t="n">
        <v>0</v>
      </c>
      <c r="R126" s="2" t="inlineStr"/>
    </row>
    <row r="127" ht="15" customHeight="1">
      <c r="A127" t="inlineStr">
        <is>
          <t>A 38710-2020</t>
        </is>
      </c>
      <c r="B127" s="1" t="n">
        <v>44061</v>
      </c>
      <c r="C127" s="1" t="n">
        <v>45887</v>
      </c>
      <c r="D127" t="inlineStr">
        <is>
          <t>KALMAR LÄN</t>
        </is>
      </c>
      <c r="E127" t="inlineStr">
        <is>
          <t>VIMMERBY</t>
        </is>
      </c>
      <c r="G127" t="n">
        <v>2.2</v>
      </c>
      <c r="H127" t="n">
        <v>0</v>
      </c>
      <c r="I127" t="n">
        <v>0</v>
      </c>
      <c r="J127" t="n">
        <v>0</v>
      </c>
      <c r="K127" t="n">
        <v>0</v>
      </c>
      <c r="L127" t="n">
        <v>0</v>
      </c>
      <c r="M127" t="n">
        <v>0</v>
      </c>
      <c r="N127" t="n">
        <v>0</v>
      </c>
      <c r="O127" t="n">
        <v>0</v>
      </c>
      <c r="P127" t="n">
        <v>0</v>
      </c>
      <c r="Q127" t="n">
        <v>0</v>
      </c>
      <c r="R127" s="2" t="inlineStr"/>
    </row>
    <row r="128" ht="15" customHeight="1">
      <c r="A128" t="inlineStr">
        <is>
          <t>A 25859-2022</t>
        </is>
      </c>
      <c r="B128" s="1" t="n">
        <v>44733</v>
      </c>
      <c r="C128" s="1" t="n">
        <v>45887</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25868-2022</t>
        </is>
      </c>
      <c r="B129" s="1" t="n">
        <v>44733</v>
      </c>
      <c r="C129" s="1" t="n">
        <v>45887</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39125-2020</t>
        </is>
      </c>
      <c r="B130" s="1" t="n">
        <v>44063</v>
      </c>
      <c r="C130" s="1" t="n">
        <v>45887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60810-2020</t>
        </is>
      </c>
      <c r="B131" s="1" t="n">
        <v>44154</v>
      </c>
      <c r="C131" s="1" t="n">
        <v>45887</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32386-2021</t>
        </is>
      </c>
      <c r="B132" s="1" t="n">
        <v>44371.62743055556</v>
      </c>
      <c r="C132" s="1" t="n">
        <v>45887</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35633-2021</t>
        </is>
      </c>
      <c r="B133" s="1" t="n">
        <v>44386.40783564815</v>
      </c>
      <c r="C133" s="1" t="n">
        <v>45887</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56343-2021</t>
        </is>
      </c>
      <c r="B134" s="1" t="n">
        <v>44480</v>
      </c>
      <c r="C134" s="1" t="n">
        <v>45887</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8415-2021</t>
        </is>
      </c>
      <c r="B135" s="1" t="n">
        <v>44245</v>
      </c>
      <c r="C135" s="1" t="n">
        <v>45887</v>
      </c>
      <c r="D135" t="inlineStr">
        <is>
          <t>KALMAR LÄN</t>
        </is>
      </c>
      <c r="E135" t="inlineStr">
        <is>
          <t>VIMMERBY</t>
        </is>
      </c>
      <c r="G135" t="n">
        <v>4.7</v>
      </c>
      <c r="H135" t="n">
        <v>0</v>
      </c>
      <c r="I135" t="n">
        <v>0</v>
      </c>
      <c r="J135" t="n">
        <v>0</v>
      </c>
      <c r="K135" t="n">
        <v>0</v>
      </c>
      <c r="L135" t="n">
        <v>0</v>
      </c>
      <c r="M135" t="n">
        <v>0</v>
      </c>
      <c r="N135" t="n">
        <v>0</v>
      </c>
      <c r="O135" t="n">
        <v>0</v>
      </c>
      <c r="P135" t="n">
        <v>0</v>
      </c>
      <c r="Q135" t="n">
        <v>0</v>
      </c>
      <c r="R135" s="2" t="inlineStr"/>
    </row>
    <row r="136" ht="15" customHeight="1">
      <c r="A136" t="inlineStr">
        <is>
          <t>A 40818-2020</t>
        </is>
      </c>
      <c r="B136" s="1" t="n">
        <v>44070.40998842593</v>
      </c>
      <c r="C136" s="1" t="n">
        <v>45887</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24369-2021</t>
        </is>
      </c>
      <c r="B137" s="1" t="n">
        <v>44337</v>
      </c>
      <c r="C137" s="1" t="n">
        <v>45887</v>
      </c>
      <c r="D137" t="inlineStr">
        <is>
          <t>KALMAR LÄN</t>
        </is>
      </c>
      <c r="E137" t="inlineStr">
        <is>
          <t>VIMMERBY</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48949-2020</t>
        </is>
      </c>
      <c r="B138" s="1" t="n">
        <v>44102</v>
      </c>
      <c r="C138" s="1" t="n">
        <v>45887</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51972-2021</t>
        </is>
      </c>
      <c r="B139" s="1" t="n">
        <v>44463.29439814815</v>
      </c>
      <c r="C139" s="1" t="n">
        <v>45887</v>
      </c>
      <c r="D139" t="inlineStr">
        <is>
          <t>KALMAR LÄN</t>
        </is>
      </c>
      <c r="E139" t="inlineStr">
        <is>
          <t>VIMMERBY</t>
        </is>
      </c>
      <c r="G139" t="n">
        <v>4.5</v>
      </c>
      <c r="H139" t="n">
        <v>0</v>
      </c>
      <c r="I139" t="n">
        <v>0</v>
      </c>
      <c r="J139" t="n">
        <v>0</v>
      </c>
      <c r="K139" t="n">
        <v>0</v>
      </c>
      <c r="L139" t="n">
        <v>0</v>
      </c>
      <c r="M139" t="n">
        <v>0</v>
      </c>
      <c r="N139" t="n">
        <v>0</v>
      </c>
      <c r="O139" t="n">
        <v>0</v>
      </c>
      <c r="P139" t="n">
        <v>0</v>
      </c>
      <c r="Q139" t="n">
        <v>0</v>
      </c>
      <c r="R139" s="2" t="inlineStr"/>
    </row>
    <row r="140" ht="15" customHeight="1">
      <c r="A140" t="inlineStr">
        <is>
          <t>A 4042-2022</t>
        </is>
      </c>
      <c r="B140" s="1" t="n">
        <v>44588</v>
      </c>
      <c r="C140" s="1" t="n">
        <v>45887</v>
      </c>
      <c r="D140" t="inlineStr">
        <is>
          <t>KALMAR LÄN</t>
        </is>
      </c>
      <c r="E140" t="inlineStr">
        <is>
          <t>VIMMERBY</t>
        </is>
      </c>
      <c r="G140" t="n">
        <v>4.7</v>
      </c>
      <c r="H140" t="n">
        <v>0</v>
      </c>
      <c r="I140" t="n">
        <v>0</v>
      </c>
      <c r="J140" t="n">
        <v>0</v>
      </c>
      <c r="K140" t="n">
        <v>0</v>
      </c>
      <c r="L140" t="n">
        <v>0</v>
      </c>
      <c r="M140" t="n">
        <v>0</v>
      </c>
      <c r="N140" t="n">
        <v>0</v>
      </c>
      <c r="O140" t="n">
        <v>0</v>
      </c>
      <c r="P140" t="n">
        <v>0</v>
      </c>
      <c r="Q140" t="n">
        <v>0</v>
      </c>
      <c r="R140" s="2" t="inlineStr"/>
    </row>
    <row r="141" ht="15" customHeight="1">
      <c r="A141" t="inlineStr">
        <is>
          <t>A 52073-2020</t>
        </is>
      </c>
      <c r="B141" s="1" t="n">
        <v>44117</v>
      </c>
      <c r="C141" s="1" t="n">
        <v>45887</v>
      </c>
      <c r="D141" t="inlineStr">
        <is>
          <t>KALMAR LÄN</t>
        </is>
      </c>
      <c r="E141" t="inlineStr">
        <is>
          <t>VIMMERBY</t>
        </is>
      </c>
      <c r="G141" t="n">
        <v>2.3</v>
      </c>
      <c r="H141" t="n">
        <v>0</v>
      </c>
      <c r="I141" t="n">
        <v>0</v>
      </c>
      <c r="J141" t="n">
        <v>0</v>
      </c>
      <c r="K141" t="n">
        <v>0</v>
      </c>
      <c r="L141" t="n">
        <v>0</v>
      </c>
      <c r="M141" t="n">
        <v>0</v>
      </c>
      <c r="N141" t="n">
        <v>0</v>
      </c>
      <c r="O141" t="n">
        <v>0</v>
      </c>
      <c r="P141" t="n">
        <v>0</v>
      </c>
      <c r="Q141" t="n">
        <v>0</v>
      </c>
      <c r="R141" s="2" t="inlineStr"/>
    </row>
    <row r="142" ht="15" customHeight="1">
      <c r="A142" t="inlineStr">
        <is>
          <t>A 33690-2022</t>
        </is>
      </c>
      <c r="B142" s="1" t="n">
        <v>44789</v>
      </c>
      <c r="C142" s="1" t="n">
        <v>45887</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35198-2021</t>
        </is>
      </c>
      <c r="B143" s="1" t="n">
        <v>44377</v>
      </c>
      <c r="C143" s="1" t="n">
        <v>45887</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34036-2021</t>
        </is>
      </c>
      <c r="B144" s="1" t="n">
        <v>44379</v>
      </c>
      <c r="C144" s="1" t="n">
        <v>45887</v>
      </c>
      <c r="D144" t="inlineStr">
        <is>
          <t>KALMAR LÄN</t>
        </is>
      </c>
      <c r="E144" t="inlineStr">
        <is>
          <t>VIMMERBY</t>
        </is>
      </c>
      <c r="F144" t="inlineStr">
        <is>
          <t>Sveaskog</t>
        </is>
      </c>
      <c r="G144" t="n">
        <v>7</v>
      </c>
      <c r="H144" t="n">
        <v>0</v>
      </c>
      <c r="I144" t="n">
        <v>0</v>
      </c>
      <c r="J144" t="n">
        <v>0</v>
      </c>
      <c r="K144" t="n">
        <v>0</v>
      </c>
      <c r="L144" t="n">
        <v>0</v>
      </c>
      <c r="M144" t="n">
        <v>0</v>
      </c>
      <c r="N144" t="n">
        <v>0</v>
      </c>
      <c r="O144" t="n">
        <v>0</v>
      </c>
      <c r="P144" t="n">
        <v>0</v>
      </c>
      <c r="Q144" t="n">
        <v>0</v>
      </c>
      <c r="R144" s="2" t="inlineStr"/>
    </row>
    <row r="145" ht="15" customHeight="1">
      <c r="A145" t="inlineStr">
        <is>
          <t>A 63244-2021</t>
        </is>
      </c>
      <c r="B145" s="1" t="n">
        <v>44508</v>
      </c>
      <c r="C145" s="1" t="n">
        <v>45887</v>
      </c>
      <c r="D145" t="inlineStr">
        <is>
          <t>KALMAR LÄN</t>
        </is>
      </c>
      <c r="E145" t="inlineStr">
        <is>
          <t>VIMMERBY</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46085-2020</t>
        </is>
      </c>
      <c r="B146" s="1" t="n">
        <v>44091</v>
      </c>
      <c r="C146" s="1" t="n">
        <v>45887</v>
      </c>
      <c r="D146" t="inlineStr">
        <is>
          <t>KALMAR LÄN</t>
        </is>
      </c>
      <c r="E146" t="inlineStr">
        <is>
          <t>VIMMERBY</t>
        </is>
      </c>
      <c r="G146" t="n">
        <v>6.1</v>
      </c>
      <c r="H146" t="n">
        <v>0</v>
      </c>
      <c r="I146" t="n">
        <v>0</v>
      </c>
      <c r="J146" t="n">
        <v>0</v>
      </c>
      <c r="K146" t="n">
        <v>0</v>
      </c>
      <c r="L146" t="n">
        <v>0</v>
      </c>
      <c r="M146" t="n">
        <v>0</v>
      </c>
      <c r="N146" t="n">
        <v>0</v>
      </c>
      <c r="O146" t="n">
        <v>0</v>
      </c>
      <c r="P146" t="n">
        <v>0</v>
      </c>
      <c r="Q146" t="n">
        <v>0</v>
      </c>
      <c r="R146" s="2" t="inlineStr"/>
    </row>
    <row r="147" ht="15" customHeight="1">
      <c r="A147" t="inlineStr">
        <is>
          <t>A 11814-2022</t>
        </is>
      </c>
      <c r="B147" s="1" t="n">
        <v>44634.69703703704</v>
      </c>
      <c r="C147" s="1" t="n">
        <v>45887</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56385-2021</t>
        </is>
      </c>
      <c r="B148" s="1" t="n">
        <v>44480</v>
      </c>
      <c r="C148" s="1" t="n">
        <v>45887</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45887</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31053-2022</t>
        </is>
      </c>
      <c r="B150" s="1" t="n">
        <v>44769.45422453704</v>
      </c>
      <c r="C150" s="1" t="n">
        <v>45887</v>
      </c>
      <c r="D150" t="inlineStr">
        <is>
          <t>KALMAR LÄN</t>
        </is>
      </c>
      <c r="E150" t="inlineStr">
        <is>
          <t>VIMMERBY</t>
        </is>
      </c>
      <c r="G150" t="n">
        <v>1.9</v>
      </c>
      <c r="H150" t="n">
        <v>0</v>
      </c>
      <c r="I150" t="n">
        <v>0</v>
      </c>
      <c r="J150" t="n">
        <v>0</v>
      </c>
      <c r="K150" t="n">
        <v>0</v>
      </c>
      <c r="L150" t="n">
        <v>0</v>
      </c>
      <c r="M150" t="n">
        <v>0</v>
      </c>
      <c r="N150" t="n">
        <v>0</v>
      </c>
      <c r="O150" t="n">
        <v>0</v>
      </c>
      <c r="P150" t="n">
        <v>0</v>
      </c>
      <c r="Q150" t="n">
        <v>0</v>
      </c>
      <c r="R150" s="2" t="inlineStr"/>
    </row>
    <row r="151" ht="15" customHeight="1">
      <c r="A151" t="inlineStr">
        <is>
          <t>A 46461-2020</t>
        </is>
      </c>
      <c r="B151" s="1" t="n">
        <v>44092</v>
      </c>
      <c r="C151" s="1" t="n">
        <v>45887</v>
      </c>
      <c r="D151" t="inlineStr">
        <is>
          <t>KALMAR LÄN</t>
        </is>
      </c>
      <c r="E151" t="inlineStr">
        <is>
          <t>VIMMERBY</t>
        </is>
      </c>
      <c r="G151" t="n">
        <v>2.4</v>
      </c>
      <c r="H151" t="n">
        <v>0</v>
      </c>
      <c r="I151" t="n">
        <v>0</v>
      </c>
      <c r="J151" t="n">
        <v>0</v>
      </c>
      <c r="K151" t="n">
        <v>0</v>
      </c>
      <c r="L151" t="n">
        <v>0</v>
      </c>
      <c r="M151" t="n">
        <v>0</v>
      </c>
      <c r="N151" t="n">
        <v>0</v>
      </c>
      <c r="O151" t="n">
        <v>0</v>
      </c>
      <c r="P151" t="n">
        <v>0</v>
      </c>
      <c r="Q151" t="n">
        <v>0</v>
      </c>
      <c r="R151" s="2" t="inlineStr"/>
    </row>
    <row r="152" ht="15" customHeight="1">
      <c r="A152" t="inlineStr">
        <is>
          <t>A 44605-2020</t>
        </is>
      </c>
      <c r="B152" s="1" t="n">
        <v>44085</v>
      </c>
      <c r="C152" s="1" t="n">
        <v>45887</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8454-2022</t>
        </is>
      </c>
      <c r="B153" s="1" t="n">
        <v>44612.86762731482</v>
      </c>
      <c r="C153" s="1" t="n">
        <v>45887</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57948-2020</t>
        </is>
      </c>
      <c r="B154" s="1" t="n">
        <v>44142</v>
      </c>
      <c r="C154" s="1" t="n">
        <v>45887</v>
      </c>
      <c r="D154" t="inlineStr">
        <is>
          <t>KALMAR LÄN</t>
        </is>
      </c>
      <c r="E154" t="inlineStr">
        <is>
          <t>VIMMERBY</t>
        </is>
      </c>
      <c r="G154" t="n">
        <v>7.1</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45887</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45887</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18276-2021</t>
        </is>
      </c>
      <c r="B157" s="1" t="n">
        <v>44305.40046296296</v>
      </c>
      <c r="C157" s="1" t="n">
        <v>45887</v>
      </c>
      <c r="D157" t="inlineStr">
        <is>
          <t>KALMAR LÄN</t>
        </is>
      </c>
      <c r="E157" t="inlineStr">
        <is>
          <t>VIMMERBY</t>
        </is>
      </c>
      <c r="G157" t="n">
        <v>0.9</v>
      </c>
      <c r="H157" t="n">
        <v>0</v>
      </c>
      <c r="I157" t="n">
        <v>0</v>
      </c>
      <c r="J157" t="n">
        <v>0</v>
      </c>
      <c r="K157" t="n">
        <v>0</v>
      </c>
      <c r="L157" t="n">
        <v>0</v>
      </c>
      <c r="M157" t="n">
        <v>0</v>
      </c>
      <c r="N157" t="n">
        <v>0</v>
      </c>
      <c r="O157" t="n">
        <v>0</v>
      </c>
      <c r="P157" t="n">
        <v>0</v>
      </c>
      <c r="Q157" t="n">
        <v>0</v>
      </c>
      <c r="R157" s="2" t="inlineStr"/>
    </row>
    <row r="158" ht="15" customHeight="1">
      <c r="A158" t="inlineStr">
        <is>
          <t>A 40077-2021</t>
        </is>
      </c>
      <c r="B158" s="1" t="n">
        <v>44418</v>
      </c>
      <c r="C158" s="1" t="n">
        <v>45887</v>
      </c>
      <c r="D158" t="inlineStr">
        <is>
          <t>KALMAR LÄN</t>
        </is>
      </c>
      <c r="E158" t="inlineStr">
        <is>
          <t>VIMMERBY</t>
        </is>
      </c>
      <c r="G158" t="n">
        <v>2.9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45887</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65887-2021</t>
        </is>
      </c>
      <c r="B160" s="1" t="n">
        <v>44517</v>
      </c>
      <c r="C160" s="1" t="n">
        <v>45887</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45887</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39959-2022</t>
        </is>
      </c>
      <c r="B162" s="1" t="n">
        <v>44819</v>
      </c>
      <c r="C162" s="1" t="n">
        <v>45887</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45887</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45887</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27455-2022</t>
        </is>
      </c>
      <c r="B165" s="1" t="n">
        <v>44742</v>
      </c>
      <c r="C165" s="1" t="n">
        <v>45887</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42850-2022</t>
        </is>
      </c>
      <c r="B166" s="1" t="n">
        <v>44832.67608796297</v>
      </c>
      <c r="C166" s="1" t="n">
        <v>45887</v>
      </c>
      <c r="D166" t="inlineStr">
        <is>
          <t>KALMAR LÄN</t>
        </is>
      </c>
      <c r="E166" t="inlineStr">
        <is>
          <t>VIMMERBY</t>
        </is>
      </c>
      <c r="G166" t="n">
        <v>5.9</v>
      </c>
      <c r="H166" t="n">
        <v>0</v>
      </c>
      <c r="I166" t="n">
        <v>0</v>
      </c>
      <c r="J166" t="n">
        <v>0</v>
      </c>
      <c r="K166" t="n">
        <v>0</v>
      </c>
      <c r="L166" t="n">
        <v>0</v>
      </c>
      <c r="M166" t="n">
        <v>0</v>
      </c>
      <c r="N166" t="n">
        <v>0</v>
      </c>
      <c r="O166" t="n">
        <v>0</v>
      </c>
      <c r="P166" t="n">
        <v>0</v>
      </c>
      <c r="Q166" t="n">
        <v>0</v>
      </c>
      <c r="R166" s="2" t="inlineStr"/>
    </row>
    <row r="167" ht="15" customHeight="1">
      <c r="A167" t="inlineStr">
        <is>
          <t>A 48377-2021</t>
        </is>
      </c>
      <c r="B167" s="1" t="n">
        <v>44451.8375</v>
      </c>
      <c r="C167" s="1" t="n">
        <v>45887</v>
      </c>
      <c r="D167" t="inlineStr">
        <is>
          <t>KALMAR LÄN</t>
        </is>
      </c>
      <c r="E167" t="inlineStr">
        <is>
          <t>VIMMERBY</t>
        </is>
      </c>
      <c r="G167" t="n">
        <v>0.4</v>
      </c>
      <c r="H167" t="n">
        <v>0</v>
      </c>
      <c r="I167" t="n">
        <v>0</v>
      </c>
      <c r="J167" t="n">
        <v>0</v>
      </c>
      <c r="K167" t="n">
        <v>0</v>
      </c>
      <c r="L167" t="n">
        <v>0</v>
      </c>
      <c r="M167" t="n">
        <v>0</v>
      </c>
      <c r="N167" t="n">
        <v>0</v>
      </c>
      <c r="O167" t="n">
        <v>0</v>
      </c>
      <c r="P167" t="n">
        <v>0</v>
      </c>
      <c r="Q167" t="n">
        <v>0</v>
      </c>
      <c r="R167" s="2" t="inlineStr"/>
    </row>
    <row r="168" ht="15" customHeight="1">
      <c r="A168" t="inlineStr">
        <is>
          <t>A 40472-2022</t>
        </is>
      </c>
      <c r="B168" s="1" t="n">
        <v>44823</v>
      </c>
      <c r="C168" s="1" t="n">
        <v>45887</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45887</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12661-2021</t>
        </is>
      </c>
      <c r="B170" s="1" t="n">
        <v>44270</v>
      </c>
      <c r="C170" s="1" t="n">
        <v>45887</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45887</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24999-2021</t>
        </is>
      </c>
      <c r="B172" s="1" t="n">
        <v>44341</v>
      </c>
      <c r="C172" s="1" t="n">
        <v>45887</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40889-2020</t>
        </is>
      </c>
      <c r="B173" s="1" t="n">
        <v>44070</v>
      </c>
      <c r="C173" s="1" t="n">
        <v>45887</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7917-2022</t>
        </is>
      </c>
      <c r="B174" s="1" t="n">
        <v>44608</v>
      </c>
      <c r="C174" s="1" t="n">
        <v>45887</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47208-2021</t>
        </is>
      </c>
      <c r="B175" s="1" t="n">
        <v>44447.34237268518</v>
      </c>
      <c r="C175" s="1" t="n">
        <v>45887</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65564-2020</t>
        </is>
      </c>
      <c r="B176" s="1" t="n">
        <v>44172</v>
      </c>
      <c r="C176" s="1" t="n">
        <v>45887</v>
      </c>
      <c r="D176" t="inlineStr">
        <is>
          <t>KALMAR LÄN</t>
        </is>
      </c>
      <c r="E176" t="inlineStr">
        <is>
          <t>VIMMERBY</t>
        </is>
      </c>
      <c r="G176" t="n">
        <v>4.1</v>
      </c>
      <c r="H176" t="n">
        <v>0</v>
      </c>
      <c r="I176" t="n">
        <v>0</v>
      </c>
      <c r="J176" t="n">
        <v>0</v>
      </c>
      <c r="K176" t="n">
        <v>0</v>
      </c>
      <c r="L176" t="n">
        <v>0</v>
      </c>
      <c r="M176" t="n">
        <v>0</v>
      </c>
      <c r="N176" t="n">
        <v>0</v>
      </c>
      <c r="O176" t="n">
        <v>0</v>
      </c>
      <c r="P176" t="n">
        <v>0</v>
      </c>
      <c r="Q176" t="n">
        <v>0</v>
      </c>
      <c r="R176" s="2" t="inlineStr"/>
    </row>
    <row r="177" ht="15" customHeight="1">
      <c r="A177" t="inlineStr">
        <is>
          <t>A 35316-2021</t>
        </is>
      </c>
      <c r="B177" s="1" t="n">
        <v>44384</v>
      </c>
      <c r="C177" s="1" t="n">
        <v>45887</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33831-2022</t>
        </is>
      </c>
      <c r="B178" s="1" t="n">
        <v>44790.48503472222</v>
      </c>
      <c r="C178" s="1" t="n">
        <v>45887</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47708-2022</t>
        </is>
      </c>
      <c r="B179" s="1" t="n">
        <v>44854.59157407407</v>
      </c>
      <c r="C179" s="1" t="n">
        <v>45887</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16705-2021</t>
        </is>
      </c>
      <c r="B180" s="1" t="n">
        <v>44294</v>
      </c>
      <c r="C180" s="1" t="n">
        <v>45887</v>
      </c>
      <c r="D180" t="inlineStr">
        <is>
          <t>KALMAR LÄN</t>
        </is>
      </c>
      <c r="E180" t="inlineStr">
        <is>
          <t>VIMMERBY</t>
        </is>
      </c>
      <c r="G180" t="n">
        <v>2.6</v>
      </c>
      <c r="H180" t="n">
        <v>0</v>
      </c>
      <c r="I180" t="n">
        <v>0</v>
      </c>
      <c r="J180" t="n">
        <v>0</v>
      </c>
      <c r="K180" t="n">
        <v>0</v>
      </c>
      <c r="L180" t="n">
        <v>0</v>
      </c>
      <c r="M180" t="n">
        <v>0</v>
      </c>
      <c r="N180" t="n">
        <v>0</v>
      </c>
      <c r="O180" t="n">
        <v>0</v>
      </c>
      <c r="P180" t="n">
        <v>0</v>
      </c>
      <c r="Q180" t="n">
        <v>0</v>
      </c>
      <c r="R180" s="2" t="inlineStr"/>
    </row>
    <row r="181" ht="15" customHeight="1">
      <c r="A181" t="inlineStr">
        <is>
          <t>A 51977-2020</t>
        </is>
      </c>
      <c r="B181" s="1" t="n">
        <v>44116</v>
      </c>
      <c r="C181" s="1" t="n">
        <v>45887</v>
      </c>
      <c r="D181" t="inlineStr">
        <is>
          <t>KALMAR LÄN</t>
        </is>
      </c>
      <c r="E181" t="inlineStr">
        <is>
          <t>VIMMERBY</t>
        </is>
      </c>
      <c r="G181" t="n">
        <v>1.5</v>
      </c>
      <c r="H181" t="n">
        <v>0</v>
      </c>
      <c r="I181" t="n">
        <v>0</v>
      </c>
      <c r="J181" t="n">
        <v>0</v>
      </c>
      <c r="K181" t="n">
        <v>0</v>
      </c>
      <c r="L181" t="n">
        <v>0</v>
      </c>
      <c r="M181" t="n">
        <v>0</v>
      </c>
      <c r="N181" t="n">
        <v>0</v>
      </c>
      <c r="O181" t="n">
        <v>0</v>
      </c>
      <c r="P181" t="n">
        <v>0</v>
      </c>
      <c r="Q181" t="n">
        <v>0</v>
      </c>
      <c r="R181" s="2" t="inlineStr"/>
    </row>
    <row r="182" ht="15" customHeight="1">
      <c r="A182" t="inlineStr">
        <is>
          <t>A 9918-2022</t>
        </is>
      </c>
      <c r="B182" s="1" t="n">
        <v>44620</v>
      </c>
      <c r="C182" s="1" t="n">
        <v>45887</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45887</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45887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56389-2021</t>
        </is>
      </c>
      <c r="B185" s="1" t="n">
        <v>44480</v>
      </c>
      <c r="C185" s="1" t="n">
        <v>45887</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45528-2020</t>
        </is>
      </c>
      <c r="B186" s="1" t="n">
        <v>44089.78633101852</v>
      </c>
      <c r="C186" s="1" t="n">
        <v>45887</v>
      </c>
      <c r="D186" t="inlineStr">
        <is>
          <t>KALMAR LÄN</t>
        </is>
      </c>
      <c r="E186" t="inlineStr">
        <is>
          <t>VIMMERBY</t>
        </is>
      </c>
      <c r="G186" t="n">
        <v>3.8</v>
      </c>
      <c r="H186" t="n">
        <v>0</v>
      </c>
      <c r="I186" t="n">
        <v>0</v>
      </c>
      <c r="J186" t="n">
        <v>0</v>
      </c>
      <c r="K186" t="n">
        <v>0</v>
      </c>
      <c r="L186" t="n">
        <v>0</v>
      </c>
      <c r="M186" t="n">
        <v>0</v>
      </c>
      <c r="N186" t="n">
        <v>0</v>
      </c>
      <c r="O186" t="n">
        <v>0</v>
      </c>
      <c r="P186" t="n">
        <v>0</v>
      </c>
      <c r="Q186" t="n">
        <v>0</v>
      </c>
      <c r="R186" s="2" t="inlineStr"/>
    </row>
    <row r="187" ht="15" customHeight="1">
      <c r="A187" t="inlineStr">
        <is>
          <t>A 8194-2022</t>
        </is>
      </c>
      <c r="B187" s="1" t="n">
        <v>44609</v>
      </c>
      <c r="C187" s="1" t="n">
        <v>45887</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15191-2021</t>
        </is>
      </c>
      <c r="B188" s="1" t="n">
        <v>44284.42348379629</v>
      </c>
      <c r="C188" s="1" t="n">
        <v>45887</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45050-2020</t>
        </is>
      </c>
      <c r="B189" s="1" t="n">
        <v>44088</v>
      </c>
      <c r="C189" s="1" t="n">
        <v>45887</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618-2021</t>
        </is>
      </c>
      <c r="B190" s="1" t="n">
        <v>44203</v>
      </c>
      <c r="C190" s="1" t="n">
        <v>45887</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45054-2020</t>
        </is>
      </c>
      <c r="B191" s="1" t="n">
        <v>44088</v>
      </c>
      <c r="C191" s="1" t="n">
        <v>45887</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67952-2021</t>
        </is>
      </c>
      <c r="B192" s="1" t="n">
        <v>44525.63913194444</v>
      </c>
      <c r="C192" s="1" t="n">
        <v>45887</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40971-2021</t>
        </is>
      </c>
      <c r="B193" s="1" t="n">
        <v>44421</v>
      </c>
      <c r="C193" s="1" t="n">
        <v>45887</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68744-2020</t>
        </is>
      </c>
      <c r="B194" s="1" t="n">
        <v>44186</v>
      </c>
      <c r="C194" s="1" t="n">
        <v>45887</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14521-2021</t>
        </is>
      </c>
      <c r="B195" s="1" t="n">
        <v>44279.64934027778</v>
      </c>
      <c r="C195" s="1" t="n">
        <v>45887</v>
      </c>
      <c r="D195" t="inlineStr">
        <is>
          <t>KALMAR LÄN</t>
        </is>
      </c>
      <c r="E195" t="inlineStr">
        <is>
          <t>VIMMERBY</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15533-2022</t>
        </is>
      </c>
      <c r="B196" s="1" t="n">
        <v>44662</v>
      </c>
      <c r="C196" s="1" t="n">
        <v>45887</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46527-2020</t>
        </is>
      </c>
      <c r="B197" s="1" t="n">
        <v>44095</v>
      </c>
      <c r="C197" s="1" t="n">
        <v>45887</v>
      </c>
      <c r="D197" t="inlineStr">
        <is>
          <t>KALMAR LÄN</t>
        </is>
      </c>
      <c r="E197" t="inlineStr">
        <is>
          <t>VIMMERBY</t>
        </is>
      </c>
      <c r="F197" t="inlineStr">
        <is>
          <t>Sveaskog</t>
        </is>
      </c>
      <c r="G197" t="n">
        <v>2.7</v>
      </c>
      <c r="H197" t="n">
        <v>0</v>
      </c>
      <c r="I197" t="n">
        <v>0</v>
      </c>
      <c r="J197" t="n">
        <v>0</v>
      </c>
      <c r="K197" t="n">
        <v>0</v>
      </c>
      <c r="L197" t="n">
        <v>0</v>
      </c>
      <c r="M197" t="n">
        <v>0</v>
      </c>
      <c r="N197" t="n">
        <v>0</v>
      </c>
      <c r="O197" t="n">
        <v>0</v>
      </c>
      <c r="P197" t="n">
        <v>0</v>
      </c>
      <c r="Q197" t="n">
        <v>0</v>
      </c>
      <c r="R197" s="2" t="inlineStr"/>
    </row>
    <row r="198" ht="15" customHeight="1">
      <c r="A198" t="inlineStr">
        <is>
          <t>A 13457-2021</t>
        </is>
      </c>
      <c r="B198" s="1" t="n">
        <v>44273</v>
      </c>
      <c r="C198" s="1" t="n">
        <v>45887</v>
      </c>
      <c r="D198" t="inlineStr">
        <is>
          <t>KALMAR LÄN</t>
        </is>
      </c>
      <c r="E198" t="inlineStr">
        <is>
          <t>VIMMERBY</t>
        </is>
      </c>
      <c r="G198" t="n">
        <v>1.4</v>
      </c>
      <c r="H198" t="n">
        <v>0</v>
      </c>
      <c r="I198" t="n">
        <v>0</v>
      </c>
      <c r="J198" t="n">
        <v>0</v>
      </c>
      <c r="K198" t="n">
        <v>0</v>
      </c>
      <c r="L198" t="n">
        <v>0</v>
      </c>
      <c r="M198" t="n">
        <v>0</v>
      </c>
      <c r="N198" t="n">
        <v>0</v>
      </c>
      <c r="O198" t="n">
        <v>0</v>
      </c>
      <c r="P198" t="n">
        <v>0</v>
      </c>
      <c r="Q198" t="n">
        <v>0</v>
      </c>
      <c r="R198" s="2" t="inlineStr"/>
    </row>
    <row r="199" ht="15" customHeight="1">
      <c r="A199" t="inlineStr">
        <is>
          <t>A 40890-2020</t>
        </is>
      </c>
      <c r="B199" s="1" t="n">
        <v>44070</v>
      </c>
      <c r="C199" s="1" t="n">
        <v>45887</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12241-2021</t>
        </is>
      </c>
      <c r="B200" s="1" t="n">
        <v>44266.7240625</v>
      </c>
      <c r="C200" s="1" t="n">
        <v>45887</v>
      </c>
      <c r="D200" t="inlineStr">
        <is>
          <t>KALMAR LÄN</t>
        </is>
      </c>
      <c r="E200" t="inlineStr">
        <is>
          <t>VIMMERBY</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14278-2021</t>
        </is>
      </c>
      <c r="B201" s="1" t="n">
        <v>44278.63479166666</v>
      </c>
      <c r="C201" s="1" t="n">
        <v>45887</v>
      </c>
      <c r="D201" t="inlineStr">
        <is>
          <t>KALMAR LÄN</t>
        </is>
      </c>
      <c r="E201" t="inlineStr">
        <is>
          <t>VIMMERBY</t>
        </is>
      </c>
      <c r="F201" t="inlineStr">
        <is>
          <t>Övriga statliga verk och myndigheter</t>
        </is>
      </c>
      <c r="G201" t="n">
        <v>0.8</v>
      </c>
      <c r="H201" t="n">
        <v>0</v>
      </c>
      <c r="I201" t="n">
        <v>0</v>
      </c>
      <c r="J201" t="n">
        <v>0</v>
      </c>
      <c r="K201" t="n">
        <v>0</v>
      </c>
      <c r="L201" t="n">
        <v>0</v>
      </c>
      <c r="M201" t="n">
        <v>0</v>
      </c>
      <c r="N201" t="n">
        <v>0</v>
      </c>
      <c r="O201" t="n">
        <v>0</v>
      </c>
      <c r="P201" t="n">
        <v>0</v>
      </c>
      <c r="Q201" t="n">
        <v>0</v>
      </c>
      <c r="R201" s="2" t="inlineStr"/>
    </row>
    <row r="202" ht="15" customHeight="1">
      <c r="A202" t="inlineStr">
        <is>
          <t>A 12662-2021</t>
        </is>
      </c>
      <c r="B202" s="1" t="n">
        <v>44270.49743055556</v>
      </c>
      <c r="C202" s="1" t="n">
        <v>45887</v>
      </c>
      <c r="D202" t="inlineStr">
        <is>
          <t>KALMAR LÄN</t>
        </is>
      </c>
      <c r="E202" t="inlineStr">
        <is>
          <t>VIMMERBY</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165-2022</t>
        </is>
      </c>
      <c r="B203" s="1" t="n">
        <v>44564</v>
      </c>
      <c r="C203" s="1" t="n">
        <v>45887</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32603-2021</t>
        </is>
      </c>
      <c r="B204" s="1" t="n">
        <v>44375.38789351852</v>
      </c>
      <c r="C204" s="1" t="n">
        <v>45887</v>
      </c>
      <c r="D204" t="inlineStr">
        <is>
          <t>KALMAR LÄN</t>
        </is>
      </c>
      <c r="E204" t="inlineStr">
        <is>
          <t>VIMMERBY</t>
        </is>
      </c>
      <c r="G204" t="n">
        <v>0.8</v>
      </c>
      <c r="H204" t="n">
        <v>0</v>
      </c>
      <c r="I204" t="n">
        <v>0</v>
      </c>
      <c r="J204" t="n">
        <v>0</v>
      </c>
      <c r="K204" t="n">
        <v>0</v>
      </c>
      <c r="L204" t="n">
        <v>0</v>
      </c>
      <c r="M204" t="n">
        <v>0</v>
      </c>
      <c r="N204" t="n">
        <v>0</v>
      </c>
      <c r="O204" t="n">
        <v>0</v>
      </c>
      <c r="P204" t="n">
        <v>0</v>
      </c>
      <c r="Q204" t="n">
        <v>0</v>
      </c>
      <c r="R204" s="2" t="inlineStr"/>
    </row>
    <row r="205" ht="15" customHeight="1">
      <c r="A205" t="inlineStr">
        <is>
          <t>A 36117-2021</t>
        </is>
      </c>
      <c r="B205" s="1" t="n">
        <v>44386</v>
      </c>
      <c r="C205" s="1" t="n">
        <v>45887</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42521-2021</t>
        </is>
      </c>
      <c r="B206" s="1" t="n">
        <v>44427</v>
      </c>
      <c r="C206" s="1" t="n">
        <v>45887</v>
      </c>
      <c r="D206" t="inlineStr">
        <is>
          <t>KALMAR LÄN</t>
        </is>
      </c>
      <c r="E206" t="inlineStr">
        <is>
          <t>VIMMERBY</t>
        </is>
      </c>
      <c r="G206" t="n">
        <v>5.4</v>
      </c>
      <c r="H206" t="n">
        <v>0</v>
      </c>
      <c r="I206" t="n">
        <v>0</v>
      </c>
      <c r="J206" t="n">
        <v>0</v>
      </c>
      <c r="K206" t="n">
        <v>0</v>
      </c>
      <c r="L206" t="n">
        <v>0</v>
      </c>
      <c r="M206" t="n">
        <v>0</v>
      </c>
      <c r="N206" t="n">
        <v>0</v>
      </c>
      <c r="O206" t="n">
        <v>0</v>
      </c>
      <c r="P206" t="n">
        <v>0</v>
      </c>
      <c r="Q206" t="n">
        <v>0</v>
      </c>
      <c r="R206" s="2" t="inlineStr"/>
    </row>
    <row r="207" ht="15" customHeight="1">
      <c r="A207" t="inlineStr">
        <is>
          <t>A 8453-2022</t>
        </is>
      </c>
      <c r="B207" s="1" t="n">
        <v>44612.86554398148</v>
      </c>
      <c r="C207" s="1" t="n">
        <v>45887</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52433-2021</t>
        </is>
      </c>
      <c r="B208" s="1" t="n">
        <v>44466.34726851852</v>
      </c>
      <c r="C208" s="1" t="n">
        <v>45887</v>
      </c>
      <c r="D208" t="inlineStr">
        <is>
          <t>KALMAR LÄN</t>
        </is>
      </c>
      <c r="E208" t="inlineStr">
        <is>
          <t>VIMMERBY</t>
        </is>
      </c>
      <c r="G208" t="n">
        <v>3.5</v>
      </c>
      <c r="H208" t="n">
        <v>0</v>
      </c>
      <c r="I208" t="n">
        <v>0</v>
      </c>
      <c r="J208" t="n">
        <v>0</v>
      </c>
      <c r="K208" t="n">
        <v>0</v>
      </c>
      <c r="L208" t="n">
        <v>0</v>
      </c>
      <c r="M208" t="n">
        <v>0</v>
      </c>
      <c r="N208" t="n">
        <v>0</v>
      </c>
      <c r="O208" t="n">
        <v>0</v>
      </c>
      <c r="P208" t="n">
        <v>0</v>
      </c>
      <c r="Q208" t="n">
        <v>0</v>
      </c>
      <c r="R208" s="2" t="inlineStr"/>
    </row>
    <row r="209" ht="15" customHeight="1">
      <c r="A209" t="inlineStr">
        <is>
          <t>A 50621-2022</t>
        </is>
      </c>
      <c r="B209" s="1" t="n">
        <v>44866.81100694444</v>
      </c>
      <c r="C209" s="1" t="n">
        <v>45887</v>
      </c>
      <c r="D209" t="inlineStr">
        <is>
          <t>KALMAR LÄN</t>
        </is>
      </c>
      <c r="E209" t="inlineStr">
        <is>
          <t>VIMMERBY</t>
        </is>
      </c>
      <c r="F209" t="inlineStr">
        <is>
          <t>Övriga Aktiebolag</t>
        </is>
      </c>
      <c r="G209" t="n">
        <v>5.1</v>
      </c>
      <c r="H209" t="n">
        <v>0</v>
      </c>
      <c r="I209" t="n">
        <v>0</v>
      </c>
      <c r="J209" t="n">
        <v>0</v>
      </c>
      <c r="K209" t="n">
        <v>0</v>
      </c>
      <c r="L209" t="n">
        <v>0</v>
      </c>
      <c r="M209" t="n">
        <v>0</v>
      </c>
      <c r="N209" t="n">
        <v>0</v>
      </c>
      <c r="O209" t="n">
        <v>0</v>
      </c>
      <c r="P209" t="n">
        <v>0</v>
      </c>
      <c r="Q209" t="n">
        <v>0</v>
      </c>
      <c r="R209" s="2" t="inlineStr"/>
    </row>
    <row r="210" ht="15" customHeight="1">
      <c r="A210" t="inlineStr">
        <is>
          <t>A 34040-2021</t>
        </is>
      </c>
      <c r="B210" s="1" t="n">
        <v>44379</v>
      </c>
      <c r="C210" s="1" t="n">
        <v>45887</v>
      </c>
      <c r="D210" t="inlineStr">
        <is>
          <t>KALMAR LÄN</t>
        </is>
      </c>
      <c r="E210" t="inlineStr">
        <is>
          <t>VIMMERBY</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54065-2021</t>
        </is>
      </c>
      <c r="B211" s="1" t="n">
        <v>44470.44232638889</v>
      </c>
      <c r="C211" s="1" t="n">
        <v>45887</v>
      </c>
      <c r="D211" t="inlineStr">
        <is>
          <t>KALMAR LÄN</t>
        </is>
      </c>
      <c r="E211" t="inlineStr">
        <is>
          <t>VIMMERBY</t>
        </is>
      </c>
      <c r="G211" t="n">
        <v>0.9</v>
      </c>
      <c r="H211" t="n">
        <v>0</v>
      </c>
      <c r="I211" t="n">
        <v>0</v>
      </c>
      <c r="J211" t="n">
        <v>0</v>
      </c>
      <c r="K211" t="n">
        <v>0</v>
      </c>
      <c r="L211" t="n">
        <v>0</v>
      </c>
      <c r="M211" t="n">
        <v>0</v>
      </c>
      <c r="N211" t="n">
        <v>0</v>
      </c>
      <c r="O211" t="n">
        <v>0</v>
      </c>
      <c r="P211" t="n">
        <v>0</v>
      </c>
      <c r="Q211" t="n">
        <v>0</v>
      </c>
      <c r="R211" s="2" t="inlineStr"/>
    </row>
    <row r="212" ht="15" customHeight="1">
      <c r="A212" t="inlineStr">
        <is>
          <t>A 15200-2021</t>
        </is>
      </c>
      <c r="B212" s="1" t="n">
        <v>44284.44574074074</v>
      </c>
      <c r="C212" s="1" t="n">
        <v>45887</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23825-2022</t>
        </is>
      </c>
      <c r="B213" s="1" t="n">
        <v>44722.48768518519</v>
      </c>
      <c r="C213" s="1" t="n">
        <v>45887</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31824-2022</t>
        </is>
      </c>
      <c r="B214" s="1" t="n">
        <v>44776</v>
      </c>
      <c r="C214" s="1" t="n">
        <v>45887</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11733-2022</t>
        </is>
      </c>
      <c r="B215" s="1" t="n">
        <v>44634</v>
      </c>
      <c r="C215" s="1" t="n">
        <v>45887</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12107-2022</t>
        </is>
      </c>
      <c r="B216" s="1" t="n">
        <v>44636</v>
      </c>
      <c r="C216" s="1" t="n">
        <v>45887</v>
      </c>
      <c r="D216" t="inlineStr">
        <is>
          <t>KALMAR LÄN</t>
        </is>
      </c>
      <c r="E216" t="inlineStr">
        <is>
          <t>VIMMERBY</t>
        </is>
      </c>
      <c r="G216" t="n">
        <v>1.8</v>
      </c>
      <c r="H216" t="n">
        <v>0</v>
      </c>
      <c r="I216" t="n">
        <v>0</v>
      </c>
      <c r="J216" t="n">
        <v>0</v>
      </c>
      <c r="K216" t="n">
        <v>0</v>
      </c>
      <c r="L216" t="n">
        <v>0</v>
      </c>
      <c r="M216" t="n">
        <v>0</v>
      </c>
      <c r="N216" t="n">
        <v>0</v>
      </c>
      <c r="O216" t="n">
        <v>0</v>
      </c>
      <c r="P216" t="n">
        <v>0</v>
      </c>
      <c r="Q216" t="n">
        <v>0</v>
      </c>
      <c r="R216" s="2" t="inlineStr"/>
    </row>
    <row r="217" ht="15" customHeight="1">
      <c r="A217" t="inlineStr">
        <is>
          <t>A 7804-2022</t>
        </is>
      </c>
      <c r="B217" s="1" t="n">
        <v>44608.50458333334</v>
      </c>
      <c r="C217" s="1" t="n">
        <v>45887</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39042-2022</t>
        </is>
      </c>
      <c r="B218" s="1" t="n">
        <v>44817</v>
      </c>
      <c r="C218" s="1" t="n">
        <v>45887</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39225-2022</t>
        </is>
      </c>
      <c r="B219" s="1" t="n">
        <v>44817.57988425926</v>
      </c>
      <c r="C219" s="1" t="n">
        <v>45887</v>
      </c>
      <c r="D219" t="inlineStr">
        <is>
          <t>KALMAR LÄN</t>
        </is>
      </c>
      <c r="E219" t="inlineStr">
        <is>
          <t>VIMMERBY</t>
        </is>
      </c>
      <c r="G219" t="n">
        <v>2.2</v>
      </c>
      <c r="H219" t="n">
        <v>0</v>
      </c>
      <c r="I219" t="n">
        <v>0</v>
      </c>
      <c r="J219" t="n">
        <v>0</v>
      </c>
      <c r="K219" t="n">
        <v>0</v>
      </c>
      <c r="L219" t="n">
        <v>0</v>
      </c>
      <c r="M219" t="n">
        <v>0</v>
      </c>
      <c r="N219" t="n">
        <v>0</v>
      </c>
      <c r="O219" t="n">
        <v>0</v>
      </c>
      <c r="P219" t="n">
        <v>0</v>
      </c>
      <c r="Q219" t="n">
        <v>0</v>
      </c>
      <c r="R219" s="2" t="inlineStr"/>
    </row>
    <row r="220" ht="15" customHeight="1">
      <c r="A220" t="inlineStr">
        <is>
          <t>A 46964-2022</t>
        </is>
      </c>
      <c r="B220" s="1" t="n">
        <v>44851.95016203704</v>
      </c>
      <c r="C220" s="1" t="n">
        <v>45887</v>
      </c>
      <c r="D220" t="inlineStr">
        <is>
          <t>KALMAR LÄN</t>
        </is>
      </c>
      <c r="E220" t="inlineStr">
        <is>
          <t>VIMMERBY</t>
        </is>
      </c>
      <c r="G220" t="n">
        <v>0.2</v>
      </c>
      <c r="H220" t="n">
        <v>0</v>
      </c>
      <c r="I220" t="n">
        <v>0</v>
      </c>
      <c r="J220" t="n">
        <v>0</v>
      </c>
      <c r="K220" t="n">
        <v>0</v>
      </c>
      <c r="L220" t="n">
        <v>0</v>
      </c>
      <c r="M220" t="n">
        <v>0</v>
      </c>
      <c r="N220" t="n">
        <v>0</v>
      </c>
      <c r="O220" t="n">
        <v>0</v>
      </c>
      <c r="P220" t="n">
        <v>0</v>
      </c>
      <c r="Q220" t="n">
        <v>0</v>
      </c>
      <c r="R220" s="2" t="inlineStr"/>
    </row>
    <row r="221" ht="15" customHeight="1">
      <c r="A221" t="inlineStr">
        <is>
          <t>A 38153-2020</t>
        </is>
      </c>
      <c r="B221" s="1" t="n">
        <v>44060</v>
      </c>
      <c r="C221" s="1" t="n">
        <v>45887</v>
      </c>
      <c r="D221" t="inlineStr">
        <is>
          <t>KALMAR LÄN</t>
        </is>
      </c>
      <c r="E221" t="inlineStr">
        <is>
          <t>VIMMERBY</t>
        </is>
      </c>
      <c r="G221" t="n">
        <v>6</v>
      </c>
      <c r="H221" t="n">
        <v>0</v>
      </c>
      <c r="I221" t="n">
        <v>0</v>
      </c>
      <c r="J221" t="n">
        <v>0</v>
      </c>
      <c r="K221" t="n">
        <v>0</v>
      </c>
      <c r="L221" t="n">
        <v>0</v>
      </c>
      <c r="M221" t="n">
        <v>0</v>
      </c>
      <c r="N221" t="n">
        <v>0</v>
      </c>
      <c r="O221" t="n">
        <v>0</v>
      </c>
      <c r="P221" t="n">
        <v>0</v>
      </c>
      <c r="Q221" t="n">
        <v>0</v>
      </c>
      <c r="R221" s="2" t="inlineStr"/>
    </row>
    <row r="222" ht="15" customHeight="1">
      <c r="A222" t="inlineStr">
        <is>
          <t>A 16602-2021</t>
        </is>
      </c>
      <c r="B222" s="1" t="n">
        <v>44294</v>
      </c>
      <c r="C222" s="1" t="n">
        <v>45887</v>
      </c>
      <c r="D222" t="inlineStr">
        <is>
          <t>KALMAR LÄN</t>
        </is>
      </c>
      <c r="E222" t="inlineStr">
        <is>
          <t>VIMMERBY</t>
        </is>
      </c>
      <c r="G222" t="n">
        <v>0.6</v>
      </c>
      <c r="H222" t="n">
        <v>0</v>
      </c>
      <c r="I222" t="n">
        <v>0</v>
      </c>
      <c r="J222" t="n">
        <v>0</v>
      </c>
      <c r="K222" t="n">
        <v>0</v>
      </c>
      <c r="L222" t="n">
        <v>0</v>
      </c>
      <c r="M222" t="n">
        <v>0</v>
      </c>
      <c r="N222" t="n">
        <v>0</v>
      </c>
      <c r="O222" t="n">
        <v>0</v>
      </c>
      <c r="P222" t="n">
        <v>0</v>
      </c>
      <c r="Q222" t="n">
        <v>0</v>
      </c>
      <c r="R222" s="2" t="inlineStr"/>
    </row>
    <row r="223" ht="15" customHeight="1">
      <c r="A223" t="inlineStr">
        <is>
          <t>A 16607-2021</t>
        </is>
      </c>
      <c r="B223" s="1" t="n">
        <v>44294</v>
      </c>
      <c r="C223" s="1" t="n">
        <v>45887</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17029-2022</t>
        </is>
      </c>
      <c r="B224" s="1" t="n">
        <v>44676.85248842592</v>
      </c>
      <c r="C224" s="1" t="n">
        <v>45887</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16288-2021</t>
        </is>
      </c>
      <c r="B225" s="1" t="n">
        <v>44292</v>
      </c>
      <c r="C225" s="1" t="n">
        <v>45887</v>
      </c>
      <c r="D225" t="inlineStr">
        <is>
          <t>KALMAR LÄN</t>
        </is>
      </c>
      <c r="E225" t="inlineStr">
        <is>
          <t>VIMMERBY</t>
        </is>
      </c>
      <c r="F225" t="inlineStr">
        <is>
          <t>Övriga Aktiebolag</t>
        </is>
      </c>
      <c r="G225" t="n">
        <v>27.6</v>
      </c>
      <c r="H225" t="n">
        <v>0</v>
      </c>
      <c r="I225" t="n">
        <v>0</v>
      </c>
      <c r="J225" t="n">
        <v>0</v>
      </c>
      <c r="K225" t="n">
        <v>0</v>
      </c>
      <c r="L225" t="n">
        <v>0</v>
      </c>
      <c r="M225" t="n">
        <v>0</v>
      </c>
      <c r="N225" t="n">
        <v>0</v>
      </c>
      <c r="O225" t="n">
        <v>0</v>
      </c>
      <c r="P225" t="n">
        <v>0</v>
      </c>
      <c r="Q225" t="n">
        <v>0</v>
      </c>
      <c r="R225" s="2" t="inlineStr"/>
    </row>
    <row r="226" ht="15" customHeight="1">
      <c r="A226" t="inlineStr">
        <is>
          <t>A 7167-2022</t>
        </is>
      </c>
      <c r="B226" s="1" t="n">
        <v>44604</v>
      </c>
      <c r="C226" s="1" t="n">
        <v>45887</v>
      </c>
      <c r="D226" t="inlineStr">
        <is>
          <t>KALMAR LÄN</t>
        </is>
      </c>
      <c r="E226" t="inlineStr">
        <is>
          <t>VIMMERBY</t>
        </is>
      </c>
      <c r="G226" t="n">
        <v>1.7</v>
      </c>
      <c r="H226" t="n">
        <v>0</v>
      </c>
      <c r="I226" t="n">
        <v>0</v>
      </c>
      <c r="J226" t="n">
        <v>0</v>
      </c>
      <c r="K226" t="n">
        <v>0</v>
      </c>
      <c r="L226" t="n">
        <v>0</v>
      </c>
      <c r="M226" t="n">
        <v>0</v>
      </c>
      <c r="N226" t="n">
        <v>0</v>
      </c>
      <c r="O226" t="n">
        <v>0</v>
      </c>
      <c r="P226" t="n">
        <v>0</v>
      </c>
      <c r="Q226" t="n">
        <v>0</v>
      </c>
      <c r="R226" s="2" t="inlineStr"/>
    </row>
    <row r="227" ht="15" customHeight="1">
      <c r="A227" t="inlineStr">
        <is>
          <t>A 29441-2024</t>
        </is>
      </c>
      <c r="B227" s="1" t="n">
        <v>45483.82834490741</v>
      </c>
      <c r="C227" s="1" t="n">
        <v>45887</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25728-2023</t>
        </is>
      </c>
      <c r="B228" s="1" t="n">
        <v>45090.38012731481</v>
      </c>
      <c r="C228" s="1" t="n">
        <v>45887</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13180-2022</t>
        </is>
      </c>
      <c r="B229" s="1" t="n">
        <v>44644</v>
      </c>
      <c r="C229" s="1" t="n">
        <v>45887</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18356-2021</t>
        </is>
      </c>
      <c r="B230" s="1" t="n">
        <v>44305</v>
      </c>
      <c r="C230" s="1" t="n">
        <v>45887</v>
      </c>
      <c r="D230" t="inlineStr">
        <is>
          <t>KALMAR LÄN</t>
        </is>
      </c>
      <c r="E230" t="inlineStr">
        <is>
          <t>VIMMERBY</t>
        </is>
      </c>
      <c r="G230" t="n">
        <v>3.4</v>
      </c>
      <c r="H230" t="n">
        <v>0</v>
      </c>
      <c r="I230" t="n">
        <v>0</v>
      </c>
      <c r="J230" t="n">
        <v>0</v>
      </c>
      <c r="K230" t="n">
        <v>0</v>
      </c>
      <c r="L230" t="n">
        <v>0</v>
      </c>
      <c r="M230" t="n">
        <v>0</v>
      </c>
      <c r="N230" t="n">
        <v>0</v>
      </c>
      <c r="O230" t="n">
        <v>0</v>
      </c>
      <c r="P230" t="n">
        <v>0</v>
      </c>
      <c r="Q230" t="n">
        <v>0</v>
      </c>
      <c r="R230" s="2" t="inlineStr"/>
    </row>
    <row r="231" ht="15" customHeight="1">
      <c r="A231" t="inlineStr">
        <is>
          <t>A 46078-2023</t>
        </is>
      </c>
      <c r="B231" s="1" t="n">
        <v>45196</v>
      </c>
      <c r="C231" s="1" t="n">
        <v>45887</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7643-2022</t>
        </is>
      </c>
      <c r="B232" s="1" t="n">
        <v>44607</v>
      </c>
      <c r="C232" s="1" t="n">
        <v>45887</v>
      </c>
      <c r="D232" t="inlineStr">
        <is>
          <t>KALMAR LÄN</t>
        </is>
      </c>
      <c r="E232" t="inlineStr">
        <is>
          <t>VIMMERBY</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3494-2023</t>
        </is>
      </c>
      <c r="B233" s="1" t="n">
        <v>44949</v>
      </c>
      <c r="C233" s="1" t="n">
        <v>45887</v>
      </c>
      <c r="D233" t="inlineStr">
        <is>
          <t>KALMAR LÄN</t>
        </is>
      </c>
      <c r="E233" t="inlineStr">
        <is>
          <t>VIMMERBY</t>
        </is>
      </c>
      <c r="F233" t="inlineStr">
        <is>
          <t>Kyrkan</t>
        </is>
      </c>
      <c r="G233" t="n">
        <v>0.8</v>
      </c>
      <c r="H233" t="n">
        <v>0</v>
      </c>
      <c r="I233" t="n">
        <v>0</v>
      </c>
      <c r="J233" t="n">
        <v>0</v>
      </c>
      <c r="K233" t="n">
        <v>0</v>
      </c>
      <c r="L233" t="n">
        <v>0</v>
      </c>
      <c r="M233" t="n">
        <v>0</v>
      </c>
      <c r="N233" t="n">
        <v>0</v>
      </c>
      <c r="O233" t="n">
        <v>0</v>
      </c>
      <c r="P233" t="n">
        <v>0</v>
      </c>
      <c r="Q233" t="n">
        <v>0</v>
      </c>
      <c r="R233" s="2" t="inlineStr"/>
    </row>
    <row r="234" ht="15" customHeight="1">
      <c r="A234" t="inlineStr">
        <is>
          <t>A 16825-2024</t>
        </is>
      </c>
      <c r="B234" s="1" t="n">
        <v>45411.47335648148</v>
      </c>
      <c r="C234" s="1" t="n">
        <v>45887</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32633-2023</t>
        </is>
      </c>
      <c r="B235" s="1" t="n">
        <v>45121.58699074074</v>
      </c>
      <c r="C235" s="1" t="n">
        <v>45887</v>
      </c>
      <c r="D235" t="inlineStr">
        <is>
          <t>KALMAR LÄN</t>
        </is>
      </c>
      <c r="E235" t="inlineStr">
        <is>
          <t>VIMMERBY</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43601-2024</t>
        </is>
      </c>
      <c r="B236" s="1" t="n">
        <v>45569.44684027778</v>
      </c>
      <c r="C236" s="1" t="n">
        <v>45887</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12033-2024</t>
        </is>
      </c>
      <c r="B237" s="1" t="n">
        <v>45377.40043981482</v>
      </c>
      <c r="C237" s="1" t="n">
        <v>45887</v>
      </c>
      <c r="D237" t="inlineStr">
        <is>
          <t>KALMAR LÄN</t>
        </is>
      </c>
      <c r="E237" t="inlineStr">
        <is>
          <t>VIMMERBY</t>
        </is>
      </c>
      <c r="G237" t="n">
        <v>1.6</v>
      </c>
      <c r="H237" t="n">
        <v>0</v>
      </c>
      <c r="I237" t="n">
        <v>0</v>
      </c>
      <c r="J237" t="n">
        <v>0</v>
      </c>
      <c r="K237" t="n">
        <v>0</v>
      </c>
      <c r="L237" t="n">
        <v>0</v>
      </c>
      <c r="M237" t="n">
        <v>0</v>
      </c>
      <c r="N237" t="n">
        <v>0</v>
      </c>
      <c r="O237" t="n">
        <v>0</v>
      </c>
      <c r="P237" t="n">
        <v>0</v>
      </c>
      <c r="Q237" t="n">
        <v>0</v>
      </c>
      <c r="R237" s="2" t="inlineStr"/>
    </row>
    <row r="238" ht="15" customHeight="1">
      <c r="A238" t="inlineStr">
        <is>
          <t>A 6214-2025</t>
        </is>
      </c>
      <c r="B238" s="1" t="n">
        <v>45698.51711805556</v>
      </c>
      <c r="C238" s="1" t="n">
        <v>45887</v>
      </c>
      <c r="D238" t="inlineStr">
        <is>
          <t>KALMAR LÄN</t>
        </is>
      </c>
      <c r="E238" t="inlineStr">
        <is>
          <t>VIMMERBY</t>
        </is>
      </c>
      <c r="G238" t="n">
        <v>1.2</v>
      </c>
      <c r="H238" t="n">
        <v>0</v>
      </c>
      <c r="I238" t="n">
        <v>0</v>
      </c>
      <c r="J238" t="n">
        <v>0</v>
      </c>
      <c r="K238" t="n">
        <v>0</v>
      </c>
      <c r="L238" t="n">
        <v>0</v>
      </c>
      <c r="M238" t="n">
        <v>0</v>
      </c>
      <c r="N238" t="n">
        <v>0</v>
      </c>
      <c r="O238" t="n">
        <v>0</v>
      </c>
      <c r="P238" t="n">
        <v>0</v>
      </c>
      <c r="Q238" t="n">
        <v>0</v>
      </c>
      <c r="R238" s="2" t="inlineStr"/>
    </row>
    <row r="239" ht="15" customHeight="1">
      <c r="A239" t="inlineStr">
        <is>
          <t>A 49408-2023</t>
        </is>
      </c>
      <c r="B239" s="1" t="n">
        <v>45211.43555555555</v>
      </c>
      <c r="C239" s="1" t="n">
        <v>45887</v>
      </c>
      <c r="D239" t="inlineStr">
        <is>
          <t>KALMAR LÄN</t>
        </is>
      </c>
      <c r="E239" t="inlineStr">
        <is>
          <t>VIMMERBY</t>
        </is>
      </c>
      <c r="G239" t="n">
        <v>13.1</v>
      </c>
      <c r="H239" t="n">
        <v>0</v>
      </c>
      <c r="I239" t="n">
        <v>0</v>
      </c>
      <c r="J239" t="n">
        <v>0</v>
      </c>
      <c r="K239" t="n">
        <v>0</v>
      </c>
      <c r="L239" t="n">
        <v>0</v>
      </c>
      <c r="M239" t="n">
        <v>0</v>
      </c>
      <c r="N239" t="n">
        <v>0</v>
      </c>
      <c r="O239" t="n">
        <v>0</v>
      </c>
      <c r="P239" t="n">
        <v>0</v>
      </c>
      <c r="Q239" t="n">
        <v>0</v>
      </c>
      <c r="R239" s="2" t="inlineStr"/>
    </row>
    <row r="240" ht="15" customHeight="1">
      <c r="A240" t="inlineStr">
        <is>
          <t>A 13813-2024</t>
        </is>
      </c>
      <c r="B240" s="1" t="n">
        <v>45391.41310185185</v>
      </c>
      <c r="C240" s="1" t="n">
        <v>45887</v>
      </c>
      <c r="D240" t="inlineStr">
        <is>
          <t>KALMAR LÄN</t>
        </is>
      </c>
      <c r="E240" t="inlineStr">
        <is>
          <t>VIMMERBY</t>
        </is>
      </c>
      <c r="G240" t="n">
        <v>0.4</v>
      </c>
      <c r="H240" t="n">
        <v>0</v>
      </c>
      <c r="I240" t="n">
        <v>0</v>
      </c>
      <c r="J240" t="n">
        <v>0</v>
      </c>
      <c r="K240" t="n">
        <v>0</v>
      </c>
      <c r="L240" t="n">
        <v>0</v>
      </c>
      <c r="M240" t="n">
        <v>0</v>
      </c>
      <c r="N240" t="n">
        <v>0</v>
      </c>
      <c r="O240" t="n">
        <v>0</v>
      </c>
      <c r="P240" t="n">
        <v>0</v>
      </c>
      <c r="Q240" t="n">
        <v>0</v>
      </c>
      <c r="R240" s="2" t="inlineStr"/>
    </row>
    <row r="241" ht="15" customHeight="1">
      <c r="A241" t="inlineStr">
        <is>
          <t>A 25234-2023</t>
        </is>
      </c>
      <c r="B241" s="1" t="n">
        <v>45086.63194444445</v>
      </c>
      <c r="C241" s="1" t="n">
        <v>45887</v>
      </c>
      <c r="D241" t="inlineStr">
        <is>
          <t>KALMAR LÄN</t>
        </is>
      </c>
      <c r="E241" t="inlineStr">
        <is>
          <t>VIMMERBY</t>
        </is>
      </c>
      <c r="G241" t="n">
        <v>2.1</v>
      </c>
      <c r="H241" t="n">
        <v>0</v>
      </c>
      <c r="I241" t="n">
        <v>0</v>
      </c>
      <c r="J241" t="n">
        <v>0</v>
      </c>
      <c r="K241" t="n">
        <v>0</v>
      </c>
      <c r="L241" t="n">
        <v>0</v>
      </c>
      <c r="M241" t="n">
        <v>0</v>
      </c>
      <c r="N241" t="n">
        <v>0</v>
      </c>
      <c r="O241" t="n">
        <v>0</v>
      </c>
      <c r="P241" t="n">
        <v>0</v>
      </c>
      <c r="Q241" t="n">
        <v>0</v>
      </c>
      <c r="R241" s="2" t="inlineStr"/>
    </row>
    <row r="242" ht="15" customHeight="1">
      <c r="A242" t="inlineStr">
        <is>
          <t>A 27443-2023</t>
        </is>
      </c>
      <c r="B242" s="1" t="n">
        <v>45097.40524305555</v>
      </c>
      <c r="C242" s="1" t="n">
        <v>45887</v>
      </c>
      <c r="D242" t="inlineStr">
        <is>
          <t>KALMAR LÄN</t>
        </is>
      </c>
      <c r="E242" t="inlineStr">
        <is>
          <t>VIMMERBY</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25236-2023</t>
        </is>
      </c>
      <c r="B243" s="1" t="n">
        <v>45086.63334490741</v>
      </c>
      <c r="C243" s="1" t="n">
        <v>45887</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28395-2023</t>
        </is>
      </c>
      <c r="B244" s="1" t="n">
        <v>45100.4062962963</v>
      </c>
      <c r="C244" s="1" t="n">
        <v>45887</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25244-2023</t>
        </is>
      </c>
      <c r="B245" s="1" t="n">
        <v>45086</v>
      </c>
      <c r="C245" s="1" t="n">
        <v>45887</v>
      </c>
      <c r="D245" t="inlineStr">
        <is>
          <t>KALMAR LÄN</t>
        </is>
      </c>
      <c r="E245" t="inlineStr">
        <is>
          <t>VIMMERBY</t>
        </is>
      </c>
      <c r="G245" t="n">
        <v>4.7</v>
      </c>
      <c r="H245" t="n">
        <v>0</v>
      </c>
      <c r="I245" t="n">
        <v>0</v>
      </c>
      <c r="J245" t="n">
        <v>0</v>
      </c>
      <c r="K245" t="n">
        <v>0</v>
      </c>
      <c r="L245" t="n">
        <v>0</v>
      </c>
      <c r="M245" t="n">
        <v>0</v>
      </c>
      <c r="N245" t="n">
        <v>0</v>
      </c>
      <c r="O245" t="n">
        <v>0</v>
      </c>
      <c r="P245" t="n">
        <v>0</v>
      </c>
      <c r="Q245" t="n">
        <v>0</v>
      </c>
      <c r="R245" s="2" t="inlineStr"/>
    </row>
    <row r="246" ht="15" customHeight="1">
      <c r="A246" t="inlineStr">
        <is>
          <t>A 55716-2023</t>
        </is>
      </c>
      <c r="B246" s="1" t="n">
        <v>45232</v>
      </c>
      <c r="C246" s="1" t="n">
        <v>45887</v>
      </c>
      <c r="D246" t="inlineStr">
        <is>
          <t>KALMAR LÄN</t>
        </is>
      </c>
      <c r="E246" t="inlineStr">
        <is>
          <t>VIMMERBY</t>
        </is>
      </c>
      <c r="G246" t="n">
        <v>2.3</v>
      </c>
      <c r="H246" t="n">
        <v>0</v>
      </c>
      <c r="I246" t="n">
        <v>0</v>
      </c>
      <c r="J246" t="n">
        <v>0</v>
      </c>
      <c r="K246" t="n">
        <v>0</v>
      </c>
      <c r="L246" t="n">
        <v>0</v>
      </c>
      <c r="M246" t="n">
        <v>0</v>
      </c>
      <c r="N246" t="n">
        <v>0</v>
      </c>
      <c r="O246" t="n">
        <v>0</v>
      </c>
      <c r="P246" t="n">
        <v>0</v>
      </c>
      <c r="Q246" t="n">
        <v>0</v>
      </c>
      <c r="R246" s="2" t="inlineStr"/>
    </row>
    <row r="247" ht="15" customHeight="1">
      <c r="A247" t="inlineStr">
        <is>
          <t>A 18501-2024</t>
        </is>
      </c>
      <c r="B247" s="1" t="n">
        <v>45425.57538194444</v>
      </c>
      <c r="C247" s="1" t="n">
        <v>45887</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34386-2024</t>
        </is>
      </c>
      <c r="B248" s="1" t="n">
        <v>45525.41762731481</v>
      </c>
      <c r="C248" s="1" t="n">
        <v>45887</v>
      </c>
      <c r="D248" t="inlineStr">
        <is>
          <t>KALMAR LÄN</t>
        </is>
      </c>
      <c r="E248" t="inlineStr">
        <is>
          <t>VIMMERBY</t>
        </is>
      </c>
      <c r="G248" t="n">
        <v>0.3</v>
      </c>
      <c r="H248" t="n">
        <v>0</v>
      </c>
      <c r="I248" t="n">
        <v>0</v>
      </c>
      <c r="J248" t="n">
        <v>0</v>
      </c>
      <c r="K248" t="n">
        <v>0</v>
      </c>
      <c r="L248" t="n">
        <v>0</v>
      </c>
      <c r="M248" t="n">
        <v>0</v>
      </c>
      <c r="N248" t="n">
        <v>0</v>
      </c>
      <c r="O248" t="n">
        <v>0</v>
      </c>
      <c r="P248" t="n">
        <v>0</v>
      </c>
      <c r="Q248" t="n">
        <v>0</v>
      </c>
      <c r="R248" s="2" t="inlineStr"/>
    </row>
    <row r="249" ht="15" customHeight="1">
      <c r="A249" t="inlineStr">
        <is>
          <t>A 42429-2024</t>
        </is>
      </c>
      <c r="B249" s="1" t="n">
        <v>45565.40657407408</v>
      </c>
      <c r="C249" s="1" t="n">
        <v>45887</v>
      </c>
      <c r="D249" t="inlineStr">
        <is>
          <t>KALMAR LÄN</t>
        </is>
      </c>
      <c r="E249" t="inlineStr">
        <is>
          <t>VIMMERBY</t>
        </is>
      </c>
      <c r="G249" t="n">
        <v>1</v>
      </c>
      <c r="H249" t="n">
        <v>0</v>
      </c>
      <c r="I249" t="n">
        <v>0</v>
      </c>
      <c r="J249" t="n">
        <v>0</v>
      </c>
      <c r="K249" t="n">
        <v>0</v>
      </c>
      <c r="L249" t="n">
        <v>0</v>
      </c>
      <c r="M249" t="n">
        <v>0</v>
      </c>
      <c r="N249" t="n">
        <v>0</v>
      </c>
      <c r="O249" t="n">
        <v>0</v>
      </c>
      <c r="P249" t="n">
        <v>0</v>
      </c>
      <c r="Q249" t="n">
        <v>0</v>
      </c>
      <c r="R249" s="2" t="inlineStr"/>
    </row>
    <row r="250" ht="15" customHeight="1">
      <c r="A250" t="inlineStr">
        <is>
          <t>A 23341-2022</t>
        </is>
      </c>
      <c r="B250" s="1" t="n">
        <v>44720.53898148148</v>
      </c>
      <c r="C250" s="1" t="n">
        <v>45887</v>
      </c>
      <c r="D250" t="inlineStr">
        <is>
          <t>KALMAR LÄN</t>
        </is>
      </c>
      <c r="E250" t="inlineStr">
        <is>
          <t>VIMMERBY</t>
        </is>
      </c>
      <c r="G250" t="n">
        <v>0.8</v>
      </c>
      <c r="H250" t="n">
        <v>0</v>
      </c>
      <c r="I250" t="n">
        <v>0</v>
      </c>
      <c r="J250" t="n">
        <v>0</v>
      </c>
      <c r="K250" t="n">
        <v>0</v>
      </c>
      <c r="L250" t="n">
        <v>0</v>
      </c>
      <c r="M250" t="n">
        <v>0</v>
      </c>
      <c r="N250" t="n">
        <v>0</v>
      </c>
      <c r="O250" t="n">
        <v>0</v>
      </c>
      <c r="P250" t="n">
        <v>0</v>
      </c>
      <c r="Q250" t="n">
        <v>0</v>
      </c>
      <c r="R250" s="2" t="inlineStr"/>
    </row>
    <row r="251" ht="15" customHeight="1">
      <c r="A251" t="inlineStr">
        <is>
          <t>A 8086-2021</t>
        </is>
      </c>
      <c r="B251" s="1" t="n">
        <v>44243</v>
      </c>
      <c r="C251" s="1" t="n">
        <v>45887</v>
      </c>
      <c r="D251" t="inlineStr">
        <is>
          <t>KALMAR LÄN</t>
        </is>
      </c>
      <c r="E251" t="inlineStr">
        <is>
          <t>VIMMERBY</t>
        </is>
      </c>
      <c r="G251" t="n">
        <v>4.1</v>
      </c>
      <c r="H251" t="n">
        <v>0</v>
      </c>
      <c r="I251" t="n">
        <v>0</v>
      </c>
      <c r="J251" t="n">
        <v>0</v>
      </c>
      <c r="K251" t="n">
        <v>0</v>
      </c>
      <c r="L251" t="n">
        <v>0</v>
      </c>
      <c r="M251" t="n">
        <v>0</v>
      </c>
      <c r="N251" t="n">
        <v>0</v>
      </c>
      <c r="O251" t="n">
        <v>0</v>
      </c>
      <c r="P251" t="n">
        <v>0</v>
      </c>
      <c r="Q251" t="n">
        <v>0</v>
      </c>
      <c r="R251" s="2" t="inlineStr"/>
    </row>
    <row r="252" ht="15" customHeight="1">
      <c r="A252" t="inlineStr">
        <is>
          <t>A 25799-2023</t>
        </is>
      </c>
      <c r="B252" s="1" t="n">
        <v>45090</v>
      </c>
      <c r="C252" s="1" t="n">
        <v>45887</v>
      </c>
      <c r="D252" t="inlineStr">
        <is>
          <t>KALMAR LÄN</t>
        </is>
      </c>
      <c r="E252" t="inlineStr">
        <is>
          <t>VIMMERBY</t>
        </is>
      </c>
      <c r="G252" t="n">
        <v>7.7</v>
      </c>
      <c r="H252" t="n">
        <v>0</v>
      </c>
      <c r="I252" t="n">
        <v>0</v>
      </c>
      <c r="J252" t="n">
        <v>0</v>
      </c>
      <c r="K252" t="n">
        <v>0</v>
      </c>
      <c r="L252" t="n">
        <v>0</v>
      </c>
      <c r="M252" t="n">
        <v>0</v>
      </c>
      <c r="N252" t="n">
        <v>0</v>
      </c>
      <c r="O252" t="n">
        <v>0</v>
      </c>
      <c r="P252" t="n">
        <v>0</v>
      </c>
      <c r="Q252" t="n">
        <v>0</v>
      </c>
      <c r="R252" s="2" t="inlineStr"/>
    </row>
    <row r="253" ht="15" customHeight="1">
      <c r="A253" t="inlineStr">
        <is>
          <t>A 11946-2025</t>
        </is>
      </c>
      <c r="B253" s="1" t="n">
        <v>45728.54832175926</v>
      </c>
      <c r="C253" s="1" t="n">
        <v>45887</v>
      </c>
      <c r="D253" t="inlineStr">
        <is>
          <t>KALMAR LÄN</t>
        </is>
      </c>
      <c r="E253" t="inlineStr">
        <is>
          <t>VIMMERBY</t>
        </is>
      </c>
      <c r="G253" t="n">
        <v>0.4</v>
      </c>
      <c r="H253" t="n">
        <v>0</v>
      </c>
      <c r="I253" t="n">
        <v>0</v>
      </c>
      <c r="J253" t="n">
        <v>0</v>
      </c>
      <c r="K253" t="n">
        <v>0</v>
      </c>
      <c r="L253" t="n">
        <v>0</v>
      </c>
      <c r="M253" t="n">
        <v>0</v>
      </c>
      <c r="N253" t="n">
        <v>0</v>
      </c>
      <c r="O253" t="n">
        <v>0</v>
      </c>
      <c r="P253" t="n">
        <v>0</v>
      </c>
      <c r="Q253" t="n">
        <v>0</v>
      </c>
      <c r="R253" s="2" t="inlineStr"/>
    </row>
    <row r="254" ht="15" customHeight="1">
      <c r="A254" t="inlineStr">
        <is>
          <t>A 16015-2025</t>
        </is>
      </c>
      <c r="B254" s="1" t="n">
        <v>45749.60487268519</v>
      </c>
      <c r="C254" s="1" t="n">
        <v>45887</v>
      </c>
      <c r="D254" t="inlineStr">
        <is>
          <t>KALMAR LÄN</t>
        </is>
      </c>
      <c r="E254" t="inlineStr">
        <is>
          <t>VIMMERBY</t>
        </is>
      </c>
      <c r="F254" t="inlineStr">
        <is>
          <t>Kyrkan</t>
        </is>
      </c>
      <c r="G254" t="n">
        <v>2.7</v>
      </c>
      <c r="H254" t="n">
        <v>0</v>
      </c>
      <c r="I254" t="n">
        <v>0</v>
      </c>
      <c r="J254" t="n">
        <v>0</v>
      </c>
      <c r="K254" t="n">
        <v>0</v>
      </c>
      <c r="L254" t="n">
        <v>0</v>
      </c>
      <c r="M254" t="n">
        <v>0</v>
      </c>
      <c r="N254" t="n">
        <v>0</v>
      </c>
      <c r="O254" t="n">
        <v>0</v>
      </c>
      <c r="P254" t="n">
        <v>0</v>
      </c>
      <c r="Q254" t="n">
        <v>0</v>
      </c>
      <c r="R254" s="2" t="inlineStr"/>
    </row>
    <row r="255" ht="15" customHeight="1">
      <c r="A255" t="inlineStr">
        <is>
          <t>A 57256-2023</t>
        </is>
      </c>
      <c r="B255" s="1" t="n">
        <v>45245.5735300926</v>
      </c>
      <c r="C255" s="1" t="n">
        <v>45887</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71793-2021</t>
        </is>
      </c>
      <c r="B256" s="1" t="n">
        <v>44539</v>
      </c>
      <c r="C256" s="1" t="n">
        <v>45887</v>
      </c>
      <c r="D256" t="inlineStr">
        <is>
          <t>KALMAR LÄN</t>
        </is>
      </c>
      <c r="E256" t="inlineStr">
        <is>
          <t>VIMMERBY</t>
        </is>
      </c>
      <c r="G256" t="n">
        <v>2.7</v>
      </c>
      <c r="H256" t="n">
        <v>0</v>
      </c>
      <c r="I256" t="n">
        <v>0</v>
      </c>
      <c r="J256" t="n">
        <v>0</v>
      </c>
      <c r="K256" t="n">
        <v>0</v>
      </c>
      <c r="L256" t="n">
        <v>0</v>
      </c>
      <c r="M256" t="n">
        <v>0</v>
      </c>
      <c r="N256" t="n">
        <v>0</v>
      </c>
      <c r="O256" t="n">
        <v>0</v>
      </c>
      <c r="P256" t="n">
        <v>0</v>
      </c>
      <c r="Q256" t="n">
        <v>0</v>
      </c>
      <c r="R256" s="2" t="inlineStr"/>
    </row>
    <row r="257" ht="15" customHeight="1">
      <c r="A257" t="inlineStr">
        <is>
          <t>A 23088-2024</t>
        </is>
      </c>
      <c r="B257" s="1" t="n">
        <v>45450.51092592593</v>
      </c>
      <c r="C257" s="1" t="n">
        <v>45887</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59943-2023</t>
        </is>
      </c>
      <c r="B258" s="1" t="n">
        <v>45257.67958333333</v>
      </c>
      <c r="C258" s="1" t="n">
        <v>45887</v>
      </c>
      <c r="D258" t="inlineStr">
        <is>
          <t>KALMAR LÄN</t>
        </is>
      </c>
      <c r="E258" t="inlineStr">
        <is>
          <t>VIMMERBY</t>
        </is>
      </c>
      <c r="G258" t="n">
        <v>6.4</v>
      </c>
      <c r="H258" t="n">
        <v>0</v>
      </c>
      <c r="I258" t="n">
        <v>0</v>
      </c>
      <c r="J258" t="n">
        <v>0</v>
      </c>
      <c r="K258" t="n">
        <v>0</v>
      </c>
      <c r="L258" t="n">
        <v>0</v>
      </c>
      <c r="M258" t="n">
        <v>0</v>
      </c>
      <c r="N258" t="n">
        <v>0</v>
      </c>
      <c r="O258" t="n">
        <v>0</v>
      </c>
      <c r="P258" t="n">
        <v>0</v>
      </c>
      <c r="Q258" t="n">
        <v>0</v>
      </c>
      <c r="R258" s="2" t="inlineStr"/>
    </row>
    <row r="259" ht="15" customHeight="1">
      <c r="A259" t="inlineStr">
        <is>
          <t>A 15493-2023</t>
        </is>
      </c>
      <c r="B259" s="1" t="n">
        <v>45018</v>
      </c>
      <c r="C259" s="1" t="n">
        <v>45887</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51881-2024</t>
        </is>
      </c>
      <c r="B260" s="1" t="n">
        <v>45607.56773148148</v>
      </c>
      <c r="C260" s="1" t="n">
        <v>45887</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73938-2021</t>
        </is>
      </c>
      <c r="B261" s="1" t="n">
        <v>44553</v>
      </c>
      <c r="C261" s="1" t="n">
        <v>45887</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1021-2024</t>
        </is>
      </c>
      <c r="B262" s="1" t="n">
        <v>45301.67736111111</v>
      </c>
      <c r="C262" s="1" t="n">
        <v>45887</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57189-2022</t>
        </is>
      </c>
      <c r="B263" s="1" t="n">
        <v>44895.62296296296</v>
      </c>
      <c r="C263" s="1" t="n">
        <v>45887</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32569-2024</t>
        </is>
      </c>
      <c r="B264" s="1" t="n">
        <v>45513.55840277778</v>
      </c>
      <c r="C264" s="1" t="n">
        <v>45887</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32575-2024</t>
        </is>
      </c>
      <c r="B265" s="1" t="n">
        <v>45513.56527777778</v>
      </c>
      <c r="C265" s="1" t="n">
        <v>45887</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52435-2021</t>
        </is>
      </c>
      <c r="B266" s="1" t="n">
        <v>44466.34962962963</v>
      </c>
      <c r="C266" s="1" t="n">
        <v>45887</v>
      </c>
      <c r="D266" t="inlineStr">
        <is>
          <t>KALMAR LÄN</t>
        </is>
      </c>
      <c r="E266" t="inlineStr">
        <is>
          <t>VIMMERBY</t>
        </is>
      </c>
      <c r="G266" t="n">
        <v>2.8</v>
      </c>
      <c r="H266" t="n">
        <v>0</v>
      </c>
      <c r="I266" t="n">
        <v>0</v>
      </c>
      <c r="J266" t="n">
        <v>0</v>
      </c>
      <c r="K266" t="n">
        <v>0</v>
      </c>
      <c r="L266" t="n">
        <v>0</v>
      </c>
      <c r="M266" t="n">
        <v>0</v>
      </c>
      <c r="N266" t="n">
        <v>0</v>
      </c>
      <c r="O266" t="n">
        <v>0</v>
      </c>
      <c r="P266" t="n">
        <v>0</v>
      </c>
      <c r="Q266" t="n">
        <v>0</v>
      </c>
      <c r="R266" s="2" t="inlineStr"/>
    </row>
    <row r="267" ht="15" customHeight="1">
      <c r="A267" t="inlineStr">
        <is>
          <t>A 30063-2023</t>
        </is>
      </c>
      <c r="B267" s="1" t="n">
        <v>45110.4184375</v>
      </c>
      <c r="C267" s="1" t="n">
        <v>45887</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6069-2023</t>
        </is>
      </c>
      <c r="B268" s="1" t="n">
        <v>44964.5115162037</v>
      </c>
      <c r="C268" s="1" t="n">
        <v>45887</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29093-2023</t>
        </is>
      </c>
      <c r="B269" s="1" t="n">
        <v>45105</v>
      </c>
      <c r="C269" s="1" t="n">
        <v>45887</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14220-2021</t>
        </is>
      </c>
      <c r="B270" s="1" t="n">
        <v>44278.54855324074</v>
      </c>
      <c r="C270" s="1" t="n">
        <v>45887</v>
      </c>
      <c r="D270" t="inlineStr">
        <is>
          <t>KALMAR LÄN</t>
        </is>
      </c>
      <c r="E270" t="inlineStr">
        <is>
          <t>VIMMERBY</t>
        </is>
      </c>
      <c r="G270" t="n">
        <v>0.3</v>
      </c>
      <c r="H270" t="n">
        <v>0</v>
      </c>
      <c r="I270" t="n">
        <v>0</v>
      </c>
      <c r="J270" t="n">
        <v>0</v>
      </c>
      <c r="K270" t="n">
        <v>0</v>
      </c>
      <c r="L270" t="n">
        <v>0</v>
      </c>
      <c r="M270" t="n">
        <v>0</v>
      </c>
      <c r="N270" t="n">
        <v>0</v>
      </c>
      <c r="O270" t="n">
        <v>0</v>
      </c>
      <c r="P270" t="n">
        <v>0</v>
      </c>
      <c r="Q270" t="n">
        <v>0</v>
      </c>
      <c r="R270" s="2" t="inlineStr"/>
    </row>
    <row r="271" ht="15" customHeight="1">
      <c r="A271" t="inlineStr">
        <is>
          <t>A 17482-2024</t>
        </is>
      </c>
      <c r="B271" s="1" t="n">
        <v>45415.47848379629</v>
      </c>
      <c r="C271" s="1" t="n">
        <v>45887</v>
      </c>
      <c r="D271" t="inlineStr">
        <is>
          <t>KALMAR LÄN</t>
        </is>
      </c>
      <c r="E271" t="inlineStr">
        <is>
          <t>VIMMERBY</t>
        </is>
      </c>
      <c r="G271" t="n">
        <v>1.7</v>
      </c>
      <c r="H271" t="n">
        <v>0</v>
      </c>
      <c r="I271" t="n">
        <v>0</v>
      </c>
      <c r="J271" t="n">
        <v>0</v>
      </c>
      <c r="K271" t="n">
        <v>0</v>
      </c>
      <c r="L271" t="n">
        <v>0</v>
      </c>
      <c r="M271" t="n">
        <v>0</v>
      </c>
      <c r="N271" t="n">
        <v>0</v>
      </c>
      <c r="O271" t="n">
        <v>0</v>
      </c>
      <c r="P271" t="n">
        <v>0</v>
      </c>
      <c r="Q271" t="n">
        <v>0</v>
      </c>
      <c r="R271" s="2" t="inlineStr"/>
    </row>
    <row r="272" ht="15" customHeight="1">
      <c r="A272" t="inlineStr">
        <is>
          <t>A 1987-2024</t>
        </is>
      </c>
      <c r="B272" s="1" t="n">
        <v>45308.61152777778</v>
      </c>
      <c r="C272" s="1" t="n">
        <v>45887</v>
      </c>
      <c r="D272" t="inlineStr">
        <is>
          <t>KALMAR LÄN</t>
        </is>
      </c>
      <c r="E272" t="inlineStr">
        <is>
          <t>VIMMERBY</t>
        </is>
      </c>
      <c r="G272" t="n">
        <v>3</v>
      </c>
      <c r="H272" t="n">
        <v>0</v>
      </c>
      <c r="I272" t="n">
        <v>0</v>
      </c>
      <c r="J272" t="n">
        <v>0</v>
      </c>
      <c r="K272" t="n">
        <v>0</v>
      </c>
      <c r="L272" t="n">
        <v>0</v>
      </c>
      <c r="M272" t="n">
        <v>0</v>
      </c>
      <c r="N272" t="n">
        <v>0</v>
      </c>
      <c r="O272" t="n">
        <v>0</v>
      </c>
      <c r="P272" t="n">
        <v>0</v>
      </c>
      <c r="Q272" t="n">
        <v>0</v>
      </c>
      <c r="R272" s="2" t="inlineStr"/>
    </row>
    <row r="273" ht="15" customHeight="1">
      <c r="A273" t="inlineStr">
        <is>
          <t>A 527-2024</t>
        </is>
      </c>
      <c r="B273" s="1" t="n">
        <v>45299.47513888889</v>
      </c>
      <c r="C273" s="1" t="n">
        <v>45887</v>
      </c>
      <c r="D273" t="inlineStr">
        <is>
          <t>KALMAR LÄN</t>
        </is>
      </c>
      <c r="E273" t="inlineStr">
        <is>
          <t>VIMMERBY</t>
        </is>
      </c>
      <c r="G273" t="n">
        <v>2.2</v>
      </c>
      <c r="H273" t="n">
        <v>0</v>
      </c>
      <c r="I273" t="n">
        <v>0</v>
      </c>
      <c r="J273" t="n">
        <v>0</v>
      </c>
      <c r="K273" t="n">
        <v>0</v>
      </c>
      <c r="L273" t="n">
        <v>0</v>
      </c>
      <c r="M273" t="n">
        <v>0</v>
      </c>
      <c r="N273" t="n">
        <v>0</v>
      </c>
      <c r="O273" t="n">
        <v>0</v>
      </c>
      <c r="P273" t="n">
        <v>0</v>
      </c>
      <c r="Q273" t="n">
        <v>0</v>
      </c>
      <c r="R273" s="2" t="inlineStr"/>
    </row>
    <row r="274" ht="15" customHeight="1">
      <c r="A274" t="inlineStr">
        <is>
          <t>A 13817-2024</t>
        </is>
      </c>
      <c r="B274" s="1" t="n">
        <v>45391.41976851852</v>
      </c>
      <c r="C274" s="1" t="n">
        <v>45887</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30406-2023</t>
        </is>
      </c>
      <c r="B275" s="1" t="n">
        <v>45111.48787037037</v>
      </c>
      <c r="C275" s="1" t="n">
        <v>45887</v>
      </c>
      <c r="D275" t="inlineStr">
        <is>
          <t>KALMAR LÄN</t>
        </is>
      </c>
      <c r="E275" t="inlineStr">
        <is>
          <t>VIMMERBY</t>
        </is>
      </c>
      <c r="G275" t="n">
        <v>2.4</v>
      </c>
      <c r="H275" t="n">
        <v>0</v>
      </c>
      <c r="I275" t="n">
        <v>0</v>
      </c>
      <c r="J275" t="n">
        <v>0</v>
      </c>
      <c r="K275" t="n">
        <v>0</v>
      </c>
      <c r="L275" t="n">
        <v>0</v>
      </c>
      <c r="M275" t="n">
        <v>0</v>
      </c>
      <c r="N275" t="n">
        <v>0</v>
      </c>
      <c r="O275" t="n">
        <v>0</v>
      </c>
      <c r="P275" t="n">
        <v>0</v>
      </c>
      <c r="Q275" t="n">
        <v>0</v>
      </c>
      <c r="R275" s="2" t="inlineStr"/>
    </row>
    <row r="276" ht="15" customHeight="1">
      <c r="A276" t="inlineStr">
        <is>
          <t>A 33359-2021</t>
        </is>
      </c>
      <c r="B276" s="1" t="n">
        <v>44377.49684027778</v>
      </c>
      <c r="C276" s="1" t="n">
        <v>45887</v>
      </c>
      <c r="D276" t="inlineStr">
        <is>
          <t>KALMAR LÄN</t>
        </is>
      </c>
      <c r="E276" t="inlineStr">
        <is>
          <t>VIMMERBY</t>
        </is>
      </c>
      <c r="F276" t="inlineStr">
        <is>
          <t>Kommuner</t>
        </is>
      </c>
      <c r="G276" t="n">
        <v>8</v>
      </c>
      <c r="H276" t="n">
        <v>0</v>
      </c>
      <c r="I276" t="n">
        <v>0</v>
      </c>
      <c r="J276" t="n">
        <v>0</v>
      </c>
      <c r="K276" t="n">
        <v>0</v>
      </c>
      <c r="L276" t="n">
        <v>0</v>
      </c>
      <c r="M276" t="n">
        <v>0</v>
      </c>
      <c r="N276" t="n">
        <v>0</v>
      </c>
      <c r="O276" t="n">
        <v>0</v>
      </c>
      <c r="P276" t="n">
        <v>0</v>
      </c>
      <c r="Q276" t="n">
        <v>0</v>
      </c>
      <c r="R276" s="2" t="inlineStr"/>
    </row>
    <row r="277" ht="15" customHeight="1">
      <c r="A277" t="inlineStr">
        <is>
          <t>A 37192-2024</t>
        </is>
      </c>
      <c r="B277" s="1" t="n">
        <v>45539.66027777778</v>
      </c>
      <c r="C277" s="1" t="n">
        <v>45887</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43038-2022</t>
        </is>
      </c>
      <c r="B278" s="1" t="n">
        <v>44833.60123842592</v>
      </c>
      <c r="C278" s="1" t="n">
        <v>45887</v>
      </c>
      <c r="D278" t="inlineStr">
        <is>
          <t>KALMAR LÄN</t>
        </is>
      </c>
      <c r="E278" t="inlineStr">
        <is>
          <t>VIMMERBY</t>
        </is>
      </c>
      <c r="G278" t="n">
        <v>4.2</v>
      </c>
      <c r="H278" t="n">
        <v>0</v>
      </c>
      <c r="I278" t="n">
        <v>0</v>
      </c>
      <c r="J278" t="n">
        <v>0</v>
      </c>
      <c r="K278" t="n">
        <v>0</v>
      </c>
      <c r="L278" t="n">
        <v>0</v>
      </c>
      <c r="M278" t="n">
        <v>0</v>
      </c>
      <c r="N278" t="n">
        <v>0</v>
      </c>
      <c r="O278" t="n">
        <v>0</v>
      </c>
      <c r="P278" t="n">
        <v>0</v>
      </c>
      <c r="Q278" t="n">
        <v>0</v>
      </c>
      <c r="R278" s="2" t="inlineStr"/>
    </row>
    <row r="279" ht="15" customHeight="1">
      <c r="A279" t="inlineStr">
        <is>
          <t>A 50995-2022</t>
        </is>
      </c>
      <c r="B279" s="1" t="n">
        <v>44867</v>
      </c>
      <c r="C279" s="1" t="n">
        <v>45887</v>
      </c>
      <c r="D279" t="inlineStr">
        <is>
          <t>KALMAR LÄN</t>
        </is>
      </c>
      <c r="E279" t="inlineStr">
        <is>
          <t>VIMMERBY</t>
        </is>
      </c>
      <c r="G279" t="n">
        <v>2.4</v>
      </c>
      <c r="H279" t="n">
        <v>0</v>
      </c>
      <c r="I279" t="n">
        <v>0</v>
      </c>
      <c r="J279" t="n">
        <v>0</v>
      </c>
      <c r="K279" t="n">
        <v>0</v>
      </c>
      <c r="L279" t="n">
        <v>0</v>
      </c>
      <c r="M279" t="n">
        <v>0</v>
      </c>
      <c r="N279" t="n">
        <v>0</v>
      </c>
      <c r="O279" t="n">
        <v>0</v>
      </c>
      <c r="P279" t="n">
        <v>0</v>
      </c>
      <c r="Q279" t="n">
        <v>0</v>
      </c>
      <c r="R279" s="2" t="inlineStr"/>
    </row>
    <row r="280" ht="15" customHeight="1">
      <c r="A280" t="inlineStr">
        <is>
          <t>A 50087-2023</t>
        </is>
      </c>
      <c r="B280" s="1" t="n">
        <v>45215.59743055556</v>
      </c>
      <c r="C280" s="1" t="n">
        <v>45887</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33681-2022</t>
        </is>
      </c>
      <c r="B281" s="1" t="n">
        <v>44789</v>
      </c>
      <c r="C281" s="1" t="n">
        <v>45887</v>
      </c>
      <c r="D281" t="inlineStr">
        <is>
          <t>KALMAR LÄN</t>
        </is>
      </c>
      <c r="E281" t="inlineStr">
        <is>
          <t>VIMMERBY</t>
        </is>
      </c>
      <c r="G281" t="n">
        <v>3.2</v>
      </c>
      <c r="H281" t="n">
        <v>0</v>
      </c>
      <c r="I281" t="n">
        <v>0</v>
      </c>
      <c r="J281" t="n">
        <v>0</v>
      </c>
      <c r="K281" t="n">
        <v>0</v>
      </c>
      <c r="L281" t="n">
        <v>0</v>
      </c>
      <c r="M281" t="n">
        <v>0</v>
      </c>
      <c r="N281" t="n">
        <v>0</v>
      </c>
      <c r="O281" t="n">
        <v>0</v>
      </c>
      <c r="P281" t="n">
        <v>0</v>
      </c>
      <c r="Q281" t="n">
        <v>0</v>
      </c>
      <c r="R281" s="2" t="inlineStr"/>
    </row>
    <row r="282" ht="15" customHeight="1">
      <c r="A282" t="inlineStr">
        <is>
          <t>A 29020-2024</t>
        </is>
      </c>
      <c r="B282" s="1" t="n">
        <v>45481.58048611111</v>
      </c>
      <c r="C282" s="1" t="n">
        <v>45887</v>
      </c>
      <c r="D282" t="inlineStr">
        <is>
          <t>KALMAR LÄN</t>
        </is>
      </c>
      <c r="E282" t="inlineStr">
        <is>
          <t>VIMMERBY</t>
        </is>
      </c>
      <c r="G282" t="n">
        <v>2.3</v>
      </c>
      <c r="H282" t="n">
        <v>0</v>
      </c>
      <c r="I282" t="n">
        <v>0</v>
      </c>
      <c r="J282" t="n">
        <v>0</v>
      </c>
      <c r="K282" t="n">
        <v>0</v>
      </c>
      <c r="L282" t="n">
        <v>0</v>
      </c>
      <c r="M282" t="n">
        <v>0</v>
      </c>
      <c r="N282" t="n">
        <v>0</v>
      </c>
      <c r="O282" t="n">
        <v>0</v>
      </c>
      <c r="P282" t="n">
        <v>0</v>
      </c>
      <c r="Q282" t="n">
        <v>0</v>
      </c>
      <c r="R282" s="2" t="inlineStr"/>
    </row>
    <row r="283" ht="15" customHeight="1">
      <c r="A283" t="inlineStr">
        <is>
          <t>A 27122-2023</t>
        </is>
      </c>
      <c r="B283" s="1" t="n">
        <v>45096.45247685185</v>
      </c>
      <c r="C283" s="1" t="n">
        <v>45887</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30402-2023</t>
        </is>
      </c>
      <c r="B284" s="1" t="n">
        <v>45111.48395833333</v>
      </c>
      <c r="C284" s="1" t="n">
        <v>45887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47842-2024</t>
        </is>
      </c>
      <c r="B285" s="1" t="n">
        <v>45588.65545138889</v>
      </c>
      <c r="C285" s="1" t="n">
        <v>45887</v>
      </c>
      <c r="D285" t="inlineStr">
        <is>
          <t>KALMAR LÄN</t>
        </is>
      </c>
      <c r="E285" t="inlineStr">
        <is>
          <t>VIMMERBY</t>
        </is>
      </c>
      <c r="G285" t="n">
        <v>2.4</v>
      </c>
      <c r="H285" t="n">
        <v>0</v>
      </c>
      <c r="I285" t="n">
        <v>0</v>
      </c>
      <c r="J285" t="n">
        <v>0</v>
      </c>
      <c r="K285" t="n">
        <v>0</v>
      </c>
      <c r="L285" t="n">
        <v>0</v>
      </c>
      <c r="M285" t="n">
        <v>0</v>
      </c>
      <c r="N285" t="n">
        <v>0</v>
      </c>
      <c r="O285" t="n">
        <v>0</v>
      </c>
      <c r="P285" t="n">
        <v>0</v>
      </c>
      <c r="Q285" t="n">
        <v>0</v>
      </c>
      <c r="R285" s="2" t="inlineStr"/>
    </row>
    <row r="286" ht="15" customHeight="1">
      <c r="A286" t="inlineStr">
        <is>
          <t>A 6857-2023</t>
        </is>
      </c>
      <c r="B286" s="1" t="n">
        <v>44967.45122685185</v>
      </c>
      <c r="C286" s="1" t="n">
        <v>45887</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46224-2024</t>
        </is>
      </c>
      <c r="B287" s="1" t="n">
        <v>45581.57016203704</v>
      </c>
      <c r="C287" s="1" t="n">
        <v>45887</v>
      </c>
      <c r="D287" t="inlineStr">
        <is>
          <t>KALMAR LÄN</t>
        </is>
      </c>
      <c r="E287" t="inlineStr">
        <is>
          <t>VIMMERBY</t>
        </is>
      </c>
      <c r="G287" t="n">
        <v>3.1</v>
      </c>
      <c r="H287" t="n">
        <v>0</v>
      </c>
      <c r="I287" t="n">
        <v>0</v>
      </c>
      <c r="J287" t="n">
        <v>0</v>
      </c>
      <c r="K287" t="n">
        <v>0</v>
      </c>
      <c r="L287" t="n">
        <v>0</v>
      </c>
      <c r="M287" t="n">
        <v>0</v>
      </c>
      <c r="N287" t="n">
        <v>0</v>
      </c>
      <c r="O287" t="n">
        <v>0</v>
      </c>
      <c r="P287" t="n">
        <v>0</v>
      </c>
      <c r="Q287" t="n">
        <v>0</v>
      </c>
      <c r="R287" s="2" t="inlineStr"/>
    </row>
    <row r="288" ht="15" customHeight="1">
      <c r="A288" t="inlineStr">
        <is>
          <t>A 29013-2024</t>
        </is>
      </c>
      <c r="B288" s="1" t="n">
        <v>45481.55984953704</v>
      </c>
      <c r="C288" s="1" t="n">
        <v>45887</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37028-2024</t>
        </is>
      </c>
      <c r="B289" s="1" t="n">
        <v>45539.38744212963</v>
      </c>
      <c r="C289" s="1" t="n">
        <v>45887</v>
      </c>
      <c r="D289" t="inlineStr">
        <is>
          <t>KALMAR LÄN</t>
        </is>
      </c>
      <c r="E289" t="inlineStr">
        <is>
          <t>VIMMERBY</t>
        </is>
      </c>
      <c r="G289" t="n">
        <v>5.2</v>
      </c>
      <c r="H289" t="n">
        <v>0</v>
      </c>
      <c r="I289" t="n">
        <v>0</v>
      </c>
      <c r="J289" t="n">
        <v>0</v>
      </c>
      <c r="K289" t="n">
        <v>0</v>
      </c>
      <c r="L289" t="n">
        <v>0</v>
      </c>
      <c r="M289" t="n">
        <v>0</v>
      </c>
      <c r="N289" t="n">
        <v>0</v>
      </c>
      <c r="O289" t="n">
        <v>0</v>
      </c>
      <c r="P289" t="n">
        <v>0</v>
      </c>
      <c r="Q289" t="n">
        <v>0</v>
      </c>
      <c r="R289" s="2" t="inlineStr"/>
    </row>
    <row r="290" ht="15" customHeight="1">
      <c r="A290" t="inlineStr">
        <is>
          <t>A 22014-2025</t>
        </is>
      </c>
      <c r="B290" s="1" t="n">
        <v>45784.74996527778</v>
      </c>
      <c r="C290" s="1" t="n">
        <v>45887</v>
      </c>
      <c r="D290" t="inlineStr">
        <is>
          <t>KALMAR LÄN</t>
        </is>
      </c>
      <c r="E290" t="inlineStr">
        <is>
          <t>VIMMERBY</t>
        </is>
      </c>
      <c r="G290" t="n">
        <v>1.6</v>
      </c>
      <c r="H290" t="n">
        <v>0</v>
      </c>
      <c r="I290" t="n">
        <v>0</v>
      </c>
      <c r="J290" t="n">
        <v>0</v>
      </c>
      <c r="K290" t="n">
        <v>0</v>
      </c>
      <c r="L290" t="n">
        <v>0</v>
      </c>
      <c r="M290" t="n">
        <v>0</v>
      </c>
      <c r="N290" t="n">
        <v>0</v>
      </c>
      <c r="O290" t="n">
        <v>0</v>
      </c>
      <c r="P290" t="n">
        <v>0</v>
      </c>
      <c r="Q290" t="n">
        <v>0</v>
      </c>
      <c r="R290" s="2" t="inlineStr"/>
    </row>
    <row r="291" ht="15" customHeight="1">
      <c r="A291" t="inlineStr">
        <is>
          <t>A 37187-2024</t>
        </is>
      </c>
      <c r="B291" s="1" t="n">
        <v>45539.65212962963</v>
      </c>
      <c r="C291" s="1" t="n">
        <v>45887</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45887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57578-2024</t>
        </is>
      </c>
      <c r="B293" s="1" t="n">
        <v>45630.47564814815</v>
      </c>
      <c r="C293" s="1" t="n">
        <v>45887</v>
      </c>
      <c r="D293" t="inlineStr">
        <is>
          <t>KALMAR LÄN</t>
        </is>
      </c>
      <c r="E293" t="inlineStr">
        <is>
          <t>VIMMERBY</t>
        </is>
      </c>
      <c r="G293" t="n">
        <v>2.6</v>
      </c>
      <c r="H293" t="n">
        <v>0</v>
      </c>
      <c r="I293" t="n">
        <v>0</v>
      </c>
      <c r="J293" t="n">
        <v>0</v>
      </c>
      <c r="K293" t="n">
        <v>0</v>
      </c>
      <c r="L293" t="n">
        <v>0</v>
      </c>
      <c r="M293" t="n">
        <v>0</v>
      </c>
      <c r="N293" t="n">
        <v>0</v>
      </c>
      <c r="O293" t="n">
        <v>0</v>
      </c>
      <c r="P293" t="n">
        <v>0</v>
      </c>
      <c r="Q293" t="n">
        <v>0</v>
      </c>
      <c r="R293" s="2" t="inlineStr"/>
    </row>
    <row r="294" ht="15" customHeight="1">
      <c r="A294" t="inlineStr">
        <is>
          <t>A 12630-2023</t>
        </is>
      </c>
      <c r="B294" s="1" t="n">
        <v>45000.47998842593</v>
      </c>
      <c r="C294" s="1" t="n">
        <v>45887</v>
      </c>
      <c r="D294" t="inlineStr">
        <is>
          <t>KALMAR LÄN</t>
        </is>
      </c>
      <c r="E294" t="inlineStr">
        <is>
          <t>VIMMERBY</t>
        </is>
      </c>
      <c r="G294" t="n">
        <v>2.1</v>
      </c>
      <c r="H294" t="n">
        <v>0</v>
      </c>
      <c r="I294" t="n">
        <v>0</v>
      </c>
      <c r="J294" t="n">
        <v>0</v>
      </c>
      <c r="K294" t="n">
        <v>0</v>
      </c>
      <c r="L294" t="n">
        <v>0</v>
      </c>
      <c r="M294" t="n">
        <v>0</v>
      </c>
      <c r="N294" t="n">
        <v>0</v>
      </c>
      <c r="O294" t="n">
        <v>0</v>
      </c>
      <c r="P294" t="n">
        <v>0</v>
      </c>
      <c r="Q294" t="n">
        <v>0</v>
      </c>
      <c r="R294" s="2" t="inlineStr"/>
    </row>
    <row r="295" ht="15" customHeight="1">
      <c r="A295" t="inlineStr">
        <is>
          <t>A 39584-2024</t>
        </is>
      </c>
      <c r="B295" s="1" t="n">
        <v>45552.36759259259</v>
      </c>
      <c r="C295" s="1" t="n">
        <v>45887</v>
      </c>
      <c r="D295" t="inlineStr">
        <is>
          <t>KALMAR LÄN</t>
        </is>
      </c>
      <c r="E295" t="inlineStr">
        <is>
          <t>VIMMERBY</t>
        </is>
      </c>
      <c r="G295" t="n">
        <v>1.9</v>
      </c>
      <c r="H295" t="n">
        <v>0</v>
      </c>
      <c r="I295" t="n">
        <v>0</v>
      </c>
      <c r="J295" t="n">
        <v>0</v>
      </c>
      <c r="K295" t="n">
        <v>0</v>
      </c>
      <c r="L295" t="n">
        <v>0</v>
      </c>
      <c r="M295" t="n">
        <v>0</v>
      </c>
      <c r="N295" t="n">
        <v>0</v>
      </c>
      <c r="O295" t="n">
        <v>0</v>
      </c>
      <c r="P295" t="n">
        <v>0</v>
      </c>
      <c r="Q295" t="n">
        <v>0</v>
      </c>
      <c r="R295" s="2" t="inlineStr"/>
    </row>
    <row r="296" ht="15" customHeight="1">
      <c r="A296" t="inlineStr">
        <is>
          <t>A 27705-2023</t>
        </is>
      </c>
      <c r="B296" s="1" t="n">
        <v>45098.30535879629</v>
      </c>
      <c r="C296" s="1" t="n">
        <v>45887</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22398-2025</t>
        </is>
      </c>
      <c r="B297" s="1" t="n">
        <v>45786.52931712963</v>
      </c>
      <c r="C297" s="1" t="n">
        <v>45887</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22399-2025</t>
        </is>
      </c>
      <c r="B298" s="1" t="n">
        <v>45786.52996527778</v>
      </c>
      <c r="C298" s="1" t="n">
        <v>45887</v>
      </c>
      <c r="D298" t="inlineStr">
        <is>
          <t>KALMAR LÄN</t>
        </is>
      </c>
      <c r="E298" t="inlineStr">
        <is>
          <t>VIMMERBY</t>
        </is>
      </c>
      <c r="G298" t="n">
        <v>2.1</v>
      </c>
      <c r="H298" t="n">
        <v>0</v>
      </c>
      <c r="I298" t="n">
        <v>0</v>
      </c>
      <c r="J298" t="n">
        <v>0</v>
      </c>
      <c r="K298" t="n">
        <v>0</v>
      </c>
      <c r="L298" t="n">
        <v>0</v>
      </c>
      <c r="M298" t="n">
        <v>0</v>
      </c>
      <c r="N298" t="n">
        <v>0</v>
      </c>
      <c r="O298" t="n">
        <v>0</v>
      </c>
      <c r="P298" t="n">
        <v>0</v>
      </c>
      <c r="Q298" t="n">
        <v>0</v>
      </c>
      <c r="R298" s="2" t="inlineStr"/>
    </row>
    <row r="299" ht="15" customHeight="1">
      <c r="A299" t="inlineStr">
        <is>
          <t>A 31013-2023</t>
        </is>
      </c>
      <c r="B299" s="1" t="n">
        <v>45113.56574074074</v>
      </c>
      <c r="C299" s="1" t="n">
        <v>45887</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15388-2025</t>
        </is>
      </c>
      <c r="B300" s="1" t="n">
        <v>45747.42633101852</v>
      </c>
      <c r="C300" s="1" t="n">
        <v>45887</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15391-2025</t>
        </is>
      </c>
      <c r="B301" s="1" t="n">
        <v>45747.42958333333</v>
      </c>
      <c r="C301" s="1" t="n">
        <v>45887</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11303-2025</t>
        </is>
      </c>
      <c r="B302" s="1" t="n">
        <v>45726.44471064815</v>
      </c>
      <c r="C302" s="1" t="n">
        <v>45887</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33352-2022</t>
        </is>
      </c>
      <c r="B303" s="1" t="n">
        <v>44788</v>
      </c>
      <c r="C303" s="1" t="n">
        <v>45887</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46234-2024</t>
        </is>
      </c>
      <c r="B304" s="1" t="n">
        <v>45581.57958333333</v>
      </c>
      <c r="C304" s="1" t="n">
        <v>45887</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39053-2024</t>
        </is>
      </c>
      <c r="B305" s="1" t="n">
        <v>45548</v>
      </c>
      <c r="C305" s="1" t="n">
        <v>45887</v>
      </c>
      <c r="D305" t="inlineStr">
        <is>
          <t>KALMAR LÄN</t>
        </is>
      </c>
      <c r="E305" t="inlineStr">
        <is>
          <t>VIMMERBY</t>
        </is>
      </c>
      <c r="G305" t="n">
        <v>5</v>
      </c>
      <c r="H305" t="n">
        <v>0</v>
      </c>
      <c r="I305" t="n">
        <v>0</v>
      </c>
      <c r="J305" t="n">
        <v>0</v>
      </c>
      <c r="K305" t="n">
        <v>0</v>
      </c>
      <c r="L305" t="n">
        <v>0</v>
      </c>
      <c r="M305" t="n">
        <v>0</v>
      </c>
      <c r="N305" t="n">
        <v>0</v>
      </c>
      <c r="O305" t="n">
        <v>0</v>
      </c>
      <c r="P305" t="n">
        <v>0</v>
      </c>
      <c r="Q305" t="n">
        <v>0</v>
      </c>
      <c r="R305" s="2" t="inlineStr"/>
    </row>
    <row r="306" ht="15" customHeight="1">
      <c r="A306" t="inlineStr">
        <is>
          <t>A 22397-2025</t>
        </is>
      </c>
      <c r="B306" s="1" t="n">
        <v>45786.52878472222</v>
      </c>
      <c r="C306" s="1" t="n">
        <v>45887</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15449-2023</t>
        </is>
      </c>
      <c r="B307" s="1" t="n">
        <v>45020</v>
      </c>
      <c r="C307" s="1" t="n">
        <v>45887</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43594-2024</t>
        </is>
      </c>
      <c r="B308" s="1" t="n">
        <v>45569.44295138889</v>
      </c>
      <c r="C308" s="1" t="n">
        <v>45887</v>
      </c>
      <c r="D308" t="inlineStr">
        <is>
          <t>KALMAR LÄN</t>
        </is>
      </c>
      <c r="E308" t="inlineStr">
        <is>
          <t>VIMMERBY</t>
        </is>
      </c>
      <c r="G308" t="n">
        <v>3.9</v>
      </c>
      <c r="H308" t="n">
        <v>0</v>
      </c>
      <c r="I308" t="n">
        <v>0</v>
      </c>
      <c r="J308" t="n">
        <v>0</v>
      </c>
      <c r="K308" t="n">
        <v>0</v>
      </c>
      <c r="L308" t="n">
        <v>0</v>
      </c>
      <c r="M308" t="n">
        <v>0</v>
      </c>
      <c r="N308" t="n">
        <v>0</v>
      </c>
      <c r="O308" t="n">
        <v>0</v>
      </c>
      <c r="P308" t="n">
        <v>0</v>
      </c>
      <c r="Q308" t="n">
        <v>0</v>
      </c>
      <c r="R308" s="2" t="inlineStr"/>
    </row>
    <row r="309" ht="15" customHeight="1">
      <c r="A309" t="inlineStr">
        <is>
          <t>A 17486-2024</t>
        </is>
      </c>
      <c r="B309" s="1" t="n">
        <v>45415.48979166667</v>
      </c>
      <c r="C309" s="1" t="n">
        <v>45887</v>
      </c>
      <c r="D309" t="inlineStr">
        <is>
          <t>KALMAR LÄN</t>
        </is>
      </c>
      <c r="E309" t="inlineStr">
        <is>
          <t>VIMMERBY</t>
        </is>
      </c>
      <c r="G309" t="n">
        <v>2.6</v>
      </c>
      <c r="H309" t="n">
        <v>0</v>
      </c>
      <c r="I309" t="n">
        <v>0</v>
      </c>
      <c r="J309" t="n">
        <v>0</v>
      </c>
      <c r="K309" t="n">
        <v>0</v>
      </c>
      <c r="L309" t="n">
        <v>0</v>
      </c>
      <c r="M309" t="n">
        <v>0</v>
      </c>
      <c r="N309" t="n">
        <v>0</v>
      </c>
      <c r="O309" t="n">
        <v>0</v>
      </c>
      <c r="P309" t="n">
        <v>0</v>
      </c>
      <c r="Q309" t="n">
        <v>0</v>
      </c>
      <c r="R309" s="2" t="inlineStr"/>
    </row>
    <row r="310" ht="15" customHeight="1">
      <c r="A310" t="inlineStr">
        <is>
          <t>A 14248-2023</t>
        </is>
      </c>
      <c r="B310" s="1" t="n">
        <v>45009</v>
      </c>
      <c r="C310" s="1" t="n">
        <v>45887</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22931-2025</t>
        </is>
      </c>
      <c r="B311" s="1" t="n">
        <v>45790.44976851852</v>
      </c>
      <c r="C311" s="1" t="n">
        <v>45887</v>
      </c>
      <c r="D311" t="inlineStr">
        <is>
          <t>KALMAR LÄN</t>
        </is>
      </c>
      <c r="E311" t="inlineStr">
        <is>
          <t>VIMMERBY</t>
        </is>
      </c>
      <c r="G311" t="n">
        <v>5.6</v>
      </c>
      <c r="H311" t="n">
        <v>0</v>
      </c>
      <c r="I311" t="n">
        <v>0</v>
      </c>
      <c r="J311" t="n">
        <v>0</v>
      </c>
      <c r="K311" t="n">
        <v>0</v>
      </c>
      <c r="L311" t="n">
        <v>0</v>
      </c>
      <c r="M311" t="n">
        <v>0</v>
      </c>
      <c r="N311" t="n">
        <v>0</v>
      </c>
      <c r="O311" t="n">
        <v>0</v>
      </c>
      <c r="P311" t="n">
        <v>0</v>
      </c>
      <c r="Q311" t="n">
        <v>0</v>
      </c>
      <c r="R311" s="2" t="inlineStr"/>
    </row>
    <row r="312" ht="15" customHeight="1">
      <c r="A312" t="inlineStr">
        <is>
          <t>A 11442-2025</t>
        </is>
      </c>
      <c r="B312" s="1" t="n">
        <v>45726.62721064815</v>
      </c>
      <c r="C312" s="1" t="n">
        <v>45887</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6307-2025</t>
        </is>
      </c>
      <c r="B313" s="1" t="n">
        <v>45698.69016203703</v>
      </c>
      <c r="C313" s="1" t="n">
        <v>45887</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30400-2023</t>
        </is>
      </c>
      <c r="B314" s="1" t="n">
        <v>45111.48225694444</v>
      </c>
      <c r="C314" s="1" t="n">
        <v>45887</v>
      </c>
      <c r="D314" t="inlineStr">
        <is>
          <t>KALMAR LÄN</t>
        </is>
      </c>
      <c r="E314" t="inlineStr">
        <is>
          <t>VIMMERBY</t>
        </is>
      </c>
      <c r="G314" t="n">
        <v>2.7</v>
      </c>
      <c r="H314" t="n">
        <v>0</v>
      </c>
      <c r="I314" t="n">
        <v>0</v>
      </c>
      <c r="J314" t="n">
        <v>0</v>
      </c>
      <c r="K314" t="n">
        <v>0</v>
      </c>
      <c r="L314" t="n">
        <v>0</v>
      </c>
      <c r="M314" t="n">
        <v>0</v>
      </c>
      <c r="N314" t="n">
        <v>0</v>
      </c>
      <c r="O314" t="n">
        <v>0</v>
      </c>
      <c r="P314" t="n">
        <v>0</v>
      </c>
      <c r="Q314" t="n">
        <v>0</v>
      </c>
      <c r="R314" s="2" t="inlineStr"/>
    </row>
    <row r="315" ht="15" customHeight="1">
      <c r="A315" t="inlineStr">
        <is>
          <t>A 30404-2023</t>
        </is>
      </c>
      <c r="B315" s="1" t="n">
        <v>45111.48636574074</v>
      </c>
      <c r="C315" s="1" t="n">
        <v>45887</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55123-2024</t>
        </is>
      </c>
      <c r="B316" s="1" t="n">
        <v>45621.46103009259</v>
      </c>
      <c r="C316" s="1" t="n">
        <v>45887</v>
      </c>
      <c r="D316" t="inlineStr">
        <is>
          <t>KALMAR LÄN</t>
        </is>
      </c>
      <c r="E316" t="inlineStr">
        <is>
          <t>VIMMERBY</t>
        </is>
      </c>
      <c r="G316" t="n">
        <v>3.1</v>
      </c>
      <c r="H316" t="n">
        <v>0</v>
      </c>
      <c r="I316" t="n">
        <v>0</v>
      </c>
      <c r="J316" t="n">
        <v>0</v>
      </c>
      <c r="K316" t="n">
        <v>0</v>
      </c>
      <c r="L316" t="n">
        <v>0</v>
      </c>
      <c r="M316" t="n">
        <v>0</v>
      </c>
      <c r="N316" t="n">
        <v>0</v>
      </c>
      <c r="O316" t="n">
        <v>0</v>
      </c>
      <c r="P316" t="n">
        <v>0</v>
      </c>
      <c r="Q316" t="n">
        <v>0</v>
      </c>
      <c r="R316" s="2" t="inlineStr"/>
    </row>
    <row r="317" ht="15" customHeight="1">
      <c r="A317" t="inlineStr">
        <is>
          <t>A 31405-2023</t>
        </is>
      </c>
      <c r="B317" s="1" t="n">
        <v>45114.58148148148</v>
      </c>
      <c r="C317" s="1" t="n">
        <v>45887</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24707-2024</t>
        </is>
      </c>
      <c r="B318" s="1" t="n">
        <v>45460.62172453704</v>
      </c>
      <c r="C318" s="1" t="n">
        <v>45887</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36049-2024</t>
        </is>
      </c>
      <c r="B319" s="1" t="n">
        <v>45533.61996527778</v>
      </c>
      <c r="C319" s="1" t="n">
        <v>45887</v>
      </c>
      <c r="D319" t="inlineStr">
        <is>
          <t>KALMAR LÄN</t>
        </is>
      </c>
      <c r="E319" t="inlineStr">
        <is>
          <t>VIMMERBY</t>
        </is>
      </c>
      <c r="F319" t="inlineStr">
        <is>
          <t>Kommuner</t>
        </is>
      </c>
      <c r="G319" t="n">
        <v>2.6</v>
      </c>
      <c r="H319" t="n">
        <v>0</v>
      </c>
      <c r="I319" t="n">
        <v>0</v>
      </c>
      <c r="J319" t="n">
        <v>0</v>
      </c>
      <c r="K319" t="n">
        <v>0</v>
      </c>
      <c r="L319" t="n">
        <v>0</v>
      </c>
      <c r="M319" t="n">
        <v>0</v>
      </c>
      <c r="N319" t="n">
        <v>0</v>
      </c>
      <c r="O319" t="n">
        <v>0</v>
      </c>
      <c r="P319" t="n">
        <v>0</v>
      </c>
      <c r="Q319" t="n">
        <v>0</v>
      </c>
      <c r="R319" s="2" t="inlineStr"/>
    </row>
    <row r="320" ht="15" customHeight="1">
      <c r="A320" t="inlineStr">
        <is>
          <t>A 23394-2025</t>
        </is>
      </c>
      <c r="B320" s="1" t="n">
        <v>45791.89865740741</v>
      </c>
      <c r="C320" s="1" t="n">
        <v>45887</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47063-2022</t>
        </is>
      </c>
      <c r="B321" s="1" t="n">
        <v>44852</v>
      </c>
      <c r="C321" s="1" t="n">
        <v>45887</v>
      </c>
      <c r="D321" t="inlineStr">
        <is>
          <t>KALMAR LÄN</t>
        </is>
      </c>
      <c r="E321" t="inlineStr">
        <is>
          <t>VIMMERBY</t>
        </is>
      </c>
      <c r="G321" t="n">
        <v>2.5</v>
      </c>
      <c r="H321" t="n">
        <v>0</v>
      </c>
      <c r="I321" t="n">
        <v>0</v>
      </c>
      <c r="J321" t="n">
        <v>0</v>
      </c>
      <c r="K321" t="n">
        <v>0</v>
      </c>
      <c r="L321" t="n">
        <v>0</v>
      </c>
      <c r="M321" t="n">
        <v>0</v>
      </c>
      <c r="N321" t="n">
        <v>0</v>
      </c>
      <c r="O321" t="n">
        <v>0</v>
      </c>
      <c r="P321" t="n">
        <v>0</v>
      </c>
      <c r="Q321" t="n">
        <v>0</v>
      </c>
      <c r="R321" s="2" t="inlineStr"/>
    </row>
    <row r="322" ht="15" customHeight="1">
      <c r="A322" t="inlineStr">
        <is>
          <t>A 12819-2024</t>
        </is>
      </c>
      <c r="B322" s="1" t="n">
        <v>45384.66917824074</v>
      </c>
      <c r="C322" s="1" t="n">
        <v>45887</v>
      </c>
      <c r="D322" t="inlineStr">
        <is>
          <t>KALMAR LÄN</t>
        </is>
      </c>
      <c r="E322" t="inlineStr">
        <is>
          <t>VIMMERBY</t>
        </is>
      </c>
      <c r="G322" t="n">
        <v>5.1</v>
      </c>
      <c r="H322" t="n">
        <v>0</v>
      </c>
      <c r="I322" t="n">
        <v>0</v>
      </c>
      <c r="J322" t="n">
        <v>0</v>
      </c>
      <c r="K322" t="n">
        <v>0</v>
      </c>
      <c r="L322" t="n">
        <v>0</v>
      </c>
      <c r="M322" t="n">
        <v>0</v>
      </c>
      <c r="N322" t="n">
        <v>0</v>
      </c>
      <c r="O322" t="n">
        <v>0</v>
      </c>
      <c r="P322" t="n">
        <v>0</v>
      </c>
      <c r="Q322" t="n">
        <v>0</v>
      </c>
      <c r="R322" s="2" t="inlineStr"/>
    </row>
    <row r="323" ht="15" customHeight="1">
      <c r="A323" t="inlineStr">
        <is>
          <t>A 58159-2024</t>
        </is>
      </c>
      <c r="B323" s="1" t="n">
        <v>45632.44886574074</v>
      </c>
      <c r="C323" s="1" t="n">
        <v>45887</v>
      </c>
      <c r="D323" t="inlineStr">
        <is>
          <t>KALMAR LÄN</t>
        </is>
      </c>
      <c r="E323" t="inlineStr">
        <is>
          <t>VIMMERBY</t>
        </is>
      </c>
      <c r="G323" t="n">
        <v>7.5</v>
      </c>
      <c r="H323" t="n">
        <v>0</v>
      </c>
      <c r="I323" t="n">
        <v>0</v>
      </c>
      <c r="J323" t="n">
        <v>0</v>
      </c>
      <c r="K323" t="n">
        <v>0</v>
      </c>
      <c r="L323" t="n">
        <v>0</v>
      </c>
      <c r="M323" t="n">
        <v>0</v>
      </c>
      <c r="N323" t="n">
        <v>0</v>
      </c>
      <c r="O323" t="n">
        <v>0</v>
      </c>
      <c r="P323" t="n">
        <v>0</v>
      </c>
      <c r="Q323" t="n">
        <v>0</v>
      </c>
      <c r="R323" s="2" t="inlineStr"/>
    </row>
    <row r="324" ht="15" customHeight="1">
      <c r="A324" t="inlineStr">
        <is>
          <t>A 14359-2025</t>
        </is>
      </c>
      <c r="B324" s="1" t="n">
        <v>45741.37270833334</v>
      </c>
      <c r="C324" s="1" t="n">
        <v>45887</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39578-2024</t>
        </is>
      </c>
      <c r="B325" s="1" t="n">
        <v>45552.36484953704</v>
      </c>
      <c r="C325" s="1" t="n">
        <v>45887</v>
      </c>
      <c r="D325" t="inlineStr">
        <is>
          <t>KALMAR LÄN</t>
        </is>
      </c>
      <c r="E325" t="inlineStr">
        <is>
          <t>VIMMERBY</t>
        </is>
      </c>
      <c r="G325" t="n">
        <v>1.5</v>
      </c>
      <c r="H325" t="n">
        <v>0</v>
      </c>
      <c r="I325" t="n">
        <v>0</v>
      </c>
      <c r="J325" t="n">
        <v>0</v>
      </c>
      <c r="K325" t="n">
        <v>0</v>
      </c>
      <c r="L325" t="n">
        <v>0</v>
      </c>
      <c r="M325" t="n">
        <v>0</v>
      </c>
      <c r="N325" t="n">
        <v>0</v>
      </c>
      <c r="O325" t="n">
        <v>0</v>
      </c>
      <c r="P325" t="n">
        <v>0</v>
      </c>
      <c r="Q325" t="n">
        <v>0</v>
      </c>
      <c r="R325" s="2" t="inlineStr"/>
    </row>
    <row r="326" ht="15" customHeight="1">
      <c r="A326" t="inlineStr">
        <is>
          <t>A 62779-2023</t>
        </is>
      </c>
      <c r="B326" s="1" t="n">
        <v>45271.66576388889</v>
      </c>
      <c r="C326" s="1" t="n">
        <v>45887</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23984-2025</t>
        </is>
      </c>
      <c r="B327" s="1" t="n">
        <v>45796</v>
      </c>
      <c r="C327" s="1" t="n">
        <v>45887</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31382-2023</t>
        </is>
      </c>
      <c r="B328" s="1" t="n">
        <v>45114.55136574074</v>
      </c>
      <c r="C328" s="1" t="n">
        <v>45887</v>
      </c>
      <c r="D328" t="inlineStr">
        <is>
          <t>KALMAR LÄN</t>
        </is>
      </c>
      <c r="E328" t="inlineStr">
        <is>
          <t>VIMMERBY</t>
        </is>
      </c>
      <c r="G328" t="n">
        <v>3.7</v>
      </c>
      <c r="H328" t="n">
        <v>0</v>
      </c>
      <c r="I328" t="n">
        <v>0</v>
      </c>
      <c r="J328" t="n">
        <v>0</v>
      </c>
      <c r="K328" t="n">
        <v>0</v>
      </c>
      <c r="L328" t="n">
        <v>0</v>
      </c>
      <c r="M328" t="n">
        <v>0</v>
      </c>
      <c r="N328" t="n">
        <v>0</v>
      </c>
      <c r="O328" t="n">
        <v>0</v>
      </c>
      <c r="P328" t="n">
        <v>0</v>
      </c>
      <c r="Q328" t="n">
        <v>0</v>
      </c>
      <c r="R328" s="2" t="inlineStr"/>
    </row>
    <row r="329" ht="15" customHeight="1">
      <c r="A329" t="inlineStr">
        <is>
          <t>A 11073-2023</t>
        </is>
      </c>
      <c r="B329" s="1" t="n">
        <v>44992</v>
      </c>
      <c r="C329" s="1" t="n">
        <v>45887</v>
      </c>
      <c r="D329" t="inlineStr">
        <is>
          <t>KALMAR LÄN</t>
        </is>
      </c>
      <c r="E329" t="inlineStr">
        <is>
          <t>VIMMERBY</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46399-2024</t>
        </is>
      </c>
      <c r="B330" s="1" t="n">
        <v>45582.41200231481</v>
      </c>
      <c r="C330" s="1" t="n">
        <v>45887</v>
      </c>
      <c r="D330" t="inlineStr">
        <is>
          <t>KALMAR LÄN</t>
        </is>
      </c>
      <c r="E330" t="inlineStr">
        <is>
          <t>VIMMERBY</t>
        </is>
      </c>
      <c r="G330" t="n">
        <v>4.6</v>
      </c>
      <c r="H330" t="n">
        <v>0</v>
      </c>
      <c r="I330" t="n">
        <v>0</v>
      </c>
      <c r="J330" t="n">
        <v>0</v>
      </c>
      <c r="K330" t="n">
        <v>0</v>
      </c>
      <c r="L330" t="n">
        <v>0</v>
      </c>
      <c r="M330" t="n">
        <v>0</v>
      </c>
      <c r="N330" t="n">
        <v>0</v>
      </c>
      <c r="O330" t="n">
        <v>0</v>
      </c>
      <c r="P330" t="n">
        <v>0</v>
      </c>
      <c r="Q330" t="n">
        <v>0</v>
      </c>
      <c r="R330" s="2" t="inlineStr"/>
    </row>
    <row r="331" ht="15" customHeight="1">
      <c r="A331" t="inlineStr">
        <is>
          <t>A 3425-2022</t>
        </is>
      </c>
      <c r="B331" s="1" t="n">
        <v>44585.51060185185</v>
      </c>
      <c r="C331" s="1" t="n">
        <v>45887</v>
      </c>
      <c r="D331" t="inlineStr">
        <is>
          <t>KALMAR LÄN</t>
        </is>
      </c>
      <c r="E331" t="inlineStr">
        <is>
          <t>VIMMERBY</t>
        </is>
      </c>
      <c r="G331" t="n">
        <v>1.3</v>
      </c>
      <c r="H331" t="n">
        <v>0</v>
      </c>
      <c r="I331" t="n">
        <v>0</v>
      </c>
      <c r="J331" t="n">
        <v>0</v>
      </c>
      <c r="K331" t="n">
        <v>0</v>
      </c>
      <c r="L331" t="n">
        <v>0</v>
      </c>
      <c r="M331" t="n">
        <v>0</v>
      </c>
      <c r="N331" t="n">
        <v>0</v>
      </c>
      <c r="O331" t="n">
        <v>0</v>
      </c>
      <c r="P331" t="n">
        <v>0</v>
      </c>
      <c r="Q331" t="n">
        <v>0</v>
      </c>
      <c r="R331" s="2" t="inlineStr"/>
    </row>
    <row r="332" ht="15" customHeight="1">
      <c r="A332" t="inlineStr">
        <is>
          <t>A 43962-2024</t>
        </is>
      </c>
      <c r="B332" s="1" t="n">
        <v>45572.48293981481</v>
      </c>
      <c r="C332" s="1" t="n">
        <v>45887</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12810-2023</t>
        </is>
      </c>
      <c r="B333" s="1" t="n">
        <v>45001.43854166667</v>
      </c>
      <c r="C333" s="1" t="n">
        <v>45887</v>
      </c>
      <c r="D333" t="inlineStr">
        <is>
          <t>KALMAR LÄN</t>
        </is>
      </c>
      <c r="E333" t="inlineStr">
        <is>
          <t>VIMMERBY</t>
        </is>
      </c>
      <c r="G333" t="n">
        <v>1.5</v>
      </c>
      <c r="H333" t="n">
        <v>0</v>
      </c>
      <c r="I333" t="n">
        <v>0</v>
      </c>
      <c r="J333" t="n">
        <v>0</v>
      </c>
      <c r="K333" t="n">
        <v>0</v>
      </c>
      <c r="L333" t="n">
        <v>0</v>
      </c>
      <c r="M333" t="n">
        <v>0</v>
      </c>
      <c r="N333" t="n">
        <v>0</v>
      </c>
      <c r="O333" t="n">
        <v>0</v>
      </c>
      <c r="P333" t="n">
        <v>0</v>
      </c>
      <c r="Q333" t="n">
        <v>0</v>
      </c>
      <c r="R333" s="2" t="inlineStr"/>
    </row>
    <row r="334" ht="15" customHeight="1">
      <c r="A334" t="inlineStr">
        <is>
          <t>A 43068-2023</t>
        </is>
      </c>
      <c r="B334" s="1" t="n">
        <v>45182.78834490741</v>
      </c>
      <c r="C334" s="1" t="n">
        <v>45887</v>
      </c>
      <c r="D334" t="inlineStr">
        <is>
          <t>KALMAR LÄN</t>
        </is>
      </c>
      <c r="E334" t="inlineStr">
        <is>
          <t>VIMMERBY</t>
        </is>
      </c>
      <c r="G334" t="n">
        <v>1.5</v>
      </c>
      <c r="H334" t="n">
        <v>0</v>
      </c>
      <c r="I334" t="n">
        <v>0</v>
      </c>
      <c r="J334" t="n">
        <v>0</v>
      </c>
      <c r="K334" t="n">
        <v>0</v>
      </c>
      <c r="L334" t="n">
        <v>0</v>
      </c>
      <c r="M334" t="n">
        <v>0</v>
      </c>
      <c r="N334" t="n">
        <v>0</v>
      </c>
      <c r="O334" t="n">
        <v>0</v>
      </c>
      <c r="P334" t="n">
        <v>0</v>
      </c>
      <c r="Q334" t="n">
        <v>0</v>
      </c>
      <c r="R334" s="2" t="inlineStr"/>
    </row>
    <row r="335" ht="15" customHeight="1">
      <c r="A335" t="inlineStr">
        <is>
          <t>A 12075-2024</t>
        </is>
      </c>
      <c r="B335" s="1" t="n">
        <v>45377</v>
      </c>
      <c r="C335" s="1" t="n">
        <v>45887</v>
      </c>
      <c r="D335" t="inlineStr">
        <is>
          <t>KALMAR LÄN</t>
        </is>
      </c>
      <c r="E335" t="inlineStr">
        <is>
          <t>VIMMERBY</t>
        </is>
      </c>
      <c r="G335" t="n">
        <v>3.7</v>
      </c>
      <c r="H335" t="n">
        <v>0</v>
      </c>
      <c r="I335" t="n">
        <v>0</v>
      </c>
      <c r="J335" t="n">
        <v>0</v>
      </c>
      <c r="K335" t="n">
        <v>0</v>
      </c>
      <c r="L335" t="n">
        <v>0</v>
      </c>
      <c r="M335" t="n">
        <v>0</v>
      </c>
      <c r="N335" t="n">
        <v>0</v>
      </c>
      <c r="O335" t="n">
        <v>0</v>
      </c>
      <c r="P335" t="n">
        <v>0</v>
      </c>
      <c r="Q335" t="n">
        <v>0</v>
      </c>
      <c r="R335" s="2" t="inlineStr"/>
    </row>
    <row r="336" ht="15" customHeight="1">
      <c r="A336" t="inlineStr">
        <is>
          <t>A 51278-2024</t>
        </is>
      </c>
      <c r="B336" s="1" t="n">
        <v>45603.74959490741</v>
      </c>
      <c r="C336" s="1" t="n">
        <v>45887</v>
      </c>
      <c r="D336" t="inlineStr">
        <is>
          <t>KALMAR LÄN</t>
        </is>
      </c>
      <c r="E336" t="inlineStr">
        <is>
          <t>VIMMERBY</t>
        </is>
      </c>
      <c r="G336" t="n">
        <v>3.4</v>
      </c>
      <c r="H336" t="n">
        <v>0</v>
      </c>
      <c r="I336" t="n">
        <v>0</v>
      </c>
      <c r="J336" t="n">
        <v>0</v>
      </c>
      <c r="K336" t="n">
        <v>0</v>
      </c>
      <c r="L336" t="n">
        <v>0</v>
      </c>
      <c r="M336" t="n">
        <v>0</v>
      </c>
      <c r="N336" t="n">
        <v>0</v>
      </c>
      <c r="O336" t="n">
        <v>0</v>
      </c>
      <c r="P336" t="n">
        <v>0</v>
      </c>
      <c r="Q336" t="n">
        <v>0</v>
      </c>
      <c r="R336" s="2" t="inlineStr"/>
    </row>
    <row r="337" ht="15" customHeight="1">
      <c r="A337" t="inlineStr">
        <is>
          <t>A 1799-2025</t>
        </is>
      </c>
      <c r="B337" s="1" t="n">
        <v>45671.46746527778</v>
      </c>
      <c r="C337" s="1" t="n">
        <v>45887</v>
      </c>
      <c r="D337" t="inlineStr">
        <is>
          <t>KALMAR LÄN</t>
        </is>
      </c>
      <c r="E337" t="inlineStr">
        <is>
          <t>VIMMERBY</t>
        </is>
      </c>
      <c r="G337" t="n">
        <v>3.3</v>
      </c>
      <c r="H337" t="n">
        <v>0</v>
      </c>
      <c r="I337" t="n">
        <v>0</v>
      </c>
      <c r="J337" t="n">
        <v>0</v>
      </c>
      <c r="K337" t="n">
        <v>0</v>
      </c>
      <c r="L337" t="n">
        <v>0</v>
      </c>
      <c r="M337" t="n">
        <v>0</v>
      </c>
      <c r="N337" t="n">
        <v>0</v>
      </c>
      <c r="O337" t="n">
        <v>0</v>
      </c>
      <c r="P337" t="n">
        <v>0</v>
      </c>
      <c r="Q337" t="n">
        <v>0</v>
      </c>
      <c r="R337" s="2" t="inlineStr"/>
    </row>
    <row r="338" ht="15" customHeight="1">
      <c r="A338" t="inlineStr">
        <is>
          <t>A 10835-2025</t>
        </is>
      </c>
      <c r="B338" s="1" t="n">
        <v>45722.56731481481</v>
      </c>
      <c r="C338" s="1" t="n">
        <v>45887</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35082-2024</t>
        </is>
      </c>
      <c r="B339" s="1" t="n">
        <v>45527.68784722222</v>
      </c>
      <c r="C339" s="1" t="n">
        <v>45887</v>
      </c>
      <c r="D339" t="inlineStr">
        <is>
          <t>KALMAR LÄN</t>
        </is>
      </c>
      <c r="E339" t="inlineStr">
        <is>
          <t>VIMMERBY</t>
        </is>
      </c>
      <c r="G339" t="n">
        <v>0.8</v>
      </c>
      <c r="H339" t="n">
        <v>0</v>
      </c>
      <c r="I339" t="n">
        <v>0</v>
      </c>
      <c r="J339" t="n">
        <v>0</v>
      </c>
      <c r="K339" t="n">
        <v>0</v>
      </c>
      <c r="L339" t="n">
        <v>0</v>
      </c>
      <c r="M339" t="n">
        <v>0</v>
      </c>
      <c r="N339" t="n">
        <v>0</v>
      </c>
      <c r="O339" t="n">
        <v>0</v>
      </c>
      <c r="P339" t="n">
        <v>0</v>
      </c>
      <c r="Q339" t="n">
        <v>0</v>
      </c>
      <c r="R339" s="2" t="inlineStr"/>
    </row>
    <row r="340" ht="15" customHeight="1">
      <c r="A340" t="inlineStr">
        <is>
          <t>A 2462-2022</t>
        </is>
      </c>
      <c r="B340" s="1" t="n">
        <v>44579.62225694444</v>
      </c>
      <c r="C340" s="1" t="n">
        <v>45887</v>
      </c>
      <c r="D340" t="inlineStr">
        <is>
          <t>KALMAR LÄN</t>
        </is>
      </c>
      <c r="E340" t="inlineStr">
        <is>
          <t>VIMMERBY</t>
        </is>
      </c>
      <c r="G340" t="n">
        <v>1.1</v>
      </c>
      <c r="H340" t="n">
        <v>0</v>
      </c>
      <c r="I340" t="n">
        <v>0</v>
      </c>
      <c r="J340" t="n">
        <v>0</v>
      </c>
      <c r="K340" t="n">
        <v>0</v>
      </c>
      <c r="L340" t="n">
        <v>0</v>
      </c>
      <c r="M340" t="n">
        <v>0</v>
      </c>
      <c r="N340" t="n">
        <v>0</v>
      </c>
      <c r="O340" t="n">
        <v>0</v>
      </c>
      <c r="P340" t="n">
        <v>0</v>
      </c>
      <c r="Q340" t="n">
        <v>0</v>
      </c>
      <c r="R340" s="2" t="inlineStr"/>
    </row>
    <row r="341" ht="15" customHeight="1">
      <c r="A341" t="inlineStr">
        <is>
          <t>A 44582-2024</t>
        </is>
      </c>
      <c r="B341" s="1" t="n">
        <v>45574.49298611111</v>
      </c>
      <c r="C341" s="1" t="n">
        <v>45887</v>
      </c>
      <c r="D341" t="inlineStr">
        <is>
          <t>KALMAR LÄN</t>
        </is>
      </c>
      <c r="E341" t="inlineStr">
        <is>
          <t>VIMMERBY</t>
        </is>
      </c>
      <c r="G341" t="n">
        <v>1.1</v>
      </c>
      <c r="H341" t="n">
        <v>0</v>
      </c>
      <c r="I341" t="n">
        <v>0</v>
      </c>
      <c r="J341" t="n">
        <v>0</v>
      </c>
      <c r="K341" t="n">
        <v>0</v>
      </c>
      <c r="L341" t="n">
        <v>0</v>
      </c>
      <c r="M341" t="n">
        <v>0</v>
      </c>
      <c r="N341" t="n">
        <v>0</v>
      </c>
      <c r="O341" t="n">
        <v>0</v>
      </c>
      <c r="P341" t="n">
        <v>0</v>
      </c>
      <c r="Q341" t="n">
        <v>0</v>
      </c>
      <c r="R341" s="2" t="inlineStr"/>
    </row>
    <row r="342" ht="15" customHeight="1">
      <c r="A342" t="inlineStr">
        <is>
          <t>A 9456-2025</t>
        </is>
      </c>
      <c r="B342" s="1" t="n">
        <v>45715.44159722222</v>
      </c>
      <c r="C342" s="1" t="n">
        <v>45887</v>
      </c>
      <c r="D342" t="inlineStr">
        <is>
          <t>KALMAR LÄN</t>
        </is>
      </c>
      <c r="E342" t="inlineStr">
        <is>
          <t>VIMMERBY</t>
        </is>
      </c>
      <c r="G342" t="n">
        <v>1.5</v>
      </c>
      <c r="H342" t="n">
        <v>0</v>
      </c>
      <c r="I342" t="n">
        <v>0</v>
      </c>
      <c r="J342" t="n">
        <v>0</v>
      </c>
      <c r="K342" t="n">
        <v>0</v>
      </c>
      <c r="L342" t="n">
        <v>0</v>
      </c>
      <c r="M342" t="n">
        <v>0</v>
      </c>
      <c r="N342" t="n">
        <v>0</v>
      </c>
      <c r="O342" t="n">
        <v>0</v>
      </c>
      <c r="P342" t="n">
        <v>0</v>
      </c>
      <c r="Q342" t="n">
        <v>0</v>
      </c>
      <c r="R342" s="2" t="inlineStr"/>
    </row>
    <row r="343" ht="15" customHeight="1">
      <c r="A343" t="inlineStr">
        <is>
          <t>A 11111-2023</t>
        </is>
      </c>
      <c r="B343" s="1" t="n">
        <v>44992.4255787037</v>
      </c>
      <c r="C343" s="1" t="n">
        <v>45887</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13015-2022</t>
        </is>
      </c>
      <c r="B344" s="1" t="n">
        <v>44643</v>
      </c>
      <c r="C344" s="1" t="n">
        <v>45887</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34106-2025</t>
        </is>
      </c>
      <c r="B345" s="1" t="n">
        <v>45845.49414351852</v>
      </c>
      <c r="C345" s="1" t="n">
        <v>45887</v>
      </c>
      <c r="D345" t="inlineStr">
        <is>
          <t>KALMAR LÄN</t>
        </is>
      </c>
      <c r="E345" t="inlineStr">
        <is>
          <t>VIMMERBY</t>
        </is>
      </c>
      <c r="G345" t="n">
        <v>6</v>
      </c>
      <c r="H345" t="n">
        <v>0</v>
      </c>
      <c r="I345" t="n">
        <v>0</v>
      </c>
      <c r="J345" t="n">
        <v>0</v>
      </c>
      <c r="K345" t="n">
        <v>0</v>
      </c>
      <c r="L345" t="n">
        <v>0</v>
      </c>
      <c r="M345" t="n">
        <v>0</v>
      </c>
      <c r="N345" t="n">
        <v>0</v>
      </c>
      <c r="O345" t="n">
        <v>0</v>
      </c>
      <c r="P345" t="n">
        <v>0</v>
      </c>
      <c r="Q345" t="n">
        <v>0</v>
      </c>
      <c r="R345" s="2" t="inlineStr"/>
    </row>
    <row r="346" ht="15" customHeight="1">
      <c r="A346" t="inlineStr">
        <is>
          <t>A 58724-2024</t>
        </is>
      </c>
      <c r="B346" s="1" t="n">
        <v>45635.66409722222</v>
      </c>
      <c r="C346" s="1" t="n">
        <v>45887</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34071-2025</t>
        </is>
      </c>
      <c r="B347" s="1" t="n">
        <v>45845.43803240741</v>
      </c>
      <c r="C347" s="1" t="n">
        <v>45887</v>
      </c>
      <c r="D347" t="inlineStr">
        <is>
          <t>KALMAR LÄN</t>
        </is>
      </c>
      <c r="E347" t="inlineStr">
        <is>
          <t>VIMMERBY</t>
        </is>
      </c>
      <c r="G347" t="n">
        <v>6.8</v>
      </c>
      <c r="H347" t="n">
        <v>0</v>
      </c>
      <c r="I347" t="n">
        <v>0</v>
      </c>
      <c r="J347" t="n">
        <v>0</v>
      </c>
      <c r="K347" t="n">
        <v>0</v>
      </c>
      <c r="L347" t="n">
        <v>0</v>
      </c>
      <c r="M347" t="n">
        <v>0</v>
      </c>
      <c r="N347" t="n">
        <v>0</v>
      </c>
      <c r="O347" t="n">
        <v>0</v>
      </c>
      <c r="P347" t="n">
        <v>0</v>
      </c>
      <c r="Q347" t="n">
        <v>0</v>
      </c>
      <c r="R347" s="2" t="inlineStr"/>
    </row>
    <row r="348" ht="15" customHeight="1">
      <c r="A348" t="inlineStr">
        <is>
          <t>A 4624-2024</t>
        </is>
      </c>
      <c r="B348" s="1" t="n">
        <v>45328.38755787037</v>
      </c>
      <c r="C348" s="1" t="n">
        <v>45887</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9129-2025</t>
        </is>
      </c>
      <c r="B349" s="1" t="n">
        <v>45713.92412037037</v>
      </c>
      <c r="C349" s="1" t="n">
        <v>45887</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15494-2024</t>
        </is>
      </c>
      <c r="B350" s="1" t="n">
        <v>45401.53033564815</v>
      </c>
      <c r="C350" s="1" t="n">
        <v>45887</v>
      </c>
      <c r="D350" t="inlineStr">
        <is>
          <t>KALMAR LÄN</t>
        </is>
      </c>
      <c r="E350" t="inlineStr">
        <is>
          <t>VIMMERBY</t>
        </is>
      </c>
      <c r="G350" t="n">
        <v>3.2</v>
      </c>
      <c r="H350" t="n">
        <v>0</v>
      </c>
      <c r="I350" t="n">
        <v>0</v>
      </c>
      <c r="J350" t="n">
        <v>0</v>
      </c>
      <c r="K350" t="n">
        <v>0</v>
      </c>
      <c r="L350" t="n">
        <v>0</v>
      </c>
      <c r="M350" t="n">
        <v>0</v>
      </c>
      <c r="N350" t="n">
        <v>0</v>
      </c>
      <c r="O350" t="n">
        <v>0</v>
      </c>
      <c r="P350" t="n">
        <v>0</v>
      </c>
      <c r="Q350" t="n">
        <v>0</v>
      </c>
      <c r="R350" s="2" t="inlineStr"/>
    </row>
    <row r="351" ht="15" customHeight="1">
      <c r="A351" t="inlineStr">
        <is>
          <t>A 26039-2025</t>
        </is>
      </c>
      <c r="B351" s="1" t="n">
        <v>45804.6953587963</v>
      </c>
      <c r="C351" s="1" t="n">
        <v>45887</v>
      </c>
      <c r="D351" t="inlineStr">
        <is>
          <t>KALMAR LÄN</t>
        </is>
      </c>
      <c r="E351" t="inlineStr">
        <is>
          <t>VIMMERBY</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26046-2025</t>
        </is>
      </c>
      <c r="B352" s="1" t="n">
        <v>45804.708125</v>
      </c>
      <c r="C352" s="1" t="n">
        <v>45887</v>
      </c>
      <c r="D352" t="inlineStr">
        <is>
          <t>KALMAR LÄN</t>
        </is>
      </c>
      <c r="E352" t="inlineStr">
        <is>
          <t>VIMMERBY</t>
        </is>
      </c>
      <c r="F352" t="inlineStr">
        <is>
          <t>Sveaskog</t>
        </is>
      </c>
      <c r="G352" t="n">
        <v>5.1</v>
      </c>
      <c r="H352" t="n">
        <v>0</v>
      </c>
      <c r="I352" t="n">
        <v>0</v>
      </c>
      <c r="J352" t="n">
        <v>0</v>
      </c>
      <c r="K352" t="n">
        <v>0</v>
      </c>
      <c r="L352" t="n">
        <v>0</v>
      </c>
      <c r="M352" t="n">
        <v>0</v>
      </c>
      <c r="N352" t="n">
        <v>0</v>
      </c>
      <c r="O352" t="n">
        <v>0</v>
      </c>
      <c r="P352" t="n">
        <v>0</v>
      </c>
      <c r="Q352" t="n">
        <v>0</v>
      </c>
      <c r="R352" s="2" t="inlineStr"/>
    </row>
    <row r="353" ht="15" customHeight="1">
      <c r="A353" t="inlineStr">
        <is>
          <t>A 25792-2025</t>
        </is>
      </c>
      <c r="B353" s="1" t="n">
        <v>45804.39141203704</v>
      </c>
      <c r="C353" s="1" t="n">
        <v>45887</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34060-2025</t>
        </is>
      </c>
      <c r="B354" s="1" t="n">
        <v>45845.42015046296</v>
      </c>
      <c r="C354" s="1" t="n">
        <v>45887</v>
      </c>
      <c r="D354" t="inlineStr">
        <is>
          <t>KALMAR LÄN</t>
        </is>
      </c>
      <c r="E354" t="inlineStr">
        <is>
          <t>VIMMERBY</t>
        </is>
      </c>
      <c r="G354" t="n">
        <v>5.7</v>
      </c>
      <c r="H354" t="n">
        <v>0</v>
      </c>
      <c r="I354" t="n">
        <v>0</v>
      </c>
      <c r="J354" t="n">
        <v>0</v>
      </c>
      <c r="K354" t="n">
        <v>0</v>
      </c>
      <c r="L354" t="n">
        <v>0</v>
      </c>
      <c r="M354" t="n">
        <v>0</v>
      </c>
      <c r="N354" t="n">
        <v>0</v>
      </c>
      <c r="O354" t="n">
        <v>0</v>
      </c>
      <c r="P354" t="n">
        <v>0</v>
      </c>
      <c r="Q354" t="n">
        <v>0</v>
      </c>
      <c r="R354" s="2" t="inlineStr"/>
    </row>
    <row r="355" ht="15" customHeight="1">
      <c r="A355" t="inlineStr">
        <is>
          <t>A 22643-2023</t>
        </is>
      </c>
      <c r="B355" s="1" t="n">
        <v>45071</v>
      </c>
      <c r="C355" s="1" t="n">
        <v>45887</v>
      </c>
      <c r="D355" t="inlineStr">
        <is>
          <t>KALMAR LÄN</t>
        </is>
      </c>
      <c r="E355" t="inlineStr">
        <is>
          <t>VIMMERBY</t>
        </is>
      </c>
      <c r="G355" t="n">
        <v>3.9</v>
      </c>
      <c r="H355" t="n">
        <v>0</v>
      </c>
      <c r="I355" t="n">
        <v>0</v>
      </c>
      <c r="J355" t="n">
        <v>0</v>
      </c>
      <c r="K355" t="n">
        <v>0</v>
      </c>
      <c r="L355" t="n">
        <v>0</v>
      </c>
      <c r="M355" t="n">
        <v>0</v>
      </c>
      <c r="N355" t="n">
        <v>0</v>
      </c>
      <c r="O355" t="n">
        <v>0</v>
      </c>
      <c r="P355" t="n">
        <v>0</v>
      </c>
      <c r="Q355" t="n">
        <v>0</v>
      </c>
      <c r="R355" s="2" t="inlineStr"/>
    </row>
    <row r="356" ht="15" customHeight="1">
      <c r="A356" t="inlineStr">
        <is>
          <t>A 26006-2025</t>
        </is>
      </c>
      <c r="B356" s="1" t="n">
        <v>45804.67065972222</v>
      </c>
      <c r="C356" s="1" t="n">
        <v>45887</v>
      </c>
      <c r="D356" t="inlineStr">
        <is>
          <t>KALMAR LÄN</t>
        </is>
      </c>
      <c r="E356" t="inlineStr">
        <is>
          <t>VIMMERBY</t>
        </is>
      </c>
      <c r="G356" t="n">
        <v>2.7</v>
      </c>
      <c r="H356" t="n">
        <v>0</v>
      </c>
      <c r="I356" t="n">
        <v>0</v>
      </c>
      <c r="J356" t="n">
        <v>0</v>
      </c>
      <c r="K356" t="n">
        <v>0</v>
      </c>
      <c r="L356" t="n">
        <v>0</v>
      </c>
      <c r="M356" t="n">
        <v>0</v>
      </c>
      <c r="N356" t="n">
        <v>0</v>
      </c>
      <c r="O356" t="n">
        <v>0</v>
      </c>
      <c r="P356" t="n">
        <v>0</v>
      </c>
      <c r="Q356" t="n">
        <v>0</v>
      </c>
      <c r="R356" s="2" t="inlineStr"/>
    </row>
    <row r="357" ht="15" customHeight="1">
      <c r="A357" t="inlineStr">
        <is>
          <t>A 25830-2025</t>
        </is>
      </c>
      <c r="B357" s="1" t="n">
        <v>45804.44519675926</v>
      </c>
      <c r="C357" s="1" t="n">
        <v>45887</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26124-2025</t>
        </is>
      </c>
      <c r="B358" s="1" t="n">
        <v>45805.39247685186</v>
      </c>
      <c r="C358" s="1" t="n">
        <v>45887</v>
      </c>
      <c r="D358" t="inlineStr">
        <is>
          <t>KALMAR LÄN</t>
        </is>
      </c>
      <c r="E358" t="inlineStr">
        <is>
          <t>VIMMERBY</t>
        </is>
      </c>
      <c r="G358" t="n">
        <v>6.6</v>
      </c>
      <c r="H358" t="n">
        <v>0</v>
      </c>
      <c r="I358" t="n">
        <v>0</v>
      </c>
      <c r="J358" t="n">
        <v>0</v>
      </c>
      <c r="K358" t="n">
        <v>0</v>
      </c>
      <c r="L358" t="n">
        <v>0</v>
      </c>
      <c r="M358" t="n">
        <v>0</v>
      </c>
      <c r="N358" t="n">
        <v>0</v>
      </c>
      <c r="O358" t="n">
        <v>0</v>
      </c>
      <c r="P358" t="n">
        <v>0</v>
      </c>
      <c r="Q358" t="n">
        <v>0</v>
      </c>
      <c r="R358" s="2" t="inlineStr"/>
    </row>
    <row r="359" ht="15" customHeight="1">
      <c r="A359" t="inlineStr">
        <is>
          <t>A 59955-2023</t>
        </is>
      </c>
      <c r="B359" s="1" t="n">
        <v>45257.70313657408</v>
      </c>
      <c r="C359" s="1" t="n">
        <v>45887</v>
      </c>
      <c r="D359" t="inlineStr">
        <is>
          <t>KALMAR LÄN</t>
        </is>
      </c>
      <c r="E359" t="inlineStr">
        <is>
          <t>VIMMERBY</t>
        </is>
      </c>
      <c r="G359" t="n">
        <v>13.8</v>
      </c>
      <c r="H359" t="n">
        <v>0</v>
      </c>
      <c r="I359" t="n">
        <v>0</v>
      </c>
      <c r="J359" t="n">
        <v>0</v>
      </c>
      <c r="K359" t="n">
        <v>0</v>
      </c>
      <c r="L359" t="n">
        <v>0</v>
      </c>
      <c r="M359" t="n">
        <v>0</v>
      </c>
      <c r="N359" t="n">
        <v>0</v>
      </c>
      <c r="O359" t="n">
        <v>0</v>
      </c>
      <c r="P359" t="n">
        <v>0</v>
      </c>
      <c r="Q359" t="n">
        <v>0</v>
      </c>
      <c r="R359" s="2" t="inlineStr"/>
    </row>
    <row r="360" ht="15" customHeight="1">
      <c r="A360" t="inlineStr">
        <is>
          <t>A 34597-2022</t>
        </is>
      </c>
      <c r="B360" s="1" t="n">
        <v>44795</v>
      </c>
      <c r="C360" s="1" t="n">
        <v>45887</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40079-2023</t>
        </is>
      </c>
      <c r="B361" s="1" t="n">
        <v>45168.89298611111</v>
      </c>
      <c r="C361" s="1" t="n">
        <v>45887</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36802-2021</t>
        </is>
      </c>
      <c r="B362" s="1" t="n">
        <v>44392</v>
      </c>
      <c r="C362" s="1" t="n">
        <v>45887</v>
      </c>
      <c r="D362" t="inlineStr">
        <is>
          <t>KALMAR LÄN</t>
        </is>
      </c>
      <c r="E362" t="inlineStr">
        <is>
          <t>VIMMERBY</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61820-2023</t>
        </is>
      </c>
      <c r="B363" s="1" t="n">
        <v>45266.32614583334</v>
      </c>
      <c r="C363" s="1" t="n">
        <v>45887</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26254-2025</t>
        </is>
      </c>
      <c r="B364" s="1" t="n">
        <v>45805</v>
      </c>
      <c r="C364" s="1" t="n">
        <v>45887</v>
      </c>
      <c r="D364" t="inlineStr">
        <is>
          <t>KALMAR LÄN</t>
        </is>
      </c>
      <c r="E364" t="inlineStr">
        <is>
          <t>VIMMERBY</t>
        </is>
      </c>
      <c r="G364" t="n">
        <v>2</v>
      </c>
      <c r="H364" t="n">
        <v>0</v>
      </c>
      <c r="I364" t="n">
        <v>0</v>
      </c>
      <c r="J364" t="n">
        <v>0</v>
      </c>
      <c r="K364" t="n">
        <v>0</v>
      </c>
      <c r="L364" t="n">
        <v>0</v>
      </c>
      <c r="M364" t="n">
        <v>0</v>
      </c>
      <c r="N364" t="n">
        <v>0</v>
      </c>
      <c r="O364" t="n">
        <v>0</v>
      </c>
      <c r="P364" t="n">
        <v>0</v>
      </c>
      <c r="Q364" t="n">
        <v>0</v>
      </c>
      <c r="R364" s="2" t="inlineStr"/>
    </row>
    <row r="365" ht="15" customHeight="1">
      <c r="A365" t="inlineStr">
        <is>
          <t>A 19833-2023</t>
        </is>
      </c>
      <c r="B365" s="1" t="n">
        <v>45052</v>
      </c>
      <c r="C365" s="1" t="n">
        <v>45887</v>
      </c>
      <c r="D365" t="inlineStr">
        <is>
          <t>KALMAR LÄN</t>
        </is>
      </c>
      <c r="E365" t="inlineStr">
        <is>
          <t>VIMMERBY</t>
        </is>
      </c>
      <c r="G365" t="n">
        <v>6.7</v>
      </c>
      <c r="H365" t="n">
        <v>0</v>
      </c>
      <c r="I365" t="n">
        <v>0</v>
      </c>
      <c r="J365" t="n">
        <v>0</v>
      </c>
      <c r="K365" t="n">
        <v>0</v>
      </c>
      <c r="L365" t="n">
        <v>0</v>
      </c>
      <c r="M365" t="n">
        <v>0</v>
      </c>
      <c r="N365" t="n">
        <v>0</v>
      </c>
      <c r="O365" t="n">
        <v>0</v>
      </c>
      <c r="P365" t="n">
        <v>0</v>
      </c>
      <c r="Q365" t="n">
        <v>0</v>
      </c>
      <c r="R365" s="2" t="inlineStr"/>
    </row>
    <row r="366" ht="15" customHeight="1">
      <c r="A366" t="inlineStr">
        <is>
          <t>A 3269-2024</t>
        </is>
      </c>
      <c r="B366" s="1" t="n">
        <v>45317.40372685185</v>
      </c>
      <c r="C366" s="1" t="n">
        <v>45887</v>
      </c>
      <c r="D366" t="inlineStr">
        <is>
          <t>KALMAR LÄN</t>
        </is>
      </c>
      <c r="E366" t="inlineStr">
        <is>
          <t>VIMMERBY</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39769-2020</t>
        </is>
      </c>
      <c r="B367" s="1" t="n">
        <v>44064</v>
      </c>
      <c r="C367" s="1" t="n">
        <v>45887</v>
      </c>
      <c r="D367" t="inlineStr">
        <is>
          <t>KALMAR LÄN</t>
        </is>
      </c>
      <c r="E367" t="inlineStr">
        <is>
          <t>VIMMERBY</t>
        </is>
      </c>
      <c r="G367" t="n">
        <v>24.6</v>
      </c>
      <c r="H367" t="n">
        <v>0</v>
      </c>
      <c r="I367" t="n">
        <v>0</v>
      </c>
      <c r="J367" t="n">
        <v>0</v>
      </c>
      <c r="K367" t="n">
        <v>0</v>
      </c>
      <c r="L367" t="n">
        <v>0</v>
      </c>
      <c r="M367" t="n">
        <v>0</v>
      </c>
      <c r="N367" t="n">
        <v>0</v>
      </c>
      <c r="O367" t="n">
        <v>0</v>
      </c>
      <c r="P367" t="n">
        <v>0</v>
      </c>
      <c r="Q367" t="n">
        <v>0</v>
      </c>
      <c r="R367" s="2" t="inlineStr"/>
    </row>
    <row r="368" ht="15" customHeight="1">
      <c r="A368" t="inlineStr">
        <is>
          <t>A 2157-2024</t>
        </is>
      </c>
      <c r="B368" s="1" t="n">
        <v>45309.59487268519</v>
      </c>
      <c r="C368" s="1" t="n">
        <v>45887</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9416-2024</t>
        </is>
      </c>
      <c r="B369" s="1" t="n">
        <v>45359.44837962963</v>
      </c>
      <c r="C369" s="1" t="n">
        <v>45887</v>
      </c>
      <c r="D369" t="inlineStr">
        <is>
          <t>KALMAR LÄN</t>
        </is>
      </c>
      <c r="E369" t="inlineStr">
        <is>
          <t>VIMMERBY</t>
        </is>
      </c>
      <c r="G369" t="n">
        <v>3.2</v>
      </c>
      <c r="H369" t="n">
        <v>0</v>
      </c>
      <c r="I369" t="n">
        <v>0</v>
      </c>
      <c r="J369" t="n">
        <v>0</v>
      </c>
      <c r="K369" t="n">
        <v>0</v>
      </c>
      <c r="L369" t="n">
        <v>0</v>
      </c>
      <c r="M369" t="n">
        <v>0</v>
      </c>
      <c r="N369" t="n">
        <v>0</v>
      </c>
      <c r="O369" t="n">
        <v>0</v>
      </c>
      <c r="P369" t="n">
        <v>0</v>
      </c>
      <c r="Q369" t="n">
        <v>0</v>
      </c>
      <c r="R369" s="2" t="inlineStr"/>
    </row>
    <row r="370" ht="15" customHeight="1">
      <c r="A370" t="inlineStr">
        <is>
          <t>A 58318-2021</t>
        </is>
      </c>
      <c r="B370" s="1" t="n">
        <v>44488.35878472222</v>
      </c>
      <c r="C370" s="1" t="n">
        <v>45887</v>
      </c>
      <c r="D370" t="inlineStr">
        <is>
          <t>KALMAR LÄN</t>
        </is>
      </c>
      <c r="E370" t="inlineStr">
        <is>
          <t>VIMMERBY</t>
        </is>
      </c>
      <c r="G370" t="n">
        <v>4</v>
      </c>
      <c r="H370" t="n">
        <v>0</v>
      </c>
      <c r="I370" t="n">
        <v>0</v>
      </c>
      <c r="J370" t="n">
        <v>0</v>
      </c>
      <c r="K370" t="n">
        <v>0</v>
      </c>
      <c r="L370" t="n">
        <v>0</v>
      </c>
      <c r="M370" t="n">
        <v>0</v>
      </c>
      <c r="N370" t="n">
        <v>0</v>
      </c>
      <c r="O370" t="n">
        <v>0</v>
      </c>
      <c r="P370" t="n">
        <v>0</v>
      </c>
      <c r="Q370" t="n">
        <v>0</v>
      </c>
      <c r="R370" s="2" t="inlineStr"/>
    </row>
    <row r="371" ht="15" customHeight="1">
      <c r="A371" t="inlineStr">
        <is>
          <t>A 53083-2021</t>
        </is>
      </c>
      <c r="B371" s="1" t="n">
        <v>44467.83386574074</v>
      </c>
      <c r="C371" s="1" t="n">
        <v>45887</v>
      </c>
      <c r="D371" t="inlineStr">
        <is>
          <t>KALMAR LÄN</t>
        </is>
      </c>
      <c r="E371" t="inlineStr">
        <is>
          <t>VIMMERBY</t>
        </is>
      </c>
      <c r="G371" t="n">
        <v>6.8</v>
      </c>
      <c r="H371" t="n">
        <v>0</v>
      </c>
      <c r="I371" t="n">
        <v>0</v>
      </c>
      <c r="J371" t="n">
        <v>0</v>
      </c>
      <c r="K371" t="n">
        <v>0</v>
      </c>
      <c r="L371" t="n">
        <v>0</v>
      </c>
      <c r="M371" t="n">
        <v>0</v>
      </c>
      <c r="N371" t="n">
        <v>0</v>
      </c>
      <c r="O371" t="n">
        <v>0</v>
      </c>
      <c r="P371" t="n">
        <v>0</v>
      </c>
      <c r="Q371" t="n">
        <v>0</v>
      </c>
      <c r="R371" s="2" t="inlineStr"/>
    </row>
    <row r="372" ht="15" customHeight="1">
      <c r="A372" t="inlineStr">
        <is>
          <t>A 29173-2024</t>
        </is>
      </c>
      <c r="B372" s="1" t="n">
        <v>45482.52887731481</v>
      </c>
      <c r="C372" s="1" t="n">
        <v>45887</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11111-2024</t>
        </is>
      </c>
      <c r="B373" s="1" t="n">
        <v>45371.36359953704</v>
      </c>
      <c r="C373" s="1" t="n">
        <v>45887</v>
      </c>
      <c r="D373" t="inlineStr">
        <is>
          <t>KALMAR LÄN</t>
        </is>
      </c>
      <c r="E373" t="inlineStr">
        <is>
          <t>VIMMERBY</t>
        </is>
      </c>
      <c r="G373" t="n">
        <v>1.4</v>
      </c>
      <c r="H373" t="n">
        <v>0</v>
      </c>
      <c r="I373" t="n">
        <v>0</v>
      </c>
      <c r="J373" t="n">
        <v>0</v>
      </c>
      <c r="K373" t="n">
        <v>0</v>
      </c>
      <c r="L373" t="n">
        <v>0</v>
      </c>
      <c r="M373" t="n">
        <v>0</v>
      </c>
      <c r="N373" t="n">
        <v>0</v>
      </c>
      <c r="O373" t="n">
        <v>0</v>
      </c>
      <c r="P373" t="n">
        <v>0</v>
      </c>
      <c r="Q373" t="n">
        <v>0</v>
      </c>
      <c r="R373" s="2" t="inlineStr"/>
    </row>
    <row r="374" ht="15" customHeight="1">
      <c r="A374" t="inlineStr">
        <is>
          <t>A 11141-2024</t>
        </is>
      </c>
      <c r="B374" s="1" t="n">
        <v>45371.45865740741</v>
      </c>
      <c r="C374" s="1" t="n">
        <v>45887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9418-2024</t>
        </is>
      </c>
      <c r="B375" s="1" t="n">
        <v>45359.45038194444</v>
      </c>
      <c r="C375" s="1" t="n">
        <v>45887</v>
      </c>
      <c r="D375" t="inlineStr">
        <is>
          <t>KALMAR LÄN</t>
        </is>
      </c>
      <c r="E375" t="inlineStr">
        <is>
          <t>VIMMERBY</t>
        </is>
      </c>
      <c r="G375" t="n">
        <v>1.9</v>
      </c>
      <c r="H375" t="n">
        <v>0</v>
      </c>
      <c r="I375" t="n">
        <v>0</v>
      </c>
      <c r="J375" t="n">
        <v>0</v>
      </c>
      <c r="K375" t="n">
        <v>0</v>
      </c>
      <c r="L375" t="n">
        <v>0</v>
      </c>
      <c r="M375" t="n">
        <v>0</v>
      </c>
      <c r="N375" t="n">
        <v>0</v>
      </c>
      <c r="O375" t="n">
        <v>0</v>
      </c>
      <c r="P375" t="n">
        <v>0</v>
      </c>
      <c r="Q375" t="n">
        <v>0</v>
      </c>
      <c r="R375" s="2" t="inlineStr"/>
    </row>
    <row r="376" ht="15" customHeight="1">
      <c r="A376" t="inlineStr">
        <is>
          <t>A 34628-2025</t>
        </is>
      </c>
      <c r="B376" s="1" t="n">
        <v>45847.91280092593</v>
      </c>
      <c r="C376" s="1" t="n">
        <v>45887</v>
      </c>
      <c r="D376" t="inlineStr">
        <is>
          <t>KALMAR LÄN</t>
        </is>
      </c>
      <c r="E376" t="inlineStr">
        <is>
          <t>VIMMERBY</t>
        </is>
      </c>
      <c r="G376" t="n">
        <v>4.2</v>
      </c>
      <c r="H376" t="n">
        <v>0</v>
      </c>
      <c r="I376" t="n">
        <v>0</v>
      </c>
      <c r="J376" t="n">
        <v>0</v>
      </c>
      <c r="K376" t="n">
        <v>0</v>
      </c>
      <c r="L376" t="n">
        <v>0</v>
      </c>
      <c r="M376" t="n">
        <v>0</v>
      </c>
      <c r="N376" t="n">
        <v>0</v>
      </c>
      <c r="O376" t="n">
        <v>0</v>
      </c>
      <c r="P376" t="n">
        <v>0</v>
      </c>
      <c r="Q376" t="n">
        <v>0</v>
      </c>
      <c r="R376" s="2" t="inlineStr"/>
    </row>
    <row r="377" ht="15" customHeight="1">
      <c r="A377" t="inlineStr">
        <is>
          <t>A 49313-2022</t>
        </is>
      </c>
      <c r="B377" s="1" t="n">
        <v>44861.52505787037</v>
      </c>
      <c r="C377" s="1" t="n">
        <v>45887</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35998-2024</t>
        </is>
      </c>
      <c r="B378" s="1" t="n">
        <v>45533.54429398148</v>
      </c>
      <c r="C378" s="1" t="n">
        <v>45887</v>
      </c>
      <c r="D378" t="inlineStr">
        <is>
          <t>KALMAR LÄN</t>
        </is>
      </c>
      <c r="E378" t="inlineStr">
        <is>
          <t>VIMMERBY</t>
        </is>
      </c>
      <c r="G378" t="n">
        <v>8.6</v>
      </c>
      <c r="H378" t="n">
        <v>0</v>
      </c>
      <c r="I378" t="n">
        <v>0</v>
      </c>
      <c r="J378" t="n">
        <v>0</v>
      </c>
      <c r="K378" t="n">
        <v>0</v>
      </c>
      <c r="L378" t="n">
        <v>0</v>
      </c>
      <c r="M378" t="n">
        <v>0</v>
      </c>
      <c r="N378" t="n">
        <v>0</v>
      </c>
      <c r="O378" t="n">
        <v>0</v>
      </c>
      <c r="P378" t="n">
        <v>0</v>
      </c>
      <c r="Q378" t="n">
        <v>0</v>
      </c>
      <c r="R378" s="2" t="inlineStr"/>
    </row>
    <row r="379" ht="15" customHeight="1">
      <c r="A379" t="inlineStr">
        <is>
          <t>A 36040-2024</t>
        </is>
      </c>
      <c r="B379" s="1" t="n">
        <v>45533.60232638889</v>
      </c>
      <c r="C379" s="1" t="n">
        <v>45887</v>
      </c>
      <c r="D379" t="inlineStr">
        <is>
          <t>KALMAR LÄN</t>
        </is>
      </c>
      <c r="E379" t="inlineStr">
        <is>
          <t>VIMMERBY</t>
        </is>
      </c>
      <c r="F379" t="inlineStr">
        <is>
          <t>Kommuner</t>
        </is>
      </c>
      <c r="G379" t="n">
        <v>3.6</v>
      </c>
      <c r="H379" t="n">
        <v>0</v>
      </c>
      <c r="I379" t="n">
        <v>0</v>
      </c>
      <c r="J379" t="n">
        <v>0</v>
      </c>
      <c r="K379" t="n">
        <v>0</v>
      </c>
      <c r="L379" t="n">
        <v>0</v>
      </c>
      <c r="M379" t="n">
        <v>0</v>
      </c>
      <c r="N379" t="n">
        <v>0</v>
      </c>
      <c r="O379" t="n">
        <v>0</v>
      </c>
      <c r="P379" t="n">
        <v>0</v>
      </c>
      <c r="Q379" t="n">
        <v>0</v>
      </c>
      <c r="R379" s="2" t="inlineStr"/>
    </row>
    <row r="380" ht="15" customHeight="1">
      <c r="A380" t="inlineStr">
        <is>
          <t>A 36043-2024</t>
        </is>
      </c>
      <c r="B380" s="1" t="n">
        <v>45533.60770833334</v>
      </c>
      <c r="C380" s="1" t="n">
        <v>45887</v>
      </c>
      <c r="D380" t="inlineStr">
        <is>
          <t>KALMAR LÄN</t>
        </is>
      </c>
      <c r="E380" t="inlineStr">
        <is>
          <t>VIMMERBY</t>
        </is>
      </c>
      <c r="F380" t="inlineStr">
        <is>
          <t>Kommuner</t>
        </is>
      </c>
      <c r="G380" t="n">
        <v>1.5</v>
      </c>
      <c r="H380" t="n">
        <v>0</v>
      </c>
      <c r="I380" t="n">
        <v>0</v>
      </c>
      <c r="J380" t="n">
        <v>0</v>
      </c>
      <c r="K380" t="n">
        <v>0</v>
      </c>
      <c r="L380" t="n">
        <v>0</v>
      </c>
      <c r="M380" t="n">
        <v>0</v>
      </c>
      <c r="N380" t="n">
        <v>0</v>
      </c>
      <c r="O380" t="n">
        <v>0</v>
      </c>
      <c r="P380" t="n">
        <v>0</v>
      </c>
      <c r="Q380" t="n">
        <v>0</v>
      </c>
      <c r="R380" s="2" t="inlineStr"/>
    </row>
    <row r="381" ht="15" customHeight="1">
      <c r="A381" t="inlineStr">
        <is>
          <t>A 26207-2025</t>
        </is>
      </c>
      <c r="B381" s="1" t="n">
        <v>45805.52983796296</v>
      </c>
      <c r="C381" s="1" t="n">
        <v>45887</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17084-2025</t>
        </is>
      </c>
      <c r="B382" s="1" t="n">
        <v>45755.64450231481</v>
      </c>
      <c r="C382" s="1" t="n">
        <v>45887</v>
      </c>
      <c r="D382" t="inlineStr">
        <is>
          <t>KALMAR LÄN</t>
        </is>
      </c>
      <c r="E382" t="inlineStr">
        <is>
          <t>VIMMERBY</t>
        </is>
      </c>
      <c r="G382" t="n">
        <v>1.4</v>
      </c>
      <c r="H382" t="n">
        <v>0</v>
      </c>
      <c r="I382" t="n">
        <v>0</v>
      </c>
      <c r="J382" t="n">
        <v>0</v>
      </c>
      <c r="K382" t="n">
        <v>0</v>
      </c>
      <c r="L382" t="n">
        <v>0</v>
      </c>
      <c r="M382" t="n">
        <v>0</v>
      </c>
      <c r="N382" t="n">
        <v>0</v>
      </c>
      <c r="O382" t="n">
        <v>0</v>
      </c>
      <c r="P382" t="n">
        <v>0</v>
      </c>
      <c r="Q382" t="n">
        <v>0</v>
      </c>
      <c r="R382" s="2" t="inlineStr"/>
    </row>
    <row r="383" ht="15" customHeight="1">
      <c r="A383" t="inlineStr">
        <is>
          <t>A 22197-2024</t>
        </is>
      </c>
      <c r="B383" s="1" t="n">
        <v>45446.36774305555</v>
      </c>
      <c r="C383" s="1" t="n">
        <v>45887</v>
      </c>
      <c r="D383" t="inlineStr">
        <is>
          <t>KALMAR LÄN</t>
        </is>
      </c>
      <c r="E383" t="inlineStr">
        <is>
          <t>VIMMERBY</t>
        </is>
      </c>
      <c r="F383" t="inlineStr">
        <is>
          <t>Sveaskog</t>
        </is>
      </c>
      <c r="G383" t="n">
        <v>3.2</v>
      </c>
      <c r="H383" t="n">
        <v>0</v>
      </c>
      <c r="I383" t="n">
        <v>0</v>
      </c>
      <c r="J383" t="n">
        <v>0</v>
      </c>
      <c r="K383" t="n">
        <v>0</v>
      </c>
      <c r="L383" t="n">
        <v>0</v>
      </c>
      <c r="M383" t="n">
        <v>0</v>
      </c>
      <c r="N383" t="n">
        <v>0</v>
      </c>
      <c r="O383" t="n">
        <v>0</v>
      </c>
      <c r="P383" t="n">
        <v>0</v>
      </c>
      <c r="Q383" t="n">
        <v>0</v>
      </c>
      <c r="R383" s="2" t="inlineStr"/>
    </row>
    <row r="384" ht="15" customHeight="1">
      <c r="A384" t="inlineStr">
        <is>
          <t>A 56022-2024</t>
        </is>
      </c>
      <c r="B384" s="1" t="n">
        <v>45623.95947916667</v>
      </c>
      <c r="C384" s="1" t="n">
        <v>45887</v>
      </c>
      <c r="D384" t="inlineStr">
        <is>
          <t>KALMAR LÄN</t>
        </is>
      </c>
      <c r="E384" t="inlineStr">
        <is>
          <t>VIMMERBY</t>
        </is>
      </c>
      <c r="G384" t="n">
        <v>0.3</v>
      </c>
      <c r="H384" t="n">
        <v>0</v>
      </c>
      <c r="I384" t="n">
        <v>0</v>
      </c>
      <c r="J384" t="n">
        <v>0</v>
      </c>
      <c r="K384" t="n">
        <v>0</v>
      </c>
      <c r="L384" t="n">
        <v>0</v>
      </c>
      <c r="M384" t="n">
        <v>0</v>
      </c>
      <c r="N384" t="n">
        <v>0</v>
      </c>
      <c r="O384" t="n">
        <v>0</v>
      </c>
      <c r="P384" t="n">
        <v>0</v>
      </c>
      <c r="Q384" t="n">
        <v>0</v>
      </c>
      <c r="R384" s="2" t="inlineStr"/>
    </row>
    <row r="385" ht="15" customHeight="1">
      <c r="A385" t="inlineStr">
        <is>
          <t>A 11928-2022</t>
        </is>
      </c>
      <c r="B385" s="1" t="n">
        <v>44635</v>
      </c>
      <c r="C385" s="1" t="n">
        <v>45887</v>
      </c>
      <c r="D385" t="inlineStr">
        <is>
          <t>KALMAR LÄN</t>
        </is>
      </c>
      <c r="E385" t="inlineStr">
        <is>
          <t>VIMMERBY</t>
        </is>
      </c>
      <c r="G385" t="n">
        <v>2.8</v>
      </c>
      <c r="H385" t="n">
        <v>0</v>
      </c>
      <c r="I385" t="n">
        <v>0</v>
      </c>
      <c r="J385" t="n">
        <v>0</v>
      </c>
      <c r="K385" t="n">
        <v>0</v>
      </c>
      <c r="L385" t="n">
        <v>0</v>
      </c>
      <c r="M385" t="n">
        <v>0</v>
      </c>
      <c r="N385" t="n">
        <v>0</v>
      </c>
      <c r="O385" t="n">
        <v>0</v>
      </c>
      <c r="P385" t="n">
        <v>0</v>
      </c>
      <c r="Q385" t="n">
        <v>0</v>
      </c>
      <c r="R385" s="2" t="inlineStr"/>
    </row>
    <row r="386" ht="15" customHeight="1">
      <c r="A386" t="inlineStr">
        <is>
          <t>A 35710-2023</t>
        </is>
      </c>
      <c r="B386" s="1" t="n">
        <v>45147.67096064815</v>
      </c>
      <c r="C386" s="1" t="n">
        <v>45887</v>
      </c>
      <c r="D386" t="inlineStr">
        <is>
          <t>KALMAR LÄN</t>
        </is>
      </c>
      <c r="E386" t="inlineStr">
        <is>
          <t>VIMMERBY</t>
        </is>
      </c>
      <c r="G386" t="n">
        <v>3.1</v>
      </c>
      <c r="H386" t="n">
        <v>0</v>
      </c>
      <c r="I386" t="n">
        <v>0</v>
      </c>
      <c r="J386" t="n">
        <v>0</v>
      </c>
      <c r="K386" t="n">
        <v>0</v>
      </c>
      <c r="L386" t="n">
        <v>0</v>
      </c>
      <c r="M386" t="n">
        <v>0</v>
      </c>
      <c r="N386" t="n">
        <v>0</v>
      </c>
      <c r="O386" t="n">
        <v>0</v>
      </c>
      <c r="P386" t="n">
        <v>0</v>
      </c>
      <c r="Q386" t="n">
        <v>0</v>
      </c>
      <c r="R386" s="2" t="inlineStr"/>
    </row>
    <row r="387" ht="15" customHeight="1">
      <c r="A387" t="inlineStr">
        <is>
          <t>A 35711-2023</t>
        </is>
      </c>
      <c r="B387" s="1" t="n">
        <v>45147.67172453704</v>
      </c>
      <c r="C387" s="1" t="n">
        <v>45887</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39191-2020</t>
        </is>
      </c>
      <c r="B388" s="1" t="n">
        <v>44063</v>
      </c>
      <c r="C388" s="1" t="n">
        <v>45887</v>
      </c>
      <c r="D388" t="inlineStr">
        <is>
          <t>KALMAR LÄN</t>
        </is>
      </c>
      <c r="E388" t="inlineStr">
        <is>
          <t>VIMMERBY</t>
        </is>
      </c>
      <c r="G388" t="n">
        <v>0.5</v>
      </c>
      <c r="H388" t="n">
        <v>0</v>
      </c>
      <c r="I388" t="n">
        <v>0</v>
      </c>
      <c r="J388" t="n">
        <v>0</v>
      </c>
      <c r="K388" t="n">
        <v>0</v>
      </c>
      <c r="L388" t="n">
        <v>0</v>
      </c>
      <c r="M388" t="n">
        <v>0</v>
      </c>
      <c r="N388" t="n">
        <v>0</v>
      </c>
      <c r="O388" t="n">
        <v>0</v>
      </c>
      <c r="P388" t="n">
        <v>0</v>
      </c>
      <c r="Q388" t="n">
        <v>0</v>
      </c>
      <c r="R388" s="2" t="inlineStr"/>
    </row>
    <row r="389" ht="15" customHeight="1">
      <c r="A389" t="inlineStr">
        <is>
          <t>A 5527-2022</t>
        </is>
      </c>
      <c r="B389" s="1" t="n">
        <v>44595.583125</v>
      </c>
      <c r="C389" s="1" t="n">
        <v>45887</v>
      </c>
      <c r="D389" t="inlineStr">
        <is>
          <t>KALMAR LÄN</t>
        </is>
      </c>
      <c r="E389" t="inlineStr">
        <is>
          <t>VIMMERBY</t>
        </is>
      </c>
      <c r="G389" t="n">
        <v>3.6</v>
      </c>
      <c r="H389" t="n">
        <v>0</v>
      </c>
      <c r="I389" t="n">
        <v>0</v>
      </c>
      <c r="J389" t="n">
        <v>0</v>
      </c>
      <c r="K389" t="n">
        <v>0</v>
      </c>
      <c r="L389" t="n">
        <v>0</v>
      </c>
      <c r="M389" t="n">
        <v>0</v>
      </c>
      <c r="N389" t="n">
        <v>0</v>
      </c>
      <c r="O389" t="n">
        <v>0</v>
      </c>
      <c r="P389" t="n">
        <v>0</v>
      </c>
      <c r="Q389" t="n">
        <v>0</v>
      </c>
      <c r="R389" s="2" t="inlineStr"/>
    </row>
    <row r="390" ht="15" customHeight="1">
      <c r="A390" t="inlineStr">
        <is>
          <t>A 49461-2023</t>
        </is>
      </c>
      <c r="B390" s="1" t="n">
        <v>45211.52642361111</v>
      </c>
      <c r="C390" s="1" t="n">
        <v>45887</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49474-2023</t>
        </is>
      </c>
      <c r="B391" s="1" t="n">
        <v>45211.541875</v>
      </c>
      <c r="C391" s="1" t="n">
        <v>45887</v>
      </c>
      <c r="D391" t="inlineStr">
        <is>
          <t>KALMAR LÄN</t>
        </is>
      </c>
      <c r="E391" t="inlineStr">
        <is>
          <t>VIMMERBY</t>
        </is>
      </c>
      <c r="G391" t="n">
        <v>3.6</v>
      </c>
      <c r="H391" t="n">
        <v>0</v>
      </c>
      <c r="I391" t="n">
        <v>0</v>
      </c>
      <c r="J391" t="n">
        <v>0</v>
      </c>
      <c r="K391" t="n">
        <v>0</v>
      </c>
      <c r="L391" t="n">
        <v>0</v>
      </c>
      <c r="M391" t="n">
        <v>0</v>
      </c>
      <c r="N391" t="n">
        <v>0</v>
      </c>
      <c r="O391" t="n">
        <v>0</v>
      </c>
      <c r="P391" t="n">
        <v>0</v>
      </c>
      <c r="Q391" t="n">
        <v>0</v>
      </c>
      <c r="R391" s="2" t="inlineStr"/>
    </row>
    <row r="392" ht="15" customHeight="1">
      <c r="A392" t="inlineStr">
        <is>
          <t>A 61861-2024</t>
        </is>
      </c>
      <c r="B392" s="1" t="n">
        <v>45650.37370370371</v>
      </c>
      <c r="C392" s="1" t="n">
        <v>45887</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45846-2023</t>
        </is>
      </c>
      <c r="B393" s="1" t="n">
        <v>45195.58452546296</v>
      </c>
      <c r="C393" s="1" t="n">
        <v>45887</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8167-2024</t>
        </is>
      </c>
      <c r="B394" s="1" t="n">
        <v>45351.6062962963</v>
      </c>
      <c r="C394" s="1" t="n">
        <v>45887</v>
      </c>
      <c r="D394" t="inlineStr">
        <is>
          <t>KALMAR LÄN</t>
        </is>
      </c>
      <c r="E394" t="inlineStr">
        <is>
          <t>VIMMERBY</t>
        </is>
      </c>
      <c r="G394" t="n">
        <v>3.8</v>
      </c>
      <c r="H394" t="n">
        <v>0</v>
      </c>
      <c r="I394" t="n">
        <v>0</v>
      </c>
      <c r="J394" t="n">
        <v>0</v>
      </c>
      <c r="K394" t="n">
        <v>0</v>
      </c>
      <c r="L394" t="n">
        <v>0</v>
      </c>
      <c r="M394" t="n">
        <v>0</v>
      </c>
      <c r="N394" t="n">
        <v>0</v>
      </c>
      <c r="O394" t="n">
        <v>0</v>
      </c>
      <c r="P394" t="n">
        <v>0</v>
      </c>
      <c r="Q394" t="n">
        <v>0</v>
      </c>
      <c r="R394" s="2" t="inlineStr"/>
    </row>
    <row r="395" ht="15" customHeight="1">
      <c r="A395" t="inlineStr">
        <is>
          <t>A 34588-2024</t>
        </is>
      </c>
      <c r="B395" s="1" t="n">
        <v>45526.3865625</v>
      </c>
      <c r="C395" s="1" t="n">
        <v>45887</v>
      </c>
      <c r="D395" t="inlineStr">
        <is>
          <t>KALMAR LÄN</t>
        </is>
      </c>
      <c r="E395" t="inlineStr">
        <is>
          <t>VIMMERBY</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56659-2023</t>
        </is>
      </c>
      <c r="B396" s="1" t="n">
        <v>45243.84869212963</v>
      </c>
      <c r="C396" s="1" t="n">
        <v>45887</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49382-2023</t>
        </is>
      </c>
      <c r="B397" s="1" t="n">
        <v>45208</v>
      </c>
      <c r="C397" s="1" t="n">
        <v>45887</v>
      </c>
      <c r="D397" t="inlineStr">
        <is>
          <t>KALMAR LÄN</t>
        </is>
      </c>
      <c r="E397" t="inlineStr">
        <is>
          <t>VIMMERBY</t>
        </is>
      </c>
      <c r="G397" t="n">
        <v>2.2</v>
      </c>
      <c r="H397" t="n">
        <v>0</v>
      </c>
      <c r="I397" t="n">
        <v>0</v>
      </c>
      <c r="J397" t="n">
        <v>0</v>
      </c>
      <c r="K397" t="n">
        <v>0</v>
      </c>
      <c r="L397" t="n">
        <v>0</v>
      </c>
      <c r="M397" t="n">
        <v>0</v>
      </c>
      <c r="N397" t="n">
        <v>0</v>
      </c>
      <c r="O397" t="n">
        <v>0</v>
      </c>
      <c r="P397" t="n">
        <v>0</v>
      </c>
      <c r="Q397" t="n">
        <v>0</v>
      </c>
      <c r="R397" s="2" t="inlineStr"/>
    </row>
    <row r="398" ht="15" customHeight="1">
      <c r="A398" t="inlineStr">
        <is>
          <t>A 12121-2025</t>
        </is>
      </c>
      <c r="B398" s="1" t="n">
        <v>45729.36868055556</v>
      </c>
      <c r="C398" s="1" t="n">
        <v>45887</v>
      </c>
      <c r="D398" t="inlineStr">
        <is>
          <t>KALMAR LÄN</t>
        </is>
      </c>
      <c r="E398" t="inlineStr">
        <is>
          <t>VIMMERBY</t>
        </is>
      </c>
      <c r="G398" t="n">
        <v>4.3</v>
      </c>
      <c r="H398" t="n">
        <v>0</v>
      </c>
      <c r="I398" t="n">
        <v>0</v>
      </c>
      <c r="J398" t="n">
        <v>0</v>
      </c>
      <c r="K398" t="n">
        <v>0</v>
      </c>
      <c r="L398" t="n">
        <v>0</v>
      </c>
      <c r="M398" t="n">
        <v>0</v>
      </c>
      <c r="N398" t="n">
        <v>0</v>
      </c>
      <c r="O398" t="n">
        <v>0</v>
      </c>
      <c r="P398" t="n">
        <v>0</v>
      </c>
      <c r="Q398" t="n">
        <v>0</v>
      </c>
      <c r="R398" s="2" t="inlineStr"/>
    </row>
    <row r="399" ht="15" customHeight="1">
      <c r="A399" t="inlineStr">
        <is>
          <t>A 35846-2023</t>
        </is>
      </c>
      <c r="B399" s="1" t="n">
        <v>45148</v>
      </c>
      <c r="C399" s="1" t="n">
        <v>45887</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35913-2023</t>
        </is>
      </c>
      <c r="B400" s="1" t="n">
        <v>45148</v>
      </c>
      <c r="C400" s="1" t="n">
        <v>45887</v>
      </c>
      <c r="D400" t="inlineStr">
        <is>
          <t>KALMAR LÄN</t>
        </is>
      </c>
      <c r="E400" t="inlineStr">
        <is>
          <t>VIMMERBY</t>
        </is>
      </c>
      <c r="G400" t="n">
        <v>6.9</v>
      </c>
      <c r="H400" t="n">
        <v>0</v>
      </c>
      <c r="I400" t="n">
        <v>0</v>
      </c>
      <c r="J400" t="n">
        <v>0</v>
      </c>
      <c r="K400" t="n">
        <v>0</v>
      </c>
      <c r="L400" t="n">
        <v>0</v>
      </c>
      <c r="M400" t="n">
        <v>0</v>
      </c>
      <c r="N400" t="n">
        <v>0</v>
      </c>
      <c r="O400" t="n">
        <v>0</v>
      </c>
      <c r="P400" t="n">
        <v>0</v>
      </c>
      <c r="Q400" t="n">
        <v>0</v>
      </c>
      <c r="R400" s="2" t="inlineStr"/>
    </row>
    <row r="401" ht="15" customHeight="1">
      <c r="A401" t="inlineStr">
        <is>
          <t>A 38757-2023</t>
        </is>
      </c>
      <c r="B401" s="1" t="n">
        <v>45163.41376157408</v>
      </c>
      <c r="C401" s="1" t="n">
        <v>45887</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20136-2024</t>
        </is>
      </c>
      <c r="B402" s="1" t="n">
        <v>45434.56291666667</v>
      </c>
      <c r="C402" s="1" t="n">
        <v>45887</v>
      </c>
      <c r="D402" t="inlineStr">
        <is>
          <t>KALMAR LÄN</t>
        </is>
      </c>
      <c r="E402" t="inlineStr">
        <is>
          <t>VIMMERBY</t>
        </is>
      </c>
      <c r="F402" t="inlineStr">
        <is>
          <t>Sveaskog</t>
        </is>
      </c>
      <c r="G402" t="n">
        <v>8.4</v>
      </c>
      <c r="H402" t="n">
        <v>0</v>
      </c>
      <c r="I402" t="n">
        <v>0</v>
      </c>
      <c r="J402" t="n">
        <v>0</v>
      </c>
      <c r="K402" t="n">
        <v>0</v>
      </c>
      <c r="L402" t="n">
        <v>0</v>
      </c>
      <c r="M402" t="n">
        <v>0</v>
      </c>
      <c r="N402" t="n">
        <v>0</v>
      </c>
      <c r="O402" t="n">
        <v>0</v>
      </c>
      <c r="P402" t="n">
        <v>0</v>
      </c>
      <c r="Q402" t="n">
        <v>0</v>
      </c>
      <c r="R402" s="2" t="inlineStr"/>
    </row>
    <row r="403" ht="15" customHeight="1">
      <c r="A403" t="inlineStr">
        <is>
          <t>A 26609-2025</t>
        </is>
      </c>
      <c r="B403" s="1" t="n">
        <v>45810.00048611111</v>
      </c>
      <c r="C403" s="1" t="n">
        <v>45887</v>
      </c>
      <c r="D403" t="inlineStr">
        <is>
          <t>KALMAR LÄN</t>
        </is>
      </c>
      <c r="E403" t="inlineStr">
        <is>
          <t>VIMMERBY</t>
        </is>
      </c>
      <c r="G403" t="n">
        <v>3.8</v>
      </c>
      <c r="H403" t="n">
        <v>0</v>
      </c>
      <c r="I403" t="n">
        <v>0</v>
      </c>
      <c r="J403" t="n">
        <v>0</v>
      </c>
      <c r="K403" t="n">
        <v>0</v>
      </c>
      <c r="L403" t="n">
        <v>0</v>
      </c>
      <c r="M403" t="n">
        <v>0</v>
      </c>
      <c r="N403" t="n">
        <v>0</v>
      </c>
      <c r="O403" t="n">
        <v>0</v>
      </c>
      <c r="P403" t="n">
        <v>0</v>
      </c>
      <c r="Q403" t="n">
        <v>0</v>
      </c>
      <c r="R403" s="2" t="inlineStr"/>
    </row>
    <row r="404" ht="15" customHeight="1">
      <c r="A404" t="inlineStr">
        <is>
          <t>A 43998-2020</t>
        </is>
      </c>
      <c r="B404" s="1" t="n">
        <v>44083</v>
      </c>
      <c r="C404" s="1" t="n">
        <v>45887</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3331-2023</t>
        </is>
      </c>
      <c r="B405" s="1" t="n">
        <v>44949</v>
      </c>
      <c r="C405" s="1" t="n">
        <v>45887</v>
      </c>
      <c r="D405" t="inlineStr">
        <is>
          <t>KALMAR LÄN</t>
        </is>
      </c>
      <c r="E405" t="inlineStr">
        <is>
          <t>VIMMERBY</t>
        </is>
      </c>
      <c r="G405" t="n">
        <v>6.2</v>
      </c>
      <c r="H405" t="n">
        <v>0</v>
      </c>
      <c r="I405" t="n">
        <v>0</v>
      </c>
      <c r="J405" t="n">
        <v>0</v>
      </c>
      <c r="K405" t="n">
        <v>0</v>
      </c>
      <c r="L405" t="n">
        <v>0</v>
      </c>
      <c r="M405" t="n">
        <v>0</v>
      </c>
      <c r="N405" t="n">
        <v>0</v>
      </c>
      <c r="O405" t="n">
        <v>0</v>
      </c>
      <c r="P405" t="n">
        <v>0</v>
      </c>
      <c r="Q405" t="n">
        <v>0</v>
      </c>
      <c r="R405" s="2" t="inlineStr"/>
    </row>
    <row r="406" ht="15" customHeight="1">
      <c r="A406" t="inlineStr">
        <is>
          <t>A 24283-2023</t>
        </is>
      </c>
      <c r="B406" s="1" t="n">
        <v>45079.87827546296</v>
      </c>
      <c r="C406" s="1" t="n">
        <v>45887</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59598-2023</t>
        </is>
      </c>
      <c r="B407" s="1" t="n">
        <v>45254.62489583333</v>
      </c>
      <c r="C407" s="1" t="n">
        <v>45887</v>
      </c>
      <c r="D407" t="inlineStr">
        <is>
          <t>KALMAR LÄN</t>
        </is>
      </c>
      <c r="E407" t="inlineStr">
        <is>
          <t>VIMMERBY</t>
        </is>
      </c>
      <c r="F407" t="inlineStr">
        <is>
          <t>Övriga Aktiebolag</t>
        </is>
      </c>
      <c r="G407" t="n">
        <v>4</v>
      </c>
      <c r="H407" t="n">
        <v>0</v>
      </c>
      <c r="I407" t="n">
        <v>0</v>
      </c>
      <c r="J407" t="n">
        <v>0</v>
      </c>
      <c r="K407" t="n">
        <v>0</v>
      </c>
      <c r="L407" t="n">
        <v>0</v>
      </c>
      <c r="M407" t="n">
        <v>0</v>
      </c>
      <c r="N407" t="n">
        <v>0</v>
      </c>
      <c r="O407" t="n">
        <v>0</v>
      </c>
      <c r="P407" t="n">
        <v>0</v>
      </c>
      <c r="Q407" t="n">
        <v>0</v>
      </c>
      <c r="R407" s="2" t="inlineStr"/>
    </row>
    <row r="408" ht="15" customHeight="1">
      <c r="A408" t="inlineStr">
        <is>
          <t>A 40828-2023</t>
        </is>
      </c>
      <c r="B408" s="1" t="n">
        <v>45171.96248842592</v>
      </c>
      <c r="C408" s="1" t="n">
        <v>45887</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30920-2023</t>
        </is>
      </c>
      <c r="B409" s="1" t="n">
        <v>45113.43921296296</v>
      </c>
      <c r="C409" s="1" t="n">
        <v>45887</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16734-2023</t>
        </is>
      </c>
      <c r="B410" s="1" t="n">
        <v>45030.71012731481</v>
      </c>
      <c r="C410" s="1" t="n">
        <v>45887</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64143-2021</t>
        </is>
      </c>
      <c r="B411" s="1" t="n">
        <v>44510.52157407408</v>
      </c>
      <c r="C411" s="1" t="n">
        <v>45887</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9720-2023</t>
        </is>
      </c>
      <c r="B412" s="1" t="n">
        <v>44984</v>
      </c>
      <c r="C412" s="1" t="n">
        <v>45887</v>
      </c>
      <c r="D412" t="inlineStr">
        <is>
          <t>KALMAR LÄN</t>
        </is>
      </c>
      <c r="E412" t="inlineStr">
        <is>
          <t>VIMMERBY</t>
        </is>
      </c>
      <c r="G412" t="n">
        <v>4.4</v>
      </c>
      <c r="H412" t="n">
        <v>0</v>
      </c>
      <c r="I412" t="n">
        <v>0</v>
      </c>
      <c r="J412" t="n">
        <v>0</v>
      </c>
      <c r="K412" t="n">
        <v>0</v>
      </c>
      <c r="L412" t="n">
        <v>0</v>
      </c>
      <c r="M412" t="n">
        <v>0</v>
      </c>
      <c r="N412" t="n">
        <v>0</v>
      </c>
      <c r="O412" t="n">
        <v>0</v>
      </c>
      <c r="P412" t="n">
        <v>0</v>
      </c>
      <c r="Q412" t="n">
        <v>0</v>
      </c>
      <c r="R412" s="2" t="inlineStr"/>
    </row>
    <row r="413" ht="15" customHeight="1">
      <c r="A413" t="inlineStr">
        <is>
          <t>A 5938-2022</t>
        </is>
      </c>
      <c r="B413" s="1" t="n">
        <v>44598</v>
      </c>
      <c r="C413" s="1" t="n">
        <v>45887</v>
      </c>
      <c r="D413" t="inlineStr">
        <is>
          <t>KALMAR LÄN</t>
        </is>
      </c>
      <c r="E413" t="inlineStr">
        <is>
          <t>VIMMERBY</t>
        </is>
      </c>
      <c r="G413" t="n">
        <v>2.4</v>
      </c>
      <c r="H413" t="n">
        <v>0</v>
      </c>
      <c r="I413" t="n">
        <v>0</v>
      </c>
      <c r="J413" t="n">
        <v>0</v>
      </c>
      <c r="K413" t="n">
        <v>0</v>
      </c>
      <c r="L413" t="n">
        <v>0</v>
      </c>
      <c r="M413" t="n">
        <v>0</v>
      </c>
      <c r="N413" t="n">
        <v>0</v>
      </c>
      <c r="O413" t="n">
        <v>0</v>
      </c>
      <c r="P413" t="n">
        <v>0</v>
      </c>
      <c r="Q413" t="n">
        <v>0</v>
      </c>
      <c r="R413" s="2" t="inlineStr"/>
    </row>
    <row r="414" ht="15" customHeight="1">
      <c r="A414" t="inlineStr">
        <is>
          <t>A 1687-2023</t>
        </is>
      </c>
      <c r="B414" s="1" t="n">
        <v>44938</v>
      </c>
      <c r="C414" s="1" t="n">
        <v>45887</v>
      </c>
      <c r="D414" t="inlineStr">
        <is>
          <t>KALMAR LÄN</t>
        </is>
      </c>
      <c r="E414" t="inlineStr">
        <is>
          <t>VIMMERBY</t>
        </is>
      </c>
      <c r="F414" t="inlineStr">
        <is>
          <t>Kommuner</t>
        </is>
      </c>
      <c r="G414" t="n">
        <v>2.5</v>
      </c>
      <c r="H414" t="n">
        <v>0</v>
      </c>
      <c r="I414" t="n">
        <v>0</v>
      </c>
      <c r="J414" t="n">
        <v>0</v>
      </c>
      <c r="K414" t="n">
        <v>0</v>
      </c>
      <c r="L414" t="n">
        <v>0</v>
      </c>
      <c r="M414" t="n">
        <v>0</v>
      </c>
      <c r="N414" t="n">
        <v>0</v>
      </c>
      <c r="O414" t="n">
        <v>0</v>
      </c>
      <c r="P414" t="n">
        <v>0</v>
      </c>
      <c r="Q414" t="n">
        <v>0</v>
      </c>
      <c r="R414" s="2" t="inlineStr"/>
    </row>
    <row r="415" ht="15" customHeight="1">
      <c r="A415" t="inlineStr">
        <is>
          <t>A 29440-2024</t>
        </is>
      </c>
      <c r="B415" s="1" t="n">
        <v>45483.82479166667</v>
      </c>
      <c r="C415" s="1" t="n">
        <v>45887</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30921-2024</t>
        </is>
      </c>
      <c r="B416" s="1" t="n">
        <v>45498</v>
      </c>
      <c r="C416" s="1" t="n">
        <v>45887</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35270-2025</t>
        </is>
      </c>
      <c r="B417" s="1" t="n">
        <v>45853.87112268519</v>
      </c>
      <c r="C417" s="1" t="n">
        <v>45887</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53482-2022</t>
        </is>
      </c>
      <c r="B418" s="1" t="n">
        <v>44879</v>
      </c>
      <c r="C418" s="1" t="n">
        <v>45887</v>
      </c>
      <c r="D418" t="inlineStr">
        <is>
          <t>KALMAR LÄN</t>
        </is>
      </c>
      <c r="E418" t="inlineStr">
        <is>
          <t>VIMMERBY</t>
        </is>
      </c>
      <c r="G418" t="n">
        <v>10.1</v>
      </c>
      <c r="H418" t="n">
        <v>0</v>
      </c>
      <c r="I418" t="n">
        <v>0</v>
      </c>
      <c r="J418" t="n">
        <v>0</v>
      </c>
      <c r="K418" t="n">
        <v>0</v>
      </c>
      <c r="L418" t="n">
        <v>0</v>
      </c>
      <c r="M418" t="n">
        <v>0</v>
      </c>
      <c r="N418" t="n">
        <v>0</v>
      </c>
      <c r="O418" t="n">
        <v>0</v>
      </c>
      <c r="P418" t="n">
        <v>0</v>
      </c>
      <c r="Q418" t="n">
        <v>0</v>
      </c>
      <c r="R418" s="2" t="inlineStr"/>
    </row>
    <row r="419" ht="15" customHeight="1">
      <c r="A419" t="inlineStr">
        <is>
          <t>A 26956-2025</t>
        </is>
      </c>
      <c r="B419" s="1" t="n">
        <v>45811.45460648148</v>
      </c>
      <c r="C419" s="1" t="n">
        <v>45887</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27085-2025</t>
        </is>
      </c>
      <c r="B420" s="1" t="n">
        <v>45811.66133101852</v>
      </c>
      <c r="C420" s="1" t="n">
        <v>45887</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40929-2022</t>
        </is>
      </c>
      <c r="B421" s="1" t="n">
        <v>44825.4336574074</v>
      </c>
      <c r="C421" s="1" t="n">
        <v>45887</v>
      </c>
      <c r="D421" t="inlineStr">
        <is>
          <t>KALMAR LÄN</t>
        </is>
      </c>
      <c r="E421" t="inlineStr">
        <is>
          <t>VIMMERBY</t>
        </is>
      </c>
      <c r="G421" t="n">
        <v>2.5</v>
      </c>
      <c r="H421" t="n">
        <v>0</v>
      </c>
      <c r="I421" t="n">
        <v>0</v>
      </c>
      <c r="J421" t="n">
        <v>0</v>
      </c>
      <c r="K421" t="n">
        <v>0</v>
      </c>
      <c r="L421" t="n">
        <v>0</v>
      </c>
      <c r="M421" t="n">
        <v>0</v>
      </c>
      <c r="N421" t="n">
        <v>0</v>
      </c>
      <c r="O421" t="n">
        <v>0</v>
      </c>
      <c r="P421" t="n">
        <v>0</v>
      </c>
      <c r="Q421" t="n">
        <v>0</v>
      </c>
      <c r="R421" s="2" t="inlineStr"/>
    </row>
    <row r="422" ht="15" customHeight="1">
      <c r="A422" t="inlineStr">
        <is>
          <t>A 35271-2025</t>
        </is>
      </c>
      <c r="B422" s="1" t="n">
        <v>45853.87599537037</v>
      </c>
      <c r="C422" s="1" t="n">
        <v>45887</v>
      </c>
      <c r="D422" t="inlineStr">
        <is>
          <t>KALMAR LÄN</t>
        </is>
      </c>
      <c r="E422" t="inlineStr">
        <is>
          <t>VIMMERBY</t>
        </is>
      </c>
      <c r="G422" t="n">
        <v>0.4</v>
      </c>
      <c r="H422" t="n">
        <v>0</v>
      </c>
      <c r="I422" t="n">
        <v>0</v>
      </c>
      <c r="J422" t="n">
        <v>0</v>
      </c>
      <c r="K422" t="n">
        <v>0</v>
      </c>
      <c r="L422" t="n">
        <v>0</v>
      </c>
      <c r="M422" t="n">
        <v>0</v>
      </c>
      <c r="N422" t="n">
        <v>0</v>
      </c>
      <c r="O422" t="n">
        <v>0</v>
      </c>
      <c r="P422" t="n">
        <v>0</v>
      </c>
      <c r="Q422" t="n">
        <v>0</v>
      </c>
      <c r="R422" s="2" t="inlineStr"/>
    </row>
    <row r="423" ht="15" customHeight="1">
      <c r="A423" t="inlineStr">
        <is>
          <t>A 35272-2025</t>
        </is>
      </c>
      <c r="B423" s="1" t="n">
        <v>45853.88070601852</v>
      </c>
      <c r="C423" s="1" t="n">
        <v>45887</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27084-2025</t>
        </is>
      </c>
      <c r="B424" s="1" t="n">
        <v>45811.65975694444</v>
      </c>
      <c r="C424" s="1" t="n">
        <v>45887</v>
      </c>
      <c r="D424" t="inlineStr">
        <is>
          <t>KALMAR LÄN</t>
        </is>
      </c>
      <c r="E424" t="inlineStr">
        <is>
          <t>VIMMERBY</t>
        </is>
      </c>
      <c r="G424" t="n">
        <v>1.4</v>
      </c>
      <c r="H424" t="n">
        <v>0</v>
      </c>
      <c r="I424" t="n">
        <v>0</v>
      </c>
      <c r="J424" t="n">
        <v>0</v>
      </c>
      <c r="K424" t="n">
        <v>0</v>
      </c>
      <c r="L424" t="n">
        <v>0</v>
      </c>
      <c r="M424" t="n">
        <v>0</v>
      </c>
      <c r="N424" t="n">
        <v>0</v>
      </c>
      <c r="O424" t="n">
        <v>0</v>
      </c>
      <c r="P424" t="n">
        <v>0</v>
      </c>
      <c r="Q424" t="n">
        <v>0</v>
      </c>
      <c r="R424" s="2" t="inlineStr"/>
    </row>
    <row r="425" ht="15" customHeight="1">
      <c r="A425" t="inlineStr">
        <is>
          <t>A 29180-2024</t>
        </is>
      </c>
      <c r="B425" s="1" t="n">
        <v>45482.54108796296</v>
      </c>
      <c r="C425" s="1" t="n">
        <v>45887</v>
      </c>
      <c r="D425" t="inlineStr">
        <is>
          <t>KALMAR LÄN</t>
        </is>
      </c>
      <c r="E425" t="inlineStr">
        <is>
          <t>VIMMERBY</t>
        </is>
      </c>
      <c r="G425" t="n">
        <v>3.8</v>
      </c>
      <c r="H425" t="n">
        <v>0</v>
      </c>
      <c r="I425" t="n">
        <v>0</v>
      </c>
      <c r="J425" t="n">
        <v>0</v>
      </c>
      <c r="K425" t="n">
        <v>0</v>
      </c>
      <c r="L425" t="n">
        <v>0</v>
      </c>
      <c r="M425" t="n">
        <v>0</v>
      </c>
      <c r="N425" t="n">
        <v>0</v>
      </c>
      <c r="O425" t="n">
        <v>0</v>
      </c>
      <c r="P425" t="n">
        <v>0</v>
      </c>
      <c r="Q425" t="n">
        <v>0</v>
      </c>
      <c r="R425" s="2" t="inlineStr"/>
    </row>
    <row r="426" ht="15" customHeight="1">
      <c r="A426" t="inlineStr">
        <is>
          <t>A 33380-2023</t>
        </is>
      </c>
      <c r="B426" s="1" t="n">
        <v>45128</v>
      </c>
      <c r="C426" s="1" t="n">
        <v>45887</v>
      </c>
      <c r="D426" t="inlineStr">
        <is>
          <t>KALMAR LÄN</t>
        </is>
      </c>
      <c r="E426" t="inlineStr">
        <is>
          <t>VIMMERBY</t>
        </is>
      </c>
      <c r="G426" t="n">
        <v>5.2</v>
      </c>
      <c r="H426" t="n">
        <v>0</v>
      </c>
      <c r="I426" t="n">
        <v>0</v>
      </c>
      <c r="J426" t="n">
        <v>0</v>
      </c>
      <c r="K426" t="n">
        <v>0</v>
      </c>
      <c r="L426" t="n">
        <v>0</v>
      </c>
      <c r="M426" t="n">
        <v>0</v>
      </c>
      <c r="N426" t="n">
        <v>0</v>
      </c>
      <c r="O426" t="n">
        <v>0</v>
      </c>
      <c r="P426" t="n">
        <v>0</v>
      </c>
      <c r="Q426" t="n">
        <v>0</v>
      </c>
      <c r="R426" s="2" t="inlineStr"/>
    </row>
    <row r="427" ht="15" customHeight="1">
      <c r="A427" t="inlineStr">
        <is>
          <t>A 46144-2023</t>
        </is>
      </c>
      <c r="B427" s="1" t="n">
        <v>45196.57247685185</v>
      </c>
      <c r="C427" s="1" t="n">
        <v>45887</v>
      </c>
      <c r="D427" t="inlineStr">
        <is>
          <t>KALMAR LÄN</t>
        </is>
      </c>
      <c r="E427" t="inlineStr">
        <is>
          <t>VIMMERBY</t>
        </is>
      </c>
      <c r="G427" t="n">
        <v>6.5</v>
      </c>
      <c r="H427" t="n">
        <v>0</v>
      </c>
      <c r="I427" t="n">
        <v>0</v>
      </c>
      <c r="J427" t="n">
        <v>0</v>
      </c>
      <c r="K427" t="n">
        <v>0</v>
      </c>
      <c r="L427" t="n">
        <v>0</v>
      </c>
      <c r="M427" t="n">
        <v>0</v>
      </c>
      <c r="N427" t="n">
        <v>0</v>
      </c>
      <c r="O427" t="n">
        <v>0</v>
      </c>
      <c r="P427" t="n">
        <v>0</v>
      </c>
      <c r="Q427" t="n">
        <v>0</v>
      </c>
      <c r="R427" s="2" t="inlineStr"/>
    </row>
    <row r="428" ht="15" customHeight="1">
      <c r="A428" t="inlineStr">
        <is>
          <t>A 54787-2023</t>
        </is>
      </c>
      <c r="B428" s="1" t="n">
        <v>45236</v>
      </c>
      <c r="C428" s="1" t="n">
        <v>45887</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15715-2022</t>
        </is>
      </c>
      <c r="B429" s="1" t="n">
        <v>44663</v>
      </c>
      <c r="C429" s="1" t="n">
        <v>45887</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43774-2023</t>
        </is>
      </c>
      <c r="B430" s="1" t="n">
        <v>45187</v>
      </c>
      <c r="C430" s="1" t="n">
        <v>45887</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27719-2025</t>
        </is>
      </c>
      <c r="B431" s="1" t="n">
        <v>45814.3865625</v>
      </c>
      <c r="C431" s="1" t="n">
        <v>45887</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29783-2024</t>
        </is>
      </c>
      <c r="B432" s="1" t="n">
        <v>45485.45778935185</v>
      </c>
      <c r="C432" s="1" t="n">
        <v>45887</v>
      </c>
      <c r="D432" t="inlineStr">
        <is>
          <t>KALMAR LÄN</t>
        </is>
      </c>
      <c r="E432" t="inlineStr">
        <is>
          <t>VIMMERBY</t>
        </is>
      </c>
      <c r="G432" t="n">
        <v>3.1</v>
      </c>
      <c r="H432" t="n">
        <v>0</v>
      </c>
      <c r="I432" t="n">
        <v>0</v>
      </c>
      <c r="J432" t="n">
        <v>0</v>
      </c>
      <c r="K432" t="n">
        <v>0</v>
      </c>
      <c r="L432" t="n">
        <v>0</v>
      </c>
      <c r="M432" t="n">
        <v>0</v>
      </c>
      <c r="N432" t="n">
        <v>0</v>
      </c>
      <c r="O432" t="n">
        <v>0</v>
      </c>
      <c r="P432" t="n">
        <v>0</v>
      </c>
      <c r="Q432" t="n">
        <v>0</v>
      </c>
      <c r="R432" s="2" t="inlineStr"/>
    </row>
    <row r="433" ht="15" customHeight="1">
      <c r="A433" t="inlineStr">
        <is>
          <t>A 43705-2023</t>
        </is>
      </c>
      <c r="B433" s="1" t="n">
        <v>45187.42854166667</v>
      </c>
      <c r="C433" s="1" t="n">
        <v>45887</v>
      </c>
      <c r="D433" t="inlineStr">
        <is>
          <t>KALMAR LÄN</t>
        </is>
      </c>
      <c r="E433" t="inlineStr">
        <is>
          <t>VIMMERBY</t>
        </is>
      </c>
      <c r="G433" t="n">
        <v>1.2</v>
      </c>
      <c r="H433" t="n">
        <v>0</v>
      </c>
      <c r="I433" t="n">
        <v>0</v>
      </c>
      <c r="J433" t="n">
        <v>0</v>
      </c>
      <c r="K433" t="n">
        <v>0</v>
      </c>
      <c r="L433" t="n">
        <v>0</v>
      </c>
      <c r="M433" t="n">
        <v>0</v>
      </c>
      <c r="N433" t="n">
        <v>0</v>
      </c>
      <c r="O433" t="n">
        <v>0</v>
      </c>
      <c r="P433" t="n">
        <v>0</v>
      </c>
      <c r="Q433" t="n">
        <v>0</v>
      </c>
      <c r="R433" s="2" t="inlineStr"/>
    </row>
    <row r="434" ht="15" customHeight="1">
      <c r="A434" t="inlineStr">
        <is>
          <t>A 54838-2024</t>
        </is>
      </c>
      <c r="B434" s="1" t="n">
        <v>45618.56787037037</v>
      </c>
      <c r="C434" s="1" t="n">
        <v>45887</v>
      </c>
      <c r="D434" t="inlineStr">
        <is>
          <t>KALMAR LÄN</t>
        </is>
      </c>
      <c r="E434" t="inlineStr">
        <is>
          <t>VIMMERBY</t>
        </is>
      </c>
      <c r="G434" t="n">
        <v>3.3</v>
      </c>
      <c r="H434" t="n">
        <v>0</v>
      </c>
      <c r="I434" t="n">
        <v>0</v>
      </c>
      <c r="J434" t="n">
        <v>0</v>
      </c>
      <c r="K434" t="n">
        <v>0</v>
      </c>
      <c r="L434" t="n">
        <v>0</v>
      </c>
      <c r="M434" t="n">
        <v>0</v>
      </c>
      <c r="N434" t="n">
        <v>0</v>
      </c>
      <c r="O434" t="n">
        <v>0</v>
      </c>
      <c r="P434" t="n">
        <v>0</v>
      </c>
      <c r="Q434" t="n">
        <v>0</v>
      </c>
      <c r="R434" s="2" t="inlineStr"/>
    </row>
    <row r="435" ht="15" customHeight="1">
      <c r="A435" t="inlineStr">
        <is>
          <t>A 27718-2025</t>
        </is>
      </c>
      <c r="B435" s="1" t="n">
        <v>45814.38221064815</v>
      </c>
      <c r="C435" s="1" t="n">
        <v>45887</v>
      </c>
      <c r="D435" t="inlineStr">
        <is>
          <t>KALMAR LÄN</t>
        </is>
      </c>
      <c r="E435" t="inlineStr">
        <is>
          <t>VIMMERBY</t>
        </is>
      </c>
      <c r="G435" t="n">
        <v>0.9</v>
      </c>
      <c r="H435" t="n">
        <v>0</v>
      </c>
      <c r="I435" t="n">
        <v>0</v>
      </c>
      <c r="J435" t="n">
        <v>0</v>
      </c>
      <c r="K435" t="n">
        <v>0</v>
      </c>
      <c r="L435" t="n">
        <v>0</v>
      </c>
      <c r="M435" t="n">
        <v>0</v>
      </c>
      <c r="N435" t="n">
        <v>0</v>
      </c>
      <c r="O435" t="n">
        <v>0</v>
      </c>
      <c r="P435" t="n">
        <v>0</v>
      </c>
      <c r="Q435" t="n">
        <v>0</v>
      </c>
      <c r="R435" s="2" t="inlineStr"/>
    </row>
    <row r="436" ht="15" customHeight="1">
      <c r="A436" t="inlineStr">
        <is>
          <t>A 25987-2024</t>
        </is>
      </c>
      <c r="B436" s="1" t="n">
        <v>45467.74417824074</v>
      </c>
      <c r="C436" s="1" t="n">
        <v>45887</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25109-2023</t>
        </is>
      </c>
      <c r="B437" s="1" t="n">
        <v>45086</v>
      </c>
      <c r="C437" s="1" t="n">
        <v>45887</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61878-2020</t>
        </is>
      </c>
      <c r="B438" s="1" t="n">
        <v>44159</v>
      </c>
      <c r="C438" s="1" t="n">
        <v>45887</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7932-2025</t>
        </is>
      </c>
      <c r="B439" s="1" t="n">
        <v>45707.3793287037</v>
      </c>
      <c r="C439" s="1" t="n">
        <v>45887</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13532-2025</t>
        </is>
      </c>
      <c r="B440" s="1" t="n">
        <v>45736.50743055555</v>
      </c>
      <c r="C440" s="1" t="n">
        <v>45887</v>
      </c>
      <c r="D440" t="inlineStr">
        <is>
          <t>KALMAR LÄN</t>
        </is>
      </c>
      <c r="E440" t="inlineStr">
        <is>
          <t>VIMMERBY</t>
        </is>
      </c>
      <c r="G440" t="n">
        <v>3.6</v>
      </c>
      <c r="H440" t="n">
        <v>0</v>
      </c>
      <c r="I440" t="n">
        <v>0</v>
      </c>
      <c r="J440" t="n">
        <v>0</v>
      </c>
      <c r="K440" t="n">
        <v>0</v>
      </c>
      <c r="L440" t="n">
        <v>0</v>
      </c>
      <c r="M440" t="n">
        <v>0</v>
      </c>
      <c r="N440" t="n">
        <v>0</v>
      </c>
      <c r="O440" t="n">
        <v>0</v>
      </c>
      <c r="P440" t="n">
        <v>0</v>
      </c>
      <c r="Q440" t="n">
        <v>0</v>
      </c>
      <c r="R440" s="2" t="inlineStr"/>
    </row>
    <row r="441" ht="15" customHeight="1">
      <c r="A441" t="inlineStr">
        <is>
          <t>A 62023-2022</t>
        </is>
      </c>
      <c r="B441" s="1" t="n">
        <v>44918.50106481482</v>
      </c>
      <c r="C441" s="1" t="n">
        <v>45887</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65049-2020</t>
        </is>
      </c>
      <c r="B442" s="1" t="n">
        <v>44172</v>
      </c>
      <c r="C442" s="1" t="n">
        <v>45887</v>
      </c>
      <c r="D442" t="inlineStr">
        <is>
          <t>KALMAR LÄN</t>
        </is>
      </c>
      <c r="E442" t="inlineStr">
        <is>
          <t>VIMMERBY</t>
        </is>
      </c>
      <c r="G442" t="n">
        <v>2.3</v>
      </c>
      <c r="H442" t="n">
        <v>0</v>
      </c>
      <c r="I442" t="n">
        <v>0</v>
      </c>
      <c r="J442" t="n">
        <v>0</v>
      </c>
      <c r="K442" t="n">
        <v>0</v>
      </c>
      <c r="L442" t="n">
        <v>0</v>
      </c>
      <c r="M442" t="n">
        <v>0</v>
      </c>
      <c r="N442" t="n">
        <v>0</v>
      </c>
      <c r="O442" t="n">
        <v>0</v>
      </c>
      <c r="P442" t="n">
        <v>0</v>
      </c>
      <c r="Q442" t="n">
        <v>0</v>
      </c>
      <c r="R442" s="2" t="inlineStr"/>
    </row>
    <row r="443" ht="15" customHeight="1">
      <c r="A443" t="inlineStr">
        <is>
          <t>A 58104-2024</t>
        </is>
      </c>
      <c r="B443" s="1" t="n">
        <v>45632.37459490741</v>
      </c>
      <c r="C443" s="1" t="n">
        <v>45887</v>
      </c>
      <c r="D443" t="inlineStr">
        <is>
          <t>KALMAR LÄN</t>
        </is>
      </c>
      <c r="E443" t="inlineStr">
        <is>
          <t>VIMMERBY</t>
        </is>
      </c>
      <c r="G443" t="n">
        <v>5</v>
      </c>
      <c r="H443" t="n">
        <v>0</v>
      </c>
      <c r="I443" t="n">
        <v>0</v>
      </c>
      <c r="J443" t="n">
        <v>0</v>
      </c>
      <c r="K443" t="n">
        <v>0</v>
      </c>
      <c r="L443" t="n">
        <v>0</v>
      </c>
      <c r="M443" t="n">
        <v>0</v>
      </c>
      <c r="N443" t="n">
        <v>0</v>
      </c>
      <c r="O443" t="n">
        <v>0</v>
      </c>
      <c r="P443" t="n">
        <v>0</v>
      </c>
      <c r="Q443" t="n">
        <v>0</v>
      </c>
      <c r="R443" s="2" t="inlineStr"/>
    </row>
    <row r="444" ht="15" customHeight="1">
      <c r="A444" t="inlineStr">
        <is>
          <t>A 12215-2024</t>
        </is>
      </c>
      <c r="B444" s="1" t="n">
        <v>45378.32185185186</v>
      </c>
      <c r="C444" s="1" t="n">
        <v>45887</v>
      </c>
      <c r="D444" t="inlineStr">
        <is>
          <t>KALMAR LÄN</t>
        </is>
      </c>
      <c r="E444" t="inlineStr">
        <is>
          <t>VIMMERBY</t>
        </is>
      </c>
      <c r="G444" t="n">
        <v>1.6</v>
      </c>
      <c r="H444" t="n">
        <v>0</v>
      </c>
      <c r="I444" t="n">
        <v>0</v>
      </c>
      <c r="J444" t="n">
        <v>0</v>
      </c>
      <c r="K444" t="n">
        <v>0</v>
      </c>
      <c r="L444" t="n">
        <v>0</v>
      </c>
      <c r="M444" t="n">
        <v>0</v>
      </c>
      <c r="N444" t="n">
        <v>0</v>
      </c>
      <c r="O444" t="n">
        <v>0</v>
      </c>
      <c r="P444" t="n">
        <v>0</v>
      </c>
      <c r="Q444" t="n">
        <v>0</v>
      </c>
      <c r="R444" s="2" t="inlineStr"/>
    </row>
    <row r="445" ht="15" customHeight="1">
      <c r="A445" t="inlineStr">
        <is>
          <t>A 30920-2024</t>
        </is>
      </c>
      <c r="B445" s="1" t="n">
        <v>45498.673125</v>
      </c>
      <c r="C445" s="1" t="n">
        <v>45887</v>
      </c>
      <c r="D445" t="inlineStr">
        <is>
          <t>KALMAR LÄN</t>
        </is>
      </c>
      <c r="E445" t="inlineStr">
        <is>
          <t>VIMMERBY</t>
        </is>
      </c>
      <c r="G445" t="n">
        <v>1.3</v>
      </c>
      <c r="H445" t="n">
        <v>0</v>
      </c>
      <c r="I445" t="n">
        <v>0</v>
      </c>
      <c r="J445" t="n">
        <v>0</v>
      </c>
      <c r="K445" t="n">
        <v>0</v>
      </c>
      <c r="L445" t="n">
        <v>0</v>
      </c>
      <c r="M445" t="n">
        <v>0</v>
      </c>
      <c r="N445" t="n">
        <v>0</v>
      </c>
      <c r="O445" t="n">
        <v>0</v>
      </c>
      <c r="P445" t="n">
        <v>0</v>
      </c>
      <c r="Q445" t="n">
        <v>0</v>
      </c>
      <c r="R445" s="2" t="inlineStr"/>
    </row>
    <row r="446" ht="15" customHeight="1">
      <c r="A446" t="inlineStr">
        <is>
          <t>A 56536-2022</t>
        </is>
      </c>
      <c r="B446" s="1" t="n">
        <v>44893</v>
      </c>
      <c r="C446" s="1" t="n">
        <v>45887</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63541-2023</t>
        </is>
      </c>
      <c r="B447" s="1" t="n">
        <v>45275.32266203704</v>
      </c>
      <c r="C447" s="1" t="n">
        <v>45887</v>
      </c>
      <c r="D447" t="inlineStr">
        <is>
          <t>KALMAR LÄN</t>
        </is>
      </c>
      <c r="E447" t="inlineStr">
        <is>
          <t>VIMMERBY</t>
        </is>
      </c>
      <c r="G447" t="n">
        <v>1.1</v>
      </c>
      <c r="H447" t="n">
        <v>0</v>
      </c>
      <c r="I447" t="n">
        <v>0</v>
      </c>
      <c r="J447" t="n">
        <v>0</v>
      </c>
      <c r="K447" t="n">
        <v>0</v>
      </c>
      <c r="L447" t="n">
        <v>0</v>
      </c>
      <c r="M447" t="n">
        <v>0</v>
      </c>
      <c r="N447" t="n">
        <v>0</v>
      </c>
      <c r="O447" t="n">
        <v>0</v>
      </c>
      <c r="P447" t="n">
        <v>0</v>
      </c>
      <c r="Q447" t="n">
        <v>0</v>
      </c>
      <c r="R447" s="2" t="inlineStr"/>
    </row>
    <row r="448" ht="15" customHeight="1">
      <c r="A448" t="inlineStr">
        <is>
          <t>A 37323-2024</t>
        </is>
      </c>
      <c r="B448" s="1" t="n">
        <v>45540.50098379629</v>
      </c>
      <c r="C448" s="1" t="n">
        <v>45887</v>
      </c>
      <c r="D448" t="inlineStr">
        <is>
          <t>KALMAR LÄN</t>
        </is>
      </c>
      <c r="E448" t="inlineStr">
        <is>
          <t>VIMMERBY</t>
        </is>
      </c>
      <c r="G448" t="n">
        <v>1.2</v>
      </c>
      <c r="H448" t="n">
        <v>0</v>
      </c>
      <c r="I448" t="n">
        <v>0</v>
      </c>
      <c r="J448" t="n">
        <v>0</v>
      </c>
      <c r="K448" t="n">
        <v>0</v>
      </c>
      <c r="L448" t="n">
        <v>0</v>
      </c>
      <c r="M448" t="n">
        <v>0</v>
      </c>
      <c r="N448" t="n">
        <v>0</v>
      </c>
      <c r="O448" t="n">
        <v>0</v>
      </c>
      <c r="P448" t="n">
        <v>0</v>
      </c>
      <c r="Q448" t="n">
        <v>0</v>
      </c>
      <c r="R448" s="2" t="inlineStr"/>
    </row>
    <row r="449" ht="15" customHeight="1">
      <c r="A449" t="inlineStr">
        <is>
          <t>A 35596-2025</t>
        </is>
      </c>
      <c r="B449" s="1" t="n">
        <v>45858.60641203704</v>
      </c>
      <c r="C449" s="1" t="n">
        <v>45887</v>
      </c>
      <c r="D449" t="inlineStr">
        <is>
          <t>KALMAR LÄN</t>
        </is>
      </c>
      <c r="E449" t="inlineStr">
        <is>
          <t>VIMMERBY</t>
        </is>
      </c>
      <c r="G449" t="n">
        <v>2.8</v>
      </c>
      <c r="H449" t="n">
        <v>0</v>
      </c>
      <c r="I449" t="n">
        <v>0</v>
      </c>
      <c r="J449" t="n">
        <v>0</v>
      </c>
      <c r="K449" t="n">
        <v>0</v>
      </c>
      <c r="L449" t="n">
        <v>0</v>
      </c>
      <c r="M449" t="n">
        <v>0</v>
      </c>
      <c r="N449" t="n">
        <v>0</v>
      </c>
      <c r="O449" t="n">
        <v>0</v>
      </c>
      <c r="P449" t="n">
        <v>0</v>
      </c>
      <c r="Q449" t="n">
        <v>0</v>
      </c>
      <c r="R449" s="2" t="inlineStr"/>
    </row>
    <row r="450" ht="15" customHeight="1">
      <c r="A450" t="inlineStr">
        <is>
          <t>A 28290-2025</t>
        </is>
      </c>
      <c r="B450" s="1" t="n">
        <v>45818.59261574074</v>
      </c>
      <c r="C450" s="1" t="n">
        <v>45887</v>
      </c>
      <c r="D450" t="inlineStr">
        <is>
          <t>KALMAR LÄN</t>
        </is>
      </c>
      <c r="E450" t="inlineStr">
        <is>
          <t>VIMMERBY</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28280-2025</t>
        </is>
      </c>
      <c r="B451" s="1" t="n">
        <v>45818.5862037037</v>
      </c>
      <c r="C451" s="1" t="n">
        <v>45887</v>
      </c>
      <c r="D451" t="inlineStr">
        <is>
          <t>KALMAR LÄN</t>
        </is>
      </c>
      <c r="E451" t="inlineStr">
        <is>
          <t>VIMMERBY</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28286-2025</t>
        </is>
      </c>
      <c r="B452" s="1" t="n">
        <v>45818.58993055556</v>
      </c>
      <c r="C452" s="1" t="n">
        <v>45887</v>
      </c>
      <c r="D452" t="inlineStr">
        <is>
          <t>KALMAR LÄN</t>
        </is>
      </c>
      <c r="E452" t="inlineStr">
        <is>
          <t>VIMMERBY</t>
        </is>
      </c>
      <c r="F452" t="inlineStr">
        <is>
          <t>Sveaskog</t>
        </is>
      </c>
      <c r="G452" t="n">
        <v>8</v>
      </c>
      <c r="H452" t="n">
        <v>0</v>
      </c>
      <c r="I452" t="n">
        <v>0</v>
      </c>
      <c r="J452" t="n">
        <v>0</v>
      </c>
      <c r="K452" t="n">
        <v>0</v>
      </c>
      <c r="L452" t="n">
        <v>0</v>
      </c>
      <c r="M452" t="n">
        <v>0</v>
      </c>
      <c r="N452" t="n">
        <v>0</v>
      </c>
      <c r="O452" t="n">
        <v>0</v>
      </c>
      <c r="P452" t="n">
        <v>0</v>
      </c>
      <c r="Q452" t="n">
        <v>0</v>
      </c>
      <c r="R452" s="2" t="inlineStr"/>
    </row>
    <row r="453" ht="15" customHeight="1">
      <c r="A453" t="inlineStr">
        <is>
          <t>A 35597-2025</t>
        </is>
      </c>
      <c r="B453" s="1" t="n">
        <v>45858.66019675926</v>
      </c>
      <c r="C453" s="1" t="n">
        <v>45887</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54917-2020</t>
        </is>
      </c>
      <c r="B454" s="1" t="n">
        <v>44127</v>
      </c>
      <c r="C454" s="1" t="n">
        <v>45887</v>
      </c>
      <c r="D454" t="inlineStr">
        <is>
          <t>KALMAR LÄN</t>
        </is>
      </c>
      <c r="E454" t="inlineStr">
        <is>
          <t>VIMMERBY</t>
        </is>
      </c>
      <c r="G454" t="n">
        <v>9.5</v>
      </c>
      <c r="H454" t="n">
        <v>0</v>
      </c>
      <c r="I454" t="n">
        <v>0</v>
      </c>
      <c r="J454" t="n">
        <v>0</v>
      </c>
      <c r="K454" t="n">
        <v>0</v>
      </c>
      <c r="L454" t="n">
        <v>0</v>
      </c>
      <c r="M454" t="n">
        <v>0</v>
      </c>
      <c r="N454" t="n">
        <v>0</v>
      </c>
      <c r="O454" t="n">
        <v>0</v>
      </c>
      <c r="P454" t="n">
        <v>0</v>
      </c>
      <c r="Q454" t="n">
        <v>0</v>
      </c>
      <c r="R454" s="2" t="inlineStr"/>
    </row>
    <row r="455" ht="15" customHeight="1">
      <c r="A455" t="inlineStr">
        <is>
          <t>A 11429-2022</t>
        </is>
      </c>
      <c r="B455" s="1" t="n">
        <v>44630</v>
      </c>
      <c r="C455" s="1" t="n">
        <v>45887</v>
      </c>
      <c r="D455" t="inlineStr">
        <is>
          <t>KALMAR LÄN</t>
        </is>
      </c>
      <c r="E455" t="inlineStr">
        <is>
          <t>VIMMERBY</t>
        </is>
      </c>
      <c r="G455" t="n">
        <v>2.6</v>
      </c>
      <c r="H455" t="n">
        <v>0</v>
      </c>
      <c r="I455" t="n">
        <v>0</v>
      </c>
      <c r="J455" t="n">
        <v>0</v>
      </c>
      <c r="K455" t="n">
        <v>0</v>
      </c>
      <c r="L455" t="n">
        <v>0</v>
      </c>
      <c r="M455" t="n">
        <v>0</v>
      </c>
      <c r="N455" t="n">
        <v>0</v>
      </c>
      <c r="O455" t="n">
        <v>0</v>
      </c>
      <c r="P455" t="n">
        <v>0</v>
      </c>
      <c r="Q455" t="n">
        <v>0</v>
      </c>
      <c r="R455" s="2" t="inlineStr"/>
    </row>
    <row r="456" ht="15" customHeight="1">
      <c r="A456" t="inlineStr">
        <is>
          <t>A 56582-2022</t>
        </is>
      </c>
      <c r="B456" s="1" t="n">
        <v>44893</v>
      </c>
      <c r="C456" s="1" t="n">
        <v>45887</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28282-2025</t>
        </is>
      </c>
      <c r="B457" s="1" t="n">
        <v>45818.58769675926</v>
      </c>
      <c r="C457" s="1" t="n">
        <v>45887</v>
      </c>
      <c r="D457" t="inlineStr">
        <is>
          <t>KALMAR LÄN</t>
        </is>
      </c>
      <c r="E457" t="inlineStr">
        <is>
          <t>VIMMERBY</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28294-2025</t>
        </is>
      </c>
      <c r="B458" s="1" t="n">
        <v>45818.595625</v>
      </c>
      <c r="C458" s="1" t="n">
        <v>45887</v>
      </c>
      <c r="D458" t="inlineStr">
        <is>
          <t>KALMAR LÄN</t>
        </is>
      </c>
      <c r="E458" t="inlineStr">
        <is>
          <t>VIMMERBY</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28112-2025</t>
        </is>
      </c>
      <c r="B459" s="1" t="n">
        <v>45817.88496527778</v>
      </c>
      <c r="C459" s="1" t="n">
        <v>45887</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6408-2025</t>
        </is>
      </c>
      <c r="B460" s="1" t="n">
        <v>45699.45671296296</v>
      </c>
      <c r="C460" s="1" t="n">
        <v>45887</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1978-2024</t>
        </is>
      </c>
      <c r="B461" s="1" t="n">
        <v>45308.59001157407</v>
      </c>
      <c r="C461" s="1" t="n">
        <v>45887</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6399-2025</t>
        </is>
      </c>
      <c r="B462" s="1" t="n">
        <v>45699.44291666667</v>
      </c>
      <c r="C462" s="1" t="n">
        <v>45887</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11609-2023</t>
        </is>
      </c>
      <c r="B463" s="1" t="n">
        <v>44994.40635416667</v>
      </c>
      <c r="C463" s="1" t="n">
        <v>45887</v>
      </c>
      <c r="D463" t="inlineStr">
        <is>
          <t>KALMAR LÄN</t>
        </is>
      </c>
      <c r="E463" t="inlineStr">
        <is>
          <t>VIMMERBY</t>
        </is>
      </c>
      <c r="G463" t="n">
        <v>4.9</v>
      </c>
      <c r="H463" t="n">
        <v>0</v>
      </c>
      <c r="I463" t="n">
        <v>0</v>
      </c>
      <c r="J463" t="n">
        <v>0</v>
      </c>
      <c r="K463" t="n">
        <v>0</v>
      </c>
      <c r="L463" t="n">
        <v>0</v>
      </c>
      <c r="M463" t="n">
        <v>0</v>
      </c>
      <c r="N463" t="n">
        <v>0</v>
      </c>
      <c r="O463" t="n">
        <v>0</v>
      </c>
      <c r="P463" t="n">
        <v>0</v>
      </c>
      <c r="Q463" t="n">
        <v>0</v>
      </c>
      <c r="R463" s="2" t="inlineStr"/>
    </row>
    <row r="464" ht="15" customHeight="1">
      <c r="A464" t="inlineStr">
        <is>
          <t>A 41311-2023</t>
        </is>
      </c>
      <c r="B464" s="1" t="n">
        <v>45174</v>
      </c>
      <c r="C464" s="1" t="n">
        <v>45887</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44464-2024</t>
        </is>
      </c>
      <c r="B465" s="1" t="n">
        <v>45574.35809027778</v>
      </c>
      <c r="C465" s="1" t="n">
        <v>45887</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41066-2024</t>
        </is>
      </c>
      <c r="B466" s="1" t="n">
        <v>45559.38876157408</v>
      </c>
      <c r="C466" s="1" t="n">
        <v>45887</v>
      </c>
      <c r="D466" t="inlineStr">
        <is>
          <t>KALMAR LÄN</t>
        </is>
      </c>
      <c r="E466" t="inlineStr">
        <is>
          <t>VIMMERBY</t>
        </is>
      </c>
      <c r="G466" t="n">
        <v>2.4</v>
      </c>
      <c r="H466" t="n">
        <v>0</v>
      </c>
      <c r="I466" t="n">
        <v>0</v>
      </c>
      <c r="J466" t="n">
        <v>0</v>
      </c>
      <c r="K466" t="n">
        <v>0</v>
      </c>
      <c r="L466" t="n">
        <v>0</v>
      </c>
      <c r="M466" t="n">
        <v>0</v>
      </c>
      <c r="N466" t="n">
        <v>0</v>
      </c>
      <c r="O466" t="n">
        <v>0</v>
      </c>
      <c r="P466" t="n">
        <v>0</v>
      </c>
      <c r="Q466" t="n">
        <v>0</v>
      </c>
      <c r="R466" s="2" t="inlineStr"/>
    </row>
    <row r="467" ht="15" customHeight="1">
      <c r="A467" t="inlineStr">
        <is>
          <t>A 3816-2022</t>
        </is>
      </c>
      <c r="B467" s="1" t="n">
        <v>44587</v>
      </c>
      <c r="C467" s="1" t="n">
        <v>45887</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28713-2025</t>
        </is>
      </c>
      <c r="B468" s="1" t="n">
        <v>45820.33930555556</v>
      </c>
      <c r="C468" s="1" t="n">
        <v>45887</v>
      </c>
      <c r="D468" t="inlineStr">
        <is>
          <t>KALMAR LÄN</t>
        </is>
      </c>
      <c r="E468" t="inlineStr">
        <is>
          <t>VIMMERBY</t>
        </is>
      </c>
      <c r="G468" t="n">
        <v>2.3</v>
      </c>
      <c r="H468" t="n">
        <v>0</v>
      </c>
      <c r="I468" t="n">
        <v>0</v>
      </c>
      <c r="J468" t="n">
        <v>0</v>
      </c>
      <c r="K468" t="n">
        <v>0</v>
      </c>
      <c r="L468" t="n">
        <v>0</v>
      </c>
      <c r="M468" t="n">
        <v>0</v>
      </c>
      <c r="N468" t="n">
        <v>0</v>
      </c>
      <c r="O468" t="n">
        <v>0</v>
      </c>
      <c r="P468" t="n">
        <v>0</v>
      </c>
      <c r="Q468" t="n">
        <v>0</v>
      </c>
      <c r="R468" s="2" t="inlineStr"/>
    </row>
    <row r="469" ht="15" customHeight="1">
      <c r="A469" t="inlineStr">
        <is>
          <t>A 10785-2025</t>
        </is>
      </c>
      <c r="B469" s="1" t="n">
        <v>45722.48634259259</v>
      </c>
      <c r="C469" s="1" t="n">
        <v>45887</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28701-2025</t>
        </is>
      </c>
      <c r="B470" s="1" t="n">
        <v>45820.03518518519</v>
      </c>
      <c r="C470" s="1" t="n">
        <v>45887</v>
      </c>
      <c r="D470" t="inlineStr">
        <is>
          <t>KALMAR LÄN</t>
        </is>
      </c>
      <c r="E470" t="inlineStr">
        <is>
          <t>VIMMERBY</t>
        </is>
      </c>
      <c r="G470" t="n">
        <v>4</v>
      </c>
      <c r="H470" t="n">
        <v>0</v>
      </c>
      <c r="I470" t="n">
        <v>0</v>
      </c>
      <c r="J470" t="n">
        <v>0</v>
      </c>
      <c r="K470" t="n">
        <v>0</v>
      </c>
      <c r="L470" t="n">
        <v>0</v>
      </c>
      <c r="M470" t="n">
        <v>0</v>
      </c>
      <c r="N470" t="n">
        <v>0</v>
      </c>
      <c r="O470" t="n">
        <v>0</v>
      </c>
      <c r="P470" t="n">
        <v>0</v>
      </c>
      <c r="Q470" t="n">
        <v>0</v>
      </c>
      <c r="R470" s="2" t="inlineStr"/>
    </row>
    <row r="471" ht="15" customHeight="1">
      <c r="A471" t="inlineStr">
        <is>
          <t>A 28702-2025</t>
        </is>
      </c>
      <c r="B471" s="1" t="n">
        <v>45820.03976851852</v>
      </c>
      <c r="C471" s="1" t="n">
        <v>45887</v>
      </c>
      <c r="D471" t="inlineStr">
        <is>
          <t>KALMAR LÄN</t>
        </is>
      </c>
      <c r="E471" t="inlineStr">
        <is>
          <t>VIMMERBY</t>
        </is>
      </c>
      <c r="G471" t="n">
        <v>2.1</v>
      </c>
      <c r="H471" t="n">
        <v>0</v>
      </c>
      <c r="I471" t="n">
        <v>0</v>
      </c>
      <c r="J471" t="n">
        <v>0</v>
      </c>
      <c r="K471" t="n">
        <v>0</v>
      </c>
      <c r="L471" t="n">
        <v>0</v>
      </c>
      <c r="M471" t="n">
        <v>0</v>
      </c>
      <c r="N471" t="n">
        <v>0</v>
      </c>
      <c r="O471" t="n">
        <v>0</v>
      </c>
      <c r="P471" t="n">
        <v>0</v>
      </c>
      <c r="Q471" t="n">
        <v>0</v>
      </c>
      <c r="R471" s="2" t="inlineStr"/>
    </row>
    <row r="472" ht="15" customHeight="1">
      <c r="A472" t="inlineStr">
        <is>
          <t>A 28712-2025</t>
        </is>
      </c>
      <c r="B472" s="1" t="n">
        <v>45820.33708333333</v>
      </c>
      <c r="C472" s="1" t="n">
        <v>45887</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28714-2025</t>
        </is>
      </c>
      <c r="B473" s="1" t="n">
        <v>45820.34128472222</v>
      </c>
      <c r="C473" s="1" t="n">
        <v>45887</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28620-2025</t>
        </is>
      </c>
      <c r="B474" s="1" t="n">
        <v>45819.61060185185</v>
      </c>
      <c r="C474" s="1" t="n">
        <v>45887</v>
      </c>
      <c r="D474" t="inlineStr">
        <is>
          <t>KALMAR LÄN</t>
        </is>
      </c>
      <c r="E474" t="inlineStr">
        <is>
          <t>VIMMERBY</t>
        </is>
      </c>
      <c r="G474" t="n">
        <v>5.6</v>
      </c>
      <c r="H474" t="n">
        <v>0</v>
      </c>
      <c r="I474" t="n">
        <v>0</v>
      </c>
      <c r="J474" t="n">
        <v>0</v>
      </c>
      <c r="K474" t="n">
        <v>0</v>
      </c>
      <c r="L474" t="n">
        <v>0</v>
      </c>
      <c r="M474" t="n">
        <v>0</v>
      </c>
      <c r="N474" t="n">
        <v>0</v>
      </c>
      <c r="O474" t="n">
        <v>0</v>
      </c>
      <c r="P474" t="n">
        <v>0</v>
      </c>
      <c r="Q474" t="n">
        <v>0</v>
      </c>
      <c r="R474" s="2" t="inlineStr"/>
    </row>
    <row r="475" ht="15" customHeight="1">
      <c r="A475" t="inlineStr">
        <is>
          <t>A 10211-2025</t>
        </is>
      </c>
      <c r="B475" s="1" t="n">
        <v>45719.84378472222</v>
      </c>
      <c r="C475" s="1" t="n">
        <v>45887</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18020-2025</t>
        </is>
      </c>
      <c r="B476" s="1" t="n">
        <v>45761.4437962963</v>
      </c>
      <c r="C476" s="1" t="n">
        <v>45887</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585-2024</t>
        </is>
      </c>
      <c r="B477" s="1" t="n">
        <v>45299.62576388889</v>
      </c>
      <c r="C477" s="1" t="n">
        <v>45887</v>
      </c>
      <c r="D477" t="inlineStr">
        <is>
          <t>KALMAR LÄN</t>
        </is>
      </c>
      <c r="E477" t="inlineStr">
        <is>
          <t>VIMMERBY</t>
        </is>
      </c>
      <c r="G477" t="n">
        <v>0.7</v>
      </c>
      <c r="H477" t="n">
        <v>0</v>
      </c>
      <c r="I477" t="n">
        <v>0</v>
      </c>
      <c r="J477" t="n">
        <v>0</v>
      </c>
      <c r="K477" t="n">
        <v>0</v>
      </c>
      <c r="L477" t="n">
        <v>0</v>
      </c>
      <c r="M477" t="n">
        <v>0</v>
      </c>
      <c r="N477" t="n">
        <v>0</v>
      </c>
      <c r="O477" t="n">
        <v>0</v>
      </c>
      <c r="P477" t="n">
        <v>0</v>
      </c>
      <c r="Q477" t="n">
        <v>0</v>
      </c>
      <c r="R477" s="2" t="inlineStr"/>
    </row>
    <row r="478" ht="15" customHeight="1">
      <c r="A478" t="inlineStr">
        <is>
          <t>A 1081-2023</t>
        </is>
      </c>
      <c r="B478" s="1" t="n">
        <v>44935</v>
      </c>
      <c r="C478" s="1" t="n">
        <v>45887</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7047-2022</t>
        </is>
      </c>
      <c r="B479" s="1" t="n">
        <v>44603</v>
      </c>
      <c r="C479" s="1" t="n">
        <v>45887</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12499-2023</t>
        </is>
      </c>
      <c r="B480" s="1" t="n">
        <v>44999.86172453704</v>
      </c>
      <c r="C480" s="1" t="n">
        <v>45887</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6802-2025</t>
        </is>
      </c>
      <c r="B481" s="1" t="n">
        <v>45700.68289351852</v>
      </c>
      <c r="C481" s="1" t="n">
        <v>45887</v>
      </c>
      <c r="D481" t="inlineStr">
        <is>
          <t>KALMAR LÄN</t>
        </is>
      </c>
      <c r="E481" t="inlineStr">
        <is>
          <t>VIMMERBY</t>
        </is>
      </c>
      <c r="G481" t="n">
        <v>1.3</v>
      </c>
      <c r="H481" t="n">
        <v>0</v>
      </c>
      <c r="I481" t="n">
        <v>0</v>
      </c>
      <c r="J481" t="n">
        <v>0</v>
      </c>
      <c r="K481" t="n">
        <v>0</v>
      </c>
      <c r="L481" t="n">
        <v>0</v>
      </c>
      <c r="M481" t="n">
        <v>0</v>
      </c>
      <c r="N481" t="n">
        <v>0</v>
      </c>
      <c r="O481" t="n">
        <v>0</v>
      </c>
      <c r="P481" t="n">
        <v>0</v>
      </c>
      <c r="Q481" t="n">
        <v>0</v>
      </c>
      <c r="R481" s="2" t="inlineStr"/>
    </row>
    <row r="482" ht="15" customHeight="1">
      <c r="A482" t="inlineStr">
        <is>
          <t>A 12500-2023</t>
        </is>
      </c>
      <c r="B482" s="1" t="n">
        <v>44999.8625</v>
      </c>
      <c r="C482" s="1" t="n">
        <v>45887</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29727-2025</t>
        </is>
      </c>
      <c r="B483" s="1" t="n">
        <v>45825.5796875</v>
      </c>
      <c r="C483" s="1" t="n">
        <v>45887</v>
      </c>
      <c r="D483" t="inlineStr">
        <is>
          <t>KALMAR LÄN</t>
        </is>
      </c>
      <c r="E483" t="inlineStr">
        <is>
          <t>VIMMERBY</t>
        </is>
      </c>
      <c r="G483" t="n">
        <v>1.3</v>
      </c>
      <c r="H483" t="n">
        <v>0</v>
      </c>
      <c r="I483" t="n">
        <v>0</v>
      </c>
      <c r="J483" t="n">
        <v>0</v>
      </c>
      <c r="K483" t="n">
        <v>0</v>
      </c>
      <c r="L483" t="n">
        <v>0</v>
      </c>
      <c r="M483" t="n">
        <v>0</v>
      </c>
      <c r="N483" t="n">
        <v>0</v>
      </c>
      <c r="O483" t="n">
        <v>0</v>
      </c>
      <c r="P483" t="n">
        <v>0</v>
      </c>
      <c r="Q483" t="n">
        <v>0</v>
      </c>
      <c r="R483" s="2" t="inlineStr"/>
    </row>
    <row r="484" ht="15" customHeight="1">
      <c r="A484" t="inlineStr">
        <is>
          <t>A 29737-2025</t>
        </is>
      </c>
      <c r="B484" s="1" t="n">
        <v>45825.58672453704</v>
      </c>
      <c r="C484" s="1" t="n">
        <v>45887</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36226-2025</t>
        </is>
      </c>
      <c r="B485" s="1" t="n">
        <v>45867.51630787037</v>
      </c>
      <c r="C485" s="1" t="n">
        <v>45887</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36246-2025</t>
        </is>
      </c>
      <c r="B486" s="1" t="n">
        <v>45867.56320601852</v>
      </c>
      <c r="C486" s="1" t="n">
        <v>45887</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36273-2025</t>
        </is>
      </c>
      <c r="B487" s="1" t="n">
        <v>45867.63094907408</v>
      </c>
      <c r="C487" s="1" t="n">
        <v>45887</v>
      </c>
      <c r="D487" t="inlineStr">
        <is>
          <t>KALMAR LÄN</t>
        </is>
      </c>
      <c r="E487" t="inlineStr">
        <is>
          <t>VIMMERBY</t>
        </is>
      </c>
      <c r="G487" t="n">
        <v>1.7</v>
      </c>
      <c r="H487" t="n">
        <v>0</v>
      </c>
      <c r="I487" t="n">
        <v>0</v>
      </c>
      <c r="J487" t="n">
        <v>0</v>
      </c>
      <c r="K487" t="n">
        <v>0</v>
      </c>
      <c r="L487" t="n">
        <v>0</v>
      </c>
      <c r="M487" t="n">
        <v>0</v>
      </c>
      <c r="N487" t="n">
        <v>0</v>
      </c>
      <c r="O487" t="n">
        <v>0</v>
      </c>
      <c r="P487" t="n">
        <v>0</v>
      </c>
      <c r="Q487" t="n">
        <v>0</v>
      </c>
      <c r="R487" s="2" t="inlineStr"/>
    </row>
    <row r="488" ht="15" customHeight="1">
      <c r="A488" t="inlineStr">
        <is>
          <t>A 36221-2025</t>
        </is>
      </c>
      <c r="B488" s="1" t="n">
        <v>45867.50792824074</v>
      </c>
      <c r="C488" s="1" t="n">
        <v>45887</v>
      </c>
      <c r="D488" t="inlineStr">
        <is>
          <t>KALMAR LÄN</t>
        </is>
      </c>
      <c r="E488" t="inlineStr">
        <is>
          <t>VIMMERBY</t>
        </is>
      </c>
      <c r="G488" t="n">
        <v>2.5</v>
      </c>
      <c r="H488" t="n">
        <v>0</v>
      </c>
      <c r="I488" t="n">
        <v>0</v>
      </c>
      <c r="J488" t="n">
        <v>0</v>
      </c>
      <c r="K488" t="n">
        <v>0</v>
      </c>
      <c r="L488" t="n">
        <v>0</v>
      </c>
      <c r="M488" t="n">
        <v>0</v>
      </c>
      <c r="N488" t="n">
        <v>0</v>
      </c>
      <c r="O488" t="n">
        <v>0</v>
      </c>
      <c r="P488" t="n">
        <v>0</v>
      </c>
      <c r="Q488" t="n">
        <v>0</v>
      </c>
      <c r="R488" s="2" t="inlineStr"/>
    </row>
    <row r="489" ht="15" customHeight="1">
      <c r="A489" t="inlineStr">
        <is>
          <t>A 36297-2025</t>
        </is>
      </c>
      <c r="B489" s="1" t="n">
        <v>45867.68625</v>
      </c>
      <c r="C489" s="1" t="n">
        <v>45887</v>
      </c>
      <c r="D489" t="inlineStr">
        <is>
          <t>KALMAR LÄN</t>
        </is>
      </c>
      <c r="E489" t="inlineStr">
        <is>
          <t>VIMMERBY</t>
        </is>
      </c>
      <c r="G489" t="n">
        <v>4.9</v>
      </c>
      <c r="H489" t="n">
        <v>0</v>
      </c>
      <c r="I489" t="n">
        <v>0</v>
      </c>
      <c r="J489" t="n">
        <v>0</v>
      </c>
      <c r="K489" t="n">
        <v>0</v>
      </c>
      <c r="L489" t="n">
        <v>0</v>
      </c>
      <c r="M489" t="n">
        <v>0</v>
      </c>
      <c r="N489" t="n">
        <v>0</v>
      </c>
      <c r="O489" t="n">
        <v>0</v>
      </c>
      <c r="P489" t="n">
        <v>0</v>
      </c>
      <c r="Q489" t="n">
        <v>0</v>
      </c>
      <c r="R489" s="2" t="inlineStr"/>
    </row>
    <row r="490" ht="15" customHeight="1">
      <c r="A490" t="inlineStr">
        <is>
          <t>A 36299-2025</t>
        </is>
      </c>
      <c r="B490" s="1" t="n">
        <v>45867.69346064814</v>
      </c>
      <c r="C490" s="1" t="n">
        <v>45887</v>
      </c>
      <c r="D490" t="inlineStr">
        <is>
          <t>KALMAR LÄN</t>
        </is>
      </c>
      <c r="E490" t="inlineStr">
        <is>
          <t>VIMMERBY</t>
        </is>
      </c>
      <c r="G490" t="n">
        <v>7.6</v>
      </c>
      <c r="H490" t="n">
        <v>0</v>
      </c>
      <c r="I490" t="n">
        <v>0</v>
      </c>
      <c r="J490" t="n">
        <v>0</v>
      </c>
      <c r="K490" t="n">
        <v>0</v>
      </c>
      <c r="L490" t="n">
        <v>0</v>
      </c>
      <c r="M490" t="n">
        <v>0</v>
      </c>
      <c r="N490" t="n">
        <v>0</v>
      </c>
      <c r="O490" t="n">
        <v>0</v>
      </c>
      <c r="P490" t="n">
        <v>0</v>
      </c>
      <c r="Q490" t="n">
        <v>0</v>
      </c>
      <c r="R490" s="2" t="inlineStr"/>
    </row>
    <row r="491" ht="15" customHeight="1">
      <c r="A491" t="inlineStr">
        <is>
          <t>A 6066-2023</t>
        </is>
      </c>
      <c r="B491" s="1" t="n">
        <v>44964.50894675926</v>
      </c>
      <c r="C491" s="1" t="n">
        <v>45887</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33103-2024</t>
        </is>
      </c>
      <c r="B492" s="1" t="n">
        <v>45517.8162037037</v>
      </c>
      <c r="C492" s="1" t="n">
        <v>45887</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33161-2024</t>
        </is>
      </c>
      <c r="B493" s="1" t="n">
        <v>45518.40657407408</v>
      </c>
      <c r="C493" s="1" t="n">
        <v>45887</v>
      </c>
      <c r="D493" t="inlineStr">
        <is>
          <t>KALMAR LÄN</t>
        </is>
      </c>
      <c r="E493" t="inlineStr">
        <is>
          <t>VIMMERBY</t>
        </is>
      </c>
      <c r="G493" t="n">
        <v>4.7</v>
      </c>
      <c r="H493" t="n">
        <v>0</v>
      </c>
      <c r="I493" t="n">
        <v>0</v>
      </c>
      <c r="J493" t="n">
        <v>0</v>
      </c>
      <c r="K493" t="n">
        <v>0</v>
      </c>
      <c r="L493" t="n">
        <v>0</v>
      </c>
      <c r="M493" t="n">
        <v>0</v>
      </c>
      <c r="N493" t="n">
        <v>0</v>
      </c>
      <c r="O493" t="n">
        <v>0</v>
      </c>
      <c r="P493" t="n">
        <v>0</v>
      </c>
      <c r="Q493" t="n">
        <v>0</v>
      </c>
      <c r="R493" s="2" t="inlineStr"/>
    </row>
    <row r="494" ht="15" customHeight="1">
      <c r="A494" t="inlineStr">
        <is>
          <t>A 12510-2022</t>
        </is>
      </c>
      <c r="B494" s="1" t="n">
        <v>44638.55256944444</v>
      </c>
      <c r="C494" s="1" t="n">
        <v>45887</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56020-2024</t>
        </is>
      </c>
      <c r="B495" s="1" t="n">
        <v>45623.9525462963</v>
      </c>
      <c r="C495" s="1" t="n">
        <v>45887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36282-2025</t>
        </is>
      </c>
      <c r="B496" s="1" t="n">
        <v>45867.64663194444</v>
      </c>
      <c r="C496" s="1" t="n">
        <v>45887</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29726-2025</t>
        </is>
      </c>
      <c r="B497" s="1" t="n">
        <v>45825.57805555555</v>
      </c>
      <c r="C497" s="1" t="n">
        <v>45887</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29673-2025</t>
        </is>
      </c>
      <c r="B498" s="1" t="n">
        <v>45825.50280092593</v>
      </c>
      <c r="C498" s="1" t="n">
        <v>45887</v>
      </c>
      <c r="D498" t="inlineStr">
        <is>
          <t>KALMAR LÄN</t>
        </is>
      </c>
      <c r="E498" t="inlineStr">
        <is>
          <t>VIMMERBY</t>
        </is>
      </c>
      <c r="G498" t="n">
        <v>6.4</v>
      </c>
      <c r="H498" t="n">
        <v>0</v>
      </c>
      <c r="I498" t="n">
        <v>0</v>
      </c>
      <c r="J498" t="n">
        <v>0</v>
      </c>
      <c r="K498" t="n">
        <v>0</v>
      </c>
      <c r="L498" t="n">
        <v>0</v>
      </c>
      <c r="M498" t="n">
        <v>0</v>
      </c>
      <c r="N498" t="n">
        <v>0</v>
      </c>
      <c r="O498" t="n">
        <v>0</v>
      </c>
      <c r="P498" t="n">
        <v>0</v>
      </c>
      <c r="Q498" t="n">
        <v>0</v>
      </c>
      <c r="R498" s="2" t="inlineStr"/>
    </row>
    <row r="499" ht="15" customHeight="1">
      <c r="A499" t="inlineStr">
        <is>
          <t>A 33842-2022</t>
        </is>
      </c>
      <c r="B499" s="1" t="n">
        <v>44790.49523148148</v>
      </c>
      <c r="C499" s="1" t="n">
        <v>45887</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60675-2023</t>
        </is>
      </c>
      <c r="B500" s="1" t="n">
        <v>45260.4716550926</v>
      </c>
      <c r="C500" s="1" t="n">
        <v>45887</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29724-2025</t>
        </is>
      </c>
      <c r="B501" s="1" t="n">
        <v>45825.57680555555</v>
      </c>
      <c r="C501" s="1" t="n">
        <v>45887</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40095-2022</t>
        </is>
      </c>
      <c r="B502" s="1" t="n">
        <v>44820</v>
      </c>
      <c r="C502" s="1" t="n">
        <v>45887</v>
      </c>
      <c r="D502" t="inlineStr">
        <is>
          <t>KALMAR LÄN</t>
        </is>
      </c>
      <c r="E502" t="inlineStr">
        <is>
          <t>VIMMERBY</t>
        </is>
      </c>
      <c r="G502" t="n">
        <v>2.4</v>
      </c>
      <c r="H502" t="n">
        <v>0</v>
      </c>
      <c r="I502" t="n">
        <v>0</v>
      </c>
      <c r="J502" t="n">
        <v>0</v>
      </c>
      <c r="K502" t="n">
        <v>0</v>
      </c>
      <c r="L502" t="n">
        <v>0</v>
      </c>
      <c r="M502" t="n">
        <v>0</v>
      </c>
      <c r="N502" t="n">
        <v>0</v>
      </c>
      <c r="O502" t="n">
        <v>0</v>
      </c>
      <c r="P502" t="n">
        <v>0</v>
      </c>
      <c r="Q502" t="n">
        <v>0</v>
      </c>
      <c r="R502" s="2" t="inlineStr"/>
    </row>
    <row r="503" ht="15" customHeight="1">
      <c r="A503" t="inlineStr">
        <is>
          <t>A 1146-2025</t>
        </is>
      </c>
      <c r="B503" s="1" t="n">
        <v>45666</v>
      </c>
      <c r="C503" s="1" t="n">
        <v>45887</v>
      </c>
      <c r="D503" t="inlineStr">
        <is>
          <t>KALMAR LÄN</t>
        </is>
      </c>
      <c r="E503" t="inlineStr">
        <is>
          <t>VIMMERBY</t>
        </is>
      </c>
      <c r="G503" t="n">
        <v>4</v>
      </c>
      <c r="H503" t="n">
        <v>0</v>
      </c>
      <c r="I503" t="n">
        <v>0</v>
      </c>
      <c r="J503" t="n">
        <v>0</v>
      </c>
      <c r="K503" t="n">
        <v>0</v>
      </c>
      <c r="L503" t="n">
        <v>0</v>
      </c>
      <c r="M503" t="n">
        <v>0</v>
      </c>
      <c r="N503" t="n">
        <v>0</v>
      </c>
      <c r="O503" t="n">
        <v>0</v>
      </c>
      <c r="P503" t="n">
        <v>0</v>
      </c>
      <c r="Q503" t="n">
        <v>0</v>
      </c>
      <c r="R503" s="2" t="inlineStr"/>
    </row>
    <row r="504" ht="15" customHeight="1">
      <c r="A504" t="inlineStr">
        <is>
          <t>A 30095-2025</t>
        </is>
      </c>
      <c r="B504" s="1" t="n">
        <v>45826.66646990741</v>
      </c>
      <c r="C504" s="1" t="n">
        <v>45887</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19537-2022</t>
        </is>
      </c>
      <c r="B505" s="1" t="n">
        <v>44693.62822916666</v>
      </c>
      <c r="C505" s="1" t="n">
        <v>45887</v>
      </c>
      <c r="D505" t="inlineStr">
        <is>
          <t>KALMAR LÄN</t>
        </is>
      </c>
      <c r="E505" t="inlineStr">
        <is>
          <t>VIMMERBY</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19502-2025</t>
        </is>
      </c>
      <c r="B506" s="1" t="n">
        <v>45769</v>
      </c>
      <c r="C506" s="1" t="n">
        <v>45887</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30293-2025</t>
        </is>
      </c>
      <c r="B507" s="1" t="n">
        <v>45827</v>
      </c>
      <c r="C507" s="1" t="n">
        <v>45887</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36602-2025</t>
        </is>
      </c>
      <c r="B508" s="1" t="n">
        <v>45870.52111111111</v>
      </c>
      <c r="C508" s="1" t="n">
        <v>45887</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12890-2023</t>
        </is>
      </c>
      <c r="B509" s="1" t="n">
        <v>45001.59209490741</v>
      </c>
      <c r="C509" s="1" t="n">
        <v>45887</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3902-2022</t>
        </is>
      </c>
      <c r="B510" s="1" t="n">
        <v>44587.48847222222</v>
      </c>
      <c r="C510" s="1" t="n">
        <v>45887</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57311-2023</t>
        </is>
      </c>
      <c r="B511" s="1" t="n">
        <v>45245.63574074074</v>
      </c>
      <c r="C511" s="1" t="n">
        <v>45887</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64428-2023</t>
        </is>
      </c>
      <c r="B512" s="1" t="n">
        <v>45280.66769675926</v>
      </c>
      <c r="C512" s="1" t="n">
        <v>45887</v>
      </c>
      <c r="D512" t="inlineStr">
        <is>
          <t>KALMAR LÄN</t>
        </is>
      </c>
      <c r="E512" t="inlineStr">
        <is>
          <t>VIMMERBY</t>
        </is>
      </c>
      <c r="G512" t="n">
        <v>1.2</v>
      </c>
      <c r="H512" t="n">
        <v>0</v>
      </c>
      <c r="I512" t="n">
        <v>0</v>
      </c>
      <c r="J512" t="n">
        <v>0</v>
      </c>
      <c r="K512" t="n">
        <v>0</v>
      </c>
      <c r="L512" t="n">
        <v>0</v>
      </c>
      <c r="M512" t="n">
        <v>0</v>
      </c>
      <c r="N512" t="n">
        <v>0</v>
      </c>
      <c r="O512" t="n">
        <v>0</v>
      </c>
      <c r="P512" t="n">
        <v>0</v>
      </c>
      <c r="Q512" t="n">
        <v>0</v>
      </c>
      <c r="R512" s="2" t="inlineStr"/>
    </row>
    <row r="513" ht="15" customHeight="1">
      <c r="A513" t="inlineStr">
        <is>
          <t>A 4527-2023</t>
        </is>
      </c>
      <c r="B513" s="1" t="n">
        <v>44956</v>
      </c>
      <c r="C513" s="1" t="n">
        <v>45887</v>
      </c>
      <c r="D513" t="inlineStr">
        <is>
          <t>KALMAR LÄN</t>
        </is>
      </c>
      <c r="E513" t="inlineStr">
        <is>
          <t>VIMMERBY</t>
        </is>
      </c>
      <c r="F513" t="inlineStr">
        <is>
          <t>Kommuner</t>
        </is>
      </c>
      <c r="G513" t="n">
        <v>8.5</v>
      </c>
      <c r="H513" t="n">
        <v>0</v>
      </c>
      <c r="I513" t="n">
        <v>0</v>
      </c>
      <c r="J513" t="n">
        <v>0</v>
      </c>
      <c r="K513" t="n">
        <v>0</v>
      </c>
      <c r="L513" t="n">
        <v>0</v>
      </c>
      <c r="M513" t="n">
        <v>0</v>
      </c>
      <c r="N513" t="n">
        <v>0</v>
      </c>
      <c r="O513" t="n">
        <v>0</v>
      </c>
      <c r="P513" t="n">
        <v>0</v>
      </c>
      <c r="Q513" t="n">
        <v>0</v>
      </c>
      <c r="R513" s="2" t="inlineStr"/>
    </row>
    <row r="514" ht="15" customHeight="1">
      <c r="A514" t="inlineStr">
        <is>
          <t>A 36598-2025</t>
        </is>
      </c>
      <c r="B514" s="1" t="n">
        <v>45870.51708333333</v>
      </c>
      <c r="C514" s="1" t="n">
        <v>45887</v>
      </c>
      <c r="D514" t="inlineStr">
        <is>
          <t>KALMAR LÄN</t>
        </is>
      </c>
      <c r="E514" t="inlineStr">
        <is>
          <t>VIMMERBY</t>
        </is>
      </c>
      <c r="G514" t="n">
        <v>3.7</v>
      </c>
      <c r="H514" t="n">
        <v>0</v>
      </c>
      <c r="I514" t="n">
        <v>0</v>
      </c>
      <c r="J514" t="n">
        <v>0</v>
      </c>
      <c r="K514" t="n">
        <v>0</v>
      </c>
      <c r="L514" t="n">
        <v>0</v>
      </c>
      <c r="M514" t="n">
        <v>0</v>
      </c>
      <c r="N514" t="n">
        <v>0</v>
      </c>
      <c r="O514" t="n">
        <v>0</v>
      </c>
      <c r="P514" t="n">
        <v>0</v>
      </c>
      <c r="Q514" t="n">
        <v>0</v>
      </c>
      <c r="R514" s="2" t="inlineStr"/>
    </row>
    <row r="515" ht="15" customHeight="1">
      <c r="A515" t="inlineStr">
        <is>
          <t>A 36601-2025</t>
        </is>
      </c>
      <c r="B515" s="1" t="n">
        <v>45870.52005787037</v>
      </c>
      <c r="C515" s="1" t="n">
        <v>45887</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36603-2025</t>
        </is>
      </c>
      <c r="B516" s="1" t="n">
        <v>45870.52142361111</v>
      </c>
      <c r="C516" s="1" t="n">
        <v>45887</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3268-2024</t>
        </is>
      </c>
      <c r="B517" s="1" t="n">
        <v>45317</v>
      </c>
      <c r="C517" s="1" t="n">
        <v>45887</v>
      </c>
      <c r="D517" t="inlineStr">
        <is>
          <t>KALMAR LÄN</t>
        </is>
      </c>
      <c r="E517" t="inlineStr">
        <is>
          <t>VIMMERBY</t>
        </is>
      </c>
      <c r="F517" t="inlineStr">
        <is>
          <t>Övriga Aktiebolag</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89-2023</t>
        </is>
      </c>
      <c r="B518" s="1" t="n">
        <v>44918</v>
      </c>
      <c r="C518" s="1" t="n">
        <v>45887</v>
      </c>
      <c r="D518" t="inlineStr">
        <is>
          <t>KALMAR LÄN</t>
        </is>
      </c>
      <c r="E518" t="inlineStr">
        <is>
          <t>VIMMERBY</t>
        </is>
      </c>
      <c r="G518" t="n">
        <v>16.1</v>
      </c>
      <c r="H518" t="n">
        <v>0</v>
      </c>
      <c r="I518" t="n">
        <v>0</v>
      </c>
      <c r="J518" t="n">
        <v>0</v>
      </c>
      <c r="K518" t="n">
        <v>0</v>
      </c>
      <c r="L518" t="n">
        <v>0</v>
      </c>
      <c r="M518" t="n">
        <v>0</v>
      </c>
      <c r="N518" t="n">
        <v>0</v>
      </c>
      <c r="O518" t="n">
        <v>0</v>
      </c>
      <c r="P518" t="n">
        <v>0</v>
      </c>
      <c r="Q518" t="n">
        <v>0</v>
      </c>
      <c r="R518" s="2" t="inlineStr"/>
    </row>
    <row r="519" ht="15" customHeight="1">
      <c r="A519" t="inlineStr">
        <is>
          <t>A 5382-2023</t>
        </is>
      </c>
      <c r="B519" s="1" t="n">
        <v>44959.66407407408</v>
      </c>
      <c r="C519" s="1" t="n">
        <v>45887</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36600-2025</t>
        </is>
      </c>
      <c r="B520" s="1" t="n">
        <v>45870.51958333333</v>
      </c>
      <c r="C520" s="1" t="n">
        <v>45887</v>
      </c>
      <c r="D520" t="inlineStr">
        <is>
          <t>KALMAR LÄN</t>
        </is>
      </c>
      <c r="E520" t="inlineStr">
        <is>
          <t>VIMMERBY</t>
        </is>
      </c>
      <c r="G520" t="n">
        <v>2</v>
      </c>
      <c r="H520" t="n">
        <v>0</v>
      </c>
      <c r="I520" t="n">
        <v>0</v>
      </c>
      <c r="J520" t="n">
        <v>0</v>
      </c>
      <c r="K520" t="n">
        <v>0</v>
      </c>
      <c r="L520" t="n">
        <v>0</v>
      </c>
      <c r="M520" t="n">
        <v>0</v>
      </c>
      <c r="N520" t="n">
        <v>0</v>
      </c>
      <c r="O520" t="n">
        <v>0</v>
      </c>
      <c r="P520" t="n">
        <v>0</v>
      </c>
      <c r="Q520" t="n">
        <v>0</v>
      </c>
      <c r="R520" s="2" t="inlineStr"/>
    </row>
    <row r="521" ht="15" customHeight="1">
      <c r="A521" t="inlineStr">
        <is>
          <t>A 51408-2023</t>
        </is>
      </c>
      <c r="B521" s="1" t="n">
        <v>45219.69356481481</v>
      </c>
      <c r="C521" s="1" t="n">
        <v>45887</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36538-2025</t>
        </is>
      </c>
      <c r="B522" s="1" t="n">
        <v>45869.62276620371</v>
      </c>
      <c r="C522" s="1" t="n">
        <v>45887</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30290-2025</t>
        </is>
      </c>
      <c r="B523" s="1" t="n">
        <v>45827</v>
      </c>
      <c r="C523" s="1" t="n">
        <v>45887</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6668-2023</t>
        </is>
      </c>
      <c r="B524" s="1" t="n">
        <v>44966</v>
      </c>
      <c r="C524" s="1" t="n">
        <v>45887</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172-2022</t>
        </is>
      </c>
      <c r="B525" s="1" t="n">
        <v>44564.62598379629</v>
      </c>
      <c r="C525" s="1" t="n">
        <v>45887</v>
      </c>
      <c r="D525" t="inlineStr">
        <is>
          <t>KALMAR LÄN</t>
        </is>
      </c>
      <c r="E525" t="inlineStr">
        <is>
          <t>VIMMERBY</t>
        </is>
      </c>
      <c r="G525" t="n">
        <v>2.1</v>
      </c>
      <c r="H525" t="n">
        <v>0</v>
      </c>
      <c r="I525" t="n">
        <v>0</v>
      </c>
      <c r="J525" t="n">
        <v>0</v>
      </c>
      <c r="K525" t="n">
        <v>0</v>
      </c>
      <c r="L525" t="n">
        <v>0</v>
      </c>
      <c r="M525" t="n">
        <v>0</v>
      </c>
      <c r="N525" t="n">
        <v>0</v>
      </c>
      <c r="O525" t="n">
        <v>0</v>
      </c>
      <c r="P525" t="n">
        <v>0</v>
      </c>
      <c r="Q525" t="n">
        <v>0</v>
      </c>
      <c r="R525" s="2" t="inlineStr"/>
    </row>
    <row r="526" ht="15" customHeight="1">
      <c r="A526" t="inlineStr">
        <is>
          <t>A 12480-2024</t>
        </is>
      </c>
      <c r="B526" s="1" t="n">
        <v>45379</v>
      </c>
      <c r="C526" s="1" t="n">
        <v>45887</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52588-2023</t>
        </is>
      </c>
      <c r="B527" s="1" t="n">
        <v>45225.60192129629</v>
      </c>
      <c r="C527" s="1" t="n">
        <v>45887</v>
      </c>
      <c r="D527" t="inlineStr">
        <is>
          <t>KALMAR LÄN</t>
        </is>
      </c>
      <c r="E527" t="inlineStr">
        <is>
          <t>VIMMERBY</t>
        </is>
      </c>
      <c r="G527" t="n">
        <v>2.9</v>
      </c>
      <c r="H527" t="n">
        <v>0</v>
      </c>
      <c r="I527" t="n">
        <v>0</v>
      </c>
      <c r="J527" t="n">
        <v>0</v>
      </c>
      <c r="K527" t="n">
        <v>0</v>
      </c>
      <c r="L527" t="n">
        <v>0</v>
      </c>
      <c r="M527" t="n">
        <v>0</v>
      </c>
      <c r="N527" t="n">
        <v>0</v>
      </c>
      <c r="O527" t="n">
        <v>0</v>
      </c>
      <c r="P527" t="n">
        <v>0</v>
      </c>
      <c r="Q527" t="n">
        <v>0</v>
      </c>
      <c r="R527" s="2" t="inlineStr"/>
    </row>
    <row r="528" ht="15" customHeight="1">
      <c r="A528" t="inlineStr">
        <is>
          <t>A 30634-2024</t>
        </is>
      </c>
      <c r="B528" s="1" t="n">
        <v>45495</v>
      </c>
      <c r="C528" s="1" t="n">
        <v>45887</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6355-2022</t>
        </is>
      </c>
      <c r="B529" s="1" t="n">
        <v>44600</v>
      </c>
      <c r="C529" s="1" t="n">
        <v>45887</v>
      </c>
      <c r="D529" t="inlineStr">
        <is>
          <t>KALMAR LÄN</t>
        </is>
      </c>
      <c r="E529" t="inlineStr">
        <is>
          <t>VIMMERBY</t>
        </is>
      </c>
      <c r="G529" t="n">
        <v>4.9</v>
      </c>
      <c r="H529" t="n">
        <v>0</v>
      </c>
      <c r="I529" t="n">
        <v>0</v>
      </c>
      <c r="J529" t="n">
        <v>0</v>
      </c>
      <c r="K529" t="n">
        <v>0</v>
      </c>
      <c r="L529" t="n">
        <v>0</v>
      </c>
      <c r="M529" t="n">
        <v>0</v>
      </c>
      <c r="N529" t="n">
        <v>0</v>
      </c>
      <c r="O529" t="n">
        <v>0</v>
      </c>
      <c r="P529" t="n">
        <v>0</v>
      </c>
      <c r="Q529" t="n">
        <v>0</v>
      </c>
      <c r="R529" s="2" t="inlineStr"/>
    </row>
    <row r="530" ht="15" customHeight="1">
      <c r="A530" t="inlineStr">
        <is>
          <t>A 55236-2023</t>
        </is>
      </c>
      <c r="B530" s="1" t="n">
        <v>45237.63225694445</v>
      </c>
      <c r="C530" s="1" t="n">
        <v>45887</v>
      </c>
      <c r="D530" t="inlineStr">
        <is>
          <t>KALMAR LÄN</t>
        </is>
      </c>
      <c r="E530" t="inlineStr">
        <is>
          <t>VIMMERBY</t>
        </is>
      </c>
      <c r="G530" t="n">
        <v>1.1</v>
      </c>
      <c r="H530" t="n">
        <v>0</v>
      </c>
      <c r="I530" t="n">
        <v>0</v>
      </c>
      <c r="J530" t="n">
        <v>0</v>
      </c>
      <c r="K530" t="n">
        <v>0</v>
      </c>
      <c r="L530" t="n">
        <v>0</v>
      </c>
      <c r="M530" t="n">
        <v>0</v>
      </c>
      <c r="N530" t="n">
        <v>0</v>
      </c>
      <c r="O530" t="n">
        <v>0</v>
      </c>
      <c r="P530" t="n">
        <v>0</v>
      </c>
      <c r="Q530" t="n">
        <v>0</v>
      </c>
      <c r="R530" s="2" t="inlineStr"/>
    </row>
    <row r="531" ht="15" customHeight="1">
      <c r="A531" t="inlineStr">
        <is>
          <t>A 55245-2023</t>
        </is>
      </c>
      <c r="B531" s="1" t="n">
        <v>45237.64408564815</v>
      </c>
      <c r="C531" s="1" t="n">
        <v>45887</v>
      </c>
      <c r="D531" t="inlineStr">
        <is>
          <t>KALMAR LÄN</t>
        </is>
      </c>
      <c r="E531" t="inlineStr">
        <is>
          <t>VIMMERBY</t>
        </is>
      </c>
      <c r="G531" t="n">
        <v>1.3</v>
      </c>
      <c r="H531" t="n">
        <v>0</v>
      </c>
      <c r="I531" t="n">
        <v>0</v>
      </c>
      <c r="J531" t="n">
        <v>0</v>
      </c>
      <c r="K531" t="n">
        <v>0</v>
      </c>
      <c r="L531" t="n">
        <v>0</v>
      </c>
      <c r="M531" t="n">
        <v>0</v>
      </c>
      <c r="N531" t="n">
        <v>0</v>
      </c>
      <c r="O531" t="n">
        <v>0</v>
      </c>
      <c r="P531" t="n">
        <v>0</v>
      </c>
      <c r="Q531" t="n">
        <v>0</v>
      </c>
      <c r="R531" s="2" t="inlineStr"/>
    </row>
    <row r="532" ht="15" customHeight="1">
      <c r="A532" t="inlineStr">
        <is>
          <t>A 1018-2024</t>
        </is>
      </c>
      <c r="B532" s="1" t="n">
        <v>45301.67554398148</v>
      </c>
      <c r="C532" s="1" t="n">
        <v>45887</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19111-2025</t>
        </is>
      </c>
      <c r="B533" s="1" t="n">
        <v>45768.65611111111</v>
      </c>
      <c r="C533" s="1" t="n">
        <v>45887</v>
      </c>
      <c r="D533" t="inlineStr">
        <is>
          <t>KALMAR LÄN</t>
        </is>
      </c>
      <c r="E533" t="inlineStr">
        <is>
          <t>VIMMERBY</t>
        </is>
      </c>
      <c r="G533" t="n">
        <v>6.2</v>
      </c>
      <c r="H533" t="n">
        <v>0</v>
      </c>
      <c r="I533" t="n">
        <v>0</v>
      </c>
      <c r="J533" t="n">
        <v>0</v>
      </c>
      <c r="K533" t="n">
        <v>0</v>
      </c>
      <c r="L533" t="n">
        <v>0</v>
      </c>
      <c r="M533" t="n">
        <v>0</v>
      </c>
      <c r="N533" t="n">
        <v>0</v>
      </c>
      <c r="O533" t="n">
        <v>0</v>
      </c>
      <c r="P533" t="n">
        <v>0</v>
      </c>
      <c r="Q533" t="n">
        <v>0</v>
      </c>
      <c r="R533" s="2" t="inlineStr"/>
    </row>
    <row r="534" ht="15" customHeight="1">
      <c r="A534" t="inlineStr">
        <is>
          <t>A 30850-2025</t>
        </is>
      </c>
      <c r="B534" s="1" t="n">
        <v>45831</v>
      </c>
      <c r="C534" s="1" t="n">
        <v>45887</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16020-2023</t>
        </is>
      </c>
      <c r="B535" s="1" t="n">
        <v>45026.82216435186</v>
      </c>
      <c r="C535" s="1" t="n">
        <v>45887</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60292-2022</t>
        </is>
      </c>
      <c r="B536" s="1" t="n">
        <v>44910.54231481482</v>
      </c>
      <c r="C536" s="1" t="n">
        <v>45887</v>
      </c>
      <c r="D536" t="inlineStr">
        <is>
          <t>KALMAR LÄN</t>
        </is>
      </c>
      <c r="E536" t="inlineStr">
        <is>
          <t>VIMMERBY</t>
        </is>
      </c>
      <c r="G536" t="n">
        <v>4.4</v>
      </c>
      <c r="H536" t="n">
        <v>0</v>
      </c>
      <c r="I536" t="n">
        <v>0</v>
      </c>
      <c r="J536" t="n">
        <v>0</v>
      </c>
      <c r="K536" t="n">
        <v>0</v>
      </c>
      <c r="L536" t="n">
        <v>0</v>
      </c>
      <c r="M536" t="n">
        <v>0</v>
      </c>
      <c r="N536" t="n">
        <v>0</v>
      </c>
      <c r="O536" t="n">
        <v>0</v>
      </c>
      <c r="P536" t="n">
        <v>0</v>
      </c>
      <c r="Q536" t="n">
        <v>0</v>
      </c>
      <c r="R536" s="2" t="inlineStr"/>
    </row>
    <row r="537" ht="15" customHeight="1">
      <c r="A537" t="inlineStr">
        <is>
          <t>A 25370-2022</t>
        </is>
      </c>
      <c r="B537" s="1" t="n">
        <v>44732.3659837963</v>
      </c>
      <c r="C537" s="1" t="n">
        <v>45887</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43034-2024</t>
        </is>
      </c>
      <c r="B538" s="1" t="n">
        <v>45567.42011574074</v>
      </c>
      <c r="C538" s="1" t="n">
        <v>45887</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40256-2024</t>
        </is>
      </c>
      <c r="B539" s="1" t="n">
        <v>45554.62944444444</v>
      </c>
      <c r="C539" s="1" t="n">
        <v>45887</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36934-2025</t>
        </is>
      </c>
      <c r="B540" s="1" t="n">
        <v>45874.57109953704</v>
      </c>
      <c r="C540" s="1" t="n">
        <v>45887</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30882-2025</t>
        </is>
      </c>
      <c r="B541" s="1" t="n">
        <v>45832.34540509259</v>
      </c>
      <c r="C541" s="1" t="n">
        <v>45887</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30971-2025</t>
        </is>
      </c>
      <c r="B542" s="1" t="n">
        <v>45832.46146990741</v>
      </c>
      <c r="C542" s="1" t="n">
        <v>45887</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33838-2022</t>
        </is>
      </c>
      <c r="B543" s="1" t="n">
        <v>44790.49040509259</v>
      </c>
      <c r="C543" s="1" t="n">
        <v>45887</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4058-2024</t>
        </is>
      </c>
      <c r="B544" s="1" t="n">
        <v>45323.53744212963</v>
      </c>
      <c r="C544" s="1" t="n">
        <v>45887</v>
      </c>
      <c r="D544" t="inlineStr">
        <is>
          <t>KALMAR LÄN</t>
        </is>
      </c>
      <c r="E544" t="inlineStr">
        <is>
          <t>VIMMERBY</t>
        </is>
      </c>
      <c r="G544" t="n">
        <v>6.5</v>
      </c>
      <c r="H544" t="n">
        <v>0</v>
      </c>
      <c r="I544" t="n">
        <v>0</v>
      </c>
      <c r="J544" t="n">
        <v>0</v>
      </c>
      <c r="K544" t="n">
        <v>0</v>
      </c>
      <c r="L544" t="n">
        <v>0</v>
      </c>
      <c r="M544" t="n">
        <v>0</v>
      </c>
      <c r="N544" t="n">
        <v>0</v>
      </c>
      <c r="O544" t="n">
        <v>0</v>
      </c>
      <c r="P544" t="n">
        <v>0</v>
      </c>
      <c r="Q544" t="n">
        <v>0</v>
      </c>
      <c r="R544" s="2" t="inlineStr"/>
    </row>
    <row r="545" ht="15" customHeight="1">
      <c r="A545" t="inlineStr">
        <is>
          <t>A 36008-2024</t>
        </is>
      </c>
      <c r="B545" s="1" t="n">
        <v>45533.55362268518</v>
      </c>
      <c r="C545" s="1" t="n">
        <v>45887</v>
      </c>
      <c r="D545" t="inlineStr">
        <is>
          <t>KALMAR LÄN</t>
        </is>
      </c>
      <c r="E545" t="inlineStr">
        <is>
          <t>VIMMERBY</t>
        </is>
      </c>
      <c r="G545" t="n">
        <v>3.7</v>
      </c>
      <c r="H545" t="n">
        <v>0</v>
      </c>
      <c r="I545" t="n">
        <v>0</v>
      </c>
      <c r="J545" t="n">
        <v>0</v>
      </c>
      <c r="K545" t="n">
        <v>0</v>
      </c>
      <c r="L545" t="n">
        <v>0</v>
      </c>
      <c r="M545" t="n">
        <v>0</v>
      </c>
      <c r="N545" t="n">
        <v>0</v>
      </c>
      <c r="O545" t="n">
        <v>0</v>
      </c>
      <c r="P545" t="n">
        <v>0</v>
      </c>
      <c r="Q545" t="n">
        <v>0</v>
      </c>
      <c r="R545" s="2" t="inlineStr"/>
    </row>
    <row r="546" ht="15" customHeight="1">
      <c r="A546" t="inlineStr">
        <is>
          <t>A 18669-2025</t>
        </is>
      </c>
      <c r="B546" s="1" t="n">
        <v>45763.59436342592</v>
      </c>
      <c r="C546" s="1" t="n">
        <v>45887</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8540-2024</t>
        </is>
      </c>
      <c r="B547" s="1" t="n">
        <v>45355.54138888889</v>
      </c>
      <c r="C547" s="1" t="n">
        <v>45887</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9623-2024</t>
        </is>
      </c>
      <c r="B548" s="1" t="n">
        <v>45361.87975694444</v>
      </c>
      <c r="C548" s="1" t="n">
        <v>45887</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5146-2024</t>
        </is>
      </c>
      <c r="B549" s="1" t="n">
        <v>45330</v>
      </c>
      <c r="C549" s="1" t="n">
        <v>45887</v>
      </c>
      <c r="D549" t="inlineStr">
        <is>
          <t>KALMAR LÄN</t>
        </is>
      </c>
      <c r="E549" t="inlineStr">
        <is>
          <t>VIMMERBY</t>
        </is>
      </c>
      <c r="G549" t="n">
        <v>5.3</v>
      </c>
      <c r="H549" t="n">
        <v>0</v>
      </c>
      <c r="I549" t="n">
        <v>0</v>
      </c>
      <c r="J549" t="n">
        <v>0</v>
      </c>
      <c r="K549" t="n">
        <v>0</v>
      </c>
      <c r="L549" t="n">
        <v>0</v>
      </c>
      <c r="M549" t="n">
        <v>0</v>
      </c>
      <c r="N549" t="n">
        <v>0</v>
      </c>
      <c r="O549" t="n">
        <v>0</v>
      </c>
      <c r="P549" t="n">
        <v>0</v>
      </c>
      <c r="Q549" t="n">
        <v>0</v>
      </c>
      <c r="R549" s="2" t="inlineStr"/>
    </row>
    <row r="550" ht="15" customHeight="1">
      <c r="A550" t="inlineStr">
        <is>
          <t>A 5148-2024</t>
        </is>
      </c>
      <c r="B550" s="1" t="n">
        <v>45330</v>
      </c>
      <c r="C550" s="1" t="n">
        <v>45887</v>
      </c>
      <c r="D550" t="inlineStr">
        <is>
          <t>KALMAR LÄN</t>
        </is>
      </c>
      <c r="E550" t="inlineStr">
        <is>
          <t>VIMMERBY</t>
        </is>
      </c>
      <c r="G550" t="n">
        <v>5.6</v>
      </c>
      <c r="H550" t="n">
        <v>0</v>
      </c>
      <c r="I550" t="n">
        <v>0</v>
      </c>
      <c r="J550" t="n">
        <v>0</v>
      </c>
      <c r="K550" t="n">
        <v>0</v>
      </c>
      <c r="L550" t="n">
        <v>0</v>
      </c>
      <c r="M550" t="n">
        <v>0</v>
      </c>
      <c r="N550" t="n">
        <v>0</v>
      </c>
      <c r="O550" t="n">
        <v>0</v>
      </c>
      <c r="P550" t="n">
        <v>0</v>
      </c>
      <c r="Q550" t="n">
        <v>0</v>
      </c>
      <c r="R550" s="2" t="inlineStr"/>
    </row>
    <row r="551" ht="15" customHeight="1">
      <c r="A551" t="inlineStr">
        <is>
          <t>A 31552-2025</t>
        </is>
      </c>
      <c r="B551" s="1" t="n">
        <v>45833.64563657407</v>
      </c>
      <c r="C551" s="1" t="n">
        <v>45887</v>
      </c>
      <c r="D551" t="inlineStr">
        <is>
          <t>KALMAR LÄN</t>
        </is>
      </c>
      <c r="E551" t="inlineStr">
        <is>
          <t>VIMMERBY</t>
        </is>
      </c>
      <c r="G551" t="n">
        <v>1.7</v>
      </c>
      <c r="H551" t="n">
        <v>0</v>
      </c>
      <c r="I551" t="n">
        <v>0</v>
      </c>
      <c r="J551" t="n">
        <v>0</v>
      </c>
      <c r="K551" t="n">
        <v>0</v>
      </c>
      <c r="L551" t="n">
        <v>0</v>
      </c>
      <c r="M551" t="n">
        <v>0</v>
      </c>
      <c r="N551" t="n">
        <v>0</v>
      </c>
      <c r="O551" t="n">
        <v>0</v>
      </c>
      <c r="P551" t="n">
        <v>0</v>
      </c>
      <c r="Q551" t="n">
        <v>0</v>
      </c>
      <c r="R551" s="2" t="inlineStr"/>
    </row>
    <row r="552" ht="15" customHeight="1">
      <c r="A552" t="inlineStr">
        <is>
          <t>A 31555-2025</t>
        </is>
      </c>
      <c r="B552" s="1" t="n">
        <v>45833.64814814815</v>
      </c>
      <c r="C552" s="1" t="n">
        <v>45887</v>
      </c>
      <c r="D552" t="inlineStr">
        <is>
          <t>KALMAR LÄN</t>
        </is>
      </c>
      <c r="E552" t="inlineStr">
        <is>
          <t>VIMMERBY</t>
        </is>
      </c>
      <c r="G552" t="n">
        <v>1.8</v>
      </c>
      <c r="H552" t="n">
        <v>0</v>
      </c>
      <c r="I552" t="n">
        <v>0</v>
      </c>
      <c r="J552" t="n">
        <v>0</v>
      </c>
      <c r="K552" t="n">
        <v>0</v>
      </c>
      <c r="L552" t="n">
        <v>0</v>
      </c>
      <c r="M552" t="n">
        <v>0</v>
      </c>
      <c r="N552" t="n">
        <v>0</v>
      </c>
      <c r="O552" t="n">
        <v>0</v>
      </c>
      <c r="P552" t="n">
        <v>0</v>
      </c>
      <c r="Q552" t="n">
        <v>0</v>
      </c>
      <c r="R552" s="2" t="inlineStr"/>
    </row>
    <row r="553" ht="15" customHeight="1">
      <c r="A553" t="inlineStr">
        <is>
          <t>A 44179-2022</t>
        </is>
      </c>
      <c r="B553" s="1" t="n">
        <v>44839.4528125</v>
      </c>
      <c r="C553" s="1" t="n">
        <v>45887</v>
      </c>
      <c r="D553" t="inlineStr">
        <is>
          <t>KALMAR LÄN</t>
        </is>
      </c>
      <c r="E553" t="inlineStr">
        <is>
          <t>VIMMERBY</t>
        </is>
      </c>
      <c r="G553" t="n">
        <v>2.8</v>
      </c>
      <c r="H553" t="n">
        <v>0</v>
      </c>
      <c r="I553" t="n">
        <v>0</v>
      </c>
      <c r="J553" t="n">
        <v>0</v>
      </c>
      <c r="K553" t="n">
        <v>0</v>
      </c>
      <c r="L553" t="n">
        <v>0</v>
      </c>
      <c r="M553" t="n">
        <v>0</v>
      </c>
      <c r="N553" t="n">
        <v>0</v>
      </c>
      <c r="O553" t="n">
        <v>0</v>
      </c>
      <c r="P553" t="n">
        <v>0</v>
      </c>
      <c r="Q553" t="n">
        <v>0</v>
      </c>
      <c r="R553" s="2" t="inlineStr"/>
    </row>
    <row r="554" ht="15" customHeight="1">
      <c r="A554" t="inlineStr">
        <is>
          <t>A 37102-2025</t>
        </is>
      </c>
      <c r="B554" s="1" t="n">
        <v>45875.47454861111</v>
      </c>
      <c r="C554" s="1" t="n">
        <v>45887</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37088-2025</t>
        </is>
      </c>
      <c r="B555" s="1" t="n">
        <v>45875.45716435185</v>
      </c>
      <c r="C555" s="1" t="n">
        <v>45887</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50648-2023</t>
        </is>
      </c>
      <c r="B556" s="1" t="n">
        <v>45217.47834490741</v>
      </c>
      <c r="C556" s="1" t="n">
        <v>45887</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43093-2024</t>
        </is>
      </c>
      <c r="B557" s="1" t="n">
        <v>45567</v>
      </c>
      <c r="C557" s="1" t="n">
        <v>45887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31870-2025</t>
        </is>
      </c>
      <c r="B558" s="1" t="n">
        <v>45834.64667824074</v>
      </c>
      <c r="C558" s="1" t="n">
        <v>45887</v>
      </c>
      <c r="D558" t="inlineStr">
        <is>
          <t>KALMAR LÄN</t>
        </is>
      </c>
      <c r="E558" t="inlineStr">
        <is>
          <t>VIMMERBY</t>
        </is>
      </c>
      <c r="F558" t="inlineStr">
        <is>
          <t>Sveaskog</t>
        </is>
      </c>
      <c r="G558" t="n">
        <v>3.5</v>
      </c>
      <c r="H558" t="n">
        <v>0</v>
      </c>
      <c r="I558" t="n">
        <v>0</v>
      </c>
      <c r="J558" t="n">
        <v>0</v>
      </c>
      <c r="K558" t="n">
        <v>0</v>
      </c>
      <c r="L558" t="n">
        <v>0</v>
      </c>
      <c r="M558" t="n">
        <v>0</v>
      </c>
      <c r="N558" t="n">
        <v>0</v>
      </c>
      <c r="O558" t="n">
        <v>0</v>
      </c>
      <c r="P558" t="n">
        <v>0</v>
      </c>
      <c r="Q558" t="n">
        <v>0</v>
      </c>
      <c r="R558" s="2" t="inlineStr"/>
    </row>
    <row r="559" ht="15" customHeight="1">
      <c r="A559" t="inlineStr">
        <is>
          <t>A 2121-2022</t>
        </is>
      </c>
      <c r="B559" s="1" t="n">
        <v>44578.32717592592</v>
      </c>
      <c r="C559" s="1" t="n">
        <v>45887</v>
      </c>
      <c r="D559" t="inlineStr">
        <is>
          <t>KALMAR LÄN</t>
        </is>
      </c>
      <c r="E559" t="inlineStr">
        <is>
          <t>VIMMERBY</t>
        </is>
      </c>
      <c r="G559" t="n">
        <v>2</v>
      </c>
      <c r="H559" t="n">
        <v>0</v>
      </c>
      <c r="I559" t="n">
        <v>0</v>
      </c>
      <c r="J559" t="n">
        <v>0</v>
      </c>
      <c r="K559" t="n">
        <v>0</v>
      </c>
      <c r="L559" t="n">
        <v>0</v>
      </c>
      <c r="M559" t="n">
        <v>0</v>
      </c>
      <c r="N559" t="n">
        <v>0</v>
      </c>
      <c r="O559" t="n">
        <v>0</v>
      </c>
      <c r="P559" t="n">
        <v>0</v>
      </c>
      <c r="Q559" t="n">
        <v>0</v>
      </c>
      <c r="R559" s="2" t="inlineStr"/>
    </row>
    <row r="560" ht="15" customHeight="1">
      <c r="A560" t="inlineStr">
        <is>
          <t>A 37079-2025</t>
        </is>
      </c>
      <c r="B560" s="1" t="n">
        <v>45875.42716435185</v>
      </c>
      <c r="C560" s="1" t="n">
        <v>45887</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57799-2022</t>
        </is>
      </c>
      <c r="B561" s="1" t="n">
        <v>44897</v>
      </c>
      <c r="C561" s="1" t="n">
        <v>45887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8559-2025</t>
        </is>
      </c>
      <c r="B562" s="1" t="n">
        <v>45709.62280092593</v>
      </c>
      <c r="C562" s="1" t="n">
        <v>45887</v>
      </c>
      <c r="D562" t="inlineStr">
        <is>
          <t>KALMAR LÄN</t>
        </is>
      </c>
      <c r="E562" t="inlineStr">
        <is>
          <t>VIMMERBY</t>
        </is>
      </c>
      <c r="G562" t="n">
        <v>8.9</v>
      </c>
      <c r="H562" t="n">
        <v>0</v>
      </c>
      <c r="I562" t="n">
        <v>0</v>
      </c>
      <c r="J562" t="n">
        <v>0</v>
      </c>
      <c r="K562" t="n">
        <v>0</v>
      </c>
      <c r="L562" t="n">
        <v>0</v>
      </c>
      <c r="M562" t="n">
        <v>0</v>
      </c>
      <c r="N562" t="n">
        <v>0</v>
      </c>
      <c r="O562" t="n">
        <v>0</v>
      </c>
      <c r="P562" t="n">
        <v>0</v>
      </c>
      <c r="Q562" t="n">
        <v>0</v>
      </c>
      <c r="R562" s="2" t="inlineStr"/>
    </row>
    <row r="563" ht="15" customHeight="1">
      <c r="A563" t="inlineStr">
        <is>
          <t>A 15394-2025</t>
        </is>
      </c>
      <c r="B563" s="1" t="n">
        <v>45747.43196759259</v>
      </c>
      <c r="C563" s="1" t="n">
        <v>45887</v>
      </c>
      <c r="D563" t="inlineStr">
        <is>
          <t>KALMAR LÄN</t>
        </is>
      </c>
      <c r="E563" t="inlineStr">
        <is>
          <t>VIMMERBY</t>
        </is>
      </c>
      <c r="G563" t="n">
        <v>0.8</v>
      </c>
      <c r="H563" t="n">
        <v>0</v>
      </c>
      <c r="I563" t="n">
        <v>0</v>
      </c>
      <c r="J563" t="n">
        <v>0</v>
      </c>
      <c r="K563" t="n">
        <v>0</v>
      </c>
      <c r="L563" t="n">
        <v>0</v>
      </c>
      <c r="M563" t="n">
        <v>0</v>
      </c>
      <c r="N563" t="n">
        <v>0</v>
      </c>
      <c r="O563" t="n">
        <v>0</v>
      </c>
      <c r="P563" t="n">
        <v>0</v>
      </c>
      <c r="Q563" t="n">
        <v>0</v>
      </c>
      <c r="R563" s="2" t="inlineStr"/>
    </row>
    <row r="564" ht="15" customHeight="1">
      <c r="A564" t="inlineStr">
        <is>
          <t>A 31872-2025</t>
        </is>
      </c>
      <c r="B564" s="1" t="n">
        <v>45834.65040509259</v>
      </c>
      <c r="C564" s="1" t="n">
        <v>45887</v>
      </c>
      <c r="D564" t="inlineStr">
        <is>
          <t>KALMAR LÄN</t>
        </is>
      </c>
      <c r="E564" t="inlineStr">
        <is>
          <t>VIMMERBY</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31876-2025</t>
        </is>
      </c>
      <c r="B565" s="1" t="n">
        <v>45834.65197916667</v>
      </c>
      <c r="C565" s="1" t="n">
        <v>45887</v>
      </c>
      <c r="D565" t="inlineStr">
        <is>
          <t>KALMAR LÄN</t>
        </is>
      </c>
      <c r="E565" t="inlineStr">
        <is>
          <t>VIMMERBY</t>
        </is>
      </c>
      <c r="F565" t="inlineStr">
        <is>
          <t>Sveaskog</t>
        </is>
      </c>
      <c r="G565" t="n">
        <v>3.3</v>
      </c>
      <c r="H565" t="n">
        <v>0</v>
      </c>
      <c r="I565" t="n">
        <v>0</v>
      </c>
      <c r="J565" t="n">
        <v>0</v>
      </c>
      <c r="K565" t="n">
        <v>0</v>
      </c>
      <c r="L565" t="n">
        <v>0</v>
      </c>
      <c r="M565" t="n">
        <v>0</v>
      </c>
      <c r="N565" t="n">
        <v>0</v>
      </c>
      <c r="O565" t="n">
        <v>0</v>
      </c>
      <c r="P565" t="n">
        <v>0</v>
      </c>
      <c r="Q565" t="n">
        <v>0</v>
      </c>
      <c r="R565" s="2" t="inlineStr"/>
    </row>
    <row r="566" ht="15" customHeight="1">
      <c r="A566" t="inlineStr">
        <is>
          <t>A 31551-2025</t>
        </is>
      </c>
      <c r="B566" s="1" t="n">
        <v>45833.64237268519</v>
      </c>
      <c r="C566" s="1" t="n">
        <v>45887</v>
      </c>
      <c r="D566" t="inlineStr">
        <is>
          <t>KALMAR LÄN</t>
        </is>
      </c>
      <c r="E566" t="inlineStr">
        <is>
          <t>VIMMERBY</t>
        </is>
      </c>
      <c r="G566" t="n">
        <v>1.9</v>
      </c>
      <c r="H566" t="n">
        <v>0</v>
      </c>
      <c r="I566" t="n">
        <v>0</v>
      </c>
      <c r="J566" t="n">
        <v>0</v>
      </c>
      <c r="K566" t="n">
        <v>0</v>
      </c>
      <c r="L566" t="n">
        <v>0</v>
      </c>
      <c r="M566" t="n">
        <v>0</v>
      </c>
      <c r="N566" t="n">
        <v>0</v>
      </c>
      <c r="O566" t="n">
        <v>0</v>
      </c>
      <c r="P566" t="n">
        <v>0</v>
      </c>
      <c r="Q566" t="n">
        <v>0</v>
      </c>
      <c r="R566" s="2" t="inlineStr"/>
    </row>
    <row r="567" ht="15" customHeight="1">
      <c r="A567" t="inlineStr">
        <is>
          <t>A 31987-2025</t>
        </is>
      </c>
      <c r="B567" s="1" t="n">
        <v>45835.36229166666</v>
      </c>
      <c r="C567" s="1" t="n">
        <v>45887</v>
      </c>
      <c r="D567" t="inlineStr">
        <is>
          <t>KALMAR LÄN</t>
        </is>
      </c>
      <c r="E567" t="inlineStr">
        <is>
          <t>VIMMERBY</t>
        </is>
      </c>
      <c r="F567" t="inlineStr">
        <is>
          <t>Kyrkan</t>
        </is>
      </c>
      <c r="G567" t="n">
        <v>1.2</v>
      </c>
      <c r="H567" t="n">
        <v>0</v>
      </c>
      <c r="I567" t="n">
        <v>0</v>
      </c>
      <c r="J567" t="n">
        <v>0</v>
      </c>
      <c r="K567" t="n">
        <v>0</v>
      </c>
      <c r="L567" t="n">
        <v>0</v>
      </c>
      <c r="M567" t="n">
        <v>0</v>
      </c>
      <c r="N567" t="n">
        <v>0</v>
      </c>
      <c r="O567" t="n">
        <v>0</v>
      </c>
      <c r="P567" t="n">
        <v>0</v>
      </c>
      <c r="Q567" t="n">
        <v>0</v>
      </c>
      <c r="R567" s="2" t="inlineStr"/>
    </row>
    <row r="568" ht="15" customHeight="1">
      <c r="A568" t="inlineStr">
        <is>
          <t>A 26318-2023</t>
        </is>
      </c>
      <c r="B568" s="1" t="n">
        <v>45091.67936342592</v>
      </c>
      <c r="C568" s="1" t="n">
        <v>45887</v>
      </c>
      <c r="D568" t="inlineStr">
        <is>
          <t>KALMAR LÄN</t>
        </is>
      </c>
      <c r="E568" t="inlineStr">
        <is>
          <t>VIMMERBY</t>
        </is>
      </c>
      <c r="G568" t="n">
        <v>3.8</v>
      </c>
      <c r="H568" t="n">
        <v>0</v>
      </c>
      <c r="I568" t="n">
        <v>0</v>
      </c>
      <c r="J568" t="n">
        <v>0</v>
      </c>
      <c r="K568" t="n">
        <v>0</v>
      </c>
      <c r="L568" t="n">
        <v>0</v>
      </c>
      <c r="M568" t="n">
        <v>0</v>
      </c>
      <c r="N568" t="n">
        <v>0</v>
      </c>
      <c r="O568" t="n">
        <v>0</v>
      </c>
      <c r="P568" t="n">
        <v>0</v>
      </c>
      <c r="Q568" t="n">
        <v>0</v>
      </c>
      <c r="R568" s="2" t="inlineStr"/>
    </row>
    <row r="569" ht="15" customHeight="1">
      <c r="A569" t="inlineStr">
        <is>
          <t>A 60437-2023</t>
        </is>
      </c>
      <c r="B569" s="1" t="n">
        <v>45259.51916666667</v>
      </c>
      <c r="C569" s="1" t="n">
        <v>45887</v>
      </c>
      <c r="D569" t="inlineStr">
        <is>
          <t>KALMAR LÄN</t>
        </is>
      </c>
      <c r="E569" t="inlineStr">
        <is>
          <t>VIMMERBY</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60438-2023</t>
        </is>
      </c>
      <c r="B570" s="1" t="n">
        <v>45259.52020833334</v>
      </c>
      <c r="C570" s="1" t="n">
        <v>45887</v>
      </c>
      <c r="D570" t="inlineStr">
        <is>
          <t>KALMAR LÄN</t>
        </is>
      </c>
      <c r="E570" t="inlineStr">
        <is>
          <t>VIMMERBY</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13076-2025</t>
        </is>
      </c>
      <c r="B571" s="1" t="n">
        <v>45734.62017361111</v>
      </c>
      <c r="C571" s="1" t="n">
        <v>45887</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32120-2025</t>
        </is>
      </c>
      <c r="B572" s="1" t="n">
        <v>45835.4924537037</v>
      </c>
      <c r="C572" s="1" t="n">
        <v>45887</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35198-2023</t>
        </is>
      </c>
      <c r="B573" s="1" t="n">
        <v>45145</v>
      </c>
      <c r="C573" s="1" t="n">
        <v>45887</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7758-2024</t>
        </is>
      </c>
      <c r="B574" s="1" t="n">
        <v>45349.54434027777</v>
      </c>
      <c r="C574" s="1" t="n">
        <v>45887</v>
      </c>
      <c r="D574" t="inlineStr">
        <is>
          <t>KALMAR LÄN</t>
        </is>
      </c>
      <c r="E574" t="inlineStr">
        <is>
          <t>VIMMERBY</t>
        </is>
      </c>
      <c r="G574" t="n">
        <v>3.5</v>
      </c>
      <c r="H574" t="n">
        <v>0</v>
      </c>
      <c r="I574" t="n">
        <v>0</v>
      </c>
      <c r="J574" t="n">
        <v>0</v>
      </c>
      <c r="K574" t="n">
        <v>0</v>
      </c>
      <c r="L574" t="n">
        <v>0</v>
      </c>
      <c r="M574" t="n">
        <v>0</v>
      </c>
      <c r="N574" t="n">
        <v>0</v>
      </c>
      <c r="O574" t="n">
        <v>0</v>
      </c>
      <c r="P574" t="n">
        <v>0</v>
      </c>
      <c r="Q574" t="n">
        <v>0</v>
      </c>
      <c r="R574" s="2" t="inlineStr"/>
    </row>
    <row r="575" ht="15" customHeight="1">
      <c r="A575" t="inlineStr">
        <is>
          <t>A 32116-2025</t>
        </is>
      </c>
      <c r="B575" s="1" t="n">
        <v>45835.48862268519</v>
      </c>
      <c r="C575" s="1" t="n">
        <v>45887</v>
      </c>
      <c r="D575" t="inlineStr">
        <is>
          <t>KALMAR LÄN</t>
        </is>
      </c>
      <c r="E575" t="inlineStr">
        <is>
          <t>VIMMERBY</t>
        </is>
      </c>
      <c r="G575" t="n">
        <v>0.9</v>
      </c>
      <c r="H575" t="n">
        <v>0</v>
      </c>
      <c r="I575" t="n">
        <v>0</v>
      </c>
      <c r="J575" t="n">
        <v>0</v>
      </c>
      <c r="K575" t="n">
        <v>0</v>
      </c>
      <c r="L575" t="n">
        <v>0</v>
      </c>
      <c r="M575" t="n">
        <v>0</v>
      </c>
      <c r="N575" t="n">
        <v>0</v>
      </c>
      <c r="O575" t="n">
        <v>0</v>
      </c>
      <c r="P575" t="n">
        <v>0</v>
      </c>
      <c r="Q575" t="n">
        <v>0</v>
      </c>
      <c r="R575" s="2" t="inlineStr"/>
    </row>
    <row r="576" ht="15" customHeight="1">
      <c r="A576" t="inlineStr">
        <is>
          <t>A 37578-2025</t>
        </is>
      </c>
      <c r="B576" s="1" t="n">
        <v>45880.38380787037</v>
      </c>
      <c r="C576" s="1" t="n">
        <v>45887</v>
      </c>
      <c r="D576" t="inlineStr">
        <is>
          <t>KALMAR LÄN</t>
        </is>
      </c>
      <c r="E576" t="inlineStr">
        <is>
          <t>VIMMERBY</t>
        </is>
      </c>
      <c r="G576" t="n">
        <v>0.7</v>
      </c>
      <c r="H576" t="n">
        <v>0</v>
      </c>
      <c r="I576" t="n">
        <v>0</v>
      </c>
      <c r="J576" t="n">
        <v>0</v>
      </c>
      <c r="K576" t="n">
        <v>0</v>
      </c>
      <c r="L576" t="n">
        <v>0</v>
      </c>
      <c r="M576" t="n">
        <v>0</v>
      </c>
      <c r="N576" t="n">
        <v>0</v>
      </c>
      <c r="O576" t="n">
        <v>0</v>
      </c>
      <c r="P576" t="n">
        <v>0</v>
      </c>
      <c r="Q576" t="n">
        <v>0</v>
      </c>
      <c r="R576" s="2" t="inlineStr"/>
    </row>
    <row r="577" ht="15" customHeight="1">
      <c r="A577" t="inlineStr">
        <is>
          <t>A 7456-2024</t>
        </is>
      </c>
      <c r="B577" s="1" t="n">
        <v>45345.83557870371</v>
      </c>
      <c r="C577" s="1" t="n">
        <v>45887</v>
      </c>
      <c r="D577" t="inlineStr">
        <is>
          <t>KALMAR LÄN</t>
        </is>
      </c>
      <c r="E577" t="inlineStr">
        <is>
          <t>VIMMERBY</t>
        </is>
      </c>
      <c r="G577" t="n">
        <v>4.1</v>
      </c>
      <c r="H577" t="n">
        <v>0</v>
      </c>
      <c r="I577" t="n">
        <v>0</v>
      </c>
      <c r="J577" t="n">
        <v>0</v>
      </c>
      <c r="K577" t="n">
        <v>0</v>
      </c>
      <c r="L577" t="n">
        <v>0</v>
      </c>
      <c r="M577" t="n">
        <v>0</v>
      </c>
      <c r="N577" t="n">
        <v>0</v>
      </c>
      <c r="O577" t="n">
        <v>0</v>
      </c>
      <c r="P577" t="n">
        <v>0</v>
      </c>
      <c r="Q577" t="n">
        <v>0</v>
      </c>
      <c r="R577" s="2" t="inlineStr"/>
    </row>
    <row r="578" ht="15" customHeight="1">
      <c r="A578" t="inlineStr">
        <is>
          <t>A 6082-2022</t>
        </is>
      </c>
      <c r="B578" s="1" t="n">
        <v>44599</v>
      </c>
      <c r="C578" s="1" t="n">
        <v>45887</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46979-2023</t>
        </is>
      </c>
      <c r="B579" s="1" t="n">
        <v>45201</v>
      </c>
      <c r="C579" s="1" t="n">
        <v>45887</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37667-2025</t>
        </is>
      </c>
      <c r="B580" s="1" t="n">
        <v>45880.51413194444</v>
      </c>
      <c r="C580" s="1" t="n">
        <v>45887</v>
      </c>
      <c r="D580" t="inlineStr">
        <is>
          <t>KALMAR LÄN</t>
        </is>
      </c>
      <c r="E580" t="inlineStr">
        <is>
          <t>VIMMERBY</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2596-2025</t>
        </is>
      </c>
      <c r="B581" s="1" t="n">
        <v>45674.71810185185</v>
      </c>
      <c r="C581" s="1" t="n">
        <v>45887</v>
      </c>
      <c r="D581" t="inlineStr">
        <is>
          <t>KALMAR LÄN</t>
        </is>
      </c>
      <c r="E581" t="inlineStr">
        <is>
          <t>VIMMERBY</t>
        </is>
      </c>
      <c r="G581" t="n">
        <v>9</v>
      </c>
      <c r="H581" t="n">
        <v>0</v>
      </c>
      <c r="I581" t="n">
        <v>0</v>
      </c>
      <c r="J581" t="n">
        <v>0</v>
      </c>
      <c r="K581" t="n">
        <v>0</v>
      </c>
      <c r="L581" t="n">
        <v>0</v>
      </c>
      <c r="M581" t="n">
        <v>0</v>
      </c>
      <c r="N581" t="n">
        <v>0</v>
      </c>
      <c r="O581" t="n">
        <v>0</v>
      </c>
      <c r="P581" t="n">
        <v>0</v>
      </c>
      <c r="Q581" t="n">
        <v>0</v>
      </c>
      <c r="R581" s="2" t="inlineStr"/>
    </row>
    <row r="582" ht="15" customHeight="1">
      <c r="A582" t="inlineStr">
        <is>
          <t>A 47855-2024</t>
        </is>
      </c>
      <c r="B582" s="1" t="n">
        <v>45588.66457175926</v>
      </c>
      <c r="C582" s="1" t="n">
        <v>45887</v>
      </c>
      <c r="D582" t="inlineStr">
        <is>
          <t>KALMAR LÄN</t>
        </is>
      </c>
      <c r="E582" t="inlineStr">
        <is>
          <t>VIMMERBY</t>
        </is>
      </c>
      <c r="G582" t="n">
        <v>0.8</v>
      </c>
      <c r="H582" t="n">
        <v>0</v>
      </c>
      <c r="I582" t="n">
        <v>0</v>
      </c>
      <c r="J582" t="n">
        <v>0</v>
      </c>
      <c r="K582" t="n">
        <v>0</v>
      </c>
      <c r="L582" t="n">
        <v>0</v>
      </c>
      <c r="M582" t="n">
        <v>0</v>
      </c>
      <c r="N582" t="n">
        <v>0</v>
      </c>
      <c r="O582" t="n">
        <v>0</v>
      </c>
      <c r="P582" t="n">
        <v>0</v>
      </c>
      <c r="Q582" t="n">
        <v>0</v>
      </c>
      <c r="R582" s="2" t="inlineStr"/>
    </row>
    <row r="583" ht="15" customHeight="1">
      <c r="A583" t="inlineStr">
        <is>
          <t>A 63583-2023</t>
        </is>
      </c>
      <c r="B583" s="1" t="n">
        <v>45275.41833333333</v>
      </c>
      <c r="C583" s="1" t="n">
        <v>45887</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37668-2025</t>
        </is>
      </c>
      <c r="B584" s="1" t="n">
        <v>45880.51550925926</v>
      </c>
      <c r="C584" s="1" t="n">
        <v>45887</v>
      </c>
      <c r="D584" t="inlineStr">
        <is>
          <t>KALMAR LÄN</t>
        </is>
      </c>
      <c r="E584" t="inlineStr">
        <is>
          <t>VIMMERBY</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32380-2025</t>
        </is>
      </c>
      <c r="B585" s="1" t="n">
        <v>45837.77701388889</v>
      </c>
      <c r="C585" s="1" t="n">
        <v>45887</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32109-2025</t>
        </is>
      </c>
      <c r="B586" s="1" t="n">
        <v>45835.48267361111</v>
      </c>
      <c r="C586" s="1" t="n">
        <v>45887</v>
      </c>
      <c r="D586" t="inlineStr">
        <is>
          <t>KALMAR LÄN</t>
        </is>
      </c>
      <c r="E586" t="inlineStr">
        <is>
          <t>VIMMERBY</t>
        </is>
      </c>
      <c r="G586" t="n">
        <v>2.5</v>
      </c>
      <c r="H586" t="n">
        <v>0</v>
      </c>
      <c r="I586" t="n">
        <v>0</v>
      </c>
      <c r="J586" t="n">
        <v>0</v>
      </c>
      <c r="K586" t="n">
        <v>0</v>
      </c>
      <c r="L586" t="n">
        <v>0</v>
      </c>
      <c r="M586" t="n">
        <v>0</v>
      </c>
      <c r="N586" t="n">
        <v>0</v>
      </c>
      <c r="O586" t="n">
        <v>0</v>
      </c>
      <c r="P586" t="n">
        <v>0</v>
      </c>
      <c r="Q586" t="n">
        <v>0</v>
      </c>
      <c r="R586" s="2" t="inlineStr"/>
    </row>
    <row r="587" ht="15" customHeight="1">
      <c r="A587" t="inlineStr">
        <is>
          <t>A 32113-2025</t>
        </is>
      </c>
      <c r="B587" s="1" t="n">
        <v>45835.48445601852</v>
      </c>
      <c r="C587" s="1" t="n">
        <v>45887</v>
      </c>
      <c r="D587" t="inlineStr">
        <is>
          <t>KALMAR LÄN</t>
        </is>
      </c>
      <c r="E587" t="inlineStr">
        <is>
          <t>VIMMERBY</t>
        </is>
      </c>
      <c r="G587" t="n">
        <v>3.5</v>
      </c>
      <c r="H587" t="n">
        <v>0</v>
      </c>
      <c r="I587" t="n">
        <v>0</v>
      </c>
      <c r="J587" t="n">
        <v>0</v>
      </c>
      <c r="K587" t="n">
        <v>0</v>
      </c>
      <c r="L587" t="n">
        <v>0</v>
      </c>
      <c r="M587" t="n">
        <v>0</v>
      </c>
      <c r="N587" t="n">
        <v>0</v>
      </c>
      <c r="O587" t="n">
        <v>0</v>
      </c>
      <c r="P587" t="n">
        <v>0</v>
      </c>
      <c r="Q587" t="n">
        <v>0</v>
      </c>
      <c r="R587" s="2" t="inlineStr"/>
    </row>
    <row r="588" ht="15" customHeight="1">
      <c r="A588" t="inlineStr">
        <is>
          <t>A 32077-2025</t>
        </is>
      </c>
      <c r="B588" s="1" t="n">
        <v>45835.45099537037</v>
      </c>
      <c r="C588" s="1" t="n">
        <v>45887</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60228-2021</t>
        </is>
      </c>
      <c r="B589" s="1" t="n">
        <v>44495</v>
      </c>
      <c r="C589" s="1" t="n">
        <v>45887</v>
      </c>
      <c r="D589" t="inlineStr">
        <is>
          <t>KALMAR LÄN</t>
        </is>
      </c>
      <c r="E589" t="inlineStr">
        <is>
          <t>VIMMERBY</t>
        </is>
      </c>
      <c r="G589" t="n">
        <v>4.1</v>
      </c>
      <c r="H589" t="n">
        <v>0</v>
      </c>
      <c r="I589" t="n">
        <v>0</v>
      </c>
      <c r="J589" t="n">
        <v>0</v>
      </c>
      <c r="K589" t="n">
        <v>0</v>
      </c>
      <c r="L589" t="n">
        <v>0</v>
      </c>
      <c r="M589" t="n">
        <v>0</v>
      </c>
      <c r="N589" t="n">
        <v>0</v>
      </c>
      <c r="O589" t="n">
        <v>0</v>
      </c>
      <c r="P589" t="n">
        <v>0</v>
      </c>
      <c r="Q589" t="n">
        <v>0</v>
      </c>
      <c r="R589" s="2" t="inlineStr"/>
    </row>
    <row r="590" ht="15" customHeight="1">
      <c r="A590" t="inlineStr">
        <is>
          <t>A 32382-2025</t>
        </is>
      </c>
      <c r="B590" s="1" t="n">
        <v>45837.77916666667</v>
      </c>
      <c r="C590" s="1" t="n">
        <v>45887</v>
      </c>
      <c r="D590" t="inlineStr">
        <is>
          <t>KALMAR LÄN</t>
        </is>
      </c>
      <c r="E590" t="inlineStr">
        <is>
          <t>VIMMERBY</t>
        </is>
      </c>
      <c r="G590" t="n">
        <v>4.6</v>
      </c>
      <c r="H590" t="n">
        <v>0</v>
      </c>
      <c r="I590" t="n">
        <v>0</v>
      </c>
      <c r="J590" t="n">
        <v>0</v>
      </c>
      <c r="K590" t="n">
        <v>0</v>
      </c>
      <c r="L590" t="n">
        <v>0</v>
      </c>
      <c r="M590" t="n">
        <v>0</v>
      </c>
      <c r="N590" t="n">
        <v>0</v>
      </c>
      <c r="O590" t="n">
        <v>0</v>
      </c>
      <c r="P590" t="n">
        <v>0</v>
      </c>
      <c r="Q590" t="n">
        <v>0</v>
      </c>
      <c r="R590" s="2" t="inlineStr"/>
    </row>
    <row r="591" ht="15" customHeight="1">
      <c r="A591" t="inlineStr">
        <is>
          <t>A 32064-2025</t>
        </is>
      </c>
      <c r="B591" s="1" t="n">
        <v>45835.44709490741</v>
      </c>
      <c r="C591" s="1" t="n">
        <v>45887</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32065-2025</t>
        </is>
      </c>
      <c r="B592" s="1" t="n">
        <v>45835.44732638889</v>
      </c>
      <c r="C592" s="1" t="n">
        <v>45887</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46522-2022</t>
        </is>
      </c>
      <c r="B593" s="1" t="n">
        <v>44848.59133101852</v>
      </c>
      <c r="C593" s="1" t="n">
        <v>45887</v>
      </c>
      <c r="D593" t="inlineStr">
        <is>
          <t>KALMAR LÄN</t>
        </is>
      </c>
      <c r="E593" t="inlineStr">
        <is>
          <t>VIMMERBY</t>
        </is>
      </c>
      <c r="G593" t="n">
        <v>1.4</v>
      </c>
      <c r="H593" t="n">
        <v>0</v>
      </c>
      <c r="I593" t="n">
        <v>0</v>
      </c>
      <c r="J593" t="n">
        <v>0</v>
      </c>
      <c r="K593" t="n">
        <v>0</v>
      </c>
      <c r="L593" t="n">
        <v>0</v>
      </c>
      <c r="M593" t="n">
        <v>0</v>
      </c>
      <c r="N593" t="n">
        <v>0</v>
      </c>
      <c r="O593" t="n">
        <v>0</v>
      </c>
      <c r="P593" t="n">
        <v>0</v>
      </c>
      <c r="Q593" t="n">
        <v>0</v>
      </c>
      <c r="R593" s="2" t="inlineStr"/>
    </row>
    <row r="594" ht="15" customHeight="1">
      <c r="A594" t="inlineStr">
        <is>
          <t>A 21109-2024</t>
        </is>
      </c>
      <c r="B594" s="1" t="n">
        <v>45440.28329861111</v>
      </c>
      <c r="C594" s="1" t="n">
        <v>45887</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58374-2024</t>
        </is>
      </c>
      <c r="B595" s="1" t="n">
        <v>45632.72635416667</v>
      </c>
      <c r="C595" s="1" t="n">
        <v>45887</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37866-2025</t>
        </is>
      </c>
      <c r="B596" s="1" t="n">
        <v>45881</v>
      </c>
      <c r="C596" s="1" t="n">
        <v>45887</v>
      </c>
      <c r="D596" t="inlineStr">
        <is>
          <t>KALMAR LÄN</t>
        </is>
      </c>
      <c r="E596" t="inlineStr">
        <is>
          <t>VIMMERBY</t>
        </is>
      </c>
      <c r="G596" t="n">
        <v>3.4</v>
      </c>
      <c r="H596" t="n">
        <v>0</v>
      </c>
      <c r="I596" t="n">
        <v>0</v>
      </c>
      <c r="J596" t="n">
        <v>0</v>
      </c>
      <c r="K596" t="n">
        <v>0</v>
      </c>
      <c r="L596" t="n">
        <v>0</v>
      </c>
      <c r="M596" t="n">
        <v>0</v>
      </c>
      <c r="N596" t="n">
        <v>0</v>
      </c>
      <c r="O596" t="n">
        <v>0</v>
      </c>
      <c r="P596" t="n">
        <v>0</v>
      </c>
      <c r="Q596" t="n">
        <v>0</v>
      </c>
      <c r="R596" s="2" t="inlineStr"/>
    </row>
    <row r="597" ht="15" customHeight="1">
      <c r="A597" t="inlineStr">
        <is>
          <t>A 33815-2022</t>
        </is>
      </c>
      <c r="B597" s="1" t="n">
        <v>44790.45876157407</v>
      </c>
      <c r="C597" s="1" t="n">
        <v>45887</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55300-2021</t>
        </is>
      </c>
      <c r="B598" s="1" t="n">
        <v>44475</v>
      </c>
      <c r="C598" s="1" t="n">
        <v>45887</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49461-2022</t>
        </is>
      </c>
      <c r="B599" s="1" t="n">
        <v>44861</v>
      </c>
      <c r="C599" s="1" t="n">
        <v>45887</v>
      </c>
      <c r="D599" t="inlineStr">
        <is>
          <t>KALMAR LÄN</t>
        </is>
      </c>
      <c r="E599" t="inlineStr">
        <is>
          <t>VIMMERBY</t>
        </is>
      </c>
      <c r="G599" t="n">
        <v>3.2</v>
      </c>
      <c r="H599" t="n">
        <v>0</v>
      </c>
      <c r="I599" t="n">
        <v>0</v>
      </c>
      <c r="J599" t="n">
        <v>0</v>
      </c>
      <c r="K599" t="n">
        <v>0</v>
      </c>
      <c r="L599" t="n">
        <v>0</v>
      </c>
      <c r="M599" t="n">
        <v>0</v>
      </c>
      <c r="N599" t="n">
        <v>0</v>
      </c>
      <c r="O599" t="n">
        <v>0</v>
      </c>
      <c r="P599" t="n">
        <v>0</v>
      </c>
      <c r="Q599" t="n">
        <v>0</v>
      </c>
      <c r="R599" s="2" t="inlineStr"/>
    </row>
    <row r="600" ht="15" customHeight="1">
      <c r="A600" t="inlineStr">
        <is>
          <t>A 33186-2025</t>
        </is>
      </c>
      <c r="B600" s="1" t="n">
        <v>45840.59474537037</v>
      </c>
      <c r="C600" s="1" t="n">
        <v>45887</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33188-2025</t>
        </is>
      </c>
      <c r="B601" s="1" t="n">
        <v>45840.59853009259</v>
      </c>
      <c r="C601" s="1" t="n">
        <v>45887</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47263-2023</t>
        </is>
      </c>
      <c r="B602" s="1" t="n">
        <v>45202.4209837963</v>
      </c>
      <c r="C602" s="1" t="n">
        <v>45887</v>
      </c>
      <c r="D602" t="inlineStr">
        <is>
          <t>KALMAR LÄN</t>
        </is>
      </c>
      <c r="E602" t="inlineStr">
        <is>
          <t>VIMMERBY</t>
        </is>
      </c>
      <c r="G602" t="n">
        <v>1.8</v>
      </c>
      <c r="H602" t="n">
        <v>0</v>
      </c>
      <c r="I602" t="n">
        <v>0</v>
      </c>
      <c r="J602" t="n">
        <v>0</v>
      </c>
      <c r="K602" t="n">
        <v>0</v>
      </c>
      <c r="L602" t="n">
        <v>0</v>
      </c>
      <c r="M602" t="n">
        <v>0</v>
      </c>
      <c r="N602" t="n">
        <v>0</v>
      </c>
      <c r="O602" t="n">
        <v>0</v>
      </c>
      <c r="P602" t="n">
        <v>0</v>
      </c>
      <c r="Q602" t="n">
        <v>0</v>
      </c>
      <c r="R602" s="2" t="inlineStr"/>
    </row>
    <row r="603" ht="15" customHeight="1">
      <c r="A603" t="inlineStr">
        <is>
          <t>A 53542-2022</t>
        </is>
      </c>
      <c r="B603" s="1" t="n">
        <v>44879.62173611111</v>
      </c>
      <c r="C603" s="1" t="n">
        <v>45887</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35713-2023</t>
        </is>
      </c>
      <c r="B604" s="1" t="n">
        <v>45147</v>
      </c>
      <c r="C604" s="1" t="n">
        <v>45887</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30977-2025</t>
        </is>
      </c>
      <c r="B605" s="1" t="n">
        <v>45832.46649305556</v>
      </c>
      <c r="C605" s="1" t="n">
        <v>45887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10424-2023</t>
        </is>
      </c>
      <c r="B606" s="1" t="n">
        <v>44987.54104166666</v>
      </c>
      <c r="C606" s="1" t="n">
        <v>45887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38397-2020</t>
        </is>
      </c>
      <c r="B607" s="1" t="n">
        <v>44060</v>
      </c>
      <c r="C607" s="1" t="n">
        <v>45887</v>
      </c>
      <c r="D607" t="inlineStr">
        <is>
          <t>KALMAR LÄN</t>
        </is>
      </c>
      <c r="E607" t="inlineStr">
        <is>
          <t>VIMMERBY</t>
        </is>
      </c>
      <c r="G607" t="n">
        <v>0.5</v>
      </c>
      <c r="H607" t="n">
        <v>0</v>
      </c>
      <c r="I607" t="n">
        <v>0</v>
      </c>
      <c r="J607" t="n">
        <v>0</v>
      </c>
      <c r="K607" t="n">
        <v>0</v>
      </c>
      <c r="L607" t="n">
        <v>0</v>
      </c>
      <c r="M607" t="n">
        <v>0</v>
      </c>
      <c r="N607" t="n">
        <v>0</v>
      </c>
      <c r="O607" t="n">
        <v>0</v>
      </c>
      <c r="P607" t="n">
        <v>0</v>
      </c>
      <c r="Q607" t="n">
        <v>0</v>
      </c>
      <c r="R607" s="2" t="inlineStr"/>
    </row>
    <row r="608" ht="15" customHeight="1">
      <c r="A608" t="inlineStr">
        <is>
          <t>A 37939-2025</t>
        </is>
      </c>
      <c r="B608" s="1" t="n">
        <v>45881.59877314815</v>
      </c>
      <c r="C608" s="1" t="n">
        <v>45887</v>
      </c>
      <c r="D608" t="inlineStr">
        <is>
          <t>KALMAR LÄN</t>
        </is>
      </c>
      <c r="E608" t="inlineStr">
        <is>
          <t>VIMMERBY</t>
        </is>
      </c>
      <c r="G608" t="n">
        <v>1.3</v>
      </c>
      <c r="H608" t="n">
        <v>0</v>
      </c>
      <c r="I608" t="n">
        <v>0</v>
      </c>
      <c r="J608" t="n">
        <v>0</v>
      </c>
      <c r="K608" t="n">
        <v>0</v>
      </c>
      <c r="L608" t="n">
        <v>0</v>
      </c>
      <c r="M608" t="n">
        <v>0</v>
      </c>
      <c r="N608" t="n">
        <v>0</v>
      </c>
      <c r="O608" t="n">
        <v>0</v>
      </c>
      <c r="P608" t="n">
        <v>0</v>
      </c>
      <c r="Q608" t="n">
        <v>0</v>
      </c>
      <c r="R608" s="2" t="inlineStr"/>
    </row>
    <row r="609" ht="15" customHeight="1">
      <c r="A609" t="inlineStr">
        <is>
          <t>A 18022-2025</t>
        </is>
      </c>
      <c r="B609" s="1" t="n">
        <v>45761.44584490741</v>
      </c>
      <c r="C609" s="1" t="n">
        <v>45887</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38604-2025</t>
        </is>
      </c>
      <c r="B610" s="1" t="n">
        <v>45884.50613425926</v>
      </c>
      <c r="C610" s="1" t="n">
        <v>45887</v>
      </c>
      <c r="D610" t="inlineStr">
        <is>
          <t>KALMAR LÄN</t>
        </is>
      </c>
      <c r="E610" t="inlineStr">
        <is>
          <t>VIMMERBY</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33695-2025</t>
        </is>
      </c>
      <c r="B611" s="1" t="n">
        <v>45841.70569444444</v>
      </c>
      <c r="C611" s="1" t="n">
        <v>45887</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33698-2025</t>
        </is>
      </c>
      <c r="B612" s="1" t="n">
        <v>45841.70868055556</v>
      </c>
      <c r="C612" s="1" t="n">
        <v>45887</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2536-2023</t>
        </is>
      </c>
      <c r="B613" s="1" t="n">
        <v>44943.62954861111</v>
      </c>
      <c r="C613" s="1" t="n">
        <v>45887</v>
      </c>
      <c r="D613" t="inlineStr">
        <is>
          <t>KALMAR LÄN</t>
        </is>
      </c>
      <c r="E613" t="inlineStr">
        <is>
          <t>VIMMERBY</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2801-2023</t>
        </is>
      </c>
      <c r="B614" s="1" t="n">
        <v>44944.73487268519</v>
      </c>
      <c r="C614" s="1" t="n">
        <v>45887</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17968-2025</t>
        </is>
      </c>
      <c r="B615" s="1" t="n">
        <v>45761.35990740741</v>
      </c>
      <c r="C615" s="1" t="n">
        <v>45887</v>
      </c>
      <c r="D615" t="inlineStr">
        <is>
          <t>KALMAR LÄN</t>
        </is>
      </c>
      <c r="E615" t="inlineStr">
        <is>
          <t>VIMMERBY</t>
        </is>
      </c>
      <c r="G615" t="n">
        <v>3.3</v>
      </c>
      <c r="H615" t="n">
        <v>0</v>
      </c>
      <c r="I615" t="n">
        <v>0</v>
      </c>
      <c r="J615" t="n">
        <v>0</v>
      </c>
      <c r="K615" t="n">
        <v>0</v>
      </c>
      <c r="L615" t="n">
        <v>0</v>
      </c>
      <c r="M615" t="n">
        <v>0</v>
      </c>
      <c r="N615" t="n">
        <v>0</v>
      </c>
      <c r="O615" t="n">
        <v>0</v>
      </c>
      <c r="P615" t="n">
        <v>0</v>
      </c>
      <c r="Q615" t="n">
        <v>0</v>
      </c>
      <c r="R615" s="2" t="inlineStr"/>
    </row>
    <row r="616" ht="15" customHeight="1">
      <c r="A616" t="inlineStr">
        <is>
          <t>A 18039-2025</t>
        </is>
      </c>
      <c r="B616" s="1" t="n">
        <v>45761.4566550926</v>
      </c>
      <c r="C616" s="1" t="n">
        <v>45887</v>
      </c>
      <c r="D616" t="inlineStr">
        <is>
          <t>KALMAR LÄN</t>
        </is>
      </c>
      <c r="E616" t="inlineStr">
        <is>
          <t>VIMMERBY</t>
        </is>
      </c>
      <c r="G616" t="n">
        <v>3</v>
      </c>
      <c r="H616" t="n">
        <v>0</v>
      </c>
      <c r="I616" t="n">
        <v>0</v>
      </c>
      <c r="J616" t="n">
        <v>0</v>
      </c>
      <c r="K616" t="n">
        <v>0</v>
      </c>
      <c r="L616" t="n">
        <v>0</v>
      </c>
      <c r="M616" t="n">
        <v>0</v>
      </c>
      <c r="N616" t="n">
        <v>0</v>
      </c>
      <c r="O616" t="n">
        <v>0</v>
      </c>
      <c r="P616" t="n">
        <v>0</v>
      </c>
      <c r="Q616" t="n">
        <v>0</v>
      </c>
      <c r="R616" s="2" t="inlineStr"/>
    </row>
    <row r="617" ht="15" customHeight="1">
      <c r="A617" t="inlineStr">
        <is>
          <t>A 33340-2023</t>
        </is>
      </c>
      <c r="B617" s="1" t="n">
        <v>45128.37305555555</v>
      </c>
      <c r="C617" s="1" t="n">
        <v>45887</v>
      </c>
      <c r="D617" t="inlineStr">
        <is>
          <t>KALMAR LÄN</t>
        </is>
      </c>
      <c r="E617" t="inlineStr">
        <is>
          <t>VIMMERBY</t>
        </is>
      </c>
      <c r="G617" t="n">
        <v>1.5</v>
      </c>
      <c r="H617" t="n">
        <v>0</v>
      </c>
      <c r="I617" t="n">
        <v>0</v>
      </c>
      <c r="J617" t="n">
        <v>0</v>
      </c>
      <c r="K617" t="n">
        <v>0</v>
      </c>
      <c r="L617" t="n">
        <v>0</v>
      </c>
      <c r="M617" t="n">
        <v>0</v>
      </c>
      <c r="N617" t="n">
        <v>0</v>
      </c>
      <c r="O617" t="n">
        <v>0</v>
      </c>
      <c r="P617" t="n">
        <v>0</v>
      </c>
      <c r="Q617" t="n">
        <v>0</v>
      </c>
      <c r="R617" s="2" t="inlineStr"/>
    </row>
    <row r="618" ht="15" customHeight="1">
      <c r="A618" t="inlineStr">
        <is>
          <t>A 29017-2024</t>
        </is>
      </c>
      <c r="B618" s="1" t="n">
        <v>45481.56722222222</v>
      </c>
      <c r="C618" s="1" t="n">
        <v>45887</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58046-2022</t>
        </is>
      </c>
      <c r="B619" s="1" t="n">
        <v>44900.57393518519</v>
      </c>
      <c r="C619" s="1" t="n">
        <v>45887</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33696-2025</t>
        </is>
      </c>
      <c r="B620" s="1" t="n">
        <v>45841.7072337963</v>
      </c>
      <c r="C620" s="1" t="n">
        <v>45887</v>
      </c>
      <c r="D620" t="inlineStr">
        <is>
          <t>KALMAR LÄN</t>
        </is>
      </c>
      <c r="E620" t="inlineStr">
        <is>
          <t>VIMMERBY</t>
        </is>
      </c>
      <c r="G620" t="n">
        <v>1.1</v>
      </c>
      <c r="H620" t="n">
        <v>0</v>
      </c>
      <c r="I620" t="n">
        <v>0</v>
      </c>
      <c r="J620" t="n">
        <v>0</v>
      </c>
      <c r="K620" t="n">
        <v>0</v>
      </c>
      <c r="L620" t="n">
        <v>0</v>
      </c>
      <c r="M620" t="n">
        <v>0</v>
      </c>
      <c r="N620" t="n">
        <v>0</v>
      </c>
      <c r="O620" t="n">
        <v>0</v>
      </c>
      <c r="P620" t="n">
        <v>0</v>
      </c>
      <c r="Q620" t="n">
        <v>0</v>
      </c>
      <c r="R620" s="2" t="inlineStr"/>
    </row>
    <row r="621" ht="15" customHeight="1">
      <c r="A621" t="inlineStr">
        <is>
          <t>A 14451-2024</t>
        </is>
      </c>
      <c r="B621" s="1" t="n">
        <v>45394.50028935185</v>
      </c>
      <c r="C621" s="1" t="n">
        <v>45887</v>
      </c>
      <c r="D621" t="inlineStr">
        <is>
          <t>KALMAR LÄN</t>
        </is>
      </c>
      <c r="E621" t="inlineStr">
        <is>
          <t>VIMMERBY</t>
        </is>
      </c>
      <c r="G621" t="n">
        <v>1.9</v>
      </c>
      <c r="H621" t="n">
        <v>0</v>
      </c>
      <c r="I621" t="n">
        <v>0</v>
      </c>
      <c r="J621" t="n">
        <v>0</v>
      </c>
      <c r="K621" t="n">
        <v>0</v>
      </c>
      <c r="L621" t="n">
        <v>0</v>
      </c>
      <c r="M621" t="n">
        <v>0</v>
      </c>
      <c r="N621" t="n">
        <v>0</v>
      </c>
      <c r="O621" t="n">
        <v>0</v>
      </c>
      <c r="P621" t="n">
        <v>0</v>
      </c>
      <c r="Q621" t="n">
        <v>0</v>
      </c>
      <c r="R621" s="2" t="inlineStr"/>
    </row>
    <row r="622" ht="15" customHeight="1">
      <c r="A622" t="inlineStr">
        <is>
          <t>A 14548-2024</t>
        </is>
      </c>
      <c r="B622" s="1" t="n">
        <v>45394.66887731481</v>
      </c>
      <c r="C622" s="1" t="n">
        <v>45887</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46238-2024</t>
        </is>
      </c>
      <c r="B623" s="1" t="n">
        <v>45581.58418981481</v>
      </c>
      <c r="C623" s="1" t="n">
        <v>45887</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50993-2022</t>
        </is>
      </c>
      <c r="B624" s="1" t="n">
        <v>44867</v>
      </c>
      <c r="C624" s="1" t="n">
        <v>45887</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46225-2024</t>
        </is>
      </c>
      <c r="B625" s="1" t="n">
        <v>45581.57333333333</v>
      </c>
      <c r="C625" s="1" t="n">
        <v>45887</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36055-2024</t>
        </is>
      </c>
      <c r="B626" s="1" t="n">
        <v>45533.63056712963</v>
      </c>
      <c r="C626" s="1" t="n">
        <v>45887</v>
      </c>
      <c r="D626" t="inlineStr">
        <is>
          <t>KALMAR LÄN</t>
        </is>
      </c>
      <c r="E626" t="inlineStr">
        <is>
          <t>VIMMERBY</t>
        </is>
      </c>
      <c r="F626" t="inlineStr">
        <is>
          <t>Kommuner</t>
        </is>
      </c>
      <c r="G626" t="n">
        <v>1.9</v>
      </c>
      <c r="H626" t="n">
        <v>0</v>
      </c>
      <c r="I626" t="n">
        <v>0</v>
      </c>
      <c r="J626" t="n">
        <v>0</v>
      </c>
      <c r="K626" t="n">
        <v>0</v>
      </c>
      <c r="L626" t="n">
        <v>0</v>
      </c>
      <c r="M626" t="n">
        <v>0</v>
      </c>
      <c r="N626" t="n">
        <v>0</v>
      </c>
      <c r="O626" t="n">
        <v>0</v>
      </c>
      <c r="P626" t="n">
        <v>0</v>
      </c>
      <c r="Q626" t="n">
        <v>0</v>
      </c>
      <c r="R626" s="2" t="inlineStr"/>
    </row>
    <row r="627" ht="15" customHeight="1">
      <c r="A627" t="inlineStr">
        <is>
          <t>A 38602-2025</t>
        </is>
      </c>
      <c r="B627" s="1" t="n">
        <v>45884.50331018519</v>
      </c>
      <c r="C627" s="1" t="n">
        <v>45887</v>
      </c>
      <c r="D627" t="inlineStr">
        <is>
          <t>KALMAR LÄN</t>
        </is>
      </c>
      <c r="E627" t="inlineStr">
        <is>
          <t>VIMMERBY</t>
        </is>
      </c>
      <c r="F627" t="inlineStr">
        <is>
          <t>Sveaskog</t>
        </is>
      </c>
      <c r="G627" t="n">
        <v>4.9</v>
      </c>
      <c r="H627" t="n">
        <v>0</v>
      </c>
      <c r="I627" t="n">
        <v>0</v>
      </c>
      <c r="J627" t="n">
        <v>0</v>
      </c>
      <c r="K627" t="n">
        <v>0</v>
      </c>
      <c r="L627" t="n">
        <v>0</v>
      </c>
      <c r="M627" t="n">
        <v>0</v>
      </c>
      <c r="N627" t="n">
        <v>0</v>
      </c>
      <c r="O627" t="n">
        <v>0</v>
      </c>
      <c r="P627" t="n">
        <v>0</v>
      </c>
      <c r="Q627" t="n">
        <v>0</v>
      </c>
      <c r="R627" s="2" t="inlineStr"/>
    </row>
    <row r="628" ht="15" customHeight="1">
      <c r="A628" t="inlineStr">
        <is>
          <t>A 47859-2024</t>
        </is>
      </c>
      <c r="B628" s="1" t="n">
        <v>45588.67070601852</v>
      </c>
      <c r="C628" s="1" t="n">
        <v>45887</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48120-2022</t>
        </is>
      </c>
      <c r="B629" s="1" t="n">
        <v>44857.65989583333</v>
      </c>
      <c r="C629" s="1" t="n">
        <v>45887</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3423-2022</t>
        </is>
      </c>
      <c r="B630" s="1" t="n">
        <v>44585.50431712963</v>
      </c>
      <c r="C630" s="1" t="n">
        <v>45887</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11074-2023</t>
        </is>
      </c>
      <c r="B631" s="1" t="n">
        <v>44992.34151620371</v>
      </c>
      <c r="C631" s="1" t="n">
        <v>45887</v>
      </c>
      <c r="D631" t="inlineStr">
        <is>
          <t>KALMAR LÄN</t>
        </is>
      </c>
      <c r="E631" t="inlineStr">
        <is>
          <t>VIMMERBY</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71631-2021</t>
        </is>
      </c>
      <c r="B632" s="1" t="n">
        <v>44542.90072916666</v>
      </c>
      <c r="C632" s="1" t="n">
        <v>45887</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32835-2022</t>
        </is>
      </c>
      <c r="B633" s="1" t="n">
        <v>44784.42528935185</v>
      </c>
      <c r="C633" s="1" t="n">
        <v>45887</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49039-2021</t>
        </is>
      </c>
      <c r="B634" s="1" t="n">
        <v>44453.56578703703</v>
      </c>
      <c r="C634" s="1" t="n">
        <v>45887</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41896-2023</t>
        </is>
      </c>
      <c r="B635" s="1" t="n">
        <v>45176.72427083334</v>
      </c>
      <c r="C635" s="1" t="n">
        <v>45887</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42918-2021</t>
        </is>
      </c>
      <c r="B636" s="1" t="n">
        <v>44431</v>
      </c>
      <c r="C636" s="1" t="n">
        <v>45887</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43606-2024</t>
        </is>
      </c>
      <c r="B637" s="1" t="n">
        <v>45569.45017361111</v>
      </c>
      <c r="C637" s="1" t="n">
        <v>45887</v>
      </c>
      <c r="D637" t="inlineStr">
        <is>
          <t>KALMAR LÄN</t>
        </is>
      </c>
      <c r="E637" t="inlineStr">
        <is>
          <t>VIMMERBY</t>
        </is>
      </c>
      <c r="G637" t="n">
        <v>1</v>
      </c>
      <c r="H637" t="n">
        <v>0</v>
      </c>
      <c r="I637" t="n">
        <v>0</v>
      </c>
      <c r="J637" t="n">
        <v>0</v>
      </c>
      <c r="K637" t="n">
        <v>0</v>
      </c>
      <c r="L637" t="n">
        <v>0</v>
      </c>
      <c r="M637" t="n">
        <v>0</v>
      </c>
      <c r="N637" t="n">
        <v>0</v>
      </c>
      <c r="O637" t="n">
        <v>0</v>
      </c>
      <c r="P637" t="n">
        <v>0</v>
      </c>
      <c r="Q637" t="n">
        <v>0</v>
      </c>
      <c r="R637" s="2" t="inlineStr"/>
    </row>
    <row r="638" ht="15" customHeight="1">
      <c r="A638" t="inlineStr">
        <is>
          <t>A 529-2022</t>
        </is>
      </c>
      <c r="B638" s="1" t="n">
        <v>44566</v>
      </c>
      <c r="C638" s="1" t="n">
        <v>45887</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12325-2023</t>
        </is>
      </c>
      <c r="B639" s="1" t="n">
        <v>44999.35858796296</v>
      </c>
      <c r="C639" s="1" t="n">
        <v>45887</v>
      </c>
      <c r="D639" t="inlineStr">
        <is>
          <t>KALMAR LÄN</t>
        </is>
      </c>
      <c r="E639" t="inlineStr">
        <is>
          <t>VIMMERBY</t>
        </is>
      </c>
      <c r="G639" t="n">
        <v>3.4</v>
      </c>
      <c r="H639" t="n">
        <v>0</v>
      </c>
      <c r="I639" t="n">
        <v>0</v>
      </c>
      <c r="J639" t="n">
        <v>0</v>
      </c>
      <c r="K639" t="n">
        <v>0</v>
      </c>
      <c r="L639" t="n">
        <v>0</v>
      </c>
      <c r="M639" t="n">
        <v>0</v>
      </c>
      <c r="N639" t="n">
        <v>0</v>
      </c>
      <c r="O639" t="n">
        <v>0</v>
      </c>
      <c r="P639" t="n">
        <v>0</v>
      </c>
      <c r="Q639" t="n">
        <v>0</v>
      </c>
      <c r="R639" s="2" t="inlineStr"/>
    </row>
    <row r="640" ht="15" customHeight="1">
      <c r="A640" t="inlineStr">
        <is>
          <t>A 8945-2025</t>
        </is>
      </c>
      <c r="B640" s="1" t="n">
        <v>45713.45311342592</v>
      </c>
      <c r="C640" s="1" t="n">
        <v>45887</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14855-2025</t>
        </is>
      </c>
      <c r="B641" s="1" t="n">
        <v>45743.41148148148</v>
      </c>
      <c r="C641" s="1" t="n">
        <v>45887</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40665-2023</t>
        </is>
      </c>
      <c r="B642" s="1" t="n">
        <v>45170</v>
      </c>
      <c r="C642" s="1" t="n">
        <v>45887</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60951-2023</t>
        </is>
      </c>
      <c r="B643" s="1" t="n">
        <v>45261.44914351852</v>
      </c>
      <c r="C643" s="1" t="n">
        <v>45887</v>
      </c>
      <c r="D643" t="inlineStr">
        <is>
          <t>KALMAR LÄN</t>
        </is>
      </c>
      <c r="E643" t="inlineStr">
        <is>
          <t>VIMMERBY</t>
        </is>
      </c>
      <c r="G643" t="n">
        <v>4.3</v>
      </c>
      <c r="H643" t="n">
        <v>0</v>
      </c>
      <c r="I643" t="n">
        <v>0</v>
      </c>
      <c r="J643" t="n">
        <v>0</v>
      </c>
      <c r="K643" t="n">
        <v>0</v>
      </c>
      <c r="L643" t="n">
        <v>0</v>
      </c>
      <c r="M643" t="n">
        <v>0</v>
      </c>
      <c r="N643" t="n">
        <v>0</v>
      </c>
      <c r="O643" t="n">
        <v>0</v>
      </c>
      <c r="P643" t="n">
        <v>0</v>
      </c>
      <c r="Q643" t="n">
        <v>0</v>
      </c>
      <c r="R643" s="2" t="inlineStr"/>
    </row>
    <row r="644" ht="15" customHeight="1">
      <c r="A644" t="inlineStr">
        <is>
          <t>A 13307-2025</t>
        </is>
      </c>
      <c r="B644" s="1" t="n">
        <v>45735.58024305556</v>
      </c>
      <c r="C644" s="1" t="n">
        <v>45887</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44746.38834490741</v>
      </c>
      <c r="C645" s="1" t="n">
        <v>45887</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19162-2023</t>
        </is>
      </c>
      <c r="B646" s="1" t="n">
        <v>45048.59699074074</v>
      </c>
      <c r="C646" s="1" t="n">
        <v>45887</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31209-2024</t>
        </is>
      </c>
      <c r="B647" s="1" t="n">
        <v>45503.5658912037</v>
      </c>
      <c r="C647" s="1" t="n">
        <v>45887</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55605-2024</t>
        </is>
      </c>
      <c r="B648" s="1" t="n">
        <v>45622</v>
      </c>
      <c r="C648" s="1" t="n">
        <v>45887</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42165-2024</t>
        </is>
      </c>
      <c r="B649" s="1" t="n">
        <v>45562.46342592593</v>
      </c>
      <c r="C649" s="1" t="n">
        <v>45887</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5864-2022</t>
        </is>
      </c>
      <c r="B650" s="1" t="n">
        <v>44596</v>
      </c>
      <c r="C650" s="1" t="n">
        <v>45887</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20129-2024</t>
        </is>
      </c>
      <c r="B651" s="1" t="n">
        <v>45434.55831018519</v>
      </c>
      <c r="C651" s="1" t="n">
        <v>45887</v>
      </c>
      <c r="D651" t="inlineStr">
        <is>
          <t>KALMAR LÄN</t>
        </is>
      </c>
      <c r="E651" t="inlineStr">
        <is>
          <t>VIMMERBY</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20137-2024</t>
        </is>
      </c>
      <c r="B652" s="1" t="n">
        <v>45434.56398148148</v>
      </c>
      <c r="C652" s="1" t="n">
        <v>45887</v>
      </c>
      <c r="D652" t="inlineStr">
        <is>
          <t>KALMAR LÄN</t>
        </is>
      </c>
      <c r="E652" t="inlineStr">
        <is>
          <t>VIMMERBY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43266-2024</t>
        </is>
      </c>
      <c r="B653" s="1" t="n">
        <v>45568.36879629629</v>
      </c>
      <c r="C653" s="1" t="n">
        <v>45887</v>
      </c>
      <c r="D653" t="inlineStr">
        <is>
          <t>KALMAR LÄN</t>
        </is>
      </c>
      <c r="E653" t="inlineStr">
        <is>
          <t>VIMMERBY</t>
        </is>
      </c>
      <c r="G653" t="n">
        <v>2.4</v>
      </c>
      <c r="H653" t="n">
        <v>0</v>
      </c>
      <c r="I653" t="n">
        <v>0</v>
      </c>
      <c r="J653" t="n">
        <v>0</v>
      </c>
      <c r="K653" t="n">
        <v>0</v>
      </c>
      <c r="L653" t="n">
        <v>0</v>
      </c>
      <c r="M653" t="n">
        <v>0</v>
      </c>
      <c r="N653" t="n">
        <v>0</v>
      </c>
      <c r="O653" t="n">
        <v>0</v>
      </c>
      <c r="P653" t="n">
        <v>0</v>
      </c>
      <c r="Q653" t="n">
        <v>0</v>
      </c>
      <c r="R653" s="2" t="inlineStr"/>
    </row>
    <row r="654" ht="15" customHeight="1">
      <c r="A654" t="inlineStr">
        <is>
          <t>A 42494-2020</t>
        </is>
      </c>
      <c r="B654" s="1" t="n">
        <v>44077</v>
      </c>
      <c r="C654" s="1" t="n">
        <v>45887</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23095-2023</t>
        </is>
      </c>
      <c r="B655" s="1" t="n">
        <v>45075.43059027778</v>
      </c>
      <c r="C655" s="1" t="n">
        <v>45887</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3938-2023</t>
        </is>
      </c>
      <c r="B656" s="1" t="n">
        <v>44952.35775462963</v>
      </c>
      <c r="C656" s="1" t="n">
        <v>45887</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32919-2022</t>
        </is>
      </c>
      <c r="B657" s="1" t="n">
        <v>44784.62724537037</v>
      </c>
      <c r="C657" s="1" t="n">
        <v>45887</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26937-2023</t>
        </is>
      </c>
      <c r="B658" s="1" t="n">
        <v>45093.62777777778</v>
      </c>
      <c r="C658" s="1" t="n">
        <v>45887</v>
      </c>
      <c r="D658" t="inlineStr">
        <is>
          <t>KALMAR LÄN</t>
        </is>
      </c>
      <c r="E658" t="inlineStr">
        <is>
          <t>VIMMERBY</t>
        </is>
      </c>
      <c r="F658" t="inlineStr">
        <is>
          <t>Sveaskog</t>
        </is>
      </c>
      <c r="G658" t="n">
        <v>14.5</v>
      </c>
      <c r="H658" t="n">
        <v>0</v>
      </c>
      <c r="I658" t="n">
        <v>0</v>
      </c>
      <c r="J658" t="n">
        <v>0</v>
      </c>
      <c r="K658" t="n">
        <v>0</v>
      </c>
      <c r="L658" t="n">
        <v>0</v>
      </c>
      <c r="M658" t="n">
        <v>0</v>
      </c>
      <c r="N658" t="n">
        <v>0</v>
      </c>
      <c r="O658" t="n">
        <v>0</v>
      </c>
      <c r="P658" t="n">
        <v>0</v>
      </c>
      <c r="Q658" t="n">
        <v>0</v>
      </c>
      <c r="R658" s="2" t="inlineStr"/>
    </row>
    <row r="659" ht="15" customHeight="1">
      <c r="A659" t="inlineStr">
        <is>
          <t>A 50085-2023</t>
        </is>
      </c>
      <c r="B659" s="1" t="n">
        <v>45215.5959375</v>
      </c>
      <c r="C659" s="1" t="n">
        <v>45887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7068-2024</t>
        </is>
      </c>
      <c r="B660" s="1" t="n">
        <v>45343.68038194445</v>
      </c>
      <c r="C660" s="1" t="n">
        <v>45887</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12596-2021</t>
        </is>
      </c>
      <c r="B661" s="1" t="n">
        <v>44270.39765046296</v>
      </c>
      <c r="C661" s="1" t="n">
        <v>45887</v>
      </c>
      <c r="D661" t="inlineStr">
        <is>
          <t>KALMAR LÄN</t>
        </is>
      </c>
      <c r="E661" t="inlineStr">
        <is>
          <t>VIMMERBY</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11219-2023</t>
        </is>
      </c>
      <c r="B662" s="1" t="n">
        <v>44992.62498842592</v>
      </c>
      <c r="C662" s="1" t="n">
        <v>45887</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32655-2023</t>
        </is>
      </c>
      <c r="B663" s="1" t="n">
        <v>45121.61318287037</v>
      </c>
      <c r="C663" s="1" t="n">
        <v>45887</v>
      </c>
      <c r="D663" t="inlineStr">
        <is>
          <t>KALMAR LÄN</t>
        </is>
      </c>
      <c r="E663" t="inlineStr">
        <is>
          <t>VIMMERBY</t>
        </is>
      </c>
      <c r="F663" t="inlineStr">
        <is>
          <t>Sveaskog</t>
        </is>
      </c>
      <c r="G663" t="n">
        <v>2</v>
      </c>
      <c r="H663" t="n">
        <v>0</v>
      </c>
      <c r="I663" t="n">
        <v>0</v>
      </c>
      <c r="J663" t="n">
        <v>0</v>
      </c>
      <c r="K663" t="n">
        <v>0</v>
      </c>
      <c r="L663" t="n">
        <v>0</v>
      </c>
      <c r="M663" t="n">
        <v>0</v>
      </c>
      <c r="N663" t="n">
        <v>0</v>
      </c>
      <c r="O663" t="n">
        <v>0</v>
      </c>
      <c r="P663" t="n">
        <v>0</v>
      </c>
      <c r="Q663" t="n">
        <v>0</v>
      </c>
      <c r="R663" s="2" t="inlineStr"/>
    </row>
    <row r="664" ht="15" customHeight="1">
      <c r="A664" t="inlineStr">
        <is>
          <t>A 54409-2024</t>
        </is>
      </c>
      <c r="B664" s="1" t="n">
        <v>45617.47570601852</v>
      </c>
      <c r="C664" s="1" t="n">
        <v>45887</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9475-2023</t>
        </is>
      </c>
      <c r="B665" s="1" t="n">
        <v>44981.58834490741</v>
      </c>
      <c r="C665" s="1" t="n">
        <v>45887</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6850-2023</t>
        </is>
      </c>
      <c r="B666" s="1" t="n">
        <v>44967.44255787037</v>
      </c>
      <c r="C666" s="1" t="n">
        <v>45887</v>
      </c>
      <c r="D666" t="inlineStr">
        <is>
          <t>KALMAR LÄN</t>
        </is>
      </c>
      <c r="E666" t="inlineStr">
        <is>
          <t>VIMMERBY</t>
        </is>
      </c>
      <c r="G666" t="n">
        <v>0.6</v>
      </c>
      <c r="H666" t="n">
        <v>0</v>
      </c>
      <c r="I666" t="n">
        <v>0</v>
      </c>
      <c r="J666" t="n">
        <v>0</v>
      </c>
      <c r="K666" t="n">
        <v>0</v>
      </c>
      <c r="L666" t="n">
        <v>0</v>
      </c>
      <c r="M666" t="n">
        <v>0</v>
      </c>
      <c r="N666" t="n">
        <v>0</v>
      </c>
      <c r="O666" t="n">
        <v>0</v>
      </c>
      <c r="P666" t="n">
        <v>0</v>
      </c>
      <c r="Q666" t="n">
        <v>0</v>
      </c>
      <c r="R666" s="2" t="inlineStr"/>
    </row>
    <row r="667" ht="15" customHeight="1">
      <c r="A667" t="inlineStr">
        <is>
          <t>A 6358-2022</t>
        </is>
      </c>
      <c r="B667" s="1" t="n">
        <v>44600</v>
      </c>
      <c r="C667" s="1" t="n">
        <v>45887</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43092-2024</t>
        </is>
      </c>
      <c r="B668" s="1" t="n">
        <v>45567</v>
      </c>
      <c r="C668" s="1" t="n">
        <v>45887</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11619-2023</t>
        </is>
      </c>
      <c r="B669" s="1" t="n">
        <v>44994.42113425926</v>
      </c>
      <c r="C669" s="1" t="n">
        <v>45887</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43853-2023</t>
        </is>
      </c>
      <c r="B670" s="1" t="n">
        <v>45187.60813657408</v>
      </c>
      <c r="C670" s="1" t="n">
        <v>45887</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5074-2023</t>
        </is>
      </c>
      <c r="B671" s="1" t="n">
        <v>44958.61047453704</v>
      </c>
      <c r="C671" s="1" t="n">
        <v>45887</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7075-2021</t>
        </is>
      </c>
      <c r="B672" s="1" t="n">
        <v>44237</v>
      </c>
      <c r="C672" s="1" t="n">
        <v>45887</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6368-2023</t>
        </is>
      </c>
      <c r="B673" s="1" t="n">
        <v>44965</v>
      </c>
      <c r="C673" s="1" t="n">
        <v>45887</v>
      </c>
      <c r="D673" t="inlineStr">
        <is>
          <t>KALMAR LÄN</t>
        </is>
      </c>
      <c r="E673" t="inlineStr">
        <is>
          <t>VIMMERBY</t>
        </is>
      </c>
      <c r="G673" t="n">
        <v>1.3</v>
      </c>
      <c r="H673" t="n">
        <v>0</v>
      </c>
      <c r="I673" t="n">
        <v>0</v>
      </c>
      <c r="J673" t="n">
        <v>0</v>
      </c>
      <c r="K673" t="n">
        <v>0</v>
      </c>
      <c r="L673" t="n">
        <v>0</v>
      </c>
      <c r="M673" t="n">
        <v>0</v>
      </c>
      <c r="N673" t="n">
        <v>0</v>
      </c>
      <c r="O673" t="n">
        <v>0</v>
      </c>
      <c r="P673" t="n">
        <v>0</v>
      </c>
      <c r="Q673" t="n">
        <v>0</v>
      </c>
      <c r="R673" s="2" t="inlineStr"/>
    </row>
    <row r="674" ht="15" customHeight="1">
      <c r="A674" t="inlineStr">
        <is>
          <t>A 5701-2024</t>
        </is>
      </c>
      <c r="B674" s="1" t="n">
        <v>45334.78826388889</v>
      </c>
      <c r="C674" s="1" t="n">
        <v>45887</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48673-2021</t>
        </is>
      </c>
      <c r="B675" s="1" t="n">
        <v>44452</v>
      </c>
      <c r="C675" s="1" t="n">
        <v>45887</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14137-2023</t>
        </is>
      </c>
      <c r="B676" s="1" t="n">
        <v>45009.4671875</v>
      </c>
      <c r="C676" s="1" t="n">
        <v>45887</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7630-2025</t>
        </is>
      </c>
      <c r="B677" s="1" t="n">
        <v>45705.74418981482</v>
      </c>
      <c r="C677" s="1" t="n">
        <v>45887</v>
      </c>
      <c r="D677" t="inlineStr">
        <is>
          <t>KALMAR LÄN</t>
        </is>
      </c>
      <c r="E677" t="inlineStr">
        <is>
          <t>VIMMERBY</t>
        </is>
      </c>
      <c r="G677" t="n">
        <v>2.5</v>
      </c>
      <c r="H677" t="n">
        <v>0</v>
      </c>
      <c r="I677" t="n">
        <v>0</v>
      </c>
      <c r="J677" t="n">
        <v>0</v>
      </c>
      <c r="K677" t="n">
        <v>0</v>
      </c>
      <c r="L677" t="n">
        <v>0</v>
      </c>
      <c r="M677" t="n">
        <v>0</v>
      </c>
      <c r="N677" t="n">
        <v>0</v>
      </c>
      <c r="O677" t="n">
        <v>0</v>
      </c>
      <c r="P677" t="n">
        <v>0</v>
      </c>
      <c r="Q677" t="n">
        <v>0</v>
      </c>
      <c r="R677" s="2" t="inlineStr"/>
    </row>
    <row r="678" ht="15" customHeight="1">
      <c r="A678" t="inlineStr">
        <is>
          <t>A 7797-2023</t>
        </is>
      </c>
      <c r="B678" s="1" t="n">
        <v>44973.43075231482</v>
      </c>
      <c r="C678" s="1" t="n">
        <v>45887</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38780-2021</t>
        </is>
      </c>
      <c r="B679" s="1" t="n">
        <v>44410</v>
      </c>
      <c r="C679" s="1" t="n">
        <v>45887</v>
      </c>
      <c r="D679" t="inlineStr">
        <is>
          <t>KALMAR LÄN</t>
        </is>
      </c>
      <c r="E679" t="inlineStr">
        <is>
          <t>VIMMERBY</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30503-2023</t>
        </is>
      </c>
      <c r="B680" s="1" t="n">
        <v>45111</v>
      </c>
      <c r="C680" s="1" t="n">
        <v>45887</v>
      </c>
      <c r="D680" t="inlineStr">
        <is>
          <t>KALMAR LÄN</t>
        </is>
      </c>
      <c r="E680" t="inlineStr">
        <is>
          <t>VIMMERBY</t>
        </is>
      </c>
      <c r="G680" t="n">
        <v>0.5</v>
      </c>
      <c r="H680" t="n">
        <v>0</v>
      </c>
      <c r="I680" t="n">
        <v>0</v>
      </c>
      <c r="J680" t="n">
        <v>0</v>
      </c>
      <c r="K680" t="n">
        <v>0</v>
      </c>
      <c r="L680" t="n">
        <v>0</v>
      </c>
      <c r="M680" t="n">
        <v>0</v>
      </c>
      <c r="N680" t="n">
        <v>0</v>
      </c>
      <c r="O680" t="n">
        <v>0</v>
      </c>
      <c r="P680" t="n">
        <v>0</v>
      </c>
      <c r="Q680" t="n">
        <v>0</v>
      </c>
      <c r="R680" s="2" t="inlineStr"/>
    </row>
    <row r="681" ht="15" customHeight="1">
      <c r="A681" t="inlineStr">
        <is>
          <t>A 24655-2021</t>
        </is>
      </c>
      <c r="B681" s="1" t="n">
        <v>44340</v>
      </c>
      <c r="C681" s="1" t="n">
        <v>45887</v>
      </c>
      <c r="D681" t="inlineStr">
        <is>
          <t>KALMAR LÄN</t>
        </is>
      </c>
      <c r="E681" t="inlineStr">
        <is>
          <t>VIMMERBY</t>
        </is>
      </c>
      <c r="G681" t="n">
        <v>14.9</v>
      </c>
      <c r="H681" t="n">
        <v>0</v>
      </c>
      <c r="I681" t="n">
        <v>0</v>
      </c>
      <c r="J681" t="n">
        <v>0</v>
      </c>
      <c r="K681" t="n">
        <v>0</v>
      </c>
      <c r="L681" t="n">
        <v>0</v>
      </c>
      <c r="M681" t="n">
        <v>0</v>
      </c>
      <c r="N681" t="n">
        <v>0</v>
      </c>
      <c r="O681" t="n">
        <v>0</v>
      </c>
      <c r="P681" t="n">
        <v>0</v>
      </c>
      <c r="Q681" t="n">
        <v>0</v>
      </c>
      <c r="R681" s="2" t="inlineStr"/>
    </row>
    <row r="682" ht="15" customHeight="1">
      <c r="A682" t="inlineStr">
        <is>
          <t>A 60110-2022</t>
        </is>
      </c>
      <c r="B682" s="1" t="n">
        <v>44909</v>
      </c>
      <c r="C682" s="1" t="n">
        <v>45887</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59300-2024</t>
        </is>
      </c>
      <c r="B683" s="1" t="n">
        <v>45637.66542824074</v>
      </c>
      <c r="C683" s="1" t="n">
        <v>45887</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8410-2023</t>
        </is>
      </c>
      <c r="B684" s="1" t="n">
        <v>44977</v>
      </c>
      <c r="C684" s="1" t="n">
        <v>45887</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6028-2023</t>
        </is>
      </c>
      <c r="B685" s="1" t="n">
        <v>44964.44356481481</v>
      </c>
      <c r="C685" s="1" t="n">
        <v>45887</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52823-2024</t>
        </is>
      </c>
      <c r="B686" s="1" t="n">
        <v>45610.59094907407</v>
      </c>
      <c r="C686" s="1" t="n">
        <v>45887</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19445-2021</t>
        </is>
      </c>
      <c r="B687" s="1" t="n">
        <v>44310</v>
      </c>
      <c r="C687" s="1" t="n">
        <v>45887</v>
      </c>
      <c r="D687" t="inlineStr">
        <is>
          <t>KALMAR LÄN</t>
        </is>
      </c>
      <c r="E687" t="inlineStr">
        <is>
          <t>VIMMERBY</t>
        </is>
      </c>
      <c r="G687" t="n">
        <v>6.8</v>
      </c>
      <c r="H687" t="n">
        <v>0</v>
      </c>
      <c r="I687" t="n">
        <v>0</v>
      </c>
      <c r="J687" t="n">
        <v>0</v>
      </c>
      <c r="K687" t="n">
        <v>0</v>
      </c>
      <c r="L687" t="n">
        <v>0</v>
      </c>
      <c r="M687" t="n">
        <v>0</v>
      </c>
      <c r="N687" t="n">
        <v>0</v>
      </c>
      <c r="O687" t="n">
        <v>0</v>
      </c>
      <c r="P687" t="n">
        <v>0</v>
      </c>
      <c r="Q687" t="n">
        <v>0</v>
      </c>
      <c r="R687" s="2" t="inlineStr"/>
    </row>
    <row r="688" ht="15" customHeight="1">
      <c r="A688" t="inlineStr">
        <is>
          <t>A 56853-2022</t>
        </is>
      </c>
      <c r="B688" s="1" t="n">
        <v>44894.49538194444</v>
      </c>
      <c r="C688" s="1" t="n">
        <v>45887</v>
      </c>
      <c r="D688" t="inlineStr">
        <is>
          <t>KALMAR LÄN</t>
        </is>
      </c>
      <c r="E688" t="inlineStr">
        <is>
          <t>VIMMERBY</t>
        </is>
      </c>
      <c r="G688" t="n">
        <v>4.3</v>
      </c>
      <c r="H688" t="n">
        <v>0</v>
      </c>
      <c r="I688" t="n">
        <v>0</v>
      </c>
      <c r="J688" t="n">
        <v>0</v>
      </c>
      <c r="K688" t="n">
        <v>0</v>
      </c>
      <c r="L688" t="n">
        <v>0</v>
      </c>
      <c r="M688" t="n">
        <v>0</v>
      </c>
      <c r="N688" t="n">
        <v>0</v>
      </c>
      <c r="O688" t="n">
        <v>0</v>
      </c>
      <c r="P688" t="n">
        <v>0</v>
      </c>
      <c r="Q688" t="n">
        <v>0</v>
      </c>
      <c r="R688" s="2" t="inlineStr"/>
    </row>
    <row r="689" ht="15" customHeight="1">
      <c r="A689" t="inlineStr">
        <is>
          <t>A 11152-2023</t>
        </is>
      </c>
      <c r="B689" s="1" t="n">
        <v>44992</v>
      </c>
      <c r="C689" s="1" t="n">
        <v>45887</v>
      </c>
      <c r="D689" t="inlineStr">
        <is>
          <t>KALMAR LÄN</t>
        </is>
      </c>
      <c r="E689" t="inlineStr">
        <is>
          <t>VIMMERBY</t>
        </is>
      </c>
      <c r="G689" t="n">
        <v>10.6</v>
      </c>
      <c r="H689" t="n">
        <v>0</v>
      </c>
      <c r="I689" t="n">
        <v>0</v>
      </c>
      <c r="J689" t="n">
        <v>0</v>
      </c>
      <c r="K689" t="n">
        <v>0</v>
      </c>
      <c r="L689" t="n">
        <v>0</v>
      </c>
      <c r="M689" t="n">
        <v>0</v>
      </c>
      <c r="N689" t="n">
        <v>0</v>
      </c>
      <c r="O689" t="n">
        <v>0</v>
      </c>
      <c r="P689" t="n">
        <v>0</v>
      </c>
      <c r="Q689" t="n">
        <v>0</v>
      </c>
      <c r="R689" s="2" t="inlineStr"/>
    </row>
    <row r="690" ht="15" customHeight="1">
      <c r="A690" t="inlineStr">
        <is>
          <t>A 18329-2023</t>
        </is>
      </c>
      <c r="B690" s="1" t="n">
        <v>45041.63380787037</v>
      </c>
      <c r="C690" s="1" t="n">
        <v>45887</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15550-2023</t>
        </is>
      </c>
      <c r="B691" s="1" t="n">
        <v>45020</v>
      </c>
      <c r="C691" s="1" t="n">
        <v>45887</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5720-2023</t>
        </is>
      </c>
      <c r="B692" s="1" t="n">
        <v>44961</v>
      </c>
      <c r="C692" s="1" t="n">
        <v>45887</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61538-2022</t>
        </is>
      </c>
      <c r="B693" s="1" t="n">
        <v>44916.55414351852</v>
      </c>
      <c r="C693" s="1" t="n">
        <v>45887</v>
      </c>
      <c r="D693" t="inlineStr">
        <is>
          <t>KALMAR LÄN</t>
        </is>
      </c>
      <c r="E693" t="inlineStr">
        <is>
          <t>VIMMERBY</t>
        </is>
      </c>
      <c r="G693" t="n">
        <v>1.5</v>
      </c>
      <c r="H693" t="n">
        <v>0</v>
      </c>
      <c r="I693" t="n">
        <v>0</v>
      </c>
      <c r="J693" t="n">
        <v>0</v>
      </c>
      <c r="K693" t="n">
        <v>0</v>
      </c>
      <c r="L693" t="n">
        <v>0</v>
      </c>
      <c r="M693" t="n">
        <v>0</v>
      </c>
      <c r="N693" t="n">
        <v>0</v>
      </c>
      <c r="O693" t="n">
        <v>0</v>
      </c>
      <c r="P693" t="n">
        <v>0</v>
      </c>
      <c r="Q693" t="n">
        <v>0</v>
      </c>
      <c r="R693" s="2" t="inlineStr"/>
    </row>
    <row r="694" ht="15" customHeight="1">
      <c r="A694" t="inlineStr">
        <is>
          <t>A 31355-2023</t>
        </is>
      </c>
      <c r="B694" s="1" t="n">
        <v>45114.49505787037</v>
      </c>
      <c r="C694" s="1" t="n">
        <v>45887</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10830-2025</t>
        </is>
      </c>
      <c r="B695" s="1" t="n">
        <v>45722.56422453704</v>
      </c>
      <c r="C695" s="1" t="n">
        <v>45887</v>
      </c>
      <c r="D695" t="inlineStr">
        <is>
          <t>KALMAR LÄN</t>
        </is>
      </c>
      <c r="E695" t="inlineStr">
        <is>
          <t>VIMMERBY</t>
        </is>
      </c>
      <c r="G695" t="n">
        <v>3.4</v>
      </c>
      <c r="H695" t="n">
        <v>0</v>
      </c>
      <c r="I695" t="n">
        <v>0</v>
      </c>
      <c r="J695" t="n">
        <v>0</v>
      </c>
      <c r="K695" t="n">
        <v>0</v>
      </c>
      <c r="L695" t="n">
        <v>0</v>
      </c>
      <c r="M695" t="n">
        <v>0</v>
      </c>
      <c r="N695" t="n">
        <v>0</v>
      </c>
      <c r="O695" t="n">
        <v>0</v>
      </c>
      <c r="P695" t="n">
        <v>0</v>
      </c>
      <c r="Q695" t="n">
        <v>0</v>
      </c>
      <c r="R695" s="2" t="inlineStr"/>
    </row>
    <row r="696" ht="15" customHeight="1">
      <c r="A696" t="inlineStr">
        <is>
          <t>A 18330-2023</t>
        </is>
      </c>
      <c r="B696" s="1" t="n">
        <v>45041</v>
      </c>
      <c r="C696" s="1" t="n">
        <v>45887</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694-2024</t>
        </is>
      </c>
      <c r="B697" s="1" t="n">
        <v>45300.3794212963</v>
      </c>
      <c r="C697" s="1" t="n">
        <v>45887</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57114-2023</t>
        </is>
      </c>
      <c r="B698" s="1" t="n">
        <v>45245.36174768519</v>
      </c>
      <c r="C698" s="1" t="n">
        <v>45887</v>
      </c>
      <c r="D698" t="inlineStr">
        <is>
          <t>KALMAR LÄN</t>
        </is>
      </c>
      <c r="E698" t="inlineStr">
        <is>
          <t>VIMMERBY</t>
        </is>
      </c>
      <c r="G698" t="n">
        <v>1.5</v>
      </c>
      <c r="H698" t="n">
        <v>0</v>
      </c>
      <c r="I698" t="n">
        <v>0</v>
      </c>
      <c r="J698" t="n">
        <v>0</v>
      </c>
      <c r="K698" t="n">
        <v>0</v>
      </c>
      <c r="L698" t="n">
        <v>0</v>
      </c>
      <c r="M698" t="n">
        <v>0</v>
      </c>
      <c r="N698" t="n">
        <v>0</v>
      </c>
      <c r="O698" t="n">
        <v>0</v>
      </c>
      <c r="P698" t="n">
        <v>0</v>
      </c>
      <c r="Q698" t="n">
        <v>0</v>
      </c>
      <c r="R698" s="2" t="inlineStr"/>
    </row>
    <row r="699" ht="15" customHeight="1">
      <c r="A699" t="inlineStr">
        <is>
          <t>A 58100-2024</t>
        </is>
      </c>
      <c r="B699" s="1" t="n">
        <v>45632.36706018518</v>
      </c>
      <c r="C699" s="1" t="n">
        <v>45887</v>
      </c>
      <c r="D699" t="inlineStr">
        <is>
          <t>KALMAR LÄN</t>
        </is>
      </c>
      <c r="E699" t="inlineStr">
        <is>
          <t>VIMMERBY</t>
        </is>
      </c>
      <c r="G699" t="n">
        <v>0.9</v>
      </c>
      <c r="H699" t="n">
        <v>0</v>
      </c>
      <c r="I699" t="n">
        <v>0</v>
      </c>
      <c r="J699" t="n">
        <v>0</v>
      </c>
      <c r="K699" t="n">
        <v>0</v>
      </c>
      <c r="L699" t="n">
        <v>0</v>
      </c>
      <c r="M699" t="n">
        <v>0</v>
      </c>
      <c r="N699" t="n">
        <v>0</v>
      </c>
      <c r="O699" t="n">
        <v>0</v>
      </c>
      <c r="P699" t="n">
        <v>0</v>
      </c>
      <c r="Q699" t="n">
        <v>0</v>
      </c>
      <c r="R699" s="2" t="inlineStr"/>
    </row>
    <row r="700" ht="15" customHeight="1">
      <c r="A700" t="inlineStr">
        <is>
          <t>A 27993-2022</t>
        </is>
      </c>
      <c r="B700" s="1" t="n">
        <v>44745.84396990741</v>
      </c>
      <c r="C700" s="1" t="n">
        <v>45887</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38530-2020</t>
        </is>
      </c>
      <c r="B701" s="1" t="n">
        <v>44061</v>
      </c>
      <c r="C701" s="1" t="n">
        <v>45887</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12327-2023</t>
        </is>
      </c>
      <c r="B702" s="1" t="n">
        <v>44999.36081018519</v>
      </c>
      <c r="C702" s="1" t="n">
        <v>45887</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38969-2023</t>
        </is>
      </c>
      <c r="B703" s="1" t="n">
        <v>45163.63621527778</v>
      </c>
      <c r="C703" s="1" t="n">
        <v>45887</v>
      </c>
      <c r="D703" t="inlineStr">
        <is>
          <t>KALMAR LÄN</t>
        </is>
      </c>
      <c r="E703" t="inlineStr">
        <is>
          <t>VIMMERBY</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53752-2024</t>
        </is>
      </c>
      <c r="B704" s="1" t="n">
        <v>45615.48927083334</v>
      </c>
      <c r="C704" s="1" t="n">
        <v>45887</v>
      </c>
      <c r="D704" t="inlineStr">
        <is>
          <t>KALMAR LÄN</t>
        </is>
      </c>
      <c r="E704" t="inlineStr">
        <is>
          <t>VIMMERBY</t>
        </is>
      </c>
      <c r="G704" t="n">
        <v>2.4</v>
      </c>
      <c r="H704" t="n">
        <v>0</v>
      </c>
      <c r="I704" t="n">
        <v>0</v>
      </c>
      <c r="J704" t="n">
        <v>0</v>
      </c>
      <c r="K704" t="n">
        <v>0</v>
      </c>
      <c r="L704" t="n">
        <v>0</v>
      </c>
      <c r="M704" t="n">
        <v>0</v>
      </c>
      <c r="N704" t="n">
        <v>0</v>
      </c>
      <c r="O704" t="n">
        <v>0</v>
      </c>
      <c r="P704" t="n">
        <v>0</v>
      </c>
      <c r="Q704" t="n">
        <v>0</v>
      </c>
      <c r="R704" s="2" t="inlineStr"/>
    </row>
    <row r="705" ht="15" customHeight="1">
      <c r="A705" t="inlineStr">
        <is>
          <t>A 30633-2024</t>
        </is>
      </c>
      <c r="B705" s="1" t="n">
        <v>45495</v>
      </c>
      <c r="C705" s="1" t="n">
        <v>45887</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33424-2023</t>
        </is>
      </c>
      <c r="B706" s="1" t="n">
        <v>45128.9325</v>
      </c>
      <c r="C706" s="1" t="n">
        <v>45887</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33425-2023</t>
        </is>
      </c>
      <c r="B707" s="1" t="n">
        <v>45128.93540509259</v>
      </c>
      <c r="C707" s="1" t="n">
        <v>45887</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3609-2024</t>
        </is>
      </c>
      <c r="B708" s="1" t="n">
        <v>45320.89128472222</v>
      </c>
      <c r="C708" s="1" t="n">
        <v>45887</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58728-2024</t>
        </is>
      </c>
      <c r="B709" s="1" t="n">
        <v>45635.66695601852</v>
      </c>
      <c r="C709" s="1" t="n">
        <v>45887</v>
      </c>
      <c r="D709" t="inlineStr">
        <is>
          <t>KALMAR LÄN</t>
        </is>
      </c>
      <c r="E709" t="inlineStr">
        <is>
          <t>VIMMERBY</t>
        </is>
      </c>
      <c r="G709" t="n">
        <v>0.4</v>
      </c>
      <c r="H709" t="n">
        <v>0</v>
      </c>
      <c r="I709" t="n">
        <v>0</v>
      </c>
      <c r="J709" t="n">
        <v>0</v>
      </c>
      <c r="K709" t="n">
        <v>0</v>
      </c>
      <c r="L709" t="n">
        <v>0</v>
      </c>
      <c r="M709" t="n">
        <v>0</v>
      </c>
      <c r="N709" t="n">
        <v>0</v>
      </c>
      <c r="O709" t="n">
        <v>0</v>
      </c>
      <c r="P709" t="n">
        <v>0</v>
      </c>
      <c r="Q709" t="n">
        <v>0</v>
      </c>
      <c r="R709" s="2" t="inlineStr"/>
    </row>
    <row r="710" ht="15" customHeight="1">
      <c r="A710" t="inlineStr">
        <is>
          <t>A 43242-2024</t>
        </is>
      </c>
      <c r="B710" s="1" t="n">
        <v>45568.30189814815</v>
      </c>
      <c r="C710" s="1" t="n">
        <v>45887</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16983-2023</t>
        </is>
      </c>
      <c r="B711" s="1" t="n">
        <v>45033.76043981482</v>
      </c>
      <c r="C711" s="1" t="n">
        <v>45887</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6314-2025</t>
        </is>
      </c>
      <c r="B712" s="1" t="n">
        <v>45698.7259837963</v>
      </c>
      <c r="C712" s="1" t="n">
        <v>45887</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6405-2025</t>
        </is>
      </c>
      <c r="B713" s="1" t="n">
        <v>45699.45392361111</v>
      </c>
      <c r="C713" s="1" t="n">
        <v>45887</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36843-2023</t>
        </is>
      </c>
      <c r="B714" s="1" t="n">
        <v>45154.49831018518</v>
      </c>
      <c r="C714" s="1" t="n">
        <v>45887</v>
      </c>
      <c r="D714" t="inlineStr">
        <is>
          <t>KALMAR LÄN</t>
        </is>
      </c>
      <c r="E714" t="inlineStr">
        <is>
          <t>VIMMERBY</t>
        </is>
      </c>
      <c r="G714" t="n">
        <v>2</v>
      </c>
      <c r="H714" t="n">
        <v>0</v>
      </c>
      <c r="I714" t="n">
        <v>0</v>
      </c>
      <c r="J714" t="n">
        <v>0</v>
      </c>
      <c r="K714" t="n">
        <v>0</v>
      </c>
      <c r="L714" t="n">
        <v>0</v>
      </c>
      <c r="M714" t="n">
        <v>0</v>
      </c>
      <c r="N714" t="n">
        <v>0</v>
      </c>
      <c r="O714" t="n">
        <v>0</v>
      </c>
      <c r="P714" t="n">
        <v>0</v>
      </c>
      <c r="Q714" t="n">
        <v>0</v>
      </c>
      <c r="R714" s="2" t="inlineStr"/>
    </row>
    <row r="715" ht="15" customHeight="1">
      <c r="A715" t="inlineStr">
        <is>
          <t>A 8650-2022</t>
        </is>
      </c>
      <c r="B715" s="1" t="n">
        <v>44613</v>
      </c>
      <c r="C715" s="1" t="n">
        <v>45887</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57486-2024</t>
        </is>
      </c>
      <c r="B716" s="1" t="n">
        <v>45630.35827546296</v>
      </c>
      <c r="C716" s="1" t="n">
        <v>45887</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66295-2020</t>
        </is>
      </c>
      <c r="B717" s="1" t="n">
        <v>44176</v>
      </c>
      <c r="C717" s="1" t="n">
        <v>45887</v>
      </c>
      <c r="D717" t="inlineStr">
        <is>
          <t>KALMAR LÄN</t>
        </is>
      </c>
      <c r="E717" t="inlineStr">
        <is>
          <t>VIMMERBY</t>
        </is>
      </c>
      <c r="G717" t="n">
        <v>4.1</v>
      </c>
      <c r="H717" t="n">
        <v>0</v>
      </c>
      <c r="I717" t="n">
        <v>0</v>
      </c>
      <c r="J717" t="n">
        <v>0</v>
      </c>
      <c r="K717" t="n">
        <v>0</v>
      </c>
      <c r="L717" t="n">
        <v>0</v>
      </c>
      <c r="M717" t="n">
        <v>0</v>
      </c>
      <c r="N717" t="n">
        <v>0</v>
      </c>
      <c r="O717" t="n">
        <v>0</v>
      </c>
      <c r="P717" t="n">
        <v>0</v>
      </c>
      <c r="Q717" t="n">
        <v>0</v>
      </c>
      <c r="R717" s="2" t="inlineStr"/>
    </row>
    <row r="718" ht="15" customHeight="1">
      <c r="A718" t="inlineStr">
        <is>
          <t>A 11147-2023</t>
        </is>
      </c>
      <c r="B718" s="1" t="n">
        <v>44992</v>
      </c>
      <c r="C718" s="1" t="n">
        <v>45887</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44423-2023</t>
        </is>
      </c>
      <c r="B719" s="1" t="n">
        <v>45189</v>
      </c>
      <c r="C719" s="1" t="n">
        <v>45887</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20-2025</t>
        </is>
      </c>
      <c r="B720" s="1" t="n">
        <v>45658.80232638889</v>
      </c>
      <c r="C720" s="1" t="n">
        <v>45887</v>
      </c>
      <c r="D720" t="inlineStr">
        <is>
          <t>KALMAR LÄN</t>
        </is>
      </c>
      <c r="E720" t="inlineStr">
        <is>
          <t>VIMMERBY</t>
        </is>
      </c>
      <c r="G720" t="n">
        <v>1.3</v>
      </c>
      <c r="H720" t="n">
        <v>0</v>
      </c>
      <c r="I720" t="n">
        <v>0</v>
      </c>
      <c r="J720" t="n">
        <v>0</v>
      </c>
      <c r="K720" t="n">
        <v>0</v>
      </c>
      <c r="L720" t="n">
        <v>0</v>
      </c>
      <c r="M720" t="n">
        <v>0</v>
      </c>
      <c r="N720" t="n">
        <v>0</v>
      </c>
      <c r="O720" t="n">
        <v>0</v>
      </c>
      <c r="P720" t="n">
        <v>0</v>
      </c>
      <c r="Q720" t="n">
        <v>0</v>
      </c>
      <c r="R720" s="2" t="inlineStr"/>
    </row>
    <row r="721" ht="15" customHeight="1">
      <c r="A721" t="inlineStr">
        <is>
          <t>A 23-2025</t>
        </is>
      </c>
      <c r="B721" s="1" t="n">
        <v>45658.80827546296</v>
      </c>
      <c r="C721" s="1" t="n">
        <v>45887</v>
      </c>
      <c r="D721" t="inlineStr">
        <is>
          <t>KALMAR LÄN</t>
        </is>
      </c>
      <c r="E721" t="inlineStr">
        <is>
          <t>VIMMERBY</t>
        </is>
      </c>
      <c r="G721" t="n">
        <v>1.8</v>
      </c>
      <c r="H721" t="n">
        <v>0</v>
      </c>
      <c r="I721" t="n">
        <v>0</v>
      </c>
      <c r="J721" t="n">
        <v>0</v>
      </c>
      <c r="K721" t="n">
        <v>0</v>
      </c>
      <c r="L721" t="n">
        <v>0</v>
      </c>
      <c r="M721" t="n">
        <v>0</v>
      </c>
      <c r="N721" t="n">
        <v>0</v>
      </c>
      <c r="O721" t="n">
        <v>0</v>
      </c>
      <c r="P721" t="n">
        <v>0</v>
      </c>
      <c r="Q721" t="n">
        <v>0</v>
      </c>
      <c r="R721" s="2" t="inlineStr"/>
    </row>
    <row r="722" ht="15" customHeight="1">
      <c r="A722" t="inlineStr">
        <is>
          <t>A 21496-2023</t>
        </is>
      </c>
      <c r="B722" s="1" t="n">
        <v>45063.49936342592</v>
      </c>
      <c r="C722" s="1" t="n">
        <v>45887</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31056-2022</t>
        </is>
      </c>
      <c r="B723" s="1" t="n">
        <v>44769.45805555556</v>
      </c>
      <c r="C723" s="1" t="n">
        <v>45887</v>
      </c>
      <c r="D723" t="inlineStr">
        <is>
          <t>KALMAR LÄN</t>
        </is>
      </c>
      <c r="E723" t="inlineStr">
        <is>
          <t>VIMMERBY</t>
        </is>
      </c>
      <c r="G723" t="n">
        <v>2</v>
      </c>
      <c r="H723" t="n">
        <v>0</v>
      </c>
      <c r="I723" t="n">
        <v>0</v>
      </c>
      <c r="J723" t="n">
        <v>0</v>
      </c>
      <c r="K723" t="n">
        <v>0</v>
      </c>
      <c r="L723" t="n">
        <v>0</v>
      </c>
      <c r="M723" t="n">
        <v>0</v>
      </c>
      <c r="N723" t="n">
        <v>0</v>
      </c>
      <c r="O723" t="n">
        <v>0</v>
      </c>
      <c r="P723" t="n">
        <v>0</v>
      </c>
      <c r="Q723" t="n">
        <v>0</v>
      </c>
      <c r="R723" s="2" t="inlineStr"/>
    </row>
    <row r="724" ht="15" customHeight="1">
      <c r="A724" t="inlineStr">
        <is>
          <t>A 16676-2023</t>
        </is>
      </c>
      <c r="B724" s="1" t="n">
        <v>45028</v>
      </c>
      <c r="C724" s="1" t="n">
        <v>45887</v>
      </c>
      <c r="D724" t="inlineStr">
        <is>
          <t>KALMAR LÄN</t>
        </is>
      </c>
      <c r="E724" t="inlineStr">
        <is>
          <t>VIMMERBY</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23263-2024</t>
        </is>
      </c>
      <c r="B725" s="1" t="n">
        <v>45453.36854166666</v>
      </c>
      <c r="C725" s="1" t="n">
        <v>45887</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72701-2021</t>
        </is>
      </c>
      <c r="B726" s="1" t="n">
        <v>44546</v>
      </c>
      <c r="C726" s="1" t="n">
        <v>45887</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14854-2025</t>
        </is>
      </c>
      <c r="B727" s="1" t="n">
        <v>45743.40881944444</v>
      </c>
      <c r="C727" s="1" t="n">
        <v>45887</v>
      </c>
      <c r="D727" t="inlineStr">
        <is>
          <t>KALMAR LÄN</t>
        </is>
      </c>
      <c r="E727" t="inlineStr">
        <is>
          <t>VIMMERBY</t>
        </is>
      </c>
      <c r="G727" t="n">
        <v>6.1</v>
      </c>
      <c r="H727" t="n">
        <v>0</v>
      </c>
      <c r="I727" t="n">
        <v>0</v>
      </c>
      <c r="J727" t="n">
        <v>0</v>
      </c>
      <c r="K727" t="n">
        <v>0</v>
      </c>
      <c r="L727" t="n">
        <v>0</v>
      </c>
      <c r="M727" t="n">
        <v>0</v>
      </c>
      <c r="N727" t="n">
        <v>0</v>
      </c>
      <c r="O727" t="n">
        <v>0</v>
      </c>
      <c r="P727" t="n">
        <v>0</v>
      </c>
      <c r="Q727" t="n">
        <v>0</v>
      </c>
      <c r="R727" s="2" t="inlineStr"/>
    </row>
    <row r="728" ht="15" customHeight="1">
      <c r="A728" t="inlineStr">
        <is>
          <t>A 49488-2023</t>
        </is>
      </c>
      <c r="B728" s="1" t="n">
        <v>45211.55472222222</v>
      </c>
      <c r="C728" s="1" t="n">
        <v>45887</v>
      </c>
      <c r="D728" t="inlineStr">
        <is>
          <t>KALMAR LÄN</t>
        </is>
      </c>
      <c r="E728" t="inlineStr">
        <is>
          <t>VIMMERBY</t>
        </is>
      </c>
      <c r="F728" t="inlineStr">
        <is>
          <t>Sveaskog</t>
        </is>
      </c>
      <c r="G728" t="n">
        <v>6.2</v>
      </c>
      <c r="H728" t="n">
        <v>0</v>
      </c>
      <c r="I728" t="n">
        <v>0</v>
      </c>
      <c r="J728" t="n">
        <v>0</v>
      </c>
      <c r="K728" t="n">
        <v>0</v>
      </c>
      <c r="L728" t="n">
        <v>0</v>
      </c>
      <c r="M728" t="n">
        <v>0</v>
      </c>
      <c r="N728" t="n">
        <v>0</v>
      </c>
      <c r="O728" t="n">
        <v>0</v>
      </c>
      <c r="P728" t="n">
        <v>0</v>
      </c>
      <c r="Q728" t="n">
        <v>0</v>
      </c>
      <c r="R728" s="2" t="inlineStr"/>
    </row>
    <row r="729" ht="15" customHeight="1">
      <c r="A729" t="inlineStr">
        <is>
          <t>A 52294-2023</t>
        </is>
      </c>
      <c r="B729" s="1" t="n">
        <v>45224.60075231481</v>
      </c>
      <c r="C729" s="1" t="n">
        <v>45887</v>
      </c>
      <c r="D729" t="inlineStr">
        <is>
          <t>KALMAR LÄN</t>
        </is>
      </c>
      <c r="E729" t="inlineStr">
        <is>
          <t>VIMMERBY</t>
        </is>
      </c>
      <c r="F729" t="inlineStr">
        <is>
          <t>Sveaskog</t>
        </is>
      </c>
      <c r="G729" t="n">
        <v>2.5</v>
      </c>
      <c r="H729" t="n">
        <v>0</v>
      </c>
      <c r="I729" t="n">
        <v>0</v>
      </c>
      <c r="J729" t="n">
        <v>0</v>
      </c>
      <c r="K729" t="n">
        <v>0</v>
      </c>
      <c r="L729" t="n">
        <v>0</v>
      </c>
      <c r="M729" t="n">
        <v>0</v>
      </c>
      <c r="N729" t="n">
        <v>0</v>
      </c>
      <c r="O729" t="n">
        <v>0</v>
      </c>
      <c r="P729" t="n">
        <v>0</v>
      </c>
      <c r="Q729" t="n">
        <v>0</v>
      </c>
      <c r="R729" s="2" t="inlineStr"/>
    </row>
    <row r="730" ht="15" customHeight="1">
      <c r="A730" t="inlineStr">
        <is>
          <t>A 61355-2024</t>
        </is>
      </c>
      <c r="B730" s="1" t="n">
        <v>45646.38200231481</v>
      </c>
      <c r="C730" s="1" t="n">
        <v>45887</v>
      </c>
      <c r="D730" t="inlineStr">
        <is>
          <t>KALMAR LÄN</t>
        </is>
      </c>
      <c r="E730" t="inlineStr">
        <is>
          <t>VIMMERBY</t>
        </is>
      </c>
      <c r="G730" t="n">
        <v>2.7</v>
      </c>
      <c r="H730" t="n">
        <v>0</v>
      </c>
      <c r="I730" t="n">
        <v>0</v>
      </c>
      <c r="J730" t="n">
        <v>0</v>
      </c>
      <c r="K730" t="n">
        <v>0</v>
      </c>
      <c r="L730" t="n">
        <v>0</v>
      </c>
      <c r="M730" t="n">
        <v>0</v>
      </c>
      <c r="N730" t="n">
        <v>0</v>
      </c>
      <c r="O730" t="n">
        <v>0</v>
      </c>
      <c r="P730" t="n">
        <v>0</v>
      </c>
      <c r="Q730" t="n">
        <v>0</v>
      </c>
      <c r="R730" s="2" t="inlineStr"/>
    </row>
    <row r="731" ht="15" customHeight="1">
      <c r="A731" t="inlineStr">
        <is>
          <t>A 59768-2024</t>
        </is>
      </c>
      <c r="B731" s="1" t="n">
        <v>45639.56185185185</v>
      </c>
      <c r="C731" s="1" t="n">
        <v>45887</v>
      </c>
      <c r="D731" t="inlineStr">
        <is>
          <t>KALMAR LÄN</t>
        </is>
      </c>
      <c r="E731" t="inlineStr">
        <is>
          <t>VIMMERBY</t>
        </is>
      </c>
      <c r="G731" t="n">
        <v>5.9</v>
      </c>
      <c r="H731" t="n">
        <v>0</v>
      </c>
      <c r="I731" t="n">
        <v>0</v>
      </c>
      <c r="J731" t="n">
        <v>0</v>
      </c>
      <c r="K731" t="n">
        <v>0</v>
      </c>
      <c r="L731" t="n">
        <v>0</v>
      </c>
      <c r="M731" t="n">
        <v>0</v>
      </c>
      <c r="N731" t="n">
        <v>0</v>
      </c>
      <c r="O731" t="n">
        <v>0</v>
      </c>
      <c r="P731" t="n">
        <v>0</v>
      </c>
      <c r="Q731" t="n">
        <v>0</v>
      </c>
      <c r="R731" s="2" t="inlineStr"/>
    </row>
    <row r="732" ht="15" customHeight="1">
      <c r="A732" t="inlineStr">
        <is>
          <t>A 33374-2021</t>
        </is>
      </c>
      <c r="B732" s="1" t="n">
        <v>44377</v>
      </c>
      <c r="C732" s="1" t="n">
        <v>45887</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10759-2023</t>
        </is>
      </c>
      <c r="B733" s="1" t="n">
        <v>44988</v>
      </c>
      <c r="C733" s="1" t="n">
        <v>45887</v>
      </c>
      <c r="D733" t="inlineStr">
        <is>
          <t>KALMAR LÄN</t>
        </is>
      </c>
      <c r="E733" t="inlineStr">
        <is>
          <t>VIMMERBY</t>
        </is>
      </c>
      <c r="G733" t="n">
        <v>0.4</v>
      </c>
      <c r="H733" t="n">
        <v>0</v>
      </c>
      <c r="I733" t="n">
        <v>0</v>
      </c>
      <c r="J733" t="n">
        <v>0</v>
      </c>
      <c r="K733" t="n">
        <v>0</v>
      </c>
      <c r="L733" t="n">
        <v>0</v>
      </c>
      <c r="M733" t="n">
        <v>0</v>
      </c>
      <c r="N733" t="n">
        <v>0</v>
      </c>
      <c r="O733" t="n">
        <v>0</v>
      </c>
      <c r="P733" t="n">
        <v>0</v>
      </c>
      <c r="Q733" t="n">
        <v>0</v>
      </c>
      <c r="R733" s="2" t="inlineStr"/>
    </row>
    <row r="734" ht="15" customHeight="1">
      <c r="A734" t="inlineStr">
        <is>
          <t>A 18899-2025</t>
        </is>
      </c>
      <c r="B734" s="1" t="n">
        <v>45764.44931712963</v>
      </c>
      <c r="C734" s="1" t="n">
        <v>45887</v>
      </c>
      <c r="D734" t="inlineStr">
        <is>
          <t>KALMAR LÄN</t>
        </is>
      </c>
      <c r="E734" t="inlineStr">
        <is>
          <t>VIMMERBY</t>
        </is>
      </c>
      <c r="F734" t="inlineStr">
        <is>
          <t>Kommuner</t>
        </is>
      </c>
      <c r="G734" t="n">
        <v>4</v>
      </c>
      <c r="H734" t="n">
        <v>0</v>
      </c>
      <c r="I734" t="n">
        <v>0</v>
      </c>
      <c r="J734" t="n">
        <v>0</v>
      </c>
      <c r="K734" t="n">
        <v>0</v>
      </c>
      <c r="L734" t="n">
        <v>0</v>
      </c>
      <c r="M734" t="n">
        <v>0</v>
      </c>
      <c r="N734" t="n">
        <v>0</v>
      </c>
      <c r="O734" t="n">
        <v>0</v>
      </c>
      <c r="P734" t="n">
        <v>0</v>
      </c>
      <c r="Q734" t="n">
        <v>0</v>
      </c>
      <c r="R734" s="2" t="inlineStr"/>
    </row>
    <row r="735" ht="15" customHeight="1">
      <c r="A735" t="inlineStr">
        <is>
          <t>A 72067-2021</t>
        </is>
      </c>
      <c r="B735" s="1" t="n">
        <v>44540</v>
      </c>
      <c r="C735" s="1" t="n">
        <v>45887</v>
      </c>
      <c r="D735" t="inlineStr">
        <is>
          <t>KALMAR LÄN</t>
        </is>
      </c>
      <c r="E735" t="inlineStr">
        <is>
          <t>VIMMERBY</t>
        </is>
      </c>
      <c r="G735" t="n">
        <v>1.6</v>
      </c>
      <c r="H735" t="n">
        <v>0</v>
      </c>
      <c r="I735" t="n">
        <v>0</v>
      </c>
      <c r="J735" t="n">
        <v>0</v>
      </c>
      <c r="K735" t="n">
        <v>0</v>
      </c>
      <c r="L735" t="n">
        <v>0</v>
      </c>
      <c r="M735" t="n">
        <v>0</v>
      </c>
      <c r="N735" t="n">
        <v>0</v>
      </c>
      <c r="O735" t="n">
        <v>0</v>
      </c>
      <c r="P735" t="n">
        <v>0</v>
      </c>
      <c r="Q735" t="n">
        <v>0</v>
      </c>
      <c r="R735" s="2" t="inlineStr"/>
    </row>
    <row r="736" ht="15" customHeight="1">
      <c r="A736" t="inlineStr">
        <is>
          <t>A 41158-2023</t>
        </is>
      </c>
      <c r="B736" s="1" t="n">
        <v>45174.31395833333</v>
      </c>
      <c r="C736" s="1" t="n">
        <v>45887</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12586-2021</t>
        </is>
      </c>
      <c r="B737" s="1" t="n">
        <v>44270.38002314815</v>
      </c>
      <c r="C737" s="1" t="n">
        <v>45887</v>
      </c>
      <c r="D737" t="inlineStr">
        <is>
          <t>KALMAR LÄN</t>
        </is>
      </c>
      <c r="E737" t="inlineStr">
        <is>
          <t>VIMMERBY</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22198-2024</t>
        </is>
      </c>
      <c r="B738" s="1" t="n">
        <v>45446.36865740741</v>
      </c>
      <c r="C738" s="1" t="n">
        <v>45887</v>
      </c>
      <c r="D738" t="inlineStr">
        <is>
          <t>KALMAR LÄN</t>
        </is>
      </c>
      <c r="E738" t="inlineStr">
        <is>
          <t>VIMMERBY</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9511-2023</t>
        </is>
      </c>
      <c r="B739" s="1" t="n">
        <v>44981.64725694444</v>
      </c>
      <c r="C739" s="1" t="n">
        <v>45887</v>
      </c>
      <c r="D739" t="inlineStr">
        <is>
          <t>KALMAR LÄN</t>
        </is>
      </c>
      <c r="E739" t="inlineStr">
        <is>
          <t>VIMMERBY</t>
        </is>
      </c>
      <c r="G739" t="n">
        <v>3.5</v>
      </c>
      <c r="H739" t="n">
        <v>0</v>
      </c>
      <c r="I739" t="n">
        <v>0</v>
      </c>
      <c r="J739" t="n">
        <v>0</v>
      </c>
      <c r="K739" t="n">
        <v>0</v>
      </c>
      <c r="L739" t="n">
        <v>0</v>
      </c>
      <c r="M739" t="n">
        <v>0</v>
      </c>
      <c r="N739" t="n">
        <v>0</v>
      </c>
      <c r="O739" t="n">
        <v>0</v>
      </c>
      <c r="P739" t="n">
        <v>0</v>
      </c>
      <c r="Q739" t="n">
        <v>0</v>
      </c>
      <c r="R739" s="2" t="inlineStr"/>
    </row>
    <row r="740" ht="15" customHeight="1">
      <c r="A740" t="inlineStr">
        <is>
          <t>A 32614-2023</t>
        </is>
      </c>
      <c r="B740" s="1" t="n">
        <v>45121</v>
      </c>
      <c r="C740" s="1" t="n">
        <v>45887</v>
      </c>
      <c r="D740" t="inlineStr">
        <is>
          <t>KALMAR LÄN</t>
        </is>
      </c>
      <c r="E740" t="inlineStr">
        <is>
          <t>VIMMERBY</t>
        </is>
      </c>
      <c r="G740" t="n">
        <v>0.6</v>
      </c>
      <c r="H740" t="n">
        <v>0</v>
      </c>
      <c r="I740" t="n">
        <v>0</v>
      </c>
      <c r="J740" t="n">
        <v>0</v>
      </c>
      <c r="K740" t="n">
        <v>0</v>
      </c>
      <c r="L740" t="n">
        <v>0</v>
      </c>
      <c r="M740" t="n">
        <v>0</v>
      </c>
      <c r="N740" t="n">
        <v>0</v>
      </c>
      <c r="O740" t="n">
        <v>0</v>
      </c>
      <c r="P740" t="n">
        <v>0</v>
      </c>
      <c r="Q740" t="n">
        <v>0</v>
      </c>
      <c r="R740" s="2" t="inlineStr"/>
    </row>
    <row r="741" ht="15" customHeight="1">
      <c r="A741" t="inlineStr">
        <is>
          <t>A 61939-2021</t>
        </is>
      </c>
      <c r="B741" s="1" t="n">
        <v>44502</v>
      </c>
      <c r="C741" s="1" t="n">
        <v>45887</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34205-2023</t>
        </is>
      </c>
      <c r="B742" s="1" t="n">
        <v>45138</v>
      </c>
      <c r="C742" s="1" t="n">
        <v>45887</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6218-2025</t>
        </is>
      </c>
      <c r="B743" s="1" t="n">
        <v>45698.53336805556</v>
      </c>
      <c r="C743" s="1" t="n">
        <v>45887</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40076-2021</t>
        </is>
      </c>
      <c r="B744" s="1" t="n">
        <v>44418</v>
      </c>
      <c r="C744" s="1" t="n">
        <v>45887</v>
      </c>
      <c r="D744" t="inlineStr">
        <is>
          <t>KALMAR LÄN</t>
        </is>
      </c>
      <c r="E744" t="inlineStr">
        <is>
          <t>VIMMERBY</t>
        </is>
      </c>
      <c r="G744" t="n">
        <v>2</v>
      </c>
      <c r="H744" t="n">
        <v>0</v>
      </c>
      <c r="I744" t="n">
        <v>0</v>
      </c>
      <c r="J744" t="n">
        <v>0</v>
      </c>
      <c r="K744" t="n">
        <v>0</v>
      </c>
      <c r="L744" t="n">
        <v>0</v>
      </c>
      <c r="M744" t="n">
        <v>0</v>
      </c>
      <c r="N744" t="n">
        <v>0</v>
      </c>
      <c r="O744" t="n">
        <v>0</v>
      </c>
      <c r="P744" t="n">
        <v>0</v>
      </c>
      <c r="Q744" t="n">
        <v>0</v>
      </c>
      <c r="R744" s="2" t="inlineStr"/>
    </row>
    <row r="745" ht="15" customHeight="1">
      <c r="A745" t="inlineStr">
        <is>
          <t>A 57091-2022</t>
        </is>
      </c>
      <c r="B745" s="1" t="n">
        <v>44895.46524305556</v>
      </c>
      <c r="C745" s="1" t="n">
        <v>45887</v>
      </c>
      <c r="D745" t="inlineStr">
        <is>
          <t>KALMAR LÄN</t>
        </is>
      </c>
      <c r="E745" t="inlineStr">
        <is>
          <t>VIMMERBY</t>
        </is>
      </c>
      <c r="G745" t="n">
        <v>2.6</v>
      </c>
      <c r="H745" t="n">
        <v>0</v>
      </c>
      <c r="I745" t="n">
        <v>0</v>
      </c>
      <c r="J745" t="n">
        <v>0</v>
      </c>
      <c r="K745" t="n">
        <v>0</v>
      </c>
      <c r="L745" t="n">
        <v>0</v>
      </c>
      <c r="M745" t="n">
        <v>0</v>
      </c>
      <c r="N745" t="n">
        <v>0</v>
      </c>
      <c r="O745" t="n">
        <v>0</v>
      </c>
      <c r="P745" t="n">
        <v>0</v>
      </c>
      <c r="Q745" t="n">
        <v>0</v>
      </c>
      <c r="R745" s="2" t="inlineStr"/>
    </row>
    <row r="746" ht="15" customHeight="1">
      <c r="A746" t="inlineStr">
        <is>
          <t>A 2604-2025</t>
        </is>
      </c>
      <c r="B746" s="1" t="n">
        <v>45674.74094907408</v>
      </c>
      <c r="C746" s="1" t="n">
        <v>45887</v>
      </c>
      <c r="D746" t="inlineStr">
        <is>
          <t>KALMAR LÄN</t>
        </is>
      </c>
      <c r="E746" t="inlineStr">
        <is>
          <t>VIMMERBY</t>
        </is>
      </c>
      <c r="G746" t="n">
        <v>7.6</v>
      </c>
      <c r="H746" t="n">
        <v>0</v>
      </c>
      <c r="I746" t="n">
        <v>0</v>
      </c>
      <c r="J746" t="n">
        <v>0</v>
      </c>
      <c r="K746" t="n">
        <v>0</v>
      </c>
      <c r="L746" t="n">
        <v>0</v>
      </c>
      <c r="M746" t="n">
        <v>0</v>
      </c>
      <c r="N746" t="n">
        <v>0</v>
      </c>
      <c r="O746" t="n">
        <v>0</v>
      </c>
      <c r="P746" t="n">
        <v>0</v>
      </c>
      <c r="Q746" t="n">
        <v>0</v>
      </c>
      <c r="R746" s="2" t="inlineStr"/>
    </row>
    <row r="747" ht="15" customHeight="1">
      <c r="A747" t="inlineStr">
        <is>
          <t>A 6807-2025</t>
        </is>
      </c>
      <c r="B747" s="1" t="n">
        <v>45700.68672453704</v>
      </c>
      <c r="C747" s="1" t="n">
        <v>45887</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38851-2023</t>
        </is>
      </c>
      <c r="B748" s="1" t="n">
        <v>45163</v>
      </c>
      <c r="C748" s="1" t="n">
        <v>45887</v>
      </c>
      <c r="D748" t="inlineStr">
        <is>
          <t>KALMAR LÄN</t>
        </is>
      </c>
      <c r="E748" t="inlineStr">
        <is>
          <t>VIMMERBY</t>
        </is>
      </c>
      <c r="G748" t="n">
        <v>4.3</v>
      </c>
      <c r="H748" t="n">
        <v>0</v>
      </c>
      <c r="I748" t="n">
        <v>0</v>
      </c>
      <c r="J748" t="n">
        <v>0</v>
      </c>
      <c r="K748" t="n">
        <v>0</v>
      </c>
      <c r="L748" t="n">
        <v>0</v>
      </c>
      <c r="M748" t="n">
        <v>0</v>
      </c>
      <c r="N748" t="n">
        <v>0</v>
      </c>
      <c r="O748" t="n">
        <v>0</v>
      </c>
      <c r="P748" t="n">
        <v>0</v>
      </c>
      <c r="Q748" t="n">
        <v>0</v>
      </c>
      <c r="R748" s="2" t="inlineStr"/>
    </row>
    <row r="749" ht="15" customHeight="1">
      <c r="A749" t="inlineStr">
        <is>
          <t>A 15976-2025</t>
        </is>
      </c>
      <c r="B749" s="1" t="n">
        <v>45749.56196759259</v>
      </c>
      <c r="C749" s="1" t="n">
        <v>45887</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23252-2024</t>
        </is>
      </c>
      <c r="B750" s="1" t="n">
        <v>45453.36067129629</v>
      </c>
      <c r="C750" s="1" t="n">
        <v>45887</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5792-2023</t>
        </is>
      </c>
      <c r="B751" s="1" t="n">
        <v>44963.44769675926</v>
      </c>
      <c r="C751" s="1" t="n">
        <v>45887</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2797-2023</t>
        </is>
      </c>
      <c r="B752" s="1" t="n">
        <v>44944.71386574074</v>
      </c>
      <c r="C752" s="1" t="n">
        <v>45887</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2799-2023</t>
        </is>
      </c>
      <c r="B753" s="1" t="n">
        <v>44944.72100694444</v>
      </c>
      <c r="C753" s="1" t="n">
        <v>45887</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6220-2025</t>
        </is>
      </c>
      <c r="B754" s="1" t="n">
        <v>45698.53725694444</v>
      </c>
      <c r="C754" s="1" t="n">
        <v>45887</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12587-2025</t>
        </is>
      </c>
      <c r="B755" s="1" t="n">
        <v>45732.75637731481</v>
      </c>
      <c r="C755" s="1" t="n">
        <v>45887</v>
      </c>
      <c r="D755" t="inlineStr">
        <is>
          <t>KALMAR LÄN</t>
        </is>
      </c>
      <c r="E755" t="inlineStr">
        <is>
          <t>VIMMERBY</t>
        </is>
      </c>
      <c r="G755" t="n">
        <v>0.8</v>
      </c>
      <c r="H755" t="n">
        <v>0</v>
      </c>
      <c r="I755" t="n">
        <v>0</v>
      </c>
      <c r="J755" t="n">
        <v>0</v>
      </c>
      <c r="K755" t="n">
        <v>0</v>
      </c>
      <c r="L755" t="n">
        <v>0</v>
      </c>
      <c r="M755" t="n">
        <v>0</v>
      </c>
      <c r="N755" t="n">
        <v>0</v>
      </c>
      <c r="O755" t="n">
        <v>0</v>
      </c>
      <c r="P755" t="n">
        <v>0</v>
      </c>
      <c r="Q755" t="n">
        <v>0</v>
      </c>
      <c r="R755" s="2" t="inlineStr"/>
    </row>
    <row r="756" ht="15" customHeight="1">
      <c r="A756" t="inlineStr">
        <is>
          <t>A 12588-2025</t>
        </is>
      </c>
      <c r="B756" s="1" t="n">
        <v>45732.76936342593</v>
      </c>
      <c r="C756" s="1" t="n">
        <v>45887</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25979-2023</t>
        </is>
      </c>
      <c r="B757" s="1" t="n">
        <v>45090.89653935185</v>
      </c>
      <c r="C757" s="1" t="n">
        <v>45887</v>
      </c>
      <c r="D757" t="inlineStr">
        <is>
          <t>KALMAR LÄN</t>
        </is>
      </c>
      <c r="E757" t="inlineStr">
        <is>
          <t>VIMMERBY</t>
        </is>
      </c>
      <c r="G757" t="n">
        <v>2</v>
      </c>
      <c r="H757" t="n">
        <v>0</v>
      </c>
      <c r="I757" t="n">
        <v>0</v>
      </c>
      <c r="J757" t="n">
        <v>0</v>
      </c>
      <c r="K757" t="n">
        <v>0</v>
      </c>
      <c r="L757" t="n">
        <v>0</v>
      </c>
      <c r="M757" t="n">
        <v>0</v>
      </c>
      <c r="N757" t="n">
        <v>0</v>
      </c>
      <c r="O757" t="n">
        <v>0</v>
      </c>
      <c r="P757" t="n">
        <v>0</v>
      </c>
      <c r="Q757" t="n">
        <v>0</v>
      </c>
      <c r="R757" s="2" t="inlineStr"/>
    </row>
    <row r="758" ht="15" customHeight="1">
      <c r="A758" t="inlineStr">
        <is>
          <t>A 25980-2023</t>
        </is>
      </c>
      <c r="B758" s="1" t="n">
        <v>45090.89880787037</v>
      </c>
      <c r="C758" s="1" t="n">
        <v>45887</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58278-2023</t>
        </is>
      </c>
      <c r="B759" s="1" t="n">
        <v>45250.5278587963</v>
      </c>
      <c r="C759" s="1" t="n">
        <v>45887</v>
      </c>
      <c r="D759" t="inlineStr">
        <is>
          <t>KALMAR LÄN</t>
        </is>
      </c>
      <c r="E759" t="inlineStr">
        <is>
          <t>VIMMERBY</t>
        </is>
      </c>
      <c r="G759" t="n">
        <v>1.8</v>
      </c>
      <c r="H759" t="n">
        <v>0</v>
      </c>
      <c r="I759" t="n">
        <v>0</v>
      </c>
      <c r="J759" t="n">
        <v>0</v>
      </c>
      <c r="K759" t="n">
        <v>0</v>
      </c>
      <c r="L759" t="n">
        <v>0</v>
      </c>
      <c r="M759" t="n">
        <v>0</v>
      </c>
      <c r="N759" t="n">
        <v>0</v>
      </c>
      <c r="O759" t="n">
        <v>0</v>
      </c>
      <c r="P759" t="n">
        <v>0</v>
      </c>
      <c r="Q759" t="n">
        <v>0</v>
      </c>
      <c r="R759" s="2" t="inlineStr"/>
    </row>
    <row r="760" ht="15" customHeight="1">
      <c r="A760" t="inlineStr">
        <is>
          <t>A 36259-2022</t>
        </is>
      </c>
      <c r="B760" s="1" t="n">
        <v>44803.59118055556</v>
      </c>
      <c r="C760" s="1" t="n">
        <v>45887</v>
      </c>
      <c r="D760" t="inlineStr">
        <is>
          <t>KALMAR LÄN</t>
        </is>
      </c>
      <c r="E760" t="inlineStr">
        <is>
          <t>VIMMERBY</t>
        </is>
      </c>
      <c r="G760" t="n">
        <v>3.9</v>
      </c>
      <c r="H760" t="n">
        <v>0</v>
      </c>
      <c r="I760" t="n">
        <v>0</v>
      </c>
      <c r="J760" t="n">
        <v>0</v>
      </c>
      <c r="K760" t="n">
        <v>0</v>
      </c>
      <c r="L760" t="n">
        <v>0</v>
      </c>
      <c r="M760" t="n">
        <v>0</v>
      </c>
      <c r="N760" t="n">
        <v>0</v>
      </c>
      <c r="O760" t="n">
        <v>0</v>
      </c>
      <c r="P760" t="n">
        <v>0</v>
      </c>
      <c r="Q760" t="n">
        <v>0</v>
      </c>
      <c r="R760" s="2" t="inlineStr"/>
    </row>
    <row r="761" ht="15" customHeight="1">
      <c r="A761" t="inlineStr">
        <is>
          <t>A 46921-2023</t>
        </is>
      </c>
      <c r="B761" s="1" t="n">
        <v>45201.39996527778</v>
      </c>
      <c r="C761" s="1" t="n">
        <v>45887</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10837-2023</t>
        </is>
      </c>
      <c r="B762" s="1" t="n">
        <v>44991.30547453704</v>
      </c>
      <c r="C762" s="1" t="n">
        <v>45887</v>
      </c>
      <c r="D762" t="inlineStr">
        <is>
          <t>KALMAR LÄN</t>
        </is>
      </c>
      <c r="E762" t="inlineStr">
        <is>
          <t>VIMMERBY</t>
        </is>
      </c>
      <c r="G762" t="n">
        <v>7.3</v>
      </c>
      <c r="H762" t="n">
        <v>0</v>
      </c>
      <c r="I762" t="n">
        <v>0</v>
      </c>
      <c r="J762" t="n">
        <v>0</v>
      </c>
      <c r="K762" t="n">
        <v>0</v>
      </c>
      <c r="L762" t="n">
        <v>0</v>
      </c>
      <c r="M762" t="n">
        <v>0</v>
      </c>
      <c r="N762" t="n">
        <v>0</v>
      </c>
      <c r="O762" t="n">
        <v>0</v>
      </c>
      <c r="P762" t="n">
        <v>0</v>
      </c>
      <c r="Q762" t="n">
        <v>0</v>
      </c>
      <c r="R762" s="2" t="inlineStr"/>
    </row>
    <row r="763" ht="15" customHeight="1">
      <c r="A763" t="inlineStr">
        <is>
          <t>A 10838-2023</t>
        </is>
      </c>
      <c r="B763" s="1" t="n">
        <v>44991</v>
      </c>
      <c r="C763" s="1" t="n">
        <v>45887</v>
      </c>
      <c r="D763" t="inlineStr">
        <is>
          <t>KALMAR LÄN</t>
        </is>
      </c>
      <c r="E763" t="inlineStr">
        <is>
          <t>VIMMERBY</t>
        </is>
      </c>
      <c r="G763" t="n">
        <v>5.1</v>
      </c>
      <c r="H763" t="n">
        <v>0</v>
      </c>
      <c r="I763" t="n">
        <v>0</v>
      </c>
      <c r="J763" t="n">
        <v>0</v>
      </c>
      <c r="K763" t="n">
        <v>0</v>
      </c>
      <c r="L763" t="n">
        <v>0</v>
      </c>
      <c r="M763" t="n">
        <v>0</v>
      </c>
      <c r="N763" t="n">
        <v>0</v>
      </c>
      <c r="O763" t="n">
        <v>0</v>
      </c>
      <c r="P763" t="n">
        <v>0</v>
      </c>
      <c r="Q763" t="n">
        <v>0</v>
      </c>
      <c r="R763" s="2" t="inlineStr"/>
    </row>
    <row r="764" ht="15" customHeight="1">
      <c r="A764" t="inlineStr">
        <is>
          <t>A 36526-2023</t>
        </is>
      </c>
      <c r="B764" s="1" t="n">
        <v>45153.32778935185</v>
      </c>
      <c r="C764" s="1" t="n">
        <v>45887</v>
      </c>
      <c r="D764" t="inlineStr">
        <is>
          <t>KALMAR LÄN</t>
        </is>
      </c>
      <c r="E764" t="inlineStr">
        <is>
          <t>VIMMERBY</t>
        </is>
      </c>
      <c r="G764" t="n">
        <v>2.7</v>
      </c>
      <c r="H764" t="n">
        <v>0</v>
      </c>
      <c r="I764" t="n">
        <v>0</v>
      </c>
      <c r="J764" t="n">
        <v>0</v>
      </c>
      <c r="K764" t="n">
        <v>0</v>
      </c>
      <c r="L764" t="n">
        <v>0</v>
      </c>
      <c r="M764" t="n">
        <v>0</v>
      </c>
      <c r="N764" t="n">
        <v>0</v>
      </c>
      <c r="O764" t="n">
        <v>0</v>
      </c>
      <c r="P764" t="n">
        <v>0</v>
      </c>
      <c r="Q764" t="n">
        <v>0</v>
      </c>
      <c r="R764" s="2" t="inlineStr"/>
    </row>
    <row r="765" ht="15" customHeight="1">
      <c r="A765" t="inlineStr">
        <is>
          <t>A 17988-2025</t>
        </is>
      </c>
      <c r="B765" s="1" t="n">
        <v>45761.39600694444</v>
      </c>
      <c r="C765" s="1" t="n">
        <v>45887</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30912-2023</t>
        </is>
      </c>
      <c r="B766" s="1" t="n">
        <v>45113.41633101852</v>
      </c>
      <c r="C766" s="1" t="n">
        <v>45887</v>
      </c>
      <c r="D766" t="inlineStr">
        <is>
          <t>KALMAR LÄN</t>
        </is>
      </c>
      <c r="E766" t="inlineStr">
        <is>
          <t>VIMMERBY</t>
        </is>
      </c>
      <c r="G766" t="n">
        <v>5</v>
      </c>
      <c r="H766" t="n">
        <v>0</v>
      </c>
      <c r="I766" t="n">
        <v>0</v>
      </c>
      <c r="J766" t="n">
        <v>0</v>
      </c>
      <c r="K766" t="n">
        <v>0</v>
      </c>
      <c r="L766" t="n">
        <v>0</v>
      </c>
      <c r="M766" t="n">
        <v>0</v>
      </c>
      <c r="N766" t="n">
        <v>0</v>
      </c>
      <c r="O766" t="n">
        <v>0</v>
      </c>
      <c r="P766" t="n">
        <v>0</v>
      </c>
      <c r="Q766" t="n">
        <v>0</v>
      </c>
      <c r="R766" s="2" t="inlineStr"/>
    </row>
    <row r="767" ht="15" customHeight="1">
      <c r="A767" t="inlineStr">
        <is>
          <t>A 55436-2023</t>
        </is>
      </c>
      <c r="B767" s="1" t="n">
        <v>45238.4328587963</v>
      </c>
      <c r="C767" s="1" t="n">
        <v>45887</v>
      </c>
      <c r="D767" t="inlineStr">
        <is>
          <t>KALMAR LÄN</t>
        </is>
      </c>
      <c r="E767" t="inlineStr">
        <is>
          <t>VIMMERBY</t>
        </is>
      </c>
      <c r="G767" t="n">
        <v>5.6</v>
      </c>
      <c r="H767" t="n">
        <v>0</v>
      </c>
      <c r="I767" t="n">
        <v>0</v>
      </c>
      <c r="J767" t="n">
        <v>0</v>
      </c>
      <c r="K767" t="n">
        <v>0</v>
      </c>
      <c r="L767" t="n">
        <v>0</v>
      </c>
      <c r="M767" t="n">
        <v>0</v>
      </c>
      <c r="N767" t="n">
        <v>0</v>
      </c>
      <c r="O767" t="n">
        <v>0</v>
      </c>
      <c r="P767" t="n">
        <v>0</v>
      </c>
      <c r="Q767" t="n">
        <v>0</v>
      </c>
      <c r="R767" s="2" t="inlineStr"/>
    </row>
    <row r="768" ht="15" customHeight="1">
      <c r="A768" t="inlineStr">
        <is>
          <t>A 29350-2023</t>
        </is>
      </c>
      <c r="B768" s="1" t="n">
        <v>45106</v>
      </c>
      <c r="C768" s="1" t="n">
        <v>45887</v>
      </c>
      <c r="D768" t="inlineStr">
        <is>
          <t>KALMAR LÄN</t>
        </is>
      </c>
      <c r="E768" t="inlineStr">
        <is>
          <t>VIMMERBY</t>
        </is>
      </c>
      <c r="G768" t="n">
        <v>0.8</v>
      </c>
      <c r="H768" t="n">
        <v>0</v>
      </c>
      <c r="I768" t="n">
        <v>0</v>
      </c>
      <c r="J768" t="n">
        <v>0</v>
      </c>
      <c r="K768" t="n">
        <v>0</v>
      </c>
      <c r="L768" t="n">
        <v>0</v>
      </c>
      <c r="M768" t="n">
        <v>0</v>
      </c>
      <c r="N768" t="n">
        <v>0</v>
      </c>
      <c r="O768" t="n">
        <v>0</v>
      </c>
      <c r="P768" t="n">
        <v>0</v>
      </c>
      <c r="Q768" t="n">
        <v>0</v>
      </c>
      <c r="R768" s="2" t="inlineStr"/>
    </row>
    <row r="769" ht="15" customHeight="1">
      <c r="A769" t="inlineStr">
        <is>
          <t>A 29351-2023</t>
        </is>
      </c>
      <c r="B769" s="1" t="n">
        <v>45106.2610300926</v>
      </c>
      <c r="C769" s="1" t="n">
        <v>45887</v>
      </c>
      <c r="D769" t="inlineStr">
        <is>
          <t>KALMAR LÄN</t>
        </is>
      </c>
      <c r="E769" t="inlineStr">
        <is>
          <t>VIMMERBY</t>
        </is>
      </c>
      <c r="G769" t="n">
        <v>0.4</v>
      </c>
      <c r="H769" t="n">
        <v>0</v>
      </c>
      <c r="I769" t="n">
        <v>0</v>
      </c>
      <c r="J769" t="n">
        <v>0</v>
      </c>
      <c r="K769" t="n">
        <v>0</v>
      </c>
      <c r="L769" t="n">
        <v>0</v>
      </c>
      <c r="M769" t="n">
        <v>0</v>
      </c>
      <c r="N769" t="n">
        <v>0</v>
      </c>
      <c r="O769" t="n">
        <v>0</v>
      </c>
      <c r="P769" t="n">
        <v>0</v>
      </c>
      <c r="Q769" t="n">
        <v>0</v>
      </c>
      <c r="R769" s="2" t="inlineStr"/>
    </row>
    <row r="770" ht="15" customHeight="1">
      <c r="A770" t="inlineStr">
        <is>
          <t>A 6474-2025</t>
        </is>
      </c>
      <c r="B770" s="1" t="n">
        <v>45699.60055555555</v>
      </c>
      <c r="C770" s="1" t="n">
        <v>45887</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21507-2023</t>
        </is>
      </c>
      <c r="B771" s="1" t="n">
        <v>45063.508125</v>
      </c>
      <c r="C771" s="1" t="n">
        <v>45887</v>
      </c>
      <c r="D771" t="inlineStr">
        <is>
          <t>KALMAR LÄN</t>
        </is>
      </c>
      <c r="E771" t="inlineStr">
        <is>
          <t>VIMMERBY</t>
        </is>
      </c>
      <c r="G771" t="n">
        <v>2.8</v>
      </c>
      <c r="H771" t="n">
        <v>0</v>
      </c>
      <c r="I771" t="n">
        <v>0</v>
      </c>
      <c r="J771" t="n">
        <v>0</v>
      </c>
      <c r="K771" t="n">
        <v>0</v>
      </c>
      <c r="L771" t="n">
        <v>0</v>
      </c>
      <c r="M771" t="n">
        <v>0</v>
      </c>
      <c r="N771" t="n">
        <v>0</v>
      </c>
      <c r="O771" t="n">
        <v>0</v>
      </c>
      <c r="P771" t="n">
        <v>0</v>
      </c>
      <c r="Q771" t="n">
        <v>0</v>
      </c>
      <c r="R771" s="2" t="inlineStr"/>
    </row>
    <row r="772" ht="15" customHeight="1">
      <c r="A772" t="inlineStr">
        <is>
          <t>A 51187-2023</t>
        </is>
      </c>
      <c r="B772" s="1" t="n">
        <v>45219.40528935185</v>
      </c>
      <c r="C772" s="1" t="n">
        <v>45887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15356-2025</t>
        </is>
      </c>
      <c r="B773" s="1" t="n">
        <v>45747.39189814815</v>
      </c>
      <c r="C773" s="1" t="n">
        <v>45887</v>
      </c>
      <c r="D773" t="inlineStr">
        <is>
          <t>KALMAR LÄN</t>
        </is>
      </c>
      <c r="E773" t="inlineStr">
        <is>
          <t>VIMMERBY</t>
        </is>
      </c>
      <c r="G773" t="n">
        <v>6.6</v>
      </c>
      <c r="H773" t="n">
        <v>0</v>
      </c>
      <c r="I773" t="n">
        <v>0</v>
      </c>
      <c r="J773" t="n">
        <v>0</v>
      </c>
      <c r="K773" t="n">
        <v>0</v>
      </c>
      <c r="L773" t="n">
        <v>0</v>
      </c>
      <c r="M773" t="n">
        <v>0</v>
      </c>
      <c r="N773" t="n">
        <v>0</v>
      </c>
      <c r="O773" t="n">
        <v>0</v>
      </c>
      <c r="P773" t="n">
        <v>0</v>
      </c>
      <c r="Q773" t="n">
        <v>0</v>
      </c>
      <c r="R773" s="2" t="inlineStr"/>
    </row>
    <row r="774" ht="15" customHeight="1">
      <c r="A774" t="inlineStr">
        <is>
          <t>A 13290-2025</t>
        </is>
      </c>
      <c r="B774" s="1" t="n">
        <v>45735.56751157407</v>
      </c>
      <c r="C774" s="1" t="n">
        <v>45887</v>
      </c>
      <c r="D774" t="inlineStr">
        <is>
          <t>KALMAR LÄN</t>
        </is>
      </c>
      <c r="E774" t="inlineStr">
        <is>
          <t>VIMMERBY</t>
        </is>
      </c>
      <c r="G774" t="n">
        <v>0.8</v>
      </c>
      <c r="H774" t="n">
        <v>0</v>
      </c>
      <c r="I774" t="n">
        <v>0</v>
      </c>
      <c r="J774" t="n">
        <v>0</v>
      </c>
      <c r="K774" t="n">
        <v>0</v>
      </c>
      <c r="L774" t="n">
        <v>0</v>
      </c>
      <c r="M774" t="n">
        <v>0</v>
      </c>
      <c r="N774" t="n">
        <v>0</v>
      </c>
      <c r="O774" t="n">
        <v>0</v>
      </c>
      <c r="P774" t="n">
        <v>0</v>
      </c>
      <c r="Q774" t="n">
        <v>0</v>
      </c>
      <c r="R774" s="2" t="inlineStr"/>
    </row>
    <row r="775" ht="15" customHeight="1">
      <c r="A775" t="inlineStr">
        <is>
          <t>A 45560-2021</t>
        </is>
      </c>
      <c r="B775" s="1" t="n">
        <v>44440</v>
      </c>
      <c r="C775" s="1" t="n">
        <v>45887</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17-2025</t>
        </is>
      </c>
      <c r="B776" s="1" t="n">
        <v>45658.78774305555</v>
      </c>
      <c r="C776" s="1" t="n">
        <v>45887</v>
      </c>
      <c r="D776" t="inlineStr">
        <is>
          <t>KALMAR LÄN</t>
        </is>
      </c>
      <c r="E776" t="inlineStr">
        <is>
          <t>VIMMERBY</t>
        </is>
      </c>
      <c r="G776" t="n">
        <v>4.4</v>
      </c>
      <c r="H776" t="n">
        <v>0</v>
      </c>
      <c r="I776" t="n">
        <v>0</v>
      </c>
      <c r="J776" t="n">
        <v>0</v>
      </c>
      <c r="K776" t="n">
        <v>0</v>
      </c>
      <c r="L776" t="n">
        <v>0</v>
      </c>
      <c r="M776" t="n">
        <v>0</v>
      </c>
      <c r="N776" t="n">
        <v>0</v>
      </c>
      <c r="O776" t="n">
        <v>0</v>
      </c>
      <c r="P776" t="n">
        <v>0</v>
      </c>
      <c r="Q776" t="n">
        <v>0</v>
      </c>
      <c r="R776" s="2" t="inlineStr"/>
    </row>
    <row r="777" ht="15" customHeight="1">
      <c r="A777" t="inlineStr">
        <is>
          <t>A 57555-2024</t>
        </is>
      </c>
      <c r="B777" s="1" t="n">
        <v>45630.45069444444</v>
      </c>
      <c r="C777" s="1" t="n">
        <v>45887</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16622-2025</t>
        </is>
      </c>
      <c r="B778" s="1" t="n">
        <v>45754.33641203704</v>
      </c>
      <c r="C778" s="1" t="n">
        <v>45887</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18411-2021</t>
        </is>
      </c>
      <c r="B779" s="1" t="n">
        <v>44302</v>
      </c>
      <c r="C779" s="1" t="n">
        <v>45887</v>
      </c>
      <c r="D779" t="inlineStr">
        <is>
          <t>KALMAR LÄN</t>
        </is>
      </c>
      <c r="E779" t="inlineStr">
        <is>
          <t>VIMMERBY</t>
        </is>
      </c>
      <c r="G779" t="n">
        <v>0.7</v>
      </c>
      <c r="H779" t="n">
        <v>0</v>
      </c>
      <c r="I779" t="n">
        <v>0</v>
      </c>
      <c r="J779" t="n">
        <v>0</v>
      </c>
      <c r="K779" t="n">
        <v>0</v>
      </c>
      <c r="L779" t="n">
        <v>0</v>
      </c>
      <c r="M779" t="n">
        <v>0</v>
      </c>
      <c r="N779" t="n">
        <v>0</v>
      </c>
      <c r="O779" t="n">
        <v>0</v>
      </c>
      <c r="P779" t="n">
        <v>0</v>
      </c>
      <c r="Q779" t="n">
        <v>0</v>
      </c>
      <c r="R779" s="2" t="inlineStr"/>
    </row>
    <row r="780" ht="15" customHeight="1">
      <c r="A780" t="inlineStr">
        <is>
          <t>A 52279-2023</t>
        </is>
      </c>
      <c r="B780" s="1" t="n">
        <v>45224</v>
      </c>
      <c r="C780" s="1" t="n">
        <v>45887</v>
      </c>
      <c r="D780" t="inlineStr">
        <is>
          <t>KALMAR LÄN</t>
        </is>
      </c>
      <c r="E780" t="inlineStr">
        <is>
          <t>VIMMERBY</t>
        </is>
      </c>
      <c r="G780" t="n">
        <v>1.8</v>
      </c>
      <c r="H780" t="n">
        <v>0</v>
      </c>
      <c r="I780" t="n">
        <v>0</v>
      </c>
      <c r="J780" t="n">
        <v>0</v>
      </c>
      <c r="K780" t="n">
        <v>0</v>
      </c>
      <c r="L780" t="n">
        <v>0</v>
      </c>
      <c r="M780" t="n">
        <v>0</v>
      </c>
      <c r="N780" t="n">
        <v>0</v>
      </c>
      <c r="O780" t="n">
        <v>0</v>
      </c>
      <c r="P780" t="n">
        <v>0</v>
      </c>
      <c r="Q780" t="n">
        <v>0</v>
      </c>
      <c r="R780" s="2" t="inlineStr"/>
    </row>
    <row r="781" ht="15" customHeight="1">
      <c r="A781" t="inlineStr">
        <is>
          <t>A 52324-2023</t>
        </is>
      </c>
      <c r="B781" s="1" t="n">
        <v>45224.64659722222</v>
      </c>
      <c r="C781" s="1" t="n">
        <v>45887</v>
      </c>
      <c r="D781" t="inlineStr">
        <is>
          <t>KALMAR LÄN</t>
        </is>
      </c>
      <c r="E781" t="inlineStr">
        <is>
          <t>VIMMERBY</t>
        </is>
      </c>
      <c r="F781" t="inlineStr">
        <is>
          <t>Sveaskog</t>
        </is>
      </c>
      <c r="G781" t="n">
        <v>2.9</v>
      </c>
      <c r="H781" t="n">
        <v>0</v>
      </c>
      <c r="I781" t="n">
        <v>0</v>
      </c>
      <c r="J781" t="n">
        <v>0</v>
      </c>
      <c r="K781" t="n">
        <v>0</v>
      </c>
      <c r="L781" t="n">
        <v>0</v>
      </c>
      <c r="M781" t="n">
        <v>0</v>
      </c>
      <c r="N781" t="n">
        <v>0</v>
      </c>
      <c r="O781" t="n">
        <v>0</v>
      </c>
      <c r="P781" t="n">
        <v>0</v>
      </c>
      <c r="Q781" t="n">
        <v>0</v>
      </c>
      <c r="R781" s="2" t="inlineStr"/>
    </row>
    <row r="782" ht="15" customHeight="1">
      <c r="A782" t="inlineStr">
        <is>
          <t>A 31340-2023</t>
        </is>
      </c>
      <c r="B782" s="1" t="n">
        <v>45114.47895833333</v>
      </c>
      <c r="C782" s="1" t="n">
        <v>45887</v>
      </c>
      <c r="D782" t="inlineStr">
        <is>
          <t>KALMAR LÄN</t>
        </is>
      </c>
      <c r="E782" t="inlineStr">
        <is>
          <t>VIMMERBY</t>
        </is>
      </c>
      <c r="G782" t="n">
        <v>1.8</v>
      </c>
      <c r="H782" t="n">
        <v>0</v>
      </c>
      <c r="I782" t="n">
        <v>0</v>
      </c>
      <c r="J782" t="n">
        <v>0</v>
      </c>
      <c r="K782" t="n">
        <v>0</v>
      </c>
      <c r="L782" t="n">
        <v>0</v>
      </c>
      <c r="M782" t="n">
        <v>0</v>
      </c>
      <c r="N782" t="n">
        <v>0</v>
      </c>
      <c r="O782" t="n">
        <v>0</v>
      </c>
      <c r="P782" t="n">
        <v>0</v>
      </c>
      <c r="Q782" t="n">
        <v>0</v>
      </c>
      <c r="R782" s="2" t="inlineStr"/>
    </row>
    <row r="783" ht="15" customHeight="1">
      <c r="A783" t="inlineStr">
        <is>
          <t>A 29168-2024</t>
        </is>
      </c>
      <c r="B783" s="1" t="n">
        <v>45482.49870370371</v>
      </c>
      <c r="C783" s="1" t="n">
        <v>45887</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29186-2024</t>
        </is>
      </c>
      <c r="B784" s="1" t="n">
        <v>45482.54844907407</v>
      </c>
      <c r="C784" s="1" t="n">
        <v>45887</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35895-2024</t>
        </is>
      </c>
      <c r="B785" s="1" t="n">
        <v>45533.38870370371</v>
      </c>
      <c r="C785" s="1" t="n">
        <v>45887</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32639-2023</t>
        </is>
      </c>
      <c r="B786" s="1" t="n">
        <v>45121.5965162037</v>
      </c>
      <c r="C786" s="1" t="n">
        <v>45887</v>
      </c>
      <c r="D786" t="inlineStr">
        <is>
          <t>KALMAR LÄN</t>
        </is>
      </c>
      <c r="E786" t="inlineStr">
        <is>
          <t>VIMMERBY</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32642-2023</t>
        </is>
      </c>
      <c r="B787" s="1" t="n">
        <v>45121.59954861111</v>
      </c>
      <c r="C787" s="1" t="n">
        <v>45887</v>
      </c>
      <c r="D787" t="inlineStr">
        <is>
          <t>KALMAR LÄN</t>
        </is>
      </c>
      <c r="E787" t="inlineStr">
        <is>
          <t>VIMMERBY</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32651-2023</t>
        </is>
      </c>
      <c r="B788" s="1" t="n">
        <v>45121.6096875</v>
      </c>
      <c r="C788" s="1" t="n">
        <v>45887</v>
      </c>
      <c r="D788" t="inlineStr">
        <is>
          <t>KALMAR LÄN</t>
        </is>
      </c>
      <c r="E788" t="inlineStr">
        <is>
          <t>VIMMERBY</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40730-2024</t>
        </is>
      </c>
      <c r="B789" s="1" t="n">
        <v>45558.44914351852</v>
      </c>
      <c r="C789" s="1" t="n">
        <v>45887</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12590-2025</t>
        </is>
      </c>
      <c r="B790" s="1" t="n">
        <v>45732.79925925926</v>
      </c>
      <c r="C790" s="1" t="n">
        <v>45887</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30318-2023</t>
        </is>
      </c>
      <c r="B791" s="1" t="n">
        <v>45111.30824074074</v>
      </c>
      <c r="C791" s="1" t="n">
        <v>45887</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45887</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56213-2024</t>
        </is>
      </c>
      <c r="B793" s="1" t="n">
        <v>45624.60141203704</v>
      </c>
      <c r="C793" s="1" t="n">
        <v>45887</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20126-2024</t>
        </is>
      </c>
      <c r="B794" s="1" t="n">
        <v>45434.55471064815</v>
      </c>
      <c r="C794" s="1" t="n">
        <v>45887</v>
      </c>
      <c r="D794" t="inlineStr">
        <is>
          <t>KALMAR LÄN</t>
        </is>
      </c>
      <c r="E794" t="inlineStr">
        <is>
          <t>VIMMERBY</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19865-2021</t>
        </is>
      </c>
      <c r="B795" s="1" t="n">
        <v>44312</v>
      </c>
      <c r="C795" s="1" t="n">
        <v>45887</v>
      </c>
      <c r="D795" t="inlineStr">
        <is>
          <t>KALMAR LÄN</t>
        </is>
      </c>
      <c r="E795" t="inlineStr">
        <is>
          <t>VIMMERBY</t>
        </is>
      </c>
      <c r="G795" t="n">
        <v>8.6</v>
      </c>
      <c r="H795" t="n">
        <v>0</v>
      </c>
      <c r="I795" t="n">
        <v>0</v>
      </c>
      <c r="J795" t="n">
        <v>0</v>
      </c>
      <c r="K795" t="n">
        <v>0</v>
      </c>
      <c r="L795" t="n">
        <v>0</v>
      </c>
      <c r="M795" t="n">
        <v>0</v>
      </c>
      <c r="N795" t="n">
        <v>0</v>
      </c>
      <c r="O795" t="n">
        <v>0</v>
      </c>
      <c r="P795" t="n">
        <v>0</v>
      </c>
      <c r="Q795" t="n">
        <v>0</v>
      </c>
      <c r="R795" s="2" t="inlineStr"/>
    </row>
    <row r="796" ht="15" customHeight="1">
      <c r="A796" t="inlineStr">
        <is>
          <t>A 43186-2021</t>
        </is>
      </c>
      <c r="B796" s="1" t="n">
        <v>44431.84840277778</v>
      </c>
      <c r="C796" s="1" t="n">
        <v>45887</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60215-2022</t>
        </is>
      </c>
      <c r="B797" s="1" t="n">
        <v>44910.41346064815</v>
      </c>
      <c r="C797" s="1" t="n">
        <v>45887</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60230-2022</t>
        </is>
      </c>
      <c r="B798" s="1" t="n">
        <v>44910</v>
      </c>
      <c r="C798" s="1" t="n">
        <v>45887</v>
      </c>
      <c r="D798" t="inlineStr">
        <is>
          <t>KALMAR LÄN</t>
        </is>
      </c>
      <c r="E798" t="inlineStr">
        <is>
          <t>VIMMERBY</t>
        </is>
      </c>
      <c r="G798" t="n">
        <v>11.3</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44984.45895833334</v>
      </c>
      <c r="C799" s="1" t="n">
        <v>45887</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45887</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6216-2025</t>
        </is>
      </c>
      <c r="B801" s="1" t="n">
        <v>45698.52806712963</v>
      </c>
      <c r="C801" s="1" t="n">
        <v>45887</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5925-2022</t>
        </is>
      </c>
      <c r="B802" s="1" t="n">
        <v>44598.7384837963</v>
      </c>
      <c r="C802" s="1" t="n">
        <v>45887</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845-2023</t>
        </is>
      </c>
      <c r="B803" s="1" t="n">
        <v>44931</v>
      </c>
      <c r="C803" s="1" t="n">
        <v>45887</v>
      </c>
      <c r="D803" t="inlineStr">
        <is>
          <t>KALMAR LÄN</t>
        </is>
      </c>
      <c r="E803" t="inlineStr">
        <is>
          <t>VIMMERBY</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16119-2023</t>
        </is>
      </c>
      <c r="B804" s="1" t="n">
        <v>45027.59450231482</v>
      </c>
      <c r="C804" s="1" t="n">
        <v>45887</v>
      </c>
      <c r="D804" t="inlineStr">
        <is>
          <t>KALMAR LÄN</t>
        </is>
      </c>
      <c r="E804" t="inlineStr">
        <is>
          <t>VIMMERBY</t>
        </is>
      </c>
      <c r="F804" t="inlineStr">
        <is>
          <t>Kommuner</t>
        </is>
      </c>
      <c r="G804" t="n">
        <v>4.4</v>
      </c>
      <c r="H804" t="n">
        <v>0</v>
      </c>
      <c r="I804" t="n">
        <v>0</v>
      </c>
      <c r="J804" t="n">
        <v>0</v>
      </c>
      <c r="K804" t="n">
        <v>0</v>
      </c>
      <c r="L804" t="n">
        <v>0</v>
      </c>
      <c r="M804" t="n">
        <v>0</v>
      </c>
      <c r="N804" t="n">
        <v>0</v>
      </c>
      <c r="O804" t="n">
        <v>0</v>
      </c>
      <c r="P804" t="n">
        <v>0</v>
      </c>
      <c r="Q804" t="n">
        <v>0</v>
      </c>
      <c r="R804" s="2" t="inlineStr"/>
    </row>
    <row r="805" ht="15" customHeight="1">
      <c r="A805" t="inlineStr">
        <is>
          <t>A 30588-2023</t>
        </is>
      </c>
      <c r="B805" s="1" t="n">
        <v>45112.33599537037</v>
      </c>
      <c r="C805" s="1" t="n">
        <v>45887</v>
      </c>
      <c r="D805" t="inlineStr">
        <is>
          <t>KALMAR LÄN</t>
        </is>
      </c>
      <c r="E805" t="inlineStr">
        <is>
          <t>VIMMERBY</t>
        </is>
      </c>
      <c r="G805" t="n">
        <v>2.7</v>
      </c>
      <c r="H805" t="n">
        <v>0</v>
      </c>
      <c r="I805" t="n">
        <v>0</v>
      </c>
      <c r="J805" t="n">
        <v>0</v>
      </c>
      <c r="K805" t="n">
        <v>0</v>
      </c>
      <c r="L805" t="n">
        <v>0</v>
      </c>
      <c r="M805" t="n">
        <v>0</v>
      </c>
      <c r="N805" t="n">
        <v>0</v>
      </c>
      <c r="O805" t="n">
        <v>0</v>
      </c>
      <c r="P805" t="n">
        <v>0</v>
      </c>
      <c r="Q805" t="n">
        <v>0</v>
      </c>
      <c r="R805" s="2" t="inlineStr"/>
    </row>
    <row r="806" ht="15" customHeight="1">
      <c r="A806" t="inlineStr">
        <is>
          <t>A 50764-2020</t>
        </is>
      </c>
      <c r="B806" s="1" t="n">
        <v>44111</v>
      </c>
      <c r="C806" s="1" t="n">
        <v>45887</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45528-2021</t>
        </is>
      </c>
      <c r="B807" s="1" t="n">
        <v>44440.60415509259</v>
      </c>
      <c r="C807" s="1" t="n">
        <v>45887</v>
      </c>
      <c r="D807" t="inlineStr">
        <is>
          <t>KALMAR LÄN</t>
        </is>
      </c>
      <c r="E807" t="inlineStr">
        <is>
          <t>VIMMERBY</t>
        </is>
      </c>
      <c r="G807" t="n">
        <v>2.2</v>
      </c>
      <c r="H807" t="n">
        <v>0</v>
      </c>
      <c r="I807" t="n">
        <v>0</v>
      </c>
      <c r="J807" t="n">
        <v>0</v>
      </c>
      <c r="K807" t="n">
        <v>0</v>
      </c>
      <c r="L807" t="n">
        <v>0</v>
      </c>
      <c r="M807" t="n">
        <v>0</v>
      </c>
      <c r="N807" t="n">
        <v>0</v>
      </c>
      <c r="O807" t="n">
        <v>0</v>
      </c>
      <c r="P807" t="n">
        <v>0</v>
      </c>
      <c r="Q807" t="n">
        <v>0</v>
      </c>
      <c r="R807" s="2" t="inlineStr"/>
    </row>
    <row r="808" ht="15" customHeight="1">
      <c r="A808" t="inlineStr">
        <is>
          <t>A 7944-2024</t>
        </is>
      </c>
      <c r="B808" s="1" t="n">
        <v>45350.53306712963</v>
      </c>
      <c r="C808" s="1" t="n">
        <v>45887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598-2025</t>
        </is>
      </c>
      <c r="B809" s="1" t="n">
        <v>45660</v>
      </c>
      <c r="C809" s="1" t="n">
        <v>45887</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10674-2021</t>
        </is>
      </c>
      <c r="B810" s="1" t="n">
        <v>44258</v>
      </c>
      <c r="C810" s="1" t="n">
        <v>45887</v>
      </c>
      <c r="D810" t="inlineStr">
        <is>
          <t>KALMAR LÄN</t>
        </is>
      </c>
      <c r="E810" t="inlineStr">
        <is>
          <t>VIMMERBY</t>
        </is>
      </c>
      <c r="G810" t="n">
        <v>8.4</v>
      </c>
      <c r="H810" t="n">
        <v>0</v>
      </c>
      <c r="I810" t="n">
        <v>0</v>
      </c>
      <c r="J810" t="n">
        <v>0</v>
      </c>
      <c r="K810" t="n">
        <v>0</v>
      </c>
      <c r="L810" t="n">
        <v>0</v>
      </c>
      <c r="M810" t="n">
        <v>0</v>
      </c>
      <c r="N810" t="n">
        <v>0</v>
      </c>
      <c r="O810" t="n">
        <v>0</v>
      </c>
      <c r="P810" t="n">
        <v>0</v>
      </c>
      <c r="Q810" t="n">
        <v>0</v>
      </c>
      <c r="R810" s="2" t="inlineStr"/>
    </row>
    <row r="811" ht="15" customHeight="1">
      <c r="A811" t="inlineStr">
        <is>
          <t>A 16516-2023</t>
        </is>
      </c>
      <c r="B811" s="1" t="n">
        <v>45029</v>
      </c>
      <c r="C811" s="1" t="n">
        <v>45887</v>
      </c>
      <c r="D811" t="inlineStr">
        <is>
          <t>KALMAR LÄN</t>
        </is>
      </c>
      <c r="E811" t="inlineStr">
        <is>
          <t>VIMMERBY</t>
        </is>
      </c>
      <c r="G811" t="n">
        <v>4.3</v>
      </c>
      <c r="H811" t="n">
        <v>0</v>
      </c>
      <c r="I811" t="n">
        <v>0</v>
      </c>
      <c r="J811" t="n">
        <v>0</v>
      </c>
      <c r="K811" t="n">
        <v>0</v>
      </c>
      <c r="L811" t="n">
        <v>0</v>
      </c>
      <c r="M811" t="n">
        <v>0</v>
      </c>
      <c r="N811" t="n">
        <v>0</v>
      </c>
      <c r="O811" t="n">
        <v>0</v>
      </c>
      <c r="P811" t="n">
        <v>0</v>
      </c>
      <c r="Q811" t="n">
        <v>0</v>
      </c>
      <c r="R811" s="2" t="inlineStr"/>
    </row>
    <row r="812" ht="15" customHeight="1">
      <c r="A812" t="inlineStr">
        <is>
          <t>A 10807-2024</t>
        </is>
      </c>
      <c r="B812" s="1" t="n">
        <v>45369.62780092593</v>
      </c>
      <c r="C812" s="1" t="n">
        <v>45887</v>
      </c>
      <c r="D812" t="inlineStr">
        <is>
          <t>KALMAR LÄN</t>
        </is>
      </c>
      <c r="E812" t="inlineStr">
        <is>
          <t>VIMMERBY</t>
        </is>
      </c>
      <c r="G812" t="n">
        <v>0.7</v>
      </c>
      <c r="H812" t="n">
        <v>0</v>
      </c>
      <c r="I812" t="n">
        <v>0</v>
      </c>
      <c r="J812" t="n">
        <v>0</v>
      </c>
      <c r="K812" t="n">
        <v>0</v>
      </c>
      <c r="L812" t="n">
        <v>0</v>
      </c>
      <c r="M812" t="n">
        <v>0</v>
      </c>
      <c r="N812" t="n">
        <v>0</v>
      </c>
      <c r="O812" t="n">
        <v>0</v>
      </c>
      <c r="P812" t="n">
        <v>0</v>
      </c>
      <c r="Q812" t="n">
        <v>0</v>
      </c>
      <c r="R812" s="2" t="inlineStr"/>
    </row>
    <row r="813" ht="15" customHeight="1">
      <c r="A813" t="inlineStr">
        <is>
          <t>A 2510-2023</t>
        </is>
      </c>
      <c r="B813" s="1" t="n">
        <v>44943.57309027778</v>
      </c>
      <c r="C813" s="1" t="n">
        <v>45887</v>
      </c>
      <c r="D813" t="inlineStr">
        <is>
          <t>KALMAR LÄN</t>
        </is>
      </c>
      <c r="E813" t="inlineStr">
        <is>
          <t>VIMMERBY</t>
        </is>
      </c>
      <c r="G813" t="n">
        <v>8.6</v>
      </c>
      <c r="H813" t="n">
        <v>0</v>
      </c>
      <c r="I813" t="n">
        <v>0</v>
      </c>
      <c r="J813" t="n">
        <v>0</v>
      </c>
      <c r="K813" t="n">
        <v>0</v>
      </c>
      <c r="L813" t="n">
        <v>0</v>
      </c>
      <c r="M813" t="n">
        <v>0</v>
      </c>
      <c r="N813" t="n">
        <v>0</v>
      </c>
      <c r="O813" t="n">
        <v>0</v>
      </c>
      <c r="P813" t="n">
        <v>0</v>
      </c>
      <c r="Q813" t="n">
        <v>0</v>
      </c>
      <c r="R813" s="2" t="inlineStr"/>
    </row>
    <row r="814" ht="15" customHeight="1">
      <c r="A814" t="inlineStr">
        <is>
          <t>A 40260-2024</t>
        </is>
      </c>
      <c r="B814" s="1" t="n">
        <v>45554.63225694445</v>
      </c>
      <c r="C814" s="1" t="n">
        <v>45887</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10787-2025</t>
        </is>
      </c>
      <c r="B815" s="1" t="n">
        <v>45722.48915509259</v>
      </c>
      <c r="C815" s="1" t="n">
        <v>45887</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58577-2024</t>
        </is>
      </c>
      <c r="B816" s="1" t="n">
        <v>45635.4874537037</v>
      </c>
      <c r="C816" s="1" t="n">
        <v>45887</v>
      </c>
      <c r="D816" t="inlineStr">
        <is>
          <t>KALMAR LÄN</t>
        </is>
      </c>
      <c r="E816" t="inlineStr">
        <is>
          <t>VIMMERBY</t>
        </is>
      </c>
      <c r="G816" t="n">
        <v>1.1</v>
      </c>
      <c r="H816" t="n">
        <v>0</v>
      </c>
      <c r="I816" t="n">
        <v>0</v>
      </c>
      <c r="J816" t="n">
        <v>0</v>
      </c>
      <c r="K816" t="n">
        <v>0</v>
      </c>
      <c r="L816" t="n">
        <v>0</v>
      </c>
      <c r="M816" t="n">
        <v>0</v>
      </c>
      <c r="N816" t="n">
        <v>0</v>
      </c>
      <c r="O816" t="n">
        <v>0</v>
      </c>
      <c r="P816" t="n">
        <v>0</v>
      </c>
      <c r="Q816" t="n">
        <v>0</v>
      </c>
      <c r="R816" s="2" t="inlineStr"/>
    </row>
    <row r="817" ht="15" customHeight="1">
      <c r="A817" t="inlineStr">
        <is>
          <t>A 38198-2024</t>
        </is>
      </c>
      <c r="B817" s="1" t="n">
        <v>45545.49508101852</v>
      </c>
      <c r="C817" s="1" t="n">
        <v>45887</v>
      </c>
      <c r="D817" t="inlineStr">
        <is>
          <t>KALMAR LÄN</t>
        </is>
      </c>
      <c r="E817" t="inlineStr">
        <is>
          <t>VIMMERBY</t>
        </is>
      </c>
      <c r="G817" t="n">
        <v>7.9</v>
      </c>
      <c r="H817" t="n">
        <v>0</v>
      </c>
      <c r="I817" t="n">
        <v>0</v>
      </c>
      <c r="J817" t="n">
        <v>0</v>
      </c>
      <c r="K817" t="n">
        <v>0</v>
      </c>
      <c r="L817" t="n">
        <v>0</v>
      </c>
      <c r="M817" t="n">
        <v>0</v>
      </c>
      <c r="N817" t="n">
        <v>0</v>
      </c>
      <c r="O817" t="n">
        <v>0</v>
      </c>
      <c r="P817" t="n">
        <v>0</v>
      </c>
      <c r="Q817" t="n">
        <v>0</v>
      </c>
      <c r="R817" s="2" t="inlineStr"/>
    </row>
    <row r="818" ht="15" customHeight="1">
      <c r="A818" t="inlineStr">
        <is>
          <t>A 48373-2021</t>
        </is>
      </c>
      <c r="B818" s="1" t="n">
        <v>44451</v>
      </c>
      <c r="C818" s="1" t="n">
        <v>45887</v>
      </c>
      <c r="D818" t="inlineStr">
        <is>
          <t>KALMAR LÄN</t>
        </is>
      </c>
      <c r="E818" t="inlineStr">
        <is>
          <t>VIMMERBY</t>
        </is>
      </c>
      <c r="G818" t="n">
        <v>2.2</v>
      </c>
      <c r="H818" t="n">
        <v>0</v>
      </c>
      <c r="I818" t="n">
        <v>0</v>
      </c>
      <c r="J818" t="n">
        <v>0</v>
      </c>
      <c r="K818" t="n">
        <v>0</v>
      </c>
      <c r="L818" t="n">
        <v>0</v>
      </c>
      <c r="M818" t="n">
        <v>0</v>
      </c>
      <c r="N818" t="n">
        <v>0</v>
      </c>
      <c r="O818" t="n">
        <v>0</v>
      </c>
      <c r="P818" t="n">
        <v>0</v>
      </c>
      <c r="Q818" t="n">
        <v>0</v>
      </c>
      <c r="R818" s="2" t="inlineStr"/>
    </row>
    <row r="819" ht="15" customHeight="1">
      <c r="A819" t="inlineStr">
        <is>
          <t>A 43617-2024</t>
        </is>
      </c>
      <c r="B819" s="1" t="n">
        <v>45569.47494212963</v>
      </c>
      <c r="C819" s="1" t="n">
        <v>45887</v>
      </c>
      <c r="D819" t="inlineStr">
        <is>
          <t>KALMAR LÄN</t>
        </is>
      </c>
      <c r="E819" t="inlineStr">
        <is>
          <t>VIMMERBY</t>
        </is>
      </c>
      <c r="G819" t="n">
        <v>2.7</v>
      </c>
      <c r="H819" t="n">
        <v>0</v>
      </c>
      <c r="I819" t="n">
        <v>0</v>
      </c>
      <c r="J819" t="n">
        <v>0</v>
      </c>
      <c r="K819" t="n">
        <v>0</v>
      </c>
      <c r="L819" t="n">
        <v>0</v>
      </c>
      <c r="M819" t="n">
        <v>0</v>
      </c>
      <c r="N819" t="n">
        <v>0</v>
      </c>
      <c r="O819" t="n">
        <v>0</v>
      </c>
      <c r="P819" t="n">
        <v>0</v>
      </c>
      <c r="Q819" t="n">
        <v>0</v>
      </c>
      <c r="R819" s="2" t="inlineStr"/>
    </row>
    <row r="820" ht="15" customHeight="1">
      <c r="A820" t="inlineStr">
        <is>
          <t>A 7485-2024</t>
        </is>
      </c>
      <c r="B820" s="1" t="n">
        <v>45346.67184027778</v>
      </c>
      <c r="C820" s="1" t="n">
        <v>45887</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6574-2023</t>
        </is>
      </c>
      <c r="B821" s="1" t="n">
        <v>44966</v>
      </c>
      <c r="C821" s="1" t="n">
        <v>45887</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22264-2023</t>
        </is>
      </c>
      <c r="B822" s="1" t="n">
        <v>45070.3665625</v>
      </c>
      <c r="C822" s="1" t="n">
        <v>45887</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22266-2023</t>
        </is>
      </c>
      <c r="B823" s="1" t="n">
        <v>45070</v>
      </c>
      <c r="C823" s="1" t="n">
        <v>45887</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20054-2023</t>
        </is>
      </c>
      <c r="B824" s="1" t="n">
        <v>45054.6750462963</v>
      </c>
      <c r="C824" s="1" t="n">
        <v>45887</v>
      </c>
      <c r="D824" t="inlineStr">
        <is>
          <t>KALMAR LÄN</t>
        </is>
      </c>
      <c r="E824" t="inlineStr">
        <is>
          <t>VIMMERBY</t>
        </is>
      </c>
      <c r="G824" t="n">
        <v>2.4</v>
      </c>
      <c r="H824" t="n">
        <v>0</v>
      </c>
      <c r="I824" t="n">
        <v>0</v>
      </c>
      <c r="J824" t="n">
        <v>0</v>
      </c>
      <c r="K824" t="n">
        <v>0</v>
      </c>
      <c r="L824" t="n">
        <v>0</v>
      </c>
      <c r="M824" t="n">
        <v>0</v>
      </c>
      <c r="N824" t="n">
        <v>0</v>
      </c>
      <c r="O824" t="n">
        <v>0</v>
      </c>
      <c r="P824" t="n">
        <v>0</v>
      </c>
      <c r="Q824" t="n">
        <v>0</v>
      </c>
      <c r="R824" s="2" t="inlineStr"/>
    </row>
    <row r="825" ht="15" customHeight="1">
      <c r="A825" t="inlineStr">
        <is>
          <t>A 50091-2023</t>
        </is>
      </c>
      <c r="B825" s="1" t="n">
        <v>45215.60199074074</v>
      </c>
      <c r="C825" s="1" t="n">
        <v>45887</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10303-2025</t>
        </is>
      </c>
      <c r="B826" s="1" t="n">
        <v>45720.44217592593</v>
      </c>
      <c r="C826" s="1" t="n">
        <v>45887</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11027-2023</t>
        </is>
      </c>
      <c r="B827" s="1" t="n">
        <v>44991.89657407408</v>
      </c>
      <c r="C827" s="1" t="n">
        <v>45887</v>
      </c>
      <c r="D827" t="inlineStr">
        <is>
          <t>KALMAR LÄN</t>
        </is>
      </c>
      <c r="E827" t="inlineStr">
        <is>
          <t>VIMMERBY</t>
        </is>
      </c>
      <c r="G827" t="n">
        <v>0.8</v>
      </c>
      <c r="H827" t="n">
        <v>0</v>
      </c>
      <c r="I827" t="n">
        <v>0</v>
      </c>
      <c r="J827" t="n">
        <v>0</v>
      </c>
      <c r="K827" t="n">
        <v>0</v>
      </c>
      <c r="L827" t="n">
        <v>0</v>
      </c>
      <c r="M827" t="n">
        <v>0</v>
      </c>
      <c r="N827" t="n">
        <v>0</v>
      </c>
      <c r="O827" t="n">
        <v>0</v>
      </c>
      <c r="P827" t="n">
        <v>0</v>
      </c>
      <c r="Q827" t="n">
        <v>0</v>
      </c>
      <c r="R827" s="2" t="inlineStr"/>
    </row>
    <row r="828" ht="15" customHeight="1">
      <c r="A828" t="inlineStr">
        <is>
          <t>A 58750-2022</t>
        </is>
      </c>
      <c r="B828" s="1" t="n">
        <v>44903.33363425926</v>
      </c>
      <c r="C828" s="1" t="n">
        <v>45887</v>
      </c>
      <c r="D828" t="inlineStr">
        <is>
          <t>KALMAR LÄN</t>
        </is>
      </c>
      <c r="E828" t="inlineStr">
        <is>
          <t>VIMMERBY</t>
        </is>
      </c>
      <c r="G828" t="n">
        <v>3.3</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44994.46908564815</v>
      </c>
      <c r="C829" s="1" t="n">
        <v>45887</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36155-2023</t>
        </is>
      </c>
      <c r="B830" s="1" t="n">
        <v>45149.60917824074</v>
      </c>
      <c r="C830" s="1" t="n">
        <v>45887</v>
      </c>
      <c r="D830" t="inlineStr">
        <is>
          <t>KALMAR LÄN</t>
        </is>
      </c>
      <c r="E830" t="inlineStr">
        <is>
          <t>VIMMERBY</t>
        </is>
      </c>
      <c r="G830" t="n">
        <v>5</v>
      </c>
      <c r="H830" t="n">
        <v>0</v>
      </c>
      <c r="I830" t="n">
        <v>0</v>
      </c>
      <c r="J830" t="n">
        <v>0</v>
      </c>
      <c r="K830" t="n">
        <v>0</v>
      </c>
      <c r="L830" t="n">
        <v>0</v>
      </c>
      <c r="M830" t="n">
        <v>0</v>
      </c>
      <c r="N830" t="n">
        <v>0</v>
      </c>
      <c r="O830" t="n">
        <v>0</v>
      </c>
      <c r="P830" t="n">
        <v>0</v>
      </c>
      <c r="Q830" t="n">
        <v>0</v>
      </c>
      <c r="R830" s="2" t="inlineStr"/>
    </row>
    <row r="831" ht="15" customHeight="1">
      <c r="A831" t="inlineStr">
        <is>
          <t>A 40147-2023</t>
        </is>
      </c>
      <c r="B831" s="1" t="n">
        <v>45169</v>
      </c>
      <c r="C831" s="1" t="n">
        <v>45887</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2260-2022</t>
        </is>
      </c>
      <c r="B832" s="1" t="n">
        <v>44578.62943287037</v>
      </c>
      <c r="C832" s="1" t="n">
        <v>45887</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63950-2023</t>
        </is>
      </c>
      <c r="B833" s="1" t="n">
        <v>45278</v>
      </c>
      <c r="C833" s="1" t="n">
        <v>45887</v>
      </c>
      <c r="D833" t="inlineStr">
        <is>
          <t>KALMAR LÄN</t>
        </is>
      </c>
      <c r="E833" t="inlineStr">
        <is>
          <t>VIMMERBY</t>
        </is>
      </c>
      <c r="F833" t="inlineStr">
        <is>
          <t>Kyrkan</t>
        </is>
      </c>
      <c r="G833" t="n">
        <v>2.7</v>
      </c>
      <c r="H833" t="n">
        <v>0</v>
      </c>
      <c r="I833" t="n">
        <v>0</v>
      </c>
      <c r="J833" t="n">
        <v>0</v>
      </c>
      <c r="K833" t="n">
        <v>0</v>
      </c>
      <c r="L833" t="n">
        <v>0</v>
      </c>
      <c r="M833" t="n">
        <v>0</v>
      </c>
      <c r="N833" t="n">
        <v>0</v>
      </c>
      <c r="O833" t="n">
        <v>0</v>
      </c>
      <c r="P833" t="n">
        <v>0</v>
      </c>
      <c r="Q833" t="n">
        <v>0</v>
      </c>
      <c r="R833" s="2" t="inlineStr"/>
    </row>
    <row r="834" ht="15" customHeight="1">
      <c r="A834" t="inlineStr">
        <is>
          <t>A 24096-2024</t>
        </is>
      </c>
      <c r="B834" s="1" t="n">
        <v>45456.59289351852</v>
      </c>
      <c r="C834" s="1" t="n">
        <v>45887</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45887</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50860-2022</t>
        </is>
      </c>
      <c r="B836" s="1" t="n">
        <v>44867</v>
      </c>
      <c r="C836" s="1" t="n">
        <v>45887</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53483-2022</t>
        </is>
      </c>
      <c r="B837" s="1" t="n">
        <v>44879.55940972222</v>
      </c>
      <c r="C837" s="1" t="n">
        <v>45887</v>
      </c>
      <c r="D837" t="inlineStr">
        <is>
          <t>KALMAR LÄN</t>
        </is>
      </c>
      <c r="E837" t="inlineStr">
        <is>
          <t>VIMMERBY</t>
        </is>
      </c>
      <c r="G837" t="n">
        <v>1.4</v>
      </c>
      <c r="H837" t="n">
        <v>0</v>
      </c>
      <c r="I837" t="n">
        <v>0</v>
      </c>
      <c r="J837" t="n">
        <v>0</v>
      </c>
      <c r="K837" t="n">
        <v>0</v>
      </c>
      <c r="L837" t="n">
        <v>0</v>
      </c>
      <c r="M837" t="n">
        <v>0</v>
      </c>
      <c r="N837" t="n">
        <v>0</v>
      </c>
      <c r="O837" t="n">
        <v>0</v>
      </c>
      <c r="P837" t="n">
        <v>0</v>
      </c>
      <c r="Q837" t="n">
        <v>0</v>
      </c>
      <c r="R837" s="2" t="inlineStr"/>
    </row>
    <row r="838" ht="15" customHeight="1">
      <c r="A838" t="inlineStr">
        <is>
          <t>A 41199-2023</t>
        </is>
      </c>
      <c r="B838" s="1" t="n">
        <v>45174.40454861111</v>
      </c>
      <c r="C838" s="1" t="n">
        <v>45887</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58962-2022</t>
        </is>
      </c>
      <c r="B839" s="1" t="n">
        <v>44903</v>
      </c>
      <c r="C839" s="1" t="n">
        <v>45887</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36014-2024</t>
        </is>
      </c>
      <c r="B840" s="1" t="n">
        <v>45533.56108796296</v>
      </c>
      <c r="C840" s="1" t="n">
        <v>45887</v>
      </c>
      <c r="D840" t="inlineStr">
        <is>
          <t>KALMAR LÄN</t>
        </is>
      </c>
      <c r="E840" t="inlineStr">
        <is>
          <t>VIMMERBY</t>
        </is>
      </c>
      <c r="G840" t="n">
        <v>2.3</v>
      </c>
      <c r="H840" t="n">
        <v>0</v>
      </c>
      <c r="I840" t="n">
        <v>0</v>
      </c>
      <c r="J840" t="n">
        <v>0</v>
      </c>
      <c r="K840" t="n">
        <v>0</v>
      </c>
      <c r="L840" t="n">
        <v>0</v>
      </c>
      <c r="M840" t="n">
        <v>0</v>
      </c>
      <c r="N840" t="n">
        <v>0</v>
      </c>
      <c r="O840" t="n">
        <v>0</v>
      </c>
      <c r="P840" t="n">
        <v>0</v>
      </c>
      <c r="Q840" t="n">
        <v>0</v>
      </c>
      <c r="R840" s="2" t="inlineStr"/>
    </row>
    <row r="841" ht="15" customHeight="1">
      <c r="A841" t="inlineStr">
        <is>
          <t>A 36030-2024</t>
        </is>
      </c>
      <c r="B841" s="1" t="n">
        <v>45533.58302083334</v>
      </c>
      <c r="C841" s="1" t="n">
        <v>45887</v>
      </c>
      <c r="D841" t="inlineStr">
        <is>
          <t>KALMAR LÄN</t>
        </is>
      </c>
      <c r="E841" t="inlineStr">
        <is>
          <t>VIMMERBY</t>
        </is>
      </c>
      <c r="F841" t="inlineStr">
        <is>
          <t>Kommuner</t>
        </is>
      </c>
      <c r="G841" t="n">
        <v>4</v>
      </c>
      <c r="H841" t="n">
        <v>0</v>
      </c>
      <c r="I841" t="n">
        <v>0</v>
      </c>
      <c r="J841" t="n">
        <v>0</v>
      </c>
      <c r="K841" t="n">
        <v>0</v>
      </c>
      <c r="L841" t="n">
        <v>0</v>
      </c>
      <c r="M841" t="n">
        <v>0</v>
      </c>
      <c r="N841" t="n">
        <v>0</v>
      </c>
      <c r="O841" t="n">
        <v>0</v>
      </c>
      <c r="P841" t="n">
        <v>0</v>
      </c>
      <c r="Q841" t="n">
        <v>0</v>
      </c>
      <c r="R841" s="2" t="inlineStr"/>
    </row>
    <row r="842" ht="15" customHeight="1">
      <c r="A842" t="inlineStr">
        <is>
          <t>A 58967-2022</t>
        </is>
      </c>
      <c r="B842" s="1" t="n">
        <v>44896</v>
      </c>
      <c r="C842" s="1" t="n">
        <v>45887</v>
      </c>
      <c r="D842" t="inlineStr">
        <is>
          <t>KALMAR LÄN</t>
        </is>
      </c>
      <c r="E842" t="inlineStr">
        <is>
          <t>VIMMERBY</t>
        </is>
      </c>
      <c r="G842" t="n">
        <v>5</v>
      </c>
      <c r="H842" t="n">
        <v>0</v>
      </c>
      <c r="I842" t="n">
        <v>0</v>
      </c>
      <c r="J842" t="n">
        <v>0</v>
      </c>
      <c r="K842" t="n">
        <v>0</v>
      </c>
      <c r="L842" t="n">
        <v>0</v>
      </c>
      <c r="M842" t="n">
        <v>0</v>
      </c>
      <c r="N842" t="n">
        <v>0</v>
      </c>
      <c r="O842" t="n">
        <v>0</v>
      </c>
      <c r="P842" t="n">
        <v>0</v>
      </c>
      <c r="Q842" t="n">
        <v>0</v>
      </c>
      <c r="R842" s="2" t="inlineStr"/>
    </row>
    <row r="843" ht="15" customHeight="1">
      <c r="A843" t="inlineStr">
        <is>
          <t>A 57682-2022</t>
        </is>
      </c>
      <c r="B843" s="1" t="n">
        <v>44890</v>
      </c>
      <c r="C843" s="1" t="n">
        <v>45887</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7627-2025</t>
        </is>
      </c>
      <c r="B844" s="1" t="n">
        <v>45705.73300925926</v>
      </c>
      <c r="C844" s="1" t="n">
        <v>45887</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6321-2023</t>
        </is>
      </c>
      <c r="B845" s="1" t="n">
        <v>44965.4815162037</v>
      </c>
      <c r="C845" s="1" t="n">
        <v>45887</v>
      </c>
      <c r="D845" t="inlineStr">
        <is>
          <t>KALMAR LÄN</t>
        </is>
      </c>
      <c r="E845" t="inlineStr">
        <is>
          <t>VIMMERBY</t>
        </is>
      </c>
      <c r="G845" t="n">
        <v>1.8</v>
      </c>
      <c r="H845" t="n">
        <v>0</v>
      </c>
      <c r="I845" t="n">
        <v>0</v>
      </c>
      <c r="J845" t="n">
        <v>0</v>
      </c>
      <c r="K845" t="n">
        <v>0</v>
      </c>
      <c r="L845" t="n">
        <v>0</v>
      </c>
      <c r="M845" t="n">
        <v>0</v>
      </c>
      <c r="N845" t="n">
        <v>0</v>
      </c>
      <c r="O845" t="n">
        <v>0</v>
      </c>
      <c r="P845" t="n">
        <v>0</v>
      </c>
      <c r="Q845" t="n">
        <v>0</v>
      </c>
      <c r="R845" s="2" t="inlineStr"/>
    </row>
    <row r="846" ht="15" customHeight="1">
      <c r="A846" t="inlineStr">
        <is>
          <t>A 4076-2022</t>
        </is>
      </c>
      <c r="B846" s="1" t="n">
        <v>44588.37998842593</v>
      </c>
      <c r="C846" s="1" t="n">
        <v>45887</v>
      </c>
      <c r="D846" t="inlineStr">
        <is>
          <t>KALMAR LÄN</t>
        </is>
      </c>
      <c r="E846" t="inlineStr">
        <is>
          <t>VIMMERBY</t>
        </is>
      </c>
      <c r="G846" t="n">
        <v>3</v>
      </c>
      <c r="H846" t="n">
        <v>0</v>
      </c>
      <c r="I846" t="n">
        <v>0</v>
      </c>
      <c r="J846" t="n">
        <v>0</v>
      </c>
      <c r="K846" t="n">
        <v>0</v>
      </c>
      <c r="L846" t="n">
        <v>0</v>
      </c>
      <c r="M846" t="n">
        <v>0</v>
      </c>
      <c r="N846" t="n">
        <v>0</v>
      </c>
      <c r="O846" t="n">
        <v>0</v>
      </c>
      <c r="P846" t="n">
        <v>0</v>
      </c>
      <c r="Q846" t="n">
        <v>0</v>
      </c>
      <c r="R846" s="2" t="inlineStr"/>
    </row>
    <row r="847" ht="15" customHeight="1">
      <c r="A847" t="inlineStr">
        <is>
          <t>A 4122-2022</t>
        </is>
      </c>
      <c r="B847" s="1" t="n">
        <v>44588</v>
      </c>
      <c r="C847" s="1" t="n">
        <v>45887</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65961-2020</t>
        </is>
      </c>
      <c r="B848" s="1" t="n">
        <v>44175.39748842592</v>
      </c>
      <c r="C848" s="1" t="n">
        <v>45887</v>
      </c>
      <c r="D848" t="inlineStr">
        <is>
          <t>KALMAR LÄN</t>
        </is>
      </c>
      <c r="E848" t="inlineStr">
        <is>
          <t>VIMMERBY</t>
        </is>
      </c>
      <c r="G848" t="n">
        <v>2.6</v>
      </c>
      <c r="H848" t="n">
        <v>0</v>
      </c>
      <c r="I848" t="n">
        <v>0</v>
      </c>
      <c r="J848" t="n">
        <v>0</v>
      </c>
      <c r="K848" t="n">
        <v>0</v>
      </c>
      <c r="L848" t="n">
        <v>0</v>
      </c>
      <c r="M848" t="n">
        <v>0</v>
      </c>
      <c r="N848" t="n">
        <v>0</v>
      </c>
      <c r="O848" t="n">
        <v>0</v>
      </c>
      <c r="P848" t="n">
        <v>0</v>
      </c>
      <c r="Q848" t="n">
        <v>0</v>
      </c>
      <c r="R848" s="2" t="inlineStr"/>
    </row>
    <row r="849" ht="15" customHeight="1">
      <c r="A849" t="inlineStr">
        <is>
          <t>A 52755-2022</t>
        </is>
      </c>
      <c r="B849" s="1" t="n">
        <v>44875.27736111111</v>
      </c>
      <c r="C849" s="1" t="n">
        <v>45887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40823-2023</t>
        </is>
      </c>
      <c r="B850" s="1" t="n">
        <v>45171.77335648148</v>
      </c>
      <c r="C850" s="1" t="n">
        <v>45887</v>
      </c>
      <c r="D850" t="inlineStr">
        <is>
          <t>KALMAR LÄN</t>
        </is>
      </c>
      <c r="E850" t="inlineStr">
        <is>
          <t>VIMMERBY</t>
        </is>
      </c>
      <c r="G850" t="n">
        <v>2.7</v>
      </c>
      <c r="H850" t="n">
        <v>0</v>
      </c>
      <c r="I850" t="n">
        <v>0</v>
      </c>
      <c r="J850" t="n">
        <v>0</v>
      </c>
      <c r="K850" t="n">
        <v>0</v>
      </c>
      <c r="L850" t="n">
        <v>0</v>
      </c>
      <c r="M850" t="n">
        <v>0</v>
      </c>
      <c r="N850" t="n">
        <v>0</v>
      </c>
      <c r="O850" t="n">
        <v>0</v>
      </c>
      <c r="P850" t="n">
        <v>0</v>
      </c>
      <c r="Q850" t="n">
        <v>0</v>
      </c>
      <c r="R850" s="2" t="inlineStr"/>
    </row>
    <row r="851" ht="15" customHeight="1">
      <c r="A851" t="inlineStr">
        <is>
          <t>A 9624-2024</t>
        </is>
      </c>
      <c r="B851" s="1" t="n">
        <v>45361.90282407407</v>
      </c>
      <c r="C851" s="1" t="n">
        <v>45887</v>
      </c>
      <c r="D851" t="inlineStr">
        <is>
          <t>KALMAR LÄN</t>
        </is>
      </c>
      <c r="E851" t="inlineStr">
        <is>
          <t>VIMMERBY</t>
        </is>
      </c>
      <c r="G851" t="n">
        <v>3.8</v>
      </c>
      <c r="H851" t="n">
        <v>0</v>
      </c>
      <c r="I851" t="n">
        <v>0</v>
      </c>
      <c r="J851" t="n">
        <v>0</v>
      </c>
      <c r="K851" t="n">
        <v>0</v>
      </c>
      <c r="L851" t="n">
        <v>0</v>
      </c>
      <c r="M851" t="n">
        <v>0</v>
      </c>
      <c r="N851" t="n">
        <v>0</v>
      </c>
      <c r="O851" t="n">
        <v>0</v>
      </c>
      <c r="P851" t="n">
        <v>0</v>
      </c>
      <c r="Q851" t="n">
        <v>0</v>
      </c>
      <c r="R851" s="2" t="inlineStr"/>
    </row>
    <row r="852" ht="15" customHeight="1">
      <c r="A852" t="inlineStr">
        <is>
          <t>A 52327-2023</t>
        </is>
      </c>
      <c r="B852" s="1" t="n">
        <v>45224.6515162037</v>
      </c>
      <c r="C852" s="1" t="n">
        <v>45887</v>
      </c>
      <c r="D852" t="inlineStr">
        <is>
          <t>KALMAR LÄN</t>
        </is>
      </c>
      <c r="E852" t="inlineStr">
        <is>
          <t>VIMMERBY</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27761-2024</t>
        </is>
      </c>
      <c r="B853" s="1" t="n">
        <v>45475.49018518518</v>
      </c>
      <c r="C853" s="1" t="n">
        <v>45887</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21028-2023</t>
        </is>
      </c>
      <c r="B854" s="1" t="n">
        <v>45061</v>
      </c>
      <c r="C854" s="1" t="n">
        <v>45887</v>
      </c>
      <c r="D854" t="inlineStr">
        <is>
          <t>KALMAR LÄN</t>
        </is>
      </c>
      <c r="E854" t="inlineStr">
        <is>
          <t>VIMMERBY</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29616-2022</t>
        </is>
      </c>
      <c r="B855" s="1" t="n">
        <v>44754</v>
      </c>
      <c r="C855" s="1" t="n">
        <v>45887</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29348-2023</t>
        </is>
      </c>
      <c r="B856" s="1" t="n">
        <v>45106.25025462963</v>
      </c>
      <c r="C856" s="1" t="n">
        <v>45887</v>
      </c>
      <c r="D856" t="inlineStr">
        <is>
          <t>KALMAR LÄN</t>
        </is>
      </c>
      <c r="E856" t="inlineStr">
        <is>
          <t>VIMMERBY</t>
        </is>
      </c>
      <c r="G856" t="n">
        <v>2.4</v>
      </c>
      <c r="H856" t="n">
        <v>0</v>
      </c>
      <c r="I856" t="n">
        <v>0</v>
      </c>
      <c r="J856" t="n">
        <v>0</v>
      </c>
      <c r="K856" t="n">
        <v>0</v>
      </c>
      <c r="L856" t="n">
        <v>0</v>
      </c>
      <c r="M856" t="n">
        <v>0</v>
      </c>
      <c r="N856" t="n">
        <v>0</v>
      </c>
      <c r="O856" t="n">
        <v>0</v>
      </c>
      <c r="P856" t="n">
        <v>0</v>
      </c>
      <c r="Q856" t="n">
        <v>0</v>
      </c>
      <c r="R856" s="2" t="inlineStr"/>
    </row>
    <row r="857" ht="15" customHeight="1">
      <c r="A857" t="inlineStr">
        <is>
          <t>A 64203-2021</t>
        </is>
      </c>
      <c r="B857" s="1" t="n">
        <v>44510.60921296296</v>
      </c>
      <c r="C857" s="1" t="n">
        <v>45887</v>
      </c>
      <c r="D857" t="inlineStr">
        <is>
          <t>KALMAR LÄN</t>
        </is>
      </c>
      <c r="E857" t="inlineStr">
        <is>
          <t>VIMMERBY</t>
        </is>
      </c>
      <c r="F857" t="inlineStr">
        <is>
          <t>Övriga Aktiebolag</t>
        </is>
      </c>
      <c r="G857" t="n">
        <v>5.4</v>
      </c>
      <c r="H857" t="n">
        <v>0</v>
      </c>
      <c r="I857" t="n">
        <v>0</v>
      </c>
      <c r="J857" t="n">
        <v>0</v>
      </c>
      <c r="K857" t="n">
        <v>0</v>
      </c>
      <c r="L857" t="n">
        <v>0</v>
      </c>
      <c r="M857" t="n">
        <v>0</v>
      </c>
      <c r="N857" t="n">
        <v>0</v>
      </c>
      <c r="O857" t="n">
        <v>0</v>
      </c>
      <c r="P857" t="n">
        <v>0</v>
      </c>
      <c r="Q857" t="n">
        <v>0</v>
      </c>
      <c r="R857" s="2" t="inlineStr"/>
    </row>
    <row r="858" ht="15" customHeight="1">
      <c r="A858" t="inlineStr">
        <is>
          <t>A 28403-2023</t>
        </is>
      </c>
      <c r="B858" s="1" t="n">
        <v>45100.85270833333</v>
      </c>
      <c r="C858" s="1" t="n">
        <v>45887</v>
      </c>
      <c r="D858" t="inlineStr">
        <is>
          <t>KALMAR LÄN</t>
        </is>
      </c>
      <c r="E858" t="inlineStr">
        <is>
          <t>VIMMERBY</t>
        </is>
      </c>
      <c r="G858" t="n">
        <v>1.8</v>
      </c>
      <c r="H858" t="n">
        <v>0</v>
      </c>
      <c r="I858" t="n">
        <v>0</v>
      </c>
      <c r="J858" t="n">
        <v>0</v>
      </c>
      <c r="K858" t="n">
        <v>0</v>
      </c>
      <c r="L858" t="n">
        <v>0</v>
      </c>
      <c r="M858" t="n">
        <v>0</v>
      </c>
      <c r="N858" t="n">
        <v>0</v>
      </c>
      <c r="O858" t="n">
        <v>0</v>
      </c>
      <c r="P858" t="n">
        <v>0</v>
      </c>
      <c r="Q858" t="n">
        <v>0</v>
      </c>
      <c r="R858" s="2" t="inlineStr"/>
    </row>
    <row r="859" ht="15" customHeight="1">
      <c r="A859" t="inlineStr">
        <is>
          <t>A 1016-2024</t>
        </is>
      </c>
      <c r="B859" s="1" t="n">
        <v>45301</v>
      </c>
      <c r="C859" s="1" t="n">
        <v>45887</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1024-2024</t>
        </is>
      </c>
      <c r="B860" s="1" t="n">
        <v>45301.68237268519</v>
      </c>
      <c r="C860" s="1" t="n">
        <v>45887</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27758-2024</t>
        </is>
      </c>
      <c r="B861" s="1" t="n">
        <v>45475.48303240741</v>
      </c>
      <c r="C861" s="1" t="n">
        <v>45887</v>
      </c>
      <c r="D861" t="inlineStr">
        <is>
          <t>KALMAR LÄN</t>
        </is>
      </c>
      <c r="E861" t="inlineStr">
        <is>
          <t>VIMMERBY</t>
        </is>
      </c>
      <c r="G861" t="n">
        <v>2.6</v>
      </c>
      <c r="H861" t="n">
        <v>0</v>
      </c>
      <c r="I861" t="n">
        <v>0</v>
      </c>
      <c r="J861" t="n">
        <v>0</v>
      </c>
      <c r="K861" t="n">
        <v>0</v>
      </c>
      <c r="L861" t="n">
        <v>0</v>
      </c>
      <c r="M861" t="n">
        <v>0</v>
      </c>
      <c r="N861" t="n">
        <v>0</v>
      </c>
      <c r="O861" t="n">
        <v>0</v>
      </c>
      <c r="P861" t="n">
        <v>0</v>
      </c>
      <c r="Q861" t="n">
        <v>0</v>
      </c>
      <c r="R861" s="2" t="inlineStr"/>
    </row>
    <row r="862" ht="15" customHeight="1">
      <c r="A862" t="inlineStr">
        <is>
          <t>A 17511-2024</t>
        </is>
      </c>
      <c r="B862" s="1" t="n">
        <v>45415.57682870371</v>
      </c>
      <c r="C862" s="1" t="n">
        <v>45887</v>
      </c>
      <c r="D862" t="inlineStr">
        <is>
          <t>KALMAR LÄN</t>
        </is>
      </c>
      <c r="E862" t="inlineStr">
        <is>
          <t>VIMMERBY</t>
        </is>
      </c>
      <c r="G862" t="n">
        <v>5.3</v>
      </c>
      <c r="H862" t="n">
        <v>0</v>
      </c>
      <c r="I862" t="n">
        <v>0</v>
      </c>
      <c r="J862" t="n">
        <v>0</v>
      </c>
      <c r="K862" t="n">
        <v>0</v>
      </c>
      <c r="L862" t="n">
        <v>0</v>
      </c>
      <c r="M862" t="n">
        <v>0</v>
      </c>
      <c r="N862" t="n">
        <v>0</v>
      </c>
      <c r="O862" t="n">
        <v>0</v>
      </c>
      <c r="P862" t="n">
        <v>0</v>
      </c>
      <c r="Q862" t="n">
        <v>0</v>
      </c>
      <c r="R862" s="2" t="inlineStr"/>
    </row>
    <row r="863" ht="15" customHeight="1">
      <c r="A863" t="inlineStr">
        <is>
          <t>A 66022-2021</t>
        </is>
      </c>
      <c r="B863" s="1" t="n">
        <v>44517</v>
      </c>
      <c r="C863" s="1" t="n">
        <v>45887</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32865-2023</t>
        </is>
      </c>
      <c r="B864" s="1" t="n">
        <v>45124</v>
      </c>
      <c r="C864" s="1" t="n">
        <v>45887</v>
      </c>
      <c r="D864" t="inlineStr">
        <is>
          <t>KALMAR LÄN</t>
        </is>
      </c>
      <c r="E864" t="inlineStr">
        <is>
          <t>VIMMERBY</t>
        </is>
      </c>
      <c r="G864" t="n">
        <v>0.5</v>
      </c>
      <c r="H864" t="n">
        <v>0</v>
      </c>
      <c r="I864" t="n">
        <v>0</v>
      </c>
      <c r="J864" t="n">
        <v>0</v>
      </c>
      <c r="K864" t="n">
        <v>0</v>
      </c>
      <c r="L864" t="n">
        <v>0</v>
      </c>
      <c r="M864" t="n">
        <v>0</v>
      </c>
      <c r="N864" t="n">
        <v>0</v>
      </c>
      <c r="O864" t="n">
        <v>0</v>
      </c>
      <c r="P864" t="n">
        <v>0</v>
      </c>
      <c r="Q864" t="n">
        <v>0</v>
      </c>
      <c r="R864" s="2" t="inlineStr"/>
    </row>
    <row r="865" ht="15" customHeight="1">
      <c r="A865" t="inlineStr">
        <is>
          <t>A 29973-2023</t>
        </is>
      </c>
      <c r="B865" s="1" t="n">
        <v>45108.703125</v>
      </c>
      <c r="C865" s="1" t="n">
        <v>45887</v>
      </c>
      <c r="D865" t="inlineStr">
        <is>
          <t>KALMAR LÄN</t>
        </is>
      </c>
      <c r="E865" t="inlineStr">
        <is>
          <t>VIMMERBY</t>
        </is>
      </c>
      <c r="G865" t="n">
        <v>4</v>
      </c>
      <c r="H865" t="n">
        <v>0</v>
      </c>
      <c r="I865" t="n">
        <v>0</v>
      </c>
      <c r="J865" t="n">
        <v>0</v>
      </c>
      <c r="K865" t="n">
        <v>0</v>
      </c>
      <c r="L865" t="n">
        <v>0</v>
      </c>
      <c r="M865" t="n">
        <v>0</v>
      </c>
      <c r="N865" t="n">
        <v>0</v>
      </c>
      <c r="O865" t="n">
        <v>0</v>
      </c>
      <c r="P865" t="n">
        <v>0</v>
      </c>
      <c r="Q865" t="n">
        <v>0</v>
      </c>
      <c r="R865" s="2" t="inlineStr"/>
    </row>
    <row r="866" ht="15" customHeight="1">
      <c r="A866" t="inlineStr">
        <is>
          <t>A 22194-2024</t>
        </is>
      </c>
      <c r="B866" s="1" t="n">
        <v>45446.36482638889</v>
      </c>
      <c r="C866" s="1" t="n">
        <v>45887</v>
      </c>
      <c r="D866" t="inlineStr">
        <is>
          <t>KALMAR LÄN</t>
        </is>
      </c>
      <c r="E866" t="inlineStr">
        <is>
          <t>VIMMERBY</t>
        </is>
      </c>
      <c r="F866" t="inlineStr">
        <is>
          <t>Sveaskog</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17926-2025</t>
        </is>
      </c>
      <c r="B867" s="1" t="n">
        <v>45759.38987268518</v>
      </c>
      <c r="C867" s="1" t="n">
        <v>45887</v>
      </c>
      <c r="D867" t="inlineStr">
        <is>
          <t>KALMAR LÄN</t>
        </is>
      </c>
      <c r="E867" t="inlineStr">
        <is>
          <t>VIMMERBY</t>
        </is>
      </c>
      <c r="G867" t="n">
        <v>1</v>
      </c>
      <c r="H867" t="n">
        <v>0</v>
      </c>
      <c r="I867" t="n">
        <v>0</v>
      </c>
      <c r="J867" t="n">
        <v>0</v>
      </c>
      <c r="K867" t="n">
        <v>0</v>
      </c>
      <c r="L867" t="n">
        <v>0</v>
      </c>
      <c r="M867" t="n">
        <v>0</v>
      </c>
      <c r="N867" t="n">
        <v>0</v>
      </c>
      <c r="O867" t="n">
        <v>0</v>
      </c>
      <c r="P867" t="n">
        <v>0</v>
      </c>
      <c r="Q867" t="n">
        <v>0</v>
      </c>
      <c r="R867" s="2" t="inlineStr"/>
    </row>
    <row r="868" ht="15" customHeight="1">
      <c r="A868" t="inlineStr">
        <is>
          <t>A 16953-2025</t>
        </is>
      </c>
      <c r="B868" s="1" t="n">
        <v>45755.44333333334</v>
      </c>
      <c r="C868" s="1" t="n">
        <v>45887</v>
      </c>
      <c r="D868" t="inlineStr">
        <is>
          <t>KALMAR LÄN</t>
        </is>
      </c>
      <c r="E868" t="inlineStr">
        <is>
          <t>VIMMERBY</t>
        </is>
      </c>
      <c r="G868" t="n">
        <v>2</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45887</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30070-2023</t>
        </is>
      </c>
      <c r="B870" s="1" t="n">
        <v>45110.4275</v>
      </c>
      <c r="C870" s="1" t="n">
        <v>45887</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1206-2025</t>
        </is>
      </c>
      <c r="B871" s="1" t="n">
        <v>45667.39670138889</v>
      </c>
      <c r="C871" s="1" t="n">
        <v>45887</v>
      </c>
      <c r="D871" t="inlineStr">
        <is>
          <t>KALMAR LÄN</t>
        </is>
      </c>
      <c r="E871" t="inlineStr">
        <is>
          <t>VIMMERBY</t>
        </is>
      </c>
      <c r="G871" t="n">
        <v>3.5</v>
      </c>
      <c r="H871" t="n">
        <v>0</v>
      </c>
      <c r="I871" t="n">
        <v>0</v>
      </c>
      <c r="J871" t="n">
        <v>0</v>
      </c>
      <c r="K871" t="n">
        <v>0</v>
      </c>
      <c r="L871" t="n">
        <v>0</v>
      </c>
      <c r="M871" t="n">
        <v>0</v>
      </c>
      <c r="N871" t="n">
        <v>0</v>
      </c>
      <c r="O871" t="n">
        <v>0</v>
      </c>
      <c r="P871" t="n">
        <v>0</v>
      </c>
      <c r="Q871" t="n">
        <v>0</v>
      </c>
      <c r="R871" s="2" t="inlineStr"/>
    </row>
    <row r="872" ht="15" customHeight="1">
      <c r="A872" t="inlineStr">
        <is>
          <t>A 33383-2023</t>
        </is>
      </c>
      <c r="B872" s="1" t="n">
        <v>45128.58414351852</v>
      </c>
      <c r="C872" s="1" t="n">
        <v>45887</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c r="A873" t="inlineStr">
        <is>
          <t>A 4297-2022</t>
        </is>
      </c>
      <c r="B873" s="1" t="n">
        <v>44588</v>
      </c>
      <c r="C873" s="1" t="n">
        <v>45887</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2025-08-18T08:28:00Z</dcterms:created>
  <dcterms:modified xmlns:dcterms="http://purl.org/dc/terms/" xmlns:xsi="http://www.w3.org/2001/XMLSchema-instance" xsi:type="dcterms:W3CDTF">2025-08-18T08:28:01Z</dcterms:modified>
</cp:coreProperties>
</file>