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45765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45765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45765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1023-2024</t>
        </is>
      </c>
      <c r="B11" s="1" t="n">
        <v>45301</v>
      </c>
      <c r="C11" s="1" t="n">
        <v>45765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1817-2024</t>
        </is>
      </c>
      <c r="B12" s="1" t="n">
        <v>45307</v>
      </c>
      <c r="C12" s="1" t="n">
        <v>45765</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45765</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16954-2025</t>
        </is>
      </c>
      <c r="B14" s="1" t="n">
        <v>45755</v>
      </c>
      <c r="C14" s="1" t="n">
        <v>45765</v>
      </c>
      <c r="D14" t="inlineStr">
        <is>
          <t>KALMAR LÄN</t>
        </is>
      </c>
      <c r="E14" t="inlineStr">
        <is>
          <t>VIMMERBY</t>
        </is>
      </c>
      <c r="G14" t="n">
        <v>3.5</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HYPERLINK("https://klasma.github.io/Logging_080884/artfynd/A 16954-2025 artfynd.xlsx", "A 16954-2025")</f>
        <v/>
      </c>
      <c r="T14">
        <f>HYPERLINK("https://klasma.github.io/Logging_080884/kartor/A 16954-2025 karta.png", "A 16954-2025")</f>
        <v/>
      </c>
      <c r="U14">
        <f>HYPERLINK("https://klasma.github.io/Logging_080884/knärot/A 16954-2025 karta knärot.png", "A 16954-2025")</f>
        <v/>
      </c>
      <c r="V14">
        <f>HYPERLINK("https://klasma.github.io/Logging_080884/klagomål/A 16954-2025 FSC-klagomål.docx", "A 16954-2025")</f>
        <v/>
      </c>
      <c r="W14">
        <f>HYPERLINK("https://klasma.github.io/Logging_080884/klagomålsmail/A 16954-2025 FSC-klagomål mail.docx", "A 16954-2025")</f>
        <v/>
      </c>
      <c r="X14">
        <f>HYPERLINK("https://klasma.github.io/Logging_080884/tillsyn/A 16954-2025 tillsynsbegäran.docx", "A 16954-2025")</f>
        <v/>
      </c>
      <c r="Y14">
        <f>HYPERLINK("https://klasma.github.io/Logging_080884/tillsynsmail/A 16954-2025 tillsynsbegäran mail.docx", "A 16954-2025")</f>
        <v/>
      </c>
      <c r="Z14">
        <f>HYPERLINK("https://klasma.github.io/Logging_080884/fåglar/A 16954-2025 prioriterade fågelarter.docx", "A 16954-2025")</f>
        <v/>
      </c>
    </row>
    <row r="15" ht="15" customHeight="1">
      <c r="A15" t="inlineStr">
        <is>
          <t>A 19978-2019</t>
        </is>
      </c>
      <c r="B15" s="1" t="n">
        <v>43566</v>
      </c>
      <c r="C15" s="1" t="n">
        <v>45765</v>
      </c>
      <c r="D15" t="inlineStr">
        <is>
          <t>KALMAR LÄN</t>
        </is>
      </c>
      <c r="E15" t="inlineStr">
        <is>
          <t>VIMMERBY</t>
        </is>
      </c>
      <c r="G15" t="n">
        <v>3.5</v>
      </c>
      <c r="H15" t="n">
        <v>2</v>
      </c>
      <c r="I15" t="n">
        <v>0</v>
      </c>
      <c r="J15" t="n">
        <v>1</v>
      </c>
      <c r="K15" t="n">
        <v>1</v>
      </c>
      <c r="L15" t="n">
        <v>0</v>
      </c>
      <c r="M15" t="n">
        <v>0</v>
      </c>
      <c r="N15" t="n">
        <v>0</v>
      </c>
      <c r="O15" t="n">
        <v>2</v>
      </c>
      <c r="P15" t="n">
        <v>1</v>
      </c>
      <c r="Q15" t="n">
        <v>4</v>
      </c>
      <c r="R15" s="2" t="inlineStr">
        <is>
          <t>Slåttergubbe
Sommarfibbla
Blåsippa
Revlummer</t>
        </is>
      </c>
      <c r="S15">
        <f>HYPERLINK("https://klasma.github.io/Logging_0884/artfynd/A 19978-2019 artfynd.xlsx", "A 19978-2019")</f>
        <v/>
      </c>
      <c r="T15">
        <f>HYPERLINK("https://klasma.github.io/Logging_0884/kartor/A 19978-2019 karta.png", "A 19978-2019")</f>
        <v/>
      </c>
      <c r="V15">
        <f>HYPERLINK("https://klasma.github.io/Logging_0884/klagomål/A 19978-2019 FSC-klagomål.docx", "A 19978-2019")</f>
        <v/>
      </c>
      <c r="W15">
        <f>HYPERLINK("https://klasma.github.io/Logging_0884/klagomålsmail/A 19978-2019 FSC-klagomål mail.docx", "A 19978-2019")</f>
        <v/>
      </c>
      <c r="X15">
        <f>HYPERLINK("https://klasma.github.io/Logging_0884/tillsyn/A 19978-2019 tillsynsbegäran.docx", "A 19978-2019")</f>
        <v/>
      </c>
      <c r="Y15">
        <f>HYPERLINK("https://klasma.github.io/Logging_0884/tillsynsmail/A 19978-2019 tillsynsbegäran mail.docx", "A 19978-2019")</f>
        <v/>
      </c>
    </row>
    <row r="16" ht="15" customHeight="1">
      <c r="A16" t="inlineStr">
        <is>
          <t>A 31588-2020</t>
        </is>
      </c>
      <c r="B16" s="1" t="n">
        <v>44013</v>
      </c>
      <c r="C16" s="1" t="n">
        <v>45765</v>
      </c>
      <c r="D16" t="inlineStr">
        <is>
          <t>KALMAR LÄN</t>
        </is>
      </c>
      <c r="E16" t="inlineStr">
        <is>
          <t>VIMMERBY</t>
        </is>
      </c>
      <c r="G16" t="n">
        <v>7.3</v>
      </c>
      <c r="H16" t="n">
        <v>4</v>
      </c>
      <c r="I16" t="n">
        <v>0</v>
      </c>
      <c r="J16" t="n">
        <v>3</v>
      </c>
      <c r="K16" t="n">
        <v>1</v>
      </c>
      <c r="L16" t="n">
        <v>0</v>
      </c>
      <c r="M16" t="n">
        <v>0</v>
      </c>
      <c r="N16" t="n">
        <v>0</v>
      </c>
      <c r="O16" t="n">
        <v>4</v>
      </c>
      <c r="P16" t="n">
        <v>1</v>
      </c>
      <c r="Q16" t="n">
        <v>4</v>
      </c>
      <c r="R16" s="2" t="inlineStr">
        <is>
          <t>Rödstrupig piplärka
Blå kärrhök
Dubbelbeckasin
Fjällvråk</t>
        </is>
      </c>
      <c r="S16">
        <f>HYPERLINK("https://klasma.github.io/Logging_0884/artfynd/A 31588-2020 artfynd.xlsx", "A 31588-2020")</f>
        <v/>
      </c>
      <c r="T16">
        <f>HYPERLINK("https://klasma.github.io/Logging_0884/kartor/A 31588-2020 karta.png", "A 31588-2020")</f>
        <v/>
      </c>
      <c r="V16">
        <f>HYPERLINK("https://klasma.github.io/Logging_0884/klagomål/A 31588-2020 FSC-klagomål.docx", "A 31588-2020")</f>
        <v/>
      </c>
      <c r="W16">
        <f>HYPERLINK("https://klasma.github.io/Logging_0884/klagomålsmail/A 31588-2020 FSC-klagomål mail.docx", "A 31588-2020")</f>
        <v/>
      </c>
      <c r="X16">
        <f>HYPERLINK("https://klasma.github.io/Logging_0884/tillsyn/A 31588-2020 tillsynsbegäran.docx", "A 31588-2020")</f>
        <v/>
      </c>
      <c r="Y16">
        <f>HYPERLINK("https://klasma.github.io/Logging_0884/tillsynsmail/A 31588-2020 tillsynsbegäran mail.docx", "A 31588-2020")</f>
        <v/>
      </c>
      <c r="Z16">
        <f>HYPERLINK("https://klasma.github.io/Logging_0884/fåglar/A 31588-2020 prioriterade fågelarter.docx", "A 31588-2020")</f>
        <v/>
      </c>
    </row>
    <row r="17" ht="15" customHeight="1">
      <c r="A17" t="inlineStr">
        <is>
          <t>A 35331-2022</t>
        </is>
      </c>
      <c r="B17" s="1" t="n">
        <v>44798</v>
      </c>
      <c r="C17" s="1" t="n">
        <v>45765</v>
      </c>
      <c r="D17" t="inlineStr">
        <is>
          <t>KALMAR LÄN</t>
        </is>
      </c>
      <c r="E17" t="inlineStr">
        <is>
          <t>VIMMERBY</t>
        </is>
      </c>
      <c r="G17" t="n">
        <v>2.4</v>
      </c>
      <c r="H17" t="n">
        <v>1</v>
      </c>
      <c r="I17" t="n">
        <v>2</v>
      </c>
      <c r="J17" t="n">
        <v>2</v>
      </c>
      <c r="K17" t="n">
        <v>0</v>
      </c>
      <c r="L17" t="n">
        <v>0</v>
      </c>
      <c r="M17" t="n">
        <v>0</v>
      </c>
      <c r="N17" t="n">
        <v>0</v>
      </c>
      <c r="O17" t="n">
        <v>2</v>
      </c>
      <c r="P17" t="n">
        <v>0</v>
      </c>
      <c r="Q17" t="n">
        <v>4</v>
      </c>
      <c r="R17" s="2" t="inlineStr">
        <is>
          <t>Tallticka
Talltita
Bårdlav
Jättesvampmal</t>
        </is>
      </c>
      <c r="S17">
        <f>HYPERLINK("https://klasma.github.io/Logging_0884/artfynd/A 35331-2022 artfynd.xlsx", "A 35331-2022")</f>
        <v/>
      </c>
      <c r="T17">
        <f>HYPERLINK("https://klasma.github.io/Logging_0884/kartor/A 35331-2022 karta.png", "A 35331-2022")</f>
        <v/>
      </c>
      <c r="V17">
        <f>HYPERLINK("https://klasma.github.io/Logging_0884/klagomål/A 35331-2022 FSC-klagomål.docx", "A 35331-2022")</f>
        <v/>
      </c>
      <c r="W17">
        <f>HYPERLINK("https://klasma.github.io/Logging_0884/klagomålsmail/A 35331-2022 FSC-klagomål mail.docx", "A 35331-2022")</f>
        <v/>
      </c>
      <c r="X17">
        <f>HYPERLINK("https://klasma.github.io/Logging_0884/tillsyn/A 35331-2022 tillsynsbegäran.docx", "A 35331-2022")</f>
        <v/>
      </c>
      <c r="Y17">
        <f>HYPERLINK("https://klasma.github.io/Logging_0884/tillsynsmail/A 35331-2022 tillsynsbegäran mail.docx", "A 35331-2022")</f>
        <v/>
      </c>
      <c r="Z17">
        <f>HYPERLINK("https://klasma.github.io/Logging_0884/fåglar/A 35331-2022 prioriterade fågelarter.docx", "A 35331-2022")</f>
        <v/>
      </c>
    </row>
    <row r="18" ht="15" customHeight="1">
      <c r="A18" t="inlineStr">
        <is>
          <t>A 32645-2023</t>
        </is>
      </c>
      <c r="B18" s="1" t="n">
        <v>45121</v>
      </c>
      <c r="C18" s="1" t="n">
        <v>45765</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7450-2024</t>
        </is>
      </c>
      <c r="B19" s="1" t="n">
        <v>45345</v>
      </c>
      <c r="C19" s="1" t="n">
        <v>45765</v>
      </c>
      <c r="D19" t="inlineStr">
        <is>
          <t>KALMAR LÄN</t>
        </is>
      </c>
      <c r="E19" t="inlineStr">
        <is>
          <t>VIMMERBY</t>
        </is>
      </c>
      <c r="G19" t="n">
        <v>8.800000000000001</v>
      </c>
      <c r="H19" t="n">
        <v>3</v>
      </c>
      <c r="I19" t="n">
        <v>0</v>
      </c>
      <c r="J19" t="n">
        <v>3</v>
      </c>
      <c r="K19" t="n">
        <v>1</v>
      </c>
      <c r="L19" t="n">
        <v>0</v>
      </c>
      <c r="M19" t="n">
        <v>0</v>
      </c>
      <c r="N19" t="n">
        <v>0</v>
      </c>
      <c r="O19" t="n">
        <v>4</v>
      </c>
      <c r="P19" t="n">
        <v>1</v>
      </c>
      <c r="Q19" t="n">
        <v>4</v>
      </c>
      <c r="R19" s="2" t="inlineStr">
        <is>
          <t>Knärot
Spillkråka
Tallticka
Talltita</t>
        </is>
      </c>
      <c r="S19">
        <f>HYPERLINK("https://klasma.github.io/Logging_0884/artfynd/A 7450-2024 artfynd.xlsx", "A 7450-2024")</f>
        <v/>
      </c>
      <c r="T19">
        <f>HYPERLINK("https://klasma.github.io/Logging_0884/kartor/A 7450-2024 karta.png", "A 7450-2024")</f>
        <v/>
      </c>
      <c r="U19">
        <f>HYPERLINK("https://klasma.github.io/Logging_0884/knärot/A 7450-2024 karta knärot.png", "A 7450-2024")</f>
        <v/>
      </c>
      <c r="V19">
        <f>HYPERLINK("https://klasma.github.io/Logging_0884/klagomål/A 7450-2024 FSC-klagomål.docx", "A 7450-2024")</f>
        <v/>
      </c>
      <c r="W19">
        <f>HYPERLINK("https://klasma.github.io/Logging_0884/klagomålsmail/A 7450-2024 FSC-klagomål mail.docx", "A 7450-2024")</f>
        <v/>
      </c>
      <c r="X19">
        <f>HYPERLINK("https://klasma.github.io/Logging_0884/tillsyn/A 7450-2024 tillsynsbegäran.docx", "A 7450-2024")</f>
        <v/>
      </c>
      <c r="Y19">
        <f>HYPERLINK("https://klasma.github.io/Logging_0884/tillsynsmail/A 7450-2024 tillsynsbegäran mail.docx", "A 7450-2024")</f>
        <v/>
      </c>
      <c r="Z19">
        <f>HYPERLINK("https://klasma.github.io/Logging_0884/fåglar/A 7450-2024 prioriterade fågelarter.docx", "A 7450-2024")</f>
        <v/>
      </c>
    </row>
    <row r="20" ht="15" customHeight="1">
      <c r="A20" t="inlineStr">
        <is>
          <t>A 3075-2025</t>
        </is>
      </c>
      <c r="B20" s="1" t="n">
        <v>45678</v>
      </c>
      <c r="C20" s="1" t="n">
        <v>45765</v>
      </c>
      <c r="D20" t="inlineStr">
        <is>
          <t>KALMAR LÄN</t>
        </is>
      </c>
      <c r="E20" t="inlineStr">
        <is>
          <t>VIMMERBY</t>
        </is>
      </c>
      <c r="G20" t="n">
        <v>4.5</v>
      </c>
      <c r="H20" t="n">
        <v>4</v>
      </c>
      <c r="I20" t="n">
        <v>0</v>
      </c>
      <c r="J20" t="n">
        <v>2</v>
      </c>
      <c r="K20" t="n">
        <v>1</v>
      </c>
      <c r="L20" t="n">
        <v>0</v>
      </c>
      <c r="M20" t="n">
        <v>0</v>
      </c>
      <c r="N20" t="n">
        <v>0</v>
      </c>
      <c r="O20" t="n">
        <v>3</v>
      </c>
      <c r="P20" t="n">
        <v>1</v>
      </c>
      <c r="Q20" t="n">
        <v>4</v>
      </c>
      <c r="R20" s="2" t="inlineStr">
        <is>
          <t>Knärot
Spillkråka
Talltita
Kungsfågel</t>
        </is>
      </c>
      <c r="S20">
        <f>HYPERLINK("https://klasma.github.io/Logging_0884/artfynd/A 3075-2025 artfynd.xlsx", "A 3075-2025")</f>
        <v/>
      </c>
      <c r="T20">
        <f>HYPERLINK("https://klasma.github.io/Logging_0884/kartor/A 3075-2025 karta.png", "A 3075-2025")</f>
        <v/>
      </c>
      <c r="U20">
        <f>HYPERLINK("https://klasma.github.io/Logging_0884/knärot/A 3075-2025 karta knärot.png", "A 3075-2025")</f>
        <v/>
      </c>
      <c r="V20">
        <f>HYPERLINK("https://klasma.github.io/Logging_0884/klagomål/A 3075-2025 FSC-klagomål.docx", "A 3075-2025")</f>
        <v/>
      </c>
      <c r="W20">
        <f>HYPERLINK("https://klasma.github.io/Logging_0884/klagomålsmail/A 3075-2025 FSC-klagomål mail.docx", "A 3075-2025")</f>
        <v/>
      </c>
      <c r="X20">
        <f>HYPERLINK("https://klasma.github.io/Logging_0884/tillsyn/A 3075-2025 tillsynsbegäran.docx", "A 3075-2025")</f>
        <v/>
      </c>
      <c r="Y20">
        <f>HYPERLINK("https://klasma.github.io/Logging_0884/tillsynsmail/A 3075-2025 tillsynsbegäran mail.docx", "A 3075-2025")</f>
        <v/>
      </c>
      <c r="Z20">
        <f>HYPERLINK("https://klasma.github.io/Logging_0884/fåglar/A 3075-2025 prioriterade fågelarter.docx", "A 3075-2025")</f>
        <v/>
      </c>
    </row>
    <row r="21" ht="15" customHeight="1">
      <c r="A21" t="inlineStr">
        <is>
          <t>A 7824-2025</t>
        </is>
      </c>
      <c r="B21" s="1" t="n">
        <v>45706</v>
      </c>
      <c r="C21" s="1" t="n">
        <v>45765</v>
      </c>
      <c r="D21" t="inlineStr">
        <is>
          <t>KALMAR LÄN</t>
        </is>
      </c>
      <c r="E21" t="inlineStr">
        <is>
          <t>VIMMERBY</t>
        </is>
      </c>
      <c r="G21" t="n">
        <v>4</v>
      </c>
      <c r="H21" t="n">
        <v>4</v>
      </c>
      <c r="I21" t="n">
        <v>0</v>
      </c>
      <c r="J21" t="n">
        <v>2</v>
      </c>
      <c r="K21" t="n">
        <v>0</v>
      </c>
      <c r="L21" t="n">
        <v>0</v>
      </c>
      <c r="M21" t="n">
        <v>0</v>
      </c>
      <c r="N21" t="n">
        <v>0</v>
      </c>
      <c r="O21" t="n">
        <v>2</v>
      </c>
      <c r="P21" t="n">
        <v>0</v>
      </c>
      <c r="Q21" t="n">
        <v>4</v>
      </c>
      <c r="R21" s="2" t="inlineStr">
        <is>
          <t>Spillkråka
Talltita
Kungsfågel
Tjäder</t>
        </is>
      </c>
      <c r="S21">
        <f>HYPERLINK("https://klasma.github.io/Logging_0884/artfynd/A 7824-2025 artfynd.xlsx", "A 7824-2025")</f>
        <v/>
      </c>
      <c r="T21">
        <f>HYPERLINK("https://klasma.github.io/Logging_0884/kartor/A 7824-2025 karta.png", "A 7824-2025")</f>
        <v/>
      </c>
      <c r="V21">
        <f>HYPERLINK("https://klasma.github.io/Logging_0884/klagomål/A 7824-2025 FSC-klagomål.docx", "A 7824-2025")</f>
        <v/>
      </c>
      <c r="W21">
        <f>HYPERLINK("https://klasma.github.io/Logging_0884/klagomålsmail/A 7824-2025 FSC-klagomål mail.docx", "A 7824-2025")</f>
        <v/>
      </c>
      <c r="X21">
        <f>HYPERLINK("https://klasma.github.io/Logging_0884/tillsyn/A 7824-2025 tillsynsbegäran.docx", "A 7824-2025")</f>
        <v/>
      </c>
      <c r="Y21">
        <f>HYPERLINK("https://klasma.github.io/Logging_0884/tillsynsmail/A 7824-2025 tillsynsbegäran mail.docx", "A 7824-2025")</f>
        <v/>
      </c>
      <c r="Z21">
        <f>HYPERLINK("https://klasma.github.io/Logging_0884/fåglar/A 7824-2025 prioriterade fågelarter.docx", "A 7824-2025")</f>
        <v/>
      </c>
    </row>
    <row r="22" ht="15" customHeight="1">
      <c r="A22" t="inlineStr">
        <is>
          <t>A 36349-2019</t>
        </is>
      </c>
      <c r="B22" s="1" t="n">
        <v>43670</v>
      </c>
      <c r="C22" s="1" t="n">
        <v>45765</v>
      </c>
      <c r="D22" t="inlineStr">
        <is>
          <t>KALMAR LÄN</t>
        </is>
      </c>
      <c r="E22" t="inlineStr">
        <is>
          <t>VIMMERBY</t>
        </is>
      </c>
      <c r="G22" t="n">
        <v>2.6</v>
      </c>
      <c r="H22" t="n">
        <v>1</v>
      </c>
      <c r="I22" t="n">
        <v>2</v>
      </c>
      <c r="J22" t="n">
        <v>0</v>
      </c>
      <c r="K22" t="n">
        <v>0</v>
      </c>
      <c r="L22" t="n">
        <v>0</v>
      </c>
      <c r="M22" t="n">
        <v>0</v>
      </c>
      <c r="N22" t="n">
        <v>0</v>
      </c>
      <c r="O22" t="n">
        <v>0</v>
      </c>
      <c r="P22" t="n">
        <v>0</v>
      </c>
      <c r="Q22" t="n">
        <v>3</v>
      </c>
      <c r="R22" s="2" t="inlineStr">
        <is>
          <t>Fällmossa
Guldlockmossa
Blåsippa</t>
        </is>
      </c>
      <c r="S22">
        <f>HYPERLINK("https://klasma.github.io/Logging_0884/artfynd/A 36349-2019 artfynd.xlsx", "A 36349-2019")</f>
        <v/>
      </c>
      <c r="T22">
        <f>HYPERLINK("https://klasma.github.io/Logging_0884/kartor/A 36349-2019 karta.png", "A 36349-2019")</f>
        <v/>
      </c>
      <c r="V22">
        <f>HYPERLINK("https://klasma.github.io/Logging_0884/klagomål/A 36349-2019 FSC-klagomål.docx", "A 36349-2019")</f>
        <v/>
      </c>
      <c r="W22">
        <f>HYPERLINK("https://klasma.github.io/Logging_0884/klagomålsmail/A 36349-2019 FSC-klagomål mail.docx", "A 36349-2019")</f>
        <v/>
      </c>
      <c r="X22">
        <f>HYPERLINK("https://klasma.github.io/Logging_0884/tillsyn/A 36349-2019 tillsynsbegäran.docx", "A 36349-2019")</f>
        <v/>
      </c>
      <c r="Y22">
        <f>HYPERLINK("https://klasma.github.io/Logging_0884/tillsynsmail/A 36349-2019 tillsynsbegäran mail.docx", "A 36349-2019")</f>
        <v/>
      </c>
    </row>
    <row r="23" ht="15" customHeight="1">
      <c r="A23" t="inlineStr">
        <is>
          <t>A 8411-2021</t>
        </is>
      </c>
      <c r="B23" s="1" t="n">
        <v>44245</v>
      </c>
      <c r="C23" s="1" t="n">
        <v>45765</v>
      </c>
      <c r="D23" t="inlineStr">
        <is>
          <t>KALMAR LÄN</t>
        </is>
      </c>
      <c r="E23" t="inlineStr">
        <is>
          <t>VIMMERBY</t>
        </is>
      </c>
      <c r="G23" t="n">
        <v>12.5</v>
      </c>
      <c r="H23" t="n">
        <v>1</v>
      </c>
      <c r="I23" t="n">
        <v>1</v>
      </c>
      <c r="J23" t="n">
        <v>1</v>
      </c>
      <c r="K23" t="n">
        <v>0</v>
      </c>
      <c r="L23" t="n">
        <v>0</v>
      </c>
      <c r="M23" t="n">
        <v>0</v>
      </c>
      <c r="N23" t="n">
        <v>0</v>
      </c>
      <c r="O23" t="n">
        <v>1</v>
      </c>
      <c r="P23" t="n">
        <v>0</v>
      </c>
      <c r="Q23" t="n">
        <v>3</v>
      </c>
      <c r="R23" s="2" t="inlineStr">
        <is>
          <t>Motaggsvamp
Svart trolldruva
Revlummer</t>
        </is>
      </c>
      <c r="S23">
        <f>HYPERLINK("https://klasma.github.io/Logging_0884/artfynd/A 8411-2021 artfynd.xlsx", "A 8411-2021")</f>
        <v/>
      </c>
      <c r="T23">
        <f>HYPERLINK("https://klasma.github.io/Logging_0884/kartor/A 8411-2021 karta.png", "A 8411-2021")</f>
        <v/>
      </c>
      <c r="V23">
        <f>HYPERLINK("https://klasma.github.io/Logging_0884/klagomål/A 8411-2021 FSC-klagomål.docx", "A 8411-2021")</f>
        <v/>
      </c>
      <c r="W23">
        <f>HYPERLINK("https://klasma.github.io/Logging_0884/klagomålsmail/A 8411-2021 FSC-klagomål mail.docx", "A 8411-2021")</f>
        <v/>
      </c>
      <c r="X23">
        <f>HYPERLINK("https://klasma.github.io/Logging_0884/tillsyn/A 8411-2021 tillsynsbegäran.docx", "A 8411-2021")</f>
        <v/>
      </c>
      <c r="Y23">
        <f>HYPERLINK("https://klasma.github.io/Logging_0884/tillsynsmail/A 8411-2021 tillsynsbegäran mail.docx", "A 8411-2021")</f>
        <v/>
      </c>
    </row>
    <row r="24" ht="15" customHeight="1">
      <c r="A24" t="inlineStr">
        <is>
          <t>A 37901-2022</t>
        </is>
      </c>
      <c r="B24" s="1" t="n">
        <v>44811</v>
      </c>
      <c r="C24" s="1" t="n">
        <v>45765</v>
      </c>
      <c r="D24" t="inlineStr">
        <is>
          <t>KALMAR LÄN</t>
        </is>
      </c>
      <c r="E24" t="inlineStr">
        <is>
          <t>VIMMERBY</t>
        </is>
      </c>
      <c r="G24" t="n">
        <v>3.9</v>
      </c>
      <c r="H24" t="n">
        <v>1</v>
      </c>
      <c r="I24" t="n">
        <v>1</v>
      </c>
      <c r="J24" t="n">
        <v>1</v>
      </c>
      <c r="K24" t="n">
        <v>0</v>
      </c>
      <c r="L24" t="n">
        <v>0</v>
      </c>
      <c r="M24" t="n">
        <v>0</v>
      </c>
      <c r="N24" t="n">
        <v>0</v>
      </c>
      <c r="O24" t="n">
        <v>1</v>
      </c>
      <c r="P24" t="n">
        <v>0</v>
      </c>
      <c r="Q24" t="n">
        <v>3</v>
      </c>
      <c r="R24" s="2" t="inlineStr">
        <is>
          <t>Tallticka
Kornig nållav
Revlummer</t>
        </is>
      </c>
      <c r="S24">
        <f>HYPERLINK("https://klasma.github.io/Logging_0884/artfynd/A 37901-2022 artfynd.xlsx", "A 37901-2022")</f>
        <v/>
      </c>
      <c r="T24">
        <f>HYPERLINK("https://klasma.github.io/Logging_0884/kartor/A 37901-2022 karta.png", "A 37901-2022")</f>
        <v/>
      </c>
      <c r="V24">
        <f>HYPERLINK("https://klasma.github.io/Logging_0884/klagomål/A 37901-2022 FSC-klagomål.docx", "A 37901-2022")</f>
        <v/>
      </c>
      <c r="W24">
        <f>HYPERLINK("https://klasma.github.io/Logging_0884/klagomålsmail/A 37901-2022 FSC-klagomål mail.docx", "A 37901-2022")</f>
        <v/>
      </c>
      <c r="X24">
        <f>HYPERLINK("https://klasma.github.io/Logging_0884/tillsyn/A 37901-2022 tillsynsbegäran.docx", "A 37901-2022")</f>
        <v/>
      </c>
      <c r="Y24">
        <f>HYPERLINK("https://klasma.github.io/Logging_0884/tillsynsmail/A 37901-2022 tillsynsbegäran mail.docx", "A 37901-2022")</f>
        <v/>
      </c>
    </row>
    <row r="25" ht="15" customHeight="1">
      <c r="A25" t="inlineStr">
        <is>
          <t>A 8214-2023</t>
        </is>
      </c>
      <c r="B25" s="1" t="n">
        <v>44974</v>
      </c>
      <c r="C25" s="1" t="n">
        <v>45765</v>
      </c>
      <c r="D25" t="inlineStr">
        <is>
          <t>KALMAR LÄN</t>
        </is>
      </c>
      <c r="E25" t="inlineStr">
        <is>
          <t>VIMMERBY</t>
        </is>
      </c>
      <c r="G25" t="n">
        <v>4.7</v>
      </c>
      <c r="H25" t="n">
        <v>1</v>
      </c>
      <c r="I25" t="n">
        <v>1</v>
      </c>
      <c r="J25" t="n">
        <v>1</v>
      </c>
      <c r="K25" t="n">
        <v>1</v>
      </c>
      <c r="L25" t="n">
        <v>0</v>
      </c>
      <c r="M25" t="n">
        <v>0</v>
      </c>
      <c r="N25" t="n">
        <v>0</v>
      </c>
      <c r="O25" t="n">
        <v>2</v>
      </c>
      <c r="P25" t="n">
        <v>1</v>
      </c>
      <c r="Q25" t="n">
        <v>3</v>
      </c>
      <c r="R25" s="2" t="inlineStr">
        <is>
          <t>Knärot
Åkerkål
Grönpyrola</t>
        </is>
      </c>
      <c r="S25">
        <f>HYPERLINK("https://klasma.github.io/Logging_0884/artfynd/A 8214-2023 artfynd.xlsx", "A 8214-2023")</f>
        <v/>
      </c>
      <c r="T25">
        <f>HYPERLINK("https://klasma.github.io/Logging_0884/kartor/A 8214-2023 karta.png", "A 8214-2023")</f>
        <v/>
      </c>
      <c r="U25">
        <f>HYPERLINK("https://klasma.github.io/Logging_0884/knärot/A 8214-2023 karta knärot.png", "A 8214-2023")</f>
        <v/>
      </c>
      <c r="V25">
        <f>HYPERLINK("https://klasma.github.io/Logging_0884/klagomål/A 8214-2023 FSC-klagomål.docx", "A 8214-2023")</f>
        <v/>
      </c>
      <c r="W25">
        <f>HYPERLINK("https://klasma.github.io/Logging_0884/klagomålsmail/A 8214-2023 FSC-klagomål mail.docx", "A 8214-2023")</f>
        <v/>
      </c>
      <c r="X25">
        <f>HYPERLINK("https://klasma.github.io/Logging_0884/tillsyn/A 8214-2023 tillsynsbegäran.docx", "A 8214-2023")</f>
        <v/>
      </c>
      <c r="Y25">
        <f>HYPERLINK("https://klasma.github.io/Logging_0884/tillsynsmail/A 8214-2023 tillsynsbegäran mail.docx", "A 8214-2023")</f>
        <v/>
      </c>
    </row>
    <row r="26" ht="15" customHeight="1">
      <c r="A26" t="inlineStr">
        <is>
          <t>A 15427-2023</t>
        </is>
      </c>
      <c r="B26" s="1" t="n">
        <v>45020</v>
      </c>
      <c r="C26" s="1" t="n">
        <v>45765</v>
      </c>
      <c r="D26" t="inlineStr">
        <is>
          <t>KALMAR LÄN</t>
        </is>
      </c>
      <c r="E26" t="inlineStr">
        <is>
          <t>VIMMERBY</t>
        </is>
      </c>
      <c r="G26" t="n">
        <v>4.1</v>
      </c>
      <c r="H26" t="n">
        <v>0</v>
      </c>
      <c r="I26" t="n">
        <v>1</v>
      </c>
      <c r="J26" t="n">
        <v>2</v>
      </c>
      <c r="K26" t="n">
        <v>0</v>
      </c>
      <c r="L26" t="n">
        <v>0</v>
      </c>
      <c r="M26" t="n">
        <v>0</v>
      </c>
      <c r="N26" t="n">
        <v>0</v>
      </c>
      <c r="O26" t="n">
        <v>2</v>
      </c>
      <c r="P26" t="n">
        <v>0</v>
      </c>
      <c r="Q26" t="n">
        <v>3</v>
      </c>
      <c r="R26" s="2" t="inlineStr">
        <is>
          <t>Slåtterfibbla
Solvända
Strävlosta</t>
        </is>
      </c>
      <c r="S26">
        <f>HYPERLINK("https://klasma.github.io/Logging_0884/artfynd/A 15427-2023 artfynd.xlsx", "A 15427-2023")</f>
        <v/>
      </c>
      <c r="T26">
        <f>HYPERLINK("https://klasma.github.io/Logging_0884/kartor/A 15427-2023 karta.png", "A 15427-2023")</f>
        <v/>
      </c>
      <c r="V26">
        <f>HYPERLINK("https://klasma.github.io/Logging_0884/klagomål/A 15427-2023 FSC-klagomål.docx", "A 15427-2023")</f>
        <v/>
      </c>
      <c r="W26">
        <f>HYPERLINK("https://klasma.github.io/Logging_0884/klagomålsmail/A 15427-2023 FSC-klagomål mail.docx", "A 15427-2023")</f>
        <v/>
      </c>
      <c r="X26">
        <f>HYPERLINK("https://klasma.github.io/Logging_0884/tillsyn/A 15427-2023 tillsynsbegäran.docx", "A 15427-2023")</f>
        <v/>
      </c>
      <c r="Y26">
        <f>HYPERLINK("https://klasma.github.io/Logging_0884/tillsynsmail/A 15427-2023 tillsynsbegäran mail.docx", "A 15427-2023")</f>
        <v/>
      </c>
    </row>
    <row r="27" ht="15" customHeight="1">
      <c r="A27" t="inlineStr">
        <is>
          <t>A 38992-2023</t>
        </is>
      </c>
      <c r="B27" s="1" t="n">
        <v>45163</v>
      </c>
      <c r="C27" s="1" t="n">
        <v>45765</v>
      </c>
      <c r="D27" t="inlineStr">
        <is>
          <t>KALMAR LÄN</t>
        </is>
      </c>
      <c r="E27" t="inlineStr">
        <is>
          <t>VIMMERBY</t>
        </is>
      </c>
      <c r="F27" t="inlineStr">
        <is>
          <t>Sveaskog</t>
        </is>
      </c>
      <c r="G27" t="n">
        <v>5.6</v>
      </c>
      <c r="H27" t="n">
        <v>2</v>
      </c>
      <c r="I27" t="n">
        <v>0</v>
      </c>
      <c r="J27" t="n">
        <v>2</v>
      </c>
      <c r="K27" t="n">
        <v>0</v>
      </c>
      <c r="L27" t="n">
        <v>0</v>
      </c>
      <c r="M27" t="n">
        <v>0</v>
      </c>
      <c r="N27" t="n">
        <v>0</v>
      </c>
      <c r="O27" t="n">
        <v>2</v>
      </c>
      <c r="P27" t="n">
        <v>0</v>
      </c>
      <c r="Q27" t="n">
        <v>3</v>
      </c>
      <c r="R27" s="2" t="inlineStr">
        <is>
          <t>Spillkråka
Tallticka
Tjäder</t>
        </is>
      </c>
      <c r="S27">
        <f>HYPERLINK("https://klasma.github.io/Logging_0884/artfynd/A 38992-2023 artfynd.xlsx", "A 38992-2023")</f>
        <v/>
      </c>
      <c r="T27">
        <f>HYPERLINK("https://klasma.github.io/Logging_0884/kartor/A 38992-2023 karta.png", "A 38992-2023")</f>
        <v/>
      </c>
      <c r="V27">
        <f>HYPERLINK("https://klasma.github.io/Logging_0884/klagomål/A 38992-2023 FSC-klagomål.docx", "A 38992-2023")</f>
        <v/>
      </c>
      <c r="W27">
        <f>HYPERLINK("https://klasma.github.io/Logging_0884/klagomålsmail/A 38992-2023 FSC-klagomål mail.docx", "A 38992-2023")</f>
        <v/>
      </c>
      <c r="X27">
        <f>HYPERLINK("https://klasma.github.io/Logging_0884/tillsyn/A 38992-2023 tillsynsbegäran.docx", "A 38992-2023")</f>
        <v/>
      </c>
      <c r="Y27">
        <f>HYPERLINK("https://klasma.github.io/Logging_0884/tillsynsmail/A 38992-2023 tillsynsbegäran mail.docx", "A 38992-2023")</f>
        <v/>
      </c>
      <c r="Z27">
        <f>HYPERLINK("https://klasma.github.io/Logging_0884/fåglar/A 38992-2023 prioriterade fågelarter.docx", "A 38992-2023")</f>
        <v/>
      </c>
    </row>
    <row r="28" ht="15" customHeight="1">
      <c r="A28" t="inlineStr">
        <is>
          <t>A 41034-2023</t>
        </is>
      </c>
      <c r="B28" s="1" t="n">
        <v>45173</v>
      </c>
      <c r="C28" s="1" t="n">
        <v>45765</v>
      </c>
      <c r="D28" t="inlineStr">
        <is>
          <t>KALMAR LÄN</t>
        </is>
      </c>
      <c r="E28" t="inlineStr">
        <is>
          <t>VIMMERBY</t>
        </is>
      </c>
      <c r="G28" t="n">
        <v>3.8</v>
      </c>
      <c r="H28" t="n">
        <v>0</v>
      </c>
      <c r="I28" t="n">
        <v>2</v>
      </c>
      <c r="J28" t="n">
        <v>1</v>
      </c>
      <c r="K28" t="n">
        <v>0</v>
      </c>
      <c r="L28" t="n">
        <v>0</v>
      </c>
      <c r="M28" t="n">
        <v>0</v>
      </c>
      <c r="N28" t="n">
        <v>0</v>
      </c>
      <c r="O28" t="n">
        <v>1</v>
      </c>
      <c r="P28" t="n">
        <v>0</v>
      </c>
      <c r="Q28" t="n">
        <v>3</v>
      </c>
      <c r="R28" s="2" t="inlineStr">
        <is>
          <t>Dofttaggsvamp
Blåmossa
Grönpyrola</t>
        </is>
      </c>
      <c r="S28">
        <f>HYPERLINK("https://klasma.github.io/Logging_0884/artfynd/A 41034-2023 artfynd.xlsx", "A 41034-2023")</f>
        <v/>
      </c>
      <c r="T28">
        <f>HYPERLINK("https://klasma.github.io/Logging_0884/kartor/A 41034-2023 karta.png", "A 41034-2023")</f>
        <v/>
      </c>
      <c r="U28">
        <f>HYPERLINK("https://klasma.github.io/Logging_0884/knärot/A 41034-2023 karta knärot.png", "A 41034-2023")</f>
        <v/>
      </c>
      <c r="V28">
        <f>HYPERLINK("https://klasma.github.io/Logging_0884/klagomål/A 41034-2023 FSC-klagomål.docx", "A 41034-2023")</f>
        <v/>
      </c>
      <c r="W28">
        <f>HYPERLINK("https://klasma.github.io/Logging_0884/klagomålsmail/A 41034-2023 FSC-klagomål mail.docx", "A 41034-2023")</f>
        <v/>
      </c>
      <c r="X28">
        <f>HYPERLINK("https://klasma.github.io/Logging_0884/tillsyn/A 41034-2023 tillsynsbegäran.docx", "A 41034-2023")</f>
        <v/>
      </c>
      <c r="Y28">
        <f>HYPERLINK("https://klasma.github.io/Logging_0884/tillsynsmail/A 41034-2023 tillsynsbegäran mail.docx", "A 41034-2023")</f>
        <v/>
      </c>
    </row>
    <row r="29" ht="15" customHeight="1">
      <c r="A29" t="inlineStr">
        <is>
          <t>A 2210-2024</t>
        </is>
      </c>
      <c r="B29" s="1" t="n">
        <v>45309</v>
      </c>
      <c r="C29" s="1" t="n">
        <v>45765</v>
      </c>
      <c r="D29" t="inlineStr">
        <is>
          <t>KALMAR LÄN</t>
        </is>
      </c>
      <c r="E29" t="inlineStr">
        <is>
          <t>VIMMERBY</t>
        </is>
      </c>
      <c r="G29" t="n">
        <v>4.6</v>
      </c>
      <c r="H29" t="n">
        <v>2</v>
      </c>
      <c r="I29" t="n">
        <v>1</v>
      </c>
      <c r="J29" t="n">
        <v>1</v>
      </c>
      <c r="K29" t="n">
        <v>0</v>
      </c>
      <c r="L29" t="n">
        <v>0</v>
      </c>
      <c r="M29" t="n">
        <v>0</v>
      </c>
      <c r="N29" t="n">
        <v>0</v>
      </c>
      <c r="O29" t="n">
        <v>1</v>
      </c>
      <c r="P29" t="n">
        <v>0</v>
      </c>
      <c r="Q29" t="n">
        <v>3</v>
      </c>
      <c r="R29" s="2" t="inlineStr">
        <is>
          <t>Spillkråka
Barkticka
Blåsippa</t>
        </is>
      </c>
      <c r="S29">
        <f>HYPERLINK("https://klasma.github.io/Logging_0884/artfynd/A 2210-2024 artfynd.xlsx", "A 2210-2024")</f>
        <v/>
      </c>
      <c r="T29">
        <f>HYPERLINK("https://klasma.github.io/Logging_0884/kartor/A 2210-2024 karta.png", "A 2210-2024")</f>
        <v/>
      </c>
      <c r="V29">
        <f>HYPERLINK("https://klasma.github.io/Logging_0884/klagomål/A 2210-2024 FSC-klagomål.docx", "A 2210-2024")</f>
        <v/>
      </c>
      <c r="W29">
        <f>HYPERLINK("https://klasma.github.io/Logging_0884/klagomålsmail/A 2210-2024 FSC-klagomål mail.docx", "A 2210-2024")</f>
        <v/>
      </c>
      <c r="X29">
        <f>HYPERLINK("https://klasma.github.io/Logging_0884/tillsyn/A 2210-2024 tillsynsbegäran.docx", "A 2210-2024")</f>
        <v/>
      </c>
      <c r="Y29">
        <f>HYPERLINK("https://klasma.github.io/Logging_0884/tillsynsmail/A 2210-2024 tillsynsbegäran mail.docx", "A 2210-2024")</f>
        <v/>
      </c>
      <c r="Z29">
        <f>HYPERLINK("https://klasma.github.io/Logging_0884/fåglar/A 2210-2024 prioriterade fågelarter.docx", "A 2210-2024")</f>
        <v/>
      </c>
    </row>
    <row r="30" ht="15" customHeight="1">
      <c r="A30" t="inlineStr">
        <is>
          <t>A 2211-2024</t>
        </is>
      </c>
      <c r="B30" s="1" t="n">
        <v>45309</v>
      </c>
      <c r="C30" s="1" t="n">
        <v>45765</v>
      </c>
      <c r="D30" t="inlineStr">
        <is>
          <t>KALMAR LÄN</t>
        </is>
      </c>
      <c r="E30" t="inlineStr">
        <is>
          <t>VIMMERBY</t>
        </is>
      </c>
      <c r="G30" t="n">
        <v>1.7</v>
      </c>
      <c r="H30" t="n">
        <v>1</v>
      </c>
      <c r="I30" t="n">
        <v>1</v>
      </c>
      <c r="J30" t="n">
        <v>2</v>
      </c>
      <c r="K30" t="n">
        <v>0</v>
      </c>
      <c r="L30" t="n">
        <v>0</v>
      </c>
      <c r="M30" t="n">
        <v>0</v>
      </c>
      <c r="N30" t="n">
        <v>0</v>
      </c>
      <c r="O30" t="n">
        <v>2</v>
      </c>
      <c r="P30" t="n">
        <v>0</v>
      </c>
      <c r="Q30" t="n">
        <v>3</v>
      </c>
      <c r="R30" s="2" t="inlineStr">
        <is>
          <t>Leptoporus mollis
Spillkråka
Fällmossa</t>
        </is>
      </c>
      <c r="S30">
        <f>HYPERLINK("https://klasma.github.io/Logging_0884/artfynd/A 2211-2024 artfynd.xlsx", "A 2211-2024")</f>
        <v/>
      </c>
      <c r="T30">
        <f>HYPERLINK("https://klasma.github.io/Logging_0884/kartor/A 2211-2024 karta.png", "A 2211-2024")</f>
        <v/>
      </c>
      <c r="V30">
        <f>HYPERLINK("https://klasma.github.io/Logging_0884/klagomål/A 2211-2024 FSC-klagomål.docx", "A 2211-2024")</f>
        <v/>
      </c>
      <c r="W30">
        <f>HYPERLINK("https://klasma.github.io/Logging_0884/klagomålsmail/A 2211-2024 FSC-klagomål mail.docx", "A 2211-2024")</f>
        <v/>
      </c>
      <c r="X30">
        <f>HYPERLINK("https://klasma.github.io/Logging_0884/tillsyn/A 2211-2024 tillsynsbegäran.docx", "A 2211-2024")</f>
        <v/>
      </c>
      <c r="Y30">
        <f>HYPERLINK("https://klasma.github.io/Logging_0884/tillsynsmail/A 2211-2024 tillsynsbegäran mail.docx", "A 2211-2024")</f>
        <v/>
      </c>
      <c r="Z30">
        <f>HYPERLINK("https://klasma.github.io/Logging_0884/fåglar/A 2211-2024 prioriterade fågelarter.docx", "A 2211-2024")</f>
        <v/>
      </c>
    </row>
    <row r="31" ht="15" customHeight="1">
      <c r="A31" t="inlineStr">
        <is>
          <t>A 6372-2024</t>
        </is>
      </c>
      <c r="B31" s="1" t="n">
        <v>45338</v>
      </c>
      <c r="C31" s="1" t="n">
        <v>45765</v>
      </c>
      <c r="D31" t="inlineStr">
        <is>
          <t>KALMAR LÄN</t>
        </is>
      </c>
      <c r="E31" t="inlineStr">
        <is>
          <t>VIMMERBY</t>
        </is>
      </c>
      <c r="G31" t="n">
        <v>1.3</v>
      </c>
      <c r="H31" t="n">
        <v>2</v>
      </c>
      <c r="I31" t="n">
        <v>1</v>
      </c>
      <c r="J31" t="n">
        <v>1</v>
      </c>
      <c r="K31" t="n">
        <v>0</v>
      </c>
      <c r="L31" t="n">
        <v>0</v>
      </c>
      <c r="M31" t="n">
        <v>0</v>
      </c>
      <c r="N31" t="n">
        <v>0</v>
      </c>
      <c r="O31" t="n">
        <v>1</v>
      </c>
      <c r="P31" t="n">
        <v>0</v>
      </c>
      <c r="Q31" t="n">
        <v>3</v>
      </c>
      <c r="R31" s="2" t="inlineStr">
        <is>
          <t>Talltita
Blåmossa
Revlummer</t>
        </is>
      </c>
      <c r="S31">
        <f>HYPERLINK("https://klasma.github.io/Logging_0884/artfynd/A 6372-2024 artfynd.xlsx", "A 6372-2024")</f>
        <v/>
      </c>
      <c r="T31">
        <f>HYPERLINK("https://klasma.github.io/Logging_0884/kartor/A 6372-2024 karta.png", "A 6372-2024")</f>
        <v/>
      </c>
      <c r="V31">
        <f>HYPERLINK("https://klasma.github.io/Logging_0884/klagomål/A 6372-2024 FSC-klagomål.docx", "A 6372-2024")</f>
        <v/>
      </c>
      <c r="W31">
        <f>HYPERLINK("https://klasma.github.io/Logging_0884/klagomålsmail/A 6372-2024 FSC-klagomål mail.docx", "A 6372-2024")</f>
        <v/>
      </c>
      <c r="X31">
        <f>HYPERLINK("https://klasma.github.io/Logging_0884/tillsyn/A 6372-2024 tillsynsbegäran.docx", "A 6372-2024")</f>
        <v/>
      </c>
      <c r="Y31">
        <f>HYPERLINK("https://klasma.github.io/Logging_0884/tillsynsmail/A 6372-2024 tillsynsbegäran mail.docx", "A 6372-2024")</f>
        <v/>
      </c>
      <c r="Z31">
        <f>HYPERLINK("https://klasma.github.io/Logging_0884/fåglar/A 6372-2024 prioriterade fågelarter.docx", "A 6372-2024")</f>
        <v/>
      </c>
    </row>
    <row r="32" ht="15" customHeight="1">
      <c r="A32" t="inlineStr">
        <is>
          <t>A 56985-2024</t>
        </is>
      </c>
      <c r="B32" s="1" t="n">
        <v>45628</v>
      </c>
      <c r="C32" s="1" t="n">
        <v>45765</v>
      </c>
      <c r="D32" t="inlineStr">
        <is>
          <t>KALMAR LÄN</t>
        </is>
      </c>
      <c r="E32" t="inlineStr">
        <is>
          <t>VIMMERBY</t>
        </is>
      </c>
      <c r="G32" t="n">
        <v>3.1</v>
      </c>
      <c r="H32" t="n">
        <v>2</v>
      </c>
      <c r="I32" t="n">
        <v>1</v>
      </c>
      <c r="J32" t="n">
        <v>1</v>
      </c>
      <c r="K32" t="n">
        <v>1</v>
      </c>
      <c r="L32" t="n">
        <v>0</v>
      </c>
      <c r="M32" t="n">
        <v>0</v>
      </c>
      <c r="N32" t="n">
        <v>0</v>
      </c>
      <c r="O32" t="n">
        <v>2</v>
      </c>
      <c r="P32" t="n">
        <v>1</v>
      </c>
      <c r="Q32" t="n">
        <v>3</v>
      </c>
      <c r="R32" s="2" t="inlineStr">
        <is>
          <t>Knärot
Spillkråka
Grönpyrola</t>
        </is>
      </c>
      <c r="S32">
        <f>HYPERLINK("https://klasma.github.io/Logging_0884/artfynd/A 56985-2024 artfynd.xlsx", "A 56985-2024")</f>
        <v/>
      </c>
      <c r="T32">
        <f>HYPERLINK("https://klasma.github.io/Logging_0884/kartor/A 56985-2024 karta.png", "A 56985-2024")</f>
        <v/>
      </c>
      <c r="U32">
        <f>HYPERLINK("https://klasma.github.io/Logging_0884/knärot/A 56985-2024 karta knärot.png", "A 56985-2024")</f>
        <v/>
      </c>
      <c r="V32">
        <f>HYPERLINK("https://klasma.github.io/Logging_0884/klagomål/A 56985-2024 FSC-klagomål.docx", "A 56985-2024")</f>
        <v/>
      </c>
      <c r="W32">
        <f>HYPERLINK("https://klasma.github.io/Logging_0884/klagomålsmail/A 56985-2024 FSC-klagomål mail.docx", "A 56985-2024")</f>
        <v/>
      </c>
      <c r="X32">
        <f>HYPERLINK("https://klasma.github.io/Logging_0884/tillsyn/A 56985-2024 tillsynsbegäran.docx", "A 56985-2024")</f>
        <v/>
      </c>
      <c r="Y32">
        <f>HYPERLINK("https://klasma.github.io/Logging_0884/tillsynsmail/A 56985-2024 tillsynsbegäran mail.docx", "A 56985-2024")</f>
        <v/>
      </c>
      <c r="Z32">
        <f>HYPERLINK("https://klasma.github.io/Logging_0884/fåglar/A 56985-2024 prioriterade fågelarter.docx", "A 56985-2024")</f>
        <v/>
      </c>
    </row>
    <row r="33" ht="15" customHeight="1">
      <c r="A33" t="inlineStr">
        <is>
          <t>A 14584-2025</t>
        </is>
      </c>
      <c r="B33" s="1" t="n">
        <v>45742</v>
      </c>
      <c r="C33" s="1" t="n">
        <v>45765</v>
      </c>
      <c r="D33" t="inlineStr">
        <is>
          <t>KALMAR LÄN</t>
        </is>
      </c>
      <c r="E33" t="inlineStr">
        <is>
          <t>VIMMERBY</t>
        </is>
      </c>
      <c r="G33" t="n">
        <v>7</v>
      </c>
      <c r="H33" t="n">
        <v>2</v>
      </c>
      <c r="I33" t="n">
        <v>1</v>
      </c>
      <c r="J33" t="n">
        <v>1</v>
      </c>
      <c r="K33" t="n">
        <v>1</v>
      </c>
      <c r="L33" t="n">
        <v>0</v>
      </c>
      <c r="M33" t="n">
        <v>0</v>
      </c>
      <c r="N33" t="n">
        <v>0</v>
      </c>
      <c r="O33" t="n">
        <v>2</v>
      </c>
      <c r="P33" t="n">
        <v>1</v>
      </c>
      <c r="Q33" t="n">
        <v>3</v>
      </c>
      <c r="R33" s="2" t="inlineStr">
        <is>
          <t>Knärot
Spillkråka
Blåmossa</t>
        </is>
      </c>
      <c r="S33">
        <f>HYPERLINK("https://klasma.github.io/Logging_080884/artfynd/A 14584-2025 artfynd.xlsx", "A 14584-2025")</f>
        <v/>
      </c>
      <c r="T33">
        <f>HYPERLINK("https://klasma.github.io/Logging_080884/kartor/A 14584-2025 karta.png", "A 14584-2025")</f>
        <v/>
      </c>
      <c r="U33">
        <f>HYPERLINK("https://klasma.github.io/Logging_080884/knärot/A 14584-2025 karta knärot.png", "A 14584-2025")</f>
        <v/>
      </c>
      <c r="V33">
        <f>HYPERLINK("https://klasma.github.io/Logging_080884/klagomål/A 14584-2025 FSC-klagomål.docx", "A 14584-2025")</f>
        <v/>
      </c>
      <c r="W33">
        <f>HYPERLINK("https://klasma.github.io/Logging_080884/klagomålsmail/A 14584-2025 FSC-klagomål mail.docx", "A 14584-2025")</f>
        <v/>
      </c>
      <c r="X33">
        <f>HYPERLINK("https://klasma.github.io/Logging_080884/tillsyn/A 14584-2025 tillsynsbegäran.docx", "A 14584-2025")</f>
        <v/>
      </c>
      <c r="Y33">
        <f>HYPERLINK("https://klasma.github.io/Logging_080884/tillsynsmail/A 14584-2025 tillsynsbegäran mail.docx", "A 14584-2025")</f>
        <v/>
      </c>
      <c r="Z33">
        <f>HYPERLINK("https://klasma.github.io/Logging_080884/fåglar/A 14584-2025 prioriterade fågelarter.docx", "A 14584-2025")</f>
        <v/>
      </c>
    </row>
    <row r="34" ht="15" customHeight="1">
      <c r="A34" t="inlineStr">
        <is>
          <t>A 15808-2025</t>
        </is>
      </c>
      <c r="B34" s="1" t="n">
        <v>45748</v>
      </c>
      <c r="C34" s="1" t="n">
        <v>45765</v>
      </c>
      <c r="D34" t="inlineStr">
        <is>
          <t>KALMAR LÄN</t>
        </is>
      </c>
      <c r="E34" t="inlineStr">
        <is>
          <t>VIMMERBY</t>
        </is>
      </c>
      <c r="G34" t="n">
        <v>6.1</v>
      </c>
      <c r="H34" t="n">
        <v>3</v>
      </c>
      <c r="I34" t="n">
        <v>0</v>
      </c>
      <c r="J34" t="n">
        <v>0</v>
      </c>
      <c r="K34" t="n">
        <v>0</v>
      </c>
      <c r="L34" t="n">
        <v>0</v>
      </c>
      <c r="M34" t="n">
        <v>0</v>
      </c>
      <c r="N34" t="n">
        <v>0</v>
      </c>
      <c r="O34" t="n">
        <v>0</v>
      </c>
      <c r="P34" t="n">
        <v>0</v>
      </c>
      <c r="Q34" t="n">
        <v>3</v>
      </c>
      <c r="R34" s="2" t="inlineStr">
        <is>
          <t>Kungsfågel
Åkergroda
Mattlummer</t>
        </is>
      </c>
      <c r="S34">
        <f>HYPERLINK("https://klasma.github.io/Logging_080884/artfynd/A 15808-2025 artfynd.xlsx", "A 15808-2025")</f>
        <v/>
      </c>
      <c r="T34">
        <f>HYPERLINK("https://klasma.github.io/Logging_080884/kartor/A 15808-2025 karta.png", "A 15808-2025")</f>
        <v/>
      </c>
      <c r="V34">
        <f>HYPERLINK("https://klasma.github.io/Logging_080884/klagomål/A 15808-2025 FSC-klagomål.docx", "A 15808-2025")</f>
        <v/>
      </c>
      <c r="W34">
        <f>HYPERLINK("https://klasma.github.io/Logging_080884/klagomålsmail/A 15808-2025 FSC-klagomål mail.docx", "A 15808-2025")</f>
        <v/>
      </c>
      <c r="X34">
        <f>HYPERLINK("https://klasma.github.io/Logging_080884/tillsyn/A 15808-2025 tillsynsbegäran.docx", "A 15808-2025")</f>
        <v/>
      </c>
      <c r="Y34">
        <f>HYPERLINK("https://klasma.github.io/Logging_080884/tillsynsmail/A 15808-2025 tillsynsbegäran mail.docx", "A 15808-2025")</f>
        <v/>
      </c>
      <c r="Z34">
        <f>HYPERLINK("https://klasma.github.io/Logging_080884/fåglar/A 15808-2025 prioriterade fågelarter.docx", "A 15808-2025")</f>
        <v/>
      </c>
    </row>
    <row r="35" ht="15" customHeight="1">
      <c r="A35" t="inlineStr">
        <is>
          <t>A 32602-2019</t>
        </is>
      </c>
      <c r="B35" s="1" t="n">
        <v>43647</v>
      </c>
      <c r="C35" s="1" t="n">
        <v>45765</v>
      </c>
      <c r="D35" t="inlineStr">
        <is>
          <t>KALMAR LÄN</t>
        </is>
      </c>
      <c r="E35" t="inlineStr">
        <is>
          <t>VIMMERBY</t>
        </is>
      </c>
      <c r="G35" t="n">
        <v>3.4</v>
      </c>
      <c r="H35" t="n">
        <v>0</v>
      </c>
      <c r="I35" t="n">
        <v>0</v>
      </c>
      <c r="J35" t="n">
        <v>2</v>
      </c>
      <c r="K35" t="n">
        <v>0</v>
      </c>
      <c r="L35" t="n">
        <v>0</v>
      </c>
      <c r="M35" t="n">
        <v>0</v>
      </c>
      <c r="N35" t="n">
        <v>0</v>
      </c>
      <c r="O35" t="n">
        <v>2</v>
      </c>
      <c r="P35" t="n">
        <v>0</v>
      </c>
      <c r="Q35" t="n">
        <v>2</v>
      </c>
      <c r="R35" s="2" t="inlineStr">
        <is>
          <t>Asppraktbagge
Vedskivlav</t>
        </is>
      </c>
      <c r="S35">
        <f>HYPERLINK("https://klasma.github.io/Logging_0884/artfynd/A 32602-2019 artfynd.xlsx", "A 32602-2019")</f>
        <v/>
      </c>
      <c r="T35">
        <f>HYPERLINK("https://klasma.github.io/Logging_0884/kartor/A 32602-2019 karta.png", "A 32602-2019")</f>
        <v/>
      </c>
      <c r="V35">
        <f>HYPERLINK("https://klasma.github.io/Logging_0884/klagomål/A 32602-2019 FSC-klagomål.docx", "A 32602-2019")</f>
        <v/>
      </c>
      <c r="W35">
        <f>HYPERLINK("https://klasma.github.io/Logging_0884/klagomålsmail/A 32602-2019 FSC-klagomål mail.docx", "A 32602-2019")</f>
        <v/>
      </c>
      <c r="X35">
        <f>HYPERLINK("https://klasma.github.io/Logging_0884/tillsyn/A 32602-2019 tillsynsbegäran.docx", "A 32602-2019")</f>
        <v/>
      </c>
      <c r="Y35">
        <f>HYPERLINK("https://klasma.github.io/Logging_0884/tillsynsmail/A 32602-2019 tillsynsbegäran mail.docx", "A 32602-2019")</f>
        <v/>
      </c>
    </row>
    <row r="36" ht="15" customHeight="1">
      <c r="A36" t="inlineStr">
        <is>
          <t>A 36803-2019</t>
        </is>
      </c>
      <c r="B36" s="1" t="n">
        <v>43672</v>
      </c>
      <c r="C36" s="1" t="n">
        <v>45765</v>
      </c>
      <c r="D36" t="inlineStr">
        <is>
          <t>KALMAR LÄN</t>
        </is>
      </c>
      <c r="E36" t="inlineStr">
        <is>
          <t>VIMMERBY</t>
        </is>
      </c>
      <c r="G36" t="n">
        <v>3.8</v>
      </c>
      <c r="H36" t="n">
        <v>0</v>
      </c>
      <c r="I36" t="n">
        <v>1</v>
      </c>
      <c r="J36" t="n">
        <v>1</v>
      </c>
      <c r="K36" t="n">
        <v>0</v>
      </c>
      <c r="L36" t="n">
        <v>0</v>
      </c>
      <c r="M36" t="n">
        <v>0</v>
      </c>
      <c r="N36" t="n">
        <v>0</v>
      </c>
      <c r="O36" t="n">
        <v>1</v>
      </c>
      <c r="P36" t="n">
        <v>0</v>
      </c>
      <c r="Q36" t="n">
        <v>2</v>
      </c>
      <c r="R36" s="2" t="inlineStr">
        <is>
          <t>Tallticka
Dropptaggsvamp</t>
        </is>
      </c>
      <c r="S36">
        <f>HYPERLINK("https://klasma.github.io/Logging_0884/artfynd/A 36803-2019 artfynd.xlsx", "A 36803-2019")</f>
        <v/>
      </c>
      <c r="T36">
        <f>HYPERLINK("https://klasma.github.io/Logging_0884/kartor/A 36803-2019 karta.png", "A 36803-2019")</f>
        <v/>
      </c>
      <c r="U36">
        <f>HYPERLINK("https://klasma.github.io/Logging_0884/knärot/A 36803-2019 karta knärot.png", "A 36803-2019")</f>
        <v/>
      </c>
      <c r="V36">
        <f>HYPERLINK("https://klasma.github.io/Logging_0884/klagomål/A 36803-2019 FSC-klagomål.docx", "A 36803-2019")</f>
        <v/>
      </c>
      <c r="W36">
        <f>HYPERLINK("https://klasma.github.io/Logging_0884/klagomålsmail/A 36803-2019 FSC-klagomål mail.docx", "A 36803-2019")</f>
        <v/>
      </c>
      <c r="X36">
        <f>HYPERLINK("https://klasma.github.io/Logging_0884/tillsyn/A 36803-2019 tillsynsbegäran.docx", "A 36803-2019")</f>
        <v/>
      </c>
      <c r="Y36">
        <f>HYPERLINK("https://klasma.github.io/Logging_0884/tillsynsmail/A 36803-2019 tillsynsbegäran mail.docx", "A 36803-2019")</f>
        <v/>
      </c>
    </row>
    <row r="37" ht="15" customHeight="1">
      <c r="A37" t="inlineStr">
        <is>
          <t>A 38921-2019</t>
        </is>
      </c>
      <c r="B37" s="1" t="n">
        <v>43689</v>
      </c>
      <c r="C37" s="1" t="n">
        <v>45765</v>
      </c>
      <c r="D37" t="inlineStr">
        <is>
          <t>KALMAR LÄN</t>
        </is>
      </c>
      <c r="E37" t="inlineStr">
        <is>
          <t>VIMMERBY</t>
        </is>
      </c>
      <c r="G37" t="n">
        <v>1.4</v>
      </c>
      <c r="H37" t="n">
        <v>2</v>
      </c>
      <c r="I37" t="n">
        <v>0</v>
      </c>
      <c r="J37" t="n">
        <v>2</v>
      </c>
      <c r="K37" t="n">
        <v>0</v>
      </c>
      <c r="L37" t="n">
        <v>0</v>
      </c>
      <c r="M37" t="n">
        <v>0</v>
      </c>
      <c r="N37" t="n">
        <v>0</v>
      </c>
      <c r="O37" t="n">
        <v>2</v>
      </c>
      <c r="P37" t="n">
        <v>0</v>
      </c>
      <c r="Q37" t="n">
        <v>2</v>
      </c>
      <c r="R37" s="2" t="inlineStr">
        <is>
          <t>Barbastell
Nordfladdermus</t>
        </is>
      </c>
      <c r="S37">
        <f>HYPERLINK("https://klasma.github.io/Logging_0884/artfynd/A 38921-2019 artfynd.xlsx", "A 38921-2019")</f>
        <v/>
      </c>
      <c r="T37">
        <f>HYPERLINK("https://klasma.github.io/Logging_0884/kartor/A 38921-2019 karta.png", "A 38921-2019")</f>
        <v/>
      </c>
      <c r="V37">
        <f>HYPERLINK("https://klasma.github.io/Logging_0884/klagomål/A 38921-2019 FSC-klagomål.docx", "A 38921-2019")</f>
        <v/>
      </c>
      <c r="W37">
        <f>HYPERLINK("https://klasma.github.io/Logging_0884/klagomålsmail/A 38921-2019 FSC-klagomål mail.docx", "A 38921-2019")</f>
        <v/>
      </c>
      <c r="X37">
        <f>HYPERLINK("https://klasma.github.io/Logging_0884/tillsyn/A 38921-2019 tillsynsbegäran.docx", "A 38921-2019")</f>
        <v/>
      </c>
      <c r="Y37">
        <f>HYPERLINK("https://klasma.github.io/Logging_0884/tillsynsmail/A 38921-2019 tillsynsbegäran mail.docx", "A 38921-2019")</f>
        <v/>
      </c>
    </row>
    <row r="38" ht="15" customHeight="1">
      <c r="A38" t="inlineStr">
        <is>
          <t>A 36077-2021</t>
        </is>
      </c>
      <c r="B38" s="1" t="n">
        <v>44386</v>
      </c>
      <c r="C38" s="1" t="n">
        <v>45765</v>
      </c>
      <c r="D38" t="inlineStr">
        <is>
          <t>KALMAR LÄN</t>
        </is>
      </c>
      <c r="E38" t="inlineStr">
        <is>
          <t>VIMMERBY</t>
        </is>
      </c>
      <c r="G38" t="n">
        <v>2</v>
      </c>
      <c r="H38" t="n">
        <v>1</v>
      </c>
      <c r="I38" t="n">
        <v>1</v>
      </c>
      <c r="J38" t="n">
        <v>0</v>
      </c>
      <c r="K38" t="n">
        <v>1</v>
      </c>
      <c r="L38" t="n">
        <v>0</v>
      </c>
      <c r="M38" t="n">
        <v>0</v>
      </c>
      <c r="N38" t="n">
        <v>0</v>
      </c>
      <c r="O38" t="n">
        <v>1</v>
      </c>
      <c r="P38" t="n">
        <v>1</v>
      </c>
      <c r="Q38" t="n">
        <v>2</v>
      </c>
      <c r="R38" s="2" t="inlineStr">
        <is>
          <t>Knärot
Kattfotslav</t>
        </is>
      </c>
      <c r="S38">
        <f>HYPERLINK("https://klasma.github.io/Logging_0884/artfynd/A 36077-2021 artfynd.xlsx", "A 36077-2021")</f>
        <v/>
      </c>
      <c r="T38">
        <f>HYPERLINK("https://klasma.github.io/Logging_0884/kartor/A 36077-2021 karta.png", "A 36077-2021")</f>
        <v/>
      </c>
      <c r="U38">
        <f>HYPERLINK("https://klasma.github.io/Logging_0884/knärot/A 36077-2021 karta knärot.png", "A 36077-2021")</f>
        <v/>
      </c>
      <c r="V38">
        <f>HYPERLINK("https://klasma.github.io/Logging_0884/klagomål/A 36077-2021 FSC-klagomål.docx", "A 36077-2021")</f>
        <v/>
      </c>
      <c r="W38">
        <f>HYPERLINK("https://klasma.github.io/Logging_0884/klagomålsmail/A 36077-2021 FSC-klagomål mail.docx", "A 36077-2021")</f>
        <v/>
      </c>
      <c r="X38">
        <f>HYPERLINK("https://klasma.github.io/Logging_0884/tillsyn/A 36077-2021 tillsynsbegäran.docx", "A 36077-2021")</f>
        <v/>
      </c>
      <c r="Y38">
        <f>HYPERLINK("https://klasma.github.io/Logging_0884/tillsynsmail/A 36077-2021 tillsynsbegäran mail.docx", "A 36077-2021")</f>
        <v/>
      </c>
    </row>
    <row r="39" ht="15" customHeight="1">
      <c r="A39" t="inlineStr">
        <is>
          <t>A 41398-2021</t>
        </is>
      </c>
      <c r="B39" s="1" t="n">
        <v>44424</v>
      </c>
      <c r="C39" s="1" t="n">
        <v>45765</v>
      </c>
      <c r="D39" t="inlineStr">
        <is>
          <t>KALMAR LÄN</t>
        </is>
      </c>
      <c r="E39" t="inlineStr">
        <is>
          <t>VIMMERBY</t>
        </is>
      </c>
      <c r="G39" t="n">
        <v>14.1</v>
      </c>
      <c r="H39" t="n">
        <v>0</v>
      </c>
      <c r="I39" t="n">
        <v>0</v>
      </c>
      <c r="J39" t="n">
        <v>2</v>
      </c>
      <c r="K39" t="n">
        <v>0</v>
      </c>
      <c r="L39" t="n">
        <v>0</v>
      </c>
      <c r="M39" t="n">
        <v>0</v>
      </c>
      <c r="N39" t="n">
        <v>0</v>
      </c>
      <c r="O39" t="n">
        <v>2</v>
      </c>
      <c r="P39" t="n">
        <v>0</v>
      </c>
      <c r="Q39" t="n">
        <v>2</v>
      </c>
      <c r="R39" s="2" t="inlineStr">
        <is>
          <t>Klasefibbla
Sommarfibbla</t>
        </is>
      </c>
      <c r="S39">
        <f>HYPERLINK("https://klasma.github.io/Logging_0884/artfynd/A 41398-2021 artfynd.xlsx", "A 41398-2021")</f>
        <v/>
      </c>
      <c r="T39">
        <f>HYPERLINK("https://klasma.github.io/Logging_0884/kartor/A 41398-2021 karta.png", "A 41398-2021")</f>
        <v/>
      </c>
      <c r="V39">
        <f>HYPERLINK("https://klasma.github.io/Logging_0884/klagomål/A 41398-2021 FSC-klagomål.docx", "A 41398-2021")</f>
        <v/>
      </c>
      <c r="W39">
        <f>HYPERLINK("https://klasma.github.io/Logging_0884/klagomålsmail/A 41398-2021 FSC-klagomål mail.docx", "A 41398-2021")</f>
        <v/>
      </c>
      <c r="X39">
        <f>HYPERLINK("https://klasma.github.io/Logging_0884/tillsyn/A 41398-2021 tillsynsbegäran.docx", "A 41398-2021")</f>
        <v/>
      </c>
      <c r="Y39">
        <f>HYPERLINK("https://klasma.github.io/Logging_0884/tillsynsmail/A 41398-2021 tillsynsbegäran mail.docx", "A 41398-2021")</f>
        <v/>
      </c>
    </row>
    <row r="40" ht="15" customHeight="1">
      <c r="A40" t="inlineStr">
        <is>
          <t>A 42141-2021</t>
        </is>
      </c>
      <c r="B40" s="1" t="n">
        <v>44426</v>
      </c>
      <c r="C40" s="1" t="n">
        <v>45765</v>
      </c>
      <c r="D40" t="inlineStr">
        <is>
          <t>KALMAR LÄN</t>
        </is>
      </c>
      <c r="E40" t="inlineStr">
        <is>
          <t>VIMMERBY</t>
        </is>
      </c>
      <c r="G40" t="n">
        <v>6.8</v>
      </c>
      <c r="H40" t="n">
        <v>2</v>
      </c>
      <c r="I40" t="n">
        <v>0</v>
      </c>
      <c r="J40" t="n">
        <v>0</v>
      </c>
      <c r="K40" t="n">
        <v>0</v>
      </c>
      <c r="L40" t="n">
        <v>0</v>
      </c>
      <c r="M40" t="n">
        <v>0</v>
      </c>
      <c r="N40" t="n">
        <v>0</v>
      </c>
      <c r="O40" t="n">
        <v>0</v>
      </c>
      <c r="P40" t="n">
        <v>0</v>
      </c>
      <c r="Q40" t="n">
        <v>2</v>
      </c>
      <c r="R40" s="2" t="inlineStr">
        <is>
          <t>Grönvit nattviol
Nattviol</t>
        </is>
      </c>
      <c r="S40">
        <f>HYPERLINK("https://klasma.github.io/Logging_0884/artfynd/A 42141-2021 artfynd.xlsx", "A 42141-2021")</f>
        <v/>
      </c>
      <c r="T40">
        <f>HYPERLINK("https://klasma.github.io/Logging_0884/kartor/A 42141-2021 karta.png", "A 42141-2021")</f>
        <v/>
      </c>
      <c r="V40">
        <f>HYPERLINK("https://klasma.github.io/Logging_0884/klagomål/A 42141-2021 FSC-klagomål.docx", "A 42141-2021")</f>
        <v/>
      </c>
      <c r="W40">
        <f>HYPERLINK("https://klasma.github.io/Logging_0884/klagomålsmail/A 42141-2021 FSC-klagomål mail.docx", "A 42141-2021")</f>
        <v/>
      </c>
      <c r="X40">
        <f>HYPERLINK("https://klasma.github.io/Logging_0884/tillsyn/A 42141-2021 tillsynsbegäran.docx", "A 42141-2021")</f>
        <v/>
      </c>
      <c r="Y40">
        <f>HYPERLINK("https://klasma.github.io/Logging_0884/tillsynsmail/A 42141-2021 tillsynsbegäran mail.docx", "A 42141-2021")</f>
        <v/>
      </c>
    </row>
    <row r="41" ht="15" customHeight="1">
      <c r="A41" t="inlineStr">
        <is>
          <t>A 2518-2023</t>
        </is>
      </c>
      <c r="B41" s="1" t="n">
        <v>44943</v>
      </c>
      <c r="C41" s="1" t="n">
        <v>45765</v>
      </c>
      <c r="D41" t="inlineStr">
        <is>
          <t>KALMAR LÄN</t>
        </is>
      </c>
      <c r="E41" t="inlineStr">
        <is>
          <t>VIMMERBY</t>
        </is>
      </c>
      <c r="G41" t="n">
        <v>6.1</v>
      </c>
      <c r="H41" t="n">
        <v>1</v>
      </c>
      <c r="I41" t="n">
        <v>1</v>
      </c>
      <c r="J41" t="n">
        <v>0</v>
      </c>
      <c r="K41" t="n">
        <v>1</v>
      </c>
      <c r="L41" t="n">
        <v>0</v>
      </c>
      <c r="M41" t="n">
        <v>0</v>
      </c>
      <c r="N41" t="n">
        <v>0</v>
      </c>
      <c r="O41" t="n">
        <v>1</v>
      </c>
      <c r="P41" t="n">
        <v>1</v>
      </c>
      <c r="Q41" t="n">
        <v>2</v>
      </c>
      <c r="R41" s="2" t="inlineStr">
        <is>
          <t>Knärot
Grönpyrola</t>
        </is>
      </c>
      <c r="S41">
        <f>HYPERLINK("https://klasma.github.io/Logging_0884/artfynd/A 2518-2023 artfynd.xlsx", "A 2518-2023")</f>
        <v/>
      </c>
      <c r="T41">
        <f>HYPERLINK("https://klasma.github.io/Logging_0884/kartor/A 2518-2023 karta.png", "A 2518-2023")</f>
        <v/>
      </c>
      <c r="U41">
        <f>HYPERLINK("https://klasma.github.io/Logging_0884/knärot/A 2518-2023 karta knärot.png", "A 2518-2023")</f>
        <v/>
      </c>
      <c r="V41">
        <f>HYPERLINK("https://klasma.github.io/Logging_0884/klagomål/A 2518-2023 FSC-klagomål.docx", "A 2518-2023")</f>
        <v/>
      </c>
      <c r="W41">
        <f>HYPERLINK("https://klasma.github.io/Logging_0884/klagomålsmail/A 2518-2023 FSC-klagomål mail.docx", "A 2518-2023")</f>
        <v/>
      </c>
      <c r="X41">
        <f>HYPERLINK("https://klasma.github.io/Logging_0884/tillsyn/A 2518-2023 tillsynsbegäran.docx", "A 2518-2023")</f>
        <v/>
      </c>
      <c r="Y41">
        <f>HYPERLINK("https://klasma.github.io/Logging_0884/tillsynsmail/A 2518-2023 tillsynsbegäran mail.docx", "A 2518-2023")</f>
        <v/>
      </c>
    </row>
    <row r="42" ht="15" customHeight="1">
      <c r="A42" t="inlineStr">
        <is>
          <t>A 14024-2023</t>
        </is>
      </c>
      <c r="B42" s="1" t="n">
        <v>45008</v>
      </c>
      <c r="C42" s="1" t="n">
        <v>45765</v>
      </c>
      <c r="D42" t="inlineStr">
        <is>
          <t>KALMAR LÄN</t>
        </is>
      </c>
      <c r="E42" t="inlineStr">
        <is>
          <t>VIMMERBY</t>
        </is>
      </c>
      <c r="G42" t="n">
        <v>3.2</v>
      </c>
      <c r="H42" t="n">
        <v>1</v>
      </c>
      <c r="I42" t="n">
        <v>1</v>
      </c>
      <c r="J42" t="n">
        <v>0</v>
      </c>
      <c r="K42" t="n">
        <v>0</v>
      </c>
      <c r="L42" t="n">
        <v>1</v>
      </c>
      <c r="M42" t="n">
        <v>0</v>
      </c>
      <c r="N42" t="n">
        <v>0</v>
      </c>
      <c r="O42" t="n">
        <v>1</v>
      </c>
      <c r="P42" t="n">
        <v>1</v>
      </c>
      <c r="Q42" t="n">
        <v>2</v>
      </c>
      <c r="R42" s="2" t="inlineStr">
        <is>
          <t>Ryl
Purpurknipprot</t>
        </is>
      </c>
      <c r="S42">
        <f>HYPERLINK("https://klasma.github.io/Logging_0884/artfynd/A 14024-2023 artfynd.xlsx", "A 14024-2023")</f>
        <v/>
      </c>
      <c r="T42">
        <f>HYPERLINK("https://klasma.github.io/Logging_0884/kartor/A 14024-2023 karta.png", "A 14024-2023")</f>
        <v/>
      </c>
      <c r="V42">
        <f>HYPERLINK("https://klasma.github.io/Logging_0884/klagomål/A 14024-2023 FSC-klagomål.docx", "A 14024-2023")</f>
        <v/>
      </c>
      <c r="W42">
        <f>HYPERLINK("https://klasma.github.io/Logging_0884/klagomålsmail/A 14024-2023 FSC-klagomål mail.docx", "A 14024-2023")</f>
        <v/>
      </c>
      <c r="X42">
        <f>HYPERLINK("https://klasma.github.io/Logging_0884/tillsyn/A 14024-2023 tillsynsbegäran.docx", "A 14024-2023")</f>
        <v/>
      </c>
      <c r="Y42">
        <f>HYPERLINK("https://klasma.github.io/Logging_0884/tillsynsmail/A 14024-2023 tillsynsbegäran mail.docx", "A 14024-2023")</f>
        <v/>
      </c>
    </row>
    <row r="43" ht="15" customHeight="1">
      <c r="A43" t="inlineStr">
        <is>
          <t>A 19158-2023</t>
        </is>
      </c>
      <c r="B43" s="1" t="n">
        <v>45048</v>
      </c>
      <c r="C43" s="1" t="n">
        <v>45765</v>
      </c>
      <c r="D43" t="inlineStr">
        <is>
          <t>KALMAR LÄN</t>
        </is>
      </c>
      <c r="E43" t="inlineStr">
        <is>
          <t>VIMMERBY</t>
        </is>
      </c>
      <c r="G43" t="n">
        <v>2.2</v>
      </c>
      <c r="H43" t="n">
        <v>2</v>
      </c>
      <c r="I43" t="n">
        <v>0</v>
      </c>
      <c r="J43" t="n">
        <v>0</v>
      </c>
      <c r="K43" t="n">
        <v>1</v>
      </c>
      <c r="L43" t="n">
        <v>0</v>
      </c>
      <c r="M43" t="n">
        <v>0</v>
      </c>
      <c r="N43" t="n">
        <v>0</v>
      </c>
      <c r="O43" t="n">
        <v>1</v>
      </c>
      <c r="P43" t="n">
        <v>1</v>
      </c>
      <c r="Q43" t="n">
        <v>2</v>
      </c>
      <c r="R43" s="2" t="inlineStr">
        <is>
          <t>Knärot
Blåsippa</t>
        </is>
      </c>
      <c r="S43">
        <f>HYPERLINK("https://klasma.github.io/Logging_0884/artfynd/A 19158-2023 artfynd.xlsx", "A 19158-2023")</f>
        <v/>
      </c>
      <c r="T43">
        <f>HYPERLINK("https://klasma.github.io/Logging_0884/kartor/A 19158-2023 karta.png", "A 19158-2023")</f>
        <v/>
      </c>
      <c r="U43">
        <f>HYPERLINK("https://klasma.github.io/Logging_0884/knärot/A 19158-2023 karta knärot.png", "A 19158-2023")</f>
        <v/>
      </c>
      <c r="V43">
        <f>HYPERLINK("https://klasma.github.io/Logging_0884/klagomål/A 19158-2023 FSC-klagomål.docx", "A 19158-2023")</f>
        <v/>
      </c>
      <c r="W43">
        <f>HYPERLINK("https://klasma.github.io/Logging_0884/klagomålsmail/A 19158-2023 FSC-klagomål mail.docx", "A 19158-2023")</f>
        <v/>
      </c>
      <c r="X43">
        <f>HYPERLINK("https://klasma.github.io/Logging_0884/tillsyn/A 19158-2023 tillsynsbegäran.docx", "A 19158-2023")</f>
        <v/>
      </c>
      <c r="Y43">
        <f>HYPERLINK("https://klasma.github.io/Logging_0884/tillsynsmail/A 19158-2023 tillsynsbegäran mail.docx", "A 19158-2023")</f>
        <v/>
      </c>
    </row>
    <row r="44" ht="15" customHeight="1">
      <c r="A44" t="inlineStr">
        <is>
          <t>A 22825-2023</t>
        </is>
      </c>
      <c r="B44" s="1" t="n">
        <v>45072</v>
      </c>
      <c r="C44" s="1" t="n">
        <v>45765</v>
      </c>
      <c r="D44" t="inlineStr">
        <is>
          <t>KALMAR LÄN</t>
        </is>
      </c>
      <c r="E44" t="inlineStr">
        <is>
          <t>VIMMERBY</t>
        </is>
      </c>
      <c r="G44" t="n">
        <v>14.1</v>
      </c>
      <c r="H44" t="n">
        <v>0</v>
      </c>
      <c r="I44" t="n">
        <v>0</v>
      </c>
      <c r="J44" t="n">
        <v>2</v>
      </c>
      <c r="K44" t="n">
        <v>0</v>
      </c>
      <c r="L44" t="n">
        <v>0</v>
      </c>
      <c r="M44" t="n">
        <v>0</v>
      </c>
      <c r="N44" t="n">
        <v>0</v>
      </c>
      <c r="O44" t="n">
        <v>2</v>
      </c>
      <c r="P44" t="n">
        <v>0</v>
      </c>
      <c r="Q44" t="n">
        <v>2</v>
      </c>
      <c r="R44" s="2" t="inlineStr">
        <is>
          <t>Klasefibbla
Sommarfibbla</t>
        </is>
      </c>
      <c r="S44">
        <f>HYPERLINK("https://klasma.github.io/Logging_0884/artfynd/A 22825-2023 artfynd.xlsx", "A 22825-2023")</f>
        <v/>
      </c>
      <c r="T44">
        <f>HYPERLINK("https://klasma.github.io/Logging_0884/kartor/A 22825-2023 karta.png", "A 22825-2023")</f>
        <v/>
      </c>
      <c r="V44">
        <f>HYPERLINK("https://klasma.github.io/Logging_0884/klagomål/A 22825-2023 FSC-klagomål.docx", "A 22825-2023")</f>
        <v/>
      </c>
      <c r="W44">
        <f>HYPERLINK("https://klasma.github.io/Logging_0884/klagomålsmail/A 22825-2023 FSC-klagomål mail.docx", "A 22825-2023")</f>
        <v/>
      </c>
      <c r="X44">
        <f>HYPERLINK("https://klasma.github.io/Logging_0884/tillsyn/A 22825-2023 tillsynsbegäran.docx", "A 22825-2023")</f>
        <v/>
      </c>
      <c r="Y44">
        <f>HYPERLINK("https://klasma.github.io/Logging_0884/tillsynsmail/A 22825-2023 tillsynsbegäran mail.docx", "A 22825-2023")</f>
        <v/>
      </c>
    </row>
    <row r="45" ht="15" customHeight="1">
      <c r="A45" t="inlineStr">
        <is>
          <t>A 32657-2023</t>
        </is>
      </c>
      <c r="B45" s="1" t="n">
        <v>45121</v>
      </c>
      <c r="C45" s="1" t="n">
        <v>45765</v>
      </c>
      <c r="D45" t="inlineStr">
        <is>
          <t>KALMAR LÄN</t>
        </is>
      </c>
      <c r="E45" t="inlineStr">
        <is>
          <t>VIMMERBY</t>
        </is>
      </c>
      <c r="G45" t="n">
        <v>1.6</v>
      </c>
      <c r="H45" t="n">
        <v>1</v>
      </c>
      <c r="I45" t="n">
        <v>0</v>
      </c>
      <c r="J45" t="n">
        <v>1</v>
      </c>
      <c r="K45" t="n">
        <v>0</v>
      </c>
      <c r="L45" t="n">
        <v>1</v>
      </c>
      <c r="M45" t="n">
        <v>0</v>
      </c>
      <c r="N45" t="n">
        <v>0</v>
      </c>
      <c r="O45" t="n">
        <v>2</v>
      </c>
      <c r="P45" t="n">
        <v>1</v>
      </c>
      <c r="Q45" t="n">
        <v>2</v>
      </c>
      <c r="R45" s="2" t="inlineStr">
        <is>
          <t>Bredgentiana
Sandviol</t>
        </is>
      </c>
      <c r="S45">
        <f>HYPERLINK("https://klasma.github.io/Logging_0884/artfynd/A 32657-2023 artfynd.xlsx", "A 32657-2023")</f>
        <v/>
      </c>
      <c r="T45">
        <f>HYPERLINK("https://klasma.github.io/Logging_0884/kartor/A 32657-2023 karta.png", "A 32657-2023")</f>
        <v/>
      </c>
      <c r="V45">
        <f>HYPERLINK("https://klasma.github.io/Logging_0884/klagomål/A 32657-2023 FSC-klagomål.docx", "A 32657-2023")</f>
        <v/>
      </c>
      <c r="W45">
        <f>HYPERLINK("https://klasma.github.io/Logging_0884/klagomålsmail/A 32657-2023 FSC-klagomål mail.docx", "A 32657-2023")</f>
        <v/>
      </c>
      <c r="X45">
        <f>HYPERLINK("https://klasma.github.io/Logging_0884/tillsyn/A 32657-2023 tillsynsbegäran.docx", "A 32657-2023")</f>
        <v/>
      </c>
      <c r="Y45">
        <f>HYPERLINK("https://klasma.github.io/Logging_0884/tillsynsmail/A 32657-2023 tillsynsbegäran mail.docx", "A 32657-2023")</f>
        <v/>
      </c>
    </row>
    <row r="46" ht="15" customHeight="1">
      <c r="A46" t="inlineStr">
        <is>
          <t>A 4864-2024</t>
        </is>
      </c>
      <c r="B46" s="1" t="n">
        <v>45329</v>
      </c>
      <c r="C46" s="1" t="n">
        <v>45765</v>
      </c>
      <c r="D46" t="inlineStr">
        <is>
          <t>KALMAR LÄN</t>
        </is>
      </c>
      <c r="E46" t="inlineStr">
        <is>
          <t>VIMMERBY</t>
        </is>
      </c>
      <c r="G46" t="n">
        <v>2.1</v>
      </c>
      <c r="H46" t="n">
        <v>2</v>
      </c>
      <c r="I46" t="n">
        <v>0</v>
      </c>
      <c r="J46" t="n">
        <v>1</v>
      </c>
      <c r="K46" t="n">
        <v>1</v>
      </c>
      <c r="L46" t="n">
        <v>0</v>
      </c>
      <c r="M46" t="n">
        <v>0</v>
      </c>
      <c r="N46" t="n">
        <v>0</v>
      </c>
      <c r="O46" t="n">
        <v>2</v>
      </c>
      <c r="P46" t="n">
        <v>1</v>
      </c>
      <c r="Q46" t="n">
        <v>2</v>
      </c>
      <c r="R46" s="2" t="inlineStr">
        <is>
          <t>Knärot
Talltita</t>
        </is>
      </c>
      <c r="S46">
        <f>HYPERLINK("https://klasma.github.io/Logging_0884/artfynd/A 4864-2024 artfynd.xlsx", "A 4864-2024")</f>
        <v/>
      </c>
      <c r="T46">
        <f>HYPERLINK("https://klasma.github.io/Logging_0884/kartor/A 4864-2024 karta.png", "A 4864-2024")</f>
        <v/>
      </c>
      <c r="U46">
        <f>HYPERLINK("https://klasma.github.io/Logging_0884/knärot/A 4864-2024 karta knärot.png", "A 4864-2024")</f>
        <v/>
      </c>
      <c r="V46">
        <f>HYPERLINK("https://klasma.github.io/Logging_0884/klagomål/A 4864-2024 FSC-klagomål.docx", "A 4864-2024")</f>
        <v/>
      </c>
      <c r="W46">
        <f>HYPERLINK("https://klasma.github.io/Logging_0884/klagomålsmail/A 4864-2024 FSC-klagomål mail.docx", "A 4864-2024")</f>
        <v/>
      </c>
      <c r="X46">
        <f>HYPERLINK("https://klasma.github.io/Logging_0884/tillsyn/A 4864-2024 tillsynsbegäran.docx", "A 4864-2024")</f>
        <v/>
      </c>
      <c r="Y46">
        <f>HYPERLINK("https://klasma.github.io/Logging_0884/tillsynsmail/A 4864-2024 tillsynsbegäran mail.docx", "A 4864-2024")</f>
        <v/>
      </c>
      <c r="Z46">
        <f>HYPERLINK("https://klasma.github.io/Logging_0884/fåglar/A 4864-2024 prioriterade fågelarter.docx", "A 4864-2024")</f>
        <v/>
      </c>
    </row>
    <row r="47" ht="15" customHeight="1">
      <c r="A47" t="inlineStr">
        <is>
          <t>A 26465-2024</t>
        </is>
      </c>
      <c r="B47" s="1" t="n">
        <v>45469</v>
      </c>
      <c r="C47" s="1" t="n">
        <v>45765</v>
      </c>
      <c r="D47" t="inlineStr">
        <is>
          <t>KALMAR LÄN</t>
        </is>
      </c>
      <c r="E47" t="inlineStr">
        <is>
          <t>VIMMERBY</t>
        </is>
      </c>
      <c r="F47" t="inlineStr">
        <is>
          <t>Kyrkan</t>
        </is>
      </c>
      <c r="G47" t="n">
        <v>8.199999999999999</v>
      </c>
      <c r="H47" t="n">
        <v>2</v>
      </c>
      <c r="I47" t="n">
        <v>0</v>
      </c>
      <c r="J47" t="n">
        <v>2</v>
      </c>
      <c r="K47" t="n">
        <v>0</v>
      </c>
      <c r="L47" t="n">
        <v>0</v>
      </c>
      <c r="M47" t="n">
        <v>0</v>
      </c>
      <c r="N47" t="n">
        <v>0</v>
      </c>
      <c r="O47" t="n">
        <v>2</v>
      </c>
      <c r="P47" t="n">
        <v>0</v>
      </c>
      <c r="Q47" t="n">
        <v>2</v>
      </c>
      <c r="R47" s="2" t="inlineStr">
        <is>
          <t>Mindre hackspett
Talltita</t>
        </is>
      </c>
      <c r="S47">
        <f>HYPERLINK("https://klasma.github.io/Logging_0884/artfynd/A 26465-2024 artfynd.xlsx", "A 26465-2024")</f>
        <v/>
      </c>
      <c r="T47">
        <f>HYPERLINK("https://klasma.github.io/Logging_0884/kartor/A 26465-2024 karta.png", "A 26465-2024")</f>
        <v/>
      </c>
      <c r="V47">
        <f>HYPERLINK("https://klasma.github.io/Logging_0884/klagomål/A 26465-2024 FSC-klagomål.docx", "A 26465-2024")</f>
        <v/>
      </c>
      <c r="W47">
        <f>HYPERLINK("https://klasma.github.io/Logging_0884/klagomålsmail/A 26465-2024 FSC-klagomål mail.docx", "A 26465-2024")</f>
        <v/>
      </c>
      <c r="X47">
        <f>HYPERLINK("https://klasma.github.io/Logging_0884/tillsyn/A 26465-2024 tillsynsbegäran.docx", "A 26465-2024")</f>
        <v/>
      </c>
      <c r="Y47">
        <f>HYPERLINK("https://klasma.github.io/Logging_0884/tillsynsmail/A 26465-2024 tillsynsbegäran mail.docx", "A 26465-2024")</f>
        <v/>
      </c>
      <c r="Z47">
        <f>HYPERLINK("https://klasma.github.io/Logging_0884/fåglar/A 26465-2024 prioriterade fågelarter.docx", "A 26465-2024")</f>
        <v/>
      </c>
    </row>
    <row r="48" ht="15" customHeight="1">
      <c r="A48" t="inlineStr">
        <is>
          <t>A 17935-2025</t>
        </is>
      </c>
      <c r="B48" s="1" t="n">
        <v>45760</v>
      </c>
      <c r="C48" s="1" t="n">
        <v>45765</v>
      </c>
      <c r="D48" t="inlineStr">
        <is>
          <t>KALMAR LÄN</t>
        </is>
      </c>
      <c r="E48" t="inlineStr">
        <is>
          <t>VIMMERBY</t>
        </is>
      </c>
      <c r="G48" t="n">
        <v>2.2</v>
      </c>
      <c r="H48" t="n">
        <v>1</v>
      </c>
      <c r="I48" t="n">
        <v>1</v>
      </c>
      <c r="J48" t="n">
        <v>0</v>
      </c>
      <c r="K48" t="n">
        <v>0</v>
      </c>
      <c r="L48" t="n">
        <v>0</v>
      </c>
      <c r="M48" t="n">
        <v>0</v>
      </c>
      <c r="N48" t="n">
        <v>0</v>
      </c>
      <c r="O48" t="n">
        <v>0</v>
      </c>
      <c r="P48" t="n">
        <v>0</v>
      </c>
      <c r="Q48" t="n">
        <v>2</v>
      </c>
      <c r="R48" s="2" t="inlineStr">
        <is>
          <t>Gräsull
Fläcknycklar</t>
        </is>
      </c>
      <c r="S48">
        <f>HYPERLINK("https://klasma.github.io/Logging_080884/artfynd/A 17935-2025 artfynd.xlsx", "A 17935-2025")</f>
        <v/>
      </c>
      <c r="T48">
        <f>HYPERLINK("https://klasma.github.io/Logging_080884/kartor/A 17935-2025 karta.png", "A 17935-2025")</f>
        <v/>
      </c>
      <c r="V48">
        <f>HYPERLINK("https://klasma.github.io/Logging_080884/klagomål/A 17935-2025 FSC-klagomål.docx", "A 17935-2025")</f>
        <v/>
      </c>
      <c r="W48">
        <f>HYPERLINK("https://klasma.github.io/Logging_080884/klagomålsmail/A 17935-2025 FSC-klagomål mail.docx", "A 17935-2025")</f>
        <v/>
      </c>
      <c r="X48">
        <f>HYPERLINK("https://klasma.github.io/Logging_080884/tillsyn/A 17935-2025 tillsynsbegäran.docx", "A 17935-2025")</f>
        <v/>
      </c>
      <c r="Y48">
        <f>HYPERLINK("https://klasma.github.io/Logging_080884/tillsynsmail/A 17935-2025 tillsynsbegäran mail.docx", "A 17935-2025")</f>
        <v/>
      </c>
    </row>
    <row r="49" ht="15" customHeight="1">
      <c r="A49" t="inlineStr">
        <is>
          <t>A 19055-2019</t>
        </is>
      </c>
      <c r="B49" s="1" t="n">
        <v>43563</v>
      </c>
      <c r="C49" s="1" t="n">
        <v>45765</v>
      </c>
      <c r="D49" t="inlineStr">
        <is>
          <t>KALMAR LÄN</t>
        </is>
      </c>
      <c r="E49" t="inlineStr">
        <is>
          <t>VIMMERBY</t>
        </is>
      </c>
      <c r="G49" t="n">
        <v>1</v>
      </c>
      <c r="H49" t="n">
        <v>1</v>
      </c>
      <c r="I49" t="n">
        <v>1</v>
      </c>
      <c r="J49" t="n">
        <v>0</v>
      </c>
      <c r="K49" t="n">
        <v>0</v>
      </c>
      <c r="L49" t="n">
        <v>0</v>
      </c>
      <c r="M49" t="n">
        <v>0</v>
      </c>
      <c r="N49" t="n">
        <v>0</v>
      </c>
      <c r="O49" t="n">
        <v>0</v>
      </c>
      <c r="P49" t="n">
        <v>0</v>
      </c>
      <c r="Q49" t="n">
        <v>1</v>
      </c>
      <c r="R49" s="2" t="inlineStr">
        <is>
          <t>Korallrot</t>
        </is>
      </c>
      <c r="S49">
        <f>HYPERLINK("https://klasma.github.io/Logging_0884/artfynd/A 19055-2019 artfynd.xlsx", "A 19055-2019")</f>
        <v/>
      </c>
      <c r="T49">
        <f>HYPERLINK("https://klasma.github.io/Logging_0884/kartor/A 19055-2019 karta.png", "A 19055-2019")</f>
        <v/>
      </c>
      <c r="V49">
        <f>HYPERLINK("https://klasma.github.io/Logging_0884/klagomål/A 19055-2019 FSC-klagomål.docx", "A 19055-2019")</f>
        <v/>
      </c>
      <c r="W49">
        <f>HYPERLINK("https://klasma.github.io/Logging_0884/klagomålsmail/A 19055-2019 FSC-klagomål mail.docx", "A 19055-2019")</f>
        <v/>
      </c>
      <c r="X49">
        <f>HYPERLINK("https://klasma.github.io/Logging_0884/tillsyn/A 19055-2019 tillsynsbegäran.docx", "A 19055-2019")</f>
        <v/>
      </c>
      <c r="Y49">
        <f>HYPERLINK("https://klasma.github.io/Logging_0884/tillsynsmail/A 19055-2019 tillsynsbegäran mail.docx", "A 19055-2019")</f>
        <v/>
      </c>
    </row>
    <row r="50" ht="15" customHeight="1">
      <c r="A50" t="inlineStr">
        <is>
          <t>A 52156-2019</t>
        </is>
      </c>
      <c r="B50" s="1" t="n">
        <v>43742</v>
      </c>
      <c r="C50" s="1" t="n">
        <v>45765</v>
      </c>
      <c r="D50" t="inlineStr">
        <is>
          <t>KALMAR LÄN</t>
        </is>
      </c>
      <c r="E50" t="inlineStr">
        <is>
          <t>VIMMERBY</t>
        </is>
      </c>
      <c r="G50" t="n">
        <v>3.7</v>
      </c>
      <c r="H50" t="n">
        <v>1</v>
      </c>
      <c r="I50" t="n">
        <v>0</v>
      </c>
      <c r="J50" t="n">
        <v>0</v>
      </c>
      <c r="K50" t="n">
        <v>0</v>
      </c>
      <c r="L50" t="n">
        <v>0</v>
      </c>
      <c r="M50" t="n">
        <v>0</v>
      </c>
      <c r="N50" t="n">
        <v>0</v>
      </c>
      <c r="O50" t="n">
        <v>0</v>
      </c>
      <c r="P50" t="n">
        <v>0</v>
      </c>
      <c r="Q50" t="n">
        <v>1</v>
      </c>
      <c r="R50" s="2" t="inlineStr">
        <is>
          <t>Blåsippa</t>
        </is>
      </c>
      <c r="S50">
        <f>HYPERLINK("https://klasma.github.io/Logging_0884/artfynd/A 52156-2019 artfynd.xlsx", "A 52156-2019")</f>
        <v/>
      </c>
      <c r="T50">
        <f>HYPERLINK("https://klasma.github.io/Logging_0884/kartor/A 52156-2019 karta.png", "A 52156-2019")</f>
        <v/>
      </c>
      <c r="U50">
        <f>HYPERLINK("https://klasma.github.io/Logging_0884/knärot/A 52156-2019 karta knärot.png", "A 52156-2019")</f>
        <v/>
      </c>
      <c r="V50">
        <f>HYPERLINK("https://klasma.github.io/Logging_0884/klagomål/A 52156-2019 FSC-klagomål.docx", "A 52156-2019")</f>
        <v/>
      </c>
      <c r="W50">
        <f>HYPERLINK("https://klasma.github.io/Logging_0884/klagomålsmail/A 52156-2019 FSC-klagomål mail.docx", "A 52156-2019")</f>
        <v/>
      </c>
      <c r="X50">
        <f>HYPERLINK("https://klasma.github.io/Logging_0884/tillsyn/A 52156-2019 tillsynsbegäran.docx", "A 52156-2019")</f>
        <v/>
      </c>
      <c r="Y50">
        <f>HYPERLINK("https://klasma.github.io/Logging_0884/tillsynsmail/A 52156-2019 tillsynsbegäran mail.docx", "A 52156-2019")</f>
        <v/>
      </c>
    </row>
    <row r="51" ht="15" customHeight="1">
      <c r="A51" t="inlineStr">
        <is>
          <t>A 64356-2019</t>
        </is>
      </c>
      <c r="B51" s="1" t="n">
        <v>43797</v>
      </c>
      <c r="C51" s="1" t="n">
        <v>45765</v>
      </c>
      <c r="D51" t="inlineStr">
        <is>
          <t>KALMAR LÄN</t>
        </is>
      </c>
      <c r="E51" t="inlineStr">
        <is>
          <t>VIMMERBY</t>
        </is>
      </c>
      <c r="G51" t="n">
        <v>1.4</v>
      </c>
      <c r="H51" t="n">
        <v>0</v>
      </c>
      <c r="I51" t="n">
        <v>1</v>
      </c>
      <c r="J51" t="n">
        <v>0</v>
      </c>
      <c r="K51" t="n">
        <v>0</v>
      </c>
      <c r="L51" t="n">
        <v>0</v>
      </c>
      <c r="M51" t="n">
        <v>0</v>
      </c>
      <c r="N51" t="n">
        <v>0</v>
      </c>
      <c r="O51" t="n">
        <v>0</v>
      </c>
      <c r="P51" t="n">
        <v>0</v>
      </c>
      <c r="Q51" t="n">
        <v>1</v>
      </c>
      <c r="R51" s="2" t="inlineStr">
        <is>
          <t>Fällmossa</t>
        </is>
      </c>
      <c r="S51">
        <f>HYPERLINK("https://klasma.github.io/Logging_0884/artfynd/A 64356-2019 artfynd.xlsx", "A 64356-2019")</f>
        <v/>
      </c>
      <c r="T51">
        <f>HYPERLINK("https://klasma.github.io/Logging_0884/kartor/A 64356-2019 karta.png", "A 64356-2019")</f>
        <v/>
      </c>
      <c r="V51">
        <f>HYPERLINK("https://klasma.github.io/Logging_0884/klagomål/A 64356-2019 FSC-klagomål.docx", "A 64356-2019")</f>
        <v/>
      </c>
      <c r="W51">
        <f>HYPERLINK("https://klasma.github.io/Logging_0884/klagomålsmail/A 64356-2019 FSC-klagomål mail.docx", "A 64356-2019")</f>
        <v/>
      </c>
      <c r="X51">
        <f>HYPERLINK("https://klasma.github.io/Logging_0884/tillsyn/A 64356-2019 tillsynsbegäran.docx", "A 64356-2019")</f>
        <v/>
      </c>
      <c r="Y51">
        <f>HYPERLINK("https://klasma.github.io/Logging_0884/tillsynsmail/A 64356-2019 tillsynsbegäran mail.docx", "A 64356-2019")</f>
        <v/>
      </c>
    </row>
    <row r="52" ht="15" customHeight="1">
      <c r="A52" t="inlineStr">
        <is>
          <t>A 22439-2020</t>
        </is>
      </c>
      <c r="B52" s="1" t="n">
        <v>43963</v>
      </c>
      <c r="C52" s="1" t="n">
        <v>45765</v>
      </c>
      <c r="D52" t="inlineStr">
        <is>
          <t>KALMAR LÄN</t>
        </is>
      </c>
      <c r="E52" t="inlineStr">
        <is>
          <t>VIMMERBY</t>
        </is>
      </c>
      <c r="G52" t="n">
        <v>13.8</v>
      </c>
      <c r="H52" t="n">
        <v>0</v>
      </c>
      <c r="I52" t="n">
        <v>0</v>
      </c>
      <c r="J52" t="n">
        <v>1</v>
      </c>
      <c r="K52" t="n">
        <v>0</v>
      </c>
      <c r="L52" t="n">
        <v>0</v>
      </c>
      <c r="M52" t="n">
        <v>0</v>
      </c>
      <c r="N52" t="n">
        <v>0</v>
      </c>
      <c r="O52" t="n">
        <v>1</v>
      </c>
      <c r="P52" t="n">
        <v>0</v>
      </c>
      <c r="Q52" t="n">
        <v>1</v>
      </c>
      <c r="R52" s="2" t="inlineStr">
        <is>
          <t>Tallticka</t>
        </is>
      </c>
      <c r="S52">
        <f>HYPERLINK("https://klasma.github.io/Logging_0884/artfynd/A 22439-2020 artfynd.xlsx", "A 22439-2020")</f>
        <v/>
      </c>
      <c r="T52">
        <f>HYPERLINK("https://klasma.github.io/Logging_0884/kartor/A 22439-2020 karta.png", "A 22439-2020")</f>
        <v/>
      </c>
      <c r="V52">
        <f>HYPERLINK("https://klasma.github.io/Logging_0884/klagomål/A 22439-2020 FSC-klagomål.docx", "A 22439-2020")</f>
        <v/>
      </c>
      <c r="W52">
        <f>HYPERLINK("https://klasma.github.io/Logging_0884/klagomålsmail/A 22439-2020 FSC-klagomål mail.docx", "A 22439-2020")</f>
        <v/>
      </c>
      <c r="X52">
        <f>HYPERLINK("https://klasma.github.io/Logging_0884/tillsyn/A 22439-2020 tillsynsbegäran.docx", "A 22439-2020")</f>
        <v/>
      </c>
      <c r="Y52">
        <f>HYPERLINK("https://klasma.github.io/Logging_0884/tillsynsmail/A 22439-2020 tillsynsbegäran mail.docx", "A 22439-2020")</f>
        <v/>
      </c>
    </row>
    <row r="53" ht="15" customHeight="1">
      <c r="A53" t="inlineStr">
        <is>
          <t>A 42097-2020</t>
        </is>
      </c>
      <c r="B53" s="1" t="n">
        <v>44075</v>
      </c>
      <c r="C53" s="1" t="n">
        <v>45765</v>
      </c>
      <c r="D53" t="inlineStr">
        <is>
          <t>KALMAR LÄN</t>
        </is>
      </c>
      <c r="E53" t="inlineStr">
        <is>
          <t>VIMMERBY</t>
        </is>
      </c>
      <c r="G53" t="n">
        <v>5.5</v>
      </c>
      <c r="H53" t="n">
        <v>0</v>
      </c>
      <c r="I53" t="n">
        <v>0</v>
      </c>
      <c r="J53" t="n">
        <v>1</v>
      </c>
      <c r="K53" t="n">
        <v>0</v>
      </c>
      <c r="L53" t="n">
        <v>0</v>
      </c>
      <c r="M53" t="n">
        <v>0</v>
      </c>
      <c r="N53" t="n">
        <v>0</v>
      </c>
      <c r="O53" t="n">
        <v>1</v>
      </c>
      <c r="P53" t="n">
        <v>0</v>
      </c>
      <c r="Q53" t="n">
        <v>1</v>
      </c>
      <c r="R53" s="2" t="inlineStr">
        <is>
          <t>Mjukdån</t>
        </is>
      </c>
      <c r="S53">
        <f>HYPERLINK("https://klasma.github.io/Logging_0884/artfynd/A 42097-2020 artfynd.xlsx", "A 42097-2020")</f>
        <v/>
      </c>
      <c r="T53">
        <f>HYPERLINK("https://klasma.github.io/Logging_0884/kartor/A 42097-2020 karta.png", "A 42097-2020")</f>
        <v/>
      </c>
      <c r="V53">
        <f>HYPERLINK("https://klasma.github.io/Logging_0884/klagomål/A 42097-2020 FSC-klagomål.docx", "A 42097-2020")</f>
        <v/>
      </c>
      <c r="W53">
        <f>HYPERLINK("https://klasma.github.io/Logging_0884/klagomålsmail/A 42097-2020 FSC-klagomål mail.docx", "A 42097-2020")</f>
        <v/>
      </c>
      <c r="X53">
        <f>HYPERLINK("https://klasma.github.io/Logging_0884/tillsyn/A 42097-2020 tillsynsbegäran.docx", "A 42097-2020")</f>
        <v/>
      </c>
      <c r="Y53">
        <f>HYPERLINK("https://klasma.github.io/Logging_0884/tillsynsmail/A 42097-2020 tillsynsbegäran mail.docx", "A 42097-2020")</f>
        <v/>
      </c>
    </row>
    <row r="54" ht="15" customHeight="1">
      <c r="A54" t="inlineStr">
        <is>
          <t>A 44306-2020</t>
        </is>
      </c>
      <c r="B54" s="1" t="n">
        <v>44082</v>
      </c>
      <c r="C54" s="1" t="n">
        <v>45765</v>
      </c>
      <c r="D54" t="inlineStr">
        <is>
          <t>KALMAR LÄN</t>
        </is>
      </c>
      <c r="E54" t="inlineStr">
        <is>
          <t>VIMMERBY</t>
        </is>
      </c>
      <c r="G54" t="n">
        <v>16.4</v>
      </c>
      <c r="H54" t="n">
        <v>1</v>
      </c>
      <c r="I54" t="n">
        <v>1</v>
      </c>
      <c r="J54" t="n">
        <v>0</v>
      </c>
      <c r="K54" t="n">
        <v>0</v>
      </c>
      <c r="L54" t="n">
        <v>0</v>
      </c>
      <c r="M54" t="n">
        <v>0</v>
      </c>
      <c r="N54" t="n">
        <v>0</v>
      </c>
      <c r="O54" t="n">
        <v>0</v>
      </c>
      <c r="P54" t="n">
        <v>0</v>
      </c>
      <c r="Q54" t="n">
        <v>1</v>
      </c>
      <c r="R54" s="2" t="inlineStr">
        <is>
          <t>Plattlummer</t>
        </is>
      </c>
      <c r="S54">
        <f>HYPERLINK("https://klasma.github.io/Logging_0884/artfynd/A 44306-2020 artfynd.xlsx", "A 44306-2020")</f>
        <v/>
      </c>
      <c r="T54">
        <f>HYPERLINK("https://klasma.github.io/Logging_0884/kartor/A 44306-2020 karta.png", "A 44306-2020")</f>
        <v/>
      </c>
      <c r="V54">
        <f>HYPERLINK("https://klasma.github.io/Logging_0884/klagomål/A 44306-2020 FSC-klagomål.docx", "A 44306-2020")</f>
        <v/>
      </c>
      <c r="W54">
        <f>HYPERLINK("https://klasma.github.io/Logging_0884/klagomålsmail/A 44306-2020 FSC-klagomål mail.docx", "A 44306-2020")</f>
        <v/>
      </c>
      <c r="X54">
        <f>HYPERLINK("https://klasma.github.io/Logging_0884/tillsyn/A 44306-2020 tillsynsbegäran.docx", "A 44306-2020")</f>
        <v/>
      </c>
      <c r="Y54">
        <f>HYPERLINK("https://klasma.github.io/Logging_0884/tillsynsmail/A 44306-2020 tillsynsbegäran mail.docx", "A 44306-2020")</f>
        <v/>
      </c>
    </row>
    <row r="55" ht="15" customHeight="1">
      <c r="A55" t="inlineStr">
        <is>
          <t>A 57949-2020</t>
        </is>
      </c>
      <c r="B55" s="1" t="n">
        <v>44142</v>
      </c>
      <c r="C55" s="1" t="n">
        <v>45765</v>
      </c>
      <c r="D55" t="inlineStr">
        <is>
          <t>KALMAR LÄN</t>
        </is>
      </c>
      <c r="E55" t="inlineStr">
        <is>
          <t>VIMMERBY</t>
        </is>
      </c>
      <c r="G55" t="n">
        <v>3.4</v>
      </c>
      <c r="H55" t="n">
        <v>0</v>
      </c>
      <c r="I55" t="n">
        <v>1</v>
      </c>
      <c r="J55" t="n">
        <v>0</v>
      </c>
      <c r="K55" t="n">
        <v>0</v>
      </c>
      <c r="L55" t="n">
        <v>0</v>
      </c>
      <c r="M55" t="n">
        <v>0</v>
      </c>
      <c r="N55" t="n">
        <v>0</v>
      </c>
      <c r="O55" t="n">
        <v>0</v>
      </c>
      <c r="P55" t="n">
        <v>0</v>
      </c>
      <c r="Q55" t="n">
        <v>1</v>
      </c>
      <c r="R55" s="2" t="inlineStr">
        <is>
          <t>Vårärt</t>
        </is>
      </c>
      <c r="S55">
        <f>HYPERLINK("https://klasma.github.io/Logging_0884/artfynd/A 57949-2020 artfynd.xlsx", "A 57949-2020")</f>
        <v/>
      </c>
      <c r="T55">
        <f>HYPERLINK("https://klasma.github.io/Logging_0884/kartor/A 57949-2020 karta.png", "A 57949-2020")</f>
        <v/>
      </c>
      <c r="V55">
        <f>HYPERLINK("https://klasma.github.io/Logging_0884/klagomål/A 57949-2020 FSC-klagomål.docx", "A 57949-2020")</f>
        <v/>
      </c>
      <c r="W55">
        <f>HYPERLINK("https://klasma.github.io/Logging_0884/klagomålsmail/A 57949-2020 FSC-klagomål mail.docx", "A 57949-2020")</f>
        <v/>
      </c>
      <c r="X55">
        <f>HYPERLINK("https://klasma.github.io/Logging_0884/tillsyn/A 57949-2020 tillsynsbegäran.docx", "A 57949-2020")</f>
        <v/>
      </c>
      <c r="Y55">
        <f>HYPERLINK("https://klasma.github.io/Logging_0884/tillsynsmail/A 57949-2020 tillsynsbegäran mail.docx", "A 57949-2020")</f>
        <v/>
      </c>
    </row>
    <row r="56" ht="15" customHeight="1">
      <c r="A56" t="inlineStr">
        <is>
          <t>A 64674-2020</t>
        </is>
      </c>
      <c r="B56" s="1" t="n">
        <v>44169</v>
      </c>
      <c r="C56" s="1" t="n">
        <v>45765</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64674-2020 artfynd.xlsx", "A 64674-2020")</f>
        <v/>
      </c>
      <c r="T56">
        <f>HYPERLINK("https://klasma.github.io/Logging_0884/kartor/A 64674-2020 karta.png", "A 64674-2020")</f>
        <v/>
      </c>
      <c r="V56">
        <f>HYPERLINK("https://klasma.github.io/Logging_0884/klagomål/A 64674-2020 FSC-klagomål.docx", "A 64674-2020")</f>
        <v/>
      </c>
      <c r="W56">
        <f>HYPERLINK("https://klasma.github.io/Logging_0884/klagomålsmail/A 64674-2020 FSC-klagomål mail.docx", "A 64674-2020")</f>
        <v/>
      </c>
      <c r="X56">
        <f>HYPERLINK("https://klasma.github.io/Logging_0884/tillsyn/A 64674-2020 tillsynsbegäran.docx", "A 64674-2020")</f>
        <v/>
      </c>
      <c r="Y56">
        <f>HYPERLINK("https://klasma.github.io/Logging_0884/tillsynsmail/A 64674-2020 tillsynsbegäran mail.docx", "A 64674-2020")</f>
        <v/>
      </c>
    </row>
    <row r="57" ht="15" customHeight="1">
      <c r="A57" t="inlineStr">
        <is>
          <t>A 68851-2020</t>
        </is>
      </c>
      <c r="B57" s="1" t="n">
        <v>44187</v>
      </c>
      <c r="C57" s="1" t="n">
        <v>45765</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68851-2020 artfynd.xlsx", "A 68851-2020")</f>
        <v/>
      </c>
      <c r="T57">
        <f>HYPERLINK("https://klasma.github.io/Logging_0884/kartor/A 68851-2020 karta.png", "A 68851-2020")</f>
        <v/>
      </c>
      <c r="V57">
        <f>HYPERLINK("https://klasma.github.io/Logging_0884/klagomål/A 68851-2020 FSC-klagomål.docx", "A 68851-2020")</f>
        <v/>
      </c>
      <c r="W57">
        <f>HYPERLINK("https://klasma.github.io/Logging_0884/klagomålsmail/A 68851-2020 FSC-klagomål mail.docx", "A 68851-2020")</f>
        <v/>
      </c>
      <c r="X57">
        <f>HYPERLINK("https://klasma.github.io/Logging_0884/tillsyn/A 68851-2020 tillsynsbegäran.docx", "A 68851-2020")</f>
        <v/>
      </c>
      <c r="Y57">
        <f>HYPERLINK("https://klasma.github.io/Logging_0884/tillsynsmail/A 68851-2020 tillsynsbegäran mail.docx", "A 68851-2020")</f>
        <v/>
      </c>
    </row>
    <row r="58" ht="15" customHeight="1">
      <c r="A58" t="inlineStr">
        <is>
          <t>A 6841-2021</t>
        </is>
      </c>
      <c r="B58" s="1" t="n">
        <v>44236</v>
      </c>
      <c r="C58" s="1" t="n">
        <v>45765</v>
      </c>
      <c r="D58" t="inlineStr">
        <is>
          <t>KALMAR LÄN</t>
        </is>
      </c>
      <c r="E58" t="inlineStr">
        <is>
          <t>VIMMERBY</t>
        </is>
      </c>
      <c r="G58" t="n">
        <v>25</v>
      </c>
      <c r="H58" t="n">
        <v>0</v>
      </c>
      <c r="I58" t="n">
        <v>0</v>
      </c>
      <c r="J58" t="n">
        <v>1</v>
      </c>
      <c r="K58" t="n">
        <v>0</v>
      </c>
      <c r="L58" t="n">
        <v>0</v>
      </c>
      <c r="M58" t="n">
        <v>0</v>
      </c>
      <c r="N58" t="n">
        <v>0</v>
      </c>
      <c r="O58" t="n">
        <v>1</v>
      </c>
      <c r="P58" t="n">
        <v>0</v>
      </c>
      <c r="Q58" t="n">
        <v>1</v>
      </c>
      <c r="R58" s="2" t="inlineStr">
        <is>
          <t>Bredbrämad bastardsvärmare</t>
        </is>
      </c>
      <c r="S58">
        <f>HYPERLINK("https://klasma.github.io/Logging_0884/artfynd/A 6841-2021 artfynd.xlsx", "A 6841-2021")</f>
        <v/>
      </c>
      <c r="T58">
        <f>HYPERLINK("https://klasma.github.io/Logging_0884/kartor/A 6841-2021 karta.png", "A 6841-2021")</f>
        <v/>
      </c>
      <c r="V58">
        <f>HYPERLINK("https://klasma.github.io/Logging_0884/klagomål/A 6841-2021 FSC-klagomål.docx", "A 6841-2021")</f>
        <v/>
      </c>
      <c r="W58">
        <f>HYPERLINK("https://klasma.github.io/Logging_0884/klagomålsmail/A 6841-2021 FSC-klagomål mail.docx", "A 6841-2021")</f>
        <v/>
      </c>
      <c r="X58">
        <f>HYPERLINK("https://klasma.github.io/Logging_0884/tillsyn/A 6841-2021 tillsynsbegäran.docx", "A 6841-2021")</f>
        <v/>
      </c>
      <c r="Y58">
        <f>HYPERLINK("https://klasma.github.io/Logging_0884/tillsynsmail/A 6841-2021 tillsynsbegäran mail.docx", "A 6841-2021")</f>
        <v/>
      </c>
    </row>
    <row r="59" ht="15" customHeight="1">
      <c r="A59" t="inlineStr">
        <is>
          <t>A 32396-2021</t>
        </is>
      </c>
      <c r="B59" s="1" t="n">
        <v>44371</v>
      </c>
      <c r="C59" s="1" t="n">
        <v>45765</v>
      </c>
      <c r="D59" t="inlineStr">
        <is>
          <t>KALMAR LÄN</t>
        </is>
      </c>
      <c r="E59" t="inlineStr">
        <is>
          <t>VIMMERBY</t>
        </is>
      </c>
      <c r="G59" t="n">
        <v>2.8</v>
      </c>
      <c r="H59" t="n">
        <v>1</v>
      </c>
      <c r="I59" t="n">
        <v>0</v>
      </c>
      <c r="J59" t="n">
        <v>0</v>
      </c>
      <c r="K59" t="n">
        <v>0</v>
      </c>
      <c r="L59" t="n">
        <v>0</v>
      </c>
      <c r="M59" t="n">
        <v>0</v>
      </c>
      <c r="N59" t="n">
        <v>0</v>
      </c>
      <c r="O59" t="n">
        <v>0</v>
      </c>
      <c r="P59" t="n">
        <v>0</v>
      </c>
      <c r="Q59" t="n">
        <v>1</v>
      </c>
      <c r="R59" s="2" t="inlineStr">
        <is>
          <t>Blåsippa</t>
        </is>
      </c>
      <c r="S59">
        <f>HYPERLINK("https://klasma.github.io/Logging_0884/artfynd/A 32396-2021 artfynd.xlsx", "A 32396-2021")</f>
        <v/>
      </c>
      <c r="T59">
        <f>HYPERLINK("https://klasma.github.io/Logging_0884/kartor/A 32396-2021 karta.png", "A 32396-2021")</f>
        <v/>
      </c>
      <c r="V59">
        <f>HYPERLINK("https://klasma.github.io/Logging_0884/klagomål/A 32396-2021 FSC-klagomål.docx", "A 32396-2021")</f>
        <v/>
      </c>
      <c r="W59">
        <f>HYPERLINK("https://klasma.github.io/Logging_0884/klagomålsmail/A 32396-2021 FSC-klagomål mail.docx", "A 32396-2021")</f>
        <v/>
      </c>
      <c r="X59">
        <f>HYPERLINK("https://klasma.github.io/Logging_0884/tillsyn/A 32396-2021 tillsynsbegäran.docx", "A 32396-2021")</f>
        <v/>
      </c>
      <c r="Y59">
        <f>HYPERLINK("https://klasma.github.io/Logging_0884/tillsynsmail/A 32396-2021 tillsynsbegäran mail.docx", "A 32396-2021")</f>
        <v/>
      </c>
    </row>
    <row r="60" ht="15" customHeight="1">
      <c r="A60" t="inlineStr">
        <is>
          <t>A 33436-2021</t>
        </is>
      </c>
      <c r="B60" s="1" t="n">
        <v>44377</v>
      </c>
      <c r="C60" s="1" t="n">
        <v>45765</v>
      </c>
      <c r="D60" t="inlineStr">
        <is>
          <t>KALMAR LÄN</t>
        </is>
      </c>
      <c r="E60" t="inlineStr">
        <is>
          <t>VIMMERBY</t>
        </is>
      </c>
      <c r="G60" t="n">
        <v>11.8</v>
      </c>
      <c r="H60" t="n">
        <v>1</v>
      </c>
      <c r="I60" t="n">
        <v>0</v>
      </c>
      <c r="J60" t="n">
        <v>0</v>
      </c>
      <c r="K60" t="n">
        <v>1</v>
      </c>
      <c r="L60" t="n">
        <v>0</v>
      </c>
      <c r="M60" t="n">
        <v>0</v>
      </c>
      <c r="N60" t="n">
        <v>0</v>
      </c>
      <c r="O60" t="n">
        <v>1</v>
      </c>
      <c r="P60" t="n">
        <v>1</v>
      </c>
      <c r="Q60" t="n">
        <v>1</v>
      </c>
      <c r="R60" s="2" t="inlineStr">
        <is>
          <t>Knärot</t>
        </is>
      </c>
      <c r="S60">
        <f>HYPERLINK("https://klasma.github.io/Logging_0884/artfynd/A 33436-2021 artfynd.xlsx", "A 33436-2021")</f>
        <v/>
      </c>
      <c r="T60">
        <f>HYPERLINK("https://klasma.github.io/Logging_0884/kartor/A 33436-2021 karta.png", "A 33436-2021")</f>
        <v/>
      </c>
      <c r="U60">
        <f>HYPERLINK("https://klasma.github.io/Logging_0884/knärot/A 33436-2021 karta knärot.png", "A 33436-2021")</f>
        <v/>
      </c>
      <c r="V60">
        <f>HYPERLINK("https://klasma.github.io/Logging_0884/klagomål/A 33436-2021 FSC-klagomål.docx", "A 33436-2021")</f>
        <v/>
      </c>
      <c r="W60">
        <f>HYPERLINK("https://klasma.github.io/Logging_0884/klagomålsmail/A 33436-2021 FSC-klagomål mail.docx", "A 33436-2021")</f>
        <v/>
      </c>
      <c r="X60">
        <f>HYPERLINK("https://klasma.github.io/Logging_0884/tillsyn/A 33436-2021 tillsynsbegäran.docx", "A 33436-2021")</f>
        <v/>
      </c>
      <c r="Y60">
        <f>HYPERLINK("https://klasma.github.io/Logging_0884/tillsynsmail/A 33436-2021 tillsynsbegäran mail.docx", "A 33436-2021")</f>
        <v/>
      </c>
    </row>
    <row r="61" ht="15" customHeight="1">
      <c r="A61" t="inlineStr">
        <is>
          <t>A 37930-2021</t>
        </is>
      </c>
      <c r="B61" s="1" t="n">
        <v>44403</v>
      </c>
      <c r="C61" s="1" t="n">
        <v>45765</v>
      </c>
      <c r="D61" t="inlineStr">
        <is>
          <t>KALMAR LÄN</t>
        </is>
      </c>
      <c r="E61" t="inlineStr">
        <is>
          <t>VIMMERBY</t>
        </is>
      </c>
      <c r="G61" t="n">
        <v>4.4</v>
      </c>
      <c r="H61" t="n">
        <v>0</v>
      </c>
      <c r="I61" t="n">
        <v>0</v>
      </c>
      <c r="J61" t="n">
        <v>1</v>
      </c>
      <c r="K61" t="n">
        <v>0</v>
      </c>
      <c r="L61" t="n">
        <v>0</v>
      </c>
      <c r="M61" t="n">
        <v>0</v>
      </c>
      <c r="N61" t="n">
        <v>0</v>
      </c>
      <c r="O61" t="n">
        <v>1</v>
      </c>
      <c r="P61" t="n">
        <v>0</v>
      </c>
      <c r="Q61" t="n">
        <v>1</v>
      </c>
      <c r="R61" s="2" t="inlineStr">
        <is>
          <t>Spindelört</t>
        </is>
      </c>
      <c r="S61">
        <f>HYPERLINK("https://klasma.github.io/Logging_0884/artfynd/A 37930-2021 artfynd.xlsx", "A 37930-2021")</f>
        <v/>
      </c>
      <c r="T61">
        <f>HYPERLINK("https://klasma.github.io/Logging_0884/kartor/A 37930-2021 karta.png", "A 37930-2021")</f>
        <v/>
      </c>
      <c r="V61">
        <f>HYPERLINK("https://klasma.github.io/Logging_0884/klagomål/A 37930-2021 FSC-klagomål.docx", "A 37930-2021")</f>
        <v/>
      </c>
      <c r="W61">
        <f>HYPERLINK("https://klasma.github.io/Logging_0884/klagomålsmail/A 37930-2021 FSC-klagomål mail.docx", "A 37930-2021")</f>
        <v/>
      </c>
      <c r="X61">
        <f>HYPERLINK("https://klasma.github.io/Logging_0884/tillsyn/A 37930-2021 tillsynsbegäran.docx", "A 37930-2021")</f>
        <v/>
      </c>
      <c r="Y61">
        <f>HYPERLINK("https://klasma.github.io/Logging_0884/tillsynsmail/A 37930-2021 tillsynsbegäran mail.docx", "A 37930-2021")</f>
        <v/>
      </c>
    </row>
    <row r="62" ht="15" customHeight="1">
      <c r="A62" t="inlineStr">
        <is>
          <t>A 71785-2021</t>
        </is>
      </c>
      <c r="B62" s="1" t="n">
        <v>44539</v>
      </c>
      <c r="C62" s="1" t="n">
        <v>45765</v>
      </c>
      <c r="D62" t="inlineStr">
        <is>
          <t>KALMAR LÄN</t>
        </is>
      </c>
      <c r="E62" t="inlineStr">
        <is>
          <t>VIMMERBY</t>
        </is>
      </c>
      <c r="G62" t="n">
        <v>1.1</v>
      </c>
      <c r="H62" t="n">
        <v>0</v>
      </c>
      <c r="I62" t="n">
        <v>0</v>
      </c>
      <c r="J62" t="n">
        <v>0</v>
      </c>
      <c r="K62" t="n">
        <v>0</v>
      </c>
      <c r="L62" t="n">
        <v>1</v>
      </c>
      <c r="M62" t="n">
        <v>0</v>
      </c>
      <c r="N62" t="n">
        <v>0</v>
      </c>
      <c r="O62" t="n">
        <v>1</v>
      </c>
      <c r="P62" t="n">
        <v>1</v>
      </c>
      <c r="Q62" t="n">
        <v>1</v>
      </c>
      <c r="R62" s="2" t="inlineStr">
        <is>
          <t>Ryl</t>
        </is>
      </c>
      <c r="S62">
        <f>HYPERLINK("https://klasma.github.io/Logging_0884/artfynd/A 71785-2021 artfynd.xlsx", "A 71785-2021")</f>
        <v/>
      </c>
      <c r="T62">
        <f>HYPERLINK("https://klasma.github.io/Logging_0884/kartor/A 71785-2021 karta.png", "A 71785-2021")</f>
        <v/>
      </c>
      <c r="V62">
        <f>HYPERLINK("https://klasma.github.io/Logging_0884/klagomål/A 71785-2021 FSC-klagomål.docx", "A 71785-2021")</f>
        <v/>
      </c>
      <c r="W62">
        <f>HYPERLINK("https://klasma.github.io/Logging_0884/klagomålsmail/A 71785-2021 FSC-klagomål mail.docx", "A 71785-2021")</f>
        <v/>
      </c>
      <c r="X62">
        <f>HYPERLINK("https://klasma.github.io/Logging_0884/tillsyn/A 71785-2021 tillsynsbegäran.docx", "A 71785-2021")</f>
        <v/>
      </c>
      <c r="Y62">
        <f>HYPERLINK("https://klasma.github.io/Logging_0884/tillsynsmail/A 71785-2021 tillsynsbegäran mail.docx", "A 71785-2021")</f>
        <v/>
      </c>
    </row>
    <row r="63" ht="15" customHeight="1">
      <c r="A63" t="inlineStr">
        <is>
          <t>A 21489-2022</t>
        </is>
      </c>
      <c r="B63" s="1" t="n">
        <v>44706</v>
      </c>
      <c r="C63" s="1" t="n">
        <v>45765</v>
      </c>
      <c r="D63" t="inlineStr">
        <is>
          <t>KALMAR LÄN</t>
        </is>
      </c>
      <c r="E63" t="inlineStr">
        <is>
          <t>VIMMERBY</t>
        </is>
      </c>
      <c r="G63" t="n">
        <v>4.8</v>
      </c>
      <c r="H63" t="n">
        <v>0</v>
      </c>
      <c r="I63" t="n">
        <v>0</v>
      </c>
      <c r="J63" t="n">
        <v>0</v>
      </c>
      <c r="K63" t="n">
        <v>1</v>
      </c>
      <c r="L63" t="n">
        <v>0</v>
      </c>
      <c r="M63" t="n">
        <v>0</v>
      </c>
      <c r="N63" t="n">
        <v>0</v>
      </c>
      <c r="O63" t="n">
        <v>1</v>
      </c>
      <c r="P63" t="n">
        <v>1</v>
      </c>
      <c r="Q63" t="n">
        <v>1</v>
      </c>
      <c r="R63" s="2" t="inlineStr">
        <is>
          <t>Späd fetfibbla</t>
        </is>
      </c>
      <c r="S63">
        <f>HYPERLINK("https://klasma.github.io/Logging_0884/artfynd/A 21489-2022 artfynd.xlsx", "A 21489-2022")</f>
        <v/>
      </c>
      <c r="T63">
        <f>HYPERLINK("https://klasma.github.io/Logging_0884/kartor/A 21489-2022 karta.png", "A 21489-2022")</f>
        <v/>
      </c>
      <c r="V63">
        <f>HYPERLINK("https://klasma.github.io/Logging_0884/klagomål/A 21489-2022 FSC-klagomål.docx", "A 21489-2022")</f>
        <v/>
      </c>
      <c r="W63">
        <f>HYPERLINK("https://klasma.github.io/Logging_0884/klagomålsmail/A 21489-2022 FSC-klagomål mail.docx", "A 21489-2022")</f>
        <v/>
      </c>
      <c r="X63">
        <f>HYPERLINK("https://klasma.github.io/Logging_0884/tillsyn/A 21489-2022 tillsynsbegäran.docx", "A 21489-2022")</f>
        <v/>
      </c>
      <c r="Y63">
        <f>HYPERLINK("https://klasma.github.io/Logging_0884/tillsynsmail/A 21489-2022 tillsynsbegäran mail.docx", "A 21489-2022")</f>
        <v/>
      </c>
    </row>
    <row r="64" ht="15" customHeight="1">
      <c r="A64" t="inlineStr">
        <is>
          <t>A 30473-2022</t>
        </is>
      </c>
      <c r="B64" s="1" t="n">
        <v>44761</v>
      </c>
      <c r="C64" s="1" t="n">
        <v>45765</v>
      </c>
      <c r="D64" t="inlineStr">
        <is>
          <t>KALMAR LÄN</t>
        </is>
      </c>
      <c r="E64" t="inlineStr">
        <is>
          <t>VIMMERBY</t>
        </is>
      </c>
      <c r="G64" t="n">
        <v>4.2</v>
      </c>
      <c r="H64" t="n">
        <v>1</v>
      </c>
      <c r="I64" t="n">
        <v>0</v>
      </c>
      <c r="J64" t="n">
        <v>1</v>
      </c>
      <c r="K64" t="n">
        <v>0</v>
      </c>
      <c r="L64" t="n">
        <v>0</v>
      </c>
      <c r="M64" t="n">
        <v>0</v>
      </c>
      <c r="N64" t="n">
        <v>0</v>
      </c>
      <c r="O64" t="n">
        <v>1</v>
      </c>
      <c r="P64" t="n">
        <v>0</v>
      </c>
      <c r="Q64" t="n">
        <v>1</v>
      </c>
      <c r="R64" s="2" t="inlineStr">
        <is>
          <t>Talltita</t>
        </is>
      </c>
      <c r="S64">
        <f>HYPERLINK("https://klasma.github.io/Logging_0884/artfynd/A 30473-2022 artfynd.xlsx", "A 30473-2022")</f>
        <v/>
      </c>
      <c r="T64">
        <f>HYPERLINK("https://klasma.github.io/Logging_0884/kartor/A 30473-2022 karta.png", "A 30473-2022")</f>
        <v/>
      </c>
      <c r="V64">
        <f>HYPERLINK("https://klasma.github.io/Logging_0884/klagomål/A 30473-2022 FSC-klagomål.docx", "A 30473-2022")</f>
        <v/>
      </c>
      <c r="W64">
        <f>HYPERLINK("https://klasma.github.io/Logging_0884/klagomålsmail/A 30473-2022 FSC-klagomål mail.docx", "A 30473-2022")</f>
        <v/>
      </c>
      <c r="X64">
        <f>HYPERLINK("https://klasma.github.io/Logging_0884/tillsyn/A 30473-2022 tillsynsbegäran.docx", "A 30473-2022")</f>
        <v/>
      </c>
      <c r="Y64">
        <f>HYPERLINK("https://klasma.github.io/Logging_0884/tillsynsmail/A 30473-2022 tillsynsbegäran mail.docx", "A 30473-2022")</f>
        <v/>
      </c>
      <c r="Z64">
        <f>HYPERLINK("https://klasma.github.io/Logging_0884/fåglar/A 30473-2022 prioriterade fågelarter.docx", "A 30473-2022")</f>
        <v/>
      </c>
    </row>
    <row r="65" ht="15" customHeight="1">
      <c r="A65" t="inlineStr">
        <is>
          <t>A 9638-2023</t>
        </is>
      </c>
      <c r="B65" s="1" t="n">
        <v>44984</v>
      </c>
      <c r="C65" s="1" t="n">
        <v>45765</v>
      </c>
      <c r="D65" t="inlineStr">
        <is>
          <t>KALMAR LÄN</t>
        </is>
      </c>
      <c r="E65" t="inlineStr">
        <is>
          <t>VIMMERBY</t>
        </is>
      </c>
      <c r="G65" t="n">
        <v>6.3</v>
      </c>
      <c r="H65" t="n">
        <v>0</v>
      </c>
      <c r="I65" t="n">
        <v>1</v>
      </c>
      <c r="J65" t="n">
        <v>0</v>
      </c>
      <c r="K65" t="n">
        <v>0</v>
      </c>
      <c r="L65" t="n">
        <v>0</v>
      </c>
      <c r="M65" t="n">
        <v>0</v>
      </c>
      <c r="N65" t="n">
        <v>0</v>
      </c>
      <c r="O65" t="n">
        <v>0</v>
      </c>
      <c r="P65" t="n">
        <v>0</v>
      </c>
      <c r="Q65" t="n">
        <v>1</v>
      </c>
      <c r="R65" s="2" t="inlineStr">
        <is>
          <t>Fällmossa</t>
        </is>
      </c>
      <c r="S65">
        <f>HYPERLINK("https://klasma.github.io/Logging_0884/artfynd/A 9638-2023 artfynd.xlsx", "A 9638-2023")</f>
        <v/>
      </c>
      <c r="T65">
        <f>HYPERLINK("https://klasma.github.io/Logging_0884/kartor/A 9638-2023 karta.png", "A 9638-2023")</f>
        <v/>
      </c>
      <c r="V65">
        <f>HYPERLINK("https://klasma.github.io/Logging_0884/klagomål/A 9638-2023 FSC-klagomål.docx", "A 9638-2023")</f>
        <v/>
      </c>
      <c r="W65">
        <f>HYPERLINK("https://klasma.github.io/Logging_0884/klagomålsmail/A 9638-2023 FSC-klagomål mail.docx", "A 9638-2023")</f>
        <v/>
      </c>
      <c r="X65">
        <f>HYPERLINK("https://klasma.github.io/Logging_0884/tillsyn/A 9638-2023 tillsynsbegäran.docx", "A 9638-2023")</f>
        <v/>
      </c>
      <c r="Y65">
        <f>HYPERLINK("https://klasma.github.io/Logging_0884/tillsynsmail/A 9638-2023 tillsynsbegäran mail.docx", "A 9638-2023")</f>
        <v/>
      </c>
    </row>
    <row r="66" ht="15" customHeight="1">
      <c r="A66" t="inlineStr">
        <is>
          <t>A 9642-2023</t>
        </is>
      </c>
      <c r="B66" s="1" t="n">
        <v>44984</v>
      </c>
      <c r="C66" s="1" t="n">
        <v>45765</v>
      </c>
      <c r="D66" t="inlineStr">
        <is>
          <t>KALMAR LÄN</t>
        </is>
      </c>
      <c r="E66" t="inlineStr">
        <is>
          <t>VIMMERBY</t>
        </is>
      </c>
      <c r="G66" t="n">
        <v>4</v>
      </c>
      <c r="H66" t="n">
        <v>1</v>
      </c>
      <c r="I66" t="n">
        <v>0</v>
      </c>
      <c r="J66" t="n">
        <v>1</v>
      </c>
      <c r="K66" t="n">
        <v>0</v>
      </c>
      <c r="L66" t="n">
        <v>0</v>
      </c>
      <c r="M66" t="n">
        <v>0</v>
      </c>
      <c r="N66" t="n">
        <v>0</v>
      </c>
      <c r="O66" t="n">
        <v>1</v>
      </c>
      <c r="P66" t="n">
        <v>0</v>
      </c>
      <c r="Q66" t="n">
        <v>1</v>
      </c>
      <c r="R66" s="2" t="inlineStr">
        <is>
          <t>Spillkråka</t>
        </is>
      </c>
      <c r="S66">
        <f>HYPERLINK("https://klasma.github.io/Logging_0884/artfynd/A 9642-2023 artfynd.xlsx", "A 9642-2023")</f>
        <v/>
      </c>
      <c r="T66">
        <f>HYPERLINK("https://klasma.github.io/Logging_0884/kartor/A 9642-2023 karta.png", "A 9642-2023")</f>
        <v/>
      </c>
      <c r="V66">
        <f>HYPERLINK("https://klasma.github.io/Logging_0884/klagomål/A 9642-2023 FSC-klagomål.docx", "A 9642-2023")</f>
        <v/>
      </c>
      <c r="W66">
        <f>HYPERLINK("https://klasma.github.io/Logging_0884/klagomålsmail/A 9642-2023 FSC-klagomål mail.docx", "A 9642-2023")</f>
        <v/>
      </c>
      <c r="X66">
        <f>HYPERLINK("https://klasma.github.io/Logging_0884/tillsyn/A 9642-2023 tillsynsbegäran.docx", "A 9642-2023")</f>
        <v/>
      </c>
      <c r="Y66">
        <f>HYPERLINK("https://klasma.github.io/Logging_0884/tillsynsmail/A 9642-2023 tillsynsbegäran mail.docx", "A 9642-2023")</f>
        <v/>
      </c>
      <c r="Z66">
        <f>HYPERLINK("https://klasma.github.io/Logging_0884/fåglar/A 9642-2023 prioriterade fågelarter.docx", "A 9642-2023")</f>
        <v/>
      </c>
    </row>
    <row r="67" ht="15" customHeight="1">
      <c r="A67" t="inlineStr">
        <is>
          <t>A 23602-2023</t>
        </is>
      </c>
      <c r="B67" s="1" t="n">
        <v>45077</v>
      </c>
      <c r="C67" s="1" t="n">
        <v>45765</v>
      </c>
      <c r="D67" t="inlineStr">
        <is>
          <t>KALMAR LÄN</t>
        </is>
      </c>
      <c r="E67" t="inlineStr">
        <is>
          <t>VIMMERBY</t>
        </is>
      </c>
      <c r="G67" t="n">
        <v>1.6</v>
      </c>
      <c r="H67" t="n">
        <v>0</v>
      </c>
      <c r="I67" t="n">
        <v>0</v>
      </c>
      <c r="J67" t="n">
        <v>1</v>
      </c>
      <c r="K67" t="n">
        <v>0</v>
      </c>
      <c r="L67" t="n">
        <v>0</v>
      </c>
      <c r="M67" t="n">
        <v>0</v>
      </c>
      <c r="N67" t="n">
        <v>0</v>
      </c>
      <c r="O67" t="n">
        <v>1</v>
      </c>
      <c r="P67" t="n">
        <v>0</v>
      </c>
      <c r="Q67" t="n">
        <v>1</v>
      </c>
      <c r="R67" s="2" t="inlineStr">
        <is>
          <t>Vedtrappmossa</t>
        </is>
      </c>
      <c r="S67">
        <f>HYPERLINK("https://klasma.github.io/Logging_0884/artfynd/A 23602-2023 artfynd.xlsx", "A 23602-2023")</f>
        <v/>
      </c>
      <c r="T67">
        <f>HYPERLINK("https://klasma.github.io/Logging_0884/kartor/A 23602-2023 karta.png", "A 23602-2023")</f>
        <v/>
      </c>
      <c r="V67">
        <f>HYPERLINK("https://klasma.github.io/Logging_0884/klagomål/A 23602-2023 FSC-klagomål.docx", "A 23602-2023")</f>
        <v/>
      </c>
      <c r="W67">
        <f>HYPERLINK("https://klasma.github.io/Logging_0884/klagomålsmail/A 23602-2023 FSC-klagomål mail.docx", "A 23602-2023")</f>
        <v/>
      </c>
      <c r="X67">
        <f>HYPERLINK("https://klasma.github.io/Logging_0884/tillsyn/A 23602-2023 tillsynsbegäran.docx", "A 23602-2023")</f>
        <v/>
      </c>
      <c r="Y67">
        <f>HYPERLINK("https://klasma.github.io/Logging_0884/tillsynsmail/A 23602-2023 tillsynsbegäran mail.docx", "A 23602-2023")</f>
        <v/>
      </c>
    </row>
    <row r="68" ht="15" customHeight="1">
      <c r="A68" t="inlineStr">
        <is>
          <t>A 28852-2023</t>
        </is>
      </c>
      <c r="B68" s="1" t="n">
        <v>45104</v>
      </c>
      <c r="C68" s="1" t="n">
        <v>45765</v>
      </c>
      <c r="D68" t="inlineStr">
        <is>
          <t>KALMAR LÄN</t>
        </is>
      </c>
      <c r="E68" t="inlineStr">
        <is>
          <t>VIMMERBY</t>
        </is>
      </c>
      <c r="G68" t="n">
        <v>0.7</v>
      </c>
      <c r="H68" t="n">
        <v>0</v>
      </c>
      <c r="I68" t="n">
        <v>1</v>
      </c>
      <c r="J68" t="n">
        <v>0</v>
      </c>
      <c r="K68" t="n">
        <v>0</v>
      </c>
      <c r="L68" t="n">
        <v>0</v>
      </c>
      <c r="M68" t="n">
        <v>0</v>
      </c>
      <c r="N68" t="n">
        <v>0</v>
      </c>
      <c r="O68" t="n">
        <v>0</v>
      </c>
      <c r="P68" t="n">
        <v>0</v>
      </c>
      <c r="Q68" t="n">
        <v>1</v>
      </c>
      <c r="R68" s="2" t="inlineStr">
        <is>
          <t>Tibast</t>
        </is>
      </c>
      <c r="S68">
        <f>HYPERLINK("https://klasma.github.io/Logging_0884/artfynd/A 28852-2023 artfynd.xlsx", "A 28852-2023")</f>
        <v/>
      </c>
      <c r="T68">
        <f>HYPERLINK("https://klasma.github.io/Logging_0884/kartor/A 28852-2023 karta.png", "A 28852-2023")</f>
        <v/>
      </c>
      <c r="V68">
        <f>HYPERLINK("https://klasma.github.io/Logging_0884/klagomål/A 28852-2023 FSC-klagomål.docx", "A 28852-2023")</f>
        <v/>
      </c>
      <c r="W68">
        <f>HYPERLINK("https://klasma.github.io/Logging_0884/klagomålsmail/A 28852-2023 FSC-klagomål mail.docx", "A 28852-2023")</f>
        <v/>
      </c>
      <c r="X68">
        <f>HYPERLINK("https://klasma.github.io/Logging_0884/tillsyn/A 28852-2023 tillsynsbegäran.docx", "A 28852-2023")</f>
        <v/>
      </c>
      <c r="Y68">
        <f>HYPERLINK("https://klasma.github.io/Logging_0884/tillsynsmail/A 28852-2023 tillsynsbegäran mail.docx", "A 28852-2023")</f>
        <v/>
      </c>
    </row>
    <row r="69" ht="15" customHeight="1">
      <c r="A69" t="inlineStr">
        <is>
          <t>A 32985-2023</t>
        </is>
      </c>
      <c r="B69" s="1" t="n">
        <v>45125</v>
      </c>
      <c r="C69" s="1" t="n">
        <v>45765</v>
      </c>
      <c r="D69" t="inlineStr">
        <is>
          <t>KALMAR LÄN</t>
        </is>
      </c>
      <c r="E69" t="inlineStr">
        <is>
          <t>VIMMERBY</t>
        </is>
      </c>
      <c r="G69" t="n">
        <v>1.9</v>
      </c>
      <c r="H69" t="n">
        <v>0</v>
      </c>
      <c r="I69" t="n">
        <v>0</v>
      </c>
      <c r="J69" t="n">
        <v>0</v>
      </c>
      <c r="K69" t="n">
        <v>0</v>
      </c>
      <c r="L69" t="n">
        <v>1</v>
      </c>
      <c r="M69" t="n">
        <v>0</v>
      </c>
      <c r="N69" t="n">
        <v>0</v>
      </c>
      <c r="O69" t="n">
        <v>1</v>
      </c>
      <c r="P69" t="n">
        <v>1</v>
      </c>
      <c r="Q69" t="n">
        <v>1</v>
      </c>
      <c r="R69" s="2" t="inlineStr">
        <is>
          <t>Ryl</t>
        </is>
      </c>
      <c r="S69">
        <f>HYPERLINK("https://klasma.github.io/Logging_0884/artfynd/A 32985-2023 artfynd.xlsx", "A 32985-2023")</f>
        <v/>
      </c>
      <c r="T69">
        <f>HYPERLINK("https://klasma.github.io/Logging_0884/kartor/A 32985-2023 karta.png", "A 32985-2023")</f>
        <v/>
      </c>
      <c r="V69">
        <f>HYPERLINK("https://klasma.github.io/Logging_0884/klagomål/A 32985-2023 FSC-klagomål.docx", "A 32985-2023")</f>
        <v/>
      </c>
      <c r="W69">
        <f>HYPERLINK("https://klasma.github.io/Logging_0884/klagomålsmail/A 32985-2023 FSC-klagomål mail.docx", "A 32985-2023")</f>
        <v/>
      </c>
      <c r="X69">
        <f>HYPERLINK("https://klasma.github.io/Logging_0884/tillsyn/A 32985-2023 tillsynsbegäran.docx", "A 32985-2023")</f>
        <v/>
      </c>
      <c r="Y69">
        <f>HYPERLINK("https://klasma.github.io/Logging_0884/tillsynsmail/A 32985-2023 tillsynsbegäran mail.docx", "A 32985-2023")</f>
        <v/>
      </c>
    </row>
    <row r="70" ht="15" customHeight="1">
      <c r="A70" t="inlineStr">
        <is>
          <t>A 40083-2023</t>
        </is>
      </c>
      <c r="B70" s="1" t="n">
        <v>45168</v>
      </c>
      <c r="C70" s="1" t="n">
        <v>45765</v>
      </c>
      <c r="D70" t="inlineStr">
        <is>
          <t>KALMAR LÄN</t>
        </is>
      </c>
      <c r="E70" t="inlineStr">
        <is>
          <t>VIMMERBY</t>
        </is>
      </c>
      <c r="G70" t="n">
        <v>2.2</v>
      </c>
      <c r="H70" t="n">
        <v>1</v>
      </c>
      <c r="I70" t="n">
        <v>0</v>
      </c>
      <c r="J70" t="n">
        <v>0</v>
      </c>
      <c r="K70" t="n">
        <v>0</v>
      </c>
      <c r="L70" t="n">
        <v>0</v>
      </c>
      <c r="M70" t="n">
        <v>0</v>
      </c>
      <c r="N70" t="n">
        <v>0</v>
      </c>
      <c r="O70" t="n">
        <v>0</v>
      </c>
      <c r="P70" t="n">
        <v>0</v>
      </c>
      <c r="Q70" t="n">
        <v>1</v>
      </c>
      <c r="R70" s="2" t="inlineStr">
        <is>
          <t>Revlummer</t>
        </is>
      </c>
      <c r="S70">
        <f>HYPERLINK("https://klasma.github.io/Logging_0884/artfynd/A 40083-2023 artfynd.xlsx", "A 40083-2023")</f>
        <v/>
      </c>
      <c r="T70">
        <f>HYPERLINK("https://klasma.github.io/Logging_0884/kartor/A 40083-2023 karta.png", "A 40083-2023")</f>
        <v/>
      </c>
      <c r="V70">
        <f>HYPERLINK("https://klasma.github.io/Logging_0884/klagomål/A 40083-2023 FSC-klagomål.docx", "A 40083-2023")</f>
        <v/>
      </c>
      <c r="W70">
        <f>HYPERLINK("https://klasma.github.io/Logging_0884/klagomålsmail/A 40083-2023 FSC-klagomål mail.docx", "A 40083-2023")</f>
        <v/>
      </c>
      <c r="X70">
        <f>HYPERLINK("https://klasma.github.io/Logging_0884/tillsyn/A 40083-2023 tillsynsbegäran.docx", "A 40083-2023")</f>
        <v/>
      </c>
      <c r="Y70">
        <f>HYPERLINK("https://klasma.github.io/Logging_0884/tillsynsmail/A 40083-2023 tillsynsbegäran mail.docx", "A 40083-2023")</f>
        <v/>
      </c>
    </row>
    <row r="71" ht="15" customHeight="1">
      <c r="A71" t="inlineStr">
        <is>
          <t>A 40084-2023</t>
        </is>
      </c>
      <c r="B71" s="1" t="n">
        <v>45168</v>
      </c>
      <c r="C71" s="1" t="n">
        <v>45765</v>
      </c>
      <c r="D71" t="inlineStr">
        <is>
          <t>KALMAR LÄN</t>
        </is>
      </c>
      <c r="E71" t="inlineStr">
        <is>
          <t>VIMMERBY</t>
        </is>
      </c>
      <c r="G71" t="n">
        <v>1.3</v>
      </c>
      <c r="H71" t="n">
        <v>1</v>
      </c>
      <c r="I71" t="n">
        <v>0</v>
      </c>
      <c r="J71" t="n">
        <v>1</v>
      </c>
      <c r="K71" t="n">
        <v>0</v>
      </c>
      <c r="L71" t="n">
        <v>0</v>
      </c>
      <c r="M71" t="n">
        <v>0</v>
      </c>
      <c r="N71" t="n">
        <v>0</v>
      </c>
      <c r="O71" t="n">
        <v>1</v>
      </c>
      <c r="P71" t="n">
        <v>0</v>
      </c>
      <c r="Q71" t="n">
        <v>1</v>
      </c>
      <c r="R71" s="2" t="inlineStr">
        <is>
          <t>Entita</t>
        </is>
      </c>
      <c r="S71">
        <f>HYPERLINK("https://klasma.github.io/Logging_0884/artfynd/A 40084-2023 artfynd.xlsx", "A 40084-2023")</f>
        <v/>
      </c>
      <c r="T71">
        <f>HYPERLINK("https://klasma.github.io/Logging_0884/kartor/A 40084-2023 karta.png", "A 40084-2023")</f>
        <v/>
      </c>
      <c r="V71">
        <f>HYPERLINK("https://klasma.github.io/Logging_0884/klagomål/A 40084-2023 FSC-klagomål.docx", "A 40084-2023")</f>
        <v/>
      </c>
      <c r="W71">
        <f>HYPERLINK("https://klasma.github.io/Logging_0884/klagomålsmail/A 40084-2023 FSC-klagomål mail.docx", "A 40084-2023")</f>
        <v/>
      </c>
      <c r="X71">
        <f>HYPERLINK("https://klasma.github.io/Logging_0884/tillsyn/A 40084-2023 tillsynsbegäran.docx", "A 40084-2023")</f>
        <v/>
      </c>
      <c r="Y71">
        <f>HYPERLINK("https://klasma.github.io/Logging_0884/tillsynsmail/A 40084-2023 tillsynsbegäran mail.docx", "A 40084-2023")</f>
        <v/>
      </c>
      <c r="Z71">
        <f>HYPERLINK("https://klasma.github.io/Logging_0884/fåglar/A 40084-2023 prioriterade fågelarter.docx", "A 40084-2023")</f>
        <v/>
      </c>
    </row>
    <row r="72" ht="15" customHeight="1">
      <c r="A72" t="inlineStr">
        <is>
          <t>A 44633-2023</t>
        </is>
      </c>
      <c r="B72" s="1" t="n">
        <v>45189</v>
      </c>
      <c r="C72" s="1" t="n">
        <v>45765</v>
      </c>
      <c r="D72" t="inlineStr">
        <is>
          <t>KALMAR LÄN</t>
        </is>
      </c>
      <c r="E72" t="inlineStr">
        <is>
          <t>VIMMERBY</t>
        </is>
      </c>
      <c r="G72" t="n">
        <v>2.4</v>
      </c>
      <c r="H72" t="n">
        <v>0</v>
      </c>
      <c r="I72" t="n">
        <v>1</v>
      </c>
      <c r="J72" t="n">
        <v>0</v>
      </c>
      <c r="K72" t="n">
        <v>0</v>
      </c>
      <c r="L72" t="n">
        <v>0</v>
      </c>
      <c r="M72" t="n">
        <v>0</v>
      </c>
      <c r="N72" t="n">
        <v>0</v>
      </c>
      <c r="O72" t="n">
        <v>0</v>
      </c>
      <c r="P72" t="n">
        <v>0</v>
      </c>
      <c r="Q72" t="n">
        <v>1</v>
      </c>
      <c r="R72" s="2" t="inlineStr">
        <is>
          <t>Sårläka</t>
        </is>
      </c>
      <c r="S72">
        <f>HYPERLINK("https://klasma.github.io/Logging_0884/artfynd/A 44633-2023 artfynd.xlsx", "A 44633-2023")</f>
        <v/>
      </c>
      <c r="T72">
        <f>HYPERLINK("https://klasma.github.io/Logging_0884/kartor/A 44633-2023 karta.png", "A 44633-2023")</f>
        <v/>
      </c>
      <c r="V72">
        <f>HYPERLINK("https://klasma.github.io/Logging_0884/klagomål/A 44633-2023 FSC-klagomål.docx", "A 44633-2023")</f>
        <v/>
      </c>
      <c r="W72">
        <f>HYPERLINK("https://klasma.github.io/Logging_0884/klagomålsmail/A 44633-2023 FSC-klagomål mail.docx", "A 44633-2023")</f>
        <v/>
      </c>
      <c r="X72">
        <f>HYPERLINK("https://klasma.github.io/Logging_0884/tillsyn/A 44633-2023 tillsynsbegäran.docx", "A 44633-2023")</f>
        <v/>
      </c>
      <c r="Y72">
        <f>HYPERLINK("https://klasma.github.io/Logging_0884/tillsynsmail/A 44633-2023 tillsynsbegäran mail.docx", "A 44633-2023")</f>
        <v/>
      </c>
    </row>
    <row r="73" ht="15" customHeight="1">
      <c r="A73" t="inlineStr">
        <is>
          <t>A 52301-2023</t>
        </is>
      </c>
      <c r="B73" s="1" t="n">
        <v>45224</v>
      </c>
      <c r="C73" s="1" t="n">
        <v>45765</v>
      </c>
      <c r="D73" t="inlineStr">
        <is>
          <t>KALMAR LÄN</t>
        </is>
      </c>
      <c r="E73" t="inlineStr">
        <is>
          <t>VIMMERBY</t>
        </is>
      </c>
      <c r="G73" t="n">
        <v>5.3</v>
      </c>
      <c r="H73" t="n">
        <v>0</v>
      </c>
      <c r="I73" t="n">
        <v>0</v>
      </c>
      <c r="J73" t="n">
        <v>0</v>
      </c>
      <c r="K73" t="n">
        <v>0</v>
      </c>
      <c r="L73" t="n">
        <v>1</v>
      </c>
      <c r="M73" t="n">
        <v>0</v>
      </c>
      <c r="N73" t="n">
        <v>0</v>
      </c>
      <c r="O73" t="n">
        <v>1</v>
      </c>
      <c r="P73" t="n">
        <v>1</v>
      </c>
      <c r="Q73" t="n">
        <v>1</v>
      </c>
      <c r="R73" s="2" t="inlineStr">
        <is>
          <t>Ask</t>
        </is>
      </c>
      <c r="S73">
        <f>HYPERLINK("https://klasma.github.io/Logging_0884/artfynd/A 52301-2023 artfynd.xlsx", "A 52301-2023")</f>
        <v/>
      </c>
      <c r="T73">
        <f>HYPERLINK("https://klasma.github.io/Logging_0884/kartor/A 52301-2023 karta.png", "A 52301-2023")</f>
        <v/>
      </c>
      <c r="V73">
        <f>HYPERLINK("https://klasma.github.io/Logging_0884/klagomål/A 52301-2023 FSC-klagomål.docx", "A 52301-2023")</f>
        <v/>
      </c>
      <c r="W73">
        <f>HYPERLINK("https://klasma.github.io/Logging_0884/klagomålsmail/A 52301-2023 FSC-klagomål mail.docx", "A 52301-2023")</f>
        <v/>
      </c>
      <c r="X73">
        <f>HYPERLINK("https://klasma.github.io/Logging_0884/tillsyn/A 52301-2023 tillsynsbegäran.docx", "A 52301-2023")</f>
        <v/>
      </c>
      <c r="Y73">
        <f>HYPERLINK("https://klasma.github.io/Logging_0884/tillsynsmail/A 52301-2023 tillsynsbegäran mail.docx", "A 52301-2023")</f>
        <v/>
      </c>
    </row>
    <row r="74" ht="15" customHeight="1">
      <c r="A74" t="inlineStr">
        <is>
          <t>A 57038-2023</t>
        </is>
      </c>
      <c r="B74" s="1" t="n">
        <v>45244</v>
      </c>
      <c r="C74" s="1" t="n">
        <v>45765</v>
      </c>
      <c r="D74" t="inlineStr">
        <is>
          <t>KALMAR LÄN</t>
        </is>
      </c>
      <c r="E74" t="inlineStr">
        <is>
          <t>VIMMERBY</t>
        </is>
      </c>
      <c r="G74" t="n">
        <v>4.6</v>
      </c>
      <c r="H74" t="n">
        <v>1</v>
      </c>
      <c r="I74" t="n">
        <v>0</v>
      </c>
      <c r="J74" t="n">
        <v>1</v>
      </c>
      <c r="K74" t="n">
        <v>0</v>
      </c>
      <c r="L74" t="n">
        <v>0</v>
      </c>
      <c r="M74" t="n">
        <v>0</v>
      </c>
      <c r="N74" t="n">
        <v>0</v>
      </c>
      <c r="O74" t="n">
        <v>1</v>
      </c>
      <c r="P74" t="n">
        <v>0</v>
      </c>
      <c r="Q74" t="n">
        <v>1</v>
      </c>
      <c r="R74" s="2" t="inlineStr">
        <is>
          <t>Talltita</t>
        </is>
      </c>
      <c r="S74">
        <f>HYPERLINK("https://klasma.github.io/Logging_0884/artfynd/A 57038-2023 artfynd.xlsx", "A 57038-2023")</f>
        <v/>
      </c>
      <c r="T74">
        <f>HYPERLINK("https://klasma.github.io/Logging_0884/kartor/A 57038-2023 karta.png", "A 57038-2023")</f>
        <v/>
      </c>
      <c r="V74">
        <f>HYPERLINK("https://klasma.github.io/Logging_0884/klagomål/A 57038-2023 FSC-klagomål.docx", "A 57038-2023")</f>
        <v/>
      </c>
      <c r="W74">
        <f>HYPERLINK("https://klasma.github.io/Logging_0884/klagomålsmail/A 57038-2023 FSC-klagomål mail.docx", "A 57038-2023")</f>
        <v/>
      </c>
      <c r="X74">
        <f>HYPERLINK("https://klasma.github.io/Logging_0884/tillsyn/A 57038-2023 tillsynsbegäran.docx", "A 57038-2023")</f>
        <v/>
      </c>
      <c r="Y74">
        <f>HYPERLINK("https://klasma.github.io/Logging_0884/tillsynsmail/A 57038-2023 tillsynsbegäran mail.docx", "A 57038-2023")</f>
        <v/>
      </c>
      <c r="Z74">
        <f>HYPERLINK("https://klasma.github.io/Logging_0884/fåglar/A 57038-2023 prioriterade fågelarter.docx", "A 57038-2023")</f>
        <v/>
      </c>
    </row>
    <row r="75" ht="15" customHeight="1">
      <c r="A75" t="inlineStr">
        <is>
          <t>A 4359-2024</t>
        </is>
      </c>
      <c r="B75" s="1" t="n">
        <v>45325</v>
      </c>
      <c r="C75" s="1" t="n">
        <v>45765</v>
      </c>
      <c r="D75" t="inlineStr">
        <is>
          <t>KALMAR LÄN</t>
        </is>
      </c>
      <c r="E75" t="inlineStr">
        <is>
          <t>VIMMERBY</t>
        </is>
      </c>
      <c r="G75" t="n">
        <v>3.6</v>
      </c>
      <c r="H75" t="n">
        <v>0</v>
      </c>
      <c r="I75" t="n">
        <v>0</v>
      </c>
      <c r="J75" t="n">
        <v>1</v>
      </c>
      <c r="K75" t="n">
        <v>0</v>
      </c>
      <c r="L75" t="n">
        <v>0</v>
      </c>
      <c r="M75" t="n">
        <v>0</v>
      </c>
      <c r="N75" t="n">
        <v>0</v>
      </c>
      <c r="O75" t="n">
        <v>1</v>
      </c>
      <c r="P75" t="n">
        <v>0</v>
      </c>
      <c r="Q75" t="n">
        <v>1</v>
      </c>
      <c r="R75" s="2" t="inlineStr">
        <is>
          <t>Kandelabersvamp</t>
        </is>
      </c>
      <c r="S75">
        <f>HYPERLINK("https://klasma.github.io/Logging_0884/artfynd/A 4359-2024 artfynd.xlsx", "A 4359-2024")</f>
        <v/>
      </c>
      <c r="T75">
        <f>HYPERLINK("https://klasma.github.io/Logging_0884/kartor/A 4359-2024 karta.png", "A 4359-2024")</f>
        <v/>
      </c>
      <c r="V75">
        <f>HYPERLINK("https://klasma.github.io/Logging_0884/klagomål/A 4359-2024 FSC-klagomål.docx", "A 4359-2024")</f>
        <v/>
      </c>
      <c r="W75">
        <f>HYPERLINK("https://klasma.github.io/Logging_0884/klagomålsmail/A 4359-2024 FSC-klagomål mail.docx", "A 4359-2024")</f>
        <v/>
      </c>
      <c r="X75">
        <f>HYPERLINK("https://klasma.github.io/Logging_0884/tillsyn/A 4359-2024 tillsynsbegäran.docx", "A 4359-2024")</f>
        <v/>
      </c>
      <c r="Y75">
        <f>HYPERLINK("https://klasma.github.io/Logging_0884/tillsynsmail/A 4359-2024 tillsynsbegäran mail.docx", "A 4359-2024")</f>
        <v/>
      </c>
    </row>
    <row r="76" ht="15" customHeight="1">
      <c r="A76" t="inlineStr">
        <is>
          <t>A 10016-2024</t>
        </is>
      </c>
      <c r="B76" s="1" t="n">
        <v>45363</v>
      </c>
      <c r="C76" s="1" t="n">
        <v>45765</v>
      </c>
      <c r="D76" t="inlineStr">
        <is>
          <t>KALMAR LÄN</t>
        </is>
      </c>
      <c r="E76" t="inlineStr">
        <is>
          <t>VIMMERBY</t>
        </is>
      </c>
      <c r="G76" t="n">
        <v>1.5</v>
      </c>
      <c r="H76" t="n">
        <v>1</v>
      </c>
      <c r="I76" t="n">
        <v>0</v>
      </c>
      <c r="J76" t="n">
        <v>1</v>
      </c>
      <c r="K76" t="n">
        <v>0</v>
      </c>
      <c r="L76" t="n">
        <v>0</v>
      </c>
      <c r="M76" t="n">
        <v>0</v>
      </c>
      <c r="N76" t="n">
        <v>0</v>
      </c>
      <c r="O76" t="n">
        <v>1</v>
      </c>
      <c r="P76" t="n">
        <v>0</v>
      </c>
      <c r="Q76" t="n">
        <v>1</v>
      </c>
      <c r="R76" s="2" t="inlineStr">
        <is>
          <t>Röd skogslilja</t>
        </is>
      </c>
      <c r="S76">
        <f>HYPERLINK("https://klasma.github.io/Logging_0884/artfynd/A 10016-2024 artfynd.xlsx", "A 10016-2024")</f>
        <v/>
      </c>
      <c r="T76">
        <f>HYPERLINK("https://klasma.github.io/Logging_0884/kartor/A 10016-2024 karta.png", "A 10016-2024")</f>
        <v/>
      </c>
      <c r="V76">
        <f>HYPERLINK("https://klasma.github.io/Logging_0884/klagomål/A 10016-2024 FSC-klagomål.docx", "A 10016-2024")</f>
        <v/>
      </c>
      <c r="W76">
        <f>HYPERLINK("https://klasma.github.io/Logging_0884/klagomålsmail/A 10016-2024 FSC-klagomål mail.docx", "A 10016-2024")</f>
        <v/>
      </c>
      <c r="X76">
        <f>HYPERLINK("https://klasma.github.io/Logging_0884/tillsyn/A 10016-2024 tillsynsbegäran.docx", "A 10016-2024")</f>
        <v/>
      </c>
      <c r="Y76">
        <f>HYPERLINK("https://klasma.github.io/Logging_0884/tillsynsmail/A 10016-2024 tillsynsbegäran mail.docx", "A 10016-2024")</f>
        <v/>
      </c>
    </row>
    <row r="77" ht="15" customHeight="1">
      <c r="A77" t="inlineStr">
        <is>
          <t>A 15122-2024</t>
        </is>
      </c>
      <c r="B77" s="1" t="n">
        <v>45399</v>
      </c>
      <c r="C77" s="1" t="n">
        <v>45765</v>
      </c>
      <c r="D77" t="inlineStr">
        <is>
          <t>KALMAR LÄN</t>
        </is>
      </c>
      <c r="E77" t="inlineStr">
        <is>
          <t>VIMMERBY</t>
        </is>
      </c>
      <c r="G77" t="n">
        <v>1.7</v>
      </c>
      <c r="H77" t="n">
        <v>0</v>
      </c>
      <c r="I77" t="n">
        <v>0</v>
      </c>
      <c r="J77" t="n">
        <v>0</v>
      </c>
      <c r="K77" t="n">
        <v>1</v>
      </c>
      <c r="L77" t="n">
        <v>0</v>
      </c>
      <c r="M77" t="n">
        <v>0</v>
      </c>
      <c r="N77" t="n">
        <v>0</v>
      </c>
      <c r="O77" t="n">
        <v>1</v>
      </c>
      <c r="P77" t="n">
        <v>1</v>
      </c>
      <c r="Q77" t="n">
        <v>1</v>
      </c>
      <c r="R77" s="2" t="inlineStr">
        <is>
          <t>Sågfibbla</t>
        </is>
      </c>
      <c r="S77">
        <f>HYPERLINK("https://klasma.github.io/Logging_0884/artfynd/A 15122-2024 artfynd.xlsx", "A 15122-2024")</f>
        <v/>
      </c>
      <c r="T77">
        <f>HYPERLINK("https://klasma.github.io/Logging_0884/kartor/A 15122-2024 karta.png", "A 15122-2024")</f>
        <v/>
      </c>
      <c r="V77">
        <f>HYPERLINK("https://klasma.github.io/Logging_0884/klagomål/A 15122-2024 FSC-klagomål.docx", "A 15122-2024")</f>
        <v/>
      </c>
      <c r="W77">
        <f>HYPERLINK("https://klasma.github.io/Logging_0884/klagomålsmail/A 15122-2024 FSC-klagomål mail.docx", "A 15122-2024")</f>
        <v/>
      </c>
      <c r="X77">
        <f>HYPERLINK("https://klasma.github.io/Logging_0884/tillsyn/A 15122-2024 tillsynsbegäran.docx", "A 15122-2024")</f>
        <v/>
      </c>
      <c r="Y77">
        <f>HYPERLINK("https://klasma.github.io/Logging_0884/tillsynsmail/A 15122-2024 tillsynsbegäran mail.docx", "A 15122-2024")</f>
        <v/>
      </c>
    </row>
    <row r="78" ht="15" customHeight="1">
      <c r="A78" t="inlineStr">
        <is>
          <t>A 15627-2024</t>
        </is>
      </c>
      <c r="B78" s="1" t="n">
        <v>45402</v>
      </c>
      <c r="C78" s="1" t="n">
        <v>45765</v>
      </c>
      <c r="D78" t="inlineStr">
        <is>
          <t>KALMAR LÄN</t>
        </is>
      </c>
      <c r="E78" t="inlineStr">
        <is>
          <t>VIMMERBY</t>
        </is>
      </c>
      <c r="G78" t="n">
        <v>3.2</v>
      </c>
      <c r="H78" t="n">
        <v>1</v>
      </c>
      <c r="I78" t="n">
        <v>1</v>
      </c>
      <c r="J78" t="n">
        <v>0</v>
      </c>
      <c r="K78" t="n">
        <v>0</v>
      </c>
      <c r="L78" t="n">
        <v>0</v>
      </c>
      <c r="M78" t="n">
        <v>0</v>
      </c>
      <c r="N78" t="n">
        <v>0</v>
      </c>
      <c r="O78" t="n">
        <v>0</v>
      </c>
      <c r="P78" t="n">
        <v>0</v>
      </c>
      <c r="Q78" t="n">
        <v>1</v>
      </c>
      <c r="R78" s="2" t="inlineStr">
        <is>
          <t>Plattlummer</t>
        </is>
      </c>
      <c r="S78">
        <f>HYPERLINK("https://klasma.github.io/Logging_0884/artfynd/A 15627-2024 artfynd.xlsx", "A 15627-2024")</f>
        <v/>
      </c>
      <c r="T78">
        <f>HYPERLINK("https://klasma.github.io/Logging_0884/kartor/A 15627-2024 karta.png", "A 15627-2024")</f>
        <v/>
      </c>
      <c r="V78">
        <f>HYPERLINK("https://klasma.github.io/Logging_0884/klagomål/A 15627-2024 FSC-klagomål.docx", "A 15627-2024")</f>
        <v/>
      </c>
      <c r="W78">
        <f>HYPERLINK("https://klasma.github.io/Logging_0884/klagomålsmail/A 15627-2024 FSC-klagomål mail.docx", "A 15627-2024")</f>
        <v/>
      </c>
      <c r="X78">
        <f>HYPERLINK("https://klasma.github.io/Logging_0884/tillsyn/A 15627-2024 tillsynsbegäran.docx", "A 15627-2024")</f>
        <v/>
      </c>
      <c r="Y78">
        <f>HYPERLINK("https://klasma.github.io/Logging_0884/tillsynsmail/A 15627-2024 tillsynsbegäran mail.docx", "A 15627-2024")</f>
        <v/>
      </c>
    </row>
    <row r="79" ht="15" customHeight="1">
      <c r="A79" t="inlineStr">
        <is>
          <t>A 37199-2024</t>
        </is>
      </c>
      <c r="B79" s="1" t="n">
        <v>45539</v>
      </c>
      <c r="C79" s="1" t="n">
        <v>45765</v>
      </c>
      <c r="D79" t="inlineStr">
        <is>
          <t>KALMAR LÄN</t>
        </is>
      </c>
      <c r="E79" t="inlineStr">
        <is>
          <t>VIMMERBY</t>
        </is>
      </c>
      <c r="G79" t="n">
        <v>0.6</v>
      </c>
      <c r="H79" t="n">
        <v>1</v>
      </c>
      <c r="I79" t="n">
        <v>1</v>
      </c>
      <c r="J79" t="n">
        <v>0</v>
      </c>
      <c r="K79" t="n">
        <v>0</v>
      </c>
      <c r="L79" t="n">
        <v>0</v>
      </c>
      <c r="M79" t="n">
        <v>0</v>
      </c>
      <c r="N79" t="n">
        <v>0</v>
      </c>
      <c r="O79" t="n">
        <v>0</v>
      </c>
      <c r="P79" t="n">
        <v>0</v>
      </c>
      <c r="Q79" t="n">
        <v>1</v>
      </c>
      <c r="R79" s="2" t="inlineStr">
        <is>
          <t>Purpurknipprot</t>
        </is>
      </c>
      <c r="S79">
        <f>HYPERLINK("https://klasma.github.io/Logging_0884/artfynd/A 37199-2024 artfynd.xlsx", "A 37199-2024")</f>
        <v/>
      </c>
      <c r="T79">
        <f>HYPERLINK("https://klasma.github.io/Logging_0884/kartor/A 37199-2024 karta.png", "A 37199-2024")</f>
        <v/>
      </c>
      <c r="V79">
        <f>HYPERLINK("https://klasma.github.io/Logging_0884/klagomål/A 37199-2024 FSC-klagomål.docx", "A 37199-2024")</f>
        <v/>
      </c>
      <c r="W79">
        <f>HYPERLINK("https://klasma.github.io/Logging_0884/klagomålsmail/A 37199-2024 FSC-klagomål mail.docx", "A 37199-2024")</f>
        <v/>
      </c>
      <c r="X79">
        <f>HYPERLINK("https://klasma.github.io/Logging_0884/tillsyn/A 37199-2024 tillsynsbegäran.docx", "A 37199-2024")</f>
        <v/>
      </c>
      <c r="Y79">
        <f>HYPERLINK("https://klasma.github.io/Logging_0884/tillsynsmail/A 37199-2024 tillsynsbegäran mail.docx", "A 37199-2024")</f>
        <v/>
      </c>
    </row>
    <row r="80" ht="15" customHeight="1">
      <c r="A80" t="inlineStr">
        <is>
          <t>A 38208-2024</t>
        </is>
      </c>
      <c r="B80" s="1" t="n">
        <v>45545</v>
      </c>
      <c r="C80" s="1" t="n">
        <v>45765</v>
      </c>
      <c r="D80" t="inlineStr">
        <is>
          <t>KALMAR LÄN</t>
        </is>
      </c>
      <c r="E80" t="inlineStr">
        <is>
          <t>VIMMERBY</t>
        </is>
      </c>
      <c r="G80" t="n">
        <v>5.2</v>
      </c>
      <c r="H80" t="n">
        <v>0</v>
      </c>
      <c r="I80" t="n">
        <v>0</v>
      </c>
      <c r="J80" t="n">
        <v>1</v>
      </c>
      <c r="K80" t="n">
        <v>0</v>
      </c>
      <c r="L80" t="n">
        <v>0</v>
      </c>
      <c r="M80" t="n">
        <v>0</v>
      </c>
      <c r="N80" t="n">
        <v>0</v>
      </c>
      <c r="O80" t="n">
        <v>1</v>
      </c>
      <c r="P80" t="n">
        <v>0</v>
      </c>
      <c r="Q80" t="n">
        <v>1</v>
      </c>
      <c r="R80" s="2" t="inlineStr">
        <is>
          <t>Solvända</t>
        </is>
      </c>
      <c r="S80">
        <f>HYPERLINK("https://klasma.github.io/Logging_0884/artfynd/A 38208-2024 artfynd.xlsx", "A 38208-2024")</f>
        <v/>
      </c>
      <c r="T80">
        <f>HYPERLINK("https://klasma.github.io/Logging_0884/kartor/A 38208-2024 karta.png", "A 38208-2024")</f>
        <v/>
      </c>
      <c r="V80">
        <f>HYPERLINK("https://klasma.github.io/Logging_0884/klagomål/A 38208-2024 FSC-klagomål.docx", "A 38208-2024")</f>
        <v/>
      </c>
      <c r="W80">
        <f>HYPERLINK("https://klasma.github.io/Logging_0884/klagomålsmail/A 38208-2024 FSC-klagomål mail.docx", "A 38208-2024")</f>
        <v/>
      </c>
      <c r="X80">
        <f>HYPERLINK("https://klasma.github.io/Logging_0884/tillsyn/A 38208-2024 tillsynsbegäran.docx", "A 38208-2024")</f>
        <v/>
      </c>
      <c r="Y80">
        <f>HYPERLINK("https://klasma.github.io/Logging_0884/tillsynsmail/A 38208-2024 tillsynsbegäran mail.docx", "A 38208-2024")</f>
        <v/>
      </c>
    </row>
    <row r="81" ht="15" customHeight="1">
      <c r="A81" t="inlineStr">
        <is>
          <t>A 44684-2024</t>
        </is>
      </c>
      <c r="B81" s="1" t="n">
        <v>45574</v>
      </c>
      <c r="C81" s="1" t="n">
        <v>45765</v>
      </c>
      <c r="D81" t="inlineStr">
        <is>
          <t>KALMAR LÄN</t>
        </is>
      </c>
      <c r="E81" t="inlineStr">
        <is>
          <t>VIMMERBY</t>
        </is>
      </c>
      <c r="G81" t="n">
        <v>2.8</v>
      </c>
      <c r="H81" t="n">
        <v>0</v>
      </c>
      <c r="I81" t="n">
        <v>1</v>
      </c>
      <c r="J81" t="n">
        <v>0</v>
      </c>
      <c r="K81" t="n">
        <v>0</v>
      </c>
      <c r="L81" t="n">
        <v>0</v>
      </c>
      <c r="M81" t="n">
        <v>0</v>
      </c>
      <c r="N81" t="n">
        <v>0</v>
      </c>
      <c r="O81" t="n">
        <v>0</v>
      </c>
      <c r="P81" t="n">
        <v>0</v>
      </c>
      <c r="Q81" t="n">
        <v>1</v>
      </c>
      <c r="R81" s="2" t="inlineStr">
        <is>
          <t>Blåmossa</t>
        </is>
      </c>
      <c r="S81">
        <f>HYPERLINK("https://klasma.github.io/Logging_0884/artfynd/A 44684-2024 artfynd.xlsx", "A 44684-2024")</f>
        <v/>
      </c>
      <c r="T81">
        <f>HYPERLINK("https://klasma.github.io/Logging_0884/kartor/A 44684-2024 karta.png", "A 44684-2024")</f>
        <v/>
      </c>
      <c r="U81">
        <f>HYPERLINK("https://klasma.github.io/Logging_0884/knärot/A 44684-2024 karta knärot.png", "A 44684-2024")</f>
        <v/>
      </c>
      <c r="V81">
        <f>HYPERLINK("https://klasma.github.io/Logging_0884/klagomål/A 44684-2024 FSC-klagomål.docx", "A 44684-2024")</f>
        <v/>
      </c>
      <c r="W81">
        <f>HYPERLINK("https://klasma.github.io/Logging_0884/klagomålsmail/A 44684-2024 FSC-klagomål mail.docx", "A 44684-2024")</f>
        <v/>
      </c>
      <c r="X81">
        <f>HYPERLINK("https://klasma.github.io/Logging_0884/tillsyn/A 44684-2024 tillsynsbegäran.docx", "A 44684-2024")</f>
        <v/>
      </c>
      <c r="Y81">
        <f>HYPERLINK("https://klasma.github.io/Logging_0884/tillsynsmail/A 44684-2024 tillsynsbegäran mail.docx", "A 44684-2024")</f>
        <v/>
      </c>
    </row>
    <row r="82" ht="15" customHeight="1">
      <c r="A82" t="inlineStr">
        <is>
          <t>A 44515-2024</t>
        </is>
      </c>
      <c r="B82" s="1" t="n">
        <v>45574</v>
      </c>
      <c r="C82" s="1" t="n">
        <v>45765</v>
      </c>
      <c r="D82" t="inlineStr">
        <is>
          <t>KALMAR LÄN</t>
        </is>
      </c>
      <c r="E82" t="inlineStr">
        <is>
          <t>VIMMERBY</t>
        </is>
      </c>
      <c r="G82" t="n">
        <v>1.4</v>
      </c>
      <c r="H82" t="n">
        <v>1</v>
      </c>
      <c r="I82" t="n">
        <v>0</v>
      </c>
      <c r="J82" t="n">
        <v>0</v>
      </c>
      <c r="K82" t="n">
        <v>1</v>
      </c>
      <c r="L82" t="n">
        <v>0</v>
      </c>
      <c r="M82" t="n">
        <v>0</v>
      </c>
      <c r="N82" t="n">
        <v>0</v>
      </c>
      <c r="O82" t="n">
        <v>1</v>
      </c>
      <c r="P82" t="n">
        <v>1</v>
      </c>
      <c r="Q82" t="n">
        <v>1</v>
      </c>
      <c r="R82" s="2" t="inlineStr">
        <is>
          <t>Knärot</t>
        </is>
      </c>
      <c r="S82">
        <f>HYPERLINK("https://klasma.github.io/Logging_0884/artfynd/A 44515-2024 artfynd.xlsx", "A 44515-2024")</f>
        <v/>
      </c>
      <c r="T82">
        <f>HYPERLINK("https://klasma.github.io/Logging_0884/kartor/A 44515-2024 karta.png", "A 44515-2024")</f>
        <v/>
      </c>
      <c r="U82">
        <f>HYPERLINK("https://klasma.github.io/Logging_0884/knärot/A 44515-2024 karta knärot.png", "A 44515-2024")</f>
        <v/>
      </c>
      <c r="V82">
        <f>HYPERLINK("https://klasma.github.io/Logging_0884/klagomål/A 44515-2024 FSC-klagomål.docx", "A 44515-2024")</f>
        <v/>
      </c>
      <c r="W82">
        <f>HYPERLINK("https://klasma.github.io/Logging_0884/klagomålsmail/A 44515-2024 FSC-klagomål mail.docx", "A 44515-2024")</f>
        <v/>
      </c>
      <c r="X82">
        <f>HYPERLINK("https://klasma.github.io/Logging_0884/tillsyn/A 44515-2024 tillsynsbegäran.docx", "A 44515-2024")</f>
        <v/>
      </c>
      <c r="Y82">
        <f>HYPERLINK("https://klasma.github.io/Logging_0884/tillsynsmail/A 44515-2024 tillsynsbegäran mail.docx", "A 44515-2024")</f>
        <v/>
      </c>
    </row>
    <row r="83" ht="15" customHeight="1">
      <c r="A83" t="inlineStr">
        <is>
          <t>A 44723-2024</t>
        </is>
      </c>
      <c r="B83" s="1" t="n">
        <v>45574</v>
      </c>
      <c r="C83" s="1" t="n">
        <v>45765</v>
      </c>
      <c r="D83" t="inlineStr">
        <is>
          <t>KALMAR LÄN</t>
        </is>
      </c>
      <c r="E83" t="inlineStr">
        <is>
          <t>VIMMERBY</t>
        </is>
      </c>
      <c r="G83" t="n">
        <v>6.9</v>
      </c>
      <c r="H83" t="n">
        <v>0</v>
      </c>
      <c r="I83" t="n">
        <v>1</v>
      </c>
      <c r="J83" t="n">
        <v>0</v>
      </c>
      <c r="K83" t="n">
        <v>0</v>
      </c>
      <c r="L83" t="n">
        <v>0</v>
      </c>
      <c r="M83" t="n">
        <v>0</v>
      </c>
      <c r="N83" t="n">
        <v>0</v>
      </c>
      <c r="O83" t="n">
        <v>0</v>
      </c>
      <c r="P83" t="n">
        <v>0</v>
      </c>
      <c r="Q83" t="n">
        <v>1</v>
      </c>
      <c r="R83" s="2" t="inlineStr">
        <is>
          <t>Dropptaggsvamp</t>
        </is>
      </c>
      <c r="S83">
        <f>HYPERLINK("https://klasma.github.io/Logging_0884/artfynd/A 44723-2024 artfynd.xlsx", "A 44723-2024")</f>
        <v/>
      </c>
      <c r="T83">
        <f>HYPERLINK("https://klasma.github.io/Logging_0884/kartor/A 44723-2024 karta.png", "A 44723-2024")</f>
        <v/>
      </c>
      <c r="V83">
        <f>HYPERLINK("https://klasma.github.io/Logging_0884/klagomål/A 44723-2024 FSC-klagomål.docx", "A 44723-2024")</f>
        <v/>
      </c>
      <c r="W83">
        <f>HYPERLINK("https://klasma.github.io/Logging_0884/klagomålsmail/A 44723-2024 FSC-klagomål mail.docx", "A 44723-2024")</f>
        <v/>
      </c>
      <c r="X83">
        <f>HYPERLINK("https://klasma.github.io/Logging_0884/tillsyn/A 44723-2024 tillsynsbegäran.docx", "A 44723-2024")</f>
        <v/>
      </c>
      <c r="Y83">
        <f>HYPERLINK("https://klasma.github.io/Logging_0884/tillsynsmail/A 44723-2024 tillsynsbegäran mail.docx", "A 44723-2024")</f>
        <v/>
      </c>
    </row>
    <row r="84" ht="15" customHeight="1">
      <c r="A84" t="inlineStr">
        <is>
          <t>A 59343-2024</t>
        </is>
      </c>
      <c r="B84" s="1" t="n">
        <v>45637</v>
      </c>
      <c r="C84" s="1" t="n">
        <v>45765</v>
      </c>
      <c r="D84" t="inlineStr">
        <is>
          <t>KALMAR LÄN</t>
        </is>
      </c>
      <c r="E84" t="inlineStr">
        <is>
          <t>VIMMERBY</t>
        </is>
      </c>
      <c r="G84" t="n">
        <v>3.5</v>
      </c>
      <c r="H84" t="n">
        <v>0</v>
      </c>
      <c r="I84" t="n">
        <v>1</v>
      </c>
      <c r="J84" t="n">
        <v>0</v>
      </c>
      <c r="K84" t="n">
        <v>0</v>
      </c>
      <c r="L84" t="n">
        <v>0</v>
      </c>
      <c r="M84" t="n">
        <v>0</v>
      </c>
      <c r="N84" t="n">
        <v>0</v>
      </c>
      <c r="O84" t="n">
        <v>0</v>
      </c>
      <c r="P84" t="n">
        <v>0</v>
      </c>
      <c r="Q84" t="n">
        <v>1</v>
      </c>
      <c r="R84" s="2" t="inlineStr">
        <is>
          <t>Vårärt</t>
        </is>
      </c>
      <c r="S84">
        <f>HYPERLINK("https://klasma.github.io/Logging_0884/artfynd/A 59343-2024 artfynd.xlsx", "A 59343-2024")</f>
        <v/>
      </c>
      <c r="T84">
        <f>HYPERLINK("https://klasma.github.io/Logging_0884/kartor/A 59343-2024 karta.png", "A 59343-2024")</f>
        <v/>
      </c>
      <c r="V84">
        <f>HYPERLINK("https://klasma.github.io/Logging_0884/klagomål/A 59343-2024 FSC-klagomål.docx", "A 59343-2024")</f>
        <v/>
      </c>
      <c r="W84">
        <f>HYPERLINK("https://klasma.github.io/Logging_0884/klagomålsmail/A 59343-2024 FSC-klagomål mail.docx", "A 59343-2024")</f>
        <v/>
      </c>
      <c r="X84">
        <f>HYPERLINK("https://klasma.github.io/Logging_0884/tillsyn/A 59343-2024 tillsynsbegäran.docx", "A 59343-2024")</f>
        <v/>
      </c>
      <c r="Y84">
        <f>HYPERLINK("https://klasma.github.io/Logging_0884/tillsynsmail/A 59343-2024 tillsynsbegäran mail.docx", "A 59343-2024")</f>
        <v/>
      </c>
    </row>
    <row r="85" ht="15" customHeight="1">
      <c r="A85" t="inlineStr">
        <is>
          <t>A 61860-2024</t>
        </is>
      </c>
      <c r="B85" s="1" t="n">
        <v>45649</v>
      </c>
      <c r="C85" s="1" t="n">
        <v>45765</v>
      </c>
      <c r="D85" t="inlineStr">
        <is>
          <t>KALMAR LÄN</t>
        </is>
      </c>
      <c r="E85" t="inlineStr">
        <is>
          <t>VIMMERBY</t>
        </is>
      </c>
      <c r="G85" t="n">
        <v>4.4</v>
      </c>
      <c r="H85" t="n">
        <v>1</v>
      </c>
      <c r="I85" t="n">
        <v>0</v>
      </c>
      <c r="J85" t="n">
        <v>0</v>
      </c>
      <c r="K85" t="n">
        <v>1</v>
      </c>
      <c r="L85" t="n">
        <v>0</v>
      </c>
      <c r="M85" t="n">
        <v>0</v>
      </c>
      <c r="N85" t="n">
        <v>0</v>
      </c>
      <c r="O85" t="n">
        <v>1</v>
      </c>
      <c r="P85" t="n">
        <v>1</v>
      </c>
      <c r="Q85" t="n">
        <v>1</v>
      </c>
      <c r="R85" s="2" t="inlineStr">
        <is>
          <t>Knärot</t>
        </is>
      </c>
      <c r="S85">
        <f>HYPERLINK("https://klasma.github.io/Logging_0884/artfynd/A 61860-2024 artfynd.xlsx", "A 61860-2024")</f>
        <v/>
      </c>
      <c r="T85">
        <f>HYPERLINK("https://klasma.github.io/Logging_0884/kartor/A 61860-2024 karta.png", "A 61860-2024")</f>
        <v/>
      </c>
      <c r="U85">
        <f>HYPERLINK("https://klasma.github.io/Logging_0884/knärot/A 61860-2024 karta knärot.png", "A 61860-2024")</f>
        <v/>
      </c>
      <c r="V85">
        <f>HYPERLINK("https://klasma.github.io/Logging_0884/klagomål/A 61860-2024 FSC-klagomål.docx", "A 61860-2024")</f>
        <v/>
      </c>
      <c r="W85">
        <f>HYPERLINK("https://klasma.github.io/Logging_0884/klagomålsmail/A 61860-2024 FSC-klagomål mail.docx", "A 61860-2024")</f>
        <v/>
      </c>
      <c r="X85">
        <f>HYPERLINK("https://klasma.github.io/Logging_0884/tillsyn/A 61860-2024 tillsynsbegäran.docx", "A 61860-2024")</f>
        <v/>
      </c>
      <c r="Y85">
        <f>HYPERLINK("https://klasma.github.io/Logging_0884/tillsynsmail/A 61860-2024 tillsynsbegäran mail.docx", "A 61860-2024")</f>
        <v/>
      </c>
    </row>
    <row r="86" ht="15" customHeight="1">
      <c r="A86" t="inlineStr">
        <is>
          <t>A 667-2025</t>
        </is>
      </c>
      <c r="B86" s="1" t="n">
        <v>45664</v>
      </c>
      <c r="C86" s="1" t="n">
        <v>45765</v>
      </c>
      <c r="D86" t="inlineStr">
        <is>
          <t>KALMAR LÄN</t>
        </is>
      </c>
      <c r="E86" t="inlineStr">
        <is>
          <t>VIMMERBY</t>
        </is>
      </c>
      <c r="G86" t="n">
        <v>4.4</v>
      </c>
      <c r="H86" t="n">
        <v>0</v>
      </c>
      <c r="I86" t="n">
        <v>0</v>
      </c>
      <c r="J86" t="n">
        <v>1</v>
      </c>
      <c r="K86" t="n">
        <v>0</v>
      </c>
      <c r="L86" t="n">
        <v>0</v>
      </c>
      <c r="M86" t="n">
        <v>0</v>
      </c>
      <c r="N86" t="n">
        <v>0</v>
      </c>
      <c r="O86" t="n">
        <v>1</v>
      </c>
      <c r="P86" t="n">
        <v>0</v>
      </c>
      <c r="Q86" t="n">
        <v>1</v>
      </c>
      <c r="R86" s="2" t="inlineStr">
        <is>
          <t>Tallticka</t>
        </is>
      </c>
      <c r="S86">
        <f>HYPERLINK("https://klasma.github.io/Logging_0884/artfynd/A 667-2025 artfynd.xlsx", "A 667-2025")</f>
        <v/>
      </c>
      <c r="T86">
        <f>HYPERLINK("https://klasma.github.io/Logging_0884/kartor/A 667-2025 karta.png", "A 667-2025")</f>
        <v/>
      </c>
      <c r="V86">
        <f>HYPERLINK("https://klasma.github.io/Logging_0884/klagomål/A 667-2025 FSC-klagomål.docx", "A 667-2025")</f>
        <v/>
      </c>
      <c r="W86">
        <f>HYPERLINK("https://klasma.github.io/Logging_0884/klagomålsmail/A 667-2025 FSC-klagomål mail.docx", "A 667-2025")</f>
        <v/>
      </c>
      <c r="X86">
        <f>HYPERLINK("https://klasma.github.io/Logging_0884/tillsyn/A 667-2025 tillsynsbegäran.docx", "A 667-2025")</f>
        <v/>
      </c>
      <c r="Y86">
        <f>HYPERLINK("https://klasma.github.io/Logging_0884/tillsynsmail/A 667-2025 tillsynsbegäran mail.docx", "A 667-2025")</f>
        <v/>
      </c>
    </row>
    <row r="87" ht="15" customHeight="1">
      <c r="A87" t="inlineStr">
        <is>
          <t>A 1201-2025</t>
        </is>
      </c>
      <c r="B87" s="1" t="n">
        <v>45667</v>
      </c>
      <c r="C87" s="1" t="n">
        <v>45765</v>
      </c>
      <c r="D87" t="inlineStr">
        <is>
          <t>KALMAR LÄN</t>
        </is>
      </c>
      <c r="E87" t="inlineStr">
        <is>
          <t>VIMMERBY</t>
        </is>
      </c>
      <c r="G87" t="n">
        <v>6.4</v>
      </c>
      <c r="H87" t="n">
        <v>1</v>
      </c>
      <c r="I87" t="n">
        <v>0</v>
      </c>
      <c r="J87" t="n">
        <v>0</v>
      </c>
      <c r="K87" t="n">
        <v>1</v>
      </c>
      <c r="L87" t="n">
        <v>0</v>
      </c>
      <c r="M87" t="n">
        <v>0</v>
      </c>
      <c r="N87" t="n">
        <v>0</v>
      </c>
      <c r="O87" t="n">
        <v>1</v>
      </c>
      <c r="P87" t="n">
        <v>1</v>
      </c>
      <c r="Q87" t="n">
        <v>1</v>
      </c>
      <c r="R87" s="2" t="inlineStr">
        <is>
          <t>Knärot</t>
        </is>
      </c>
      <c r="S87">
        <f>HYPERLINK("https://klasma.github.io/Logging_0884/artfynd/A 1201-2025 artfynd.xlsx", "A 1201-2025")</f>
        <v/>
      </c>
      <c r="T87">
        <f>HYPERLINK("https://klasma.github.io/Logging_0884/kartor/A 1201-2025 karta.png", "A 1201-2025")</f>
        <v/>
      </c>
      <c r="U87">
        <f>HYPERLINK("https://klasma.github.io/Logging_0884/knärot/A 1201-2025 karta knärot.png", "A 1201-2025")</f>
        <v/>
      </c>
      <c r="V87">
        <f>HYPERLINK("https://klasma.github.io/Logging_0884/klagomål/A 1201-2025 FSC-klagomål.docx", "A 1201-2025")</f>
        <v/>
      </c>
      <c r="W87">
        <f>HYPERLINK("https://klasma.github.io/Logging_0884/klagomålsmail/A 1201-2025 FSC-klagomål mail.docx", "A 1201-2025")</f>
        <v/>
      </c>
      <c r="X87">
        <f>HYPERLINK("https://klasma.github.io/Logging_0884/tillsyn/A 1201-2025 tillsynsbegäran.docx", "A 1201-2025")</f>
        <v/>
      </c>
      <c r="Y87">
        <f>HYPERLINK("https://klasma.github.io/Logging_0884/tillsynsmail/A 1201-2025 tillsynsbegäran mail.docx", "A 1201-2025")</f>
        <v/>
      </c>
    </row>
    <row r="88" ht="15" customHeight="1">
      <c r="A88" t="inlineStr">
        <is>
          <t>A 6449-2025</t>
        </is>
      </c>
      <c r="B88" s="1" t="n">
        <v>45699</v>
      </c>
      <c r="C88" s="1" t="n">
        <v>45765</v>
      </c>
      <c r="D88" t="inlineStr">
        <is>
          <t>KALMAR LÄN</t>
        </is>
      </c>
      <c r="E88" t="inlineStr">
        <is>
          <t>VIMMERBY</t>
        </is>
      </c>
      <c r="G88" t="n">
        <v>0.7</v>
      </c>
      <c r="H88" t="n">
        <v>0</v>
      </c>
      <c r="I88" t="n">
        <v>0</v>
      </c>
      <c r="J88" t="n">
        <v>1</v>
      </c>
      <c r="K88" t="n">
        <v>0</v>
      </c>
      <c r="L88" t="n">
        <v>0</v>
      </c>
      <c r="M88" t="n">
        <v>0</v>
      </c>
      <c r="N88" t="n">
        <v>0</v>
      </c>
      <c r="O88" t="n">
        <v>1</v>
      </c>
      <c r="P88" t="n">
        <v>0</v>
      </c>
      <c r="Q88" t="n">
        <v>1</v>
      </c>
      <c r="R88" s="2" t="inlineStr">
        <is>
          <t>Skogshare</t>
        </is>
      </c>
      <c r="S88">
        <f>HYPERLINK("https://klasma.github.io/Logging_0884/artfynd/A 6449-2025 artfynd.xlsx", "A 6449-2025")</f>
        <v/>
      </c>
      <c r="T88">
        <f>HYPERLINK("https://klasma.github.io/Logging_0884/kartor/A 6449-2025 karta.png", "A 6449-2025")</f>
        <v/>
      </c>
      <c r="V88">
        <f>HYPERLINK("https://klasma.github.io/Logging_0884/klagomål/A 6449-2025 FSC-klagomål.docx", "A 6449-2025")</f>
        <v/>
      </c>
      <c r="W88">
        <f>HYPERLINK("https://klasma.github.io/Logging_0884/klagomålsmail/A 6449-2025 FSC-klagomål mail.docx", "A 6449-2025")</f>
        <v/>
      </c>
      <c r="X88">
        <f>HYPERLINK("https://klasma.github.io/Logging_0884/tillsyn/A 6449-2025 tillsynsbegäran.docx", "A 6449-2025")</f>
        <v/>
      </c>
      <c r="Y88">
        <f>HYPERLINK("https://klasma.github.io/Logging_0884/tillsynsmail/A 6449-2025 tillsynsbegäran mail.docx", "A 6449-2025")</f>
        <v/>
      </c>
    </row>
    <row r="89" ht="15" customHeight="1">
      <c r="A89" t="inlineStr">
        <is>
          <t>A 9067-2025</t>
        </is>
      </c>
      <c r="B89" s="1" t="n">
        <v>45713</v>
      </c>
      <c r="C89" s="1" t="n">
        <v>45765</v>
      </c>
      <c r="D89" t="inlineStr">
        <is>
          <t>KALMAR LÄN</t>
        </is>
      </c>
      <c r="E89" t="inlineStr">
        <is>
          <t>VIMMERBY</t>
        </is>
      </c>
      <c r="G89" t="n">
        <v>3.9</v>
      </c>
      <c r="H89" t="n">
        <v>0</v>
      </c>
      <c r="I89" t="n">
        <v>1</v>
      </c>
      <c r="J89" t="n">
        <v>0</v>
      </c>
      <c r="K89" t="n">
        <v>0</v>
      </c>
      <c r="L89" t="n">
        <v>0</v>
      </c>
      <c r="M89" t="n">
        <v>0</v>
      </c>
      <c r="N89" t="n">
        <v>0</v>
      </c>
      <c r="O89" t="n">
        <v>0</v>
      </c>
      <c r="P89" t="n">
        <v>0</v>
      </c>
      <c r="Q89" t="n">
        <v>1</v>
      </c>
      <c r="R89" s="2" t="inlineStr">
        <is>
          <t>Ögonpyrola</t>
        </is>
      </c>
      <c r="S89">
        <f>HYPERLINK("https://klasma.github.io/Logging_0884/artfynd/A 9067-2025 artfynd.xlsx", "A 9067-2025")</f>
        <v/>
      </c>
      <c r="T89">
        <f>HYPERLINK("https://klasma.github.io/Logging_0884/kartor/A 9067-2025 karta.png", "A 9067-2025")</f>
        <v/>
      </c>
      <c r="V89">
        <f>HYPERLINK("https://klasma.github.io/Logging_0884/klagomål/A 9067-2025 FSC-klagomål.docx", "A 9067-2025")</f>
        <v/>
      </c>
      <c r="W89">
        <f>HYPERLINK("https://klasma.github.io/Logging_0884/klagomålsmail/A 9067-2025 FSC-klagomål mail.docx", "A 9067-2025")</f>
        <v/>
      </c>
      <c r="X89">
        <f>HYPERLINK("https://klasma.github.io/Logging_0884/tillsyn/A 9067-2025 tillsynsbegäran.docx", "A 9067-2025")</f>
        <v/>
      </c>
      <c r="Y89">
        <f>HYPERLINK("https://klasma.github.io/Logging_0884/tillsynsmail/A 9067-2025 tillsynsbegäran mail.docx", "A 9067-2025")</f>
        <v/>
      </c>
    </row>
    <row r="90" ht="15" customHeight="1">
      <c r="A90" t="inlineStr">
        <is>
          <t>A 18658-2019</t>
        </is>
      </c>
      <c r="B90" s="1" t="n">
        <v>43559</v>
      </c>
      <c r="C90" s="1" t="n">
        <v>45765</v>
      </c>
      <c r="D90" t="inlineStr">
        <is>
          <t>KALMAR LÄN</t>
        </is>
      </c>
      <c r="E90" t="inlineStr">
        <is>
          <t>VIMMERBY</t>
        </is>
      </c>
      <c r="G90" t="n">
        <v>2.5</v>
      </c>
      <c r="H90" t="n">
        <v>0</v>
      </c>
      <c r="I90" t="n">
        <v>0</v>
      </c>
      <c r="J90" t="n">
        <v>0</v>
      </c>
      <c r="K90" t="n">
        <v>0</v>
      </c>
      <c r="L90" t="n">
        <v>0</v>
      </c>
      <c r="M90" t="n">
        <v>0</v>
      </c>
      <c r="N90" t="n">
        <v>0</v>
      </c>
      <c r="O90" t="n">
        <v>0</v>
      </c>
      <c r="P90" t="n">
        <v>0</v>
      </c>
      <c r="Q90" t="n">
        <v>0</v>
      </c>
      <c r="R90" s="2" t="inlineStr"/>
    </row>
    <row r="91" ht="15" customHeight="1">
      <c r="A91" t="inlineStr">
        <is>
          <t>A 18656-2019</t>
        </is>
      </c>
      <c r="B91" s="1" t="n">
        <v>43559</v>
      </c>
      <c r="C91" s="1" t="n">
        <v>45765</v>
      </c>
      <c r="D91" t="inlineStr">
        <is>
          <t>KALMAR LÄN</t>
        </is>
      </c>
      <c r="E91" t="inlineStr">
        <is>
          <t>VIMMERBY</t>
        </is>
      </c>
      <c r="G91" t="n">
        <v>2.1</v>
      </c>
      <c r="H91" t="n">
        <v>0</v>
      </c>
      <c r="I91" t="n">
        <v>0</v>
      </c>
      <c r="J91" t="n">
        <v>0</v>
      </c>
      <c r="K91" t="n">
        <v>0</v>
      </c>
      <c r="L91" t="n">
        <v>0</v>
      </c>
      <c r="M91" t="n">
        <v>0</v>
      </c>
      <c r="N91" t="n">
        <v>0</v>
      </c>
      <c r="O91" t="n">
        <v>0</v>
      </c>
      <c r="P91" t="n">
        <v>0</v>
      </c>
      <c r="Q91" t="n">
        <v>0</v>
      </c>
      <c r="R91" s="2" t="inlineStr"/>
    </row>
    <row r="92" ht="15" customHeight="1">
      <c r="A92" t="inlineStr">
        <is>
          <t>A 18755-2019</t>
        </is>
      </c>
      <c r="B92" s="1" t="n">
        <v>43560</v>
      </c>
      <c r="C92" s="1" t="n">
        <v>45765</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19057-2019</t>
        </is>
      </c>
      <c r="B93" s="1" t="n">
        <v>43563</v>
      </c>
      <c r="C93" s="1" t="n">
        <v>45765</v>
      </c>
      <c r="D93" t="inlineStr">
        <is>
          <t>KALMAR LÄN</t>
        </is>
      </c>
      <c r="E93" t="inlineStr">
        <is>
          <t>VIMMERBY</t>
        </is>
      </c>
      <c r="G93" t="n">
        <v>10.1</v>
      </c>
      <c r="H93" t="n">
        <v>0</v>
      </c>
      <c r="I93" t="n">
        <v>0</v>
      </c>
      <c r="J93" t="n">
        <v>0</v>
      </c>
      <c r="K93" t="n">
        <v>0</v>
      </c>
      <c r="L93" t="n">
        <v>0</v>
      </c>
      <c r="M93" t="n">
        <v>0</v>
      </c>
      <c r="N93" t="n">
        <v>0</v>
      </c>
      <c r="O93" t="n">
        <v>0</v>
      </c>
      <c r="P93" t="n">
        <v>0</v>
      </c>
      <c r="Q93" t="n">
        <v>0</v>
      </c>
      <c r="R93" s="2" t="inlineStr"/>
    </row>
    <row r="94" ht="15" customHeight="1">
      <c r="A94" t="inlineStr">
        <is>
          <t>A 19056-2019</t>
        </is>
      </c>
      <c r="B94" s="1" t="n">
        <v>43563</v>
      </c>
      <c r="C94" s="1" t="n">
        <v>45765</v>
      </c>
      <c r="D94" t="inlineStr">
        <is>
          <t>KALMAR LÄN</t>
        </is>
      </c>
      <c r="E94" t="inlineStr">
        <is>
          <t>VIMMERBY</t>
        </is>
      </c>
      <c r="G94" t="n">
        <v>3.2</v>
      </c>
      <c r="H94" t="n">
        <v>0</v>
      </c>
      <c r="I94" t="n">
        <v>0</v>
      </c>
      <c r="J94" t="n">
        <v>0</v>
      </c>
      <c r="K94" t="n">
        <v>0</v>
      </c>
      <c r="L94" t="n">
        <v>0</v>
      </c>
      <c r="M94" t="n">
        <v>0</v>
      </c>
      <c r="N94" t="n">
        <v>0</v>
      </c>
      <c r="O94" t="n">
        <v>0</v>
      </c>
      <c r="P94" t="n">
        <v>0</v>
      </c>
      <c r="Q94" t="n">
        <v>0</v>
      </c>
      <c r="R94" s="2" t="inlineStr"/>
    </row>
    <row r="95" ht="15" customHeight="1">
      <c r="A95" t="inlineStr">
        <is>
          <t>A 19054-2019</t>
        </is>
      </c>
      <c r="B95" s="1" t="n">
        <v>43563</v>
      </c>
      <c r="C95" s="1" t="n">
        <v>45765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19616-2019</t>
        </is>
      </c>
      <c r="B96" s="1" t="n">
        <v>43566</v>
      </c>
      <c r="C96" s="1" t="n">
        <v>45765</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19632-2019</t>
        </is>
      </c>
      <c r="B97" s="1" t="n">
        <v>43566</v>
      </c>
      <c r="C97" s="1" t="n">
        <v>45765</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19899-2019</t>
        </is>
      </c>
      <c r="B98" s="1" t="n">
        <v>43567</v>
      </c>
      <c r="C98" s="1" t="n">
        <v>45765</v>
      </c>
      <c r="D98" t="inlineStr">
        <is>
          <t>KALMAR LÄN</t>
        </is>
      </c>
      <c r="E98" t="inlineStr">
        <is>
          <t>VIMMERBY</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20035-2019</t>
        </is>
      </c>
      <c r="B99" s="1" t="n">
        <v>43570</v>
      </c>
      <c r="C99" s="1" t="n">
        <v>45765</v>
      </c>
      <c r="D99" t="inlineStr">
        <is>
          <t>KALMAR LÄN</t>
        </is>
      </c>
      <c r="E99" t="inlineStr">
        <is>
          <t>VIMMERBY</t>
        </is>
      </c>
      <c r="G99" t="n">
        <v>1.5</v>
      </c>
      <c r="H99" t="n">
        <v>0</v>
      </c>
      <c r="I99" t="n">
        <v>0</v>
      </c>
      <c r="J99" t="n">
        <v>0</v>
      </c>
      <c r="K99" t="n">
        <v>0</v>
      </c>
      <c r="L99" t="n">
        <v>0</v>
      </c>
      <c r="M99" t="n">
        <v>0</v>
      </c>
      <c r="N99" t="n">
        <v>0</v>
      </c>
      <c r="O99" t="n">
        <v>0</v>
      </c>
      <c r="P99" t="n">
        <v>0</v>
      </c>
      <c r="Q99" t="n">
        <v>0</v>
      </c>
      <c r="R99" s="2" t="inlineStr"/>
    </row>
    <row r="100" ht="15" customHeight="1">
      <c r="A100" t="inlineStr">
        <is>
          <t>A 19983-2019</t>
        </is>
      </c>
      <c r="B100" s="1" t="n">
        <v>43570</v>
      </c>
      <c r="C100" s="1" t="n">
        <v>45765</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20080-2019</t>
        </is>
      </c>
      <c r="B101" s="1" t="n">
        <v>43570</v>
      </c>
      <c r="C101" s="1" t="n">
        <v>45765</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20069-2019</t>
        </is>
      </c>
      <c r="B102" s="1" t="n">
        <v>43570</v>
      </c>
      <c r="C102" s="1" t="n">
        <v>45765</v>
      </c>
      <c r="D102" t="inlineStr">
        <is>
          <t>KALMAR LÄN</t>
        </is>
      </c>
      <c r="E102" t="inlineStr">
        <is>
          <t>VIMMERBY</t>
        </is>
      </c>
      <c r="G102" t="n">
        <v>4.9</v>
      </c>
      <c r="H102" t="n">
        <v>0</v>
      </c>
      <c r="I102" t="n">
        <v>0</v>
      </c>
      <c r="J102" t="n">
        <v>0</v>
      </c>
      <c r="K102" t="n">
        <v>0</v>
      </c>
      <c r="L102" t="n">
        <v>0</v>
      </c>
      <c r="M102" t="n">
        <v>0</v>
      </c>
      <c r="N102" t="n">
        <v>0</v>
      </c>
      <c r="O102" t="n">
        <v>0</v>
      </c>
      <c r="P102" t="n">
        <v>0</v>
      </c>
      <c r="Q102" t="n">
        <v>0</v>
      </c>
      <c r="R102" s="2" t="inlineStr"/>
    </row>
    <row r="103" ht="15" customHeight="1">
      <c r="A103" t="inlineStr">
        <is>
          <t>A 20314-2019</t>
        </is>
      </c>
      <c r="B103" s="1" t="n">
        <v>43571</v>
      </c>
      <c r="C103" s="1" t="n">
        <v>45765</v>
      </c>
      <c r="D103" t="inlineStr">
        <is>
          <t>KALMAR LÄN</t>
        </is>
      </c>
      <c r="E103" t="inlineStr">
        <is>
          <t>VIMMERBY</t>
        </is>
      </c>
      <c r="G103" t="n">
        <v>2.2</v>
      </c>
      <c r="H103" t="n">
        <v>0</v>
      </c>
      <c r="I103" t="n">
        <v>0</v>
      </c>
      <c r="J103" t="n">
        <v>0</v>
      </c>
      <c r="K103" t="n">
        <v>0</v>
      </c>
      <c r="L103" t="n">
        <v>0</v>
      </c>
      <c r="M103" t="n">
        <v>0</v>
      </c>
      <c r="N103" t="n">
        <v>0</v>
      </c>
      <c r="O103" t="n">
        <v>0</v>
      </c>
      <c r="P103" t="n">
        <v>0</v>
      </c>
      <c r="Q103" t="n">
        <v>0</v>
      </c>
      <c r="R103" s="2" t="inlineStr"/>
    </row>
    <row r="104" ht="15" customHeight="1">
      <c r="A104" t="inlineStr">
        <is>
          <t>A 20312-2019</t>
        </is>
      </c>
      <c r="B104" s="1" t="n">
        <v>43571</v>
      </c>
      <c r="C104" s="1" t="n">
        <v>45765</v>
      </c>
      <c r="D104" t="inlineStr">
        <is>
          <t>KALMAR LÄN</t>
        </is>
      </c>
      <c r="E104" t="inlineStr">
        <is>
          <t>VIMMERBY</t>
        </is>
      </c>
      <c r="G104" t="n">
        <v>4.2</v>
      </c>
      <c r="H104" t="n">
        <v>0</v>
      </c>
      <c r="I104" t="n">
        <v>0</v>
      </c>
      <c r="J104" t="n">
        <v>0</v>
      </c>
      <c r="K104" t="n">
        <v>0</v>
      </c>
      <c r="L104" t="n">
        <v>0</v>
      </c>
      <c r="M104" t="n">
        <v>0</v>
      </c>
      <c r="N104" t="n">
        <v>0</v>
      </c>
      <c r="O104" t="n">
        <v>0</v>
      </c>
      <c r="P104" t="n">
        <v>0</v>
      </c>
      <c r="Q104" t="n">
        <v>0</v>
      </c>
      <c r="R104" s="2" t="inlineStr"/>
    </row>
    <row r="105" ht="15" customHeight="1">
      <c r="A105" t="inlineStr">
        <is>
          <t>A 20565-2019</t>
        </is>
      </c>
      <c r="B105" s="1" t="n">
        <v>43572</v>
      </c>
      <c r="C105" s="1" t="n">
        <v>45765</v>
      </c>
      <c r="D105" t="inlineStr">
        <is>
          <t>KALMAR LÄN</t>
        </is>
      </c>
      <c r="E105" t="inlineStr">
        <is>
          <t>VIMMERBY</t>
        </is>
      </c>
      <c r="G105" t="n">
        <v>5.5</v>
      </c>
      <c r="H105" t="n">
        <v>0</v>
      </c>
      <c r="I105" t="n">
        <v>0</v>
      </c>
      <c r="J105" t="n">
        <v>0</v>
      </c>
      <c r="K105" t="n">
        <v>0</v>
      </c>
      <c r="L105" t="n">
        <v>0</v>
      </c>
      <c r="M105" t="n">
        <v>0</v>
      </c>
      <c r="N105" t="n">
        <v>0</v>
      </c>
      <c r="O105" t="n">
        <v>0</v>
      </c>
      <c r="P105" t="n">
        <v>0</v>
      </c>
      <c r="Q105" t="n">
        <v>0</v>
      </c>
      <c r="R105" s="2" t="inlineStr"/>
    </row>
    <row r="106" ht="15" customHeight="1">
      <c r="A106" t="inlineStr">
        <is>
          <t>A 20856-2019</t>
        </is>
      </c>
      <c r="B106" s="1" t="n">
        <v>43578</v>
      </c>
      <c r="C106" s="1" t="n">
        <v>45765</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21557-2019</t>
        </is>
      </c>
      <c r="B107" s="1" t="n">
        <v>43580</v>
      </c>
      <c r="C107" s="1" t="n">
        <v>45765</v>
      </c>
      <c r="D107" t="inlineStr">
        <is>
          <t>KALMAR LÄN</t>
        </is>
      </c>
      <c r="E107" t="inlineStr">
        <is>
          <t>VIMMERBY</t>
        </is>
      </c>
      <c r="G107" t="n">
        <v>13.8</v>
      </c>
      <c r="H107" t="n">
        <v>0</v>
      </c>
      <c r="I107" t="n">
        <v>0</v>
      </c>
      <c r="J107" t="n">
        <v>0</v>
      </c>
      <c r="K107" t="n">
        <v>0</v>
      </c>
      <c r="L107" t="n">
        <v>0</v>
      </c>
      <c r="M107" t="n">
        <v>0</v>
      </c>
      <c r="N107" t="n">
        <v>0</v>
      </c>
      <c r="O107" t="n">
        <v>0</v>
      </c>
      <c r="P107" t="n">
        <v>0</v>
      </c>
      <c r="Q107" t="n">
        <v>0</v>
      </c>
      <c r="R107" s="2" t="inlineStr"/>
    </row>
    <row r="108" ht="15" customHeight="1">
      <c r="A108" t="inlineStr">
        <is>
          <t>A 21500-2019</t>
        </is>
      </c>
      <c r="B108" s="1" t="n">
        <v>43580</v>
      </c>
      <c r="C108" s="1" t="n">
        <v>45765</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21688-2019</t>
        </is>
      </c>
      <c r="B109" s="1" t="n">
        <v>43581</v>
      </c>
      <c r="C109" s="1" t="n">
        <v>45765</v>
      </c>
      <c r="D109" t="inlineStr">
        <is>
          <t>KALMAR LÄN</t>
        </is>
      </c>
      <c r="E109" t="inlineStr">
        <is>
          <t>VIMMERBY</t>
        </is>
      </c>
      <c r="G109" t="n">
        <v>1.2</v>
      </c>
      <c r="H109" t="n">
        <v>0</v>
      </c>
      <c r="I109" t="n">
        <v>0</v>
      </c>
      <c r="J109" t="n">
        <v>0</v>
      </c>
      <c r="K109" t="n">
        <v>0</v>
      </c>
      <c r="L109" t="n">
        <v>0</v>
      </c>
      <c r="M109" t="n">
        <v>0</v>
      </c>
      <c r="N109" t="n">
        <v>0</v>
      </c>
      <c r="O109" t="n">
        <v>0</v>
      </c>
      <c r="P109" t="n">
        <v>0</v>
      </c>
      <c r="Q109" t="n">
        <v>0</v>
      </c>
      <c r="R109" s="2" t="inlineStr"/>
    </row>
    <row r="110" ht="15" customHeight="1">
      <c r="A110" t="inlineStr">
        <is>
          <t>A 22372-2019</t>
        </is>
      </c>
      <c r="B110" s="1" t="n">
        <v>43587</v>
      </c>
      <c r="C110" s="1" t="n">
        <v>45765</v>
      </c>
      <c r="D110" t="inlineStr">
        <is>
          <t>KALMAR LÄN</t>
        </is>
      </c>
      <c r="E110" t="inlineStr">
        <is>
          <t>VIMMERBY</t>
        </is>
      </c>
      <c r="G110" t="n">
        <v>0.3</v>
      </c>
      <c r="H110" t="n">
        <v>0</v>
      </c>
      <c r="I110" t="n">
        <v>0</v>
      </c>
      <c r="J110" t="n">
        <v>0</v>
      </c>
      <c r="K110" t="n">
        <v>0</v>
      </c>
      <c r="L110" t="n">
        <v>0</v>
      </c>
      <c r="M110" t="n">
        <v>0</v>
      </c>
      <c r="N110" t="n">
        <v>0</v>
      </c>
      <c r="O110" t="n">
        <v>0</v>
      </c>
      <c r="P110" t="n">
        <v>0</v>
      </c>
      <c r="Q110" t="n">
        <v>0</v>
      </c>
      <c r="R110" s="2" t="inlineStr"/>
    </row>
    <row r="111" ht="15" customHeight="1">
      <c r="A111" t="inlineStr">
        <is>
          <t>A 22659-2019</t>
        </is>
      </c>
      <c r="B111" s="1" t="n">
        <v>43588</v>
      </c>
      <c r="C111" s="1" t="n">
        <v>45765</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23498-2019</t>
        </is>
      </c>
      <c r="B112" s="1" t="n">
        <v>43593</v>
      </c>
      <c r="C112" s="1" t="n">
        <v>45765</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24254-2019</t>
        </is>
      </c>
      <c r="B113" s="1" t="n">
        <v>43599</v>
      </c>
      <c r="C113" s="1" t="n">
        <v>45765</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24937-2019</t>
        </is>
      </c>
      <c r="B114" s="1" t="n">
        <v>43602</v>
      </c>
      <c r="C114" s="1" t="n">
        <v>45765</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26073-2019</t>
        </is>
      </c>
      <c r="B115" s="1" t="n">
        <v>43609</v>
      </c>
      <c r="C115" s="1" t="n">
        <v>45765</v>
      </c>
      <c r="D115" t="inlineStr">
        <is>
          <t>KALMAR LÄN</t>
        </is>
      </c>
      <c r="E115" t="inlineStr">
        <is>
          <t>VIMMERBY</t>
        </is>
      </c>
      <c r="G115" t="n">
        <v>0.4</v>
      </c>
      <c r="H115" t="n">
        <v>0</v>
      </c>
      <c r="I115" t="n">
        <v>0</v>
      </c>
      <c r="J115" t="n">
        <v>0</v>
      </c>
      <c r="K115" t="n">
        <v>0</v>
      </c>
      <c r="L115" t="n">
        <v>0</v>
      </c>
      <c r="M115" t="n">
        <v>0</v>
      </c>
      <c r="N115" t="n">
        <v>0</v>
      </c>
      <c r="O115" t="n">
        <v>0</v>
      </c>
      <c r="P115" t="n">
        <v>0</v>
      </c>
      <c r="Q115" t="n">
        <v>0</v>
      </c>
      <c r="R115" s="2" t="inlineStr"/>
    </row>
    <row r="116" ht="15" customHeight="1">
      <c r="A116" t="inlineStr">
        <is>
          <t>A 26660-2019</t>
        </is>
      </c>
      <c r="B116" s="1" t="n">
        <v>43613</v>
      </c>
      <c r="C116" s="1" t="n">
        <v>45765</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28013-2019</t>
        </is>
      </c>
      <c r="B117" s="1" t="n">
        <v>43621</v>
      </c>
      <c r="C117" s="1" t="n">
        <v>45765</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28348-2019</t>
        </is>
      </c>
      <c r="B118" s="1" t="n">
        <v>43624</v>
      </c>
      <c r="C118" s="1" t="n">
        <v>45765</v>
      </c>
      <c r="D118" t="inlineStr">
        <is>
          <t>KALMAR LÄN</t>
        </is>
      </c>
      <c r="E118" t="inlineStr">
        <is>
          <t>VIMMERBY</t>
        </is>
      </c>
      <c r="G118" t="n">
        <v>1</v>
      </c>
      <c r="H118" t="n">
        <v>0</v>
      </c>
      <c r="I118" t="n">
        <v>0</v>
      </c>
      <c r="J118" t="n">
        <v>0</v>
      </c>
      <c r="K118" t="n">
        <v>0</v>
      </c>
      <c r="L118" t="n">
        <v>0</v>
      </c>
      <c r="M118" t="n">
        <v>0</v>
      </c>
      <c r="N118" t="n">
        <v>0</v>
      </c>
      <c r="O118" t="n">
        <v>0</v>
      </c>
      <c r="P118" t="n">
        <v>0</v>
      </c>
      <c r="Q118" t="n">
        <v>0</v>
      </c>
      <c r="R118" s="2" t="inlineStr"/>
    </row>
    <row r="119" ht="15" customHeight="1">
      <c r="A119" t="inlineStr">
        <is>
          <t>A 28414-2019</t>
        </is>
      </c>
      <c r="B119" s="1" t="n">
        <v>43626</v>
      </c>
      <c r="C119" s="1" t="n">
        <v>45765</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29004-2019</t>
        </is>
      </c>
      <c r="B120" s="1" t="n">
        <v>43628</v>
      </c>
      <c r="C120" s="1" t="n">
        <v>45765</v>
      </c>
      <c r="D120" t="inlineStr">
        <is>
          <t>KALMAR LÄN</t>
        </is>
      </c>
      <c r="E120" t="inlineStr">
        <is>
          <t>VIMMERBY</t>
        </is>
      </c>
      <c r="G120" t="n">
        <v>1.1</v>
      </c>
      <c r="H120" t="n">
        <v>0</v>
      </c>
      <c r="I120" t="n">
        <v>0</v>
      </c>
      <c r="J120" t="n">
        <v>0</v>
      </c>
      <c r="K120" t="n">
        <v>0</v>
      </c>
      <c r="L120" t="n">
        <v>0</v>
      </c>
      <c r="M120" t="n">
        <v>0</v>
      </c>
      <c r="N120" t="n">
        <v>0</v>
      </c>
      <c r="O120" t="n">
        <v>0</v>
      </c>
      <c r="P120" t="n">
        <v>0</v>
      </c>
      <c r="Q120" t="n">
        <v>0</v>
      </c>
      <c r="R120" s="2" t="inlineStr"/>
    </row>
    <row r="121" ht="15" customHeight="1">
      <c r="A121" t="inlineStr">
        <is>
          <t>A 29228-2019</t>
        </is>
      </c>
      <c r="B121" s="1" t="n">
        <v>43629</v>
      </c>
      <c r="C121" s="1" t="n">
        <v>45765</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29408-2019</t>
        </is>
      </c>
      <c r="B122" s="1" t="n">
        <v>43629</v>
      </c>
      <c r="C122" s="1" t="n">
        <v>45765</v>
      </c>
      <c r="D122" t="inlineStr">
        <is>
          <t>KALMAR LÄN</t>
        </is>
      </c>
      <c r="E122" t="inlineStr">
        <is>
          <t>VIMMERBY</t>
        </is>
      </c>
      <c r="G122" t="n">
        <v>10.2</v>
      </c>
      <c r="H122" t="n">
        <v>0</v>
      </c>
      <c r="I122" t="n">
        <v>0</v>
      </c>
      <c r="J122" t="n">
        <v>0</v>
      </c>
      <c r="K122" t="n">
        <v>0</v>
      </c>
      <c r="L122" t="n">
        <v>0</v>
      </c>
      <c r="M122" t="n">
        <v>0</v>
      </c>
      <c r="N122" t="n">
        <v>0</v>
      </c>
      <c r="O122" t="n">
        <v>0</v>
      </c>
      <c r="P122" t="n">
        <v>0</v>
      </c>
      <c r="Q122" t="n">
        <v>0</v>
      </c>
      <c r="R122" s="2" t="inlineStr"/>
    </row>
    <row r="123" ht="15" customHeight="1">
      <c r="A123" t="inlineStr">
        <is>
          <t>A 29693-2019</t>
        </is>
      </c>
      <c r="B123" s="1" t="n">
        <v>43630</v>
      </c>
      <c r="C123" s="1" t="n">
        <v>45765</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29675-2019</t>
        </is>
      </c>
      <c r="B124" s="1" t="n">
        <v>43630</v>
      </c>
      <c r="C124" s="1" t="n">
        <v>45765</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29775-2019</t>
        </is>
      </c>
      <c r="B125" s="1" t="n">
        <v>43632</v>
      </c>
      <c r="C125" s="1" t="n">
        <v>45765</v>
      </c>
      <c r="D125" t="inlineStr">
        <is>
          <t>KALMAR LÄN</t>
        </is>
      </c>
      <c r="E125" t="inlineStr">
        <is>
          <t>VIMMERBY</t>
        </is>
      </c>
      <c r="G125" t="n">
        <v>2</v>
      </c>
      <c r="H125" t="n">
        <v>0</v>
      </c>
      <c r="I125" t="n">
        <v>0</v>
      </c>
      <c r="J125" t="n">
        <v>0</v>
      </c>
      <c r="K125" t="n">
        <v>0</v>
      </c>
      <c r="L125" t="n">
        <v>0</v>
      </c>
      <c r="M125" t="n">
        <v>0</v>
      </c>
      <c r="N125" t="n">
        <v>0</v>
      </c>
      <c r="O125" t="n">
        <v>0</v>
      </c>
      <c r="P125" t="n">
        <v>0</v>
      </c>
      <c r="Q125" t="n">
        <v>0</v>
      </c>
      <c r="R125" s="2" t="inlineStr"/>
    </row>
    <row r="126" ht="15" customHeight="1">
      <c r="A126" t="inlineStr">
        <is>
          <t>A 29773-2019</t>
        </is>
      </c>
      <c r="B126" s="1" t="n">
        <v>43632</v>
      </c>
      <c r="C126" s="1" t="n">
        <v>45765</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31027-2019</t>
        </is>
      </c>
      <c r="B127" s="1" t="n">
        <v>43636</v>
      </c>
      <c r="C127" s="1" t="n">
        <v>45765</v>
      </c>
      <c r="D127" t="inlineStr">
        <is>
          <t>KALMAR LÄN</t>
        </is>
      </c>
      <c r="E127" t="inlineStr">
        <is>
          <t>VIMMERBY</t>
        </is>
      </c>
      <c r="F127" t="inlineStr">
        <is>
          <t>Övriga statliga verk och myndigheter</t>
        </is>
      </c>
      <c r="G127" t="n">
        <v>0.5</v>
      </c>
      <c r="H127" t="n">
        <v>0</v>
      </c>
      <c r="I127" t="n">
        <v>0</v>
      </c>
      <c r="J127" t="n">
        <v>0</v>
      </c>
      <c r="K127" t="n">
        <v>0</v>
      </c>
      <c r="L127" t="n">
        <v>0</v>
      </c>
      <c r="M127" t="n">
        <v>0</v>
      </c>
      <c r="N127" t="n">
        <v>0</v>
      </c>
      <c r="O127" t="n">
        <v>0</v>
      </c>
      <c r="P127" t="n">
        <v>0</v>
      </c>
      <c r="Q127" t="n">
        <v>0</v>
      </c>
      <c r="R127" s="2" t="inlineStr"/>
    </row>
    <row r="128" ht="15" customHeight="1">
      <c r="A128" t="inlineStr">
        <is>
          <t>A 30994-2019</t>
        </is>
      </c>
      <c r="B128" s="1" t="n">
        <v>43640</v>
      </c>
      <c r="C128" s="1" t="n">
        <v>45765</v>
      </c>
      <c r="D128" t="inlineStr">
        <is>
          <t>KALMAR LÄN</t>
        </is>
      </c>
      <c r="E128" t="inlineStr">
        <is>
          <t>VIMMERBY</t>
        </is>
      </c>
      <c r="G128" t="n">
        <v>1.7</v>
      </c>
      <c r="H128" t="n">
        <v>0</v>
      </c>
      <c r="I128" t="n">
        <v>0</v>
      </c>
      <c r="J128" t="n">
        <v>0</v>
      </c>
      <c r="K128" t="n">
        <v>0</v>
      </c>
      <c r="L128" t="n">
        <v>0</v>
      </c>
      <c r="M128" t="n">
        <v>0</v>
      </c>
      <c r="N128" t="n">
        <v>0</v>
      </c>
      <c r="O128" t="n">
        <v>0</v>
      </c>
      <c r="P128" t="n">
        <v>0</v>
      </c>
      <c r="Q128" t="n">
        <v>0</v>
      </c>
      <c r="R128" s="2" t="inlineStr"/>
    </row>
    <row r="129" ht="15" customHeight="1">
      <c r="A129" t="inlineStr">
        <is>
          <t>A 31859-2019</t>
        </is>
      </c>
      <c r="B129" s="1" t="n">
        <v>43642</v>
      </c>
      <c r="C129" s="1" t="n">
        <v>45765</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32911-2019</t>
        </is>
      </c>
      <c r="B130" s="1" t="n">
        <v>43648</v>
      </c>
      <c r="C130" s="1" t="n">
        <v>45765</v>
      </c>
      <c r="D130" t="inlineStr">
        <is>
          <t>KALMAR LÄN</t>
        </is>
      </c>
      <c r="E130" t="inlineStr">
        <is>
          <t>VIMMERBY</t>
        </is>
      </c>
      <c r="G130" t="n">
        <v>5</v>
      </c>
      <c r="H130" t="n">
        <v>0</v>
      </c>
      <c r="I130" t="n">
        <v>0</v>
      </c>
      <c r="J130" t="n">
        <v>0</v>
      </c>
      <c r="K130" t="n">
        <v>0</v>
      </c>
      <c r="L130" t="n">
        <v>0</v>
      </c>
      <c r="M130" t="n">
        <v>0</v>
      </c>
      <c r="N130" t="n">
        <v>0</v>
      </c>
      <c r="O130" t="n">
        <v>0</v>
      </c>
      <c r="P130" t="n">
        <v>0</v>
      </c>
      <c r="Q130" t="n">
        <v>0</v>
      </c>
      <c r="R130" s="2" t="inlineStr"/>
    </row>
    <row r="131" ht="15" customHeight="1">
      <c r="A131" t="inlineStr">
        <is>
          <t>A 32924-2019</t>
        </is>
      </c>
      <c r="B131" s="1" t="n">
        <v>43648</v>
      </c>
      <c r="C131" s="1" t="n">
        <v>45765</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32918-2019</t>
        </is>
      </c>
      <c r="B132" s="1" t="n">
        <v>43648</v>
      </c>
      <c r="C132" s="1" t="n">
        <v>45765</v>
      </c>
      <c r="D132" t="inlineStr">
        <is>
          <t>KALMAR LÄN</t>
        </is>
      </c>
      <c r="E132" t="inlineStr">
        <is>
          <t>VIMMERBY</t>
        </is>
      </c>
      <c r="G132" t="n">
        <v>4.1</v>
      </c>
      <c r="H132" t="n">
        <v>0</v>
      </c>
      <c r="I132" t="n">
        <v>0</v>
      </c>
      <c r="J132" t="n">
        <v>0</v>
      </c>
      <c r="K132" t="n">
        <v>0</v>
      </c>
      <c r="L132" t="n">
        <v>0</v>
      </c>
      <c r="M132" t="n">
        <v>0</v>
      </c>
      <c r="N132" t="n">
        <v>0</v>
      </c>
      <c r="O132" t="n">
        <v>0</v>
      </c>
      <c r="P132" t="n">
        <v>0</v>
      </c>
      <c r="Q132" t="n">
        <v>0</v>
      </c>
      <c r="R132" s="2" t="inlineStr"/>
    </row>
    <row r="133" ht="15" customHeight="1">
      <c r="A133" t="inlineStr">
        <is>
          <t>A 32910-2019</t>
        </is>
      </c>
      <c r="B133" s="1" t="n">
        <v>43648</v>
      </c>
      <c r="C133" s="1" t="n">
        <v>45765</v>
      </c>
      <c r="D133" t="inlineStr">
        <is>
          <t>KALMAR LÄN</t>
        </is>
      </c>
      <c r="E133" t="inlineStr">
        <is>
          <t>VIMMERBY</t>
        </is>
      </c>
      <c r="G133" t="n">
        <v>6</v>
      </c>
      <c r="H133" t="n">
        <v>0</v>
      </c>
      <c r="I133" t="n">
        <v>0</v>
      </c>
      <c r="J133" t="n">
        <v>0</v>
      </c>
      <c r="K133" t="n">
        <v>0</v>
      </c>
      <c r="L133" t="n">
        <v>0</v>
      </c>
      <c r="M133" t="n">
        <v>0</v>
      </c>
      <c r="N133" t="n">
        <v>0</v>
      </c>
      <c r="O133" t="n">
        <v>0</v>
      </c>
      <c r="P133" t="n">
        <v>0</v>
      </c>
      <c r="Q133" t="n">
        <v>0</v>
      </c>
      <c r="R133" s="2" t="inlineStr"/>
    </row>
    <row r="134" ht="15" customHeight="1">
      <c r="A134" t="inlineStr">
        <is>
          <t>A 34765-2019</t>
        </is>
      </c>
      <c r="B134" s="1" t="n">
        <v>43649</v>
      </c>
      <c r="C134" s="1" t="n">
        <v>45765</v>
      </c>
      <c r="D134" t="inlineStr">
        <is>
          <t>KALMAR LÄN</t>
        </is>
      </c>
      <c r="E134" t="inlineStr">
        <is>
          <t>VIMMERBY</t>
        </is>
      </c>
      <c r="G134" t="n">
        <v>6.9</v>
      </c>
      <c r="H134" t="n">
        <v>0</v>
      </c>
      <c r="I134" t="n">
        <v>0</v>
      </c>
      <c r="J134" t="n">
        <v>0</v>
      </c>
      <c r="K134" t="n">
        <v>0</v>
      </c>
      <c r="L134" t="n">
        <v>0</v>
      </c>
      <c r="M134" t="n">
        <v>0</v>
      </c>
      <c r="N134" t="n">
        <v>0</v>
      </c>
      <c r="O134" t="n">
        <v>0</v>
      </c>
      <c r="P134" t="n">
        <v>0</v>
      </c>
      <c r="Q134" t="n">
        <v>0</v>
      </c>
      <c r="R134" s="2" t="inlineStr"/>
    </row>
    <row r="135" ht="15" customHeight="1">
      <c r="A135" t="inlineStr">
        <is>
          <t>A 33411-2019</t>
        </is>
      </c>
      <c r="B135" s="1" t="n">
        <v>43650</v>
      </c>
      <c r="C135" s="1" t="n">
        <v>45765</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33410-2019</t>
        </is>
      </c>
      <c r="B136" s="1" t="n">
        <v>43650</v>
      </c>
      <c r="C136" s="1" t="n">
        <v>45765</v>
      </c>
      <c r="D136" t="inlineStr">
        <is>
          <t>KALMAR LÄN</t>
        </is>
      </c>
      <c r="E136" t="inlineStr">
        <is>
          <t>VIMMERBY</t>
        </is>
      </c>
      <c r="G136" t="n">
        <v>4.4</v>
      </c>
      <c r="H136" t="n">
        <v>0</v>
      </c>
      <c r="I136" t="n">
        <v>0</v>
      </c>
      <c r="J136" t="n">
        <v>0</v>
      </c>
      <c r="K136" t="n">
        <v>0</v>
      </c>
      <c r="L136" t="n">
        <v>0</v>
      </c>
      <c r="M136" t="n">
        <v>0</v>
      </c>
      <c r="N136" t="n">
        <v>0</v>
      </c>
      <c r="O136" t="n">
        <v>0</v>
      </c>
      <c r="P136" t="n">
        <v>0</v>
      </c>
      <c r="Q136" t="n">
        <v>0</v>
      </c>
      <c r="R136" s="2" t="inlineStr"/>
    </row>
    <row r="137" ht="15" customHeight="1">
      <c r="A137" t="inlineStr">
        <is>
          <t>A 35259-2019</t>
        </is>
      </c>
      <c r="B137" s="1" t="n">
        <v>43651</v>
      </c>
      <c r="C137" s="1" t="n">
        <v>45765</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33869-2019</t>
        </is>
      </c>
      <c r="B138" s="1" t="n">
        <v>43652</v>
      </c>
      <c r="C138" s="1" t="n">
        <v>45765</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34241-2019</t>
        </is>
      </c>
      <c r="B139" s="1" t="n">
        <v>43655</v>
      </c>
      <c r="C139" s="1" t="n">
        <v>45765</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34244-2019</t>
        </is>
      </c>
      <c r="B140" s="1" t="n">
        <v>43655</v>
      </c>
      <c r="C140" s="1" t="n">
        <v>45765</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34273-2019</t>
        </is>
      </c>
      <c r="B141" s="1" t="n">
        <v>43655</v>
      </c>
      <c r="C141" s="1" t="n">
        <v>45765</v>
      </c>
      <c r="D141" t="inlineStr">
        <is>
          <t>KALMAR LÄN</t>
        </is>
      </c>
      <c r="E141" t="inlineStr">
        <is>
          <t>VIMMERBY</t>
        </is>
      </c>
      <c r="G141" t="n">
        <v>3.1</v>
      </c>
      <c r="H141" t="n">
        <v>0</v>
      </c>
      <c r="I141" t="n">
        <v>0</v>
      </c>
      <c r="J141" t="n">
        <v>0</v>
      </c>
      <c r="K141" t="n">
        <v>0</v>
      </c>
      <c r="L141" t="n">
        <v>0</v>
      </c>
      <c r="M141" t="n">
        <v>0</v>
      </c>
      <c r="N141" t="n">
        <v>0</v>
      </c>
      <c r="O141" t="n">
        <v>0</v>
      </c>
      <c r="P141" t="n">
        <v>0</v>
      </c>
      <c r="Q141" t="n">
        <v>0</v>
      </c>
      <c r="R141" s="2" t="inlineStr"/>
    </row>
    <row r="142" ht="15" customHeight="1">
      <c r="A142" t="inlineStr">
        <is>
          <t>A 35701-2019</t>
        </is>
      </c>
      <c r="B142" s="1" t="n">
        <v>43655</v>
      </c>
      <c r="C142" s="1" t="n">
        <v>45765</v>
      </c>
      <c r="D142" t="inlineStr">
        <is>
          <t>KALMAR LÄN</t>
        </is>
      </c>
      <c r="E142" t="inlineStr">
        <is>
          <t>VIMMERBY</t>
        </is>
      </c>
      <c r="G142" t="n">
        <v>1.3</v>
      </c>
      <c r="H142" t="n">
        <v>0</v>
      </c>
      <c r="I142" t="n">
        <v>0</v>
      </c>
      <c r="J142" t="n">
        <v>0</v>
      </c>
      <c r="K142" t="n">
        <v>0</v>
      </c>
      <c r="L142" t="n">
        <v>0</v>
      </c>
      <c r="M142" t="n">
        <v>0</v>
      </c>
      <c r="N142" t="n">
        <v>0</v>
      </c>
      <c r="O142" t="n">
        <v>0</v>
      </c>
      <c r="P142" t="n">
        <v>0</v>
      </c>
      <c r="Q142" t="n">
        <v>0</v>
      </c>
      <c r="R142" s="2" t="inlineStr"/>
    </row>
    <row r="143" ht="15" customHeight="1">
      <c r="A143" t="inlineStr">
        <is>
          <t>A 34672-2019</t>
        </is>
      </c>
      <c r="B143" s="1" t="n">
        <v>43657</v>
      </c>
      <c r="C143" s="1" t="n">
        <v>45765</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35780-2019</t>
        </is>
      </c>
      <c r="B144" s="1" t="n">
        <v>43665</v>
      </c>
      <c r="C144" s="1" t="n">
        <v>45765</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35834-2019</t>
        </is>
      </c>
      <c r="B145" s="1" t="n">
        <v>43665</v>
      </c>
      <c r="C145" s="1" t="n">
        <v>45765</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35829-2019</t>
        </is>
      </c>
      <c r="B146" s="1" t="n">
        <v>43665</v>
      </c>
      <c r="C146" s="1" t="n">
        <v>45765</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35919-2019</t>
        </is>
      </c>
      <c r="B147" s="1" t="n">
        <v>43665</v>
      </c>
      <c r="C147" s="1" t="n">
        <v>45765</v>
      </c>
      <c r="D147" t="inlineStr">
        <is>
          <t>KALMAR LÄN</t>
        </is>
      </c>
      <c r="E147" t="inlineStr">
        <is>
          <t>VIMMERBY</t>
        </is>
      </c>
      <c r="G147" t="n">
        <v>7.1</v>
      </c>
      <c r="H147" t="n">
        <v>0</v>
      </c>
      <c r="I147" t="n">
        <v>0</v>
      </c>
      <c r="J147" t="n">
        <v>0</v>
      </c>
      <c r="K147" t="n">
        <v>0</v>
      </c>
      <c r="L147" t="n">
        <v>0</v>
      </c>
      <c r="M147" t="n">
        <v>0</v>
      </c>
      <c r="N147" t="n">
        <v>0</v>
      </c>
      <c r="O147" t="n">
        <v>0</v>
      </c>
      <c r="P147" t="n">
        <v>0</v>
      </c>
      <c r="Q147" t="n">
        <v>0</v>
      </c>
      <c r="R147" s="2" t="inlineStr"/>
    </row>
    <row r="148" ht="15" customHeight="1">
      <c r="A148" t="inlineStr">
        <is>
          <t>A 36027-2019</t>
        </is>
      </c>
      <c r="B148" s="1" t="n">
        <v>43668</v>
      </c>
      <c r="C148" s="1" t="n">
        <v>45765</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36024-2019</t>
        </is>
      </c>
      <c r="B149" s="1" t="n">
        <v>43668</v>
      </c>
      <c r="C149" s="1" t="n">
        <v>45765</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36716-2019</t>
        </is>
      </c>
      <c r="B150" s="1" t="n">
        <v>43669</v>
      </c>
      <c r="C150" s="1" t="n">
        <v>45765</v>
      </c>
      <c r="D150" t="inlineStr">
        <is>
          <t>KALMAR LÄN</t>
        </is>
      </c>
      <c r="E150" t="inlineStr">
        <is>
          <t>VIMMERBY</t>
        </is>
      </c>
      <c r="G150" t="n">
        <v>3.6</v>
      </c>
      <c r="H150" t="n">
        <v>0</v>
      </c>
      <c r="I150" t="n">
        <v>0</v>
      </c>
      <c r="J150" t="n">
        <v>0</v>
      </c>
      <c r="K150" t="n">
        <v>0</v>
      </c>
      <c r="L150" t="n">
        <v>0</v>
      </c>
      <c r="M150" t="n">
        <v>0</v>
      </c>
      <c r="N150" t="n">
        <v>0</v>
      </c>
      <c r="O150" t="n">
        <v>0</v>
      </c>
      <c r="P150" t="n">
        <v>0</v>
      </c>
      <c r="Q150" t="n">
        <v>0</v>
      </c>
      <c r="R150" s="2" t="inlineStr"/>
    </row>
    <row r="151" ht="15" customHeight="1">
      <c r="A151" t="inlineStr">
        <is>
          <t>A 36454-2019</t>
        </is>
      </c>
      <c r="B151" s="1" t="n">
        <v>43670</v>
      </c>
      <c r="C151" s="1" t="n">
        <v>45765</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37031-2019</t>
        </is>
      </c>
      <c r="B152" s="1" t="n">
        <v>43672</v>
      </c>
      <c r="C152" s="1" t="n">
        <v>45765</v>
      </c>
      <c r="D152" t="inlineStr">
        <is>
          <t>KALMAR LÄN</t>
        </is>
      </c>
      <c r="E152" t="inlineStr">
        <is>
          <t>VIMMERBY</t>
        </is>
      </c>
      <c r="G152" t="n">
        <v>16.8</v>
      </c>
      <c r="H152" t="n">
        <v>0</v>
      </c>
      <c r="I152" t="n">
        <v>0</v>
      </c>
      <c r="J152" t="n">
        <v>0</v>
      </c>
      <c r="K152" t="n">
        <v>0</v>
      </c>
      <c r="L152" t="n">
        <v>0</v>
      </c>
      <c r="M152" t="n">
        <v>0</v>
      </c>
      <c r="N152" t="n">
        <v>0</v>
      </c>
      <c r="O152" t="n">
        <v>0</v>
      </c>
      <c r="P152" t="n">
        <v>0</v>
      </c>
      <c r="Q152" t="n">
        <v>0</v>
      </c>
      <c r="R152" s="2" t="inlineStr"/>
    </row>
    <row r="153" ht="15" customHeight="1">
      <c r="A153" t="inlineStr">
        <is>
          <t>A 36830-2019</t>
        </is>
      </c>
      <c r="B153" s="1" t="n">
        <v>43674</v>
      </c>
      <c r="C153" s="1" t="n">
        <v>45765</v>
      </c>
      <c r="D153" t="inlineStr">
        <is>
          <t>KALMAR LÄN</t>
        </is>
      </c>
      <c r="E153" t="inlineStr">
        <is>
          <t>VIMMERBY</t>
        </is>
      </c>
      <c r="G153" t="n">
        <v>7.2</v>
      </c>
      <c r="H153" t="n">
        <v>0</v>
      </c>
      <c r="I153" t="n">
        <v>0</v>
      </c>
      <c r="J153" t="n">
        <v>0</v>
      </c>
      <c r="K153" t="n">
        <v>0</v>
      </c>
      <c r="L153" t="n">
        <v>0</v>
      </c>
      <c r="M153" t="n">
        <v>0</v>
      </c>
      <c r="N153" t="n">
        <v>0</v>
      </c>
      <c r="O153" t="n">
        <v>0</v>
      </c>
      <c r="P153" t="n">
        <v>0</v>
      </c>
      <c r="Q153" t="n">
        <v>0</v>
      </c>
      <c r="R153" s="2" t="inlineStr"/>
    </row>
    <row r="154" ht="15" customHeight="1">
      <c r="A154" t="inlineStr">
        <is>
          <t>A 36936-2019</t>
        </is>
      </c>
      <c r="B154" s="1" t="n">
        <v>43675</v>
      </c>
      <c r="C154" s="1" t="n">
        <v>45765</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37063-2019</t>
        </is>
      </c>
      <c r="B155" s="1" t="n">
        <v>43676</v>
      </c>
      <c r="C155" s="1" t="n">
        <v>45765</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37209-2019</t>
        </is>
      </c>
      <c r="B156" s="1" t="n">
        <v>43677</v>
      </c>
      <c r="C156" s="1" t="n">
        <v>45765</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37412-2019</t>
        </is>
      </c>
      <c r="B157" s="1" t="n">
        <v>43678</v>
      </c>
      <c r="C157" s="1" t="n">
        <v>45765</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38602-2019</t>
        </is>
      </c>
      <c r="B158" s="1" t="n">
        <v>43684</v>
      </c>
      <c r="C158" s="1" t="n">
        <v>45765</v>
      </c>
      <c r="D158" t="inlineStr">
        <is>
          <t>KALMAR LÄN</t>
        </is>
      </c>
      <c r="E158" t="inlineStr">
        <is>
          <t>VIMMERBY</t>
        </is>
      </c>
      <c r="G158" t="n">
        <v>2.7</v>
      </c>
      <c r="H158" t="n">
        <v>0</v>
      </c>
      <c r="I158" t="n">
        <v>0</v>
      </c>
      <c r="J158" t="n">
        <v>0</v>
      </c>
      <c r="K158" t="n">
        <v>0</v>
      </c>
      <c r="L158" t="n">
        <v>0</v>
      </c>
      <c r="M158" t="n">
        <v>0</v>
      </c>
      <c r="N158" t="n">
        <v>0</v>
      </c>
      <c r="O158" t="n">
        <v>0</v>
      </c>
      <c r="P158" t="n">
        <v>0</v>
      </c>
      <c r="Q158" t="n">
        <v>0</v>
      </c>
      <c r="R158" s="2" t="inlineStr"/>
    </row>
    <row r="159" ht="15" customHeight="1">
      <c r="A159" t="inlineStr">
        <is>
          <t>A 38866-2019</t>
        </is>
      </c>
      <c r="B159" s="1" t="n">
        <v>43685</v>
      </c>
      <c r="C159" s="1" t="n">
        <v>45765</v>
      </c>
      <c r="D159" t="inlineStr">
        <is>
          <t>KALMAR LÄN</t>
        </is>
      </c>
      <c r="E159" t="inlineStr">
        <is>
          <t>VIMMERBY</t>
        </is>
      </c>
      <c r="G159" t="n">
        <v>1.2</v>
      </c>
      <c r="H159" t="n">
        <v>0</v>
      </c>
      <c r="I159" t="n">
        <v>0</v>
      </c>
      <c r="J159" t="n">
        <v>0</v>
      </c>
      <c r="K159" t="n">
        <v>0</v>
      </c>
      <c r="L159" t="n">
        <v>0</v>
      </c>
      <c r="M159" t="n">
        <v>0</v>
      </c>
      <c r="N159" t="n">
        <v>0</v>
      </c>
      <c r="O159" t="n">
        <v>0</v>
      </c>
      <c r="P159" t="n">
        <v>0</v>
      </c>
      <c r="Q159" t="n">
        <v>0</v>
      </c>
      <c r="R159" s="2" t="inlineStr"/>
    </row>
    <row r="160" ht="15" customHeight="1">
      <c r="A160" t="inlineStr">
        <is>
          <t>A 38789-2019</t>
        </is>
      </c>
      <c r="B160" s="1" t="n">
        <v>43687</v>
      </c>
      <c r="C160" s="1" t="n">
        <v>45765</v>
      </c>
      <c r="D160" t="inlineStr">
        <is>
          <t>KALMAR LÄN</t>
        </is>
      </c>
      <c r="E160" t="inlineStr">
        <is>
          <t>VIMMERBY</t>
        </is>
      </c>
      <c r="G160" t="n">
        <v>0.3</v>
      </c>
      <c r="H160" t="n">
        <v>0</v>
      </c>
      <c r="I160" t="n">
        <v>0</v>
      </c>
      <c r="J160" t="n">
        <v>0</v>
      </c>
      <c r="K160" t="n">
        <v>0</v>
      </c>
      <c r="L160" t="n">
        <v>0</v>
      </c>
      <c r="M160" t="n">
        <v>0</v>
      </c>
      <c r="N160" t="n">
        <v>0</v>
      </c>
      <c r="O160" t="n">
        <v>0</v>
      </c>
      <c r="P160" t="n">
        <v>0</v>
      </c>
      <c r="Q160" t="n">
        <v>0</v>
      </c>
      <c r="R160" s="2" t="inlineStr"/>
    </row>
    <row r="161" ht="15" customHeight="1">
      <c r="A161" t="inlineStr">
        <is>
          <t>A 38835-2019</t>
        </is>
      </c>
      <c r="B161" s="1" t="n">
        <v>43689</v>
      </c>
      <c r="C161" s="1" t="n">
        <v>45765</v>
      </c>
      <c r="D161" t="inlineStr">
        <is>
          <t>KALMAR LÄN</t>
        </is>
      </c>
      <c r="E161" t="inlineStr">
        <is>
          <t>VIMMERBY</t>
        </is>
      </c>
      <c r="G161" t="n">
        <v>3.8</v>
      </c>
      <c r="H161" t="n">
        <v>0</v>
      </c>
      <c r="I161" t="n">
        <v>0</v>
      </c>
      <c r="J161" t="n">
        <v>0</v>
      </c>
      <c r="K161" t="n">
        <v>0</v>
      </c>
      <c r="L161" t="n">
        <v>0</v>
      </c>
      <c r="M161" t="n">
        <v>0</v>
      </c>
      <c r="N161" t="n">
        <v>0</v>
      </c>
      <c r="O161" t="n">
        <v>0</v>
      </c>
      <c r="P161" t="n">
        <v>0</v>
      </c>
      <c r="Q161" t="n">
        <v>0</v>
      </c>
      <c r="R161" s="2" t="inlineStr"/>
    </row>
    <row r="162" ht="15" customHeight="1">
      <c r="A162" t="inlineStr">
        <is>
          <t>A 38823-2019</t>
        </is>
      </c>
      <c r="B162" s="1" t="n">
        <v>43689</v>
      </c>
      <c r="C162" s="1" t="n">
        <v>45765</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38837-2019</t>
        </is>
      </c>
      <c r="B163" s="1" t="n">
        <v>43689</v>
      </c>
      <c r="C163" s="1" t="n">
        <v>45765</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38831-2019</t>
        </is>
      </c>
      <c r="B164" s="1" t="n">
        <v>43689</v>
      </c>
      <c r="C164" s="1" t="n">
        <v>45765</v>
      </c>
      <c r="D164" t="inlineStr">
        <is>
          <t>KALMAR LÄN</t>
        </is>
      </c>
      <c r="E164" t="inlineStr">
        <is>
          <t>VIMMERBY</t>
        </is>
      </c>
      <c r="G164" t="n">
        <v>3</v>
      </c>
      <c r="H164" t="n">
        <v>0</v>
      </c>
      <c r="I164" t="n">
        <v>0</v>
      </c>
      <c r="J164" t="n">
        <v>0</v>
      </c>
      <c r="K164" t="n">
        <v>0</v>
      </c>
      <c r="L164" t="n">
        <v>0</v>
      </c>
      <c r="M164" t="n">
        <v>0</v>
      </c>
      <c r="N164" t="n">
        <v>0</v>
      </c>
      <c r="O164" t="n">
        <v>0</v>
      </c>
      <c r="P164" t="n">
        <v>0</v>
      </c>
      <c r="Q164" t="n">
        <v>0</v>
      </c>
      <c r="R164" s="2" t="inlineStr"/>
    </row>
    <row r="165" ht="15" customHeight="1">
      <c r="A165" t="inlineStr">
        <is>
          <t>A 39442-2019</t>
        </is>
      </c>
      <c r="B165" s="1" t="n">
        <v>43691</v>
      </c>
      <c r="C165" s="1" t="n">
        <v>45765</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39575-2019</t>
        </is>
      </c>
      <c r="B166" s="1" t="n">
        <v>43691</v>
      </c>
      <c r="C166" s="1" t="n">
        <v>45765</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39568-2019</t>
        </is>
      </c>
      <c r="B167" s="1" t="n">
        <v>43691</v>
      </c>
      <c r="C167" s="1" t="n">
        <v>45765</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39564-2019</t>
        </is>
      </c>
      <c r="B168" s="1" t="n">
        <v>43691</v>
      </c>
      <c r="C168" s="1" t="n">
        <v>45765</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39577-2019</t>
        </is>
      </c>
      <c r="B169" s="1" t="n">
        <v>43691</v>
      </c>
      <c r="C169" s="1" t="n">
        <v>45765</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39856-2019</t>
        </is>
      </c>
      <c r="B170" s="1" t="n">
        <v>43692</v>
      </c>
      <c r="C170" s="1" t="n">
        <v>45765</v>
      </c>
      <c r="D170" t="inlineStr">
        <is>
          <t>KALMAR LÄN</t>
        </is>
      </c>
      <c r="E170" t="inlineStr">
        <is>
          <t>VIMMERBY</t>
        </is>
      </c>
      <c r="G170" t="n">
        <v>1.9</v>
      </c>
      <c r="H170" t="n">
        <v>0</v>
      </c>
      <c r="I170" t="n">
        <v>0</v>
      </c>
      <c r="J170" t="n">
        <v>0</v>
      </c>
      <c r="K170" t="n">
        <v>0</v>
      </c>
      <c r="L170" t="n">
        <v>0</v>
      </c>
      <c r="M170" t="n">
        <v>0</v>
      </c>
      <c r="N170" t="n">
        <v>0</v>
      </c>
      <c r="O170" t="n">
        <v>0</v>
      </c>
      <c r="P170" t="n">
        <v>0</v>
      </c>
      <c r="Q170" t="n">
        <v>0</v>
      </c>
      <c r="R170" s="2" t="inlineStr"/>
    </row>
    <row r="171" ht="15" customHeight="1">
      <c r="A171" t="inlineStr">
        <is>
          <t>A 39901-2019</t>
        </is>
      </c>
      <c r="B171" s="1" t="n">
        <v>43692</v>
      </c>
      <c r="C171" s="1" t="n">
        <v>45765</v>
      </c>
      <c r="D171" t="inlineStr">
        <is>
          <t>KALMAR LÄN</t>
        </is>
      </c>
      <c r="E171" t="inlineStr">
        <is>
          <t>VIMMERBY</t>
        </is>
      </c>
      <c r="G171" t="n">
        <v>1.5</v>
      </c>
      <c r="H171" t="n">
        <v>0</v>
      </c>
      <c r="I171" t="n">
        <v>0</v>
      </c>
      <c r="J171" t="n">
        <v>0</v>
      </c>
      <c r="K171" t="n">
        <v>0</v>
      </c>
      <c r="L171" t="n">
        <v>0</v>
      </c>
      <c r="M171" t="n">
        <v>0</v>
      </c>
      <c r="N171" t="n">
        <v>0</v>
      </c>
      <c r="O171" t="n">
        <v>0</v>
      </c>
      <c r="P171" t="n">
        <v>0</v>
      </c>
      <c r="Q171" t="n">
        <v>0</v>
      </c>
      <c r="R171" s="2" t="inlineStr"/>
    </row>
    <row r="172" ht="15" customHeight="1">
      <c r="A172" t="inlineStr">
        <is>
          <t>A 39962-2019</t>
        </is>
      </c>
      <c r="B172" s="1" t="n">
        <v>43692</v>
      </c>
      <c r="C172" s="1" t="n">
        <v>45765</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39899-2019</t>
        </is>
      </c>
      <c r="B173" s="1" t="n">
        <v>43692</v>
      </c>
      <c r="C173" s="1" t="n">
        <v>45765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39894-2019</t>
        </is>
      </c>
      <c r="B174" s="1" t="n">
        <v>43692</v>
      </c>
      <c r="C174" s="1" t="n">
        <v>45765</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39920-2019</t>
        </is>
      </c>
      <c r="B175" s="1" t="n">
        <v>43692</v>
      </c>
      <c r="C175" s="1" t="n">
        <v>45765</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39897-2019</t>
        </is>
      </c>
      <c r="B176" s="1" t="n">
        <v>43692</v>
      </c>
      <c r="C176" s="1" t="n">
        <v>45765</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40140-2019</t>
        </is>
      </c>
      <c r="B177" s="1" t="n">
        <v>43693</v>
      </c>
      <c r="C177" s="1" t="n">
        <v>45765</v>
      </c>
      <c r="D177" t="inlineStr">
        <is>
          <t>KALMAR LÄN</t>
        </is>
      </c>
      <c r="E177" t="inlineStr">
        <is>
          <t>VIMMERBY</t>
        </is>
      </c>
      <c r="F177" t="inlineStr">
        <is>
          <t>Kommuner</t>
        </is>
      </c>
      <c r="G177" t="n">
        <v>1.3</v>
      </c>
      <c r="H177" t="n">
        <v>0</v>
      </c>
      <c r="I177" t="n">
        <v>0</v>
      </c>
      <c r="J177" t="n">
        <v>0</v>
      </c>
      <c r="K177" t="n">
        <v>0</v>
      </c>
      <c r="L177" t="n">
        <v>0</v>
      </c>
      <c r="M177" t="n">
        <v>0</v>
      </c>
      <c r="N177" t="n">
        <v>0</v>
      </c>
      <c r="O177" t="n">
        <v>0</v>
      </c>
      <c r="P177" t="n">
        <v>0</v>
      </c>
      <c r="Q177" t="n">
        <v>0</v>
      </c>
      <c r="R177" s="2" t="inlineStr"/>
    </row>
    <row r="178" ht="15" customHeight="1">
      <c r="A178" t="inlineStr">
        <is>
          <t>A 40691-2019</t>
        </is>
      </c>
      <c r="B178" s="1" t="n">
        <v>43696</v>
      </c>
      <c r="C178" s="1" t="n">
        <v>45765</v>
      </c>
      <c r="D178" t="inlineStr">
        <is>
          <t>KALMAR LÄN</t>
        </is>
      </c>
      <c r="E178" t="inlineStr">
        <is>
          <t>VIMMERBY</t>
        </is>
      </c>
      <c r="G178" t="n">
        <v>10.9</v>
      </c>
      <c r="H178" t="n">
        <v>0</v>
      </c>
      <c r="I178" t="n">
        <v>0</v>
      </c>
      <c r="J178" t="n">
        <v>0</v>
      </c>
      <c r="K178" t="n">
        <v>0</v>
      </c>
      <c r="L178" t="n">
        <v>0</v>
      </c>
      <c r="M178" t="n">
        <v>0</v>
      </c>
      <c r="N178" t="n">
        <v>0</v>
      </c>
      <c r="O178" t="n">
        <v>0</v>
      </c>
      <c r="P178" t="n">
        <v>0</v>
      </c>
      <c r="Q178" t="n">
        <v>0</v>
      </c>
      <c r="R178" s="2" t="inlineStr"/>
    </row>
    <row r="179" ht="15" customHeight="1">
      <c r="A179" t="inlineStr">
        <is>
          <t>A 40692-2019</t>
        </is>
      </c>
      <c r="B179" s="1" t="n">
        <v>43696</v>
      </c>
      <c r="C179" s="1" t="n">
        <v>45765</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41347-2019</t>
        </is>
      </c>
      <c r="B180" s="1" t="n">
        <v>43698</v>
      </c>
      <c r="C180" s="1" t="n">
        <v>45765</v>
      </c>
      <c r="D180" t="inlineStr">
        <is>
          <t>KALMAR LÄN</t>
        </is>
      </c>
      <c r="E180" t="inlineStr">
        <is>
          <t>VIMMERBY</t>
        </is>
      </c>
      <c r="G180" t="n">
        <v>1.8</v>
      </c>
      <c r="H180" t="n">
        <v>0</v>
      </c>
      <c r="I180" t="n">
        <v>0</v>
      </c>
      <c r="J180" t="n">
        <v>0</v>
      </c>
      <c r="K180" t="n">
        <v>0</v>
      </c>
      <c r="L180" t="n">
        <v>0</v>
      </c>
      <c r="M180" t="n">
        <v>0</v>
      </c>
      <c r="N180" t="n">
        <v>0</v>
      </c>
      <c r="O180" t="n">
        <v>0</v>
      </c>
      <c r="P180" t="n">
        <v>0</v>
      </c>
      <c r="Q180" t="n">
        <v>0</v>
      </c>
      <c r="R180" s="2" t="inlineStr"/>
    </row>
    <row r="181" ht="15" customHeight="1">
      <c r="A181" t="inlineStr">
        <is>
          <t>A 42142-2019</t>
        </is>
      </c>
      <c r="B181" s="1" t="n">
        <v>43703</v>
      </c>
      <c r="C181" s="1" t="n">
        <v>45765</v>
      </c>
      <c r="D181" t="inlineStr">
        <is>
          <t>KALMAR LÄN</t>
        </is>
      </c>
      <c r="E181" t="inlineStr">
        <is>
          <t>VIMMERBY</t>
        </is>
      </c>
      <c r="G181" t="n">
        <v>3.3</v>
      </c>
      <c r="H181" t="n">
        <v>0</v>
      </c>
      <c r="I181" t="n">
        <v>0</v>
      </c>
      <c r="J181" t="n">
        <v>0</v>
      </c>
      <c r="K181" t="n">
        <v>0</v>
      </c>
      <c r="L181" t="n">
        <v>0</v>
      </c>
      <c r="M181" t="n">
        <v>0</v>
      </c>
      <c r="N181" t="n">
        <v>0</v>
      </c>
      <c r="O181" t="n">
        <v>0</v>
      </c>
      <c r="P181" t="n">
        <v>0</v>
      </c>
      <c r="Q181" t="n">
        <v>0</v>
      </c>
      <c r="R181" s="2" t="inlineStr"/>
    </row>
    <row r="182" ht="15" customHeight="1">
      <c r="A182" t="inlineStr">
        <is>
          <t>A 42759-2019</t>
        </is>
      </c>
      <c r="B182" s="1" t="n">
        <v>43704</v>
      </c>
      <c r="C182" s="1" t="n">
        <v>45765</v>
      </c>
      <c r="D182" t="inlineStr">
        <is>
          <t>KALMAR LÄN</t>
        </is>
      </c>
      <c r="E182" t="inlineStr">
        <is>
          <t>VIMMERBY</t>
        </is>
      </c>
      <c r="G182" t="n">
        <v>4.6</v>
      </c>
      <c r="H182" t="n">
        <v>0</v>
      </c>
      <c r="I182" t="n">
        <v>0</v>
      </c>
      <c r="J182" t="n">
        <v>0</v>
      </c>
      <c r="K182" t="n">
        <v>0</v>
      </c>
      <c r="L182" t="n">
        <v>0</v>
      </c>
      <c r="M182" t="n">
        <v>0</v>
      </c>
      <c r="N182" t="n">
        <v>0</v>
      </c>
      <c r="O182" t="n">
        <v>0</v>
      </c>
      <c r="P182" t="n">
        <v>0</v>
      </c>
      <c r="Q182" t="n">
        <v>0</v>
      </c>
      <c r="R182" s="2" t="inlineStr"/>
    </row>
    <row r="183" ht="15" customHeight="1">
      <c r="A183" t="inlineStr">
        <is>
          <t>A 42758-2019</t>
        </is>
      </c>
      <c r="B183" s="1" t="n">
        <v>43704</v>
      </c>
      <c r="C183" s="1" t="n">
        <v>45765</v>
      </c>
      <c r="D183" t="inlineStr">
        <is>
          <t>KALMAR LÄN</t>
        </is>
      </c>
      <c r="E183" t="inlineStr">
        <is>
          <t>VIMMERBY</t>
        </is>
      </c>
      <c r="G183" t="n">
        <v>6.2</v>
      </c>
      <c r="H183" t="n">
        <v>0</v>
      </c>
      <c r="I183" t="n">
        <v>0</v>
      </c>
      <c r="J183" t="n">
        <v>0</v>
      </c>
      <c r="K183" t="n">
        <v>0</v>
      </c>
      <c r="L183" t="n">
        <v>0</v>
      </c>
      <c r="M183" t="n">
        <v>0</v>
      </c>
      <c r="N183" t="n">
        <v>0</v>
      </c>
      <c r="O183" t="n">
        <v>0</v>
      </c>
      <c r="P183" t="n">
        <v>0</v>
      </c>
      <c r="Q183" t="n">
        <v>0</v>
      </c>
      <c r="R183" s="2" t="inlineStr"/>
    </row>
    <row r="184" ht="15" customHeight="1">
      <c r="A184" t="inlineStr">
        <is>
          <t>A 42947-2019</t>
        </is>
      </c>
      <c r="B184" s="1" t="n">
        <v>43705</v>
      </c>
      <c r="C184" s="1" t="n">
        <v>45765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42972-2019</t>
        </is>
      </c>
      <c r="B185" s="1" t="n">
        <v>43705</v>
      </c>
      <c r="C185" s="1" t="n">
        <v>45765</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44202-2019</t>
        </is>
      </c>
      <c r="B186" s="1" t="n">
        <v>43710</v>
      </c>
      <c r="C186" s="1" t="n">
        <v>45765</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44630-2019</t>
        </is>
      </c>
      <c r="B187" s="1" t="n">
        <v>43712</v>
      </c>
      <c r="C187" s="1" t="n">
        <v>45765</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45446-2019</t>
        </is>
      </c>
      <c r="B188" s="1" t="n">
        <v>43714</v>
      </c>
      <c r="C188" s="1" t="n">
        <v>45765</v>
      </c>
      <c r="D188" t="inlineStr">
        <is>
          <t>KALMAR LÄN</t>
        </is>
      </c>
      <c r="E188" t="inlineStr">
        <is>
          <t>VIMMERBY</t>
        </is>
      </c>
      <c r="G188" t="n">
        <v>3.8</v>
      </c>
      <c r="H188" t="n">
        <v>0</v>
      </c>
      <c r="I188" t="n">
        <v>0</v>
      </c>
      <c r="J188" t="n">
        <v>0</v>
      </c>
      <c r="K188" t="n">
        <v>0</v>
      </c>
      <c r="L188" t="n">
        <v>0</v>
      </c>
      <c r="M188" t="n">
        <v>0</v>
      </c>
      <c r="N188" t="n">
        <v>0</v>
      </c>
      <c r="O188" t="n">
        <v>0</v>
      </c>
      <c r="P188" t="n">
        <v>0</v>
      </c>
      <c r="Q188" t="n">
        <v>0</v>
      </c>
      <c r="R188" s="2" t="inlineStr"/>
    </row>
    <row r="189" ht="15" customHeight="1">
      <c r="A189" t="inlineStr">
        <is>
          <t>A 45413-2019</t>
        </is>
      </c>
      <c r="B189" s="1" t="n">
        <v>43714</v>
      </c>
      <c r="C189" s="1" t="n">
        <v>45765</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45515-2019</t>
        </is>
      </c>
      <c r="B190" s="1" t="n">
        <v>43714</v>
      </c>
      <c r="C190" s="1" t="n">
        <v>45765</v>
      </c>
      <c r="D190" t="inlineStr">
        <is>
          <t>KALMAR LÄN</t>
        </is>
      </c>
      <c r="E190" t="inlineStr">
        <is>
          <t>VIMMERBY</t>
        </is>
      </c>
      <c r="G190" t="n">
        <v>2.4</v>
      </c>
      <c r="H190" t="n">
        <v>0</v>
      </c>
      <c r="I190" t="n">
        <v>0</v>
      </c>
      <c r="J190" t="n">
        <v>0</v>
      </c>
      <c r="K190" t="n">
        <v>0</v>
      </c>
      <c r="L190" t="n">
        <v>0</v>
      </c>
      <c r="M190" t="n">
        <v>0</v>
      </c>
      <c r="N190" t="n">
        <v>0</v>
      </c>
      <c r="O190" t="n">
        <v>0</v>
      </c>
      <c r="P190" t="n">
        <v>0</v>
      </c>
      <c r="Q190" t="n">
        <v>0</v>
      </c>
      <c r="R190" s="2" t="inlineStr"/>
    </row>
    <row r="191" ht="15" customHeight="1">
      <c r="A191" t="inlineStr">
        <is>
          <t>A 46242-2019</t>
        </is>
      </c>
      <c r="B191" s="1" t="n">
        <v>43718</v>
      </c>
      <c r="C191" s="1" t="n">
        <v>45765</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46845-2019</t>
        </is>
      </c>
      <c r="B192" s="1" t="n">
        <v>43718</v>
      </c>
      <c r="C192" s="1" t="n">
        <v>45765</v>
      </c>
      <c r="D192" t="inlineStr">
        <is>
          <t>KALMAR LÄN</t>
        </is>
      </c>
      <c r="E192" t="inlineStr">
        <is>
          <t>VIMMERBY</t>
        </is>
      </c>
      <c r="G192" t="n">
        <v>2</v>
      </c>
      <c r="H192" t="n">
        <v>0</v>
      </c>
      <c r="I192" t="n">
        <v>0</v>
      </c>
      <c r="J192" t="n">
        <v>0</v>
      </c>
      <c r="K192" t="n">
        <v>0</v>
      </c>
      <c r="L192" t="n">
        <v>0</v>
      </c>
      <c r="M192" t="n">
        <v>0</v>
      </c>
      <c r="N192" t="n">
        <v>0</v>
      </c>
      <c r="O192" t="n">
        <v>0</v>
      </c>
      <c r="P192" t="n">
        <v>0</v>
      </c>
      <c r="Q192" t="n">
        <v>0</v>
      </c>
      <c r="R192" s="2" t="inlineStr"/>
    </row>
    <row r="193" ht="15" customHeight="1">
      <c r="A193" t="inlineStr">
        <is>
          <t>A 46291-2019</t>
        </is>
      </c>
      <c r="B193" s="1" t="n">
        <v>43718</v>
      </c>
      <c r="C193" s="1" t="n">
        <v>45765</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47187-2019</t>
        </is>
      </c>
      <c r="B194" s="1" t="n">
        <v>43719</v>
      </c>
      <c r="C194" s="1" t="n">
        <v>45765</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46619-2019</t>
        </is>
      </c>
      <c r="B195" s="1" t="n">
        <v>43719</v>
      </c>
      <c r="C195" s="1" t="n">
        <v>45765</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46988-2019</t>
        </is>
      </c>
      <c r="B196" s="1" t="n">
        <v>43720</v>
      </c>
      <c r="C196" s="1" t="n">
        <v>45765</v>
      </c>
      <c r="D196" t="inlineStr">
        <is>
          <t>KALMAR LÄN</t>
        </is>
      </c>
      <c r="E196" t="inlineStr">
        <is>
          <t>VIMMERBY</t>
        </is>
      </c>
      <c r="F196" t="inlineStr">
        <is>
          <t>Kommuner</t>
        </is>
      </c>
      <c r="G196" t="n">
        <v>0.5</v>
      </c>
      <c r="H196" t="n">
        <v>0</v>
      </c>
      <c r="I196" t="n">
        <v>0</v>
      </c>
      <c r="J196" t="n">
        <v>0</v>
      </c>
      <c r="K196" t="n">
        <v>0</v>
      </c>
      <c r="L196" t="n">
        <v>0</v>
      </c>
      <c r="M196" t="n">
        <v>0</v>
      </c>
      <c r="N196" t="n">
        <v>0</v>
      </c>
      <c r="O196" t="n">
        <v>0</v>
      </c>
      <c r="P196" t="n">
        <v>0</v>
      </c>
      <c r="Q196" t="n">
        <v>0</v>
      </c>
      <c r="R196" s="2" t="inlineStr"/>
    </row>
    <row r="197" ht="15" customHeight="1">
      <c r="A197" t="inlineStr">
        <is>
          <t>A 48029-2019</t>
        </is>
      </c>
      <c r="B197" s="1" t="n">
        <v>43725</v>
      </c>
      <c r="C197" s="1" t="n">
        <v>45765</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48051-2019</t>
        </is>
      </c>
      <c r="B198" s="1" t="n">
        <v>43725</v>
      </c>
      <c r="C198" s="1" t="n">
        <v>45765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48164-2019</t>
        </is>
      </c>
      <c r="B199" s="1" t="n">
        <v>43726</v>
      </c>
      <c r="C199" s="1" t="n">
        <v>45765</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48381-2019</t>
        </is>
      </c>
      <c r="B200" s="1" t="n">
        <v>43726</v>
      </c>
      <c r="C200" s="1" t="n">
        <v>45765</v>
      </c>
      <c r="D200" t="inlineStr">
        <is>
          <t>KALMAR LÄN</t>
        </is>
      </c>
      <c r="E200" t="inlineStr">
        <is>
          <t>VIMMERBY</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48380-2019</t>
        </is>
      </c>
      <c r="B201" s="1" t="n">
        <v>43726</v>
      </c>
      <c r="C201" s="1" t="n">
        <v>45765</v>
      </c>
      <c r="D201" t="inlineStr">
        <is>
          <t>KALMAR LÄN</t>
        </is>
      </c>
      <c r="E201" t="inlineStr">
        <is>
          <t>VIMMERBY</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48834-2019</t>
        </is>
      </c>
      <c r="B202" s="1" t="n">
        <v>43728</v>
      </c>
      <c r="C202" s="1" t="n">
        <v>45765</v>
      </c>
      <c r="D202" t="inlineStr">
        <is>
          <t>KALMAR LÄN</t>
        </is>
      </c>
      <c r="E202" t="inlineStr">
        <is>
          <t>VIMMERBY</t>
        </is>
      </c>
      <c r="G202" t="n">
        <v>5.3</v>
      </c>
      <c r="H202" t="n">
        <v>0</v>
      </c>
      <c r="I202" t="n">
        <v>0</v>
      </c>
      <c r="J202" t="n">
        <v>0</v>
      </c>
      <c r="K202" t="n">
        <v>0</v>
      </c>
      <c r="L202" t="n">
        <v>0</v>
      </c>
      <c r="M202" t="n">
        <v>0</v>
      </c>
      <c r="N202" t="n">
        <v>0</v>
      </c>
      <c r="O202" t="n">
        <v>0</v>
      </c>
      <c r="P202" t="n">
        <v>0</v>
      </c>
      <c r="Q202" t="n">
        <v>0</v>
      </c>
      <c r="R202" s="2" t="inlineStr"/>
    </row>
    <row r="203" ht="15" customHeight="1">
      <c r="A203" t="inlineStr">
        <is>
          <t>A 48921-2019</t>
        </is>
      </c>
      <c r="B203" s="1" t="n">
        <v>43728</v>
      </c>
      <c r="C203" s="1" t="n">
        <v>45765</v>
      </c>
      <c r="D203" t="inlineStr">
        <is>
          <t>KALMAR LÄN</t>
        </is>
      </c>
      <c r="E203" t="inlineStr">
        <is>
          <t>VIMMERBY</t>
        </is>
      </c>
      <c r="G203" t="n">
        <v>1.7</v>
      </c>
      <c r="H203" t="n">
        <v>0</v>
      </c>
      <c r="I203" t="n">
        <v>0</v>
      </c>
      <c r="J203" t="n">
        <v>0</v>
      </c>
      <c r="K203" t="n">
        <v>0</v>
      </c>
      <c r="L203" t="n">
        <v>0</v>
      </c>
      <c r="M203" t="n">
        <v>0</v>
      </c>
      <c r="N203" t="n">
        <v>0</v>
      </c>
      <c r="O203" t="n">
        <v>0</v>
      </c>
      <c r="P203" t="n">
        <v>0</v>
      </c>
      <c r="Q203" t="n">
        <v>0</v>
      </c>
      <c r="R203" s="2" t="inlineStr"/>
    </row>
    <row r="204" ht="15" customHeight="1">
      <c r="A204" t="inlineStr">
        <is>
          <t>A 49212-2019</t>
        </is>
      </c>
      <c r="B204" s="1" t="n">
        <v>43731</v>
      </c>
      <c r="C204" s="1" t="n">
        <v>45765</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49208-2019</t>
        </is>
      </c>
      <c r="B205" s="1" t="n">
        <v>43731</v>
      </c>
      <c r="C205" s="1" t="n">
        <v>45765</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49206-2019</t>
        </is>
      </c>
      <c r="B206" s="1" t="n">
        <v>43731</v>
      </c>
      <c r="C206" s="1" t="n">
        <v>45765</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49741-2019</t>
        </is>
      </c>
      <c r="B207" s="1" t="n">
        <v>43733</v>
      </c>
      <c r="C207" s="1" t="n">
        <v>45765</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49760-2019</t>
        </is>
      </c>
      <c r="B208" s="1" t="n">
        <v>43733</v>
      </c>
      <c r="C208" s="1" t="n">
        <v>45765</v>
      </c>
      <c r="D208" t="inlineStr">
        <is>
          <t>KALMAR LÄN</t>
        </is>
      </c>
      <c r="E208" t="inlineStr">
        <is>
          <t>VIMMERBY</t>
        </is>
      </c>
      <c r="G208" t="n">
        <v>2.3</v>
      </c>
      <c r="H208" t="n">
        <v>0</v>
      </c>
      <c r="I208" t="n">
        <v>0</v>
      </c>
      <c r="J208" t="n">
        <v>0</v>
      </c>
      <c r="K208" t="n">
        <v>0</v>
      </c>
      <c r="L208" t="n">
        <v>0</v>
      </c>
      <c r="M208" t="n">
        <v>0</v>
      </c>
      <c r="N208" t="n">
        <v>0</v>
      </c>
      <c r="O208" t="n">
        <v>0</v>
      </c>
      <c r="P208" t="n">
        <v>0</v>
      </c>
      <c r="Q208" t="n">
        <v>0</v>
      </c>
      <c r="R208" s="2" t="inlineStr"/>
    </row>
    <row r="209" ht="15" customHeight="1">
      <c r="A209" t="inlineStr">
        <is>
          <t>A 49747-2019</t>
        </is>
      </c>
      <c r="B209" s="1" t="n">
        <v>43733</v>
      </c>
      <c r="C209" s="1" t="n">
        <v>45765</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49855-2019</t>
        </is>
      </c>
      <c r="B210" s="1" t="n">
        <v>43733</v>
      </c>
      <c r="C210" s="1" t="n">
        <v>45765</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49871-2019</t>
        </is>
      </c>
      <c r="B211" s="1" t="n">
        <v>43733</v>
      </c>
      <c r="C211" s="1" t="n">
        <v>45765</v>
      </c>
      <c r="D211" t="inlineStr">
        <is>
          <t>KALMAR LÄN</t>
        </is>
      </c>
      <c r="E211" t="inlineStr">
        <is>
          <t>VIMMERBY</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49880-2019</t>
        </is>
      </c>
      <c r="B212" s="1" t="n">
        <v>43733</v>
      </c>
      <c r="C212" s="1" t="n">
        <v>45765</v>
      </c>
      <c r="D212" t="inlineStr">
        <is>
          <t>KALMAR LÄN</t>
        </is>
      </c>
      <c r="E212" t="inlineStr">
        <is>
          <t>VIMMERBY</t>
        </is>
      </c>
      <c r="F212" t="inlineStr">
        <is>
          <t>Sveaskog</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49885-2019</t>
        </is>
      </c>
      <c r="B213" s="1" t="n">
        <v>43733</v>
      </c>
      <c r="C213" s="1" t="n">
        <v>45765</v>
      </c>
      <c r="D213" t="inlineStr">
        <is>
          <t>KALMAR LÄN</t>
        </is>
      </c>
      <c r="E213" t="inlineStr">
        <is>
          <t>VIMMERBY</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49901-2019</t>
        </is>
      </c>
      <c r="B214" s="1" t="n">
        <v>43733</v>
      </c>
      <c r="C214" s="1" t="n">
        <v>45765</v>
      </c>
      <c r="D214" t="inlineStr">
        <is>
          <t>KALMAR LÄN</t>
        </is>
      </c>
      <c r="E214" t="inlineStr">
        <is>
          <t>VIMMERBY</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49891-2019</t>
        </is>
      </c>
      <c r="B215" s="1" t="n">
        <v>43733</v>
      </c>
      <c r="C215" s="1" t="n">
        <v>45765</v>
      </c>
      <c r="D215" t="inlineStr">
        <is>
          <t>KALMAR LÄN</t>
        </is>
      </c>
      <c r="E215" t="inlineStr">
        <is>
          <t>VIMMERBY</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49695-2019</t>
        </is>
      </c>
      <c r="B216" s="1" t="n">
        <v>43733</v>
      </c>
      <c r="C216" s="1" t="n">
        <v>45765</v>
      </c>
      <c r="D216" t="inlineStr">
        <is>
          <t>KALMAR LÄN</t>
        </is>
      </c>
      <c r="E216" t="inlineStr">
        <is>
          <t>VIMMERBY</t>
        </is>
      </c>
      <c r="G216" t="n">
        <v>4.6</v>
      </c>
      <c r="H216" t="n">
        <v>0</v>
      </c>
      <c r="I216" t="n">
        <v>0</v>
      </c>
      <c r="J216" t="n">
        <v>0</v>
      </c>
      <c r="K216" t="n">
        <v>0</v>
      </c>
      <c r="L216" t="n">
        <v>0</v>
      </c>
      <c r="M216" t="n">
        <v>0</v>
      </c>
      <c r="N216" t="n">
        <v>0</v>
      </c>
      <c r="O216" t="n">
        <v>0</v>
      </c>
      <c r="P216" t="n">
        <v>0</v>
      </c>
      <c r="Q216" t="n">
        <v>0</v>
      </c>
      <c r="R216" s="2" t="inlineStr"/>
    </row>
    <row r="217" ht="15" customHeight="1">
      <c r="A217" t="inlineStr">
        <is>
          <t>A 50214-2019</t>
        </is>
      </c>
      <c r="B217" s="1" t="n">
        <v>43734</v>
      </c>
      <c r="C217" s="1" t="n">
        <v>45765</v>
      </c>
      <c r="D217" t="inlineStr">
        <is>
          <t>KALMAR LÄN</t>
        </is>
      </c>
      <c r="E217" t="inlineStr">
        <is>
          <t>VIMMERBY</t>
        </is>
      </c>
      <c r="G217" t="n">
        <v>0.5</v>
      </c>
      <c r="H217" t="n">
        <v>0</v>
      </c>
      <c r="I217" t="n">
        <v>0</v>
      </c>
      <c r="J217" t="n">
        <v>0</v>
      </c>
      <c r="K217" t="n">
        <v>0</v>
      </c>
      <c r="L217" t="n">
        <v>0</v>
      </c>
      <c r="M217" t="n">
        <v>0</v>
      </c>
      <c r="N217" t="n">
        <v>0</v>
      </c>
      <c r="O217" t="n">
        <v>0</v>
      </c>
      <c r="P217" t="n">
        <v>0</v>
      </c>
      <c r="Q217" t="n">
        <v>0</v>
      </c>
      <c r="R217" s="2" t="inlineStr"/>
    </row>
    <row r="218" ht="15" customHeight="1">
      <c r="A218" t="inlineStr">
        <is>
          <t>A 50317-2019</t>
        </is>
      </c>
      <c r="B218" s="1" t="n">
        <v>43735</v>
      </c>
      <c r="C218" s="1" t="n">
        <v>45765</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50761-2019</t>
        </is>
      </c>
      <c r="B219" s="1" t="n">
        <v>43738</v>
      </c>
      <c r="C219" s="1" t="n">
        <v>45765</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51273-2019</t>
        </is>
      </c>
      <c r="B220" s="1" t="n">
        <v>43739</v>
      </c>
      <c r="C220" s="1" t="n">
        <v>45765</v>
      </c>
      <c r="D220" t="inlineStr">
        <is>
          <t>KALMAR LÄN</t>
        </is>
      </c>
      <c r="E220" t="inlineStr">
        <is>
          <t>VIMMERBY</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51277-2019</t>
        </is>
      </c>
      <c r="B221" s="1" t="n">
        <v>43739</v>
      </c>
      <c r="C221" s="1" t="n">
        <v>45765</v>
      </c>
      <c r="D221" t="inlineStr">
        <is>
          <t>KALMAR LÄN</t>
        </is>
      </c>
      <c r="E221" t="inlineStr">
        <is>
          <t>VIMMERBY</t>
        </is>
      </c>
      <c r="F221" t="inlineStr">
        <is>
          <t>Sveaskog</t>
        </is>
      </c>
      <c r="G221" t="n">
        <v>7.9</v>
      </c>
      <c r="H221" t="n">
        <v>0</v>
      </c>
      <c r="I221" t="n">
        <v>0</v>
      </c>
      <c r="J221" t="n">
        <v>0</v>
      </c>
      <c r="K221" t="n">
        <v>0</v>
      </c>
      <c r="L221" t="n">
        <v>0</v>
      </c>
      <c r="M221" t="n">
        <v>0</v>
      </c>
      <c r="N221" t="n">
        <v>0</v>
      </c>
      <c r="O221" t="n">
        <v>0</v>
      </c>
      <c r="P221" t="n">
        <v>0</v>
      </c>
      <c r="Q221" t="n">
        <v>0</v>
      </c>
      <c r="R221" s="2" t="inlineStr"/>
    </row>
    <row r="222" ht="15" customHeight="1">
      <c r="A222" t="inlineStr">
        <is>
          <t>A 51362-2019</t>
        </is>
      </c>
      <c r="B222" s="1" t="n">
        <v>43740</v>
      </c>
      <c r="C222" s="1" t="n">
        <v>45765</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51552-2019</t>
        </is>
      </c>
      <c r="B223" s="1" t="n">
        <v>43740</v>
      </c>
      <c r="C223" s="1" t="n">
        <v>45765</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51719-2019</t>
        </is>
      </c>
      <c r="B224" s="1" t="n">
        <v>43741</v>
      </c>
      <c r="C224" s="1" t="n">
        <v>45765</v>
      </c>
      <c r="D224" t="inlineStr">
        <is>
          <t>KALMAR LÄN</t>
        </is>
      </c>
      <c r="E224" t="inlineStr">
        <is>
          <t>VIMMERBY</t>
        </is>
      </c>
      <c r="G224" t="n">
        <v>3</v>
      </c>
      <c r="H224" t="n">
        <v>0</v>
      </c>
      <c r="I224" t="n">
        <v>0</v>
      </c>
      <c r="J224" t="n">
        <v>0</v>
      </c>
      <c r="K224" t="n">
        <v>0</v>
      </c>
      <c r="L224" t="n">
        <v>0</v>
      </c>
      <c r="M224" t="n">
        <v>0</v>
      </c>
      <c r="N224" t="n">
        <v>0</v>
      </c>
      <c r="O224" t="n">
        <v>0</v>
      </c>
      <c r="P224" t="n">
        <v>0</v>
      </c>
      <c r="Q224" t="n">
        <v>0</v>
      </c>
      <c r="R224" s="2" t="inlineStr"/>
    </row>
    <row r="225" ht="15" customHeight="1">
      <c r="A225" t="inlineStr">
        <is>
          <t>A 52173-2019</t>
        </is>
      </c>
      <c r="B225" s="1" t="n">
        <v>43742</v>
      </c>
      <c r="C225" s="1" t="n">
        <v>45765</v>
      </c>
      <c r="D225" t="inlineStr">
        <is>
          <t>KALMAR LÄN</t>
        </is>
      </c>
      <c r="E225" t="inlineStr">
        <is>
          <t>VIMMERBY</t>
        </is>
      </c>
      <c r="G225" t="n">
        <v>3.9</v>
      </c>
      <c r="H225" t="n">
        <v>0</v>
      </c>
      <c r="I225" t="n">
        <v>0</v>
      </c>
      <c r="J225" t="n">
        <v>0</v>
      </c>
      <c r="K225" t="n">
        <v>0</v>
      </c>
      <c r="L225" t="n">
        <v>0</v>
      </c>
      <c r="M225" t="n">
        <v>0</v>
      </c>
      <c r="N225" t="n">
        <v>0</v>
      </c>
      <c r="O225" t="n">
        <v>0</v>
      </c>
      <c r="P225" t="n">
        <v>0</v>
      </c>
      <c r="Q225" t="n">
        <v>0</v>
      </c>
      <c r="R225" s="2" t="inlineStr"/>
    </row>
    <row r="226" ht="15" customHeight="1">
      <c r="A226" t="inlineStr">
        <is>
          <t>A 52356-2019</t>
        </is>
      </c>
      <c r="B226" s="1" t="n">
        <v>43745</v>
      </c>
      <c r="C226" s="1" t="n">
        <v>45765</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52909-2019</t>
        </is>
      </c>
      <c r="B227" s="1" t="n">
        <v>43746</v>
      </c>
      <c r="C227" s="1" t="n">
        <v>45765</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52908-2019</t>
        </is>
      </c>
      <c r="B228" s="1" t="n">
        <v>43746</v>
      </c>
      <c r="C228" s="1" t="n">
        <v>45765</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52780-2019</t>
        </is>
      </c>
      <c r="B229" s="1" t="n">
        <v>43746</v>
      </c>
      <c r="C229" s="1" t="n">
        <v>45765</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53691-2019</t>
        </is>
      </c>
      <c r="B230" s="1" t="n">
        <v>43749</v>
      </c>
      <c r="C230" s="1" t="n">
        <v>45765</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54593-2019</t>
        </is>
      </c>
      <c r="B231" s="1" t="n">
        <v>43754</v>
      </c>
      <c r="C231" s="1" t="n">
        <v>45765</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54794-2019</t>
        </is>
      </c>
      <c r="B232" s="1" t="n">
        <v>43755</v>
      </c>
      <c r="C232" s="1" t="n">
        <v>45765</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55757-2019</t>
        </is>
      </c>
      <c r="B233" s="1" t="n">
        <v>43759</v>
      </c>
      <c r="C233" s="1" t="n">
        <v>45765</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57998-2019</t>
        </is>
      </c>
      <c r="B234" s="1" t="n">
        <v>43762</v>
      </c>
      <c r="C234" s="1" t="n">
        <v>45765</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57509-2019</t>
        </is>
      </c>
      <c r="B235" s="1" t="n">
        <v>43767</v>
      </c>
      <c r="C235" s="1" t="n">
        <v>45765</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57886-2019</t>
        </is>
      </c>
      <c r="B236" s="1" t="n">
        <v>43768</v>
      </c>
      <c r="C236" s="1" t="n">
        <v>45765</v>
      </c>
      <c r="D236" t="inlineStr">
        <is>
          <t>KALMAR LÄN</t>
        </is>
      </c>
      <c r="E236" t="inlineStr">
        <is>
          <t>VIMMERBY</t>
        </is>
      </c>
      <c r="G236" t="n">
        <v>1.3</v>
      </c>
      <c r="H236" t="n">
        <v>0</v>
      </c>
      <c r="I236" t="n">
        <v>0</v>
      </c>
      <c r="J236" t="n">
        <v>0</v>
      </c>
      <c r="K236" t="n">
        <v>0</v>
      </c>
      <c r="L236" t="n">
        <v>0</v>
      </c>
      <c r="M236" t="n">
        <v>0</v>
      </c>
      <c r="N236" t="n">
        <v>0</v>
      </c>
      <c r="O236" t="n">
        <v>0</v>
      </c>
      <c r="P236" t="n">
        <v>0</v>
      </c>
      <c r="Q236" t="n">
        <v>0</v>
      </c>
      <c r="R236" s="2" t="inlineStr"/>
    </row>
    <row r="237" ht="15" customHeight="1">
      <c r="A237" t="inlineStr">
        <is>
          <t>A 59256-2019</t>
        </is>
      </c>
      <c r="B237" s="1" t="n">
        <v>43773</v>
      </c>
      <c r="C237" s="1" t="n">
        <v>45765</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58812-2019</t>
        </is>
      </c>
      <c r="B238" s="1" t="n">
        <v>43774</v>
      </c>
      <c r="C238" s="1" t="n">
        <v>45765</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60253-2019</t>
        </is>
      </c>
      <c r="B239" s="1" t="n">
        <v>43780</v>
      </c>
      <c r="C239" s="1" t="n">
        <v>45765</v>
      </c>
      <c r="D239" t="inlineStr">
        <is>
          <t>KALMAR LÄN</t>
        </is>
      </c>
      <c r="E239" t="inlineStr">
        <is>
          <t>VIMMERBY</t>
        </is>
      </c>
      <c r="G239" t="n">
        <v>4.4</v>
      </c>
      <c r="H239" t="n">
        <v>0</v>
      </c>
      <c r="I239" t="n">
        <v>0</v>
      </c>
      <c r="J239" t="n">
        <v>0</v>
      </c>
      <c r="K239" t="n">
        <v>0</v>
      </c>
      <c r="L239" t="n">
        <v>0</v>
      </c>
      <c r="M239" t="n">
        <v>0</v>
      </c>
      <c r="N239" t="n">
        <v>0</v>
      </c>
      <c r="O239" t="n">
        <v>0</v>
      </c>
      <c r="P239" t="n">
        <v>0</v>
      </c>
      <c r="Q239" t="n">
        <v>0</v>
      </c>
      <c r="R239" s="2" t="inlineStr"/>
    </row>
    <row r="240" ht="15" customHeight="1">
      <c r="A240" t="inlineStr">
        <is>
          <t>A 60673-2019</t>
        </is>
      </c>
      <c r="B240" s="1" t="n">
        <v>43781</v>
      </c>
      <c r="C240" s="1" t="n">
        <v>45765</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60802-2019</t>
        </is>
      </c>
      <c r="B241" s="1" t="n">
        <v>43781</v>
      </c>
      <c r="C241" s="1" t="n">
        <v>45765</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61049-2019</t>
        </is>
      </c>
      <c r="B242" s="1" t="n">
        <v>43782</v>
      </c>
      <c r="C242" s="1" t="n">
        <v>45765</v>
      </c>
      <c r="D242" t="inlineStr">
        <is>
          <t>KALMAR LÄN</t>
        </is>
      </c>
      <c r="E242" t="inlineStr">
        <is>
          <t>VIMMERBY</t>
        </is>
      </c>
      <c r="G242" t="n">
        <v>4.1</v>
      </c>
      <c r="H242" t="n">
        <v>0</v>
      </c>
      <c r="I242" t="n">
        <v>0</v>
      </c>
      <c r="J242" t="n">
        <v>0</v>
      </c>
      <c r="K242" t="n">
        <v>0</v>
      </c>
      <c r="L242" t="n">
        <v>0</v>
      </c>
      <c r="M242" t="n">
        <v>0</v>
      </c>
      <c r="N242" t="n">
        <v>0</v>
      </c>
      <c r="O242" t="n">
        <v>0</v>
      </c>
      <c r="P242" t="n">
        <v>0</v>
      </c>
      <c r="Q242" t="n">
        <v>0</v>
      </c>
      <c r="R242" s="2" t="inlineStr"/>
    </row>
    <row r="243" ht="15" customHeight="1">
      <c r="A243" t="inlineStr">
        <is>
          <t>A 63362-2019</t>
        </is>
      </c>
      <c r="B243" s="1" t="n">
        <v>43787</v>
      </c>
      <c r="C243" s="1" t="n">
        <v>45765</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62625-2019</t>
        </is>
      </c>
      <c r="B244" s="1" t="n">
        <v>43789</v>
      </c>
      <c r="C244" s="1" t="n">
        <v>45765</v>
      </c>
      <c r="D244" t="inlineStr">
        <is>
          <t>KALMAR LÄN</t>
        </is>
      </c>
      <c r="E244" t="inlineStr">
        <is>
          <t>VIMMERBY</t>
        </is>
      </c>
      <c r="F244" t="inlineStr">
        <is>
          <t>Övriga Aktiebolag</t>
        </is>
      </c>
      <c r="G244" t="n">
        <v>8.1</v>
      </c>
      <c r="H244" t="n">
        <v>0</v>
      </c>
      <c r="I244" t="n">
        <v>0</v>
      </c>
      <c r="J244" t="n">
        <v>0</v>
      </c>
      <c r="K244" t="n">
        <v>0</v>
      </c>
      <c r="L244" t="n">
        <v>0</v>
      </c>
      <c r="M244" t="n">
        <v>0</v>
      </c>
      <c r="N244" t="n">
        <v>0</v>
      </c>
      <c r="O244" t="n">
        <v>0</v>
      </c>
      <c r="P244" t="n">
        <v>0</v>
      </c>
      <c r="Q244" t="n">
        <v>0</v>
      </c>
      <c r="R244" s="2" t="inlineStr"/>
    </row>
    <row r="245" ht="15" customHeight="1">
      <c r="A245" t="inlineStr">
        <is>
          <t>A 63029-2019</t>
        </is>
      </c>
      <c r="B245" s="1" t="n">
        <v>43791</v>
      </c>
      <c r="C245" s="1" t="n">
        <v>45765</v>
      </c>
      <c r="D245" t="inlineStr">
        <is>
          <t>KALMAR LÄN</t>
        </is>
      </c>
      <c r="E245" t="inlineStr">
        <is>
          <t>VIMMERBY</t>
        </is>
      </c>
      <c r="F245" t="inlineStr">
        <is>
          <t>Kyrkan</t>
        </is>
      </c>
      <c r="G245" t="n">
        <v>3.1</v>
      </c>
      <c r="H245" t="n">
        <v>0</v>
      </c>
      <c r="I245" t="n">
        <v>0</v>
      </c>
      <c r="J245" t="n">
        <v>0</v>
      </c>
      <c r="K245" t="n">
        <v>0</v>
      </c>
      <c r="L245" t="n">
        <v>0</v>
      </c>
      <c r="M245" t="n">
        <v>0</v>
      </c>
      <c r="N245" t="n">
        <v>0</v>
      </c>
      <c r="O245" t="n">
        <v>0</v>
      </c>
      <c r="P245" t="n">
        <v>0</v>
      </c>
      <c r="Q245" t="n">
        <v>0</v>
      </c>
      <c r="R245" s="2" t="inlineStr"/>
    </row>
    <row r="246" ht="15" customHeight="1">
      <c r="A246" t="inlineStr">
        <is>
          <t>A 63746-2019</t>
        </is>
      </c>
      <c r="B246" s="1" t="n">
        <v>43795</v>
      </c>
      <c r="C246" s="1" t="n">
        <v>45765</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64119-2019</t>
        </is>
      </c>
      <c r="B247" s="1" t="n">
        <v>43796</v>
      </c>
      <c r="C247" s="1" t="n">
        <v>45765</v>
      </c>
      <c r="D247" t="inlineStr">
        <is>
          <t>KALMAR LÄN</t>
        </is>
      </c>
      <c r="E247" t="inlineStr">
        <is>
          <t>VIMMERBY</t>
        </is>
      </c>
      <c r="G247" t="n">
        <v>4.6</v>
      </c>
      <c r="H247" t="n">
        <v>0</v>
      </c>
      <c r="I247" t="n">
        <v>0</v>
      </c>
      <c r="J247" t="n">
        <v>0</v>
      </c>
      <c r="K247" t="n">
        <v>0</v>
      </c>
      <c r="L247" t="n">
        <v>0</v>
      </c>
      <c r="M247" t="n">
        <v>0</v>
      </c>
      <c r="N247" t="n">
        <v>0</v>
      </c>
      <c r="O247" t="n">
        <v>0</v>
      </c>
      <c r="P247" t="n">
        <v>0</v>
      </c>
      <c r="Q247" t="n">
        <v>0</v>
      </c>
      <c r="R247" s="2" t="inlineStr"/>
    </row>
    <row r="248" ht="15" customHeight="1">
      <c r="A248" t="inlineStr">
        <is>
          <t>A 64345-2019</t>
        </is>
      </c>
      <c r="B248" s="1" t="n">
        <v>43797</v>
      </c>
      <c r="C248" s="1" t="n">
        <v>45765</v>
      </c>
      <c r="D248" t="inlineStr">
        <is>
          <t>KALMAR LÄN</t>
        </is>
      </c>
      <c r="E248" t="inlineStr">
        <is>
          <t>VIMMERBY</t>
        </is>
      </c>
      <c r="G248" t="n">
        <v>0.9</v>
      </c>
      <c r="H248" t="n">
        <v>0</v>
      </c>
      <c r="I248" t="n">
        <v>0</v>
      </c>
      <c r="J248" t="n">
        <v>0</v>
      </c>
      <c r="K248" t="n">
        <v>0</v>
      </c>
      <c r="L248" t="n">
        <v>0</v>
      </c>
      <c r="M248" t="n">
        <v>0</v>
      </c>
      <c r="N248" t="n">
        <v>0</v>
      </c>
      <c r="O248" t="n">
        <v>0</v>
      </c>
      <c r="P248" t="n">
        <v>0</v>
      </c>
      <c r="Q248" t="n">
        <v>0</v>
      </c>
      <c r="R248" s="2" t="inlineStr"/>
    </row>
    <row r="249" ht="15" customHeight="1">
      <c r="A249" t="inlineStr">
        <is>
          <t>A 64334-2019</t>
        </is>
      </c>
      <c r="B249" s="1" t="n">
        <v>43797</v>
      </c>
      <c r="C249" s="1" t="n">
        <v>45765</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65267-2019</t>
        </is>
      </c>
      <c r="B250" s="1" t="n">
        <v>43802</v>
      </c>
      <c r="C250" s="1" t="n">
        <v>45765</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66169-2019</t>
        </is>
      </c>
      <c r="B251" s="1" t="n">
        <v>43808</v>
      </c>
      <c r="C251" s="1" t="n">
        <v>45765</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66172-2019</t>
        </is>
      </c>
      <c r="B252" s="1" t="n">
        <v>43808</v>
      </c>
      <c r="C252" s="1" t="n">
        <v>45765</v>
      </c>
      <c r="D252" t="inlineStr">
        <is>
          <t>KALMAR LÄN</t>
        </is>
      </c>
      <c r="E252" t="inlineStr">
        <is>
          <t>VIMMERBY</t>
        </is>
      </c>
      <c r="G252" t="n">
        <v>3.6</v>
      </c>
      <c r="H252" t="n">
        <v>0</v>
      </c>
      <c r="I252" t="n">
        <v>0</v>
      </c>
      <c r="J252" t="n">
        <v>0</v>
      </c>
      <c r="K252" t="n">
        <v>0</v>
      </c>
      <c r="L252" t="n">
        <v>0</v>
      </c>
      <c r="M252" t="n">
        <v>0</v>
      </c>
      <c r="N252" t="n">
        <v>0</v>
      </c>
      <c r="O252" t="n">
        <v>0</v>
      </c>
      <c r="P252" t="n">
        <v>0</v>
      </c>
      <c r="Q252" t="n">
        <v>0</v>
      </c>
      <c r="R252" s="2" t="inlineStr"/>
    </row>
    <row r="253" ht="15" customHeight="1">
      <c r="A253" t="inlineStr">
        <is>
          <t>A 66151-2019</t>
        </is>
      </c>
      <c r="B253" s="1" t="n">
        <v>43808</v>
      </c>
      <c r="C253" s="1" t="n">
        <v>45765</v>
      </c>
      <c r="D253" t="inlineStr">
        <is>
          <t>KALMAR LÄN</t>
        </is>
      </c>
      <c r="E253" t="inlineStr">
        <is>
          <t>VIMMERBY</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67293-2019</t>
        </is>
      </c>
      <c r="B254" s="1" t="n">
        <v>43812</v>
      </c>
      <c r="C254" s="1" t="n">
        <v>45765</v>
      </c>
      <c r="D254" t="inlineStr">
        <is>
          <t>KALMAR LÄN</t>
        </is>
      </c>
      <c r="E254" t="inlineStr">
        <is>
          <t>VIMMERBY</t>
        </is>
      </c>
      <c r="F254" t="inlineStr">
        <is>
          <t>Kommuner</t>
        </is>
      </c>
      <c r="G254" t="n">
        <v>1.2</v>
      </c>
      <c r="H254" t="n">
        <v>0</v>
      </c>
      <c r="I254" t="n">
        <v>0</v>
      </c>
      <c r="J254" t="n">
        <v>0</v>
      </c>
      <c r="K254" t="n">
        <v>0</v>
      </c>
      <c r="L254" t="n">
        <v>0</v>
      </c>
      <c r="M254" t="n">
        <v>0</v>
      </c>
      <c r="N254" t="n">
        <v>0</v>
      </c>
      <c r="O254" t="n">
        <v>0</v>
      </c>
      <c r="P254" t="n">
        <v>0</v>
      </c>
      <c r="Q254" t="n">
        <v>0</v>
      </c>
      <c r="R254" s="2" t="inlineStr"/>
    </row>
    <row r="255" ht="15" customHeight="1">
      <c r="A255" t="inlineStr">
        <is>
          <t>A 67359-2019</t>
        </is>
      </c>
      <c r="B255" s="1" t="n">
        <v>43812</v>
      </c>
      <c r="C255" s="1" t="n">
        <v>45765</v>
      </c>
      <c r="D255" t="inlineStr">
        <is>
          <t>KALMAR LÄN</t>
        </is>
      </c>
      <c r="E255" t="inlineStr">
        <is>
          <t>VIMMERBY</t>
        </is>
      </c>
      <c r="F255" t="inlineStr">
        <is>
          <t>Kommuner</t>
        </is>
      </c>
      <c r="G255" t="n">
        <v>1</v>
      </c>
      <c r="H255" t="n">
        <v>0</v>
      </c>
      <c r="I255" t="n">
        <v>0</v>
      </c>
      <c r="J255" t="n">
        <v>0</v>
      </c>
      <c r="K255" t="n">
        <v>0</v>
      </c>
      <c r="L255" t="n">
        <v>0</v>
      </c>
      <c r="M255" t="n">
        <v>0</v>
      </c>
      <c r="N255" t="n">
        <v>0</v>
      </c>
      <c r="O255" t="n">
        <v>0</v>
      </c>
      <c r="P255" t="n">
        <v>0</v>
      </c>
      <c r="Q255" t="n">
        <v>0</v>
      </c>
      <c r="R255" s="2" t="inlineStr"/>
    </row>
    <row r="256" ht="15" customHeight="1">
      <c r="A256" t="inlineStr">
        <is>
          <t>A 67346-2019</t>
        </is>
      </c>
      <c r="B256" s="1" t="n">
        <v>43812</v>
      </c>
      <c r="C256" s="1" t="n">
        <v>45765</v>
      </c>
      <c r="D256" t="inlineStr">
        <is>
          <t>KALMAR LÄN</t>
        </is>
      </c>
      <c r="E256" t="inlineStr">
        <is>
          <t>VIMMERBY</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447-2020</t>
        </is>
      </c>
      <c r="B257" s="1" t="n">
        <v>43837</v>
      </c>
      <c r="C257" s="1" t="n">
        <v>45765</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306-2020</t>
        </is>
      </c>
      <c r="B258" s="1" t="n">
        <v>43837</v>
      </c>
      <c r="C258" s="1" t="n">
        <v>45765</v>
      </c>
      <c r="D258" t="inlineStr">
        <is>
          <t>KALMAR LÄN</t>
        </is>
      </c>
      <c r="E258" t="inlineStr">
        <is>
          <t>VIMMERBY</t>
        </is>
      </c>
      <c r="G258" t="n">
        <v>9.9</v>
      </c>
      <c r="H258" t="n">
        <v>0</v>
      </c>
      <c r="I258" t="n">
        <v>0</v>
      </c>
      <c r="J258" t="n">
        <v>0</v>
      </c>
      <c r="K258" t="n">
        <v>0</v>
      </c>
      <c r="L258" t="n">
        <v>0</v>
      </c>
      <c r="M258" t="n">
        <v>0</v>
      </c>
      <c r="N258" t="n">
        <v>0</v>
      </c>
      <c r="O258" t="n">
        <v>0</v>
      </c>
      <c r="P258" t="n">
        <v>0</v>
      </c>
      <c r="Q258" t="n">
        <v>0</v>
      </c>
      <c r="R258" s="2" t="inlineStr"/>
    </row>
    <row r="259" ht="15" customHeight="1">
      <c r="A259" t="inlineStr">
        <is>
          <t>A 593-2020</t>
        </is>
      </c>
      <c r="B259" s="1" t="n">
        <v>43838</v>
      </c>
      <c r="C259" s="1" t="n">
        <v>45765</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2473-2020</t>
        </is>
      </c>
      <c r="B260" s="1" t="n">
        <v>43840</v>
      </c>
      <c r="C260" s="1" t="n">
        <v>45765</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1967-2020</t>
        </is>
      </c>
      <c r="B261" s="1" t="n">
        <v>43845</v>
      </c>
      <c r="C261" s="1" t="n">
        <v>45765</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2070-2020</t>
        </is>
      </c>
      <c r="B262" s="1" t="n">
        <v>43845</v>
      </c>
      <c r="C262" s="1" t="n">
        <v>45765</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3434-2020</t>
        </is>
      </c>
      <c r="B263" s="1" t="n">
        <v>43845</v>
      </c>
      <c r="C263" s="1" t="n">
        <v>45765</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2756-2020</t>
        </is>
      </c>
      <c r="B264" s="1" t="n">
        <v>43850</v>
      </c>
      <c r="C264" s="1" t="n">
        <v>45765</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2856-2020</t>
        </is>
      </c>
      <c r="B265" s="1" t="n">
        <v>43850</v>
      </c>
      <c r="C265" s="1" t="n">
        <v>45765</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3211-2020</t>
        </is>
      </c>
      <c r="B266" s="1" t="n">
        <v>43851</v>
      </c>
      <c r="C266" s="1" t="n">
        <v>45765</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3414-2020</t>
        </is>
      </c>
      <c r="B267" s="1" t="n">
        <v>43852</v>
      </c>
      <c r="C267" s="1" t="n">
        <v>45765</v>
      </c>
      <c r="D267" t="inlineStr">
        <is>
          <t>KALMAR LÄN</t>
        </is>
      </c>
      <c r="E267" t="inlineStr">
        <is>
          <t>VIMMERBY</t>
        </is>
      </c>
      <c r="G267" t="n">
        <v>4</v>
      </c>
      <c r="H267" t="n">
        <v>0</v>
      </c>
      <c r="I267" t="n">
        <v>0</v>
      </c>
      <c r="J267" t="n">
        <v>0</v>
      </c>
      <c r="K267" t="n">
        <v>0</v>
      </c>
      <c r="L267" t="n">
        <v>0</v>
      </c>
      <c r="M267" t="n">
        <v>0</v>
      </c>
      <c r="N267" t="n">
        <v>0</v>
      </c>
      <c r="O267" t="n">
        <v>0</v>
      </c>
      <c r="P267" t="n">
        <v>0</v>
      </c>
      <c r="Q267" t="n">
        <v>0</v>
      </c>
      <c r="R267" s="2" t="inlineStr"/>
    </row>
    <row r="268" ht="15" customHeight="1">
      <c r="A268" t="inlineStr">
        <is>
          <t>A 3672-2020</t>
        </is>
      </c>
      <c r="B268" s="1" t="n">
        <v>43853</v>
      </c>
      <c r="C268" s="1" t="n">
        <v>45765</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5047-2020</t>
        </is>
      </c>
      <c r="B269" s="1" t="n">
        <v>43853</v>
      </c>
      <c r="C269" s="1" t="n">
        <v>45765</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5043-2020</t>
        </is>
      </c>
      <c r="B270" s="1" t="n">
        <v>43853</v>
      </c>
      <c r="C270" s="1" t="n">
        <v>45765</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4194-2020</t>
        </is>
      </c>
      <c r="B271" s="1" t="n">
        <v>43857</v>
      </c>
      <c r="C271" s="1" t="n">
        <v>45765</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5362-2020</t>
        </is>
      </c>
      <c r="B272" s="1" t="n">
        <v>43857</v>
      </c>
      <c r="C272" s="1" t="n">
        <v>45765</v>
      </c>
      <c r="D272" t="inlineStr">
        <is>
          <t>KALMAR LÄN</t>
        </is>
      </c>
      <c r="E272" t="inlineStr">
        <is>
          <t>VIMMERBY</t>
        </is>
      </c>
      <c r="G272" t="n">
        <v>2.3</v>
      </c>
      <c r="H272" t="n">
        <v>0</v>
      </c>
      <c r="I272" t="n">
        <v>0</v>
      </c>
      <c r="J272" t="n">
        <v>0</v>
      </c>
      <c r="K272" t="n">
        <v>0</v>
      </c>
      <c r="L272" t="n">
        <v>0</v>
      </c>
      <c r="M272" t="n">
        <v>0</v>
      </c>
      <c r="N272" t="n">
        <v>0</v>
      </c>
      <c r="O272" t="n">
        <v>0</v>
      </c>
      <c r="P272" t="n">
        <v>0</v>
      </c>
      <c r="Q272" t="n">
        <v>0</v>
      </c>
      <c r="R272" s="2" t="inlineStr"/>
    </row>
    <row r="273" ht="15" customHeight="1">
      <c r="A273" t="inlineStr">
        <is>
          <t>A 4472-2020</t>
        </is>
      </c>
      <c r="B273" s="1" t="n">
        <v>43858</v>
      </c>
      <c r="C273" s="1" t="n">
        <v>45765</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5548-2020</t>
        </is>
      </c>
      <c r="B274" s="1" t="n">
        <v>43861</v>
      </c>
      <c r="C274" s="1" t="n">
        <v>45765</v>
      </c>
      <c r="D274" t="inlineStr">
        <is>
          <t>KALMAR LÄN</t>
        </is>
      </c>
      <c r="E274" t="inlineStr">
        <is>
          <t>VIMMERBY</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6042-2020</t>
        </is>
      </c>
      <c r="B275" s="1" t="n">
        <v>43865</v>
      </c>
      <c r="C275" s="1" t="n">
        <v>45765</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7870-2020</t>
        </is>
      </c>
      <c r="B276" s="1" t="n">
        <v>43873</v>
      </c>
      <c r="C276" s="1" t="n">
        <v>45765</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8691-2020</t>
        </is>
      </c>
      <c r="B277" s="1" t="n">
        <v>43878</v>
      </c>
      <c r="C277" s="1" t="n">
        <v>45765</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9151-2020</t>
        </is>
      </c>
      <c r="B278" s="1" t="n">
        <v>43879</v>
      </c>
      <c r="C278" s="1" t="n">
        <v>45765</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9382-2020</t>
        </is>
      </c>
      <c r="B279" s="1" t="n">
        <v>43880</v>
      </c>
      <c r="C279" s="1" t="n">
        <v>45765</v>
      </c>
      <c r="D279" t="inlineStr">
        <is>
          <t>KALMAR LÄN</t>
        </is>
      </c>
      <c r="E279" t="inlineStr">
        <is>
          <t>VIMMERBY</t>
        </is>
      </c>
      <c r="G279" t="n">
        <v>2.5</v>
      </c>
      <c r="H279" t="n">
        <v>0</v>
      </c>
      <c r="I279" t="n">
        <v>0</v>
      </c>
      <c r="J279" t="n">
        <v>0</v>
      </c>
      <c r="K279" t="n">
        <v>0</v>
      </c>
      <c r="L279" t="n">
        <v>0</v>
      </c>
      <c r="M279" t="n">
        <v>0</v>
      </c>
      <c r="N279" t="n">
        <v>0</v>
      </c>
      <c r="O279" t="n">
        <v>0</v>
      </c>
      <c r="P279" t="n">
        <v>0</v>
      </c>
      <c r="Q279" t="n">
        <v>0</v>
      </c>
      <c r="R279" s="2" t="inlineStr"/>
    </row>
    <row r="280" ht="15" customHeight="1">
      <c r="A280" t="inlineStr">
        <is>
          <t>A 9718-2020</t>
        </is>
      </c>
      <c r="B280" s="1" t="n">
        <v>43881</v>
      </c>
      <c r="C280" s="1" t="n">
        <v>45765</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10474-2020</t>
        </is>
      </c>
      <c r="B281" s="1" t="n">
        <v>43887</v>
      </c>
      <c r="C281" s="1" t="n">
        <v>45765</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10484-2020</t>
        </is>
      </c>
      <c r="B282" s="1" t="n">
        <v>43887</v>
      </c>
      <c r="C282" s="1" t="n">
        <v>45765</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10923-2020</t>
        </is>
      </c>
      <c r="B283" s="1" t="n">
        <v>43889</v>
      </c>
      <c r="C283" s="1" t="n">
        <v>45765</v>
      </c>
      <c r="D283" t="inlineStr">
        <is>
          <t>KALMAR LÄN</t>
        </is>
      </c>
      <c r="E283" t="inlineStr">
        <is>
          <t>VIMMERBY</t>
        </is>
      </c>
      <c r="G283" t="n">
        <v>1.3</v>
      </c>
      <c r="H283" t="n">
        <v>0</v>
      </c>
      <c r="I283" t="n">
        <v>0</v>
      </c>
      <c r="J283" t="n">
        <v>0</v>
      </c>
      <c r="K283" t="n">
        <v>0</v>
      </c>
      <c r="L283" t="n">
        <v>0</v>
      </c>
      <c r="M283" t="n">
        <v>0</v>
      </c>
      <c r="N283" t="n">
        <v>0</v>
      </c>
      <c r="O283" t="n">
        <v>0</v>
      </c>
      <c r="P283" t="n">
        <v>0</v>
      </c>
      <c r="Q283" t="n">
        <v>0</v>
      </c>
      <c r="R283" s="2" t="inlineStr"/>
    </row>
    <row r="284" ht="15" customHeight="1">
      <c r="A284" t="inlineStr">
        <is>
          <t>A 11243-2020</t>
        </is>
      </c>
      <c r="B284" s="1" t="n">
        <v>43892</v>
      </c>
      <c r="C284" s="1" t="n">
        <v>45765</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12823-2020</t>
        </is>
      </c>
      <c r="B285" s="1" t="n">
        <v>43899</v>
      </c>
      <c r="C285" s="1" t="n">
        <v>45765</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13496-2020</t>
        </is>
      </c>
      <c r="B286" s="1" t="n">
        <v>43900</v>
      </c>
      <c r="C286" s="1" t="n">
        <v>45765</v>
      </c>
      <c r="D286" t="inlineStr">
        <is>
          <t>KALMAR LÄN</t>
        </is>
      </c>
      <c r="E286" t="inlineStr">
        <is>
          <t>VIMMERBY</t>
        </is>
      </c>
      <c r="G286" t="n">
        <v>2.8</v>
      </c>
      <c r="H286" t="n">
        <v>0</v>
      </c>
      <c r="I286" t="n">
        <v>0</v>
      </c>
      <c r="J286" t="n">
        <v>0</v>
      </c>
      <c r="K286" t="n">
        <v>0</v>
      </c>
      <c r="L286" t="n">
        <v>0</v>
      </c>
      <c r="M286" t="n">
        <v>0</v>
      </c>
      <c r="N286" t="n">
        <v>0</v>
      </c>
      <c r="O286" t="n">
        <v>0</v>
      </c>
      <c r="P286" t="n">
        <v>0</v>
      </c>
      <c r="Q286" t="n">
        <v>0</v>
      </c>
      <c r="R286" s="2" t="inlineStr"/>
    </row>
    <row r="287" ht="15" customHeight="1">
      <c r="A287" t="inlineStr">
        <is>
          <t>A 14410-2020</t>
        </is>
      </c>
      <c r="B287" s="1" t="n">
        <v>43902</v>
      </c>
      <c r="C287" s="1" t="n">
        <v>45765</v>
      </c>
      <c r="D287" t="inlineStr">
        <is>
          <t>KALMAR LÄN</t>
        </is>
      </c>
      <c r="E287" t="inlineStr">
        <is>
          <t>VIMMERBY</t>
        </is>
      </c>
      <c r="G287" t="n">
        <v>2.7</v>
      </c>
      <c r="H287" t="n">
        <v>0</v>
      </c>
      <c r="I287" t="n">
        <v>0</v>
      </c>
      <c r="J287" t="n">
        <v>0</v>
      </c>
      <c r="K287" t="n">
        <v>0</v>
      </c>
      <c r="L287" t="n">
        <v>0</v>
      </c>
      <c r="M287" t="n">
        <v>0</v>
      </c>
      <c r="N287" t="n">
        <v>0</v>
      </c>
      <c r="O287" t="n">
        <v>0</v>
      </c>
      <c r="P287" t="n">
        <v>0</v>
      </c>
      <c r="Q287" t="n">
        <v>0</v>
      </c>
      <c r="R287" s="2" t="inlineStr"/>
    </row>
    <row r="288" ht="15" customHeight="1">
      <c r="A288" t="inlineStr">
        <is>
          <t>A 13606-2020</t>
        </is>
      </c>
      <c r="B288" s="1" t="n">
        <v>43903</v>
      </c>
      <c r="C288" s="1" t="n">
        <v>45765</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14022-2020</t>
        </is>
      </c>
      <c r="B289" s="1" t="n">
        <v>43906</v>
      </c>
      <c r="C289" s="1" t="n">
        <v>45765</v>
      </c>
      <c r="D289" t="inlineStr">
        <is>
          <t>KALMAR LÄN</t>
        </is>
      </c>
      <c r="E289" t="inlineStr">
        <is>
          <t>VIMMERBY</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16222-2020</t>
        </is>
      </c>
      <c r="B290" s="1" t="n">
        <v>43917</v>
      </c>
      <c r="C290" s="1" t="n">
        <v>45765</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18676-2020</t>
        </is>
      </c>
      <c r="B291" s="1" t="n">
        <v>43930</v>
      </c>
      <c r="C291" s="1" t="n">
        <v>45765</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18855-2020</t>
        </is>
      </c>
      <c r="B292" s="1" t="n">
        <v>43930</v>
      </c>
      <c r="C292" s="1" t="n">
        <v>45765</v>
      </c>
      <c r="D292" t="inlineStr">
        <is>
          <t>KALMAR LÄN</t>
        </is>
      </c>
      <c r="E292" t="inlineStr">
        <is>
          <t>VIMMERBY</t>
        </is>
      </c>
      <c r="G292" t="n">
        <v>2.9</v>
      </c>
      <c r="H292" t="n">
        <v>0</v>
      </c>
      <c r="I292" t="n">
        <v>0</v>
      </c>
      <c r="J292" t="n">
        <v>0</v>
      </c>
      <c r="K292" t="n">
        <v>0</v>
      </c>
      <c r="L292" t="n">
        <v>0</v>
      </c>
      <c r="M292" t="n">
        <v>0</v>
      </c>
      <c r="N292" t="n">
        <v>0</v>
      </c>
      <c r="O292" t="n">
        <v>0</v>
      </c>
      <c r="P292" t="n">
        <v>0</v>
      </c>
      <c r="Q292" t="n">
        <v>0</v>
      </c>
      <c r="R292" s="2" t="inlineStr"/>
    </row>
    <row r="293" ht="15" customHeight="1">
      <c r="A293" t="inlineStr">
        <is>
          <t>A 18885-2020</t>
        </is>
      </c>
      <c r="B293" s="1" t="n">
        <v>43935</v>
      </c>
      <c r="C293" s="1" t="n">
        <v>45765</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18909-2020</t>
        </is>
      </c>
      <c r="B294" s="1" t="n">
        <v>43935</v>
      </c>
      <c r="C294" s="1" t="n">
        <v>45765</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20291-2020</t>
        </is>
      </c>
      <c r="B295" s="1" t="n">
        <v>43945</v>
      </c>
      <c r="C295" s="1" t="n">
        <v>45765</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21408-2020</t>
        </is>
      </c>
      <c r="B296" s="1" t="n">
        <v>43955</v>
      </c>
      <c r="C296" s="1" t="n">
        <v>45765</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21581-2020</t>
        </is>
      </c>
      <c r="B297" s="1" t="n">
        <v>43956</v>
      </c>
      <c r="C297" s="1" t="n">
        <v>45765</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21891-2020</t>
        </is>
      </c>
      <c r="B298" s="1" t="n">
        <v>43958</v>
      </c>
      <c r="C298" s="1" t="n">
        <v>45765</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22267-2020</t>
        </is>
      </c>
      <c r="B299" s="1" t="n">
        <v>43962</v>
      </c>
      <c r="C299" s="1" t="n">
        <v>45765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22574-2020</t>
        </is>
      </c>
      <c r="B300" s="1" t="n">
        <v>43963</v>
      </c>
      <c r="C300" s="1" t="n">
        <v>45765</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22637-2020</t>
        </is>
      </c>
      <c r="B301" s="1" t="n">
        <v>43963</v>
      </c>
      <c r="C301" s="1" t="n">
        <v>45765</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22828-2020</t>
        </is>
      </c>
      <c r="B302" s="1" t="n">
        <v>43964</v>
      </c>
      <c r="C302" s="1" t="n">
        <v>45765</v>
      </c>
      <c r="D302" t="inlineStr">
        <is>
          <t>KALMAR LÄN</t>
        </is>
      </c>
      <c r="E302" t="inlineStr">
        <is>
          <t>VIMMERBY</t>
        </is>
      </c>
      <c r="G302" t="n">
        <v>7.5</v>
      </c>
      <c r="H302" t="n">
        <v>0</v>
      </c>
      <c r="I302" t="n">
        <v>0</v>
      </c>
      <c r="J302" t="n">
        <v>0</v>
      </c>
      <c r="K302" t="n">
        <v>0</v>
      </c>
      <c r="L302" t="n">
        <v>0</v>
      </c>
      <c r="M302" t="n">
        <v>0</v>
      </c>
      <c r="N302" t="n">
        <v>0</v>
      </c>
      <c r="O302" t="n">
        <v>0</v>
      </c>
      <c r="P302" t="n">
        <v>0</v>
      </c>
      <c r="Q302" t="n">
        <v>0</v>
      </c>
      <c r="R302" s="2" t="inlineStr"/>
    </row>
    <row r="303" ht="15" customHeight="1">
      <c r="A303" t="inlineStr">
        <is>
          <t>A 23391-2020</t>
        </is>
      </c>
      <c r="B303" s="1" t="n">
        <v>43968</v>
      </c>
      <c r="C303" s="1" t="n">
        <v>45765</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23394-2020</t>
        </is>
      </c>
      <c r="B304" s="1" t="n">
        <v>43968</v>
      </c>
      <c r="C304" s="1" t="n">
        <v>45765</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23705-2020</t>
        </is>
      </c>
      <c r="B305" s="1" t="n">
        <v>43970</v>
      </c>
      <c r="C305" s="1" t="n">
        <v>45765</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23877-2020</t>
        </is>
      </c>
      <c r="B306" s="1" t="n">
        <v>43971</v>
      </c>
      <c r="C306" s="1" t="n">
        <v>45765</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24016-2020</t>
        </is>
      </c>
      <c r="B307" s="1" t="n">
        <v>43971</v>
      </c>
      <c r="C307" s="1" t="n">
        <v>45765</v>
      </c>
      <c r="D307" t="inlineStr">
        <is>
          <t>KALMAR LÄN</t>
        </is>
      </c>
      <c r="E307" t="inlineStr">
        <is>
          <t>VIMMERBY</t>
        </is>
      </c>
      <c r="G307" t="n">
        <v>4.5</v>
      </c>
      <c r="H307" t="n">
        <v>0</v>
      </c>
      <c r="I307" t="n">
        <v>0</v>
      </c>
      <c r="J307" t="n">
        <v>0</v>
      </c>
      <c r="K307" t="n">
        <v>0</v>
      </c>
      <c r="L307" t="n">
        <v>0</v>
      </c>
      <c r="M307" t="n">
        <v>0</v>
      </c>
      <c r="N307" t="n">
        <v>0</v>
      </c>
      <c r="O307" t="n">
        <v>0</v>
      </c>
      <c r="P307" t="n">
        <v>0</v>
      </c>
      <c r="Q307" t="n">
        <v>0</v>
      </c>
      <c r="R307" s="2" t="inlineStr"/>
    </row>
    <row r="308" ht="15" customHeight="1">
      <c r="A308" t="inlineStr">
        <is>
          <t>A 24770-2020</t>
        </is>
      </c>
      <c r="B308" s="1" t="n">
        <v>43978</v>
      </c>
      <c r="C308" s="1" t="n">
        <v>45765</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24784-2020</t>
        </is>
      </c>
      <c r="B309" s="1" t="n">
        <v>43978</v>
      </c>
      <c r="C309" s="1" t="n">
        <v>45765</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24782-2020</t>
        </is>
      </c>
      <c r="B310" s="1" t="n">
        <v>43978</v>
      </c>
      <c r="C310" s="1" t="n">
        <v>45765</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25761-2020</t>
        </is>
      </c>
      <c r="B311" s="1" t="n">
        <v>43984</v>
      </c>
      <c r="C311" s="1" t="n">
        <v>45765</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26723-2020</t>
        </is>
      </c>
      <c r="B312" s="1" t="n">
        <v>43990</v>
      </c>
      <c r="C312" s="1" t="n">
        <v>45765</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27104-2020</t>
        </is>
      </c>
      <c r="B313" s="1" t="n">
        <v>43991</v>
      </c>
      <c r="C313" s="1" t="n">
        <v>45765</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27212-2020</t>
        </is>
      </c>
      <c r="B314" s="1" t="n">
        <v>43992</v>
      </c>
      <c r="C314" s="1" t="n">
        <v>45765</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27316-2020</t>
        </is>
      </c>
      <c r="B315" s="1" t="n">
        <v>43992</v>
      </c>
      <c r="C315" s="1" t="n">
        <v>45765</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27214-2020</t>
        </is>
      </c>
      <c r="B316" s="1" t="n">
        <v>43992</v>
      </c>
      <c r="C316" s="1" t="n">
        <v>45765</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27213-2020</t>
        </is>
      </c>
      <c r="B317" s="1" t="n">
        <v>43992</v>
      </c>
      <c r="C317" s="1" t="n">
        <v>45765</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27236-2020</t>
        </is>
      </c>
      <c r="B318" s="1" t="n">
        <v>43992</v>
      </c>
      <c r="C318" s="1" t="n">
        <v>45765</v>
      </c>
      <c r="D318" t="inlineStr">
        <is>
          <t>KALMAR LÄN</t>
        </is>
      </c>
      <c r="E318" t="inlineStr">
        <is>
          <t>VIMMERBY</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28853-2020</t>
        </is>
      </c>
      <c r="B319" s="1" t="n">
        <v>44000</v>
      </c>
      <c r="C319" s="1" t="n">
        <v>45765</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28885-2020</t>
        </is>
      </c>
      <c r="B320" s="1" t="n">
        <v>44000</v>
      </c>
      <c r="C320" s="1" t="n">
        <v>45765</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28969-2020</t>
        </is>
      </c>
      <c r="B321" s="1" t="n">
        <v>44000</v>
      </c>
      <c r="C321" s="1" t="n">
        <v>45765</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29235-2020</t>
        </is>
      </c>
      <c r="B322" s="1" t="n">
        <v>44004</v>
      </c>
      <c r="C322" s="1" t="n">
        <v>45765</v>
      </c>
      <c r="D322" t="inlineStr">
        <is>
          <t>KALMAR LÄN</t>
        </is>
      </c>
      <c r="E322" t="inlineStr">
        <is>
          <t>VIMMERBY</t>
        </is>
      </c>
      <c r="G322" t="n">
        <v>3</v>
      </c>
      <c r="H322" t="n">
        <v>0</v>
      </c>
      <c r="I322" t="n">
        <v>0</v>
      </c>
      <c r="J322" t="n">
        <v>0</v>
      </c>
      <c r="K322" t="n">
        <v>0</v>
      </c>
      <c r="L322" t="n">
        <v>0</v>
      </c>
      <c r="M322" t="n">
        <v>0</v>
      </c>
      <c r="N322" t="n">
        <v>0</v>
      </c>
      <c r="O322" t="n">
        <v>0</v>
      </c>
      <c r="P322" t="n">
        <v>0</v>
      </c>
      <c r="Q322" t="n">
        <v>0</v>
      </c>
      <c r="R322" s="2" t="inlineStr"/>
    </row>
    <row r="323" ht="15" customHeight="1">
      <c r="A323" t="inlineStr">
        <is>
          <t>A 29913-2020</t>
        </is>
      </c>
      <c r="B323" s="1" t="n">
        <v>44006</v>
      </c>
      <c r="C323" s="1" t="n">
        <v>45765</v>
      </c>
      <c r="D323" t="inlineStr">
        <is>
          <t>KALMAR LÄN</t>
        </is>
      </c>
      <c r="E323" t="inlineStr">
        <is>
          <t>VIMMERBY</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29918-2020</t>
        </is>
      </c>
      <c r="B324" s="1" t="n">
        <v>44006</v>
      </c>
      <c r="C324" s="1" t="n">
        <v>45765</v>
      </c>
      <c r="D324" t="inlineStr">
        <is>
          <t>KALMAR LÄN</t>
        </is>
      </c>
      <c r="E324" t="inlineStr">
        <is>
          <t>VIMMERBY</t>
        </is>
      </c>
      <c r="F324" t="inlineStr">
        <is>
          <t>Kommuner</t>
        </is>
      </c>
      <c r="G324" t="n">
        <v>2.5</v>
      </c>
      <c r="H324" t="n">
        <v>0</v>
      </c>
      <c r="I324" t="n">
        <v>0</v>
      </c>
      <c r="J324" t="n">
        <v>0</v>
      </c>
      <c r="K324" t="n">
        <v>0</v>
      </c>
      <c r="L324" t="n">
        <v>0</v>
      </c>
      <c r="M324" t="n">
        <v>0</v>
      </c>
      <c r="N324" t="n">
        <v>0</v>
      </c>
      <c r="O324" t="n">
        <v>0</v>
      </c>
      <c r="P324" t="n">
        <v>0</v>
      </c>
      <c r="Q324" t="n">
        <v>0</v>
      </c>
      <c r="R324" s="2" t="inlineStr"/>
    </row>
    <row r="325" ht="15" customHeight="1">
      <c r="A325" t="inlineStr">
        <is>
          <t>A 29979-2020</t>
        </is>
      </c>
      <c r="B325" s="1" t="n">
        <v>44006</v>
      </c>
      <c r="C325" s="1" t="n">
        <v>45765</v>
      </c>
      <c r="D325" t="inlineStr">
        <is>
          <t>KALMAR LÄN</t>
        </is>
      </c>
      <c r="E325" t="inlineStr">
        <is>
          <t>VIMMERBY</t>
        </is>
      </c>
      <c r="F325" t="inlineStr">
        <is>
          <t>Kommuner</t>
        </is>
      </c>
      <c r="G325" t="n">
        <v>1.4</v>
      </c>
      <c r="H325" t="n">
        <v>0</v>
      </c>
      <c r="I325" t="n">
        <v>0</v>
      </c>
      <c r="J325" t="n">
        <v>0</v>
      </c>
      <c r="K325" t="n">
        <v>0</v>
      </c>
      <c r="L325" t="n">
        <v>0</v>
      </c>
      <c r="M325" t="n">
        <v>0</v>
      </c>
      <c r="N325" t="n">
        <v>0</v>
      </c>
      <c r="O325" t="n">
        <v>0</v>
      </c>
      <c r="P325" t="n">
        <v>0</v>
      </c>
      <c r="Q325" t="n">
        <v>0</v>
      </c>
      <c r="R325" s="2" t="inlineStr"/>
    </row>
    <row r="326" ht="15" customHeight="1">
      <c r="A326" t="inlineStr">
        <is>
          <t>A 29935-2020</t>
        </is>
      </c>
      <c r="B326" s="1" t="n">
        <v>44006</v>
      </c>
      <c r="C326" s="1" t="n">
        <v>45765</v>
      </c>
      <c r="D326" t="inlineStr">
        <is>
          <t>KALMAR LÄN</t>
        </is>
      </c>
      <c r="E326" t="inlineStr">
        <is>
          <t>VIMMERBY</t>
        </is>
      </c>
      <c r="F326" t="inlineStr">
        <is>
          <t>Kommuner</t>
        </is>
      </c>
      <c r="G326" t="n">
        <v>0.7</v>
      </c>
      <c r="H326" t="n">
        <v>0</v>
      </c>
      <c r="I326" t="n">
        <v>0</v>
      </c>
      <c r="J326" t="n">
        <v>0</v>
      </c>
      <c r="K326" t="n">
        <v>0</v>
      </c>
      <c r="L326" t="n">
        <v>0</v>
      </c>
      <c r="M326" t="n">
        <v>0</v>
      </c>
      <c r="N326" t="n">
        <v>0</v>
      </c>
      <c r="O326" t="n">
        <v>0</v>
      </c>
      <c r="P326" t="n">
        <v>0</v>
      </c>
      <c r="Q326" t="n">
        <v>0</v>
      </c>
      <c r="R326" s="2" t="inlineStr"/>
    </row>
    <row r="327" ht="15" customHeight="1">
      <c r="A327" t="inlineStr">
        <is>
          <t>A 30206-2020</t>
        </is>
      </c>
      <c r="B327" s="1" t="n">
        <v>44007</v>
      </c>
      <c r="C327" s="1" t="n">
        <v>45765</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31289-2020</t>
        </is>
      </c>
      <c r="B328" s="1" t="n">
        <v>44012</v>
      </c>
      <c r="C328" s="1" t="n">
        <v>45765</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33159-2020</t>
        </is>
      </c>
      <c r="B329" s="1" t="n">
        <v>44021</v>
      </c>
      <c r="C329" s="1" t="n">
        <v>45765</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33279-2020</t>
        </is>
      </c>
      <c r="B330" s="1" t="n">
        <v>44022</v>
      </c>
      <c r="C330" s="1" t="n">
        <v>45765</v>
      </c>
      <c r="D330" t="inlineStr">
        <is>
          <t>KALMAR LÄN</t>
        </is>
      </c>
      <c r="E330" t="inlineStr">
        <is>
          <t>VIMMERBY</t>
        </is>
      </c>
      <c r="G330" t="n">
        <v>1.1</v>
      </c>
      <c r="H330" t="n">
        <v>0</v>
      </c>
      <c r="I330" t="n">
        <v>0</v>
      </c>
      <c r="J330" t="n">
        <v>0</v>
      </c>
      <c r="K330" t="n">
        <v>0</v>
      </c>
      <c r="L330" t="n">
        <v>0</v>
      </c>
      <c r="M330" t="n">
        <v>0</v>
      </c>
      <c r="N330" t="n">
        <v>0</v>
      </c>
      <c r="O330" t="n">
        <v>0</v>
      </c>
      <c r="P330" t="n">
        <v>0</v>
      </c>
      <c r="Q330" t="n">
        <v>0</v>
      </c>
      <c r="R330" s="2" t="inlineStr"/>
    </row>
    <row r="331" ht="15" customHeight="1">
      <c r="A331" t="inlineStr">
        <is>
          <t>A 33856-2020</t>
        </is>
      </c>
      <c r="B331" s="1" t="n">
        <v>44027</v>
      </c>
      <c r="C331" s="1" t="n">
        <v>45765</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34350-2020</t>
        </is>
      </c>
      <c r="B332" s="1" t="n">
        <v>44028</v>
      </c>
      <c r="C332" s="1" t="n">
        <v>45765</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34345-2020</t>
        </is>
      </c>
      <c r="B333" s="1" t="n">
        <v>44028</v>
      </c>
      <c r="C333" s="1" t="n">
        <v>45765</v>
      </c>
      <c r="D333" t="inlineStr">
        <is>
          <t>KALMAR LÄN</t>
        </is>
      </c>
      <c r="E333" t="inlineStr">
        <is>
          <t>VIMMERBY</t>
        </is>
      </c>
      <c r="G333" t="n">
        <v>5.1</v>
      </c>
      <c r="H333" t="n">
        <v>0</v>
      </c>
      <c r="I333" t="n">
        <v>0</v>
      </c>
      <c r="J333" t="n">
        <v>0</v>
      </c>
      <c r="K333" t="n">
        <v>0</v>
      </c>
      <c r="L333" t="n">
        <v>0</v>
      </c>
      <c r="M333" t="n">
        <v>0</v>
      </c>
      <c r="N333" t="n">
        <v>0</v>
      </c>
      <c r="O333" t="n">
        <v>0</v>
      </c>
      <c r="P333" t="n">
        <v>0</v>
      </c>
      <c r="Q333" t="n">
        <v>0</v>
      </c>
      <c r="R333" s="2" t="inlineStr"/>
    </row>
    <row r="334" ht="15" customHeight="1">
      <c r="A334" t="inlineStr">
        <is>
          <t>A 34719-2020</t>
        </is>
      </c>
      <c r="B334" s="1" t="n">
        <v>44035</v>
      </c>
      <c r="C334" s="1" t="n">
        <v>45765</v>
      </c>
      <c r="D334" t="inlineStr">
        <is>
          <t>KALMAR LÄN</t>
        </is>
      </c>
      <c r="E334" t="inlineStr">
        <is>
          <t>VIMMERBY</t>
        </is>
      </c>
      <c r="G334" t="n">
        <v>3.5</v>
      </c>
      <c r="H334" t="n">
        <v>0</v>
      </c>
      <c r="I334" t="n">
        <v>0</v>
      </c>
      <c r="J334" t="n">
        <v>0</v>
      </c>
      <c r="K334" t="n">
        <v>0</v>
      </c>
      <c r="L334" t="n">
        <v>0</v>
      </c>
      <c r="M334" t="n">
        <v>0</v>
      </c>
      <c r="N334" t="n">
        <v>0</v>
      </c>
      <c r="O334" t="n">
        <v>0</v>
      </c>
      <c r="P334" t="n">
        <v>0</v>
      </c>
      <c r="Q334" t="n">
        <v>0</v>
      </c>
      <c r="R334" s="2" t="inlineStr"/>
    </row>
    <row r="335" ht="15" customHeight="1">
      <c r="A335" t="inlineStr">
        <is>
          <t>A 34907-2020</t>
        </is>
      </c>
      <c r="B335" s="1" t="n">
        <v>44036</v>
      </c>
      <c r="C335" s="1" t="n">
        <v>45765</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35350-2020</t>
        </is>
      </c>
      <c r="B336" s="1" t="n">
        <v>44041</v>
      </c>
      <c r="C336" s="1" t="n">
        <v>45765</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35462-2020</t>
        </is>
      </c>
      <c r="B337" s="1" t="n">
        <v>44042</v>
      </c>
      <c r="C337" s="1" t="n">
        <v>45765</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35886-2020</t>
        </is>
      </c>
      <c r="B338" s="1" t="n">
        <v>44047</v>
      </c>
      <c r="C338" s="1" t="n">
        <v>45765</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36085-2020</t>
        </is>
      </c>
      <c r="B339" s="1" t="n">
        <v>44048</v>
      </c>
      <c r="C339" s="1" t="n">
        <v>45765</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36161-2020</t>
        </is>
      </c>
      <c r="B340" s="1" t="n">
        <v>44048</v>
      </c>
      <c r="C340" s="1" t="n">
        <v>45765</v>
      </c>
      <c r="D340" t="inlineStr">
        <is>
          <t>KALMAR LÄN</t>
        </is>
      </c>
      <c r="E340" t="inlineStr">
        <is>
          <t>VIMMERBY</t>
        </is>
      </c>
      <c r="G340" t="n">
        <v>12.5</v>
      </c>
      <c r="H340" t="n">
        <v>0</v>
      </c>
      <c r="I340" t="n">
        <v>0</v>
      </c>
      <c r="J340" t="n">
        <v>0</v>
      </c>
      <c r="K340" t="n">
        <v>0</v>
      </c>
      <c r="L340" t="n">
        <v>0</v>
      </c>
      <c r="M340" t="n">
        <v>0</v>
      </c>
      <c r="N340" t="n">
        <v>0</v>
      </c>
      <c r="O340" t="n">
        <v>0</v>
      </c>
      <c r="P340" t="n">
        <v>0</v>
      </c>
      <c r="Q340" t="n">
        <v>0</v>
      </c>
      <c r="R340" s="2" t="inlineStr"/>
    </row>
    <row r="341" ht="15" customHeight="1">
      <c r="A341" t="inlineStr">
        <is>
          <t>A 37104-2020</t>
        </is>
      </c>
      <c r="B341" s="1" t="n">
        <v>44054</v>
      </c>
      <c r="C341" s="1" t="n">
        <v>45765</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37201-2020</t>
        </is>
      </c>
      <c r="B342" s="1" t="n">
        <v>44054</v>
      </c>
      <c r="C342" s="1" t="n">
        <v>45765</v>
      </c>
      <c r="D342" t="inlineStr">
        <is>
          <t>KALMAR LÄN</t>
        </is>
      </c>
      <c r="E342" t="inlineStr">
        <is>
          <t>VIMMERBY</t>
        </is>
      </c>
      <c r="G342" t="n">
        <v>3.6</v>
      </c>
      <c r="H342" t="n">
        <v>0</v>
      </c>
      <c r="I342" t="n">
        <v>0</v>
      </c>
      <c r="J342" t="n">
        <v>0</v>
      </c>
      <c r="K342" t="n">
        <v>0</v>
      </c>
      <c r="L342" t="n">
        <v>0</v>
      </c>
      <c r="M342" t="n">
        <v>0</v>
      </c>
      <c r="N342" t="n">
        <v>0</v>
      </c>
      <c r="O342" t="n">
        <v>0</v>
      </c>
      <c r="P342" t="n">
        <v>0</v>
      </c>
      <c r="Q342" t="n">
        <v>0</v>
      </c>
      <c r="R342" s="2" t="inlineStr"/>
    </row>
    <row r="343" ht="15" customHeight="1">
      <c r="A343" t="inlineStr">
        <is>
          <t>A 37078-2020</t>
        </is>
      </c>
      <c r="B343" s="1" t="n">
        <v>44054</v>
      </c>
      <c r="C343" s="1" t="n">
        <v>45765</v>
      </c>
      <c r="D343" t="inlineStr">
        <is>
          <t>KALMAR LÄN</t>
        </is>
      </c>
      <c r="E343" t="inlineStr">
        <is>
          <t>VIMMERBY</t>
        </is>
      </c>
      <c r="G343" t="n">
        <v>4.5</v>
      </c>
      <c r="H343" t="n">
        <v>0</v>
      </c>
      <c r="I343" t="n">
        <v>0</v>
      </c>
      <c r="J343" t="n">
        <v>0</v>
      </c>
      <c r="K343" t="n">
        <v>0</v>
      </c>
      <c r="L343" t="n">
        <v>0</v>
      </c>
      <c r="M343" t="n">
        <v>0</v>
      </c>
      <c r="N343" t="n">
        <v>0</v>
      </c>
      <c r="O343" t="n">
        <v>0</v>
      </c>
      <c r="P343" t="n">
        <v>0</v>
      </c>
      <c r="Q343" t="n">
        <v>0</v>
      </c>
      <c r="R343" s="2" t="inlineStr"/>
    </row>
    <row r="344" ht="15" customHeight="1">
      <c r="A344" t="inlineStr">
        <is>
          <t>A 37362-2020</t>
        </is>
      </c>
      <c r="B344" s="1" t="n">
        <v>44055</v>
      </c>
      <c r="C344" s="1" t="n">
        <v>45765</v>
      </c>
      <c r="D344" t="inlineStr">
        <is>
          <t>KALMAR LÄN</t>
        </is>
      </c>
      <c r="E344" t="inlineStr">
        <is>
          <t>VIMMERBY</t>
        </is>
      </c>
      <c r="F344" t="inlineStr">
        <is>
          <t>Övriga Aktiebolag</t>
        </is>
      </c>
      <c r="G344" t="n">
        <v>3</v>
      </c>
      <c r="H344" t="n">
        <v>0</v>
      </c>
      <c r="I344" t="n">
        <v>0</v>
      </c>
      <c r="J344" t="n">
        <v>0</v>
      </c>
      <c r="K344" t="n">
        <v>0</v>
      </c>
      <c r="L344" t="n">
        <v>0</v>
      </c>
      <c r="M344" t="n">
        <v>0</v>
      </c>
      <c r="N344" t="n">
        <v>0</v>
      </c>
      <c r="O344" t="n">
        <v>0</v>
      </c>
      <c r="P344" t="n">
        <v>0</v>
      </c>
      <c r="Q344" t="n">
        <v>0</v>
      </c>
      <c r="R344" s="2" t="inlineStr"/>
    </row>
    <row r="345" ht="15" customHeight="1">
      <c r="A345" t="inlineStr">
        <is>
          <t>A 37813-2020</t>
        </is>
      </c>
      <c r="B345" s="1" t="n">
        <v>44057</v>
      </c>
      <c r="C345" s="1" t="n">
        <v>45765</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37973-2020</t>
        </is>
      </c>
      <c r="B346" s="1" t="n">
        <v>44057</v>
      </c>
      <c r="C346" s="1" t="n">
        <v>45765</v>
      </c>
      <c r="D346" t="inlineStr">
        <is>
          <t>KALMAR LÄN</t>
        </is>
      </c>
      <c r="E346" t="inlineStr">
        <is>
          <t>VIMMERBY</t>
        </is>
      </c>
      <c r="G346" t="n">
        <v>2.4</v>
      </c>
      <c r="H346" t="n">
        <v>0</v>
      </c>
      <c r="I346" t="n">
        <v>0</v>
      </c>
      <c r="J346" t="n">
        <v>0</v>
      </c>
      <c r="K346" t="n">
        <v>0</v>
      </c>
      <c r="L346" t="n">
        <v>0</v>
      </c>
      <c r="M346" t="n">
        <v>0</v>
      </c>
      <c r="N346" t="n">
        <v>0</v>
      </c>
      <c r="O346" t="n">
        <v>0</v>
      </c>
      <c r="P346" t="n">
        <v>0</v>
      </c>
      <c r="Q346" t="n">
        <v>0</v>
      </c>
      <c r="R346" s="2" t="inlineStr"/>
    </row>
    <row r="347" ht="15" customHeight="1">
      <c r="A347" t="inlineStr">
        <is>
          <t>A 38153-2020</t>
        </is>
      </c>
      <c r="B347" s="1" t="n">
        <v>44060</v>
      </c>
      <c r="C347" s="1" t="n">
        <v>45765</v>
      </c>
      <c r="D347" t="inlineStr">
        <is>
          <t>KALMAR LÄN</t>
        </is>
      </c>
      <c r="E347" t="inlineStr">
        <is>
          <t>VIMMERBY</t>
        </is>
      </c>
      <c r="G347" t="n">
        <v>6</v>
      </c>
      <c r="H347" t="n">
        <v>0</v>
      </c>
      <c r="I347" t="n">
        <v>0</v>
      </c>
      <c r="J347" t="n">
        <v>0</v>
      </c>
      <c r="K347" t="n">
        <v>0</v>
      </c>
      <c r="L347" t="n">
        <v>0</v>
      </c>
      <c r="M347" t="n">
        <v>0</v>
      </c>
      <c r="N347" t="n">
        <v>0</v>
      </c>
      <c r="O347" t="n">
        <v>0</v>
      </c>
      <c r="P347" t="n">
        <v>0</v>
      </c>
      <c r="Q347" t="n">
        <v>0</v>
      </c>
      <c r="R347" s="2" t="inlineStr"/>
    </row>
    <row r="348" ht="15" customHeight="1">
      <c r="A348" t="inlineStr">
        <is>
          <t>A 38397-2020</t>
        </is>
      </c>
      <c r="B348" s="1" t="n">
        <v>44060</v>
      </c>
      <c r="C348" s="1" t="n">
        <v>45765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38530-2020</t>
        </is>
      </c>
      <c r="B349" s="1" t="n">
        <v>44061</v>
      </c>
      <c r="C349" s="1" t="n">
        <v>45765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38710-2020</t>
        </is>
      </c>
      <c r="B350" s="1" t="n">
        <v>44061</v>
      </c>
      <c r="C350" s="1" t="n">
        <v>45765</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38844-2020</t>
        </is>
      </c>
      <c r="B351" s="1" t="n">
        <v>44062</v>
      </c>
      <c r="C351" s="1" t="n">
        <v>45765</v>
      </c>
      <c r="D351" t="inlineStr">
        <is>
          <t>KALMAR LÄN</t>
        </is>
      </c>
      <c r="E351" t="inlineStr">
        <is>
          <t>VIMMERBY</t>
        </is>
      </c>
      <c r="G351" t="n">
        <v>3</v>
      </c>
      <c r="H351" t="n">
        <v>0</v>
      </c>
      <c r="I351" t="n">
        <v>0</v>
      </c>
      <c r="J351" t="n">
        <v>0</v>
      </c>
      <c r="K351" t="n">
        <v>0</v>
      </c>
      <c r="L351" t="n">
        <v>0</v>
      </c>
      <c r="M351" t="n">
        <v>0</v>
      </c>
      <c r="N351" t="n">
        <v>0</v>
      </c>
      <c r="O351" t="n">
        <v>0</v>
      </c>
      <c r="P351" t="n">
        <v>0</v>
      </c>
      <c r="Q351" t="n">
        <v>0</v>
      </c>
      <c r="R351" s="2" t="inlineStr"/>
    </row>
    <row r="352" ht="15" customHeight="1">
      <c r="A352" t="inlineStr">
        <is>
          <t>A 39191-2020</t>
        </is>
      </c>
      <c r="B352" s="1" t="n">
        <v>44063</v>
      </c>
      <c r="C352" s="1" t="n">
        <v>45765</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39251-2020</t>
        </is>
      </c>
      <c r="B353" s="1" t="n">
        <v>44063</v>
      </c>
      <c r="C353" s="1" t="n">
        <v>45765</v>
      </c>
      <c r="D353" t="inlineStr">
        <is>
          <t>KALMAR LÄN</t>
        </is>
      </c>
      <c r="E353" t="inlineStr">
        <is>
          <t>VIMMERBY</t>
        </is>
      </c>
      <c r="G353" t="n">
        <v>6.1</v>
      </c>
      <c r="H353" t="n">
        <v>0</v>
      </c>
      <c r="I353" t="n">
        <v>0</v>
      </c>
      <c r="J353" t="n">
        <v>0</v>
      </c>
      <c r="K353" t="n">
        <v>0</v>
      </c>
      <c r="L353" t="n">
        <v>0</v>
      </c>
      <c r="M353" t="n">
        <v>0</v>
      </c>
      <c r="N353" t="n">
        <v>0</v>
      </c>
      <c r="O353" t="n">
        <v>0</v>
      </c>
      <c r="P353" t="n">
        <v>0</v>
      </c>
      <c r="Q353" t="n">
        <v>0</v>
      </c>
      <c r="R353" s="2" t="inlineStr"/>
    </row>
    <row r="354" ht="15" customHeight="1">
      <c r="A354" t="inlineStr">
        <is>
          <t>A 39125-2020</t>
        </is>
      </c>
      <c r="B354" s="1" t="n">
        <v>44063</v>
      </c>
      <c r="C354" s="1" t="n">
        <v>45765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39300-2020</t>
        </is>
      </c>
      <c r="B355" s="1" t="n">
        <v>44063</v>
      </c>
      <c r="C355" s="1" t="n">
        <v>45765</v>
      </c>
      <c r="D355" t="inlineStr">
        <is>
          <t>KALMAR LÄN</t>
        </is>
      </c>
      <c r="E355" t="inlineStr">
        <is>
          <t>VIMMERBY</t>
        </is>
      </c>
      <c r="G355" t="n">
        <v>5.1</v>
      </c>
      <c r="H355" t="n">
        <v>0</v>
      </c>
      <c r="I355" t="n">
        <v>0</v>
      </c>
      <c r="J355" t="n">
        <v>0</v>
      </c>
      <c r="K355" t="n">
        <v>0</v>
      </c>
      <c r="L355" t="n">
        <v>0</v>
      </c>
      <c r="M355" t="n">
        <v>0</v>
      </c>
      <c r="N355" t="n">
        <v>0</v>
      </c>
      <c r="O355" t="n">
        <v>0</v>
      </c>
      <c r="P355" t="n">
        <v>0</v>
      </c>
      <c r="Q355" t="n">
        <v>0</v>
      </c>
      <c r="R355" s="2" t="inlineStr"/>
    </row>
    <row r="356" ht="15" customHeight="1">
      <c r="A356" t="inlineStr">
        <is>
          <t>A 39288-2020</t>
        </is>
      </c>
      <c r="B356" s="1" t="n">
        <v>44063</v>
      </c>
      <c r="C356" s="1" t="n">
        <v>45765</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39508-2020</t>
        </is>
      </c>
      <c r="B357" s="1" t="n">
        <v>44064</v>
      </c>
      <c r="C357" s="1" t="n">
        <v>45765</v>
      </c>
      <c r="D357" t="inlineStr">
        <is>
          <t>KALMAR LÄN</t>
        </is>
      </c>
      <c r="E357" t="inlineStr">
        <is>
          <t>VIMMERBY</t>
        </is>
      </c>
      <c r="G357" t="n">
        <v>4.7</v>
      </c>
      <c r="H357" t="n">
        <v>0</v>
      </c>
      <c r="I357" t="n">
        <v>0</v>
      </c>
      <c r="J357" t="n">
        <v>0</v>
      </c>
      <c r="K357" t="n">
        <v>0</v>
      </c>
      <c r="L357" t="n">
        <v>0</v>
      </c>
      <c r="M357" t="n">
        <v>0</v>
      </c>
      <c r="N357" t="n">
        <v>0</v>
      </c>
      <c r="O357" t="n">
        <v>0</v>
      </c>
      <c r="P357" t="n">
        <v>0</v>
      </c>
      <c r="Q357" t="n">
        <v>0</v>
      </c>
      <c r="R357" s="2" t="inlineStr"/>
    </row>
    <row r="358" ht="15" customHeight="1">
      <c r="A358" t="inlineStr">
        <is>
          <t>A 39769-2020</t>
        </is>
      </c>
      <c r="B358" s="1" t="n">
        <v>44064</v>
      </c>
      <c r="C358" s="1" t="n">
        <v>45765</v>
      </c>
      <c r="D358" t="inlineStr">
        <is>
          <t>KALMAR LÄN</t>
        </is>
      </c>
      <c r="E358" t="inlineStr">
        <is>
          <t>VIMMERBY</t>
        </is>
      </c>
      <c r="G358" t="n">
        <v>24.6</v>
      </c>
      <c r="H358" t="n">
        <v>0</v>
      </c>
      <c r="I358" t="n">
        <v>0</v>
      </c>
      <c r="J358" t="n">
        <v>0</v>
      </c>
      <c r="K358" t="n">
        <v>0</v>
      </c>
      <c r="L358" t="n">
        <v>0</v>
      </c>
      <c r="M358" t="n">
        <v>0</v>
      </c>
      <c r="N358" t="n">
        <v>0</v>
      </c>
      <c r="O358" t="n">
        <v>0</v>
      </c>
      <c r="P358" t="n">
        <v>0</v>
      </c>
      <c r="Q358" t="n">
        <v>0</v>
      </c>
      <c r="R358" s="2" t="inlineStr"/>
    </row>
    <row r="359" ht="15" customHeight="1">
      <c r="A359" t="inlineStr">
        <is>
          <t>A 40239-2020</t>
        </is>
      </c>
      <c r="B359" s="1" t="n">
        <v>44068</v>
      </c>
      <c r="C359" s="1" t="n">
        <v>45765</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40766-2020</t>
        </is>
      </c>
      <c r="B360" s="1" t="n">
        <v>44070</v>
      </c>
      <c r="C360" s="1" t="n">
        <v>45765</v>
      </c>
      <c r="D360" t="inlineStr">
        <is>
          <t>KALMAR LÄN</t>
        </is>
      </c>
      <c r="E360" t="inlineStr">
        <is>
          <t>VIMMERBY</t>
        </is>
      </c>
      <c r="G360" t="n">
        <v>4.2</v>
      </c>
      <c r="H360" t="n">
        <v>0</v>
      </c>
      <c r="I360" t="n">
        <v>0</v>
      </c>
      <c r="J360" t="n">
        <v>0</v>
      </c>
      <c r="K360" t="n">
        <v>0</v>
      </c>
      <c r="L360" t="n">
        <v>0</v>
      </c>
      <c r="M360" t="n">
        <v>0</v>
      </c>
      <c r="N360" t="n">
        <v>0</v>
      </c>
      <c r="O360" t="n">
        <v>0</v>
      </c>
      <c r="P360" t="n">
        <v>0</v>
      </c>
      <c r="Q360" t="n">
        <v>0</v>
      </c>
      <c r="R360" s="2" t="inlineStr"/>
    </row>
    <row r="361" ht="15" customHeight="1">
      <c r="A361" t="inlineStr">
        <is>
          <t>A 40890-2020</t>
        </is>
      </c>
      <c r="B361" s="1" t="n">
        <v>44070</v>
      </c>
      <c r="C361" s="1" t="n">
        <v>45765</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40812-2020</t>
        </is>
      </c>
      <c r="B362" s="1" t="n">
        <v>44070</v>
      </c>
      <c r="C362" s="1" t="n">
        <v>45765</v>
      </c>
      <c r="D362" t="inlineStr">
        <is>
          <t>KALMAR LÄN</t>
        </is>
      </c>
      <c r="E362" t="inlineStr">
        <is>
          <t>VIMMERBY</t>
        </is>
      </c>
      <c r="G362" t="n">
        <v>4.9</v>
      </c>
      <c r="H362" t="n">
        <v>0</v>
      </c>
      <c r="I362" t="n">
        <v>0</v>
      </c>
      <c r="J362" t="n">
        <v>0</v>
      </c>
      <c r="K362" t="n">
        <v>0</v>
      </c>
      <c r="L362" t="n">
        <v>0</v>
      </c>
      <c r="M362" t="n">
        <v>0</v>
      </c>
      <c r="N362" t="n">
        <v>0</v>
      </c>
      <c r="O362" t="n">
        <v>0</v>
      </c>
      <c r="P362" t="n">
        <v>0</v>
      </c>
      <c r="Q362" t="n">
        <v>0</v>
      </c>
      <c r="R362" s="2" t="inlineStr"/>
    </row>
    <row r="363" ht="15" customHeight="1">
      <c r="A363" t="inlineStr">
        <is>
          <t>A 40889-2020</t>
        </is>
      </c>
      <c r="B363" s="1" t="n">
        <v>44070</v>
      </c>
      <c r="C363" s="1" t="n">
        <v>45765</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40818-2020</t>
        </is>
      </c>
      <c r="B364" s="1" t="n">
        <v>44070</v>
      </c>
      <c r="C364" s="1" t="n">
        <v>45765</v>
      </c>
      <c r="D364" t="inlineStr">
        <is>
          <t>KALMAR LÄN</t>
        </is>
      </c>
      <c r="E364" t="inlineStr">
        <is>
          <t>VIMMERBY</t>
        </is>
      </c>
      <c r="G364" t="n">
        <v>2.2</v>
      </c>
      <c r="H364" t="n">
        <v>0</v>
      </c>
      <c r="I364" t="n">
        <v>0</v>
      </c>
      <c r="J364" t="n">
        <v>0</v>
      </c>
      <c r="K364" t="n">
        <v>0</v>
      </c>
      <c r="L364" t="n">
        <v>0</v>
      </c>
      <c r="M364" t="n">
        <v>0</v>
      </c>
      <c r="N364" t="n">
        <v>0</v>
      </c>
      <c r="O364" t="n">
        <v>0</v>
      </c>
      <c r="P364" t="n">
        <v>0</v>
      </c>
      <c r="Q364" t="n">
        <v>0</v>
      </c>
      <c r="R364" s="2" t="inlineStr"/>
    </row>
    <row r="365" ht="15" customHeight="1">
      <c r="A365" t="inlineStr">
        <is>
          <t>A 40808-2020</t>
        </is>
      </c>
      <c r="B365" s="1" t="n">
        <v>44070</v>
      </c>
      <c r="C365" s="1" t="n">
        <v>45765</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42067-2020</t>
        </is>
      </c>
      <c r="B366" s="1" t="n">
        <v>44075</v>
      </c>
      <c r="C366" s="1" t="n">
        <v>45765</v>
      </c>
      <c r="D366" t="inlineStr">
        <is>
          <t>KALMAR LÄN</t>
        </is>
      </c>
      <c r="E366" t="inlineStr">
        <is>
          <t>VIMMERBY</t>
        </is>
      </c>
      <c r="G366" t="n">
        <v>1.9</v>
      </c>
      <c r="H366" t="n">
        <v>0</v>
      </c>
      <c r="I366" t="n">
        <v>0</v>
      </c>
      <c r="J366" t="n">
        <v>0</v>
      </c>
      <c r="K366" t="n">
        <v>0</v>
      </c>
      <c r="L366" t="n">
        <v>0</v>
      </c>
      <c r="M366" t="n">
        <v>0</v>
      </c>
      <c r="N366" t="n">
        <v>0</v>
      </c>
      <c r="O366" t="n">
        <v>0</v>
      </c>
      <c r="P366" t="n">
        <v>0</v>
      </c>
      <c r="Q366" t="n">
        <v>0</v>
      </c>
      <c r="R366" s="2" t="inlineStr"/>
    </row>
    <row r="367" ht="15" customHeight="1">
      <c r="A367" t="inlineStr">
        <is>
          <t>A 42494-2020</t>
        </is>
      </c>
      <c r="B367" s="1" t="n">
        <v>44077</v>
      </c>
      <c r="C367" s="1" t="n">
        <v>45765</v>
      </c>
      <c r="D367" t="inlineStr">
        <is>
          <t>KALMAR LÄN</t>
        </is>
      </c>
      <c r="E367" t="inlineStr">
        <is>
          <t>VIMMERBY</t>
        </is>
      </c>
      <c r="G367" t="n">
        <v>2</v>
      </c>
      <c r="H367" t="n">
        <v>0</v>
      </c>
      <c r="I367" t="n">
        <v>0</v>
      </c>
      <c r="J367" t="n">
        <v>0</v>
      </c>
      <c r="K367" t="n">
        <v>0</v>
      </c>
      <c r="L367" t="n">
        <v>0</v>
      </c>
      <c r="M367" t="n">
        <v>0</v>
      </c>
      <c r="N367" t="n">
        <v>0</v>
      </c>
      <c r="O367" t="n">
        <v>0</v>
      </c>
      <c r="P367" t="n">
        <v>0</v>
      </c>
      <c r="Q367" t="n">
        <v>0</v>
      </c>
      <c r="R367" s="2" t="inlineStr"/>
    </row>
    <row r="368" ht="15" customHeight="1">
      <c r="A368" t="inlineStr">
        <is>
          <t>A 44000-2020</t>
        </is>
      </c>
      <c r="B368" s="1" t="n">
        <v>44083</v>
      </c>
      <c r="C368" s="1" t="n">
        <v>45765</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43998-2020</t>
        </is>
      </c>
      <c r="B369" s="1" t="n">
        <v>44083</v>
      </c>
      <c r="C369" s="1" t="n">
        <v>45765</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44605-2020</t>
        </is>
      </c>
      <c r="B370" s="1" t="n">
        <v>44085</v>
      </c>
      <c r="C370" s="1" t="n">
        <v>45765</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45050-2020</t>
        </is>
      </c>
      <c r="B371" s="1" t="n">
        <v>44088</v>
      </c>
      <c r="C371" s="1" t="n">
        <v>45765</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45054-2020</t>
        </is>
      </c>
      <c r="B372" s="1" t="n">
        <v>44088</v>
      </c>
      <c r="C372" s="1" t="n">
        <v>45765</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45528-2020</t>
        </is>
      </c>
      <c r="B373" s="1" t="n">
        <v>44089</v>
      </c>
      <c r="C373" s="1" t="n">
        <v>45765</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45678-2020</t>
        </is>
      </c>
      <c r="B374" s="1" t="n">
        <v>44090</v>
      </c>
      <c r="C374" s="1" t="n">
        <v>45765</v>
      </c>
      <c r="D374" t="inlineStr">
        <is>
          <t>KALMAR LÄN</t>
        </is>
      </c>
      <c r="E374" t="inlineStr">
        <is>
          <t>VIMMERBY</t>
        </is>
      </c>
      <c r="G374" t="n">
        <v>4.3</v>
      </c>
      <c r="H374" t="n">
        <v>0</v>
      </c>
      <c r="I374" t="n">
        <v>0</v>
      </c>
      <c r="J374" t="n">
        <v>0</v>
      </c>
      <c r="K374" t="n">
        <v>0</v>
      </c>
      <c r="L374" t="n">
        <v>0</v>
      </c>
      <c r="M374" t="n">
        <v>0</v>
      </c>
      <c r="N374" t="n">
        <v>0</v>
      </c>
      <c r="O374" t="n">
        <v>0</v>
      </c>
      <c r="P374" t="n">
        <v>0</v>
      </c>
      <c r="Q374" t="n">
        <v>0</v>
      </c>
      <c r="R374" s="2" t="inlineStr"/>
    </row>
    <row r="375" ht="15" customHeight="1">
      <c r="A375" t="inlineStr">
        <is>
          <t>A 46085-2020</t>
        </is>
      </c>
      <c r="B375" s="1" t="n">
        <v>44091</v>
      </c>
      <c r="C375" s="1" t="n">
        <v>45765</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46461-2020</t>
        </is>
      </c>
      <c r="B376" s="1" t="n">
        <v>44092</v>
      </c>
      <c r="C376" s="1" t="n">
        <v>45765</v>
      </c>
      <c r="D376" t="inlineStr">
        <is>
          <t>KALMAR LÄN</t>
        </is>
      </c>
      <c r="E376" t="inlineStr">
        <is>
          <t>VIMMERBY</t>
        </is>
      </c>
      <c r="G376" t="n">
        <v>2.4</v>
      </c>
      <c r="H376" t="n">
        <v>0</v>
      </c>
      <c r="I376" t="n">
        <v>0</v>
      </c>
      <c r="J376" t="n">
        <v>0</v>
      </c>
      <c r="K376" t="n">
        <v>0</v>
      </c>
      <c r="L376" t="n">
        <v>0</v>
      </c>
      <c r="M376" t="n">
        <v>0</v>
      </c>
      <c r="N376" t="n">
        <v>0</v>
      </c>
      <c r="O376" t="n">
        <v>0</v>
      </c>
      <c r="P376" t="n">
        <v>0</v>
      </c>
      <c r="Q376" t="n">
        <v>0</v>
      </c>
      <c r="R376" s="2" t="inlineStr"/>
    </row>
    <row r="377" ht="15" customHeight="1">
      <c r="A377" t="inlineStr">
        <is>
          <t>A 46527-2020</t>
        </is>
      </c>
      <c r="B377" s="1" t="n">
        <v>44095</v>
      </c>
      <c r="C377" s="1" t="n">
        <v>45765</v>
      </c>
      <c r="D377" t="inlineStr">
        <is>
          <t>KALMAR LÄN</t>
        </is>
      </c>
      <c r="E377" t="inlineStr">
        <is>
          <t>VIMMERBY</t>
        </is>
      </c>
      <c r="F377" t="inlineStr">
        <is>
          <t>Sveaskog</t>
        </is>
      </c>
      <c r="G377" t="n">
        <v>2.7</v>
      </c>
      <c r="H377" t="n">
        <v>0</v>
      </c>
      <c r="I377" t="n">
        <v>0</v>
      </c>
      <c r="J377" t="n">
        <v>0</v>
      </c>
      <c r="K377" t="n">
        <v>0</v>
      </c>
      <c r="L377" t="n">
        <v>0</v>
      </c>
      <c r="M377" t="n">
        <v>0</v>
      </c>
      <c r="N377" t="n">
        <v>0</v>
      </c>
      <c r="O377" t="n">
        <v>0</v>
      </c>
      <c r="P377" t="n">
        <v>0</v>
      </c>
      <c r="Q377" t="n">
        <v>0</v>
      </c>
      <c r="R377" s="2" t="inlineStr"/>
    </row>
    <row r="378" ht="15" customHeight="1">
      <c r="A378" t="inlineStr">
        <is>
          <t>A 47295-2020</t>
        </is>
      </c>
      <c r="B378" s="1" t="n">
        <v>44097</v>
      </c>
      <c r="C378" s="1" t="n">
        <v>45765</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49059-2020</t>
        </is>
      </c>
      <c r="B379" s="1" t="n">
        <v>44102</v>
      </c>
      <c r="C379" s="1" t="n">
        <v>45765</v>
      </c>
      <c r="D379" t="inlineStr">
        <is>
          <t>KALMAR LÄN</t>
        </is>
      </c>
      <c r="E379" t="inlineStr">
        <is>
          <t>VIMMERBY</t>
        </is>
      </c>
      <c r="G379" t="n">
        <v>5.8</v>
      </c>
      <c r="H379" t="n">
        <v>0</v>
      </c>
      <c r="I379" t="n">
        <v>0</v>
      </c>
      <c r="J379" t="n">
        <v>0</v>
      </c>
      <c r="K379" t="n">
        <v>0</v>
      </c>
      <c r="L379" t="n">
        <v>0</v>
      </c>
      <c r="M379" t="n">
        <v>0</v>
      </c>
      <c r="N379" t="n">
        <v>0</v>
      </c>
      <c r="O379" t="n">
        <v>0</v>
      </c>
      <c r="P379" t="n">
        <v>0</v>
      </c>
      <c r="Q379" t="n">
        <v>0</v>
      </c>
      <c r="R379" s="2" t="inlineStr"/>
    </row>
    <row r="380" ht="15" customHeight="1">
      <c r="A380" t="inlineStr">
        <is>
          <t>A 48949-2020</t>
        </is>
      </c>
      <c r="B380" s="1" t="n">
        <v>44102</v>
      </c>
      <c r="C380" s="1" t="n">
        <v>45765</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49186-2020</t>
        </is>
      </c>
      <c r="B381" s="1" t="n">
        <v>44105</v>
      </c>
      <c r="C381" s="1" t="n">
        <v>45765</v>
      </c>
      <c r="D381" t="inlineStr">
        <is>
          <t>KALMAR LÄN</t>
        </is>
      </c>
      <c r="E381" t="inlineStr">
        <is>
          <t>VIMMERBY</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51571-2020</t>
        </is>
      </c>
      <c r="B382" s="1" t="n">
        <v>44109</v>
      </c>
      <c r="C382" s="1" t="n">
        <v>45765</v>
      </c>
      <c r="D382" t="inlineStr">
        <is>
          <t>KALMAR LÄN</t>
        </is>
      </c>
      <c r="E382" t="inlineStr">
        <is>
          <t>VIMMERBY</t>
        </is>
      </c>
      <c r="G382" t="n">
        <v>6.1</v>
      </c>
      <c r="H382" t="n">
        <v>0</v>
      </c>
      <c r="I382" t="n">
        <v>0</v>
      </c>
      <c r="J382" t="n">
        <v>0</v>
      </c>
      <c r="K382" t="n">
        <v>0</v>
      </c>
      <c r="L382" t="n">
        <v>0</v>
      </c>
      <c r="M382" t="n">
        <v>0</v>
      </c>
      <c r="N382" t="n">
        <v>0</v>
      </c>
      <c r="O382" t="n">
        <v>0</v>
      </c>
      <c r="P382" t="n">
        <v>0</v>
      </c>
      <c r="Q382" t="n">
        <v>0</v>
      </c>
      <c r="R382" s="2" t="inlineStr"/>
    </row>
    <row r="383" ht="15" customHeight="1">
      <c r="A383" t="inlineStr">
        <is>
          <t>A 51569-2020</t>
        </is>
      </c>
      <c r="B383" s="1" t="n">
        <v>44109</v>
      </c>
      <c r="C383" s="1" t="n">
        <v>45765</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50764-2020</t>
        </is>
      </c>
      <c r="B384" s="1" t="n">
        <v>44111</v>
      </c>
      <c r="C384" s="1" t="n">
        <v>45765</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51977-2020</t>
        </is>
      </c>
      <c r="B385" s="1" t="n">
        <v>44116</v>
      </c>
      <c r="C385" s="1" t="n">
        <v>45765</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52073-2020</t>
        </is>
      </c>
      <c r="B386" s="1" t="n">
        <v>44117</v>
      </c>
      <c r="C386" s="1" t="n">
        <v>45765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53100-2020</t>
        </is>
      </c>
      <c r="B387" s="1" t="n">
        <v>44120</v>
      </c>
      <c r="C387" s="1" t="n">
        <v>45765</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53387-2020</t>
        </is>
      </c>
      <c r="B388" s="1" t="n">
        <v>44123</v>
      </c>
      <c r="C388" s="1" t="n">
        <v>45765</v>
      </c>
      <c r="D388" t="inlineStr">
        <is>
          <t>KALMAR LÄN</t>
        </is>
      </c>
      <c r="E388" t="inlineStr">
        <is>
          <t>VIMMERBY</t>
        </is>
      </c>
      <c r="G388" t="n">
        <v>7.2</v>
      </c>
      <c r="H388" t="n">
        <v>0</v>
      </c>
      <c r="I388" t="n">
        <v>0</v>
      </c>
      <c r="J388" t="n">
        <v>0</v>
      </c>
      <c r="K388" t="n">
        <v>0</v>
      </c>
      <c r="L388" t="n">
        <v>0</v>
      </c>
      <c r="M388" t="n">
        <v>0</v>
      </c>
      <c r="N388" t="n">
        <v>0</v>
      </c>
      <c r="O388" t="n">
        <v>0</v>
      </c>
      <c r="P388" t="n">
        <v>0</v>
      </c>
      <c r="Q388" t="n">
        <v>0</v>
      </c>
      <c r="R388" s="2" t="inlineStr"/>
    </row>
    <row r="389" ht="15" customHeight="1">
      <c r="A389" t="inlineStr">
        <is>
          <t>A 53711-2020</t>
        </is>
      </c>
      <c r="B389" s="1" t="n">
        <v>44124</v>
      </c>
      <c r="C389" s="1" t="n">
        <v>45765</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54917-2020</t>
        </is>
      </c>
      <c r="B390" s="1" t="n">
        <v>44127</v>
      </c>
      <c r="C390" s="1" t="n">
        <v>45765</v>
      </c>
      <c r="D390" t="inlineStr">
        <is>
          <t>KALMAR LÄN</t>
        </is>
      </c>
      <c r="E390" t="inlineStr">
        <is>
          <t>VIMMERBY</t>
        </is>
      </c>
      <c r="G390" t="n">
        <v>9.5</v>
      </c>
      <c r="H390" t="n">
        <v>0</v>
      </c>
      <c r="I390" t="n">
        <v>0</v>
      </c>
      <c r="J390" t="n">
        <v>0</v>
      </c>
      <c r="K390" t="n">
        <v>0</v>
      </c>
      <c r="L390" t="n">
        <v>0</v>
      </c>
      <c r="M390" t="n">
        <v>0</v>
      </c>
      <c r="N390" t="n">
        <v>0</v>
      </c>
      <c r="O390" t="n">
        <v>0</v>
      </c>
      <c r="P390" t="n">
        <v>0</v>
      </c>
      <c r="Q390" t="n">
        <v>0</v>
      </c>
      <c r="R390" s="2" t="inlineStr"/>
    </row>
    <row r="391" ht="15" customHeight="1">
      <c r="A391" t="inlineStr">
        <is>
          <t>A 55053-2020</t>
        </is>
      </c>
      <c r="B391" s="1" t="n">
        <v>44130</v>
      </c>
      <c r="C391" s="1" t="n">
        <v>45765</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57948-2020</t>
        </is>
      </c>
      <c r="B392" s="1" t="n">
        <v>44142</v>
      </c>
      <c r="C392" s="1" t="n">
        <v>45765</v>
      </c>
      <c r="D392" t="inlineStr">
        <is>
          <t>KALMAR LÄN</t>
        </is>
      </c>
      <c r="E392" t="inlineStr">
        <is>
          <t>VIMMERBY</t>
        </is>
      </c>
      <c r="G392" t="n">
        <v>7.1</v>
      </c>
      <c r="H392" t="n">
        <v>0</v>
      </c>
      <c r="I392" t="n">
        <v>0</v>
      </c>
      <c r="J392" t="n">
        <v>0</v>
      </c>
      <c r="K392" t="n">
        <v>0</v>
      </c>
      <c r="L392" t="n">
        <v>0</v>
      </c>
      <c r="M392" t="n">
        <v>0</v>
      </c>
      <c r="N392" t="n">
        <v>0</v>
      </c>
      <c r="O392" t="n">
        <v>0</v>
      </c>
      <c r="P392" t="n">
        <v>0</v>
      </c>
      <c r="Q392" t="n">
        <v>0</v>
      </c>
      <c r="R392" s="2" t="inlineStr"/>
    </row>
    <row r="393" ht="15" customHeight="1">
      <c r="A393" t="inlineStr">
        <is>
          <t>A 58026-2020</t>
        </is>
      </c>
      <c r="B393" s="1" t="n">
        <v>44144</v>
      </c>
      <c r="C393" s="1" t="n">
        <v>45765</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58145-2020</t>
        </is>
      </c>
      <c r="B394" s="1" t="n">
        <v>44144</v>
      </c>
      <c r="C394" s="1" t="n">
        <v>45765</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60810-2020</t>
        </is>
      </c>
      <c r="B395" s="1" t="n">
        <v>44154</v>
      </c>
      <c r="C395" s="1" t="n">
        <v>45765</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61878-2020</t>
        </is>
      </c>
      <c r="B396" s="1" t="n">
        <v>44159</v>
      </c>
      <c r="C396" s="1" t="n">
        <v>45765</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64707-2020</t>
        </is>
      </c>
      <c r="B397" s="1" t="n">
        <v>44169</v>
      </c>
      <c r="C397" s="1" t="n">
        <v>45765</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65049-2020</t>
        </is>
      </c>
      <c r="B398" s="1" t="n">
        <v>44172</v>
      </c>
      <c r="C398" s="1" t="n">
        <v>45765</v>
      </c>
      <c r="D398" t="inlineStr">
        <is>
          <t>KALMAR LÄN</t>
        </is>
      </c>
      <c r="E398" t="inlineStr">
        <is>
          <t>VIMMERBY</t>
        </is>
      </c>
      <c r="G398" t="n">
        <v>2.3</v>
      </c>
      <c r="H398" t="n">
        <v>0</v>
      </c>
      <c r="I398" t="n">
        <v>0</v>
      </c>
      <c r="J398" t="n">
        <v>0</v>
      </c>
      <c r="K398" t="n">
        <v>0</v>
      </c>
      <c r="L398" t="n">
        <v>0</v>
      </c>
      <c r="M398" t="n">
        <v>0</v>
      </c>
      <c r="N398" t="n">
        <v>0</v>
      </c>
      <c r="O398" t="n">
        <v>0</v>
      </c>
      <c r="P398" t="n">
        <v>0</v>
      </c>
      <c r="Q398" t="n">
        <v>0</v>
      </c>
      <c r="R398" s="2" t="inlineStr"/>
    </row>
    <row r="399" ht="15" customHeight="1">
      <c r="A399" t="inlineStr">
        <is>
          <t>A 65564-2020</t>
        </is>
      </c>
      <c r="B399" s="1" t="n">
        <v>44172</v>
      </c>
      <c r="C399" s="1" t="n">
        <v>45765</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65956-2020</t>
        </is>
      </c>
      <c r="B400" s="1" t="n">
        <v>44175</v>
      </c>
      <c r="C400" s="1" t="n">
        <v>45765</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65952-2020</t>
        </is>
      </c>
      <c r="B401" s="1" t="n">
        <v>44175</v>
      </c>
      <c r="C401" s="1" t="n">
        <v>45765</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65961-2020</t>
        </is>
      </c>
      <c r="B402" s="1" t="n">
        <v>44175</v>
      </c>
      <c r="C402" s="1" t="n">
        <v>45765</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65973-2020</t>
        </is>
      </c>
      <c r="B403" s="1" t="n">
        <v>44175</v>
      </c>
      <c r="C403" s="1" t="n">
        <v>45765</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66913-2020</t>
        </is>
      </c>
      <c r="B404" s="1" t="n">
        <v>44175</v>
      </c>
      <c r="C404" s="1" t="n">
        <v>45765</v>
      </c>
      <c r="D404" t="inlineStr">
        <is>
          <t>KALMAR LÄN</t>
        </is>
      </c>
      <c r="E404" t="inlineStr">
        <is>
          <t>VIMMERBY</t>
        </is>
      </c>
      <c r="G404" t="n">
        <v>5.6</v>
      </c>
      <c r="H404" t="n">
        <v>0</v>
      </c>
      <c r="I404" t="n">
        <v>0</v>
      </c>
      <c r="J404" t="n">
        <v>0</v>
      </c>
      <c r="K404" t="n">
        <v>0</v>
      </c>
      <c r="L404" t="n">
        <v>0</v>
      </c>
      <c r="M404" t="n">
        <v>0</v>
      </c>
      <c r="N404" t="n">
        <v>0</v>
      </c>
      <c r="O404" t="n">
        <v>0</v>
      </c>
      <c r="P404" t="n">
        <v>0</v>
      </c>
      <c r="Q404" t="n">
        <v>0</v>
      </c>
      <c r="R404" s="2" t="inlineStr"/>
    </row>
    <row r="405" ht="15" customHeight="1">
      <c r="A405" t="inlineStr">
        <is>
          <t>A 66295-2020</t>
        </is>
      </c>
      <c r="B405" s="1" t="n">
        <v>44176</v>
      </c>
      <c r="C405" s="1" t="n">
        <v>45765</v>
      </c>
      <c r="D405" t="inlineStr">
        <is>
          <t>KALMAR LÄN</t>
        </is>
      </c>
      <c r="E405" t="inlineStr">
        <is>
          <t>VIMMERBY</t>
        </is>
      </c>
      <c r="G405" t="n">
        <v>4.1</v>
      </c>
      <c r="H405" t="n">
        <v>0</v>
      </c>
      <c r="I405" t="n">
        <v>0</v>
      </c>
      <c r="J405" t="n">
        <v>0</v>
      </c>
      <c r="K405" t="n">
        <v>0</v>
      </c>
      <c r="L405" t="n">
        <v>0</v>
      </c>
      <c r="M405" t="n">
        <v>0</v>
      </c>
      <c r="N405" t="n">
        <v>0</v>
      </c>
      <c r="O405" t="n">
        <v>0</v>
      </c>
      <c r="P405" t="n">
        <v>0</v>
      </c>
      <c r="Q405" t="n">
        <v>0</v>
      </c>
      <c r="R405" s="2" t="inlineStr"/>
    </row>
    <row r="406" ht="15" customHeight="1">
      <c r="A406" t="inlineStr">
        <is>
          <t>A 68744-2020</t>
        </is>
      </c>
      <c r="B406" s="1" t="n">
        <v>44186</v>
      </c>
      <c r="C406" s="1" t="n">
        <v>45765</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68785-2020</t>
        </is>
      </c>
      <c r="B407" s="1" t="n">
        <v>44186</v>
      </c>
      <c r="C407" s="1" t="n">
        <v>45765</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618-2021</t>
        </is>
      </c>
      <c r="B408" s="1" t="n">
        <v>44203</v>
      </c>
      <c r="C408" s="1" t="n">
        <v>45765</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1929-2021</t>
        </is>
      </c>
      <c r="B409" s="1" t="n">
        <v>44210</v>
      </c>
      <c r="C409" s="1" t="n">
        <v>45765</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2555-2021</t>
        </is>
      </c>
      <c r="B410" s="1" t="n">
        <v>44214</v>
      </c>
      <c r="C410" s="1" t="n">
        <v>45765</v>
      </c>
      <c r="D410" t="inlineStr">
        <is>
          <t>KALMAR LÄN</t>
        </is>
      </c>
      <c r="E410" t="inlineStr">
        <is>
          <t>VIMMERBY</t>
        </is>
      </c>
      <c r="G410" t="n">
        <v>7.3</v>
      </c>
      <c r="H410" t="n">
        <v>0</v>
      </c>
      <c r="I410" t="n">
        <v>0</v>
      </c>
      <c r="J410" t="n">
        <v>0</v>
      </c>
      <c r="K410" t="n">
        <v>0</v>
      </c>
      <c r="L410" t="n">
        <v>0</v>
      </c>
      <c r="M410" t="n">
        <v>0</v>
      </c>
      <c r="N410" t="n">
        <v>0</v>
      </c>
      <c r="O410" t="n">
        <v>0</v>
      </c>
      <c r="P410" t="n">
        <v>0</v>
      </c>
      <c r="Q410" t="n">
        <v>0</v>
      </c>
      <c r="R410" s="2" t="inlineStr"/>
    </row>
    <row r="411" ht="15" customHeight="1">
      <c r="A411" t="inlineStr">
        <is>
          <t>A 2654-2021</t>
        </is>
      </c>
      <c r="B411" s="1" t="n">
        <v>44215</v>
      </c>
      <c r="C411" s="1" t="n">
        <v>45765</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3330-2021</t>
        </is>
      </c>
      <c r="B412" s="1" t="n">
        <v>44217</v>
      </c>
      <c r="C412" s="1" t="n">
        <v>45765</v>
      </c>
      <c r="D412" t="inlineStr">
        <is>
          <t>KALMAR LÄN</t>
        </is>
      </c>
      <c r="E412" t="inlineStr">
        <is>
          <t>VIMMERBY</t>
        </is>
      </c>
      <c r="G412" t="n">
        <v>11.1</v>
      </c>
      <c r="H412" t="n">
        <v>0</v>
      </c>
      <c r="I412" t="n">
        <v>0</v>
      </c>
      <c r="J412" t="n">
        <v>0</v>
      </c>
      <c r="K412" t="n">
        <v>0</v>
      </c>
      <c r="L412" t="n">
        <v>0</v>
      </c>
      <c r="M412" t="n">
        <v>0</v>
      </c>
      <c r="N412" t="n">
        <v>0</v>
      </c>
      <c r="O412" t="n">
        <v>0</v>
      </c>
      <c r="P412" t="n">
        <v>0</v>
      </c>
      <c r="Q412" t="n">
        <v>0</v>
      </c>
      <c r="R412" s="2" t="inlineStr"/>
    </row>
    <row r="413" ht="15" customHeight="1">
      <c r="A413" t="inlineStr">
        <is>
          <t>A 3184-2021</t>
        </is>
      </c>
      <c r="B413" s="1" t="n">
        <v>44217</v>
      </c>
      <c r="C413" s="1" t="n">
        <v>45765</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3621-2021</t>
        </is>
      </c>
      <c r="B414" s="1" t="n">
        <v>44221</v>
      </c>
      <c r="C414" s="1" t="n">
        <v>45765</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4762-2021</t>
        </is>
      </c>
      <c r="B415" s="1" t="n">
        <v>44225</v>
      </c>
      <c r="C415" s="1" t="n">
        <v>45765</v>
      </c>
      <c r="D415" t="inlineStr">
        <is>
          <t>KALMAR LÄN</t>
        </is>
      </c>
      <c r="E415" t="inlineStr">
        <is>
          <t>VIMMERBY</t>
        </is>
      </c>
      <c r="G415" t="n">
        <v>5.3</v>
      </c>
      <c r="H415" t="n">
        <v>0</v>
      </c>
      <c r="I415" t="n">
        <v>0</v>
      </c>
      <c r="J415" t="n">
        <v>0</v>
      </c>
      <c r="K415" t="n">
        <v>0</v>
      </c>
      <c r="L415" t="n">
        <v>0</v>
      </c>
      <c r="M415" t="n">
        <v>0</v>
      </c>
      <c r="N415" t="n">
        <v>0</v>
      </c>
      <c r="O415" t="n">
        <v>0</v>
      </c>
      <c r="P415" t="n">
        <v>0</v>
      </c>
      <c r="Q415" t="n">
        <v>0</v>
      </c>
      <c r="R415" s="2" t="inlineStr"/>
    </row>
    <row r="416" ht="15" customHeight="1">
      <c r="A416" t="inlineStr">
        <is>
          <t>A 5689-2021</t>
        </is>
      </c>
      <c r="B416" s="1" t="n">
        <v>44230</v>
      </c>
      <c r="C416" s="1" t="n">
        <v>45765</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5654-2021</t>
        </is>
      </c>
      <c r="B417" s="1" t="n">
        <v>44230</v>
      </c>
      <c r="C417" s="1" t="n">
        <v>45765</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7072-2021</t>
        </is>
      </c>
      <c r="B418" s="1" t="n">
        <v>44237</v>
      </c>
      <c r="C418" s="1" t="n">
        <v>45765</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7075-2021</t>
        </is>
      </c>
      <c r="B419" s="1" t="n">
        <v>44237</v>
      </c>
      <c r="C419" s="1" t="n">
        <v>45765</v>
      </c>
      <c r="D419" t="inlineStr">
        <is>
          <t>KALMAR LÄN</t>
        </is>
      </c>
      <c r="E419" t="inlineStr">
        <is>
          <t>VIMMERBY</t>
        </is>
      </c>
      <c r="G419" t="n">
        <v>3.6</v>
      </c>
      <c r="H419" t="n">
        <v>0</v>
      </c>
      <c r="I419" t="n">
        <v>0</v>
      </c>
      <c r="J419" t="n">
        <v>0</v>
      </c>
      <c r="K419" t="n">
        <v>0</v>
      </c>
      <c r="L419" t="n">
        <v>0</v>
      </c>
      <c r="M419" t="n">
        <v>0</v>
      </c>
      <c r="N419" t="n">
        <v>0</v>
      </c>
      <c r="O419" t="n">
        <v>0</v>
      </c>
      <c r="P419" t="n">
        <v>0</v>
      </c>
      <c r="Q419" t="n">
        <v>0</v>
      </c>
      <c r="R419" s="2" t="inlineStr"/>
    </row>
    <row r="420" ht="15" customHeight="1">
      <c r="A420" t="inlineStr">
        <is>
          <t>A 7515-2021</t>
        </is>
      </c>
      <c r="B420" s="1" t="n">
        <v>44238</v>
      </c>
      <c r="C420" s="1" t="n">
        <v>45765</v>
      </c>
      <c r="D420" t="inlineStr">
        <is>
          <t>KALMAR LÄN</t>
        </is>
      </c>
      <c r="E420" t="inlineStr">
        <is>
          <t>VIMMERBY</t>
        </is>
      </c>
      <c r="G420" t="n">
        <v>20.9</v>
      </c>
      <c r="H420" t="n">
        <v>0</v>
      </c>
      <c r="I420" t="n">
        <v>0</v>
      </c>
      <c r="J420" t="n">
        <v>0</v>
      </c>
      <c r="K420" t="n">
        <v>0</v>
      </c>
      <c r="L420" t="n">
        <v>0</v>
      </c>
      <c r="M420" t="n">
        <v>0</v>
      </c>
      <c r="N420" t="n">
        <v>0</v>
      </c>
      <c r="O420" t="n">
        <v>0</v>
      </c>
      <c r="P420" t="n">
        <v>0</v>
      </c>
      <c r="Q420" t="n">
        <v>0</v>
      </c>
      <c r="R420" s="2" t="inlineStr"/>
    </row>
    <row r="421" ht="15" customHeight="1">
      <c r="A421" t="inlineStr">
        <is>
          <t>A 7828-2021</t>
        </is>
      </c>
      <c r="B421" s="1" t="n">
        <v>44242</v>
      </c>
      <c r="C421" s="1" t="n">
        <v>45765</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8121-2021</t>
        </is>
      </c>
      <c r="B422" s="1" t="n">
        <v>44243</v>
      </c>
      <c r="C422" s="1" t="n">
        <v>45765</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8086-2021</t>
        </is>
      </c>
      <c r="B423" s="1" t="n">
        <v>44243</v>
      </c>
      <c r="C423" s="1" t="n">
        <v>45765</v>
      </c>
      <c r="D423" t="inlineStr">
        <is>
          <t>KALMAR LÄN</t>
        </is>
      </c>
      <c r="E423" t="inlineStr">
        <is>
          <t>VIMMERBY</t>
        </is>
      </c>
      <c r="G423" t="n">
        <v>4.1</v>
      </c>
      <c r="H423" t="n">
        <v>0</v>
      </c>
      <c r="I423" t="n">
        <v>0</v>
      </c>
      <c r="J423" t="n">
        <v>0</v>
      </c>
      <c r="K423" t="n">
        <v>0</v>
      </c>
      <c r="L423" t="n">
        <v>0</v>
      </c>
      <c r="M423" t="n">
        <v>0</v>
      </c>
      <c r="N423" t="n">
        <v>0</v>
      </c>
      <c r="O423" t="n">
        <v>0</v>
      </c>
      <c r="P423" t="n">
        <v>0</v>
      </c>
      <c r="Q423" t="n">
        <v>0</v>
      </c>
      <c r="R423" s="2" t="inlineStr"/>
    </row>
    <row r="424" ht="15" customHeight="1">
      <c r="A424" t="inlineStr">
        <is>
          <t>A 8415-2021</t>
        </is>
      </c>
      <c r="B424" s="1" t="n">
        <v>44245</v>
      </c>
      <c r="C424" s="1" t="n">
        <v>45765</v>
      </c>
      <c r="D424" t="inlineStr">
        <is>
          <t>KALMAR LÄN</t>
        </is>
      </c>
      <c r="E424" t="inlineStr">
        <is>
          <t>VIMMERBY</t>
        </is>
      </c>
      <c r="G424" t="n">
        <v>4.7</v>
      </c>
      <c r="H424" t="n">
        <v>0</v>
      </c>
      <c r="I424" t="n">
        <v>0</v>
      </c>
      <c r="J424" t="n">
        <v>0</v>
      </c>
      <c r="K424" t="n">
        <v>0</v>
      </c>
      <c r="L424" t="n">
        <v>0</v>
      </c>
      <c r="M424" t="n">
        <v>0</v>
      </c>
      <c r="N424" t="n">
        <v>0</v>
      </c>
      <c r="O424" t="n">
        <v>0</v>
      </c>
      <c r="P424" t="n">
        <v>0</v>
      </c>
      <c r="Q424" t="n">
        <v>0</v>
      </c>
      <c r="R424" s="2" t="inlineStr"/>
    </row>
    <row r="425" ht="15" customHeight="1">
      <c r="A425" t="inlineStr">
        <is>
          <t>A 9836-2021</t>
        </is>
      </c>
      <c r="B425" s="1" t="n">
        <v>44253</v>
      </c>
      <c r="C425" s="1" t="n">
        <v>45765</v>
      </c>
      <c r="D425" t="inlineStr">
        <is>
          <t>KALMAR LÄN</t>
        </is>
      </c>
      <c r="E425" t="inlineStr">
        <is>
          <t>VIMMERBY</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10674-2021</t>
        </is>
      </c>
      <c r="B426" s="1" t="n">
        <v>44258</v>
      </c>
      <c r="C426" s="1" t="n">
        <v>45765</v>
      </c>
      <c r="D426" t="inlineStr">
        <is>
          <t>KALMAR LÄN</t>
        </is>
      </c>
      <c r="E426" t="inlineStr">
        <is>
          <t>VIMMERBY</t>
        </is>
      </c>
      <c r="G426" t="n">
        <v>8.4</v>
      </c>
      <c r="H426" t="n">
        <v>0</v>
      </c>
      <c r="I426" t="n">
        <v>0</v>
      </c>
      <c r="J426" t="n">
        <v>0</v>
      </c>
      <c r="K426" t="n">
        <v>0</v>
      </c>
      <c r="L426" t="n">
        <v>0</v>
      </c>
      <c r="M426" t="n">
        <v>0</v>
      </c>
      <c r="N426" t="n">
        <v>0</v>
      </c>
      <c r="O426" t="n">
        <v>0</v>
      </c>
      <c r="P426" t="n">
        <v>0</v>
      </c>
      <c r="Q426" t="n">
        <v>0</v>
      </c>
      <c r="R426" s="2" t="inlineStr"/>
    </row>
    <row r="427" ht="15" customHeight="1">
      <c r="A427" t="inlineStr">
        <is>
          <t>A 10518-2021</t>
        </is>
      </c>
      <c r="B427" s="1" t="n">
        <v>44258</v>
      </c>
      <c r="C427" s="1" t="n">
        <v>45765</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10744-2021</t>
        </is>
      </c>
      <c r="B428" s="1" t="n">
        <v>44259</v>
      </c>
      <c r="C428" s="1" t="n">
        <v>45765</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10928-2021</t>
        </is>
      </c>
      <c r="B429" s="1" t="n">
        <v>44259</v>
      </c>
      <c r="C429" s="1" t="n">
        <v>45765</v>
      </c>
      <c r="D429" t="inlineStr">
        <is>
          <t>KALMAR LÄN</t>
        </is>
      </c>
      <c r="E429" t="inlineStr">
        <is>
          <t>VIMMERBY</t>
        </is>
      </c>
      <c r="G429" t="n">
        <v>2.5</v>
      </c>
      <c r="H429" t="n">
        <v>0</v>
      </c>
      <c r="I429" t="n">
        <v>0</v>
      </c>
      <c r="J429" t="n">
        <v>0</v>
      </c>
      <c r="K429" t="n">
        <v>0</v>
      </c>
      <c r="L429" t="n">
        <v>0</v>
      </c>
      <c r="M429" t="n">
        <v>0</v>
      </c>
      <c r="N429" t="n">
        <v>0</v>
      </c>
      <c r="O429" t="n">
        <v>0</v>
      </c>
      <c r="P429" t="n">
        <v>0</v>
      </c>
      <c r="Q429" t="n">
        <v>0</v>
      </c>
      <c r="R429" s="2" t="inlineStr"/>
    </row>
    <row r="430" ht="15" customHeight="1">
      <c r="A430" t="inlineStr">
        <is>
          <t>A 11011-2021</t>
        </is>
      </c>
      <c r="B430" s="1" t="n">
        <v>44260</v>
      </c>
      <c r="C430" s="1" t="n">
        <v>45765</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12241-2021</t>
        </is>
      </c>
      <c r="B431" s="1" t="n">
        <v>44266</v>
      </c>
      <c r="C431" s="1" t="n">
        <v>45765</v>
      </c>
      <c r="D431" t="inlineStr">
        <is>
          <t>KALMAR LÄN</t>
        </is>
      </c>
      <c r="E431" t="inlineStr">
        <is>
          <t>VIMMERBY</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12465-2021</t>
        </is>
      </c>
      <c r="B432" s="1" t="n">
        <v>44267</v>
      </c>
      <c r="C432" s="1" t="n">
        <v>45765</v>
      </c>
      <c r="D432" t="inlineStr">
        <is>
          <t>KALMAR LÄN</t>
        </is>
      </c>
      <c r="E432" t="inlineStr">
        <is>
          <t>VIMMERBY</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12467-2021</t>
        </is>
      </c>
      <c r="B433" s="1" t="n">
        <v>44267</v>
      </c>
      <c r="C433" s="1" t="n">
        <v>45765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12586-2021</t>
        </is>
      </c>
      <c r="B434" s="1" t="n">
        <v>44270</v>
      </c>
      <c r="C434" s="1" t="n">
        <v>45765</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12661-2021</t>
        </is>
      </c>
      <c r="B435" s="1" t="n">
        <v>44270</v>
      </c>
      <c r="C435" s="1" t="n">
        <v>45765</v>
      </c>
      <c r="D435" t="inlineStr">
        <is>
          <t>KALMAR LÄN</t>
        </is>
      </c>
      <c r="E435" t="inlineStr">
        <is>
          <t>VIMMERBY</t>
        </is>
      </c>
      <c r="G435" t="n">
        <v>1.8</v>
      </c>
      <c r="H435" t="n">
        <v>0</v>
      </c>
      <c r="I435" t="n">
        <v>0</v>
      </c>
      <c r="J435" t="n">
        <v>0</v>
      </c>
      <c r="K435" t="n">
        <v>0</v>
      </c>
      <c r="L435" t="n">
        <v>0</v>
      </c>
      <c r="M435" t="n">
        <v>0</v>
      </c>
      <c r="N435" t="n">
        <v>0</v>
      </c>
      <c r="O435" t="n">
        <v>0</v>
      </c>
      <c r="P435" t="n">
        <v>0</v>
      </c>
      <c r="Q435" t="n">
        <v>0</v>
      </c>
      <c r="R435" s="2" t="inlineStr"/>
    </row>
    <row r="436" ht="15" customHeight="1">
      <c r="A436" t="inlineStr">
        <is>
          <t>A 12757-2021</t>
        </is>
      </c>
      <c r="B436" s="1" t="n">
        <v>44270</v>
      </c>
      <c r="C436" s="1" t="n">
        <v>45765</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12585-2021</t>
        </is>
      </c>
      <c r="B437" s="1" t="n">
        <v>44270</v>
      </c>
      <c r="C437" s="1" t="n">
        <v>45765</v>
      </c>
      <c r="D437" t="inlineStr">
        <is>
          <t>KALMAR LÄN</t>
        </is>
      </c>
      <c r="E437" t="inlineStr">
        <is>
          <t>VIMMERBY</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12597-2021</t>
        </is>
      </c>
      <c r="B438" s="1" t="n">
        <v>44270</v>
      </c>
      <c r="C438" s="1" t="n">
        <v>45765</v>
      </c>
      <c r="D438" t="inlineStr">
        <is>
          <t>KALMAR LÄN</t>
        </is>
      </c>
      <c r="E438" t="inlineStr">
        <is>
          <t>VIMMERBY</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12582-2021</t>
        </is>
      </c>
      <c r="B439" s="1" t="n">
        <v>44270</v>
      </c>
      <c r="C439" s="1" t="n">
        <v>45765</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12596-2021</t>
        </is>
      </c>
      <c r="B440" s="1" t="n">
        <v>44270</v>
      </c>
      <c r="C440" s="1" t="n">
        <v>45765</v>
      </c>
      <c r="D440" t="inlineStr">
        <is>
          <t>KALMAR LÄN</t>
        </is>
      </c>
      <c r="E440" t="inlineStr">
        <is>
          <t>VIMMERBY</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12587-2021</t>
        </is>
      </c>
      <c r="B441" s="1" t="n">
        <v>44270</v>
      </c>
      <c r="C441" s="1" t="n">
        <v>45765</v>
      </c>
      <c r="D441" t="inlineStr">
        <is>
          <t>KALMAR LÄN</t>
        </is>
      </c>
      <c r="E441" t="inlineStr">
        <is>
          <t>VIMMERBY</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12595-2021</t>
        </is>
      </c>
      <c r="B442" s="1" t="n">
        <v>44270</v>
      </c>
      <c r="C442" s="1" t="n">
        <v>45765</v>
      </c>
      <c r="D442" t="inlineStr">
        <is>
          <t>KALMAR LÄN</t>
        </is>
      </c>
      <c r="E442" t="inlineStr">
        <is>
          <t>VIMMERBY</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12662-2021</t>
        </is>
      </c>
      <c r="B443" s="1" t="n">
        <v>44270</v>
      </c>
      <c r="C443" s="1" t="n">
        <v>45765</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12848-2021</t>
        </is>
      </c>
      <c r="B444" s="1" t="n">
        <v>44271</v>
      </c>
      <c r="C444" s="1" t="n">
        <v>45765</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13457-2021</t>
        </is>
      </c>
      <c r="B445" s="1" t="n">
        <v>44273</v>
      </c>
      <c r="C445" s="1" t="n">
        <v>45765</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13492-2021</t>
        </is>
      </c>
      <c r="B446" s="1" t="n">
        <v>44273</v>
      </c>
      <c r="C446" s="1" t="n">
        <v>45765</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14220-2021</t>
        </is>
      </c>
      <c r="B447" s="1" t="n">
        <v>44278</v>
      </c>
      <c r="C447" s="1" t="n">
        <v>45765</v>
      </c>
      <c r="D447" t="inlineStr">
        <is>
          <t>KALMAR LÄN</t>
        </is>
      </c>
      <c r="E447" t="inlineStr">
        <is>
          <t>VIMMERBY</t>
        </is>
      </c>
      <c r="G447" t="n">
        <v>0.3</v>
      </c>
      <c r="H447" t="n">
        <v>0</v>
      </c>
      <c r="I447" t="n">
        <v>0</v>
      </c>
      <c r="J447" t="n">
        <v>0</v>
      </c>
      <c r="K447" t="n">
        <v>0</v>
      </c>
      <c r="L447" t="n">
        <v>0</v>
      </c>
      <c r="M447" t="n">
        <v>0</v>
      </c>
      <c r="N447" t="n">
        <v>0</v>
      </c>
      <c r="O447" t="n">
        <v>0</v>
      </c>
      <c r="P447" t="n">
        <v>0</v>
      </c>
      <c r="Q447" t="n">
        <v>0</v>
      </c>
      <c r="R447" s="2" t="inlineStr"/>
    </row>
    <row r="448" ht="15" customHeight="1">
      <c r="A448" t="inlineStr">
        <is>
          <t>A 14278-2021</t>
        </is>
      </c>
      <c r="B448" s="1" t="n">
        <v>44278</v>
      </c>
      <c r="C448" s="1" t="n">
        <v>45765</v>
      </c>
      <c r="D448" t="inlineStr">
        <is>
          <t>KALMAR LÄN</t>
        </is>
      </c>
      <c r="E448" t="inlineStr">
        <is>
          <t>VIMMERBY</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14347-2021</t>
        </is>
      </c>
      <c r="B449" s="1" t="n">
        <v>44279</v>
      </c>
      <c r="C449" s="1" t="n">
        <v>45765</v>
      </c>
      <c r="D449" t="inlineStr">
        <is>
          <t>KALMAR LÄN</t>
        </is>
      </c>
      <c r="E449" t="inlineStr">
        <is>
          <t>VIMMERBY</t>
        </is>
      </c>
      <c r="G449" t="n">
        <v>6.4</v>
      </c>
      <c r="H449" t="n">
        <v>0</v>
      </c>
      <c r="I449" t="n">
        <v>0</v>
      </c>
      <c r="J449" t="n">
        <v>0</v>
      </c>
      <c r="K449" t="n">
        <v>0</v>
      </c>
      <c r="L449" t="n">
        <v>0</v>
      </c>
      <c r="M449" t="n">
        <v>0</v>
      </c>
      <c r="N449" t="n">
        <v>0</v>
      </c>
      <c r="O449" t="n">
        <v>0</v>
      </c>
      <c r="P449" t="n">
        <v>0</v>
      </c>
      <c r="Q449" t="n">
        <v>0</v>
      </c>
      <c r="R449" s="2" t="inlineStr"/>
    </row>
    <row r="450" ht="15" customHeight="1">
      <c r="A450" t="inlineStr">
        <is>
          <t>A 14451-2021</t>
        </is>
      </c>
      <c r="B450" s="1" t="n">
        <v>44279</v>
      </c>
      <c r="C450" s="1" t="n">
        <v>45765</v>
      </c>
      <c r="D450" t="inlineStr">
        <is>
          <t>KALMAR LÄN</t>
        </is>
      </c>
      <c r="E450" t="inlineStr">
        <is>
          <t>VIMMERBY</t>
        </is>
      </c>
      <c r="F450" t="inlineStr">
        <is>
          <t>Sveaskog</t>
        </is>
      </c>
      <c r="G450" t="n">
        <v>9.4</v>
      </c>
      <c r="H450" t="n">
        <v>0</v>
      </c>
      <c r="I450" t="n">
        <v>0</v>
      </c>
      <c r="J450" t="n">
        <v>0</v>
      </c>
      <c r="K450" t="n">
        <v>0</v>
      </c>
      <c r="L450" t="n">
        <v>0</v>
      </c>
      <c r="M450" t="n">
        <v>0</v>
      </c>
      <c r="N450" t="n">
        <v>0</v>
      </c>
      <c r="O450" t="n">
        <v>0</v>
      </c>
      <c r="P450" t="n">
        <v>0</v>
      </c>
      <c r="Q450" t="n">
        <v>0</v>
      </c>
      <c r="R450" s="2" t="inlineStr"/>
    </row>
    <row r="451" ht="15" customHeight="1">
      <c r="A451" t="inlineStr">
        <is>
          <t>A 14521-2021</t>
        </is>
      </c>
      <c r="B451" s="1" t="n">
        <v>44279</v>
      </c>
      <c r="C451" s="1" t="n">
        <v>45765</v>
      </c>
      <c r="D451" t="inlineStr">
        <is>
          <t>KALMAR LÄN</t>
        </is>
      </c>
      <c r="E451" t="inlineStr">
        <is>
          <t>VIMMERBY</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15092-2021</t>
        </is>
      </c>
      <c r="B452" s="1" t="n">
        <v>44281</v>
      </c>
      <c r="C452" s="1" t="n">
        <v>45765</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15188-2021</t>
        </is>
      </c>
      <c r="B453" s="1" t="n">
        <v>44284</v>
      </c>
      <c r="C453" s="1" t="n">
        <v>45765</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15191-2021</t>
        </is>
      </c>
      <c r="B454" s="1" t="n">
        <v>44284</v>
      </c>
      <c r="C454" s="1" t="n">
        <v>45765</v>
      </c>
      <c r="D454" t="inlineStr">
        <is>
          <t>KALMAR LÄN</t>
        </is>
      </c>
      <c r="E454" t="inlineStr">
        <is>
          <t>VIMMERBY</t>
        </is>
      </c>
      <c r="G454" t="n">
        <v>1.3</v>
      </c>
      <c r="H454" t="n">
        <v>0</v>
      </c>
      <c r="I454" t="n">
        <v>0</v>
      </c>
      <c r="J454" t="n">
        <v>0</v>
      </c>
      <c r="K454" t="n">
        <v>0</v>
      </c>
      <c r="L454" t="n">
        <v>0</v>
      </c>
      <c r="M454" t="n">
        <v>0</v>
      </c>
      <c r="N454" t="n">
        <v>0</v>
      </c>
      <c r="O454" t="n">
        <v>0</v>
      </c>
      <c r="P454" t="n">
        <v>0</v>
      </c>
      <c r="Q454" t="n">
        <v>0</v>
      </c>
      <c r="R454" s="2" t="inlineStr"/>
    </row>
    <row r="455" ht="15" customHeight="1">
      <c r="A455" t="inlineStr">
        <is>
          <t>A 15200-2021</t>
        </is>
      </c>
      <c r="B455" s="1" t="n">
        <v>44284</v>
      </c>
      <c r="C455" s="1" t="n">
        <v>45765</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15903-2021</t>
        </is>
      </c>
      <c r="B456" s="1" t="n">
        <v>44287</v>
      </c>
      <c r="C456" s="1" t="n">
        <v>45765</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16288-2021</t>
        </is>
      </c>
      <c r="B457" s="1" t="n">
        <v>44292</v>
      </c>
      <c r="C457" s="1" t="n">
        <v>45765</v>
      </c>
      <c r="D457" t="inlineStr">
        <is>
          <t>KALMAR LÄN</t>
        </is>
      </c>
      <c r="E457" t="inlineStr">
        <is>
          <t>VIMMERBY</t>
        </is>
      </c>
      <c r="F457" t="inlineStr">
        <is>
          <t>Övriga Aktiebolag</t>
        </is>
      </c>
      <c r="G457" t="n">
        <v>27.6</v>
      </c>
      <c r="H457" t="n">
        <v>0</v>
      </c>
      <c r="I457" t="n">
        <v>0</v>
      </c>
      <c r="J457" t="n">
        <v>0</v>
      </c>
      <c r="K457" t="n">
        <v>0</v>
      </c>
      <c r="L457" t="n">
        <v>0</v>
      </c>
      <c r="M457" t="n">
        <v>0</v>
      </c>
      <c r="N457" t="n">
        <v>0</v>
      </c>
      <c r="O457" t="n">
        <v>0</v>
      </c>
      <c r="P457" t="n">
        <v>0</v>
      </c>
      <c r="Q457" t="n">
        <v>0</v>
      </c>
      <c r="R457" s="2" t="inlineStr"/>
    </row>
    <row r="458" ht="15" customHeight="1">
      <c r="A458" t="inlineStr">
        <is>
          <t>A 16602-2021</t>
        </is>
      </c>
      <c r="B458" s="1" t="n">
        <v>44294</v>
      </c>
      <c r="C458" s="1" t="n">
        <v>45765</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16607-2021</t>
        </is>
      </c>
      <c r="B459" s="1" t="n">
        <v>44294</v>
      </c>
      <c r="C459" s="1" t="n">
        <v>45765</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17869-2021</t>
        </is>
      </c>
      <c r="B460" s="1" t="n">
        <v>44301</v>
      </c>
      <c r="C460" s="1" t="n">
        <v>45765</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18411-2021</t>
        </is>
      </c>
      <c r="B461" s="1" t="n">
        <v>44302</v>
      </c>
      <c r="C461" s="1" t="n">
        <v>45765</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18276-2021</t>
        </is>
      </c>
      <c r="B462" s="1" t="n">
        <v>44305</v>
      </c>
      <c r="C462" s="1" t="n">
        <v>45765</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18356-2021</t>
        </is>
      </c>
      <c r="B463" s="1" t="n">
        <v>44305</v>
      </c>
      <c r="C463" s="1" t="n">
        <v>45765</v>
      </c>
      <c r="D463" t="inlineStr">
        <is>
          <t>KALMAR LÄN</t>
        </is>
      </c>
      <c r="E463" t="inlineStr">
        <is>
          <t>VIMMERBY</t>
        </is>
      </c>
      <c r="G463" t="n">
        <v>3.4</v>
      </c>
      <c r="H463" t="n">
        <v>0</v>
      </c>
      <c r="I463" t="n">
        <v>0</v>
      </c>
      <c r="J463" t="n">
        <v>0</v>
      </c>
      <c r="K463" t="n">
        <v>0</v>
      </c>
      <c r="L463" t="n">
        <v>0</v>
      </c>
      <c r="M463" t="n">
        <v>0</v>
      </c>
      <c r="N463" t="n">
        <v>0</v>
      </c>
      <c r="O463" t="n">
        <v>0</v>
      </c>
      <c r="P463" t="n">
        <v>0</v>
      </c>
      <c r="Q463" t="n">
        <v>0</v>
      </c>
      <c r="R463" s="2" t="inlineStr"/>
    </row>
    <row r="464" ht="15" customHeight="1">
      <c r="A464" t="inlineStr">
        <is>
          <t>A 18756-2021</t>
        </is>
      </c>
      <c r="B464" s="1" t="n">
        <v>44307</v>
      </c>
      <c r="C464" s="1" t="n">
        <v>45765</v>
      </c>
      <c r="D464" t="inlineStr">
        <is>
          <t>KALMAR LÄN</t>
        </is>
      </c>
      <c r="E464" t="inlineStr">
        <is>
          <t>VIMMERBY</t>
        </is>
      </c>
      <c r="G464" t="n">
        <v>7.4</v>
      </c>
      <c r="H464" t="n">
        <v>0</v>
      </c>
      <c r="I464" t="n">
        <v>0</v>
      </c>
      <c r="J464" t="n">
        <v>0</v>
      </c>
      <c r="K464" t="n">
        <v>0</v>
      </c>
      <c r="L464" t="n">
        <v>0</v>
      </c>
      <c r="M464" t="n">
        <v>0</v>
      </c>
      <c r="N464" t="n">
        <v>0</v>
      </c>
      <c r="O464" t="n">
        <v>0</v>
      </c>
      <c r="P464" t="n">
        <v>0</v>
      </c>
      <c r="Q464" t="n">
        <v>0</v>
      </c>
      <c r="R464" s="2" t="inlineStr"/>
    </row>
    <row r="465" ht="15" customHeight="1">
      <c r="A465" t="inlineStr">
        <is>
          <t>A 19445-2021</t>
        </is>
      </c>
      <c r="B465" s="1" t="n">
        <v>44310</v>
      </c>
      <c r="C465" s="1" t="n">
        <v>45765</v>
      </c>
      <c r="D465" t="inlineStr">
        <is>
          <t>KALMAR LÄN</t>
        </is>
      </c>
      <c r="E465" t="inlineStr">
        <is>
          <t>VIMMERBY</t>
        </is>
      </c>
      <c r="G465" t="n">
        <v>6.8</v>
      </c>
      <c r="H465" t="n">
        <v>0</v>
      </c>
      <c r="I465" t="n">
        <v>0</v>
      </c>
      <c r="J465" t="n">
        <v>0</v>
      </c>
      <c r="K465" t="n">
        <v>0</v>
      </c>
      <c r="L465" t="n">
        <v>0</v>
      </c>
      <c r="M465" t="n">
        <v>0</v>
      </c>
      <c r="N465" t="n">
        <v>0</v>
      </c>
      <c r="O465" t="n">
        <v>0</v>
      </c>
      <c r="P465" t="n">
        <v>0</v>
      </c>
      <c r="Q465" t="n">
        <v>0</v>
      </c>
      <c r="R465" s="2" t="inlineStr"/>
    </row>
    <row r="466" ht="15" customHeight="1">
      <c r="A466" t="inlineStr">
        <is>
          <t>A 19863-2021</t>
        </is>
      </c>
      <c r="B466" s="1" t="n">
        <v>44312</v>
      </c>
      <c r="C466" s="1" t="n">
        <v>45765</v>
      </c>
      <c r="D466" t="inlineStr">
        <is>
          <t>KALMAR LÄN</t>
        </is>
      </c>
      <c r="E466" t="inlineStr">
        <is>
          <t>VIMMERBY</t>
        </is>
      </c>
      <c r="G466" t="n">
        <v>3.7</v>
      </c>
      <c r="H466" t="n">
        <v>0</v>
      </c>
      <c r="I466" t="n">
        <v>0</v>
      </c>
      <c r="J466" t="n">
        <v>0</v>
      </c>
      <c r="K466" t="n">
        <v>0</v>
      </c>
      <c r="L466" t="n">
        <v>0</v>
      </c>
      <c r="M466" t="n">
        <v>0</v>
      </c>
      <c r="N466" t="n">
        <v>0</v>
      </c>
      <c r="O466" t="n">
        <v>0</v>
      </c>
      <c r="P466" t="n">
        <v>0</v>
      </c>
      <c r="Q466" t="n">
        <v>0</v>
      </c>
      <c r="R466" s="2" t="inlineStr"/>
    </row>
    <row r="467" ht="15" customHeight="1">
      <c r="A467" t="inlineStr">
        <is>
          <t>A 19865-2021</t>
        </is>
      </c>
      <c r="B467" s="1" t="n">
        <v>44312</v>
      </c>
      <c r="C467" s="1" t="n">
        <v>45765</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22637-2021</t>
        </is>
      </c>
      <c r="B468" s="1" t="n">
        <v>44327</v>
      </c>
      <c r="C468" s="1" t="n">
        <v>45765</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24369-2021</t>
        </is>
      </c>
      <c r="B469" s="1" t="n">
        <v>44337</v>
      </c>
      <c r="C469" s="1" t="n">
        <v>45765</v>
      </c>
      <c r="D469" t="inlineStr">
        <is>
          <t>KALMAR LÄN</t>
        </is>
      </c>
      <c r="E469" t="inlineStr">
        <is>
          <t>VIMMERBY</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24655-2021</t>
        </is>
      </c>
      <c r="B470" s="1" t="n">
        <v>44340</v>
      </c>
      <c r="C470" s="1" t="n">
        <v>45765</v>
      </c>
      <c r="D470" t="inlineStr">
        <is>
          <t>KALMAR LÄN</t>
        </is>
      </c>
      <c r="E470" t="inlineStr">
        <is>
          <t>VIMMERBY</t>
        </is>
      </c>
      <c r="G470" t="n">
        <v>14.9</v>
      </c>
      <c r="H470" t="n">
        <v>0</v>
      </c>
      <c r="I470" t="n">
        <v>0</v>
      </c>
      <c r="J470" t="n">
        <v>0</v>
      </c>
      <c r="K470" t="n">
        <v>0</v>
      </c>
      <c r="L470" t="n">
        <v>0</v>
      </c>
      <c r="M470" t="n">
        <v>0</v>
      </c>
      <c r="N470" t="n">
        <v>0</v>
      </c>
      <c r="O470" t="n">
        <v>0</v>
      </c>
      <c r="P470" t="n">
        <v>0</v>
      </c>
      <c r="Q470" t="n">
        <v>0</v>
      </c>
      <c r="R470" s="2" t="inlineStr"/>
    </row>
    <row r="471" ht="15" customHeight="1">
      <c r="A471" t="inlineStr">
        <is>
          <t>A 24752-2021</t>
        </is>
      </c>
      <c r="B471" s="1" t="n">
        <v>44340</v>
      </c>
      <c r="C471" s="1" t="n">
        <v>45765</v>
      </c>
      <c r="D471" t="inlineStr">
        <is>
          <t>KALMAR LÄN</t>
        </is>
      </c>
      <c r="E471" t="inlineStr">
        <is>
          <t>VIMMERBY</t>
        </is>
      </c>
      <c r="G471" t="n">
        <v>4.1</v>
      </c>
      <c r="H471" t="n">
        <v>0</v>
      </c>
      <c r="I471" t="n">
        <v>0</v>
      </c>
      <c r="J471" t="n">
        <v>0</v>
      </c>
      <c r="K471" t="n">
        <v>0</v>
      </c>
      <c r="L471" t="n">
        <v>0</v>
      </c>
      <c r="M471" t="n">
        <v>0</v>
      </c>
      <c r="N471" t="n">
        <v>0</v>
      </c>
      <c r="O471" t="n">
        <v>0</v>
      </c>
      <c r="P471" t="n">
        <v>0</v>
      </c>
      <c r="Q471" t="n">
        <v>0</v>
      </c>
      <c r="R471" s="2" t="inlineStr"/>
    </row>
    <row r="472" ht="15" customHeight="1">
      <c r="A472" t="inlineStr">
        <is>
          <t>A 24738-2021</t>
        </is>
      </c>
      <c r="B472" s="1" t="n">
        <v>44340</v>
      </c>
      <c r="C472" s="1" t="n">
        <v>45765</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24723-2021</t>
        </is>
      </c>
      <c r="B473" s="1" t="n">
        <v>44340</v>
      </c>
      <c r="C473" s="1" t="n">
        <v>45765</v>
      </c>
      <c r="D473" t="inlineStr">
        <is>
          <t>KALMAR LÄN</t>
        </is>
      </c>
      <c r="E473" t="inlineStr">
        <is>
          <t>VIMMERBY</t>
        </is>
      </c>
      <c r="G473" t="n">
        <v>3.3</v>
      </c>
      <c r="H473" t="n">
        <v>0</v>
      </c>
      <c r="I473" t="n">
        <v>0</v>
      </c>
      <c r="J473" t="n">
        <v>0</v>
      </c>
      <c r="K473" t="n">
        <v>0</v>
      </c>
      <c r="L473" t="n">
        <v>0</v>
      </c>
      <c r="M473" t="n">
        <v>0</v>
      </c>
      <c r="N473" t="n">
        <v>0</v>
      </c>
      <c r="O473" t="n">
        <v>0</v>
      </c>
      <c r="P473" t="n">
        <v>0</v>
      </c>
      <c r="Q473" t="n">
        <v>0</v>
      </c>
      <c r="R473" s="2" t="inlineStr"/>
    </row>
    <row r="474" ht="15" customHeight="1">
      <c r="A474" t="inlineStr">
        <is>
          <t>A 24999-2021</t>
        </is>
      </c>
      <c r="B474" s="1" t="n">
        <v>44341</v>
      </c>
      <c r="C474" s="1" t="n">
        <v>45765</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27100-2021</t>
        </is>
      </c>
      <c r="B475" s="1" t="n">
        <v>44350</v>
      </c>
      <c r="C475" s="1" t="n">
        <v>45765</v>
      </c>
      <c r="D475" t="inlineStr">
        <is>
          <t>KALMAR LÄN</t>
        </is>
      </c>
      <c r="E475" t="inlineStr">
        <is>
          <t>VIMMERBY</t>
        </is>
      </c>
      <c r="G475" t="n">
        <v>9.6</v>
      </c>
      <c r="H475" t="n">
        <v>0</v>
      </c>
      <c r="I475" t="n">
        <v>0</v>
      </c>
      <c r="J475" t="n">
        <v>0</v>
      </c>
      <c r="K475" t="n">
        <v>0</v>
      </c>
      <c r="L475" t="n">
        <v>0</v>
      </c>
      <c r="M475" t="n">
        <v>0</v>
      </c>
      <c r="N475" t="n">
        <v>0</v>
      </c>
      <c r="O475" t="n">
        <v>0</v>
      </c>
      <c r="P475" t="n">
        <v>0</v>
      </c>
      <c r="Q475" t="n">
        <v>0</v>
      </c>
      <c r="R475" s="2" t="inlineStr"/>
    </row>
    <row r="476" ht="15" customHeight="1">
      <c r="A476" t="inlineStr">
        <is>
          <t>A 27086-2021</t>
        </is>
      </c>
      <c r="B476" s="1" t="n">
        <v>44350</v>
      </c>
      <c r="C476" s="1" t="n">
        <v>45765</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27759-2021</t>
        </is>
      </c>
      <c r="B477" s="1" t="n">
        <v>44354</v>
      </c>
      <c r="C477" s="1" t="n">
        <v>45765</v>
      </c>
      <c r="D477" t="inlineStr">
        <is>
          <t>KALMAR LÄN</t>
        </is>
      </c>
      <c r="E477" t="inlineStr">
        <is>
          <t>VIMMERBY</t>
        </is>
      </c>
      <c r="G477" t="n">
        <v>4.6</v>
      </c>
      <c r="H477" t="n">
        <v>0</v>
      </c>
      <c r="I477" t="n">
        <v>0</v>
      </c>
      <c r="J477" t="n">
        <v>0</v>
      </c>
      <c r="K477" t="n">
        <v>0</v>
      </c>
      <c r="L477" t="n">
        <v>0</v>
      </c>
      <c r="M477" t="n">
        <v>0</v>
      </c>
      <c r="N477" t="n">
        <v>0</v>
      </c>
      <c r="O477" t="n">
        <v>0</v>
      </c>
      <c r="P477" t="n">
        <v>0</v>
      </c>
      <c r="Q477" t="n">
        <v>0</v>
      </c>
      <c r="R477" s="2" t="inlineStr"/>
    </row>
    <row r="478" ht="15" customHeight="1">
      <c r="A478" t="inlineStr">
        <is>
          <t>A 27762-2021</t>
        </is>
      </c>
      <c r="B478" s="1" t="n">
        <v>44354</v>
      </c>
      <c r="C478" s="1" t="n">
        <v>45765</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30682-2021</t>
        </is>
      </c>
      <c r="B479" s="1" t="n">
        <v>44365</v>
      </c>
      <c r="C479" s="1" t="n">
        <v>45765</v>
      </c>
      <c r="D479" t="inlineStr">
        <is>
          <t>KALMAR LÄN</t>
        </is>
      </c>
      <c r="E479" t="inlineStr">
        <is>
          <t>VIMMERBY</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31660-2021</t>
        </is>
      </c>
      <c r="B480" s="1" t="n">
        <v>44369</v>
      </c>
      <c r="C480" s="1" t="n">
        <v>45765</v>
      </c>
      <c r="D480" t="inlineStr">
        <is>
          <t>KALMAR LÄN</t>
        </is>
      </c>
      <c r="E480" t="inlineStr">
        <is>
          <t>VIMMERBY</t>
        </is>
      </c>
      <c r="G480" t="n">
        <v>4.2</v>
      </c>
      <c r="H480" t="n">
        <v>0</v>
      </c>
      <c r="I480" t="n">
        <v>0</v>
      </c>
      <c r="J480" t="n">
        <v>0</v>
      </c>
      <c r="K480" t="n">
        <v>0</v>
      </c>
      <c r="L480" t="n">
        <v>0</v>
      </c>
      <c r="M480" t="n">
        <v>0</v>
      </c>
      <c r="N480" t="n">
        <v>0</v>
      </c>
      <c r="O480" t="n">
        <v>0</v>
      </c>
      <c r="P480" t="n">
        <v>0</v>
      </c>
      <c r="Q480" t="n">
        <v>0</v>
      </c>
      <c r="R480" s="2" t="inlineStr"/>
    </row>
    <row r="481" ht="15" customHeight="1">
      <c r="A481" t="inlineStr">
        <is>
          <t>A 32386-2021</t>
        </is>
      </c>
      <c r="B481" s="1" t="n">
        <v>44371</v>
      </c>
      <c r="C481" s="1" t="n">
        <v>45765</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32607-2021</t>
        </is>
      </c>
      <c r="B482" s="1" t="n">
        <v>44375</v>
      </c>
      <c r="C482" s="1" t="n">
        <v>45765</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32603-2021</t>
        </is>
      </c>
      <c r="B483" s="1" t="n">
        <v>44375</v>
      </c>
      <c r="C483" s="1" t="n">
        <v>45765</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33359-2021</t>
        </is>
      </c>
      <c r="B484" s="1" t="n">
        <v>44377</v>
      </c>
      <c r="C484" s="1" t="n">
        <v>45765</v>
      </c>
      <c r="D484" t="inlineStr">
        <is>
          <t>KALMAR LÄN</t>
        </is>
      </c>
      <c r="E484" t="inlineStr">
        <is>
          <t>VIMMERBY</t>
        </is>
      </c>
      <c r="F484" t="inlineStr">
        <is>
          <t>Kommuner</t>
        </is>
      </c>
      <c r="G484" t="n">
        <v>8</v>
      </c>
      <c r="H484" t="n">
        <v>0</v>
      </c>
      <c r="I484" t="n">
        <v>0</v>
      </c>
      <c r="J484" t="n">
        <v>0</v>
      </c>
      <c r="K484" t="n">
        <v>0</v>
      </c>
      <c r="L484" t="n">
        <v>0</v>
      </c>
      <c r="M484" t="n">
        <v>0</v>
      </c>
      <c r="N484" t="n">
        <v>0</v>
      </c>
      <c r="O484" t="n">
        <v>0</v>
      </c>
      <c r="P484" t="n">
        <v>0</v>
      </c>
      <c r="Q484" t="n">
        <v>0</v>
      </c>
      <c r="R484" s="2" t="inlineStr"/>
    </row>
    <row r="485" ht="15" customHeight="1">
      <c r="A485" t="inlineStr">
        <is>
          <t>A 33374-2021</t>
        </is>
      </c>
      <c r="B485" s="1" t="n">
        <v>44377</v>
      </c>
      <c r="C485" s="1" t="n">
        <v>45765</v>
      </c>
      <c r="D485" t="inlineStr">
        <is>
          <t>KALMAR LÄN</t>
        </is>
      </c>
      <c r="E485" t="inlineStr">
        <is>
          <t>VIMMERBY</t>
        </is>
      </c>
      <c r="G485" t="n">
        <v>3.3</v>
      </c>
      <c r="H485" t="n">
        <v>0</v>
      </c>
      <c r="I485" t="n">
        <v>0</v>
      </c>
      <c r="J485" t="n">
        <v>0</v>
      </c>
      <c r="K485" t="n">
        <v>0</v>
      </c>
      <c r="L485" t="n">
        <v>0</v>
      </c>
      <c r="M485" t="n">
        <v>0</v>
      </c>
      <c r="N485" t="n">
        <v>0</v>
      </c>
      <c r="O485" t="n">
        <v>0</v>
      </c>
      <c r="P485" t="n">
        <v>0</v>
      </c>
      <c r="Q485" t="n">
        <v>0</v>
      </c>
      <c r="R485" s="2" t="inlineStr"/>
    </row>
    <row r="486" ht="15" customHeight="1">
      <c r="A486" t="inlineStr">
        <is>
          <t>A 33446-2021</t>
        </is>
      </c>
      <c r="B486" s="1" t="n">
        <v>44377</v>
      </c>
      <c r="C486" s="1" t="n">
        <v>45765</v>
      </c>
      <c r="D486" t="inlineStr">
        <is>
          <t>KALMAR LÄN</t>
        </is>
      </c>
      <c r="E486" t="inlineStr">
        <is>
          <t>VIMMERBY</t>
        </is>
      </c>
      <c r="G486" t="n">
        <v>4.3</v>
      </c>
      <c r="H486" t="n">
        <v>0</v>
      </c>
      <c r="I486" t="n">
        <v>0</v>
      </c>
      <c r="J486" t="n">
        <v>0</v>
      </c>
      <c r="K486" t="n">
        <v>0</v>
      </c>
      <c r="L486" t="n">
        <v>0</v>
      </c>
      <c r="M486" t="n">
        <v>0</v>
      </c>
      <c r="N486" t="n">
        <v>0</v>
      </c>
      <c r="O486" t="n">
        <v>0</v>
      </c>
      <c r="P486" t="n">
        <v>0</v>
      </c>
      <c r="Q486" t="n">
        <v>0</v>
      </c>
      <c r="R486" s="2" t="inlineStr"/>
    </row>
    <row r="487" ht="15" customHeight="1">
      <c r="A487" t="inlineStr">
        <is>
          <t>A 35198-2021</t>
        </is>
      </c>
      <c r="B487" s="1" t="n">
        <v>44377</v>
      </c>
      <c r="C487" s="1" t="n">
        <v>45765</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34040-2021</t>
        </is>
      </c>
      <c r="B488" s="1" t="n">
        <v>44379</v>
      </c>
      <c r="C488" s="1" t="n">
        <v>45765</v>
      </c>
      <c r="D488" t="inlineStr">
        <is>
          <t>KALMAR LÄN</t>
        </is>
      </c>
      <c r="E488" t="inlineStr">
        <is>
          <t>VIMMERBY</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34036-2021</t>
        </is>
      </c>
      <c r="B489" s="1" t="n">
        <v>44379</v>
      </c>
      <c r="C489" s="1" t="n">
        <v>45765</v>
      </c>
      <c r="D489" t="inlineStr">
        <is>
          <t>KALMAR LÄN</t>
        </is>
      </c>
      <c r="E489" t="inlineStr">
        <is>
          <t>VIMMERBY</t>
        </is>
      </c>
      <c r="F489" t="inlineStr">
        <is>
          <t>Sveaskog</t>
        </is>
      </c>
      <c r="G489" t="n">
        <v>7</v>
      </c>
      <c r="H489" t="n">
        <v>0</v>
      </c>
      <c r="I489" t="n">
        <v>0</v>
      </c>
      <c r="J489" t="n">
        <v>0</v>
      </c>
      <c r="K489" t="n">
        <v>0</v>
      </c>
      <c r="L489" t="n">
        <v>0</v>
      </c>
      <c r="M489" t="n">
        <v>0</v>
      </c>
      <c r="N489" t="n">
        <v>0</v>
      </c>
      <c r="O489" t="n">
        <v>0</v>
      </c>
      <c r="P489" t="n">
        <v>0</v>
      </c>
      <c r="Q489" t="n">
        <v>0</v>
      </c>
      <c r="R489" s="2" t="inlineStr"/>
    </row>
    <row r="490" ht="15" customHeight="1">
      <c r="A490" t="inlineStr">
        <is>
          <t>A 35001-2021</t>
        </is>
      </c>
      <c r="B490" s="1" t="n">
        <v>44383</v>
      </c>
      <c r="C490" s="1" t="n">
        <v>45765</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35316-2021</t>
        </is>
      </c>
      <c r="B491" s="1" t="n">
        <v>44384</v>
      </c>
      <c r="C491" s="1" t="n">
        <v>45765</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35531-2021</t>
        </is>
      </c>
      <c r="B492" s="1" t="n">
        <v>44385</v>
      </c>
      <c r="C492" s="1" t="n">
        <v>45765</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35633-2021</t>
        </is>
      </c>
      <c r="B493" s="1" t="n">
        <v>44386</v>
      </c>
      <c r="C493" s="1" t="n">
        <v>45765</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36117-2021</t>
        </is>
      </c>
      <c r="B494" s="1" t="n">
        <v>44386</v>
      </c>
      <c r="C494" s="1" t="n">
        <v>45765</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36121-2021</t>
        </is>
      </c>
      <c r="B495" s="1" t="n">
        <v>44386</v>
      </c>
      <c r="C495" s="1" t="n">
        <v>45765</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36802-2021</t>
        </is>
      </c>
      <c r="B496" s="1" t="n">
        <v>44392</v>
      </c>
      <c r="C496" s="1" t="n">
        <v>45765</v>
      </c>
      <c r="D496" t="inlineStr">
        <is>
          <t>KALMAR LÄN</t>
        </is>
      </c>
      <c r="E496" t="inlineStr">
        <is>
          <t>VIMMERBY</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38086-2021</t>
        </is>
      </c>
      <c r="B497" s="1" t="n">
        <v>44404</v>
      </c>
      <c r="C497" s="1" t="n">
        <v>45765</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38348-2021</t>
        </is>
      </c>
      <c r="B498" s="1" t="n">
        <v>44406</v>
      </c>
      <c r="C498" s="1" t="n">
        <v>45765</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38780-2021</t>
        </is>
      </c>
      <c r="B499" s="1" t="n">
        <v>44410</v>
      </c>
      <c r="C499" s="1" t="n">
        <v>45765</v>
      </c>
      <c r="D499" t="inlineStr">
        <is>
          <t>KALMAR LÄN</t>
        </is>
      </c>
      <c r="E499" t="inlineStr">
        <is>
          <t>VIMMERBY</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38789-2021</t>
        </is>
      </c>
      <c r="B500" s="1" t="n">
        <v>44410</v>
      </c>
      <c r="C500" s="1" t="n">
        <v>45765</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40073-2021</t>
        </is>
      </c>
      <c r="B501" s="1" t="n">
        <v>44418</v>
      </c>
      <c r="C501" s="1" t="n">
        <v>45765</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40076-2021</t>
        </is>
      </c>
      <c r="B502" s="1" t="n">
        <v>44418</v>
      </c>
      <c r="C502" s="1" t="n">
        <v>45765</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40071-2021</t>
        </is>
      </c>
      <c r="B503" s="1" t="n">
        <v>44418</v>
      </c>
      <c r="C503" s="1" t="n">
        <v>45765</v>
      </c>
      <c r="D503" t="inlineStr">
        <is>
          <t>KALMAR LÄN</t>
        </is>
      </c>
      <c r="E503" t="inlineStr">
        <is>
          <t>VIMMERBY</t>
        </is>
      </c>
      <c r="G503" t="n">
        <v>1.5</v>
      </c>
      <c r="H503" t="n">
        <v>0</v>
      </c>
      <c r="I503" t="n">
        <v>0</v>
      </c>
      <c r="J503" t="n">
        <v>0</v>
      </c>
      <c r="K503" t="n">
        <v>0</v>
      </c>
      <c r="L503" t="n">
        <v>0</v>
      </c>
      <c r="M503" t="n">
        <v>0</v>
      </c>
      <c r="N503" t="n">
        <v>0</v>
      </c>
      <c r="O503" t="n">
        <v>0</v>
      </c>
      <c r="P503" t="n">
        <v>0</v>
      </c>
      <c r="Q503" t="n">
        <v>0</v>
      </c>
      <c r="R503" s="2" t="inlineStr"/>
    </row>
    <row r="504" ht="15" customHeight="1">
      <c r="A504" t="inlineStr">
        <is>
          <t>A 40077-2021</t>
        </is>
      </c>
      <c r="B504" s="1" t="n">
        <v>44418</v>
      </c>
      <c r="C504" s="1" t="n">
        <v>45765</v>
      </c>
      <c r="D504" t="inlineStr">
        <is>
          <t>KALMAR LÄN</t>
        </is>
      </c>
      <c r="E504" t="inlineStr">
        <is>
          <t>VIMMERBY</t>
        </is>
      </c>
      <c r="G504" t="n">
        <v>2.9</v>
      </c>
      <c r="H504" t="n">
        <v>0</v>
      </c>
      <c r="I504" t="n">
        <v>0</v>
      </c>
      <c r="J504" t="n">
        <v>0</v>
      </c>
      <c r="K504" t="n">
        <v>0</v>
      </c>
      <c r="L504" t="n">
        <v>0</v>
      </c>
      <c r="M504" t="n">
        <v>0</v>
      </c>
      <c r="N504" t="n">
        <v>0</v>
      </c>
      <c r="O504" t="n">
        <v>0</v>
      </c>
      <c r="P504" t="n">
        <v>0</v>
      </c>
      <c r="Q504" t="n">
        <v>0</v>
      </c>
      <c r="R504" s="2" t="inlineStr"/>
    </row>
    <row r="505" ht="15" customHeight="1">
      <c r="A505" t="inlineStr">
        <is>
          <t>A 40971-2021</t>
        </is>
      </c>
      <c r="B505" s="1" t="n">
        <v>44421</v>
      </c>
      <c r="C505" s="1" t="n">
        <v>45765</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42521-2021</t>
        </is>
      </c>
      <c r="B506" s="1" t="n">
        <v>44427</v>
      </c>
      <c r="C506" s="1" t="n">
        <v>45765</v>
      </c>
      <c r="D506" t="inlineStr">
        <is>
          <t>KALMAR LÄN</t>
        </is>
      </c>
      <c r="E506" t="inlineStr">
        <is>
          <t>VIMMERBY</t>
        </is>
      </c>
      <c r="G506" t="n">
        <v>5.4</v>
      </c>
      <c r="H506" t="n">
        <v>0</v>
      </c>
      <c r="I506" t="n">
        <v>0</v>
      </c>
      <c r="J506" t="n">
        <v>0</v>
      </c>
      <c r="K506" t="n">
        <v>0</v>
      </c>
      <c r="L506" t="n">
        <v>0</v>
      </c>
      <c r="M506" t="n">
        <v>0</v>
      </c>
      <c r="N506" t="n">
        <v>0</v>
      </c>
      <c r="O506" t="n">
        <v>0</v>
      </c>
      <c r="P506" t="n">
        <v>0</v>
      </c>
      <c r="Q506" t="n">
        <v>0</v>
      </c>
      <c r="R506" s="2" t="inlineStr"/>
    </row>
    <row r="507" ht="15" customHeight="1">
      <c r="A507" t="inlineStr">
        <is>
          <t>A 42918-2021</t>
        </is>
      </c>
      <c r="B507" s="1" t="n">
        <v>44431</v>
      </c>
      <c r="C507" s="1" t="n">
        <v>45765</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43186-2021</t>
        </is>
      </c>
      <c r="B508" s="1" t="n">
        <v>44431</v>
      </c>
      <c r="C508" s="1" t="n">
        <v>45765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45528-2021</t>
        </is>
      </c>
      <c r="B509" s="1" t="n">
        <v>44440</v>
      </c>
      <c r="C509" s="1" t="n">
        <v>45765</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45390-2021</t>
        </is>
      </c>
      <c r="B510" s="1" t="n">
        <v>44440</v>
      </c>
      <c r="C510" s="1" t="n">
        <v>45765</v>
      </c>
      <c r="D510" t="inlineStr">
        <is>
          <t>KALMAR LÄN</t>
        </is>
      </c>
      <c r="E510" t="inlineStr">
        <is>
          <t>VIMMERBY</t>
        </is>
      </c>
      <c r="G510" t="n">
        <v>3.9</v>
      </c>
      <c r="H510" t="n">
        <v>0</v>
      </c>
      <c r="I510" t="n">
        <v>0</v>
      </c>
      <c r="J510" t="n">
        <v>0</v>
      </c>
      <c r="K510" t="n">
        <v>0</v>
      </c>
      <c r="L510" t="n">
        <v>0</v>
      </c>
      <c r="M510" t="n">
        <v>0</v>
      </c>
      <c r="N510" t="n">
        <v>0</v>
      </c>
      <c r="O510" t="n">
        <v>0</v>
      </c>
      <c r="P510" t="n">
        <v>0</v>
      </c>
      <c r="Q510" t="n">
        <v>0</v>
      </c>
      <c r="R510" s="2" t="inlineStr"/>
    </row>
    <row r="511" ht="15" customHeight="1">
      <c r="A511" t="inlineStr">
        <is>
          <t>A 45560-2021</t>
        </is>
      </c>
      <c r="B511" s="1" t="n">
        <v>44440</v>
      </c>
      <c r="C511" s="1" t="n">
        <v>45765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47208-2021</t>
        </is>
      </c>
      <c r="B512" s="1" t="n">
        <v>44447</v>
      </c>
      <c r="C512" s="1" t="n">
        <v>45765</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47205-2021</t>
        </is>
      </c>
      <c r="B513" s="1" t="n">
        <v>44447</v>
      </c>
      <c r="C513" s="1" t="n">
        <v>45765</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47473-2021</t>
        </is>
      </c>
      <c r="B514" s="1" t="n">
        <v>44447</v>
      </c>
      <c r="C514" s="1" t="n">
        <v>45765</v>
      </c>
      <c r="D514" t="inlineStr">
        <is>
          <t>KALMAR LÄN</t>
        </is>
      </c>
      <c r="E514" t="inlineStr">
        <is>
          <t>VIMMERBY</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48377-2021</t>
        </is>
      </c>
      <c r="B515" s="1" t="n">
        <v>44451</v>
      </c>
      <c r="C515" s="1" t="n">
        <v>45765</v>
      </c>
      <c r="D515" t="inlineStr">
        <is>
          <t>KALMAR LÄN</t>
        </is>
      </c>
      <c r="E515" t="inlineStr">
        <is>
          <t>VIMMERBY</t>
        </is>
      </c>
      <c r="G515" t="n">
        <v>0.4</v>
      </c>
      <c r="H515" t="n">
        <v>0</v>
      </c>
      <c r="I515" t="n">
        <v>0</v>
      </c>
      <c r="J515" t="n">
        <v>0</v>
      </c>
      <c r="K515" t="n">
        <v>0</v>
      </c>
      <c r="L515" t="n">
        <v>0</v>
      </c>
      <c r="M515" t="n">
        <v>0</v>
      </c>
      <c r="N515" t="n">
        <v>0</v>
      </c>
      <c r="O515" t="n">
        <v>0</v>
      </c>
      <c r="P515" t="n">
        <v>0</v>
      </c>
      <c r="Q515" t="n">
        <v>0</v>
      </c>
      <c r="R515" s="2" t="inlineStr"/>
    </row>
    <row r="516" ht="15" customHeight="1">
      <c r="A516" t="inlineStr">
        <is>
          <t>A 48373-2021</t>
        </is>
      </c>
      <c r="B516" s="1" t="n">
        <v>44451</v>
      </c>
      <c r="C516" s="1" t="n">
        <v>45765</v>
      </c>
      <c r="D516" t="inlineStr">
        <is>
          <t>KALMAR LÄN</t>
        </is>
      </c>
      <c r="E516" t="inlineStr">
        <is>
          <t>VIMMERBY</t>
        </is>
      </c>
      <c r="G516" t="n">
        <v>2.2</v>
      </c>
      <c r="H516" t="n">
        <v>0</v>
      </c>
      <c r="I516" t="n">
        <v>0</v>
      </c>
      <c r="J516" t="n">
        <v>0</v>
      </c>
      <c r="K516" t="n">
        <v>0</v>
      </c>
      <c r="L516" t="n">
        <v>0</v>
      </c>
      <c r="M516" t="n">
        <v>0</v>
      </c>
      <c r="N516" t="n">
        <v>0</v>
      </c>
      <c r="O516" t="n">
        <v>0</v>
      </c>
      <c r="P516" t="n">
        <v>0</v>
      </c>
      <c r="Q516" t="n">
        <v>0</v>
      </c>
      <c r="R516" s="2" t="inlineStr"/>
    </row>
    <row r="517" ht="15" customHeight="1">
      <c r="A517" t="inlineStr">
        <is>
          <t>A 48673-2021</t>
        </is>
      </c>
      <c r="B517" s="1" t="n">
        <v>44452</v>
      </c>
      <c r="C517" s="1" t="n">
        <v>45765</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49039-2021</t>
        </is>
      </c>
      <c r="B518" s="1" t="n">
        <v>44453</v>
      </c>
      <c r="C518" s="1" t="n">
        <v>45765</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51972-2021</t>
        </is>
      </c>
      <c r="B519" s="1" t="n">
        <v>44463</v>
      </c>
      <c r="C519" s="1" t="n">
        <v>45765</v>
      </c>
      <c r="D519" t="inlineStr">
        <is>
          <t>KALMAR LÄN</t>
        </is>
      </c>
      <c r="E519" t="inlineStr">
        <is>
          <t>VIMMERBY</t>
        </is>
      </c>
      <c r="G519" t="n">
        <v>4.5</v>
      </c>
      <c r="H519" t="n">
        <v>0</v>
      </c>
      <c r="I519" t="n">
        <v>0</v>
      </c>
      <c r="J519" t="n">
        <v>0</v>
      </c>
      <c r="K519" t="n">
        <v>0</v>
      </c>
      <c r="L519" t="n">
        <v>0</v>
      </c>
      <c r="M519" t="n">
        <v>0</v>
      </c>
      <c r="N519" t="n">
        <v>0</v>
      </c>
      <c r="O519" t="n">
        <v>0</v>
      </c>
      <c r="P519" t="n">
        <v>0</v>
      </c>
      <c r="Q519" t="n">
        <v>0</v>
      </c>
      <c r="R519" s="2" t="inlineStr"/>
    </row>
    <row r="520" ht="15" customHeight="1">
      <c r="A520" t="inlineStr">
        <is>
          <t>A 52433-2021</t>
        </is>
      </c>
      <c r="B520" s="1" t="n">
        <v>44466</v>
      </c>
      <c r="C520" s="1" t="n">
        <v>45765</v>
      </c>
      <c r="D520" t="inlineStr">
        <is>
          <t>KALMAR LÄN</t>
        </is>
      </c>
      <c r="E520" t="inlineStr">
        <is>
          <t>VIMMERBY</t>
        </is>
      </c>
      <c r="G520" t="n">
        <v>3.5</v>
      </c>
      <c r="H520" t="n">
        <v>0</v>
      </c>
      <c r="I520" t="n">
        <v>0</v>
      </c>
      <c r="J520" t="n">
        <v>0</v>
      </c>
      <c r="K520" t="n">
        <v>0</v>
      </c>
      <c r="L520" t="n">
        <v>0</v>
      </c>
      <c r="M520" t="n">
        <v>0</v>
      </c>
      <c r="N520" t="n">
        <v>0</v>
      </c>
      <c r="O520" t="n">
        <v>0</v>
      </c>
      <c r="P520" t="n">
        <v>0</v>
      </c>
      <c r="Q520" t="n">
        <v>0</v>
      </c>
      <c r="R520" s="2" t="inlineStr"/>
    </row>
    <row r="521" ht="15" customHeight="1">
      <c r="A521" t="inlineStr">
        <is>
          <t>A 52435-2021</t>
        </is>
      </c>
      <c r="B521" s="1" t="n">
        <v>44466</v>
      </c>
      <c r="C521" s="1" t="n">
        <v>45765</v>
      </c>
      <c r="D521" t="inlineStr">
        <is>
          <t>KALMAR LÄN</t>
        </is>
      </c>
      <c r="E521" t="inlineStr">
        <is>
          <t>VIMMERBY</t>
        </is>
      </c>
      <c r="G521" t="n">
        <v>2.8</v>
      </c>
      <c r="H521" t="n">
        <v>0</v>
      </c>
      <c r="I521" t="n">
        <v>0</v>
      </c>
      <c r="J521" t="n">
        <v>0</v>
      </c>
      <c r="K521" t="n">
        <v>0</v>
      </c>
      <c r="L521" t="n">
        <v>0</v>
      </c>
      <c r="M521" t="n">
        <v>0</v>
      </c>
      <c r="N521" t="n">
        <v>0</v>
      </c>
      <c r="O521" t="n">
        <v>0</v>
      </c>
      <c r="P521" t="n">
        <v>0</v>
      </c>
      <c r="Q521" t="n">
        <v>0</v>
      </c>
      <c r="R521" s="2" t="inlineStr"/>
    </row>
    <row r="522" ht="15" customHeight="1">
      <c r="A522" t="inlineStr">
        <is>
          <t>A 53083-2021</t>
        </is>
      </c>
      <c r="B522" s="1" t="n">
        <v>44467</v>
      </c>
      <c r="C522" s="1" t="n">
        <v>45765</v>
      </c>
      <c r="D522" t="inlineStr">
        <is>
          <t>KALMAR LÄN</t>
        </is>
      </c>
      <c r="E522" t="inlineStr">
        <is>
          <t>VIMMERBY</t>
        </is>
      </c>
      <c r="G522" t="n">
        <v>6.8</v>
      </c>
      <c r="H522" t="n">
        <v>0</v>
      </c>
      <c r="I522" t="n">
        <v>0</v>
      </c>
      <c r="J522" t="n">
        <v>0</v>
      </c>
      <c r="K522" t="n">
        <v>0</v>
      </c>
      <c r="L522" t="n">
        <v>0</v>
      </c>
      <c r="M522" t="n">
        <v>0</v>
      </c>
      <c r="N522" t="n">
        <v>0</v>
      </c>
      <c r="O522" t="n">
        <v>0</v>
      </c>
      <c r="P522" t="n">
        <v>0</v>
      </c>
      <c r="Q522" t="n">
        <v>0</v>
      </c>
      <c r="R522" s="2" t="inlineStr"/>
    </row>
    <row r="523" ht="15" customHeight="1">
      <c r="A523" t="inlineStr">
        <is>
          <t>A 53080-2021</t>
        </is>
      </c>
      <c r="B523" s="1" t="n">
        <v>44467</v>
      </c>
      <c r="C523" s="1" t="n">
        <v>45765</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54065-2021</t>
        </is>
      </c>
      <c r="B524" s="1" t="n">
        <v>44470</v>
      </c>
      <c r="C524" s="1" t="n">
        <v>45765</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55300-2021</t>
        </is>
      </c>
      <c r="B525" s="1" t="n">
        <v>44475</v>
      </c>
      <c r="C525" s="1" t="n">
        <v>45765</v>
      </c>
      <c r="D525" t="inlineStr">
        <is>
          <t>KALMAR LÄN</t>
        </is>
      </c>
      <c r="E525" t="inlineStr">
        <is>
          <t>VIMMERBY</t>
        </is>
      </c>
      <c r="G525" t="n">
        <v>3.4</v>
      </c>
      <c r="H525" t="n">
        <v>0</v>
      </c>
      <c r="I525" t="n">
        <v>0</v>
      </c>
      <c r="J525" t="n">
        <v>0</v>
      </c>
      <c r="K525" t="n">
        <v>0</v>
      </c>
      <c r="L525" t="n">
        <v>0</v>
      </c>
      <c r="M525" t="n">
        <v>0</v>
      </c>
      <c r="N525" t="n">
        <v>0</v>
      </c>
      <c r="O525" t="n">
        <v>0</v>
      </c>
      <c r="P525" t="n">
        <v>0</v>
      </c>
      <c r="Q525" t="n">
        <v>0</v>
      </c>
      <c r="R525" s="2" t="inlineStr"/>
    </row>
    <row r="526" ht="15" customHeight="1">
      <c r="A526" t="inlineStr">
        <is>
          <t>A 55297-2021</t>
        </is>
      </c>
      <c r="B526" s="1" t="n">
        <v>44475</v>
      </c>
      <c r="C526" s="1" t="n">
        <v>45765</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55674-2021</t>
        </is>
      </c>
      <c r="B527" s="1" t="n">
        <v>44476</v>
      </c>
      <c r="C527" s="1" t="n">
        <v>45765</v>
      </c>
      <c r="D527" t="inlineStr">
        <is>
          <t>KALMAR LÄN</t>
        </is>
      </c>
      <c r="E527" t="inlineStr">
        <is>
          <t>VIMMERBY</t>
        </is>
      </c>
      <c r="G527" t="n">
        <v>2.1</v>
      </c>
      <c r="H527" t="n">
        <v>0</v>
      </c>
      <c r="I527" t="n">
        <v>0</v>
      </c>
      <c r="J527" t="n">
        <v>0</v>
      </c>
      <c r="K527" t="n">
        <v>0</v>
      </c>
      <c r="L527" t="n">
        <v>0</v>
      </c>
      <c r="M527" t="n">
        <v>0</v>
      </c>
      <c r="N527" t="n">
        <v>0</v>
      </c>
      <c r="O527" t="n">
        <v>0</v>
      </c>
      <c r="P527" t="n">
        <v>0</v>
      </c>
      <c r="Q527" t="n">
        <v>0</v>
      </c>
      <c r="R527" s="2" t="inlineStr"/>
    </row>
    <row r="528" ht="15" customHeight="1">
      <c r="A528" t="inlineStr">
        <is>
          <t>A 56029-2021</t>
        </is>
      </c>
      <c r="B528" s="1" t="n">
        <v>44477</v>
      </c>
      <c r="C528" s="1" t="n">
        <v>45765</v>
      </c>
      <c r="D528" t="inlineStr">
        <is>
          <t>KALMAR LÄN</t>
        </is>
      </c>
      <c r="E528" t="inlineStr">
        <is>
          <t>VIMMERBY</t>
        </is>
      </c>
      <c r="G528" t="n">
        <v>3.9</v>
      </c>
      <c r="H528" t="n">
        <v>0</v>
      </c>
      <c r="I528" t="n">
        <v>0</v>
      </c>
      <c r="J528" t="n">
        <v>0</v>
      </c>
      <c r="K528" t="n">
        <v>0</v>
      </c>
      <c r="L528" t="n">
        <v>0</v>
      </c>
      <c r="M528" t="n">
        <v>0</v>
      </c>
      <c r="N528" t="n">
        <v>0</v>
      </c>
      <c r="O528" t="n">
        <v>0</v>
      </c>
      <c r="P528" t="n">
        <v>0</v>
      </c>
      <c r="Q528" t="n">
        <v>0</v>
      </c>
      <c r="R528" s="2" t="inlineStr"/>
    </row>
    <row r="529" ht="15" customHeight="1">
      <c r="A529" t="inlineStr">
        <is>
          <t>A 56343-2021</t>
        </is>
      </c>
      <c r="B529" s="1" t="n">
        <v>44480</v>
      </c>
      <c r="C529" s="1" t="n">
        <v>45765</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56385-2021</t>
        </is>
      </c>
      <c r="B530" s="1" t="n">
        <v>44480</v>
      </c>
      <c r="C530" s="1" t="n">
        <v>45765</v>
      </c>
      <c r="D530" t="inlineStr">
        <is>
          <t>KALMAR LÄN</t>
        </is>
      </c>
      <c r="E530" t="inlineStr">
        <is>
          <t>VIMMERBY</t>
        </is>
      </c>
      <c r="G530" t="n">
        <v>1.9</v>
      </c>
      <c r="H530" t="n">
        <v>0</v>
      </c>
      <c r="I530" t="n">
        <v>0</v>
      </c>
      <c r="J530" t="n">
        <v>0</v>
      </c>
      <c r="K530" t="n">
        <v>0</v>
      </c>
      <c r="L530" t="n">
        <v>0</v>
      </c>
      <c r="M530" t="n">
        <v>0</v>
      </c>
      <c r="N530" t="n">
        <v>0</v>
      </c>
      <c r="O530" t="n">
        <v>0</v>
      </c>
      <c r="P530" t="n">
        <v>0</v>
      </c>
      <c r="Q530" t="n">
        <v>0</v>
      </c>
      <c r="R530" s="2" t="inlineStr"/>
    </row>
    <row r="531" ht="15" customHeight="1">
      <c r="A531" t="inlineStr">
        <is>
          <t>A 56347-2021</t>
        </is>
      </c>
      <c r="B531" s="1" t="n">
        <v>44480</v>
      </c>
      <c r="C531" s="1" t="n">
        <v>45765</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56378-2021</t>
        </is>
      </c>
      <c r="B532" s="1" t="n">
        <v>44480</v>
      </c>
      <c r="C532" s="1" t="n">
        <v>45765</v>
      </c>
      <c r="D532" t="inlineStr">
        <is>
          <t>KALMAR LÄN</t>
        </is>
      </c>
      <c r="E532" t="inlineStr">
        <is>
          <t>VIMMERBY</t>
        </is>
      </c>
      <c r="G532" t="n">
        <v>1.1</v>
      </c>
      <c r="H532" t="n">
        <v>0</v>
      </c>
      <c r="I532" t="n">
        <v>0</v>
      </c>
      <c r="J532" t="n">
        <v>0</v>
      </c>
      <c r="K532" t="n">
        <v>0</v>
      </c>
      <c r="L532" t="n">
        <v>0</v>
      </c>
      <c r="M532" t="n">
        <v>0</v>
      </c>
      <c r="N532" t="n">
        <v>0</v>
      </c>
      <c r="O532" t="n">
        <v>0</v>
      </c>
      <c r="P532" t="n">
        <v>0</v>
      </c>
      <c r="Q532" t="n">
        <v>0</v>
      </c>
      <c r="R532" s="2" t="inlineStr"/>
    </row>
    <row r="533" ht="15" customHeight="1">
      <c r="A533" t="inlineStr">
        <is>
          <t>A 56398-2021</t>
        </is>
      </c>
      <c r="B533" s="1" t="n">
        <v>44480</v>
      </c>
      <c r="C533" s="1" t="n">
        <v>45765</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56389-2021</t>
        </is>
      </c>
      <c r="B534" s="1" t="n">
        <v>44480</v>
      </c>
      <c r="C534" s="1" t="n">
        <v>45765</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56754-2021</t>
        </is>
      </c>
      <c r="B535" s="1" t="n">
        <v>44481</v>
      </c>
      <c r="C535" s="1" t="n">
        <v>45765</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57416-2021</t>
        </is>
      </c>
      <c r="B536" s="1" t="n">
        <v>44483</v>
      </c>
      <c r="C536" s="1" t="n">
        <v>45765</v>
      </c>
      <c r="D536" t="inlineStr">
        <is>
          <t>KALMAR LÄN</t>
        </is>
      </c>
      <c r="E536" t="inlineStr">
        <is>
          <t>VIMMERBY</t>
        </is>
      </c>
      <c r="G536" t="n">
        <v>2.9</v>
      </c>
      <c r="H536" t="n">
        <v>0</v>
      </c>
      <c r="I536" t="n">
        <v>0</v>
      </c>
      <c r="J536" t="n">
        <v>0</v>
      </c>
      <c r="K536" t="n">
        <v>0</v>
      </c>
      <c r="L536" t="n">
        <v>0</v>
      </c>
      <c r="M536" t="n">
        <v>0</v>
      </c>
      <c r="N536" t="n">
        <v>0</v>
      </c>
      <c r="O536" t="n">
        <v>0</v>
      </c>
      <c r="P536" t="n">
        <v>0</v>
      </c>
      <c r="Q536" t="n">
        <v>0</v>
      </c>
      <c r="R536" s="2" t="inlineStr"/>
    </row>
    <row r="537" ht="15" customHeight="1">
      <c r="A537" t="inlineStr">
        <is>
          <t>A 57605-2021</t>
        </is>
      </c>
      <c r="B537" s="1" t="n">
        <v>44483</v>
      </c>
      <c r="C537" s="1" t="n">
        <v>45765</v>
      </c>
      <c r="D537" t="inlineStr">
        <is>
          <t>KALMAR LÄN</t>
        </is>
      </c>
      <c r="E537" t="inlineStr">
        <is>
          <t>VIMMERBY</t>
        </is>
      </c>
      <c r="G537" t="n">
        <v>13.1</v>
      </c>
      <c r="H537" t="n">
        <v>0</v>
      </c>
      <c r="I537" t="n">
        <v>0</v>
      </c>
      <c r="J537" t="n">
        <v>0</v>
      </c>
      <c r="K537" t="n">
        <v>0</v>
      </c>
      <c r="L537" t="n">
        <v>0</v>
      </c>
      <c r="M537" t="n">
        <v>0</v>
      </c>
      <c r="N537" t="n">
        <v>0</v>
      </c>
      <c r="O537" t="n">
        <v>0</v>
      </c>
      <c r="P537" t="n">
        <v>0</v>
      </c>
      <c r="Q537" t="n">
        <v>0</v>
      </c>
      <c r="R537" s="2" t="inlineStr"/>
    </row>
    <row r="538" ht="15" customHeight="1">
      <c r="A538" t="inlineStr">
        <is>
          <t>A 58318-2021</t>
        </is>
      </c>
      <c r="B538" s="1" t="n">
        <v>44488</v>
      </c>
      <c r="C538" s="1" t="n">
        <v>45765</v>
      </c>
      <c r="D538" t="inlineStr">
        <is>
          <t>KALMAR LÄN</t>
        </is>
      </c>
      <c r="E538" t="inlineStr">
        <is>
          <t>VIMMERBY</t>
        </is>
      </c>
      <c r="G538" t="n">
        <v>4</v>
      </c>
      <c r="H538" t="n">
        <v>0</v>
      </c>
      <c r="I538" t="n">
        <v>0</v>
      </c>
      <c r="J538" t="n">
        <v>0</v>
      </c>
      <c r="K538" t="n">
        <v>0</v>
      </c>
      <c r="L538" t="n">
        <v>0</v>
      </c>
      <c r="M538" t="n">
        <v>0</v>
      </c>
      <c r="N538" t="n">
        <v>0</v>
      </c>
      <c r="O538" t="n">
        <v>0</v>
      </c>
      <c r="P538" t="n">
        <v>0</v>
      </c>
      <c r="Q538" t="n">
        <v>0</v>
      </c>
      <c r="R538" s="2" t="inlineStr"/>
    </row>
    <row r="539" ht="15" customHeight="1">
      <c r="A539" t="inlineStr">
        <is>
          <t>A 59070-2021</t>
        </is>
      </c>
      <c r="B539" s="1" t="n">
        <v>44490</v>
      </c>
      <c r="C539" s="1" t="n">
        <v>45765</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59781-2021</t>
        </is>
      </c>
      <c r="B540" s="1" t="n">
        <v>44494</v>
      </c>
      <c r="C540" s="1" t="n">
        <v>45765</v>
      </c>
      <c r="D540" t="inlineStr">
        <is>
          <t>KALMAR LÄN</t>
        </is>
      </c>
      <c r="E540" t="inlineStr">
        <is>
          <t>VIMMERBY</t>
        </is>
      </c>
      <c r="G540" t="n">
        <v>5.6</v>
      </c>
      <c r="H540" t="n">
        <v>0</v>
      </c>
      <c r="I540" t="n">
        <v>0</v>
      </c>
      <c r="J540" t="n">
        <v>0</v>
      </c>
      <c r="K540" t="n">
        <v>0</v>
      </c>
      <c r="L540" t="n">
        <v>0</v>
      </c>
      <c r="M540" t="n">
        <v>0</v>
      </c>
      <c r="N540" t="n">
        <v>0</v>
      </c>
      <c r="O540" t="n">
        <v>0</v>
      </c>
      <c r="P540" t="n">
        <v>0</v>
      </c>
      <c r="Q540" t="n">
        <v>0</v>
      </c>
      <c r="R540" s="2" t="inlineStr"/>
    </row>
    <row r="541" ht="15" customHeight="1">
      <c r="A541" t="inlineStr">
        <is>
          <t>A 59791-2021</t>
        </is>
      </c>
      <c r="B541" s="1" t="n">
        <v>44494</v>
      </c>
      <c r="C541" s="1" t="n">
        <v>45765</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60228-2021</t>
        </is>
      </c>
      <c r="B542" s="1" t="n">
        <v>44495</v>
      </c>
      <c r="C542" s="1" t="n">
        <v>45765</v>
      </c>
      <c r="D542" t="inlineStr">
        <is>
          <t>KALMAR LÄN</t>
        </is>
      </c>
      <c r="E542" t="inlineStr">
        <is>
          <t>VIMMERBY</t>
        </is>
      </c>
      <c r="G542" t="n">
        <v>4.1</v>
      </c>
      <c r="H542" t="n">
        <v>0</v>
      </c>
      <c r="I542" t="n">
        <v>0</v>
      </c>
      <c r="J542" t="n">
        <v>0</v>
      </c>
      <c r="K542" t="n">
        <v>0</v>
      </c>
      <c r="L542" t="n">
        <v>0</v>
      </c>
      <c r="M542" t="n">
        <v>0</v>
      </c>
      <c r="N542" t="n">
        <v>0</v>
      </c>
      <c r="O542" t="n">
        <v>0</v>
      </c>
      <c r="P542" t="n">
        <v>0</v>
      </c>
      <c r="Q542" t="n">
        <v>0</v>
      </c>
      <c r="R542" s="2" t="inlineStr"/>
    </row>
    <row r="543" ht="15" customHeight="1">
      <c r="A543" t="inlineStr">
        <is>
          <t>A 60225-2021</t>
        </is>
      </c>
      <c r="B543" s="1" t="n">
        <v>44495</v>
      </c>
      <c r="C543" s="1" t="n">
        <v>45765</v>
      </c>
      <c r="D543" t="inlineStr">
        <is>
          <t>KALMAR LÄN</t>
        </is>
      </c>
      <c r="E543" t="inlineStr">
        <is>
          <t>VIMMERBY</t>
        </is>
      </c>
      <c r="G543" t="n">
        <v>2.1</v>
      </c>
      <c r="H543" t="n">
        <v>0</v>
      </c>
      <c r="I543" t="n">
        <v>0</v>
      </c>
      <c r="J543" t="n">
        <v>0</v>
      </c>
      <c r="K543" t="n">
        <v>0</v>
      </c>
      <c r="L543" t="n">
        <v>0</v>
      </c>
      <c r="M543" t="n">
        <v>0</v>
      </c>
      <c r="N543" t="n">
        <v>0</v>
      </c>
      <c r="O543" t="n">
        <v>0</v>
      </c>
      <c r="P543" t="n">
        <v>0</v>
      </c>
      <c r="Q543" t="n">
        <v>0</v>
      </c>
      <c r="R543" s="2" t="inlineStr"/>
    </row>
    <row r="544" ht="15" customHeight="1">
      <c r="A544" t="inlineStr">
        <is>
          <t>A 60994-2021</t>
        </is>
      </c>
      <c r="B544" s="1" t="n">
        <v>44497</v>
      </c>
      <c r="C544" s="1" t="n">
        <v>45765</v>
      </c>
      <c r="D544" t="inlineStr">
        <is>
          <t>KALMAR LÄN</t>
        </is>
      </c>
      <c r="E544" t="inlineStr">
        <is>
          <t>VIMMERBY</t>
        </is>
      </c>
      <c r="F544" t="inlineStr">
        <is>
          <t>Sveaskog</t>
        </is>
      </c>
      <c r="G544" t="n">
        <v>4.2</v>
      </c>
      <c r="H544" t="n">
        <v>0</v>
      </c>
      <c r="I544" t="n">
        <v>0</v>
      </c>
      <c r="J544" t="n">
        <v>0</v>
      </c>
      <c r="K544" t="n">
        <v>0</v>
      </c>
      <c r="L544" t="n">
        <v>0</v>
      </c>
      <c r="M544" t="n">
        <v>0</v>
      </c>
      <c r="N544" t="n">
        <v>0</v>
      </c>
      <c r="O544" t="n">
        <v>0</v>
      </c>
      <c r="P544" t="n">
        <v>0</v>
      </c>
      <c r="Q544" t="n">
        <v>0</v>
      </c>
      <c r="R544" s="2" t="inlineStr"/>
    </row>
    <row r="545" ht="15" customHeight="1">
      <c r="A545" t="inlineStr">
        <is>
          <t>A 61939-2021</t>
        </is>
      </c>
      <c r="B545" s="1" t="n">
        <v>44502</v>
      </c>
      <c r="C545" s="1" t="n">
        <v>45765</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63244-2021</t>
        </is>
      </c>
      <c r="B546" s="1" t="n">
        <v>44508</v>
      </c>
      <c r="C546" s="1" t="n">
        <v>45765</v>
      </c>
      <c r="D546" t="inlineStr">
        <is>
          <t>KALMAR LÄN</t>
        </is>
      </c>
      <c r="E546" t="inlineStr">
        <is>
          <t>VIMMERBY</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63926-2021</t>
        </is>
      </c>
      <c r="B547" s="1" t="n">
        <v>44509</v>
      </c>
      <c r="C547" s="1" t="n">
        <v>45765</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64143-2021</t>
        </is>
      </c>
      <c r="B548" s="1" t="n">
        <v>44510</v>
      </c>
      <c r="C548" s="1" t="n">
        <v>45765</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64203-2021</t>
        </is>
      </c>
      <c r="B549" s="1" t="n">
        <v>44510</v>
      </c>
      <c r="C549" s="1" t="n">
        <v>45765</v>
      </c>
      <c r="D549" t="inlineStr">
        <is>
          <t>KALMAR LÄN</t>
        </is>
      </c>
      <c r="E549" t="inlineStr">
        <is>
          <t>VIMMERBY</t>
        </is>
      </c>
      <c r="F549" t="inlineStr">
        <is>
          <t>Övriga Aktiebolag</t>
        </is>
      </c>
      <c r="G549" t="n">
        <v>5.4</v>
      </c>
      <c r="H549" t="n">
        <v>0</v>
      </c>
      <c r="I549" t="n">
        <v>0</v>
      </c>
      <c r="J549" t="n">
        <v>0</v>
      </c>
      <c r="K549" t="n">
        <v>0</v>
      </c>
      <c r="L549" t="n">
        <v>0</v>
      </c>
      <c r="M549" t="n">
        <v>0</v>
      </c>
      <c r="N549" t="n">
        <v>0</v>
      </c>
      <c r="O549" t="n">
        <v>0</v>
      </c>
      <c r="P549" t="n">
        <v>0</v>
      </c>
      <c r="Q549" t="n">
        <v>0</v>
      </c>
      <c r="R549" s="2" t="inlineStr"/>
    </row>
    <row r="550" ht="15" customHeight="1">
      <c r="A550" t="inlineStr">
        <is>
          <t>A 64923-2021</t>
        </is>
      </c>
      <c r="B550" s="1" t="n">
        <v>44512</v>
      </c>
      <c r="C550" s="1" t="n">
        <v>45765</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65670-2021</t>
        </is>
      </c>
      <c r="B551" s="1" t="n">
        <v>44516</v>
      </c>
      <c r="C551" s="1" t="n">
        <v>45765</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65864-2021</t>
        </is>
      </c>
      <c r="B552" s="1" t="n">
        <v>44517</v>
      </c>
      <c r="C552" s="1" t="n">
        <v>45765</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65887-2021</t>
        </is>
      </c>
      <c r="B553" s="1" t="n">
        <v>44517</v>
      </c>
      <c r="C553" s="1" t="n">
        <v>45765</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66022-2021</t>
        </is>
      </c>
      <c r="B554" s="1" t="n">
        <v>44517</v>
      </c>
      <c r="C554" s="1" t="n">
        <v>45765</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67952-2021</t>
        </is>
      </c>
      <c r="B555" s="1" t="n">
        <v>44525</v>
      </c>
      <c r="C555" s="1" t="n">
        <v>45765</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67983-2021</t>
        </is>
      </c>
      <c r="B556" s="1" t="n">
        <v>44525</v>
      </c>
      <c r="C556" s="1" t="n">
        <v>45765</v>
      </c>
      <c r="D556" t="inlineStr">
        <is>
          <t>KALMAR LÄN</t>
        </is>
      </c>
      <c r="E556" t="inlineStr">
        <is>
          <t>VIMMERBY</t>
        </is>
      </c>
      <c r="G556" t="n">
        <v>6.1</v>
      </c>
      <c r="H556" t="n">
        <v>0</v>
      </c>
      <c r="I556" t="n">
        <v>0</v>
      </c>
      <c r="J556" t="n">
        <v>0</v>
      </c>
      <c r="K556" t="n">
        <v>0</v>
      </c>
      <c r="L556" t="n">
        <v>0</v>
      </c>
      <c r="M556" t="n">
        <v>0</v>
      </c>
      <c r="N556" t="n">
        <v>0</v>
      </c>
      <c r="O556" t="n">
        <v>0</v>
      </c>
      <c r="P556" t="n">
        <v>0</v>
      </c>
      <c r="Q556" t="n">
        <v>0</v>
      </c>
      <c r="R556" s="2" t="inlineStr"/>
    </row>
    <row r="557" ht="15" customHeight="1">
      <c r="A557" t="inlineStr">
        <is>
          <t>A 68426-2021</t>
        </is>
      </c>
      <c r="B557" s="1" t="n">
        <v>44529</v>
      </c>
      <c r="C557" s="1" t="n">
        <v>45765</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68840-2021</t>
        </is>
      </c>
      <c r="B558" s="1" t="n">
        <v>44530</v>
      </c>
      <c r="C558" s="1" t="n">
        <v>45765</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71775-2021</t>
        </is>
      </c>
      <c r="B559" s="1" t="n">
        <v>44539</v>
      </c>
      <c r="C559" s="1" t="n">
        <v>45765</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71793-2021</t>
        </is>
      </c>
      <c r="B560" s="1" t="n">
        <v>44539</v>
      </c>
      <c r="C560" s="1" t="n">
        <v>45765</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72067-2021</t>
        </is>
      </c>
      <c r="B561" s="1" t="n">
        <v>44540</v>
      </c>
      <c r="C561" s="1" t="n">
        <v>45765</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71631-2021</t>
        </is>
      </c>
      <c r="B562" s="1" t="n">
        <v>44542</v>
      </c>
      <c r="C562" s="1" t="n">
        <v>45765</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71626-2021</t>
        </is>
      </c>
      <c r="B563" s="1" t="n">
        <v>44542</v>
      </c>
      <c r="C563" s="1" t="n">
        <v>45765</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72701-2021</t>
        </is>
      </c>
      <c r="B564" s="1" t="n">
        <v>44546</v>
      </c>
      <c r="C564" s="1" t="n">
        <v>45765</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73938-2021</t>
        </is>
      </c>
      <c r="B565" s="1" t="n">
        <v>44553</v>
      </c>
      <c r="C565" s="1" t="n">
        <v>45765</v>
      </c>
      <c r="D565" t="inlineStr">
        <is>
          <t>KALMAR LÄN</t>
        </is>
      </c>
      <c r="E565" t="inlineStr">
        <is>
          <t>VIMMERBY</t>
        </is>
      </c>
      <c r="G565" t="n">
        <v>3.2</v>
      </c>
      <c r="H565" t="n">
        <v>0</v>
      </c>
      <c r="I565" t="n">
        <v>0</v>
      </c>
      <c r="J565" t="n">
        <v>0</v>
      </c>
      <c r="K565" t="n">
        <v>0</v>
      </c>
      <c r="L565" t="n">
        <v>0</v>
      </c>
      <c r="M565" t="n">
        <v>0</v>
      </c>
      <c r="N565" t="n">
        <v>0</v>
      </c>
      <c r="O565" t="n">
        <v>0</v>
      </c>
      <c r="P565" t="n">
        <v>0</v>
      </c>
      <c r="Q565" t="n">
        <v>0</v>
      </c>
      <c r="R565" s="2" t="inlineStr"/>
    </row>
    <row r="566" ht="15" customHeight="1">
      <c r="A566" t="inlineStr">
        <is>
          <t>A 172-2022</t>
        </is>
      </c>
      <c r="B566" s="1" t="n">
        <v>44564</v>
      </c>
      <c r="C566" s="1" t="n">
        <v>45765</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165-2022</t>
        </is>
      </c>
      <c r="B567" s="1" t="n">
        <v>44564</v>
      </c>
      <c r="C567" s="1" t="n">
        <v>45765</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529-2022</t>
        </is>
      </c>
      <c r="B568" s="1" t="n">
        <v>44566</v>
      </c>
      <c r="C568" s="1" t="n">
        <v>45765</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1627-2022</t>
        </is>
      </c>
      <c r="B569" s="1" t="n">
        <v>44573</v>
      </c>
      <c r="C569" s="1" t="n">
        <v>45765</v>
      </c>
      <c r="D569" t="inlineStr">
        <is>
          <t>KALMAR LÄN</t>
        </is>
      </c>
      <c r="E569" t="inlineStr">
        <is>
          <t>VIMMERBY</t>
        </is>
      </c>
      <c r="G569" t="n">
        <v>2.3</v>
      </c>
      <c r="H569" t="n">
        <v>0</v>
      </c>
      <c r="I569" t="n">
        <v>0</v>
      </c>
      <c r="J569" t="n">
        <v>0</v>
      </c>
      <c r="K569" t="n">
        <v>0</v>
      </c>
      <c r="L569" t="n">
        <v>0</v>
      </c>
      <c r="M569" t="n">
        <v>0</v>
      </c>
      <c r="N569" t="n">
        <v>0</v>
      </c>
      <c r="O569" t="n">
        <v>0</v>
      </c>
      <c r="P569" t="n">
        <v>0</v>
      </c>
      <c r="Q569" t="n">
        <v>0</v>
      </c>
      <c r="R569" s="2" t="inlineStr"/>
    </row>
    <row r="570" ht="15" customHeight="1">
      <c r="A570" t="inlineStr">
        <is>
          <t>A 1838-2022</t>
        </is>
      </c>
      <c r="B570" s="1" t="n">
        <v>44574</v>
      </c>
      <c r="C570" s="1" t="n">
        <v>45765</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2069-2022</t>
        </is>
      </c>
      <c r="B571" s="1" t="n">
        <v>44575</v>
      </c>
      <c r="C571" s="1" t="n">
        <v>45765</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2121-2022</t>
        </is>
      </c>
      <c r="B572" s="1" t="n">
        <v>44578</v>
      </c>
      <c r="C572" s="1" t="n">
        <v>45765</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2196-2022</t>
        </is>
      </c>
      <c r="B573" s="1" t="n">
        <v>44578</v>
      </c>
      <c r="C573" s="1" t="n">
        <v>45765</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2183-2022</t>
        </is>
      </c>
      <c r="B574" s="1" t="n">
        <v>44578</v>
      </c>
      <c r="C574" s="1" t="n">
        <v>45765</v>
      </c>
      <c r="D574" t="inlineStr">
        <is>
          <t>KALMAR LÄN</t>
        </is>
      </c>
      <c r="E574" t="inlineStr">
        <is>
          <t>VIMMERBY</t>
        </is>
      </c>
      <c r="G574" t="n">
        <v>4.8</v>
      </c>
      <c r="H574" t="n">
        <v>0</v>
      </c>
      <c r="I574" t="n">
        <v>0</v>
      </c>
      <c r="J574" t="n">
        <v>0</v>
      </c>
      <c r="K574" t="n">
        <v>0</v>
      </c>
      <c r="L574" t="n">
        <v>0</v>
      </c>
      <c r="M574" t="n">
        <v>0</v>
      </c>
      <c r="N574" t="n">
        <v>0</v>
      </c>
      <c r="O574" t="n">
        <v>0</v>
      </c>
      <c r="P574" t="n">
        <v>0</v>
      </c>
      <c r="Q574" t="n">
        <v>0</v>
      </c>
      <c r="R574" s="2" t="inlineStr"/>
    </row>
    <row r="575" ht="15" customHeight="1">
      <c r="A575" t="inlineStr">
        <is>
          <t>A 2260-2022</t>
        </is>
      </c>
      <c r="B575" s="1" t="n">
        <v>44578</v>
      </c>
      <c r="C575" s="1" t="n">
        <v>45765</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2411-2022</t>
        </is>
      </c>
      <c r="B576" s="1" t="n">
        <v>44579</v>
      </c>
      <c r="C576" s="1" t="n">
        <v>45765</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2462-2022</t>
        </is>
      </c>
      <c r="B577" s="1" t="n">
        <v>44579</v>
      </c>
      <c r="C577" s="1" t="n">
        <v>45765</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3425-2022</t>
        </is>
      </c>
      <c r="B578" s="1" t="n">
        <v>44585</v>
      </c>
      <c r="C578" s="1" t="n">
        <v>45765</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3423-2022</t>
        </is>
      </c>
      <c r="B579" s="1" t="n">
        <v>44585</v>
      </c>
      <c r="C579" s="1" t="n">
        <v>45765</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3426-2022</t>
        </is>
      </c>
      <c r="B580" s="1" t="n">
        <v>44585</v>
      </c>
      <c r="C580" s="1" t="n">
        <v>45765</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3816-2022</t>
        </is>
      </c>
      <c r="B581" s="1" t="n">
        <v>44587</v>
      </c>
      <c r="C581" s="1" t="n">
        <v>45765</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3902-2022</t>
        </is>
      </c>
      <c r="B582" s="1" t="n">
        <v>44587</v>
      </c>
      <c r="C582" s="1" t="n">
        <v>45765</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4046-2022</t>
        </is>
      </c>
      <c r="B583" s="1" t="n">
        <v>44588</v>
      </c>
      <c r="C583" s="1" t="n">
        <v>45765</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4054-2022</t>
        </is>
      </c>
      <c r="B584" s="1" t="n">
        <v>44588</v>
      </c>
      <c r="C584" s="1" t="n">
        <v>45765</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4118-2022</t>
        </is>
      </c>
      <c r="B585" s="1" t="n">
        <v>44588</v>
      </c>
      <c r="C585" s="1" t="n">
        <v>45765</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4126-2022</t>
        </is>
      </c>
      <c r="B586" s="1" t="n">
        <v>44588</v>
      </c>
      <c r="C586" s="1" t="n">
        <v>45765</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4042-2022</t>
        </is>
      </c>
      <c r="B587" s="1" t="n">
        <v>44588</v>
      </c>
      <c r="C587" s="1" t="n">
        <v>45765</v>
      </c>
      <c r="D587" t="inlineStr">
        <is>
          <t>KALMAR LÄN</t>
        </is>
      </c>
      <c r="E587" t="inlineStr">
        <is>
          <t>VIMMERBY</t>
        </is>
      </c>
      <c r="G587" t="n">
        <v>4.7</v>
      </c>
      <c r="H587" t="n">
        <v>0</v>
      </c>
      <c r="I587" t="n">
        <v>0</v>
      </c>
      <c r="J587" t="n">
        <v>0</v>
      </c>
      <c r="K587" t="n">
        <v>0</v>
      </c>
      <c r="L587" t="n">
        <v>0</v>
      </c>
      <c r="M587" t="n">
        <v>0</v>
      </c>
      <c r="N587" t="n">
        <v>0</v>
      </c>
      <c r="O587" t="n">
        <v>0</v>
      </c>
      <c r="P587" t="n">
        <v>0</v>
      </c>
      <c r="Q587" t="n">
        <v>0</v>
      </c>
      <c r="R587" s="2" t="inlineStr"/>
    </row>
    <row r="588" ht="15" customHeight="1">
      <c r="A588" t="inlineStr">
        <is>
          <t>A 4076-2022</t>
        </is>
      </c>
      <c r="B588" s="1" t="n">
        <v>44588</v>
      </c>
      <c r="C588" s="1" t="n">
        <v>45765</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4122-2022</t>
        </is>
      </c>
      <c r="B589" s="1" t="n">
        <v>44588</v>
      </c>
      <c r="C589" s="1" t="n">
        <v>45765</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4297-2022</t>
        </is>
      </c>
      <c r="B590" s="1" t="n">
        <v>44588</v>
      </c>
      <c r="C590" s="1" t="n">
        <v>45765</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4296-2022</t>
        </is>
      </c>
      <c r="B591" s="1" t="n">
        <v>44588</v>
      </c>
      <c r="C591" s="1" t="n">
        <v>45765</v>
      </c>
      <c r="D591" t="inlineStr">
        <is>
          <t>KALMAR LÄN</t>
        </is>
      </c>
      <c r="E591" t="inlineStr">
        <is>
          <t>VIMMERBY</t>
        </is>
      </c>
      <c r="G591" t="n">
        <v>1.8</v>
      </c>
      <c r="H591" t="n">
        <v>0</v>
      </c>
      <c r="I591" t="n">
        <v>0</v>
      </c>
      <c r="J591" t="n">
        <v>0</v>
      </c>
      <c r="K591" t="n">
        <v>0</v>
      </c>
      <c r="L591" t="n">
        <v>0</v>
      </c>
      <c r="M591" t="n">
        <v>0</v>
      </c>
      <c r="N591" t="n">
        <v>0</v>
      </c>
      <c r="O591" t="n">
        <v>0</v>
      </c>
      <c r="P591" t="n">
        <v>0</v>
      </c>
      <c r="Q591" t="n">
        <v>0</v>
      </c>
      <c r="R591" s="2" t="inlineStr"/>
    </row>
    <row r="592" ht="15" customHeight="1">
      <c r="A592" t="inlineStr">
        <is>
          <t>A 4532-2022</t>
        </is>
      </c>
      <c r="B592" s="1" t="n">
        <v>44590</v>
      </c>
      <c r="C592" s="1" t="n">
        <v>45765</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5527-2022</t>
        </is>
      </c>
      <c r="B593" s="1" t="n">
        <v>44595</v>
      </c>
      <c r="C593" s="1" t="n">
        <v>45765</v>
      </c>
      <c r="D593" t="inlineStr">
        <is>
          <t>KALMAR LÄN</t>
        </is>
      </c>
      <c r="E593" t="inlineStr">
        <is>
          <t>VIMMERBY</t>
        </is>
      </c>
      <c r="G593" t="n">
        <v>3.6</v>
      </c>
      <c r="H593" t="n">
        <v>0</v>
      </c>
      <c r="I593" t="n">
        <v>0</v>
      </c>
      <c r="J593" t="n">
        <v>0</v>
      </c>
      <c r="K593" t="n">
        <v>0</v>
      </c>
      <c r="L593" t="n">
        <v>0</v>
      </c>
      <c r="M593" t="n">
        <v>0</v>
      </c>
      <c r="N593" t="n">
        <v>0</v>
      </c>
      <c r="O593" t="n">
        <v>0</v>
      </c>
      <c r="P593" t="n">
        <v>0</v>
      </c>
      <c r="Q593" t="n">
        <v>0</v>
      </c>
      <c r="R593" s="2" t="inlineStr"/>
    </row>
    <row r="594" ht="15" customHeight="1">
      <c r="A594" t="inlineStr">
        <is>
          <t>A 5545-2022</t>
        </is>
      </c>
      <c r="B594" s="1" t="n">
        <v>44595</v>
      </c>
      <c r="C594" s="1" t="n">
        <v>45765</v>
      </c>
      <c r="D594" t="inlineStr">
        <is>
          <t>KALMAR LÄN</t>
        </is>
      </c>
      <c r="E594" t="inlineStr">
        <is>
          <t>VIMMERBY</t>
        </is>
      </c>
      <c r="G594" t="n">
        <v>2.2</v>
      </c>
      <c r="H594" t="n">
        <v>0</v>
      </c>
      <c r="I594" t="n">
        <v>0</v>
      </c>
      <c r="J594" t="n">
        <v>0</v>
      </c>
      <c r="K594" t="n">
        <v>0</v>
      </c>
      <c r="L594" t="n">
        <v>0</v>
      </c>
      <c r="M594" t="n">
        <v>0</v>
      </c>
      <c r="N594" t="n">
        <v>0</v>
      </c>
      <c r="O594" t="n">
        <v>0</v>
      </c>
      <c r="P594" t="n">
        <v>0</v>
      </c>
      <c r="Q594" t="n">
        <v>0</v>
      </c>
      <c r="R594" s="2" t="inlineStr"/>
    </row>
    <row r="595" ht="15" customHeight="1">
      <c r="A595" t="inlineStr">
        <is>
          <t>A 5618-2022</t>
        </is>
      </c>
      <c r="B595" s="1" t="n">
        <v>44595</v>
      </c>
      <c r="C595" s="1" t="n">
        <v>45765</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5864-2022</t>
        </is>
      </c>
      <c r="B596" s="1" t="n">
        <v>44596</v>
      </c>
      <c r="C596" s="1" t="n">
        <v>45765</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5925-2022</t>
        </is>
      </c>
      <c r="B597" s="1" t="n">
        <v>44598</v>
      </c>
      <c r="C597" s="1" t="n">
        <v>45765</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5938-2022</t>
        </is>
      </c>
      <c r="B598" s="1" t="n">
        <v>44598</v>
      </c>
      <c r="C598" s="1" t="n">
        <v>45765</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6083-2022</t>
        </is>
      </c>
      <c r="B599" s="1" t="n">
        <v>44599</v>
      </c>
      <c r="C599" s="1" t="n">
        <v>45765</v>
      </c>
      <c r="D599" t="inlineStr">
        <is>
          <t>KALMAR LÄN</t>
        </is>
      </c>
      <c r="E599" t="inlineStr">
        <is>
          <t>VIMMERBY</t>
        </is>
      </c>
      <c r="G599" t="n">
        <v>6.6</v>
      </c>
      <c r="H599" t="n">
        <v>0</v>
      </c>
      <c r="I599" t="n">
        <v>0</v>
      </c>
      <c r="J599" t="n">
        <v>0</v>
      </c>
      <c r="K599" t="n">
        <v>0</v>
      </c>
      <c r="L599" t="n">
        <v>0</v>
      </c>
      <c r="M599" t="n">
        <v>0</v>
      </c>
      <c r="N599" t="n">
        <v>0</v>
      </c>
      <c r="O599" t="n">
        <v>0</v>
      </c>
      <c r="P599" t="n">
        <v>0</v>
      </c>
      <c r="Q599" t="n">
        <v>0</v>
      </c>
      <c r="R599" s="2" t="inlineStr"/>
    </row>
    <row r="600" ht="15" customHeight="1">
      <c r="A600" t="inlineStr">
        <is>
          <t>A 6082-2022</t>
        </is>
      </c>
      <c r="B600" s="1" t="n">
        <v>44599</v>
      </c>
      <c r="C600" s="1" t="n">
        <v>45765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6358-2022</t>
        </is>
      </c>
      <c r="B601" s="1" t="n">
        <v>44600</v>
      </c>
      <c r="C601" s="1" t="n">
        <v>45765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6355-2022</t>
        </is>
      </c>
      <c r="B602" s="1" t="n">
        <v>44600</v>
      </c>
      <c r="C602" s="1" t="n">
        <v>45765</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7047-2022</t>
        </is>
      </c>
      <c r="B603" s="1" t="n">
        <v>44603</v>
      </c>
      <c r="C603" s="1" t="n">
        <v>45765</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7049-2022</t>
        </is>
      </c>
      <c r="B604" s="1" t="n">
        <v>44603</v>
      </c>
      <c r="C604" s="1" t="n">
        <v>45765</v>
      </c>
      <c r="D604" t="inlineStr">
        <is>
          <t>KALMAR LÄN</t>
        </is>
      </c>
      <c r="E604" t="inlineStr">
        <is>
          <t>VIMMERBY</t>
        </is>
      </c>
      <c r="G604" t="n">
        <v>2.3</v>
      </c>
      <c r="H604" t="n">
        <v>0</v>
      </c>
      <c r="I604" t="n">
        <v>0</v>
      </c>
      <c r="J604" t="n">
        <v>0</v>
      </c>
      <c r="K604" t="n">
        <v>0</v>
      </c>
      <c r="L604" t="n">
        <v>0</v>
      </c>
      <c r="M604" t="n">
        <v>0</v>
      </c>
      <c r="N604" t="n">
        <v>0</v>
      </c>
      <c r="O604" t="n">
        <v>0</v>
      </c>
      <c r="P604" t="n">
        <v>0</v>
      </c>
      <c r="Q604" t="n">
        <v>0</v>
      </c>
      <c r="R604" s="2" t="inlineStr"/>
    </row>
    <row r="605" ht="15" customHeight="1">
      <c r="A605" t="inlineStr">
        <is>
          <t>A 7167-2022</t>
        </is>
      </c>
      <c r="B605" s="1" t="n">
        <v>44604</v>
      </c>
      <c r="C605" s="1" t="n">
        <v>45765</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7643-2022</t>
        </is>
      </c>
      <c r="B606" s="1" t="n">
        <v>44607</v>
      </c>
      <c r="C606" s="1" t="n">
        <v>45765</v>
      </c>
      <c r="D606" t="inlineStr">
        <is>
          <t>KALMAR LÄN</t>
        </is>
      </c>
      <c r="E606" t="inlineStr">
        <is>
          <t>VIMMERBY</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7804-2022</t>
        </is>
      </c>
      <c r="B607" s="1" t="n">
        <v>44608</v>
      </c>
      <c r="C607" s="1" t="n">
        <v>45765</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7917-2022</t>
        </is>
      </c>
      <c r="B608" s="1" t="n">
        <v>44608</v>
      </c>
      <c r="C608" s="1" t="n">
        <v>45765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8194-2022</t>
        </is>
      </c>
      <c r="B609" s="1" t="n">
        <v>44609</v>
      </c>
      <c r="C609" s="1" t="n">
        <v>45765</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8454-2022</t>
        </is>
      </c>
      <c r="B610" s="1" t="n">
        <v>44612</v>
      </c>
      <c r="C610" s="1" t="n">
        <v>45765</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8453-2022</t>
        </is>
      </c>
      <c r="B611" s="1" t="n">
        <v>44612</v>
      </c>
      <c r="C611" s="1" t="n">
        <v>45765</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8462-2022</t>
        </is>
      </c>
      <c r="B612" s="1" t="n">
        <v>44612</v>
      </c>
      <c r="C612" s="1" t="n">
        <v>45765</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8650-2022</t>
        </is>
      </c>
      <c r="B613" s="1" t="n">
        <v>44613</v>
      </c>
      <c r="C613" s="1" t="n">
        <v>45765</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8908-2022</t>
        </is>
      </c>
      <c r="B614" s="1" t="n">
        <v>44614</v>
      </c>
      <c r="C614" s="1" t="n">
        <v>45765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9311-2022</t>
        </is>
      </c>
      <c r="B615" s="1" t="n">
        <v>44616</v>
      </c>
      <c r="C615" s="1" t="n">
        <v>45765</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9918-2022</t>
        </is>
      </c>
      <c r="B616" s="1" t="n">
        <v>44620</v>
      </c>
      <c r="C616" s="1" t="n">
        <v>45765</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10086-2022</t>
        </is>
      </c>
      <c r="B617" s="1" t="n">
        <v>44621</v>
      </c>
      <c r="C617" s="1" t="n">
        <v>45765</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10487-2022</t>
        </is>
      </c>
      <c r="B618" s="1" t="n">
        <v>44623</v>
      </c>
      <c r="C618" s="1" t="n">
        <v>45765</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11429-2022</t>
        </is>
      </c>
      <c r="B619" s="1" t="n">
        <v>44630</v>
      </c>
      <c r="C619" s="1" t="n">
        <v>45765</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11733-2022</t>
        </is>
      </c>
      <c r="B620" s="1" t="n">
        <v>44634</v>
      </c>
      <c r="C620" s="1" t="n">
        <v>45765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11814-2022</t>
        </is>
      </c>
      <c r="B621" s="1" t="n">
        <v>44634</v>
      </c>
      <c r="C621" s="1" t="n">
        <v>45765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11928-2022</t>
        </is>
      </c>
      <c r="B622" s="1" t="n">
        <v>44635</v>
      </c>
      <c r="C622" s="1" t="n">
        <v>45765</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11930-2022</t>
        </is>
      </c>
      <c r="B623" s="1" t="n">
        <v>44635</v>
      </c>
      <c r="C623" s="1" t="n">
        <v>45765</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12107-2022</t>
        </is>
      </c>
      <c r="B624" s="1" t="n">
        <v>44636</v>
      </c>
      <c r="C624" s="1" t="n">
        <v>45765</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12510-2022</t>
        </is>
      </c>
      <c r="B625" s="1" t="n">
        <v>44638</v>
      </c>
      <c r="C625" s="1" t="n">
        <v>45765</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13015-2022</t>
        </is>
      </c>
      <c r="B626" s="1" t="n">
        <v>44643</v>
      </c>
      <c r="C626" s="1" t="n">
        <v>45765</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13180-2022</t>
        </is>
      </c>
      <c r="B627" s="1" t="n">
        <v>44644</v>
      </c>
      <c r="C627" s="1" t="n">
        <v>45765</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14347-2022</t>
        </is>
      </c>
      <c r="B628" s="1" t="n">
        <v>44652</v>
      </c>
      <c r="C628" s="1" t="n">
        <v>45765</v>
      </c>
      <c r="D628" t="inlineStr">
        <is>
          <t>KALMAR LÄN</t>
        </is>
      </c>
      <c r="E628" t="inlineStr">
        <is>
          <t>VIMMERBY</t>
        </is>
      </c>
      <c r="F628" t="inlineStr">
        <is>
          <t>Sveaskog</t>
        </is>
      </c>
      <c r="G628" t="n">
        <v>7.2</v>
      </c>
      <c r="H628" t="n">
        <v>0</v>
      </c>
      <c r="I628" t="n">
        <v>0</v>
      </c>
      <c r="J628" t="n">
        <v>0</v>
      </c>
      <c r="K628" t="n">
        <v>0</v>
      </c>
      <c r="L628" t="n">
        <v>0</v>
      </c>
      <c r="M628" t="n">
        <v>0</v>
      </c>
      <c r="N628" t="n">
        <v>0</v>
      </c>
      <c r="O628" t="n">
        <v>0</v>
      </c>
      <c r="P628" t="n">
        <v>0</v>
      </c>
      <c r="Q628" t="n">
        <v>0</v>
      </c>
      <c r="R628" s="2" t="inlineStr"/>
    </row>
    <row r="629" ht="15" customHeight="1">
      <c r="A629" t="inlineStr">
        <is>
          <t>A 15146-2022</t>
        </is>
      </c>
      <c r="B629" s="1" t="n">
        <v>44658</v>
      </c>
      <c r="C629" s="1" t="n">
        <v>45765</v>
      </c>
      <c r="D629" t="inlineStr">
        <is>
          <t>KALMAR LÄN</t>
        </is>
      </c>
      <c r="E629" t="inlineStr">
        <is>
          <t>VIMMERBY</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15438-2022</t>
        </is>
      </c>
      <c r="B630" s="1" t="n">
        <v>44659</v>
      </c>
      <c r="C630" s="1" t="n">
        <v>45765</v>
      </c>
      <c r="D630" t="inlineStr">
        <is>
          <t>KALMAR LÄN</t>
        </is>
      </c>
      <c r="E630" t="inlineStr">
        <is>
          <t>VIMMERBY</t>
        </is>
      </c>
      <c r="F630" t="inlineStr">
        <is>
          <t>Kommuner</t>
        </is>
      </c>
      <c r="G630" t="n">
        <v>2.8</v>
      </c>
      <c r="H630" t="n">
        <v>0</v>
      </c>
      <c r="I630" t="n">
        <v>0</v>
      </c>
      <c r="J630" t="n">
        <v>0</v>
      </c>
      <c r="K630" t="n">
        <v>0</v>
      </c>
      <c r="L630" t="n">
        <v>0</v>
      </c>
      <c r="M630" t="n">
        <v>0</v>
      </c>
      <c r="N630" t="n">
        <v>0</v>
      </c>
      <c r="O630" t="n">
        <v>0</v>
      </c>
      <c r="P630" t="n">
        <v>0</v>
      </c>
      <c r="Q630" t="n">
        <v>0</v>
      </c>
      <c r="R630" s="2" t="inlineStr"/>
    </row>
    <row r="631" ht="15" customHeight="1">
      <c r="A631" t="inlineStr">
        <is>
          <t>A 15533-2022</t>
        </is>
      </c>
      <c r="B631" s="1" t="n">
        <v>44662</v>
      </c>
      <c r="C631" s="1" t="n">
        <v>45765</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15535-2022</t>
        </is>
      </c>
      <c r="B632" s="1" t="n">
        <v>44662</v>
      </c>
      <c r="C632" s="1" t="n">
        <v>45765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16156-2022</t>
        </is>
      </c>
      <c r="B633" s="1" t="n">
        <v>44666</v>
      </c>
      <c r="C633" s="1" t="n">
        <v>45765</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16288-2022</t>
        </is>
      </c>
      <c r="B634" s="1" t="n">
        <v>44670</v>
      </c>
      <c r="C634" s="1" t="n">
        <v>45765</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16283-2022</t>
        </is>
      </c>
      <c r="B635" s="1" t="n">
        <v>44670</v>
      </c>
      <c r="C635" s="1" t="n">
        <v>45765</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16290-2022</t>
        </is>
      </c>
      <c r="B636" s="1" t="n">
        <v>44670</v>
      </c>
      <c r="C636" s="1" t="n">
        <v>45765</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17029-2022</t>
        </is>
      </c>
      <c r="B637" s="1" t="n">
        <v>44676</v>
      </c>
      <c r="C637" s="1" t="n">
        <v>45765</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17253-2022</t>
        </is>
      </c>
      <c r="B638" s="1" t="n">
        <v>44678</v>
      </c>
      <c r="C638" s="1" t="n">
        <v>45765</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19535-2022</t>
        </is>
      </c>
      <c r="B639" s="1" t="n">
        <v>44693</v>
      </c>
      <c r="C639" s="1" t="n">
        <v>45765</v>
      </c>
      <c r="D639" t="inlineStr">
        <is>
          <t>KALMAR LÄN</t>
        </is>
      </c>
      <c r="E639" t="inlineStr">
        <is>
          <t>VIMMERBY</t>
        </is>
      </c>
      <c r="F639" t="inlineStr">
        <is>
          <t>Sveaskog</t>
        </is>
      </c>
      <c r="G639" t="n">
        <v>7.1</v>
      </c>
      <c r="H639" t="n">
        <v>0</v>
      </c>
      <c r="I639" t="n">
        <v>0</v>
      </c>
      <c r="J639" t="n">
        <v>0</v>
      </c>
      <c r="K639" t="n">
        <v>0</v>
      </c>
      <c r="L639" t="n">
        <v>0</v>
      </c>
      <c r="M639" t="n">
        <v>0</v>
      </c>
      <c r="N639" t="n">
        <v>0</v>
      </c>
      <c r="O639" t="n">
        <v>0</v>
      </c>
      <c r="P639" t="n">
        <v>0</v>
      </c>
      <c r="Q639" t="n">
        <v>0</v>
      </c>
      <c r="R639" s="2" t="inlineStr"/>
    </row>
    <row r="640" ht="15" customHeight="1">
      <c r="A640" t="inlineStr">
        <is>
          <t>A 19537-2022</t>
        </is>
      </c>
      <c r="B640" s="1" t="n">
        <v>44693</v>
      </c>
      <c r="C640" s="1" t="n">
        <v>45765</v>
      </c>
      <c r="D640" t="inlineStr">
        <is>
          <t>KALMAR LÄN</t>
        </is>
      </c>
      <c r="E640" t="inlineStr">
        <is>
          <t>VIMMERBY</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23341-2022</t>
        </is>
      </c>
      <c r="B641" s="1" t="n">
        <v>44720</v>
      </c>
      <c r="C641" s="1" t="n">
        <v>45765</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23825-2022</t>
        </is>
      </c>
      <c r="B642" s="1" t="n">
        <v>44722</v>
      </c>
      <c r="C642" s="1" t="n">
        <v>45765</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25049-2022</t>
        </is>
      </c>
      <c r="B643" s="1" t="n">
        <v>44729</v>
      </c>
      <c r="C643" s="1" t="n">
        <v>45765</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25370-2022</t>
        </is>
      </c>
      <c r="B644" s="1" t="n">
        <v>44732</v>
      </c>
      <c r="C644" s="1" t="n">
        <v>45765</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25738-2022</t>
        </is>
      </c>
      <c r="B645" s="1" t="n">
        <v>44733</v>
      </c>
      <c r="C645" s="1" t="n">
        <v>45765</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25859-2022</t>
        </is>
      </c>
      <c r="B646" s="1" t="n">
        <v>44733</v>
      </c>
      <c r="C646" s="1" t="n">
        <v>45765</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25868-2022</t>
        </is>
      </c>
      <c r="B647" s="1" t="n">
        <v>44733</v>
      </c>
      <c r="C647" s="1" t="n">
        <v>45765</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27455-2022</t>
        </is>
      </c>
      <c r="B648" s="1" t="n">
        <v>44742</v>
      </c>
      <c r="C648" s="1" t="n">
        <v>45765</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27993-2022</t>
        </is>
      </c>
      <c r="B649" s="1" t="n">
        <v>44745</v>
      </c>
      <c r="C649" s="1" t="n">
        <v>45765</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28034-2022</t>
        </is>
      </c>
      <c r="B650" s="1" t="n">
        <v>44746</v>
      </c>
      <c r="C650" s="1" t="n">
        <v>45765</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28406-2022</t>
        </is>
      </c>
      <c r="B651" s="1" t="n">
        <v>44747</v>
      </c>
      <c r="C651" s="1" t="n">
        <v>45765</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28646-2022</t>
        </is>
      </c>
      <c r="B652" s="1" t="n">
        <v>44748</v>
      </c>
      <c r="C652" s="1" t="n">
        <v>45765</v>
      </c>
      <c r="D652" t="inlineStr">
        <is>
          <t>KALMAR LÄN</t>
        </is>
      </c>
      <c r="E652" t="inlineStr">
        <is>
          <t>VIMMERBY</t>
        </is>
      </c>
      <c r="G652" t="n">
        <v>4.4</v>
      </c>
      <c r="H652" t="n">
        <v>0</v>
      </c>
      <c r="I652" t="n">
        <v>0</v>
      </c>
      <c r="J652" t="n">
        <v>0</v>
      </c>
      <c r="K652" t="n">
        <v>0</v>
      </c>
      <c r="L652" t="n">
        <v>0</v>
      </c>
      <c r="M652" t="n">
        <v>0</v>
      </c>
      <c r="N652" t="n">
        <v>0</v>
      </c>
      <c r="O652" t="n">
        <v>0</v>
      </c>
      <c r="P652" t="n">
        <v>0</v>
      </c>
      <c r="Q652" t="n">
        <v>0</v>
      </c>
      <c r="R652" s="2" t="inlineStr"/>
    </row>
    <row r="653" ht="15" customHeight="1">
      <c r="A653" t="inlineStr">
        <is>
          <t>A 29616-2022</t>
        </is>
      </c>
      <c r="B653" s="1" t="n">
        <v>44754</v>
      </c>
      <c r="C653" s="1" t="n">
        <v>45765</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29910-2022</t>
        </is>
      </c>
      <c r="B654" s="1" t="n">
        <v>44756</v>
      </c>
      <c r="C654" s="1" t="n">
        <v>45765</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31053-2022</t>
        </is>
      </c>
      <c r="B655" s="1" t="n">
        <v>44769</v>
      </c>
      <c r="C655" s="1" t="n">
        <v>45765</v>
      </c>
      <c r="D655" t="inlineStr">
        <is>
          <t>KALMAR LÄN</t>
        </is>
      </c>
      <c r="E655" t="inlineStr">
        <is>
          <t>VIMMERBY</t>
        </is>
      </c>
      <c r="G655" t="n">
        <v>1.9</v>
      </c>
      <c r="H655" t="n">
        <v>0</v>
      </c>
      <c r="I655" t="n">
        <v>0</v>
      </c>
      <c r="J655" t="n">
        <v>0</v>
      </c>
      <c r="K655" t="n">
        <v>0</v>
      </c>
      <c r="L655" t="n">
        <v>0</v>
      </c>
      <c r="M655" t="n">
        <v>0</v>
      </c>
      <c r="N655" t="n">
        <v>0</v>
      </c>
      <c r="O655" t="n">
        <v>0</v>
      </c>
      <c r="P655" t="n">
        <v>0</v>
      </c>
      <c r="Q655" t="n">
        <v>0</v>
      </c>
      <c r="R655" s="2" t="inlineStr"/>
    </row>
    <row r="656" ht="15" customHeight="1">
      <c r="A656" t="inlineStr">
        <is>
          <t>A 31056-2022</t>
        </is>
      </c>
      <c r="B656" s="1" t="n">
        <v>44769</v>
      </c>
      <c r="C656" s="1" t="n">
        <v>45765</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31533-2022</t>
        </is>
      </c>
      <c r="B657" s="1" t="n">
        <v>44774</v>
      </c>
      <c r="C657" s="1" t="n">
        <v>45765</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31824-2022</t>
        </is>
      </c>
      <c r="B658" s="1" t="n">
        <v>44776</v>
      </c>
      <c r="C658" s="1" t="n">
        <v>45765</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32835-2022</t>
        </is>
      </c>
      <c r="B659" s="1" t="n">
        <v>44784</v>
      </c>
      <c r="C659" s="1" t="n">
        <v>45765</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32919-2022</t>
        </is>
      </c>
      <c r="B660" s="1" t="n">
        <v>44784</v>
      </c>
      <c r="C660" s="1" t="n">
        <v>45765</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33051-2022</t>
        </is>
      </c>
      <c r="B661" s="1" t="n">
        <v>44785</v>
      </c>
      <c r="C661" s="1" t="n">
        <v>45765</v>
      </c>
      <c r="D661" t="inlineStr">
        <is>
          <t>KALMAR LÄN</t>
        </is>
      </c>
      <c r="E661" t="inlineStr">
        <is>
          <t>VIMMERBY</t>
        </is>
      </c>
      <c r="G661" t="n">
        <v>0.3</v>
      </c>
      <c r="H661" t="n">
        <v>0</v>
      </c>
      <c r="I661" t="n">
        <v>0</v>
      </c>
      <c r="J661" t="n">
        <v>0</v>
      </c>
      <c r="K661" t="n">
        <v>0</v>
      </c>
      <c r="L661" t="n">
        <v>0</v>
      </c>
      <c r="M661" t="n">
        <v>0</v>
      </c>
      <c r="N661" t="n">
        <v>0</v>
      </c>
      <c r="O661" t="n">
        <v>0</v>
      </c>
      <c r="P661" t="n">
        <v>0</v>
      </c>
      <c r="Q661" t="n">
        <v>0</v>
      </c>
      <c r="R661" s="2" t="inlineStr"/>
    </row>
    <row r="662" ht="15" customHeight="1">
      <c r="A662" t="inlineStr">
        <is>
          <t>A 33352-2022</t>
        </is>
      </c>
      <c r="B662" s="1" t="n">
        <v>44788</v>
      </c>
      <c r="C662" s="1" t="n">
        <v>45765</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33681-2022</t>
        </is>
      </c>
      <c r="B663" s="1" t="n">
        <v>44789</v>
      </c>
      <c r="C663" s="1" t="n">
        <v>45765</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33690-2022</t>
        </is>
      </c>
      <c r="B664" s="1" t="n">
        <v>44789</v>
      </c>
      <c r="C664" s="1" t="n">
        <v>45765</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33815-2022</t>
        </is>
      </c>
      <c r="B665" s="1" t="n">
        <v>44790</v>
      </c>
      <c r="C665" s="1" t="n">
        <v>45765</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33829-2022</t>
        </is>
      </c>
      <c r="B666" s="1" t="n">
        <v>44790</v>
      </c>
      <c r="C666" s="1" t="n">
        <v>45765</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33838-2022</t>
        </is>
      </c>
      <c r="B667" s="1" t="n">
        <v>44790</v>
      </c>
      <c r="C667" s="1" t="n">
        <v>45765</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33820-2022</t>
        </is>
      </c>
      <c r="B668" s="1" t="n">
        <v>44790</v>
      </c>
      <c r="C668" s="1" t="n">
        <v>45765</v>
      </c>
      <c r="D668" t="inlineStr">
        <is>
          <t>KALMAR LÄN</t>
        </is>
      </c>
      <c r="E668" t="inlineStr">
        <is>
          <t>VIMMERBY</t>
        </is>
      </c>
      <c r="G668" t="n">
        <v>3</v>
      </c>
      <c r="H668" t="n">
        <v>0</v>
      </c>
      <c r="I668" t="n">
        <v>0</v>
      </c>
      <c r="J668" t="n">
        <v>0</v>
      </c>
      <c r="K668" t="n">
        <v>0</v>
      </c>
      <c r="L668" t="n">
        <v>0</v>
      </c>
      <c r="M668" t="n">
        <v>0</v>
      </c>
      <c r="N668" t="n">
        <v>0</v>
      </c>
      <c r="O668" t="n">
        <v>0</v>
      </c>
      <c r="P668" t="n">
        <v>0</v>
      </c>
      <c r="Q668" t="n">
        <v>0</v>
      </c>
      <c r="R668" s="2" t="inlineStr"/>
    </row>
    <row r="669" ht="15" customHeight="1">
      <c r="A669" t="inlineStr">
        <is>
          <t>A 33831-2022</t>
        </is>
      </c>
      <c r="B669" s="1" t="n">
        <v>44790</v>
      </c>
      <c r="C669" s="1" t="n">
        <v>45765</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33842-2022</t>
        </is>
      </c>
      <c r="B670" s="1" t="n">
        <v>44790</v>
      </c>
      <c r="C670" s="1" t="n">
        <v>45765</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33824-2022</t>
        </is>
      </c>
      <c r="B671" s="1" t="n">
        <v>44790</v>
      </c>
      <c r="C671" s="1" t="n">
        <v>45765</v>
      </c>
      <c r="D671" t="inlineStr">
        <is>
          <t>KALMAR LÄN</t>
        </is>
      </c>
      <c r="E671" t="inlineStr">
        <is>
          <t>VIMMERBY</t>
        </is>
      </c>
      <c r="G671" t="n">
        <v>2.3</v>
      </c>
      <c r="H671" t="n">
        <v>0</v>
      </c>
      <c r="I671" t="n">
        <v>0</v>
      </c>
      <c r="J671" t="n">
        <v>0</v>
      </c>
      <c r="K671" t="n">
        <v>0</v>
      </c>
      <c r="L671" t="n">
        <v>0</v>
      </c>
      <c r="M671" t="n">
        <v>0</v>
      </c>
      <c r="N671" t="n">
        <v>0</v>
      </c>
      <c r="O671" t="n">
        <v>0</v>
      </c>
      <c r="P671" t="n">
        <v>0</v>
      </c>
      <c r="Q671" t="n">
        <v>0</v>
      </c>
      <c r="R671" s="2" t="inlineStr"/>
    </row>
    <row r="672" ht="15" customHeight="1">
      <c r="A672" t="inlineStr">
        <is>
          <t>A 33840-2022</t>
        </is>
      </c>
      <c r="B672" s="1" t="n">
        <v>44790</v>
      </c>
      <c r="C672" s="1" t="n">
        <v>45765</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34376-2022</t>
        </is>
      </c>
      <c r="B673" s="1" t="n">
        <v>44792</v>
      </c>
      <c r="C673" s="1" t="n">
        <v>45765</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34329-2022</t>
        </is>
      </c>
      <c r="B674" s="1" t="n">
        <v>44792</v>
      </c>
      <c r="C674" s="1" t="n">
        <v>45765</v>
      </c>
      <c r="D674" t="inlineStr">
        <is>
          <t>KALMAR LÄN</t>
        </is>
      </c>
      <c r="E674" t="inlineStr">
        <is>
          <t>VIMMERBY</t>
        </is>
      </c>
      <c r="F674" t="inlineStr">
        <is>
          <t>Sveaskog</t>
        </is>
      </c>
      <c r="G674" t="n">
        <v>5.5</v>
      </c>
      <c r="H674" t="n">
        <v>0</v>
      </c>
      <c r="I674" t="n">
        <v>0</v>
      </c>
      <c r="J674" t="n">
        <v>0</v>
      </c>
      <c r="K674" t="n">
        <v>0</v>
      </c>
      <c r="L674" t="n">
        <v>0</v>
      </c>
      <c r="M674" t="n">
        <v>0</v>
      </c>
      <c r="N674" t="n">
        <v>0</v>
      </c>
      <c r="O674" t="n">
        <v>0</v>
      </c>
      <c r="P674" t="n">
        <v>0</v>
      </c>
      <c r="Q674" t="n">
        <v>0</v>
      </c>
      <c r="R674" s="2" t="inlineStr"/>
    </row>
    <row r="675" ht="15" customHeight="1">
      <c r="A675" t="inlineStr">
        <is>
          <t>A 34597-2022</t>
        </is>
      </c>
      <c r="B675" s="1" t="n">
        <v>44795</v>
      </c>
      <c r="C675" s="1" t="n">
        <v>45765</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35429-2022</t>
        </is>
      </c>
      <c r="B676" s="1" t="n">
        <v>44798</v>
      </c>
      <c r="C676" s="1" t="n">
        <v>45765</v>
      </c>
      <c r="D676" t="inlineStr">
        <is>
          <t>KALMAR LÄN</t>
        </is>
      </c>
      <c r="E676" t="inlineStr">
        <is>
          <t>VIMMERBY</t>
        </is>
      </c>
      <c r="G676" t="n">
        <v>4.9</v>
      </c>
      <c r="H676" t="n">
        <v>0</v>
      </c>
      <c r="I676" t="n">
        <v>0</v>
      </c>
      <c r="J676" t="n">
        <v>0</v>
      </c>
      <c r="K676" t="n">
        <v>0</v>
      </c>
      <c r="L676" t="n">
        <v>0</v>
      </c>
      <c r="M676" t="n">
        <v>0</v>
      </c>
      <c r="N676" t="n">
        <v>0</v>
      </c>
      <c r="O676" t="n">
        <v>0</v>
      </c>
      <c r="P676" t="n">
        <v>0</v>
      </c>
      <c r="Q676" t="n">
        <v>0</v>
      </c>
      <c r="R676" s="2" t="inlineStr"/>
    </row>
    <row r="677" ht="15" customHeight="1">
      <c r="A677" t="inlineStr">
        <is>
          <t>A 35615-2022</t>
        </is>
      </c>
      <c r="B677" s="1" t="n">
        <v>44799</v>
      </c>
      <c r="C677" s="1" t="n">
        <v>45765</v>
      </c>
      <c r="D677" t="inlineStr">
        <is>
          <t>KALMAR LÄN</t>
        </is>
      </c>
      <c r="E677" t="inlineStr">
        <is>
          <t>VIMMERBY</t>
        </is>
      </c>
      <c r="G677" t="n">
        <v>3.8</v>
      </c>
      <c r="H677" t="n">
        <v>0</v>
      </c>
      <c r="I677" t="n">
        <v>0</v>
      </c>
      <c r="J677" t="n">
        <v>0</v>
      </c>
      <c r="K677" t="n">
        <v>0</v>
      </c>
      <c r="L677" t="n">
        <v>0</v>
      </c>
      <c r="M677" t="n">
        <v>0</v>
      </c>
      <c r="N677" t="n">
        <v>0</v>
      </c>
      <c r="O677" t="n">
        <v>0</v>
      </c>
      <c r="P677" t="n">
        <v>0</v>
      </c>
      <c r="Q677" t="n">
        <v>0</v>
      </c>
      <c r="R677" s="2" t="inlineStr"/>
    </row>
    <row r="678" ht="15" customHeight="1">
      <c r="A678" t="inlineStr">
        <is>
          <t>A 36259-2022</t>
        </is>
      </c>
      <c r="B678" s="1" t="n">
        <v>44803</v>
      </c>
      <c r="C678" s="1" t="n">
        <v>45765</v>
      </c>
      <c r="D678" t="inlineStr">
        <is>
          <t>KALMAR LÄN</t>
        </is>
      </c>
      <c r="E678" t="inlineStr">
        <is>
          <t>VIMMERBY</t>
        </is>
      </c>
      <c r="G678" t="n">
        <v>3.9</v>
      </c>
      <c r="H678" t="n">
        <v>0</v>
      </c>
      <c r="I678" t="n">
        <v>0</v>
      </c>
      <c r="J678" t="n">
        <v>0</v>
      </c>
      <c r="K678" t="n">
        <v>0</v>
      </c>
      <c r="L678" t="n">
        <v>0</v>
      </c>
      <c r="M678" t="n">
        <v>0</v>
      </c>
      <c r="N678" t="n">
        <v>0</v>
      </c>
      <c r="O678" t="n">
        <v>0</v>
      </c>
      <c r="P678" t="n">
        <v>0</v>
      </c>
      <c r="Q678" t="n">
        <v>0</v>
      </c>
      <c r="R678" s="2" t="inlineStr"/>
    </row>
    <row r="679" ht="15" customHeight="1">
      <c r="A679" t="inlineStr">
        <is>
          <t>A 36268-2022</t>
        </is>
      </c>
      <c r="B679" s="1" t="n">
        <v>44803</v>
      </c>
      <c r="C679" s="1" t="n">
        <v>45765</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36320-2022</t>
        </is>
      </c>
      <c r="B680" s="1" t="n">
        <v>44803</v>
      </c>
      <c r="C680" s="1" t="n">
        <v>45765</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39225-2022</t>
        </is>
      </c>
      <c r="B681" s="1" t="n">
        <v>44817</v>
      </c>
      <c r="C681" s="1" t="n">
        <v>45765</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39042-2022</t>
        </is>
      </c>
      <c r="B682" s="1" t="n">
        <v>44817</v>
      </c>
      <c r="C682" s="1" t="n">
        <v>45765</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39959-2022</t>
        </is>
      </c>
      <c r="B683" s="1" t="n">
        <v>44819</v>
      </c>
      <c r="C683" s="1" t="n">
        <v>45765</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40095-2022</t>
        </is>
      </c>
      <c r="B684" s="1" t="n">
        <v>44820</v>
      </c>
      <c r="C684" s="1" t="n">
        <v>45765</v>
      </c>
      <c r="D684" t="inlineStr">
        <is>
          <t>KALMAR LÄN</t>
        </is>
      </c>
      <c r="E684" t="inlineStr">
        <is>
          <t>VIMMERBY</t>
        </is>
      </c>
      <c r="G684" t="n">
        <v>2.4</v>
      </c>
      <c r="H684" t="n">
        <v>0</v>
      </c>
      <c r="I684" t="n">
        <v>0</v>
      </c>
      <c r="J684" t="n">
        <v>0</v>
      </c>
      <c r="K684" t="n">
        <v>0</v>
      </c>
      <c r="L684" t="n">
        <v>0</v>
      </c>
      <c r="M684" t="n">
        <v>0</v>
      </c>
      <c r="N684" t="n">
        <v>0</v>
      </c>
      <c r="O684" t="n">
        <v>0</v>
      </c>
      <c r="P684" t="n">
        <v>0</v>
      </c>
      <c r="Q684" t="n">
        <v>0</v>
      </c>
      <c r="R684" s="2" t="inlineStr"/>
    </row>
    <row r="685" ht="15" customHeight="1">
      <c r="A685" t="inlineStr">
        <is>
          <t>A 40026-2022</t>
        </is>
      </c>
      <c r="B685" s="1" t="n">
        <v>44820</v>
      </c>
      <c r="C685" s="1" t="n">
        <v>45765</v>
      </c>
      <c r="D685" t="inlineStr">
        <is>
          <t>KALMAR LÄN</t>
        </is>
      </c>
      <c r="E685" t="inlineStr">
        <is>
          <t>VIMMERBY</t>
        </is>
      </c>
      <c r="G685" t="n">
        <v>1.8</v>
      </c>
      <c r="H685" t="n">
        <v>0</v>
      </c>
      <c r="I685" t="n">
        <v>0</v>
      </c>
      <c r="J685" t="n">
        <v>0</v>
      </c>
      <c r="K685" t="n">
        <v>0</v>
      </c>
      <c r="L685" t="n">
        <v>0</v>
      </c>
      <c r="M685" t="n">
        <v>0</v>
      </c>
      <c r="N685" t="n">
        <v>0</v>
      </c>
      <c r="O685" t="n">
        <v>0</v>
      </c>
      <c r="P685" t="n">
        <v>0</v>
      </c>
      <c r="Q685" t="n">
        <v>0</v>
      </c>
      <c r="R685" s="2" t="inlineStr"/>
    </row>
    <row r="686" ht="15" customHeight="1">
      <c r="A686" t="inlineStr">
        <is>
          <t>A 40916-2022</t>
        </is>
      </c>
      <c r="B686" s="1" t="n">
        <v>44820</v>
      </c>
      <c r="C686" s="1" t="n">
        <v>45765</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40472-2022</t>
        </is>
      </c>
      <c r="B687" s="1" t="n">
        <v>44823</v>
      </c>
      <c r="C687" s="1" t="n">
        <v>45765</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40728-2022</t>
        </is>
      </c>
      <c r="B688" s="1" t="n">
        <v>44824</v>
      </c>
      <c r="C688" s="1" t="n">
        <v>45765</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41056-2022</t>
        </is>
      </c>
      <c r="B689" s="1" t="n">
        <v>44824</v>
      </c>
      <c r="C689" s="1" t="n">
        <v>45765</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40929-2022</t>
        </is>
      </c>
      <c r="B690" s="1" t="n">
        <v>44825</v>
      </c>
      <c r="C690" s="1" t="n">
        <v>45765</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40927-2022</t>
        </is>
      </c>
      <c r="B691" s="1" t="n">
        <v>44825</v>
      </c>
      <c r="C691" s="1" t="n">
        <v>45765</v>
      </c>
      <c r="D691" t="inlineStr">
        <is>
          <t>KALMAR LÄN</t>
        </is>
      </c>
      <c r="E691" t="inlineStr">
        <is>
          <t>VIMMERBY</t>
        </is>
      </c>
      <c r="G691" t="n">
        <v>3.2</v>
      </c>
      <c r="H691" t="n">
        <v>0</v>
      </c>
      <c r="I691" t="n">
        <v>0</v>
      </c>
      <c r="J691" t="n">
        <v>0</v>
      </c>
      <c r="K691" t="n">
        <v>0</v>
      </c>
      <c r="L691" t="n">
        <v>0</v>
      </c>
      <c r="M691" t="n">
        <v>0</v>
      </c>
      <c r="N691" t="n">
        <v>0</v>
      </c>
      <c r="O691" t="n">
        <v>0</v>
      </c>
      <c r="P691" t="n">
        <v>0</v>
      </c>
      <c r="Q691" t="n">
        <v>0</v>
      </c>
      <c r="R691" s="2" t="inlineStr"/>
    </row>
    <row r="692" ht="15" customHeight="1">
      <c r="A692" t="inlineStr">
        <is>
          <t>A 41424-2022</t>
        </is>
      </c>
      <c r="B692" s="1" t="n">
        <v>44826</v>
      </c>
      <c r="C692" s="1" t="n">
        <v>45765</v>
      </c>
      <c r="D692" t="inlineStr">
        <is>
          <t>KALMAR LÄN</t>
        </is>
      </c>
      <c r="E692" t="inlineStr">
        <is>
          <t>VIMMERBY</t>
        </is>
      </c>
      <c r="G692" t="n">
        <v>4.8</v>
      </c>
      <c r="H692" t="n">
        <v>0</v>
      </c>
      <c r="I692" t="n">
        <v>0</v>
      </c>
      <c r="J692" t="n">
        <v>0</v>
      </c>
      <c r="K692" t="n">
        <v>0</v>
      </c>
      <c r="L692" t="n">
        <v>0</v>
      </c>
      <c r="M692" t="n">
        <v>0</v>
      </c>
      <c r="N692" t="n">
        <v>0</v>
      </c>
      <c r="O692" t="n">
        <v>0</v>
      </c>
      <c r="P692" t="n">
        <v>0</v>
      </c>
      <c r="Q692" t="n">
        <v>0</v>
      </c>
      <c r="R692" s="2" t="inlineStr"/>
    </row>
    <row r="693" ht="15" customHeight="1">
      <c r="A693" t="inlineStr">
        <is>
          <t>A 41438-2022</t>
        </is>
      </c>
      <c r="B693" s="1" t="n">
        <v>44826</v>
      </c>
      <c r="C693" s="1" t="n">
        <v>45765</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42850-2022</t>
        </is>
      </c>
      <c r="B694" s="1" t="n">
        <v>44832</v>
      </c>
      <c r="C694" s="1" t="n">
        <v>45765</v>
      </c>
      <c r="D694" t="inlineStr">
        <is>
          <t>KALMAR LÄN</t>
        </is>
      </c>
      <c r="E694" t="inlineStr">
        <is>
          <t>VIMMERBY</t>
        </is>
      </c>
      <c r="G694" t="n">
        <v>5.9</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v>
      </c>
      <c r="C695" s="1" t="n">
        <v>45765</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43272-2022</t>
        </is>
      </c>
      <c r="B696" s="1" t="n">
        <v>44834</v>
      </c>
      <c r="C696" s="1" t="n">
        <v>45765</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43553-2022</t>
        </is>
      </c>
      <c r="B697" s="1" t="n">
        <v>44837</v>
      </c>
      <c r="C697" s="1" t="n">
        <v>45765</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44179-2022</t>
        </is>
      </c>
      <c r="B698" s="1" t="n">
        <v>44839</v>
      </c>
      <c r="C698" s="1" t="n">
        <v>45765</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44654-2022</t>
        </is>
      </c>
      <c r="B699" s="1" t="n">
        <v>44840</v>
      </c>
      <c r="C699" s="1" t="n">
        <v>45765</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44651-2022</t>
        </is>
      </c>
      <c r="B700" s="1" t="n">
        <v>44840</v>
      </c>
      <c r="C700" s="1" t="n">
        <v>45765</v>
      </c>
      <c r="D700" t="inlineStr">
        <is>
          <t>KALMAR LÄN</t>
        </is>
      </c>
      <c r="E700" t="inlineStr">
        <is>
          <t>VIMMERBY</t>
        </is>
      </c>
      <c r="G700" t="n">
        <v>5.3</v>
      </c>
      <c r="H700" t="n">
        <v>0</v>
      </c>
      <c r="I700" t="n">
        <v>0</v>
      </c>
      <c r="J700" t="n">
        <v>0</v>
      </c>
      <c r="K700" t="n">
        <v>0</v>
      </c>
      <c r="L700" t="n">
        <v>0</v>
      </c>
      <c r="M700" t="n">
        <v>0</v>
      </c>
      <c r="N700" t="n">
        <v>0</v>
      </c>
      <c r="O700" t="n">
        <v>0</v>
      </c>
      <c r="P700" t="n">
        <v>0</v>
      </c>
      <c r="Q700" t="n">
        <v>0</v>
      </c>
      <c r="R700" s="2" t="inlineStr"/>
    </row>
    <row r="701" ht="15" customHeight="1">
      <c r="A701" t="inlineStr">
        <is>
          <t>A 44656-2022</t>
        </is>
      </c>
      <c r="B701" s="1" t="n">
        <v>44840</v>
      </c>
      <c r="C701" s="1" t="n">
        <v>45765</v>
      </c>
      <c r="D701" t="inlineStr">
        <is>
          <t>KALMAR LÄN</t>
        </is>
      </c>
      <c r="E701" t="inlineStr">
        <is>
          <t>VIMMERBY</t>
        </is>
      </c>
      <c r="G701" t="n">
        <v>1.7</v>
      </c>
      <c r="H701" t="n">
        <v>0</v>
      </c>
      <c r="I701" t="n">
        <v>0</v>
      </c>
      <c r="J701" t="n">
        <v>0</v>
      </c>
      <c r="K701" t="n">
        <v>0</v>
      </c>
      <c r="L701" t="n">
        <v>0</v>
      </c>
      <c r="M701" t="n">
        <v>0</v>
      </c>
      <c r="N701" t="n">
        <v>0</v>
      </c>
      <c r="O701" t="n">
        <v>0</v>
      </c>
      <c r="P701" t="n">
        <v>0</v>
      </c>
      <c r="Q701" t="n">
        <v>0</v>
      </c>
      <c r="R701" s="2" t="inlineStr"/>
    </row>
    <row r="702" ht="15" customHeight="1">
      <c r="A702" t="inlineStr">
        <is>
          <t>A 45861-2022</t>
        </is>
      </c>
      <c r="B702" s="1" t="n">
        <v>44846</v>
      </c>
      <c r="C702" s="1" t="n">
        <v>45765</v>
      </c>
      <c r="D702" t="inlineStr">
        <is>
          <t>KALMAR LÄN</t>
        </is>
      </c>
      <c r="E702" t="inlineStr">
        <is>
          <t>VIMMERBY</t>
        </is>
      </c>
      <c r="G702" t="n">
        <v>3.5</v>
      </c>
      <c r="H702" t="n">
        <v>0</v>
      </c>
      <c r="I702" t="n">
        <v>0</v>
      </c>
      <c r="J702" t="n">
        <v>0</v>
      </c>
      <c r="K702" t="n">
        <v>0</v>
      </c>
      <c r="L702" t="n">
        <v>0</v>
      </c>
      <c r="M702" t="n">
        <v>0</v>
      </c>
      <c r="N702" t="n">
        <v>0</v>
      </c>
      <c r="O702" t="n">
        <v>0</v>
      </c>
      <c r="P702" t="n">
        <v>0</v>
      </c>
      <c r="Q702" t="n">
        <v>0</v>
      </c>
      <c r="R702" s="2" t="inlineStr"/>
    </row>
    <row r="703" ht="15" customHeight="1">
      <c r="A703" t="inlineStr">
        <is>
          <t>A 45858-2022</t>
        </is>
      </c>
      <c r="B703" s="1" t="n">
        <v>44846</v>
      </c>
      <c r="C703" s="1" t="n">
        <v>45765</v>
      </c>
      <c r="D703" t="inlineStr">
        <is>
          <t>KALMAR LÄN</t>
        </is>
      </c>
      <c r="E703" t="inlineStr">
        <is>
          <t>VIMMERBY</t>
        </is>
      </c>
      <c r="G703" t="n">
        <v>5.9</v>
      </c>
      <c r="H703" t="n">
        <v>0</v>
      </c>
      <c r="I703" t="n">
        <v>0</v>
      </c>
      <c r="J703" t="n">
        <v>0</v>
      </c>
      <c r="K703" t="n">
        <v>0</v>
      </c>
      <c r="L703" t="n">
        <v>0</v>
      </c>
      <c r="M703" t="n">
        <v>0</v>
      </c>
      <c r="N703" t="n">
        <v>0</v>
      </c>
      <c r="O703" t="n">
        <v>0</v>
      </c>
      <c r="P703" t="n">
        <v>0</v>
      </c>
      <c r="Q703" t="n">
        <v>0</v>
      </c>
      <c r="R703" s="2" t="inlineStr"/>
    </row>
    <row r="704" ht="15" customHeight="1">
      <c r="A704" t="inlineStr">
        <is>
          <t>A 46522-2022</t>
        </is>
      </c>
      <c r="B704" s="1" t="n">
        <v>44848</v>
      </c>
      <c r="C704" s="1" t="n">
        <v>45765</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46964-2022</t>
        </is>
      </c>
      <c r="B705" s="1" t="n">
        <v>44852</v>
      </c>
      <c r="C705" s="1" t="n">
        <v>45765</v>
      </c>
      <c r="D705" t="inlineStr">
        <is>
          <t>KALMAR LÄN</t>
        </is>
      </c>
      <c r="E705" t="inlineStr">
        <is>
          <t>VIMMERBY</t>
        </is>
      </c>
      <c r="G705" t="n">
        <v>0.2</v>
      </c>
      <c r="H705" t="n">
        <v>0</v>
      </c>
      <c r="I705" t="n">
        <v>0</v>
      </c>
      <c r="J705" t="n">
        <v>0</v>
      </c>
      <c r="K705" t="n">
        <v>0</v>
      </c>
      <c r="L705" t="n">
        <v>0</v>
      </c>
      <c r="M705" t="n">
        <v>0</v>
      </c>
      <c r="N705" t="n">
        <v>0</v>
      </c>
      <c r="O705" t="n">
        <v>0</v>
      </c>
      <c r="P705" t="n">
        <v>0</v>
      </c>
      <c r="Q705" t="n">
        <v>0</v>
      </c>
      <c r="R705" s="2" t="inlineStr"/>
    </row>
    <row r="706" ht="15" customHeight="1">
      <c r="A706" t="inlineStr">
        <is>
          <t>A 47214-2022</t>
        </is>
      </c>
      <c r="B706" s="1" t="n">
        <v>44852</v>
      </c>
      <c r="C706" s="1" t="n">
        <v>45765</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47063-2022</t>
        </is>
      </c>
      <c r="B707" s="1" t="n">
        <v>44852</v>
      </c>
      <c r="C707" s="1" t="n">
        <v>45765</v>
      </c>
      <c r="D707" t="inlineStr">
        <is>
          <t>KALMAR LÄN</t>
        </is>
      </c>
      <c r="E707" t="inlineStr">
        <is>
          <t>VIMMERBY</t>
        </is>
      </c>
      <c r="G707" t="n">
        <v>2.5</v>
      </c>
      <c r="H707" t="n">
        <v>0</v>
      </c>
      <c r="I707" t="n">
        <v>0</v>
      </c>
      <c r="J707" t="n">
        <v>0</v>
      </c>
      <c r="K707" t="n">
        <v>0</v>
      </c>
      <c r="L707" t="n">
        <v>0</v>
      </c>
      <c r="M707" t="n">
        <v>0</v>
      </c>
      <c r="N707" t="n">
        <v>0</v>
      </c>
      <c r="O707" t="n">
        <v>0</v>
      </c>
      <c r="P707" t="n">
        <v>0</v>
      </c>
      <c r="Q707" t="n">
        <v>0</v>
      </c>
      <c r="R707" s="2" t="inlineStr"/>
    </row>
    <row r="708" ht="15" customHeight="1">
      <c r="A708" t="inlineStr">
        <is>
          <t>A 47708-2022</t>
        </is>
      </c>
      <c r="B708" s="1" t="n">
        <v>44854</v>
      </c>
      <c r="C708" s="1" t="n">
        <v>45765</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47769-2022</t>
        </is>
      </c>
      <c r="B709" s="1" t="n">
        <v>44854</v>
      </c>
      <c r="C709" s="1" t="n">
        <v>45765</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48120-2022</t>
        </is>
      </c>
      <c r="B710" s="1" t="n">
        <v>44857</v>
      </c>
      <c r="C710" s="1" t="n">
        <v>45765</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49313-2022</t>
        </is>
      </c>
      <c r="B711" s="1" t="n">
        <v>44861</v>
      </c>
      <c r="C711" s="1" t="n">
        <v>45765</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49461-2022</t>
        </is>
      </c>
      <c r="B712" s="1" t="n">
        <v>44861</v>
      </c>
      <c r="C712" s="1" t="n">
        <v>45765</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50809-2022</t>
        </is>
      </c>
      <c r="B713" s="1" t="n">
        <v>44862</v>
      </c>
      <c r="C713" s="1" t="n">
        <v>45765</v>
      </c>
      <c r="D713" t="inlineStr">
        <is>
          <t>KALMAR LÄN</t>
        </is>
      </c>
      <c r="E713" t="inlineStr">
        <is>
          <t>VIMMERBY</t>
        </is>
      </c>
      <c r="G713" t="n">
        <v>3.7</v>
      </c>
      <c r="H713" t="n">
        <v>0</v>
      </c>
      <c r="I713" t="n">
        <v>0</v>
      </c>
      <c r="J713" t="n">
        <v>0</v>
      </c>
      <c r="K713" t="n">
        <v>0</v>
      </c>
      <c r="L713" t="n">
        <v>0</v>
      </c>
      <c r="M713" t="n">
        <v>0</v>
      </c>
      <c r="N713" t="n">
        <v>0</v>
      </c>
      <c r="O713" t="n">
        <v>0</v>
      </c>
      <c r="P713" t="n">
        <v>0</v>
      </c>
      <c r="Q713" t="n">
        <v>0</v>
      </c>
      <c r="R713" s="2" t="inlineStr"/>
    </row>
    <row r="714" ht="15" customHeight="1">
      <c r="A714" t="inlineStr">
        <is>
          <t>A 50804-2022</t>
        </is>
      </c>
      <c r="B714" s="1" t="n">
        <v>44862</v>
      </c>
      <c r="C714" s="1" t="n">
        <v>45765</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50535-2022</t>
        </is>
      </c>
      <c r="B715" s="1" t="n">
        <v>44866</v>
      </c>
      <c r="C715" s="1" t="n">
        <v>45765</v>
      </c>
      <c r="D715" t="inlineStr">
        <is>
          <t>KALMAR LÄN</t>
        </is>
      </c>
      <c r="E715" t="inlineStr">
        <is>
          <t>VIMMERBY</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50621-2022</t>
        </is>
      </c>
      <c r="B716" s="1" t="n">
        <v>44866</v>
      </c>
      <c r="C716" s="1" t="n">
        <v>45765</v>
      </c>
      <c r="D716" t="inlineStr">
        <is>
          <t>KALMAR LÄN</t>
        </is>
      </c>
      <c r="E716" t="inlineStr">
        <is>
          <t>VIMMERBY</t>
        </is>
      </c>
      <c r="F716" t="inlineStr">
        <is>
          <t>Övriga Aktiebolag</t>
        </is>
      </c>
      <c r="G716" t="n">
        <v>5.1</v>
      </c>
      <c r="H716" t="n">
        <v>0</v>
      </c>
      <c r="I716" t="n">
        <v>0</v>
      </c>
      <c r="J716" t="n">
        <v>0</v>
      </c>
      <c r="K716" t="n">
        <v>0</v>
      </c>
      <c r="L716" t="n">
        <v>0</v>
      </c>
      <c r="M716" t="n">
        <v>0</v>
      </c>
      <c r="N716" t="n">
        <v>0</v>
      </c>
      <c r="O716" t="n">
        <v>0</v>
      </c>
      <c r="P716" t="n">
        <v>0</v>
      </c>
      <c r="Q716" t="n">
        <v>0</v>
      </c>
      <c r="R716" s="2" t="inlineStr"/>
    </row>
    <row r="717" ht="15" customHeight="1">
      <c r="A717" t="inlineStr">
        <is>
          <t>A 50860-2022</t>
        </is>
      </c>
      <c r="B717" s="1" t="n">
        <v>44867</v>
      </c>
      <c r="C717" s="1" t="n">
        <v>45765</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50995-2022</t>
        </is>
      </c>
      <c r="B718" s="1" t="n">
        <v>44867</v>
      </c>
      <c r="C718" s="1" t="n">
        <v>45765</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50993-2022</t>
        </is>
      </c>
      <c r="B719" s="1" t="n">
        <v>44867</v>
      </c>
      <c r="C719" s="1" t="n">
        <v>45765</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52753-2022</t>
        </is>
      </c>
      <c r="B720" s="1" t="n">
        <v>44875</v>
      </c>
      <c r="C720" s="1" t="n">
        <v>45765</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52755-2022</t>
        </is>
      </c>
      <c r="B721" s="1" t="n">
        <v>44875</v>
      </c>
      <c r="C721" s="1" t="n">
        <v>45765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53145-2022</t>
        </is>
      </c>
      <c r="B722" s="1" t="n">
        <v>44876</v>
      </c>
      <c r="C722" s="1" t="n">
        <v>45765</v>
      </c>
      <c r="D722" t="inlineStr">
        <is>
          <t>KALMAR LÄN</t>
        </is>
      </c>
      <c r="E722" t="inlineStr">
        <is>
          <t>VIMMERBY</t>
        </is>
      </c>
      <c r="G722" t="n">
        <v>0.4</v>
      </c>
      <c r="H722" t="n">
        <v>0</v>
      </c>
      <c r="I722" t="n">
        <v>0</v>
      </c>
      <c r="J722" t="n">
        <v>0</v>
      </c>
      <c r="K722" t="n">
        <v>0</v>
      </c>
      <c r="L722" t="n">
        <v>0</v>
      </c>
      <c r="M722" t="n">
        <v>0</v>
      </c>
      <c r="N722" t="n">
        <v>0</v>
      </c>
      <c r="O722" t="n">
        <v>0</v>
      </c>
      <c r="P722" t="n">
        <v>0</v>
      </c>
      <c r="Q722" t="n">
        <v>0</v>
      </c>
      <c r="R722" s="2" t="inlineStr"/>
    </row>
    <row r="723" ht="15" customHeight="1">
      <c r="A723" t="inlineStr">
        <is>
          <t>A 53247-2022</t>
        </is>
      </c>
      <c r="B723" s="1" t="n">
        <v>44876</v>
      </c>
      <c r="C723" s="1" t="n">
        <v>45765</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53482-2022</t>
        </is>
      </c>
      <c r="B724" s="1" t="n">
        <v>44879</v>
      </c>
      <c r="C724" s="1" t="n">
        <v>45765</v>
      </c>
      <c r="D724" t="inlineStr">
        <is>
          <t>KALMAR LÄN</t>
        </is>
      </c>
      <c r="E724" t="inlineStr">
        <is>
          <t>VIMMERBY</t>
        </is>
      </c>
      <c r="G724" t="n">
        <v>10.1</v>
      </c>
      <c r="H724" t="n">
        <v>0</v>
      </c>
      <c r="I724" t="n">
        <v>0</v>
      </c>
      <c r="J724" t="n">
        <v>0</v>
      </c>
      <c r="K724" t="n">
        <v>0</v>
      </c>
      <c r="L724" t="n">
        <v>0</v>
      </c>
      <c r="M724" t="n">
        <v>0</v>
      </c>
      <c r="N724" t="n">
        <v>0</v>
      </c>
      <c r="O724" t="n">
        <v>0</v>
      </c>
      <c r="P724" t="n">
        <v>0</v>
      </c>
      <c r="Q724" t="n">
        <v>0</v>
      </c>
      <c r="R724" s="2" t="inlineStr"/>
    </row>
    <row r="725" ht="15" customHeight="1">
      <c r="A725" t="inlineStr">
        <is>
          <t>A 53542-2022</t>
        </is>
      </c>
      <c r="B725" s="1" t="n">
        <v>44879</v>
      </c>
      <c r="C725" s="1" t="n">
        <v>45765</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53483-2022</t>
        </is>
      </c>
      <c r="B726" s="1" t="n">
        <v>44879</v>
      </c>
      <c r="C726" s="1" t="n">
        <v>45765</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54020-2022</t>
        </is>
      </c>
      <c r="B727" s="1" t="n">
        <v>44881</v>
      </c>
      <c r="C727" s="1" t="n">
        <v>45765</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54749-2022</t>
        </is>
      </c>
      <c r="B728" s="1" t="n">
        <v>44883</v>
      </c>
      <c r="C728" s="1" t="n">
        <v>45765</v>
      </c>
      <c r="D728" t="inlineStr">
        <is>
          <t>KALMAR LÄN</t>
        </is>
      </c>
      <c r="E728" t="inlineStr">
        <is>
          <t>VIMMERBY</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54745-2022</t>
        </is>
      </c>
      <c r="B729" s="1" t="n">
        <v>44883</v>
      </c>
      <c r="C729" s="1" t="n">
        <v>45765</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54877-2022</t>
        </is>
      </c>
      <c r="B730" s="1" t="n">
        <v>44886</v>
      </c>
      <c r="C730" s="1" t="n">
        <v>45765</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55333-2022</t>
        </is>
      </c>
      <c r="B731" s="1" t="n">
        <v>44887</v>
      </c>
      <c r="C731" s="1" t="n">
        <v>45765</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57682-2022</t>
        </is>
      </c>
      <c r="B732" s="1" t="n">
        <v>44890</v>
      </c>
      <c r="C732" s="1" t="n">
        <v>45765</v>
      </c>
      <c r="D732" t="inlineStr">
        <is>
          <t>KALMAR LÄN</t>
        </is>
      </c>
      <c r="E732" t="inlineStr">
        <is>
          <t>VIMMERBY</t>
        </is>
      </c>
      <c r="G732" t="n">
        <v>1.5</v>
      </c>
      <c r="H732" t="n">
        <v>0</v>
      </c>
      <c r="I732" t="n">
        <v>0</v>
      </c>
      <c r="J732" t="n">
        <v>0</v>
      </c>
      <c r="K732" t="n">
        <v>0</v>
      </c>
      <c r="L732" t="n">
        <v>0</v>
      </c>
      <c r="M732" t="n">
        <v>0</v>
      </c>
      <c r="N732" t="n">
        <v>0</v>
      </c>
      <c r="O732" t="n">
        <v>0</v>
      </c>
      <c r="P732" t="n">
        <v>0</v>
      </c>
      <c r="Q732" t="n">
        <v>0</v>
      </c>
      <c r="R732" s="2" t="inlineStr"/>
    </row>
    <row r="733" ht="15" customHeight="1">
      <c r="A733" t="inlineStr">
        <is>
          <t>A 56582-2022</t>
        </is>
      </c>
      <c r="B733" s="1" t="n">
        <v>44893</v>
      </c>
      <c r="C733" s="1" t="n">
        <v>45765</v>
      </c>
      <c r="D733" t="inlineStr">
        <is>
          <t>KALMAR LÄN</t>
        </is>
      </c>
      <c r="E733" t="inlineStr">
        <is>
          <t>VIMMERBY</t>
        </is>
      </c>
      <c r="G733" t="n">
        <v>2.2</v>
      </c>
      <c r="H733" t="n">
        <v>0</v>
      </c>
      <c r="I733" t="n">
        <v>0</v>
      </c>
      <c r="J733" t="n">
        <v>0</v>
      </c>
      <c r="K733" t="n">
        <v>0</v>
      </c>
      <c r="L733" t="n">
        <v>0</v>
      </c>
      <c r="M733" t="n">
        <v>0</v>
      </c>
      <c r="N733" t="n">
        <v>0</v>
      </c>
      <c r="O733" t="n">
        <v>0</v>
      </c>
      <c r="P733" t="n">
        <v>0</v>
      </c>
      <c r="Q733" t="n">
        <v>0</v>
      </c>
      <c r="R733" s="2" t="inlineStr"/>
    </row>
    <row r="734" ht="15" customHeight="1">
      <c r="A734" t="inlineStr">
        <is>
          <t>A 56536-2022</t>
        </is>
      </c>
      <c r="B734" s="1" t="n">
        <v>44893</v>
      </c>
      <c r="C734" s="1" t="n">
        <v>45765</v>
      </c>
      <c r="D734" t="inlineStr">
        <is>
          <t>KALMAR LÄN</t>
        </is>
      </c>
      <c r="E734" t="inlineStr">
        <is>
          <t>VIMMERBY</t>
        </is>
      </c>
      <c r="G734" t="n">
        <v>3.2</v>
      </c>
      <c r="H734" t="n">
        <v>0</v>
      </c>
      <c r="I734" t="n">
        <v>0</v>
      </c>
      <c r="J734" t="n">
        <v>0</v>
      </c>
      <c r="K734" t="n">
        <v>0</v>
      </c>
      <c r="L734" t="n">
        <v>0</v>
      </c>
      <c r="M734" t="n">
        <v>0</v>
      </c>
      <c r="N734" t="n">
        <v>0</v>
      </c>
      <c r="O734" t="n">
        <v>0</v>
      </c>
      <c r="P734" t="n">
        <v>0</v>
      </c>
      <c r="Q734" t="n">
        <v>0</v>
      </c>
      <c r="R734" s="2" t="inlineStr"/>
    </row>
    <row r="735" ht="15" customHeight="1">
      <c r="A735" t="inlineStr">
        <is>
          <t>A 56853-2022</t>
        </is>
      </c>
      <c r="B735" s="1" t="n">
        <v>44894</v>
      </c>
      <c r="C735" s="1" t="n">
        <v>45765</v>
      </c>
      <c r="D735" t="inlineStr">
        <is>
          <t>KALMAR LÄN</t>
        </is>
      </c>
      <c r="E735" t="inlineStr">
        <is>
          <t>VIMMERBY</t>
        </is>
      </c>
      <c r="G735" t="n">
        <v>4.3</v>
      </c>
      <c r="H735" t="n">
        <v>0</v>
      </c>
      <c r="I735" t="n">
        <v>0</v>
      </c>
      <c r="J735" t="n">
        <v>0</v>
      </c>
      <c r="K735" t="n">
        <v>0</v>
      </c>
      <c r="L735" t="n">
        <v>0</v>
      </c>
      <c r="M735" t="n">
        <v>0</v>
      </c>
      <c r="N735" t="n">
        <v>0</v>
      </c>
      <c r="O735" t="n">
        <v>0</v>
      </c>
      <c r="P735" t="n">
        <v>0</v>
      </c>
      <c r="Q735" t="n">
        <v>0</v>
      </c>
      <c r="R735" s="2" t="inlineStr"/>
    </row>
    <row r="736" ht="15" customHeight="1">
      <c r="A736" t="inlineStr">
        <is>
          <t>A 57091-2022</t>
        </is>
      </c>
      <c r="B736" s="1" t="n">
        <v>44895</v>
      </c>
      <c r="C736" s="1" t="n">
        <v>45765</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57189-2022</t>
        </is>
      </c>
      <c r="B737" s="1" t="n">
        <v>44895</v>
      </c>
      <c r="C737" s="1" t="n">
        <v>45765</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57190-2022</t>
        </is>
      </c>
      <c r="B738" s="1" t="n">
        <v>44895</v>
      </c>
      <c r="C738" s="1" t="n">
        <v>45765</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58967-2022</t>
        </is>
      </c>
      <c r="B739" s="1" t="n">
        <v>44896</v>
      </c>
      <c r="C739" s="1" t="n">
        <v>45765</v>
      </c>
      <c r="D739" t="inlineStr">
        <is>
          <t>KALMAR LÄN</t>
        </is>
      </c>
      <c r="E739" t="inlineStr">
        <is>
          <t>VIMMERBY</t>
        </is>
      </c>
      <c r="G739" t="n">
        <v>5</v>
      </c>
      <c r="H739" t="n">
        <v>0</v>
      </c>
      <c r="I739" t="n">
        <v>0</v>
      </c>
      <c r="J739" t="n">
        <v>0</v>
      </c>
      <c r="K739" t="n">
        <v>0</v>
      </c>
      <c r="L739" t="n">
        <v>0</v>
      </c>
      <c r="M739" t="n">
        <v>0</v>
      </c>
      <c r="N739" t="n">
        <v>0</v>
      </c>
      <c r="O739" t="n">
        <v>0</v>
      </c>
      <c r="P739" t="n">
        <v>0</v>
      </c>
      <c r="Q739" t="n">
        <v>0</v>
      </c>
      <c r="R739" s="2" t="inlineStr"/>
    </row>
    <row r="740" ht="15" customHeight="1">
      <c r="A740" t="inlineStr">
        <is>
          <t>A 57799-2022</t>
        </is>
      </c>
      <c r="B740" s="1" t="n">
        <v>44897</v>
      </c>
      <c r="C740" s="1" t="n">
        <v>45765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58046-2022</t>
        </is>
      </c>
      <c r="B741" s="1" t="n">
        <v>44900</v>
      </c>
      <c r="C741" s="1" t="n">
        <v>45765</v>
      </c>
      <c r="D741" t="inlineStr">
        <is>
          <t>KALMAR LÄN</t>
        </is>
      </c>
      <c r="E741" t="inlineStr">
        <is>
          <t>VIMMERBY</t>
        </is>
      </c>
      <c r="G741" t="n">
        <v>2.5</v>
      </c>
      <c r="H741" t="n">
        <v>0</v>
      </c>
      <c r="I741" t="n">
        <v>0</v>
      </c>
      <c r="J741" t="n">
        <v>0</v>
      </c>
      <c r="K741" t="n">
        <v>0</v>
      </c>
      <c r="L741" t="n">
        <v>0</v>
      </c>
      <c r="M741" t="n">
        <v>0</v>
      </c>
      <c r="N741" t="n">
        <v>0</v>
      </c>
      <c r="O741" t="n">
        <v>0</v>
      </c>
      <c r="P741" t="n">
        <v>0</v>
      </c>
      <c r="Q741" t="n">
        <v>0</v>
      </c>
      <c r="R741" s="2" t="inlineStr"/>
    </row>
    <row r="742" ht="15" customHeight="1">
      <c r="A742" t="inlineStr">
        <is>
          <t>A 58750-2022</t>
        </is>
      </c>
      <c r="B742" s="1" t="n">
        <v>44903</v>
      </c>
      <c r="C742" s="1" t="n">
        <v>45765</v>
      </c>
      <c r="D742" t="inlineStr">
        <is>
          <t>KALMAR LÄN</t>
        </is>
      </c>
      <c r="E742" t="inlineStr">
        <is>
          <t>VIMMERBY</t>
        </is>
      </c>
      <c r="G742" t="n">
        <v>3.3</v>
      </c>
      <c r="H742" t="n">
        <v>0</v>
      </c>
      <c r="I742" t="n">
        <v>0</v>
      </c>
      <c r="J742" t="n">
        <v>0</v>
      </c>
      <c r="K742" t="n">
        <v>0</v>
      </c>
      <c r="L742" t="n">
        <v>0</v>
      </c>
      <c r="M742" t="n">
        <v>0</v>
      </c>
      <c r="N742" t="n">
        <v>0</v>
      </c>
      <c r="O742" t="n">
        <v>0</v>
      </c>
      <c r="P742" t="n">
        <v>0</v>
      </c>
      <c r="Q742" t="n">
        <v>0</v>
      </c>
      <c r="R742" s="2" t="inlineStr"/>
    </row>
    <row r="743" ht="15" customHeight="1">
      <c r="A743" t="inlineStr">
        <is>
          <t>A 58962-2022</t>
        </is>
      </c>
      <c r="B743" s="1" t="n">
        <v>44903</v>
      </c>
      <c r="C743" s="1" t="n">
        <v>45765</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60110-2022</t>
        </is>
      </c>
      <c r="B744" s="1" t="n">
        <v>44909</v>
      </c>
      <c r="C744" s="1" t="n">
        <v>45765</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60230-2022</t>
        </is>
      </c>
      <c r="B745" s="1" t="n">
        <v>44910</v>
      </c>
      <c r="C745" s="1" t="n">
        <v>45765</v>
      </c>
      <c r="D745" t="inlineStr">
        <is>
          <t>KALMAR LÄN</t>
        </is>
      </c>
      <c r="E745" t="inlineStr">
        <is>
          <t>VIMMERBY</t>
        </is>
      </c>
      <c r="G745" t="n">
        <v>11.3</v>
      </c>
      <c r="H745" t="n">
        <v>0</v>
      </c>
      <c r="I745" t="n">
        <v>0</v>
      </c>
      <c r="J745" t="n">
        <v>0</v>
      </c>
      <c r="K745" t="n">
        <v>0</v>
      </c>
      <c r="L745" t="n">
        <v>0</v>
      </c>
      <c r="M745" t="n">
        <v>0</v>
      </c>
      <c r="N745" t="n">
        <v>0</v>
      </c>
      <c r="O745" t="n">
        <v>0</v>
      </c>
      <c r="P745" t="n">
        <v>0</v>
      </c>
      <c r="Q745" t="n">
        <v>0</v>
      </c>
      <c r="R745" s="2" t="inlineStr"/>
    </row>
    <row r="746" ht="15" customHeight="1">
      <c r="A746" t="inlineStr">
        <is>
          <t>A 60215-2022</t>
        </is>
      </c>
      <c r="B746" s="1" t="n">
        <v>44910</v>
      </c>
      <c r="C746" s="1" t="n">
        <v>45765</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60292-2022</t>
        </is>
      </c>
      <c r="B747" s="1" t="n">
        <v>44910</v>
      </c>
      <c r="C747" s="1" t="n">
        <v>45765</v>
      </c>
      <c r="D747" t="inlineStr">
        <is>
          <t>KALMAR LÄN</t>
        </is>
      </c>
      <c r="E747" t="inlineStr">
        <is>
          <t>VIMMERBY</t>
        </is>
      </c>
      <c r="G747" t="n">
        <v>4.4</v>
      </c>
      <c r="H747" t="n">
        <v>0</v>
      </c>
      <c r="I747" t="n">
        <v>0</v>
      </c>
      <c r="J747" t="n">
        <v>0</v>
      </c>
      <c r="K747" t="n">
        <v>0</v>
      </c>
      <c r="L747" t="n">
        <v>0</v>
      </c>
      <c r="M747" t="n">
        <v>0</v>
      </c>
      <c r="N747" t="n">
        <v>0</v>
      </c>
      <c r="O747" t="n">
        <v>0</v>
      </c>
      <c r="P747" t="n">
        <v>0</v>
      </c>
      <c r="Q747" t="n">
        <v>0</v>
      </c>
      <c r="R747" s="2" t="inlineStr"/>
    </row>
    <row r="748" ht="15" customHeight="1">
      <c r="A748" t="inlineStr">
        <is>
          <t>A 60339-2022</t>
        </is>
      </c>
      <c r="B748" s="1" t="n">
        <v>44910</v>
      </c>
      <c r="C748" s="1" t="n">
        <v>45765</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61538-2022</t>
        </is>
      </c>
      <c r="B749" s="1" t="n">
        <v>44916</v>
      </c>
      <c r="C749" s="1" t="n">
        <v>45765</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62075-2022</t>
        </is>
      </c>
      <c r="B750" s="1" t="n">
        <v>44918</v>
      </c>
      <c r="C750" s="1" t="n">
        <v>45765</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62023-2022</t>
        </is>
      </c>
      <c r="B751" s="1" t="n">
        <v>44918</v>
      </c>
      <c r="C751" s="1" t="n">
        <v>45765</v>
      </c>
      <c r="D751" t="inlineStr">
        <is>
          <t>KALMAR LÄN</t>
        </is>
      </c>
      <c r="E751" t="inlineStr">
        <is>
          <t>VIMMERBY</t>
        </is>
      </c>
      <c r="G751" t="n">
        <v>0.3</v>
      </c>
      <c r="H751" t="n">
        <v>0</v>
      </c>
      <c r="I751" t="n">
        <v>0</v>
      </c>
      <c r="J751" t="n">
        <v>0</v>
      </c>
      <c r="K751" t="n">
        <v>0</v>
      </c>
      <c r="L751" t="n">
        <v>0</v>
      </c>
      <c r="M751" t="n">
        <v>0</v>
      </c>
      <c r="N751" t="n">
        <v>0</v>
      </c>
      <c r="O751" t="n">
        <v>0</v>
      </c>
      <c r="P751" t="n">
        <v>0</v>
      </c>
      <c r="Q751" t="n">
        <v>0</v>
      </c>
      <c r="R751" s="2" t="inlineStr"/>
    </row>
    <row r="752" ht="15" customHeight="1">
      <c r="A752" t="inlineStr">
        <is>
          <t>A 89-2023</t>
        </is>
      </c>
      <c r="B752" s="1" t="n">
        <v>44918</v>
      </c>
      <c r="C752" s="1" t="n">
        <v>45765</v>
      </c>
      <c r="D752" t="inlineStr">
        <is>
          <t>KALMAR LÄN</t>
        </is>
      </c>
      <c r="E752" t="inlineStr">
        <is>
          <t>VIMMERBY</t>
        </is>
      </c>
      <c r="G752" t="n">
        <v>16.1</v>
      </c>
      <c r="H752" t="n">
        <v>0</v>
      </c>
      <c r="I752" t="n">
        <v>0</v>
      </c>
      <c r="J752" t="n">
        <v>0</v>
      </c>
      <c r="K752" t="n">
        <v>0</v>
      </c>
      <c r="L752" t="n">
        <v>0</v>
      </c>
      <c r="M752" t="n">
        <v>0</v>
      </c>
      <c r="N752" t="n">
        <v>0</v>
      </c>
      <c r="O752" t="n">
        <v>0</v>
      </c>
      <c r="P752" t="n">
        <v>0</v>
      </c>
      <c r="Q752" t="n">
        <v>0</v>
      </c>
      <c r="R752" s="2" t="inlineStr"/>
    </row>
    <row r="753" ht="15" customHeight="1">
      <c r="A753" t="inlineStr">
        <is>
          <t>A 346-2023</t>
        </is>
      </c>
      <c r="B753" s="1" t="n">
        <v>44929</v>
      </c>
      <c r="C753" s="1" t="n">
        <v>45765</v>
      </c>
      <c r="D753" t="inlineStr">
        <is>
          <t>KALMAR LÄN</t>
        </is>
      </c>
      <c r="E753" t="inlineStr">
        <is>
          <t>VIMMERBY</t>
        </is>
      </c>
      <c r="G753" t="n">
        <v>0.7</v>
      </c>
      <c r="H753" t="n">
        <v>0</v>
      </c>
      <c r="I753" t="n">
        <v>0</v>
      </c>
      <c r="J753" t="n">
        <v>0</v>
      </c>
      <c r="K753" t="n">
        <v>0</v>
      </c>
      <c r="L753" t="n">
        <v>0</v>
      </c>
      <c r="M753" t="n">
        <v>0</v>
      </c>
      <c r="N753" t="n">
        <v>0</v>
      </c>
      <c r="O753" t="n">
        <v>0</v>
      </c>
      <c r="P753" t="n">
        <v>0</v>
      </c>
      <c r="Q753" t="n">
        <v>0</v>
      </c>
      <c r="R753" s="2" t="inlineStr"/>
    </row>
    <row r="754" ht="15" customHeight="1">
      <c r="A754" t="inlineStr">
        <is>
          <t>A 343-2023</t>
        </is>
      </c>
      <c r="B754" s="1" t="n">
        <v>44929</v>
      </c>
      <c r="C754" s="1" t="n">
        <v>45765</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502-2023</t>
        </is>
      </c>
      <c r="B755" s="1" t="n">
        <v>44930</v>
      </c>
      <c r="C755" s="1" t="n">
        <v>45765</v>
      </c>
      <c r="D755" t="inlineStr">
        <is>
          <t>KALMAR LÄN</t>
        </is>
      </c>
      <c r="E755" t="inlineStr">
        <is>
          <t>VIMMERBY</t>
        </is>
      </c>
      <c r="G755" t="n">
        <v>5</v>
      </c>
      <c r="H755" t="n">
        <v>0</v>
      </c>
      <c r="I755" t="n">
        <v>0</v>
      </c>
      <c r="J755" t="n">
        <v>0</v>
      </c>
      <c r="K755" t="n">
        <v>0</v>
      </c>
      <c r="L755" t="n">
        <v>0</v>
      </c>
      <c r="M755" t="n">
        <v>0</v>
      </c>
      <c r="N755" t="n">
        <v>0</v>
      </c>
      <c r="O755" t="n">
        <v>0</v>
      </c>
      <c r="P755" t="n">
        <v>0</v>
      </c>
      <c r="Q755" t="n">
        <v>0</v>
      </c>
      <c r="R755" s="2" t="inlineStr"/>
    </row>
    <row r="756" ht="15" customHeight="1">
      <c r="A756" t="inlineStr">
        <is>
          <t>A 508-2023</t>
        </is>
      </c>
      <c r="B756" s="1" t="n">
        <v>44930</v>
      </c>
      <c r="C756" s="1" t="n">
        <v>45765</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845-2023</t>
        </is>
      </c>
      <c r="B757" s="1" t="n">
        <v>44931</v>
      </c>
      <c r="C757" s="1" t="n">
        <v>45765</v>
      </c>
      <c r="D757" t="inlineStr">
        <is>
          <t>KALMAR LÄN</t>
        </is>
      </c>
      <c r="E757" t="inlineStr">
        <is>
          <t>VIMMERBY</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1086-2023</t>
        </is>
      </c>
      <c r="B758" s="1" t="n">
        <v>44935</v>
      </c>
      <c r="C758" s="1" t="n">
        <v>45765</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1081-2023</t>
        </is>
      </c>
      <c r="B759" s="1" t="n">
        <v>44935</v>
      </c>
      <c r="C759" s="1" t="n">
        <v>45765</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1687-2023</t>
        </is>
      </c>
      <c r="B760" s="1" t="n">
        <v>44938</v>
      </c>
      <c r="C760" s="1" t="n">
        <v>45765</v>
      </c>
      <c r="D760" t="inlineStr">
        <is>
          <t>KALMAR LÄN</t>
        </is>
      </c>
      <c r="E760" t="inlineStr">
        <is>
          <t>VIMMERBY</t>
        </is>
      </c>
      <c r="F760" t="inlineStr">
        <is>
          <t>Kommuner</t>
        </is>
      </c>
      <c r="G760" t="n">
        <v>2.5</v>
      </c>
      <c r="H760" t="n">
        <v>0</v>
      </c>
      <c r="I760" t="n">
        <v>0</v>
      </c>
      <c r="J760" t="n">
        <v>0</v>
      </c>
      <c r="K760" t="n">
        <v>0</v>
      </c>
      <c r="L760" t="n">
        <v>0</v>
      </c>
      <c r="M760" t="n">
        <v>0</v>
      </c>
      <c r="N760" t="n">
        <v>0</v>
      </c>
      <c r="O760" t="n">
        <v>0</v>
      </c>
      <c r="P760" t="n">
        <v>0</v>
      </c>
      <c r="Q760" t="n">
        <v>0</v>
      </c>
      <c r="R760" s="2" t="inlineStr"/>
    </row>
    <row r="761" ht="15" customHeight="1">
      <c r="A761" t="inlineStr">
        <is>
          <t>A 1667-2023</t>
        </is>
      </c>
      <c r="B761" s="1" t="n">
        <v>44938</v>
      </c>
      <c r="C761" s="1" t="n">
        <v>45765</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1955-2023</t>
        </is>
      </c>
      <c r="B762" s="1" t="n">
        <v>44939</v>
      </c>
      <c r="C762" s="1" t="n">
        <v>45765</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2510-2023</t>
        </is>
      </c>
      <c r="B763" s="1" t="n">
        <v>44943</v>
      </c>
      <c r="C763" s="1" t="n">
        <v>45765</v>
      </c>
      <c r="D763" t="inlineStr">
        <is>
          <t>KALMAR LÄN</t>
        </is>
      </c>
      <c r="E763" t="inlineStr">
        <is>
          <t>VIMMERBY</t>
        </is>
      </c>
      <c r="G763" t="n">
        <v>8.6</v>
      </c>
      <c r="H763" t="n">
        <v>0</v>
      </c>
      <c r="I763" t="n">
        <v>0</v>
      </c>
      <c r="J763" t="n">
        <v>0</v>
      </c>
      <c r="K763" t="n">
        <v>0</v>
      </c>
      <c r="L763" t="n">
        <v>0</v>
      </c>
      <c r="M763" t="n">
        <v>0</v>
      </c>
      <c r="N763" t="n">
        <v>0</v>
      </c>
      <c r="O763" t="n">
        <v>0</v>
      </c>
      <c r="P763" t="n">
        <v>0</v>
      </c>
      <c r="Q763" t="n">
        <v>0</v>
      </c>
      <c r="R763" s="2" t="inlineStr"/>
    </row>
    <row r="764" ht="15" customHeight="1">
      <c r="A764" t="inlineStr">
        <is>
          <t>A 2536-2023</t>
        </is>
      </c>
      <c r="B764" s="1" t="n">
        <v>44943</v>
      </c>
      <c r="C764" s="1" t="n">
        <v>45765</v>
      </c>
      <c r="D764" t="inlineStr">
        <is>
          <t>KALMAR LÄN</t>
        </is>
      </c>
      <c r="E764" t="inlineStr">
        <is>
          <t>VIMMERBY</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2799-2023</t>
        </is>
      </c>
      <c r="B765" s="1" t="n">
        <v>44944</v>
      </c>
      <c r="C765" s="1" t="n">
        <v>45765</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2797-2023</t>
        </is>
      </c>
      <c r="B766" s="1" t="n">
        <v>44944</v>
      </c>
      <c r="C766" s="1" t="n">
        <v>45765</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2801-2023</t>
        </is>
      </c>
      <c r="B767" s="1" t="n">
        <v>44944</v>
      </c>
      <c r="C767" s="1" t="n">
        <v>45765</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3331-2023</t>
        </is>
      </c>
      <c r="B768" s="1" t="n">
        <v>44949</v>
      </c>
      <c r="C768" s="1" t="n">
        <v>45765</v>
      </c>
      <c r="D768" t="inlineStr">
        <is>
          <t>KALMAR LÄN</t>
        </is>
      </c>
      <c r="E768" t="inlineStr">
        <is>
          <t>VIMMERBY</t>
        </is>
      </c>
      <c r="G768" t="n">
        <v>6.2</v>
      </c>
      <c r="H768" t="n">
        <v>0</v>
      </c>
      <c r="I768" t="n">
        <v>0</v>
      </c>
      <c r="J768" t="n">
        <v>0</v>
      </c>
      <c r="K768" t="n">
        <v>0</v>
      </c>
      <c r="L768" t="n">
        <v>0</v>
      </c>
      <c r="M768" t="n">
        <v>0</v>
      </c>
      <c r="N768" t="n">
        <v>0</v>
      </c>
      <c r="O768" t="n">
        <v>0</v>
      </c>
      <c r="P768" t="n">
        <v>0</v>
      </c>
      <c r="Q768" t="n">
        <v>0</v>
      </c>
      <c r="R768" s="2" t="inlineStr"/>
    </row>
    <row r="769" ht="15" customHeight="1">
      <c r="A769" t="inlineStr">
        <is>
          <t>A 3494-2023</t>
        </is>
      </c>
      <c r="B769" s="1" t="n">
        <v>44949</v>
      </c>
      <c r="C769" s="1" t="n">
        <v>45765</v>
      </c>
      <c r="D769" t="inlineStr">
        <is>
          <t>KALMAR LÄN</t>
        </is>
      </c>
      <c r="E769" t="inlineStr">
        <is>
          <t>VIMMERBY</t>
        </is>
      </c>
      <c r="F769" t="inlineStr">
        <is>
          <t>Kyrkan</t>
        </is>
      </c>
      <c r="G769" t="n">
        <v>0.8</v>
      </c>
      <c r="H769" t="n">
        <v>0</v>
      </c>
      <c r="I769" t="n">
        <v>0</v>
      </c>
      <c r="J769" t="n">
        <v>0</v>
      </c>
      <c r="K769" t="n">
        <v>0</v>
      </c>
      <c r="L769" t="n">
        <v>0</v>
      </c>
      <c r="M769" t="n">
        <v>0</v>
      </c>
      <c r="N769" t="n">
        <v>0</v>
      </c>
      <c r="O769" t="n">
        <v>0</v>
      </c>
      <c r="P769" t="n">
        <v>0</v>
      </c>
      <c r="Q769" t="n">
        <v>0</v>
      </c>
      <c r="R769" s="2" t="inlineStr"/>
    </row>
    <row r="770" ht="15" customHeight="1">
      <c r="A770" t="inlineStr">
        <is>
          <t>A 3587-2023</t>
        </is>
      </c>
      <c r="B770" s="1" t="n">
        <v>44950</v>
      </c>
      <c r="C770" s="1" t="n">
        <v>45765</v>
      </c>
      <c r="D770" t="inlineStr">
        <is>
          <t>KALMAR LÄN</t>
        </is>
      </c>
      <c r="E770" t="inlineStr">
        <is>
          <t>VIMMERBY</t>
        </is>
      </c>
      <c r="G770" t="n">
        <v>6.9</v>
      </c>
      <c r="H770" t="n">
        <v>0</v>
      </c>
      <c r="I770" t="n">
        <v>0</v>
      </c>
      <c r="J770" t="n">
        <v>0</v>
      </c>
      <c r="K770" t="n">
        <v>0</v>
      </c>
      <c r="L770" t="n">
        <v>0</v>
      </c>
      <c r="M770" t="n">
        <v>0</v>
      </c>
      <c r="N770" t="n">
        <v>0</v>
      </c>
      <c r="O770" t="n">
        <v>0</v>
      </c>
      <c r="P770" t="n">
        <v>0</v>
      </c>
      <c r="Q770" t="n">
        <v>0</v>
      </c>
      <c r="R770" s="2" t="inlineStr"/>
    </row>
    <row r="771" ht="15" customHeight="1">
      <c r="A771" t="inlineStr">
        <is>
          <t>A 3938-2023</t>
        </is>
      </c>
      <c r="B771" s="1" t="n">
        <v>44952</v>
      </c>
      <c r="C771" s="1" t="n">
        <v>45765</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3924-2023</t>
        </is>
      </c>
      <c r="B772" s="1" t="n">
        <v>44952</v>
      </c>
      <c r="C772" s="1" t="n">
        <v>45765</v>
      </c>
      <c r="D772" t="inlineStr">
        <is>
          <t>KALMAR LÄN</t>
        </is>
      </c>
      <c r="E772" t="inlineStr">
        <is>
          <t>VIMMERBY</t>
        </is>
      </c>
      <c r="G772" t="n">
        <v>4.7</v>
      </c>
      <c r="H772" t="n">
        <v>0</v>
      </c>
      <c r="I772" t="n">
        <v>0</v>
      </c>
      <c r="J772" t="n">
        <v>0</v>
      </c>
      <c r="K772" t="n">
        <v>0</v>
      </c>
      <c r="L772" t="n">
        <v>0</v>
      </c>
      <c r="M772" t="n">
        <v>0</v>
      </c>
      <c r="N772" t="n">
        <v>0</v>
      </c>
      <c r="O772" t="n">
        <v>0</v>
      </c>
      <c r="P772" t="n">
        <v>0</v>
      </c>
      <c r="Q772" t="n">
        <v>0</v>
      </c>
      <c r="R772" s="2" t="inlineStr"/>
    </row>
    <row r="773" ht="15" customHeight="1">
      <c r="A773" t="inlineStr">
        <is>
          <t>A 4527-2023</t>
        </is>
      </c>
      <c r="B773" s="1" t="n">
        <v>44956</v>
      </c>
      <c r="C773" s="1" t="n">
        <v>45765</v>
      </c>
      <c r="D773" t="inlineStr">
        <is>
          <t>KALMAR LÄN</t>
        </is>
      </c>
      <c r="E773" t="inlineStr">
        <is>
          <t>VIMMERBY</t>
        </is>
      </c>
      <c r="F773" t="inlineStr">
        <is>
          <t>Kommuner</t>
        </is>
      </c>
      <c r="G773" t="n">
        <v>8.5</v>
      </c>
      <c r="H773" t="n">
        <v>0</v>
      </c>
      <c r="I773" t="n">
        <v>0</v>
      </c>
      <c r="J773" t="n">
        <v>0</v>
      </c>
      <c r="K773" t="n">
        <v>0</v>
      </c>
      <c r="L773" t="n">
        <v>0</v>
      </c>
      <c r="M773" t="n">
        <v>0</v>
      </c>
      <c r="N773" t="n">
        <v>0</v>
      </c>
      <c r="O773" t="n">
        <v>0</v>
      </c>
      <c r="P773" t="n">
        <v>0</v>
      </c>
      <c r="Q773" t="n">
        <v>0</v>
      </c>
      <c r="R773" s="2" t="inlineStr"/>
    </row>
    <row r="774" ht="15" customHeight="1">
      <c r="A774" t="inlineStr">
        <is>
          <t>A 5074-2023</t>
        </is>
      </c>
      <c r="B774" s="1" t="n">
        <v>44958</v>
      </c>
      <c r="C774" s="1" t="n">
        <v>45765</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5342-2023</t>
        </is>
      </c>
      <c r="B775" s="1" t="n">
        <v>44959</v>
      </c>
      <c r="C775" s="1" t="n">
        <v>45765</v>
      </c>
      <c r="D775" t="inlineStr">
        <is>
          <t>KALMAR LÄN</t>
        </is>
      </c>
      <c r="E775" t="inlineStr">
        <is>
          <t>VIMMERBY</t>
        </is>
      </c>
      <c r="G775" t="n">
        <v>1.5</v>
      </c>
      <c r="H775" t="n">
        <v>0</v>
      </c>
      <c r="I775" t="n">
        <v>0</v>
      </c>
      <c r="J775" t="n">
        <v>0</v>
      </c>
      <c r="K775" t="n">
        <v>0</v>
      </c>
      <c r="L775" t="n">
        <v>0</v>
      </c>
      <c r="M775" t="n">
        <v>0</v>
      </c>
      <c r="N775" t="n">
        <v>0</v>
      </c>
      <c r="O775" t="n">
        <v>0</v>
      </c>
      <c r="P775" t="n">
        <v>0</v>
      </c>
      <c r="Q775" t="n">
        <v>0</v>
      </c>
      <c r="R775" s="2" t="inlineStr"/>
    </row>
    <row r="776" ht="15" customHeight="1">
      <c r="A776" t="inlineStr">
        <is>
          <t>A 5382-2023</t>
        </is>
      </c>
      <c r="B776" s="1" t="n">
        <v>44959</v>
      </c>
      <c r="C776" s="1" t="n">
        <v>45765</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5720-2023</t>
        </is>
      </c>
      <c r="B777" s="1" t="n">
        <v>44961</v>
      </c>
      <c r="C777" s="1" t="n">
        <v>45765</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5792-2023</t>
        </is>
      </c>
      <c r="B778" s="1" t="n">
        <v>44963</v>
      </c>
      <c r="C778" s="1" t="n">
        <v>45765</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6028-2023</t>
        </is>
      </c>
      <c r="B779" s="1" t="n">
        <v>44964</v>
      </c>
      <c r="C779" s="1" t="n">
        <v>45765</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6066-2023</t>
        </is>
      </c>
      <c r="B780" s="1" t="n">
        <v>44964</v>
      </c>
      <c r="C780" s="1" t="n">
        <v>45765</v>
      </c>
      <c r="D780" t="inlineStr">
        <is>
          <t>KALMAR LÄN</t>
        </is>
      </c>
      <c r="E780" t="inlineStr">
        <is>
          <t>VIMMERBY</t>
        </is>
      </c>
      <c r="G780" t="n">
        <v>2.8</v>
      </c>
      <c r="H780" t="n">
        <v>0</v>
      </c>
      <c r="I780" t="n">
        <v>0</v>
      </c>
      <c r="J780" t="n">
        <v>0</v>
      </c>
      <c r="K780" t="n">
        <v>0</v>
      </c>
      <c r="L780" t="n">
        <v>0</v>
      </c>
      <c r="M780" t="n">
        <v>0</v>
      </c>
      <c r="N780" t="n">
        <v>0</v>
      </c>
      <c r="O780" t="n">
        <v>0</v>
      </c>
      <c r="P780" t="n">
        <v>0</v>
      </c>
      <c r="Q780" t="n">
        <v>0</v>
      </c>
      <c r="R780" s="2" t="inlineStr"/>
    </row>
    <row r="781" ht="15" customHeight="1">
      <c r="A781" t="inlineStr">
        <is>
          <t>A 6017-2023</t>
        </is>
      </c>
      <c r="B781" s="1" t="n">
        <v>44964</v>
      </c>
      <c r="C781" s="1" t="n">
        <v>45765</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6368-2023</t>
        </is>
      </c>
      <c r="B782" s="1" t="n">
        <v>44965</v>
      </c>
      <c r="C782" s="1" t="n">
        <v>45765</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6321-2023</t>
        </is>
      </c>
      <c r="B783" s="1" t="n">
        <v>44965</v>
      </c>
      <c r="C783" s="1" t="n">
        <v>45765</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6660-2023</t>
        </is>
      </c>
      <c r="B784" s="1" t="n">
        <v>44966</v>
      </c>
      <c r="C784" s="1" t="n">
        <v>45765</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6574-2023</t>
        </is>
      </c>
      <c r="B785" s="1" t="n">
        <v>44966</v>
      </c>
      <c r="C785" s="1" t="n">
        <v>45765</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6662-2023</t>
        </is>
      </c>
      <c r="B786" s="1" t="n">
        <v>44966</v>
      </c>
      <c r="C786" s="1" t="n">
        <v>45765</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6668-2023</t>
        </is>
      </c>
      <c r="B787" s="1" t="n">
        <v>44966</v>
      </c>
      <c r="C787" s="1" t="n">
        <v>45765</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6538-2023</t>
        </is>
      </c>
      <c r="B788" s="1" t="n">
        <v>44966</v>
      </c>
      <c r="C788" s="1" t="n">
        <v>45765</v>
      </c>
      <c r="D788" t="inlineStr">
        <is>
          <t>KALMAR LÄN</t>
        </is>
      </c>
      <c r="E788" t="inlineStr">
        <is>
          <t>VIMMERBY</t>
        </is>
      </c>
      <c r="G788" t="n">
        <v>4.5</v>
      </c>
      <c r="H788" t="n">
        <v>0</v>
      </c>
      <c r="I788" t="n">
        <v>0</v>
      </c>
      <c r="J788" t="n">
        <v>0</v>
      </c>
      <c r="K788" t="n">
        <v>0</v>
      </c>
      <c r="L788" t="n">
        <v>0</v>
      </c>
      <c r="M788" t="n">
        <v>0</v>
      </c>
      <c r="N788" t="n">
        <v>0</v>
      </c>
      <c r="O788" t="n">
        <v>0</v>
      </c>
      <c r="P788" t="n">
        <v>0</v>
      </c>
      <c r="Q788" t="n">
        <v>0</v>
      </c>
      <c r="R788" s="2" t="inlineStr"/>
    </row>
    <row r="789" ht="15" customHeight="1">
      <c r="A789" t="inlineStr">
        <is>
          <t>A 6857-2023</t>
        </is>
      </c>
      <c r="B789" s="1" t="n">
        <v>44967</v>
      </c>
      <c r="C789" s="1" t="n">
        <v>45765</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6850-2023</t>
        </is>
      </c>
      <c r="B790" s="1" t="n">
        <v>44967</v>
      </c>
      <c r="C790" s="1" t="n">
        <v>45765</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7454-2023</t>
        </is>
      </c>
      <c r="B791" s="1" t="n">
        <v>44971</v>
      </c>
      <c r="C791" s="1" t="n">
        <v>45765</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7557-2023</t>
        </is>
      </c>
      <c r="B792" s="1" t="n">
        <v>44972</v>
      </c>
      <c r="C792" s="1" t="n">
        <v>45765</v>
      </c>
      <c r="D792" t="inlineStr">
        <is>
          <t>KALMAR LÄN</t>
        </is>
      </c>
      <c r="E792" t="inlineStr">
        <is>
          <t>VIMMERBY</t>
        </is>
      </c>
      <c r="G792" t="n">
        <v>4.6</v>
      </c>
      <c r="H792" t="n">
        <v>0</v>
      </c>
      <c r="I792" t="n">
        <v>0</v>
      </c>
      <c r="J792" t="n">
        <v>0</v>
      </c>
      <c r="K792" t="n">
        <v>0</v>
      </c>
      <c r="L792" t="n">
        <v>0</v>
      </c>
      <c r="M792" t="n">
        <v>0</v>
      </c>
      <c r="N792" t="n">
        <v>0</v>
      </c>
      <c r="O792" t="n">
        <v>0</v>
      </c>
      <c r="P792" t="n">
        <v>0</v>
      </c>
      <c r="Q792" t="n">
        <v>0</v>
      </c>
      <c r="R792" s="2" t="inlineStr"/>
    </row>
    <row r="793" ht="15" customHeight="1">
      <c r="A793" t="inlineStr">
        <is>
          <t>A 7594-2023</t>
        </is>
      </c>
      <c r="B793" s="1" t="n">
        <v>44972</v>
      </c>
      <c r="C793" s="1" t="n">
        <v>45765</v>
      </c>
      <c r="D793" t="inlineStr">
        <is>
          <t>KALMAR LÄN</t>
        </is>
      </c>
      <c r="E793" t="inlineStr">
        <is>
          <t>VIMMERBY</t>
        </is>
      </c>
      <c r="G793" t="n">
        <v>1.6</v>
      </c>
      <c r="H793" t="n">
        <v>0</v>
      </c>
      <c r="I793" t="n">
        <v>0</v>
      </c>
      <c r="J793" t="n">
        <v>0</v>
      </c>
      <c r="K793" t="n">
        <v>0</v>
      </c>
      <c r="L793" t="n">
        <v>0</v>
      </c>
      <c r="M793" t="n">
        <v>0</v>
      </c>
      <c r="N793" t="n">
        <v>0</v>
      </c>
      <c r="O793" t="n">
        <v>0</v>
      </c>
      <c r="P793" t="n">
        <v>0</v>
      </c>
      <c r="Q793" t="n">
        <v>0</v>
      </c>
      <c r="R793" s="2" t="inlineStr"/>
    </row>
    <row r="794" ht="15" customHeight="1">
      <c r="A794" t="inlineStr">
        <is>
          <t>A 7797-2023</t>
        </is>
      </c>
      <c r="B794" s="1" t="n">
        <v>44973</v>
      </c>
      <c r="C794" s="1" t="n">
        <v>45765</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7883-2023</t>
        </is>
      </c>
      <c r="B795" s="1" t="n">
        <v>44973</v>
      </c>
      <c r="C795" s="1" t="n">
        <v>45765</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7885-2023</t>
        </is>
      </c>
      <c r="B796" s="1" t="n">
        <v>44973</v>
      </c>
      <c r="C796" s="1" t="n">
        <v>45765</v>
      </c>
      <c r="D796" t="inlineStr">
        <is>
          <t>KALMAR LÄN</t>
        </is>
      </c>
      <c r="E796" t="inlineStr">
        <is>
          <t>VIMMERBY</t>
        </is>
      </c>
      <c r="G796" t="n">
        <v>2.8</v>
      </c>
      <c r="H796" t="n">
        <v>0</v>
      </c>
      <c r="I796" t="n">
        <v>0</v>
      </c>
      <c r="J796" t="n">
        <v>0</v>
      </c>
      <c r="K796" t="n">
        <v>0</v>
      </c>
      <c r="L796" t="n">
        <v>0</v>
      </c>
      <c r="M796" t="n">
        <v>0</v>
      </c>
      <c r="N796" t="n">
        <v>0</v>
      </c>
      <c r="O796" t="n">
        <v>0</v>
      </c>
      <c r="P796" t="n">
        <v>0</v>
      </c>
      <c r="Q796" t="n">
        <v>0</v>
      </c>
      <c r="R796" s="2" t="inlineStr"/>
    </row>
    <row r="797" ht="15" customHeight="1">
      <c r="A797" t="inlineStr">
        <is>
          <t>A 8219-2023</t>
        </is>
      </c>
      <c r="B797" s="1" t="n">
        <v>44974</v>
      </c>
      <c r="C797" s="1" t="n">
        <v>45765</v>
      </c>
      <c r="D797" t="inlineStr">
        <is>
          <t>KALMAR LÄN</t>
        </is>
      </c>
      <c r="E797" t="inlineStr">
        <is>
          <t>VIMMERBY</t>
        </is>
      </c>
      <c r="F797" t="inlineStr">
        <is>
          <t>Sveaskog</t>
        </is>
      </c>
      <c r="G797" t="n">
        <v>6.1</v>
      </c>
      <c r="H797" t="n">
        <v>0</v>
      </c>
      <c r="I797" t="n">
        <v>0</v>
      </c>
      <c r="J797" t="n">
        <v>0</v>
      </c>
      <c r="K797" t="n">
        <v>0</v>
      </c>
      <c r="L797" t="n">
        <v>0</v>
      </c>
      <c r="M797" t="n">
        <v>0</v>
      </c>
      <c r="N797" t="n">
        <v>0</v>
      </c>
      <c r="O797" t="n">
        <v>0</v>
      </c>
      <c r="P797" t="n">
        <v>0</v>
      </c>
      <c r="Q797" t="n">
        <v>0</v>
      </c>
      <c r="R797" s="2" t="inlineStr"/>
    </row>
    <row r="798" ht="15" customHeight="1">
      <c r="A798" t="inlineStr">
        <is>
          <t>A 8410-2023</t>
        </is>
      </c>
      <c r="B798" s="1" t="n">
        <v>44977</v>
      </c>
      <c r="C798" s="1" t="n">
        <v>45765</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9024-2023</t>
        </is>
      </c>
      <c r="B799" s="1" t="n">
        <v>44979</v>
      </c>
      <c r="C799" s="1" t="n">
        <v>45765</v>
      </c>
      <c r="D799" t="inlineStr">
        <is>
          <t>KALMAR LÄN</t>
        </is>
      </c>
      <c r="E799" t="inlineStr">
        <is>
          <t>VIMMERBY</t>
        </is>
      </c>
      <c r="G799" t="n">
        <v>5.2</v>
      </c>
      <c r="H799" t="n">
        <v>0</v>
      </c>
      <c r="I799" t="n">
        <v>0</v>
      </c>
      <c r="J799" t="n">
        <v>0</v>
      </c>
      <c r="K799" t="n">
        <v>0</v>
      </c>
      <c r="L799" t="n">
        <v>0</v>
      </c>
      <c r="M799" t="n">
        <v>0</v>
      </c>
      <c r="N799" t="n">
        <v>0</v>
      </c>
      <c r="O799" t="n">
        <v>0</v>
      </c>
      <c r="P799" t="n">
        <v>0</v>
      </c>
      <c r="Q799" t="n">
        <v>0</v>
      </c>
      <c r="R799" s="2" t="inlineStr"/>
    </row>
    <row r="800" ht="15" customHeight="1">
      <c r="A800" t="inlineStr">
        <is>
          <t>A 9113-2023</t>
        </is>
      </c>
      <c r="B800" s="1" t="n">
        <v>44979</v>
      </c>
      <c r="C800" s="1" t="n">
        <v>45765</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9475-2023</t>
        </is>
      </c>
      <c r="B801" s="1" t="n">
        <v>44981</v>
      </c>
      <c r="C801" s="1" t="n">
        <v>45765</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9511-2023</t>
        </is>
      </c>
      <c r="B802" s="1" t="n">
        <v>44981</v>
      </c>
      <c r="C802" s="1" t="n">
        <v>45765</v>
      </c>
      <c r="D802" t="inlineStr">
        <is>
          <t>KALMAR LÄN</t>
        </is>
      </c>
      <c r="E802" t="inlineStr">
        <is>
          <t>VIMMERBY</t>
        </is>
      </c>
      <c r="G802" t="n">
        <v>3.5</v>
      </c>
      <c r="H802" t="n">
        <v>0</v>
      </c>
      <c r="I802" t="n">
        <v>0</v>
      </c>
      <c r="J802" t="n">
        <v>0</v>
      </c>
      <c r="K802" t="n">
        <v>0</v>
      </c>
      <c r="L802" t="n">
        <v>0</v>
      </c>
      <c r="M802" t="n">
        <v>0</v>
      </c>
      <c r="N802" t="n">
        <v>0</v>
      </c>
      <c r="O802" t="n">
        <v>0</v>
      </c>
      <c r="P802" t="n">
        <v>0</v>
      </c>
      <c r="Q802" t="n">
        <v>0</v>
      </c>
      <c r="R802" s="2" t="inlineStr"/>
    </row>
    <row r="803" ht="15" customHeight="1">
      <c r="A803" t="inlineStr">
        <is>
          <t>A 9644-2023</t>
        </is>
      </c>
      <c r="B803" s="1" t="n">
        <v>44984</v>
      </c>
      <c r="C803" s="1" t="n">
        <v>45765</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9694-2023</t>
        </is>
      </c>
      <c r="B804" s="1" t="n">
        <v>44984</v>
      </c>
      <c r="C804" s="1" t="n">
        <v>45765</v>
      </c>
      <c r="D804" t="inlineStr">
        <is>
          <t>KALMAR LÄN</t>
        </is>
      </c>
      <c r="E804" t="inlineStr">
        <is>
          <t>VIMMERBY</t>
        </is>
      </c>
      <c r="G804" t="n">
        <v>2.1</v>
      </c>
      <c r="H804" t="n">
        <v>0</v>
      </c>
      <c r="I804" t="n">
        <v>0</v>
      </c>
      <c r="J804" t="n">
        <v>0</v>
      </c>
      <c r="K804" t="n">
        <v>0</v>
      </c>
      <c r="L804" t="n">
        <v>0</v>
      </c>
      <c r="M804" t="n">
        <v>0</v>
      </c>
      <c r="N804" t="n">
        <v>0</v>
      </c>
      <c r="O804" t="n">
        <v>0</v>
      </c>
      <c r="P804" t="n">
        <v>0</v>
      </c>
      <c r="Q804" t="n">
        <v>0</v>
      </c>
      <c r="R804" s="2" t="inlineStr"/>
    </row>
    <row r="805" ht="15" customHeight="1">
      <c r="A805" t="inlineStr">
        <is>
          <t>A 9710-2023</t>
        </is>
      </c>
      <c r="B805" s="1" t="n">
        <v>44984</v>
      </c>
      <c r="C805" s="1" t="n">
        <v>45765</v>
      </c>
      <c r="D805" t="inlineStr">
        <is>
          <t>KALMAR LÄN</t>
        </is>
      </c>
      <c r="E805" t="inlineStr">
        <is>
          <t>VIMMERBY</t>
        </is>
      </c>
      <c r="G805" t="n">
        <v>3.7</v>
      </c>
      <c r="H805" t="n">
        <v>0</v>
      </c>
      <c r="I805" t="n">
        <v>0</v>
      </c>
      <c r="J805" t="n">
        <v>0</v>
      </c>
      <c r="K805" t="n">
        <v>0</v>
      </c>
      <c r="L805" t="n">
        <v>0</v>
      </c>
      <c r="M805" t="n">
        <v>0</v>
      </c>
      <c r="N805" t="n">
        <v>0</v>
      </c>
      <c r="O805" t="n">
        <v>0</v>
      </c>
      <c r="P805" t="n">
        <v>0</v>
      </c>
      <c r="Q805" t="n">
        <v>0</v>
      </c>
      <c r="R805" s="2" t="inlineStr"/>
    </row>
    <row r="806" ht="15" customHeight="1">
      <c r="A806" t="inlineStr">
        <is>
          <t>A 9720-2023</t>
        </is>
      </c>
      <c r="B806" s="1" t="n">
        <v>44984</v>
      </c>
      <c r="C806" s="1" t="n">
        <v>45765</v>
      </c>
      <c r="D806" t="inlineStr">
        <is>
          <t>KALMAR LÄN</t>
        </is>
      </c>
      <c r="E806" t="inlineStr">
        <is>
          <t>VIMMERBY</t>
        </is>
      </c>
      <c r="G806" t="n">
        <v>4.4</v>
      </c>
      <c r="H806" t="n">
        <v>0</v>
      </c>
      <c r="I806" t="n">
        <v>0</v>
      </c>
      <c r="J806" t="n">
        <v>0</v>
      </c>
      <c r="K806" t="n">
        <v>0</v>
      </c>
      <c r="L806" t="n">
        <v>0</v>
      </c>
      <c r="M806" t="n">
        <v>0</v>
      </c>
      <c r="N806" t="n">
        <v>0</v>
      </c>
      <c r="O806" t="n">
        <v>0</v>
      </c>
      <c r="P806" t="n">
        <v>0</v>
      </c>
      <c r="Q806" t="n">
        <v>0</v>
      </c>
      <c r="R806" s="2" t="inlineStr"/>
    </row>
    <row r="807" ht="15" customHeight="1">
      <c r="A807" t="inlineStr">
        <is>
          <t>A 9643-2023</t>
        </is>
      </c>
      <c r="B807" s="1" t="n">
        <v>44984</v>
      </c>
      <c r="C807" s="1" t="n">
        <v>45765</v>
      </c>
      <c r="D807" t="inlineStr">
        <is>
          <t>KALMAR LÄN</t>
        </is>
      </c>
      <c r="E807" t="inlineStr">
        <is>
          <t>VIMMERBY</t>
        </is>
      </c>
      <c r="G807" t="n">
        <v>2</v>
      </c>
      <c r="H807" t="n">
        <v>0</v>
      </c>
      <c r="I807" t="n">
        <v>0</v>
      </c>
      <c r="J807" t="n">
        <v>0</v>
      </c>
      <c r="K807" t="n">
        <v>0</v>
      </c>
      <c r="L807" t="n">
        <v>0</v>
      </c>
      <c r="M807" t="n">
        <v>0</v>
      </c>
      <c r="N807" t="n">
        <v>0</v>
      </c>
      <c r="O807" t="n">
        <v>0</v>
      </c>
      <c r="P807" t="n">
        <v>0</v>
      </c>
      <c r="Q807" t="n">
        <v>0</v>
      </c>
      <c r="R807" s="2" t="inlineStr"/>
    </row>
    <row r="808" ht="15" customHeight="1">
      <c r="A808" t="inlineStr">
        <is>
          <t>A 10444-2023</t>
        </is>
      </c>
      <c r="B808" s="1" t="n">
        <v>44987</v>
      </c>
      <c r="C808" s="1" t="n">
        <v>45765</v>
      </c>
      <c r="D808" t="inlineStr">
        <is>
          <t>KALMAR LÄN</t>
        </is>
      </c>
      <c r="E808" t="inlineStr">
        <is>
          <t>VIMMERBY</t>
        </is>
      </c>
      <c r="G808" t="n">
        <v>7.4</v>
      </c>
      <c r="H808" t="n">
        <v>0</v>
      </c>
      <c r="I808" t="n">
        <v>0</v>
      </c>
      <c r="J808" t="n">
        <v>0</v>
      </c>
      <c r="K808" t="n">
        <v>0</v>
      </c>
      <c r="L808" t="n">
        <v>0</v>
      </c>
      <c r="M808" t="n">
        <v>0</v>
      </c>
      <c r="N808" t="n">
        <v>0</v>
      </c>
      <c r="O808" t="n">
        <v>0</v>
      </c>
      <c r="P808" t="n">
        <v>0</v>
      </c>
      <c r="Q808" t="n">
        <v>0</v>
      </c>
      <c r="R808" s="2" t="inlineStr"/>
    </row>
    <row r="809" ht="15" customHeight="1">
      <c r="A809" t="inlineStr">
        <is>
          <t>A 10424-2023</t>
        </is>
      </c>
      <c r="B809" s="1" t="n">
        <v>44987</v>
      </c>
      <c r="C809" s="1" t="n">
        <v>45765</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10439-2023</t>
        </is>
      </c>
      <c r="B810" s="1" t="n">
        <v>44987</v>
      </c>
      <c r="C810" s="1" t="n">
        <v>45765</v>
      </c>
      <c r="D810" t="inlineStr">
        <is>
          <t>KALMAR LÄN</t>
        </is>
      </c>
      <c r="E810" t="inlineStr">
        <is>
          <t>VIMMERBY</t>
        </is>
      </c>
      <c r="G810" t="n">
        <v>2.9</v>
      </c>
      <c r="H810" t="n">
        <v>0</v>
      </c>
      <c r="I810" t="n">
        <v>0</v>
      </c>
      <c r="J810" t="n">
        <v>0</v>
      </c>
      <c r="K810" t="n">
        <v>0</v>
      </c>
      <c r="L810" t="n">
        <v>0</v>
      </c>
      <c r="M810" t="n">
        <v>0</v>
      </c>
      <c r="N810" t="n">
        <v>0</v>
      </c>
      <c r="O810" t="n">
        <v>0</v>
      </c>
      <c r="P810" t="n">
        <v>0</v>
      </c>
      <c r="Q810" t="n">
        <v>0</v>
      </c>
      <c r="R810" s="2" t="inlineStr"/>
    </row>
    <row r="811" ht="15" customHeight="1">
      <c r="A811" t="inlineStr">
        <is>
          <t>A 10759-2023</t>
        </is>
      </c>
      <c r="B811" s="1" t="n">
        <v>44988</v>
      </c>
      <c r="C811" s="1" t="n">
        <v>45765</v>
      </c>
      <c r="D811" t="inlineStr">
        <is>
          <t>KALMAR LÄN</t>
        </is>
      </c>
      <c r="E811" t="inlineStr">
        <is>
          <t>VIMMERBY</t>
        </is>
      </c>
      <c r="G811" t="n">
        <v>0.4</v>
      </c>
      <c r="H811" t="n">
        <v>0</v>
      </c>
      <c r="I811" t="n">
        <v>0</v>
      </c>
      <c r="J811" t="n">
        <v>0</v>
      </c>
      <c r="K811" t="n">
        <v>0</v>
      </c>
      <c r="L811" t="n">
        <v>0</v>
      </c>
      <c r="M811" t="n">
        <v>0</v>
      </c>
      <c r="N811" t="n">
        <v>0</v>
      </c>
      <c r="O811" t="n">
        <v>0</v>
      </c>
      <c r="P811" t="n">
        <v>0</v>
      </c>
      <c r="Q811" t="n">
        <v>0</v>
      </c>
      <c r="R811" s="2" t="inlineStr"/>
    </row>
    <row r="812" ht="15" customHeight="1">
      <c r="A812" t="inlineStr">
        <is>
          <t>A 10800-2023</t>
        </is>
      </c>
      <c r="B812" s="1" t="n">
        <v>44989</v>
      </c>
      <c r="C812" s="1" t="n">
        <v>45765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10821-2023</t>
        </is>
      </c>
      <c r="B813" s="1" t="n">
        <v>44990</v>
      </c>
      <c r="C813" s="1" t="n">
        <v>45765</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10837-2023</t>
        </is>
      </c>
      <c r="B814" s="1" t="n">
        <v>44991</v>
      </c>
      <c r="C814" s="1" t="n">
        <v>45765</v>
      </c>
      <c r="D814" t="inlineStr">
        <is>
          <t>KALMAR LÄN</t>
        </is>
      </c>
      <c r="E814" t="inlineStr">
        <is>
          <t>VIMMERBY</t>
        </is>
      </c>
      <c r="G814" t="n">
        <v>7.3</v>
      </c>
      <c r="H814" t="n">
        <v>0</v>
      </c>
      <c r="I814" t="n">
        <v>0</v>
      </c>
      <c r="J814" t="n">
        <v>0</v>
      </c>
      <c r="K814" t="n">
        <v>0</v>
      </c>
      <c r="L814" t="n">
        <v>0</v>
      </c>
      <c r="M814" t="n">
        <v>0</v>
      </c>
      <c r="N814" t="n">
        <v>0</v>
      </c>
      <c r="O814" t="n">
        <v>0</v>
      </c>
      <c r="P814" t="n">
        <v>0</v>
      </c>
      <c r="Q814" t="n">
        <v>0</v>
      </c>
      <c r="R814" s="2" t="inlineStr"/>
    </row>
    <row r="815" ht="15" customHeight="1">
      <c r="A815" t="inlineStr">
        <is>
          <t>A 10835-2023</t>
        </is>
      </c>
      <c r="B815" s="1" t="n">
        <v>44991</v>
      </c>
      <c r="C815" s="1" t="n">
        <v>45765</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10838-2023</t>
        </is>
      </c>
      <c r="B816" s="1" t="n">
        <v>44991</v>
      </c>
      <c r="C816" s="1" t="n">
        <v>45765</v>
      </c>
      <c r="D816" t="inlineStr">
        <is>
          <t>KALMAR LÄN</t>
        </is>
      </c>
      <c r="E816" t="inlineStr">
        <is>
          <t>VIMMERBY</t>
        </is>
      </c>
      <c r="G816" t="n">
        <v>5.1</v>
      </c>
      <c r="H816" t="n">
        <v>0</v>
      </c>
      <c r="I816" t="n">
        <v>0</v>
      </c>
      <c r="J816" t="n">
        <v>0</v>
      </c>
      <c r="K816" t="n">
        <v>0</v>
      </c>
      <c r="L816" t="n">
        <v>0</v>
      </c>
      <c r="M816" t="n">
        <v>0</v>
      </c>
      <c r="N816" t="n">
        <v>0</v>
      </c>
      <c r="O816" t="n">
        <v>0</v>
      </c>
      <c r="P816" t="n">
        <v>0</v>
      </c>
      <c r="Q816" t="n">
        <v>0</v>
      </c>
      <c r="R816" s="2" t="inlineStr"/>
    </row>
    <row r="817" ht="15" customHeight="1">
      <c r="A817" t="inlineStr">
        <is>
          <t>A 11027-2023</t>
        </is>
      </c>
      <c r="B817" s="1" t="n">
        <v>44991</v>
      </c>
      <c r="C817" s="1" t="n">
        <v>45765</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11076-2023</t>
        </is>
      </c>
      <c r="B818" s="1" t="n">
        <v>44992</v>
      </c>
      <c r="C818" s="1" t="n">
        <v>45765</v>
      </c>
      <c r="D818" t="inlineStr">
        <is>
          <t>KALMAR LÄN</t>
        </is>
      </c>
      <c r="E818" t="inlineStr">
        <is>
          <t>VIMMERBY</t>
        </is>
      </c>
      <c r="G818" t="n">
        <v>6.1</v>
      </c>
      <c r="H818" t="n">
        <v>0</v>
      </c>
      <c r="I818" t="n">
        <v>0</v>
      </c>
      <c r="J818" t="n">
        <v>0</v>
      </c>
      <c r="K818" t="n">
        <v>0</v>
      </c>
      <c r="L818" t="n">
        <v>0</v>
      </c>
      <c r="M818" t="n">
        <v>0</v>
      </c>
      <c r="N818" t="n">
        <v>0</v>
      </c>
      <c r="O818" t="n">
        <v>0</v>
      </c>
      <c r="P818" t="n">
        <v>0</v>
      </c>
      <c r="Q818" t="n">
        <v>0</v>
      </c>
      <c r="R818" s="2" t="inlineStr"/>
    </row>
    <row r="819" ht="15" customHeight="1">
      <c r="A819" t="inlineStr">
        <is>
          <t>A 11073-2023</t>
        </is>
      </c>
      <c r="B819" s="1" t="n">
        <v>44992</v>
      </c>
      <c r="C819" s="1" t="n">
        <v>45765</v>
      </c>
      <c r="D819" t="inlineStr">
        <is>
          <t>KALMAR LÄN</t>
        </is>
      </c>
      <c r="E819" t="inlineStr">
        <is>
          <t>VIMMERBY</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11147-2023</t>
        </is>
      </c>
      <c r="B820" s="1" t="n">
        <v>44992</v>
      </c>
      <c r="C820" s="1" t="n">
        <v>45765</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11111-2023</t>
        </is>
      </c>
      <c r="B821" s="1" t="n">
        <v>44992</v>
      </c>
      <c r="C821" s="1" t="n">
        <v>45765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11152-2023</t>
        </is>
      </c>
      <c r="B822" s="1" t="n">
        <v>44992</v>
      </c>
      <c r="C822" s="1" t="n">
        <v>45765</v>
      </c>
      <c r="D822" t="inlineStr">
        <is>
          <t>KALMAR LÄN</t>
        </is>
      </c>
      <c r="E822" t="inlineStr">
        <is>
          <t>VIMMERBY</t>
        </is>
      </c>
      <c r="G822" t="n">
        <v>10.6</v>
      </c>
      <c r="H822" t="n">
        <v>0</v>
      </c>
      <c r="I822" t="n">
        <v>0</v>
      </c>
      <c r="J822" t="n">
        <v>0</v>
      </c>
      <c r="K822" t="n">
        <v>0</v>
      </c>
      <c r="L822" t="n">
        <v>0</v>
      </c>
      <c r="M822" t="n">
        <v>0</v>
      </c>
      <c r="N822" t="n">
        <v>0</v>
      </c>
      <c r="O822" t="n">
        <v>0</v>
      </c>
      <c r="P822" t="n">
        <v>0</v>
      </c>
      <c r="Q822" t="n">
        <v>0</v>
      </c>
      <c r="R822" s="2" t="inlineStr"/>
    </row>
    <row r="823" ht="15" customHeight="1">
      <c r="A823" t="inlineStr">
        <is>
          <t>A 11074-2023</t>
        </is>
      </c>
      <c r="B823" s="1" t="n">
        <v>44992</v>
      </c>
      <c r="C823" s="1" t="n">
        <v>45765</v>
      </c>
      <c r="D823" t="inlineStr">
        <is>
          <t>KALMAR LÄN</t>
        </is>
      </c>
      <c r="E823" t="inlineStr">
        <is>
          <t>VIMMERBY</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11219-2023</t>
        </is>
      </c>
      <c r="B824" s="1" t="n">
        <v>44992</v>
      </c>
      <c r="C824" s="1" t="n">
        <v>45765</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11416-2023</t>
        </is>
      </c>
      <c r="B825" s="1" t="n">
        <v>44993</v>
      </c>
      <c r="C825" s="1" t="n">
        <v>45765</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11619-2023</t>
        </is>
      </c>
      <c r="B826" s="1" t="n">
        <v>44994</v>
      </c>
      <c r="C826" s="1" t="n">
        <v>45765</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11609-2023</t>
        </is>
      </c>
      <c r="B827" s="1" t="n">
        <v>44994</v>
      </c>
      <c r="C827" s="1" t="n">
        <v>45765</v>
      </c>
      <c r="D827" t="inlineStr">
        <is>
          <t>KALMAR LÄN</t>
        </is>
      </c>
      <c r="E827" t="inlineStr">
        <is>
          <t>VIMMERBY</t>
        </is>
      </c>
      <c r="G827" t="n">
        <v>4.9</v>
      </c>
      <c r="H827" t="n">
        <v>0</v>
      </c>
      <c r="I827" t="n">
        <v>0</v>
      </c>
      <c r="J827" t="n">
        <v>0</v>
      </c>
      <c r="K827" t="n">
        <v>0</v>
      </c>
      <c r="L827" t="n">
        <v>0</v>
      </c>
      <c r="M827" t="n">
        <v>0</v>
      </c>
      <c r="N827" t="n">
        <v>0</v>
      </c>
      <c r="O827" t="n">
        <v>0</v>
      </c>
      <c r="P827" t="n">
        <v>0</v>
      </c>
      <c r="Q827" t="n">
        <v>0</v>
      </c>
      <c r="R827" s="2" t="inlineStr"/>
    </row>
    <row r="828" ht="15" customHeight="1">
      <c r="A828" t="inlineStr">
        <is>
          <t>A 11661-2023</t>
        </is>
      </c>
      <c r="B828" s="1" t="n">
        <v>44994</v>
      </c>
      <c r="C828" s="1" t="n">
        <v>45765</v>
      </c>
      <c r="D828" t="inlineStr">
        <is>
          <t>KALMAR LÄN</t>
        </is>
      </c>
      <c r="E828" t="inlineStr">
        <is>
          <t>VIMMERBY</t>
        </is>
      </c>
      <c r="G828" t="n">
        <v>2.7</v>
      </c>
      <c r="H828" t="n">
        <v>0</v>
      </c>
      <c r="I828" t="n">
        <v>0</v>
      </c>
      <c r="J828" t="n">
        <v>0</v>
      </c>
      <c r="K828" t="n">
        <v>0</v>
      </c>
      <c r="L828" t="n">
        <v>0</v>
      </c>
      <c r="M828" t="n">
        <v>0</v>
      </c>
      <c r="N828" t="n">
        <v>0</v>
      </c>
      <c r="O828" t="n">
        <v>0</v>
      </c>
      <c r="P828" t="n">
        <v>0</v>
      </c>
      <c r="Q828" t="n">
        <v>0</v>
      </c>
      <c r="R828" s="2" t="inlineStr"/>
    </row>
    <row r="829" ht="15" customHeight="1">
      <c r="A829" t="inlineStr">
        <is>
          <t>A 12008-2023</t>
        </is>
      </c>
      <c r="B829" s="1" t="n">
        <v>44995</v>
      </c>
      <c r="C829" s="1" t="n">
        <v>45765</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11999-2023</t>
        </is>
      </c>
      <c r="B830" s="1" t="n">
        <v>44995</v>
      </c>
      <c r="C830" s="1" t="n">
        <v>45765</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12012-2023</t>
        </is>
      </c>
      <c r="B831" s="1" t="n">
        <v>44995</v>
      </c>
      <c r="C831" s="1" t="n">
        <v>45765</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12010-2023</t>
        </is>
      </c>
      <c r="B832" s="1" t="n">
        <v>44995</v>
      </c>
      <c r="C832" s="1" t="n">
        <v>45765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12325-2023</t>
        </is>
      </c>
      <c r="B833" s="1" t="n">
        <v>44999</v>
      </c>
      <c r="C833" s="1" t="n">
        <v>45765</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12327-2023</t>
        </is>
      </c>
      <c r="B834" s="1" t="n">
        <v>44999</v>
      </c>
      <c r="C834" s="1" t="n">
        <v>45765</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12499-2023</t>
        </is>
      </c>
      <c r="B835" s="1" t="n">
        <v>44999</v>
      </c>
      <c r="C835" s="1" t="n">
        <v>45765</v>
      </c>
      <c r="D835" t="inlineStr">
        <is>
          <t>KALMAR LÄN</t>
        </is>
      </c>
      <c r="E835" t="inlineStr">
        <is>
          <t>VIMMERBY</t>
        </is>
      </c>
      <c r="G835" t="n">
        <v>0.8</v>
      </c>
      <c r="H835" t="n">
        <v>0</v>
      </c>
      <c r="I835" t="n">
        <v>0</v>
      </c>
      <c r="J835" t="n">
        <v>0</v>
      </c>
      <c r="K835" t="n">
        <v>0</v>
      </c>
      <c r="L835" t="n">
        <v>0</v>
      </c>
      <c r="M835" t="n">
        <v>0</v>
      </c>
      <c r="N835" t="n">
        <v>0</v>
      </c>
      <c r="O835" t="n">
        <v>0</v>
      </c>
      <c r="P835" t="n">
        <v>0</v>
      </c>
      <c r="Q835" t="n">
        <v>0</v>
      </c>
      <c r="R835" s="2" t="inlineStr"/>
    </row>
    <row r="836" ht="15" customHeight="1">
      <c r="A836" t="inlineStr">
        <is>
          <t>A 12500-2023</t>
        </is>
      </c>
      <c r="B836" s="1" t="n">
        <v>44999</v>
      </c>
      <c r="C836" s="1" t="n">
        <v>45765</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12630-2023</t>
        </is>
      </c>
      <c r="B837" s="1" t="n">
        <v>45000</v>
      </c>
      <c r="C837" s="1" t="n">
        <v>45765</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12692-2023</t>
        </is>
      </c>
      <c r="B838" s="1" t="n">
        <v>45000</v>
      </c>
      <c r="C838" s="1" t="n">
        <v>45765</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12810-2023</t>
        </is>
      </c>
      <c r="B839" s="1" t="n">
        <v>45001</v>
      </c>
      <c r="C839" s="1" t="n">
        <v>45765</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12890-2023</t>
        </is>
      </c>
      <c r="B840" s="1" t="n">
        <v>45001</v>
      </c>
      <c r="C840" s="1" t="n">
        <v>45765</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13015-2023</t>
        </is>
      </c>
      <c r="B841" s="1" t="n">
        <v>45002</v>
      </c>
      <c r="C841" s="1" t="n">
        <v>45765</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13462-2023</t>
        </is>
      </c>
      <c r="B842" s="1" t="n">
        <v>45005</v>
      </c>
      <c r="C842" s="1" t="n">
        <v>45765</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13797-2023</t>
        </is>
      </c>
      <c r="B843" s="1" t="n">
        <v>45007</v>
      </c>
      <c r="C843" s="1" t="n">
        <v>45765</v>
      </c>
      <c r="D843" t="inlineStr">
        <is>
          <t>KALMAR LÄN</t>
        </is>
      </c>
      <c r="E843" t="inlineStr">
        <is>
          <t>VIMMERBY</t>
        </is>
      </c>
      <c r="G843" t="n">
        <v>2.2</v>
      </c>
      <c r="H843" t="n">
        <v>0</v>
      </c>
      <c r="I843" t="n">
        <v>0</v>
      </c>
      <c r="J843" t="n">
        <v>0</v>
      </c>
      <c r="K843" t="n">
        <v>0</v>
      </c>
      <c r="L843" t="n">
        <v>0</v>
      </c>
      <c r="M843" t="n">
        <v>0</v>
      </c>
      <c r="N843" t="n">
        <v>0</v>
      </c>
      <c r="O843" t="n">
        <v>0</v>
      </c>
      <c r="P843" t="n">
        <v>0</v>
      </c>
      <c r="Q843" t="n">
        <v>0</v>
      </c>
      <c r="R843" s="2" t="inlineStr"/>
    </row>
    <row r="844" ht="15" customHeight="1">
      <c r="A844" t="inlineStr">
        <is>
          <t>A 14025-2023</t>
        </is>
      </c>
      <c r="B844" s="1" t="n">
        <v>45008</v>
      </c>
      <c r="C844" s="1" t="n">
        <v>45765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14132-2023</t>
        </is>
      </c>
      <c r="B845" s="1" t="n">
        <v>45009</v>
      </c>
      <c r="C845" s="1" t="n">
        <v>45765</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14137-2023</t>
        </is>
      </c>
      <c r="B846" s="1" t="n">
        <v>45009</v>
      </c>
      <c r="C846" s="1" t="n">
        <v>45765</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14142-2023</t>
        </is>
      </c>
      <c r="B847" s="1" t="n">
        <v>45009</v>
      </c>
      <c r="C847" s="1" t="n">
        <v>45765</v>
      </c>
      <c r="D847" t="inlineStr">
        <is>
          <t>KALMAR LÄN</t>
        </is>
      </c>
      <c r="E847" t="inlineStr">
        <is>
          <t>VIMMERBY</t>
        </is>
      </c>
      <c r="G847" t="n">
        <v>3</v>
      </c>
      <c r="H847" t="n">
        <v>0</v>
      </c>
      <c r="I847" t="n">
        <v>0</v>
      </c>
      <c r="J847" t="n">
        <v>0</v>
      </c>
      <c r="K847" t="n">
        <v>0</v>
      </c>
      <c r="L847" t="n">
        <v>0</v>
      </c>
      <c r="M847" t="n">
        <v>0</v>
      </c>
      <c r="N847" t="n">
        <v>0</v>
      </c>
      <c r="O847" t="n">
        <v>0</v>
      </c>
      <c r="P847" t="n">
        <v>0</v>
      </c>
      <c r="Q847" t="n">
        <v>0</v>
      </c>
      <c r="R847" s="2" t="inlineStr"/>
    </row>
    <row r="848" ht="15" customHeight="1">
      <c r="A848" t="inlineStr">
        <is>
          <t>A 14248-2023</t>
        </is>
      </c>
      <c r="B848" s="1" t="n">
        <v>45009</v>
      </c>
      <c r="C848" s="1" t="n">
        <v>45765</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14440-2023</t>
        </is>
      </c>
      <c r="B849" s="1" t="n">
        <v>45012</v>
      </c>
      <c r="C849" s="1" t="n">
        <v>45765</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14438-2023</t>
        </is>
      </c>
      <c r="B850" s="1" t="n">
        <v>45012</v>
      </c>
      <c r="C850" s="1" t="n">
        <v>45765</v>
      </c>
      <c r="D850" t="inlineStr">
        <is>
          <t>KALMAR LÄN</t>
        </is>
      </c>
      <c r="E850" t="inlineStr">
        <is>
          <t>VIMMERBY</t>
        </is>
      </c>
      <c r="G850" t="n">
        <v>1.5</v>
      </c>
      <c r="H850" t="n">
        <v>0</v>
      </c>
      <c r="I850" t="n">
        <v>0</v>
      </c>
      <c r="J850" t="n">
        <v>0</v>
      </c>
      <c r="K850" t="n">
        <v>0</v>
      </c>
      <c r="L850" t="n">
        <v>0</v>
      </c>
      <c r="M850" t="n">
        <v>0</v>
      </c>
      <c r="N850" t="n">
        <v>0</v>
      </c>
      <c r="O850" t="n">
        <v>0</v>
      </c>
      <c r="P850" t="n">
        <v>0</v>
      </c>
      <c r="Q850" t="n">
        <v>0</v>
      </c>
      <c r="R850" s="2" t="inlineStr"/>
    </row>
    <row r="851" ht="15" customHeight="1">
      <c r="A851" t="inlineStr">
        <is>
          <t>A 14996-2023</t>
        </is>
      </c>
      <c r="B851" s="1" t="n">
        <v>45014</v>
      </c>
      <c r="C851" s="1" t="n">
        <v>45765</v>
      </c>
      <c r="D851" t="inlineStr">
        <is>
          <t>KALMAR LÄN</t>
        </is>
      </c>
      <c r="E851" t="inlineStr">
        <is>
          <t>VIMMERBY</t>
        </is>
      </c>
      <c r="G851" t="n">
        <v>6.9</v>
      </c>
      <c r="H851" t="n">
        <v>0</v>
      </c>
      <c r="I851" t="n">
        <v>0</v>
      </c>
      <c r="J851" t="n">
        <v>0</v>
      </c>
      <c r="K851" t="n">
        <v>0</v>
      </c>
      <c r="L851" t="n">
        <v>0</v>
      </c>
      <c r="M851" t="n">
        <v>0</v>
      </c>
      <c r="N851" t="n">
        <v>0</v>
      </c>
      <c r="O851" t="n">
        <v>0</v>
      </c>
      <c r="P851" t="n">
        <v>0</v>
      </c>
      <c r="Q851" t="n">
        <v>0</v>
      </c>
      <c r="R851" s="2" t="inlineStr"/>
    </row>
    <row r="852" ht="15" customHeight="1">
      <c r="A852" t="inlineStr">
        <is>
          <t>A 15493-2023</t>
        </is>
      </c>
      <c r="B852" s="1" t="n">
        <v>45018</v>
      </c>
      <c r="C852" s="1" t="n">
        <v>45765</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15550-2023</t>
        </is>
      </c>
      <c r="B853" s="1" t="n">
        <v>45020</v>
      </c>
      <c r="C853" s="1" t="n">
        <v>45765</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15449-2023</t>
        </is>
      </c>
      <c r="B854" s="1" t="n">
        <v>45020</v>
      </c>
      <c r="C854" s="1" t="n">
        <v>45765</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15486-2023</t>
        </is>
      </c>
      <c r="B855" s="1" t="n">
        <v>45020</v>
      </c>
      <c r="C855" s="1" t="n">
        <v>45765</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15490-2023</t>
        </is>
      </c>
      <c r="B856" s="1" t="n">
        <v>45020</v>
      </c>
      <c r="C856" s="1" t="n">
        <v>45765</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15740-2023</t>
        </is>
      </c>
      <c r="B857" s="1" t="n">
        <v>45021</v>
      </c>
      <c r="C857" s="1" t="n">
        <v>45765</v>
      </c>
      <c r="D857" t="inlineStr">
        <is>
          <t>KALMAR LÄN</t>
        </is>
      </c>
      <c r="E857" t="inlineStr">
        <is>
          <t>VIMMERBY</t>
        </is>
      </c>
      <c r="G857" t="n">
        <v>1.9</v>
      </c>
      <c r="H857" t="n">
        <v>0</v>
      </c>
      <c r="I857" t="n">
        <v>0</v>
      </c>
      <c r="J857" t="n">
        <v>0</v>
      </c>
      <c r="K857" t="n">
        <v>0</v>
      </c>
      <c r="L857" t="n">
        <v>0</v>
      </c>
      <c r="M857" t="n">
        <v>0</v>
      </c>
      <c r="N857" t="n">
        <v>0</v>
      </c>
      <c r="O857" t="n">
        <v>0</v>
      </c>
      <c r="P857" t="n">
        <v>0</v>
      </c>
      <c r="Q857" t="n">
        <v>0</v>
      </c>
      <c r="R857" s="2" t="inlineStr"/>
    </row>
    <row r="858" ht="15" customHeight="1">
      <c r="A858" t="inlineStr">
        <is>
          <t>A 15993-2023</t>
        </is>
      </c>
      <c r="B858" s="1" t="n">
        <v>45023</v>
      </c>
      <c r="C858" s="1" t="n">
        <v>45765</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16020-2023</t>
        </is>
      </c>
      <c r="B859" s="1" t="n">
        <v>45026</v>
      </c>
      <c r="C859" s="1" t="n">
        <v>45765</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16119-2023</t>
        </is>
      </c>
      <c r="B860" s="1" t="n">
        <v>45027</v>
      </c>
      <c r="C860" s="1" t="n">
        <v>45765</v>
      </c>
      <c r="D860" t="inlineStr">
        <is>
          <t>KALMAR LÄN</t>
        </is>
      </c>
      <c r="E860" t="inlineStr">
        <is>
          <t>VIMMERBY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16676-2023</t>
        </is>
      </c>
      <c r="B861" s="1" t="n">
        <v>45028</v>
      </c>
      <c r="C861" s="1" t="n">
        <v>45765</v>
      </c>
      <c r="D861" t="inlineStr">
        <is>
          <t>KALMAR LÄN</t>
        </is>
      </c>
      <c r="E861" t="inlineStr">
        <is>
          <t>VIMMERBY</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16516-2023</t>
        </is>
      </c>
      <c r="B862" s="1" t="n">
        <v>45029</v>
      </c>
      <c r="C862" s="1" t="n">
        <v>45765</v>
      </c>
      <c r="D862" t="inlineStr">
        <is>
          <t>KALMAR LÄN</t>
        </is>
      </c>
      <c r="E862" t="inlineStr">
        <is>
          <t>VIMMERBY</t>
        </is>
      </c>
      <c r="G862" t="n">
        <v>4.3</v>
      </c>
      <c r="H862" t="n">
        <v>0</v>
      </c>
      <c r="I862" t="n">
        <v>0</v>
      </c>
      <c r="J862" t="n">
        <v>0</v>
      </c>
      <c r="K862" t="n">
        <v>0</v>
      </c>
      <c r="L862" t="n">
        <v>0</v>
      </c>
      <c r="M862" t="n">
        <v>0</v>
      </c>
      <c r="N862" t="n">
        <v>0</v>
      </c>
      <c r="O862" t="n">
        <v>0</v>
      </c>
      <c r="P862" t="n">
        <v>0</v>
      </c>
      <c r="Q862" t="n">
        <v>0</v>
      </c>
      <c r="R862" s="2" t="inlineStr"/>
    </row>
    <row r="863" ht="15" customHeight="1">
      <c r="A863" t="inlineStr">
        <is>
          <t>A 16734-2023</t>
        </is>
      </c>
      <c r="B863" s="1" t="n">
        <v>45030</v>
      </c>
      <c r="C863" s="1" t="n">
        <v>45765</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16750-2023</t>
        </is>
      </c>
      <c r="B864" s="1" t="n">
        <v>45030</v>
      </c>
      <c r="C864" s="1" t="n">
        <v>45765</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16927-2023</t>
        </is>
      </c>
      <c r="B865" s="1" t="n">
        <v>45033</v>
      </c>
      <c r="C865" s="1" t="n">
        <v>45765</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16983-2023</t>
        </is>
      </c>
      <c r="B866" s="1" t="n">
        <v>45033</v>
      </c>
      <c r="C866" s="1" t="n">
        <v>45765</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17758-2023</t>
        </is>
      </c>
      <c r="B867" s="1" t="n">
        <v>45037</v>
      </c>
      <c r="C867" s="1" t="n">
        <v>45765</v>
      </c>
      <c r="D867" t="inlineStr">
        <is>
          <t>KALMAR LÄN</t>
        </is>
      </c>
      <c r="E867" t="inlineStr">
        <is>
          <t>VIMMERBY</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17964-2023</t>
        </is>
      </c>
      <c r="B868" s="1" t="n">
        <v>45040</v>
      </c>
      <c r="C868" s="1" t="n">
        <v>45765</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18209-2023</t>
        </is>
      </c>
      <c r="B869" s="1" t="n">
        <v>45041</v>
      </c>
      <c r="C869" s="1" t="n">
        <v>45765</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18330-2023</t>
        </is>
      </c>
      <c r="B870" s="1" t="n">
        <v>45041</v>
      </c>
      <c r="C870" s="1" t="n">
        <v>45765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18329-2023</t>
        </is>
      </c>
      <c r="B871" s="1" t="n">
        <v>45041</v>
      </c>
      <c r="C871" s="1" t="n">
        <v>45765</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18328-2023</t>
        </is>
      </c>
      <c r="B872" s="1" t="n">
        <v>45041</v>
      </c>
      <c r="C872" s="1" t="n">
        <v>45765</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18609-2023</t>
        </is>
      </c>
      <c r="B873" s="1" t="n">
        <v>45041</v>
      </c>
      <c r="C873" s="1" t="n">
        <v>45765</v>
      </c>
      <c r="D873" t="inlineStr">
        <is>
          <t>KALMAR LÄN</t>
        </is>
      </c>
      <c r="E873" t="inlineStr">
        <is>
          <t>VIMMERBY</t>
        </is>
      </c>
      <c r="G873" t="n">
        <v>3</v>
      </c>
      <c r="H873" t="n">
        <v>0</v>
      </c>
      <c r="I873" t="n">
        <v>0</v>
      </c>
      <c r="J873" t="n">
        <v>0</v>
      </c>
      <c r="K873" t="n">
        <v>0</v>
      </c>
      <c r="L873" t="n">
        <v>0</v>
      </c>
      <c r="M873" t="n">
        <v>0</v>
      </c>
      <c r="N873" t="n">
        <v>0</v>
      </c>
      <c r="O873" t="n">
        <v>0</v>
      </c>
      <c r="P873" t="n">
        <v>0</v>
      </c>
      <c r="Q873" t="n">
        <v>0</v>
      </c>
      <c r="R873" s="2" t="inlineStr"/>
    </row>
    <row r="874" ht="15" customHeight="1">
      <c r="A874" t="inlineStr">
        <is>
          <t>A 18731-2023</t>
        </is>
      </c>
      <c r="B874" s="1" t="n">
        <v>45043</v>
      </c>
      <c r="C874" s="1" t="n">
        <v>45765</v>
      </c>
      <c r="D874" t="inlineStr">
        <is>
          <t>KALMAR LÄN</t>
        </is>
      </c>
      <c r="E874" t="inlineStr">
        <is>
          <t>VIMMERBY</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19013-2023</t>
        </is>
      </c>
      <c r="B875" s="1" t="n">
        <v>45045</v>
      </c>
      <c r="C875" s="1" t="n">
        <v>45765</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19162-2023</t>
        </is>
      </c>
      <c r="B876" s="1" t="n">
        <v>45048</v>
      </c>
      <c r="C876" s="1" t="n">
        <v>45765</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19833-2023</t>
        </is>
      </c>
      <c r="B877" s="1" t="n">
        <v>45052</v>
      </c>
      <c r="C877" s="1" t="n">
        <v>45765</v>
      </c>
      <c r="D877" t="inlineStr">
        <is>
          <t>KALMAR LÄN</t>
        </is>
      </c>
      <c r="E877" t="inlineStr">
        <is>
          <t>VIMMERBY</t>
        </is>
      </c>
      <c r="G877" t="n">
        <v>6.7</v>
      </c>
      <c r="H877" t="n">
        <v>0</v>
      </c>
      <c r="I877" t="n">
        <v>0</v>
      </c>
      <c r="J877" t="n">
        <v>0</v>
      </c>
      <c r="K877" t="n">
        <v>0</v>
      </c>
      <c r="L877" t="n">
        <v>0</v>
      </c>
      <c r="M877" t="n">
        <v>0</v>
      </c>
      <c r="N877" t="n">
        <v>0</v>
      </c>
      <c r="O877" t="n">
        <v>0</v>
      </c>
      <c r="P877" t="n">
        <v>0</v>
      </c>
      <c r="Q877" t="n">
        <v>0</v>
      </c>
      <c r="R877" s="2" t="inlineStr"/>
    </row>
    <row r="878" ht="15" customHeight="1">
      <c r="A878" t="inlineStr">
        <is>
          <t>A 20054-2023</t>
        </is>
      </c>
      <c r="B878" s="1" t="n">
        <v>45054</v>
      </c>
      <c r="C878" s="1" t="n">
        <v>45765</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row>
    <row r="879" ht="15" customHeight="1">
      <c r="A879" t="inlineStr">
        <is>
          <t>A 20218-2023</t>
        </is>
      </c>
      <c r="B879" s="1" t="n">
        <v>45055</v>
      </c>
      <c r="C879" s="1" t="n">
        <v>45765</v>
      </c>
      <c r="D879" t="inlineStr">
        <is>
          <t>KALMAR LÄN</t>
        </is>
      </c>
      <c r="E879" t="inlineStr">
        <is>
          <t>VIMMERBY</t>
        </is>
      </c>
      <c r="G879" t="n">
        <v>4.9</v>
      </c>
      <c r="H879" t="n">
        <v>0</v>
      </c>
      <c r="I879" t="n">
        <v>0</v>
      </c>
      <c r="J879" t="n">
        <v>0</v>
      </c>
      <c r="K879" t="n">
        <v>0</v>
      </c>
      <c r="L879" t="n">
        <v>0</v>
      </c>
      <c r="M879" t="n">
        <v>0</v>
      </c>
      <c r="N879" t="n">
        <v>0</v>
      </c>
      <c r="O879" t="n">
        <v>0</v>
      </c>
      <c r="P879" t="n">
        <v>0</v>
      </c>
      <c r="Q879" t="n">
        <v>0</v>
      </c>
      <c r="R879" s="2" t="inlineStr"/>
    </row>
    <row r="880" ht="15" customHeight="1">
      <c r="A880" t="inlineStr">
        <is>
          <t>A 20117-2023</t>
        </is>
      </c>
      <c r="B880" s="1" t="n">
        <v>45055</v>
      </c>
      <c r="C880" s="1" t="n">
        <v>45765</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20215-2023</t>
        </is>
      </c>
      <c r="B881" s="1" t="n">
        <v>45055</v>
      </c>
      <c r="C881" s="1" t="n">
        <v>45765</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20216-2023</t>
        </is>
      </c>
      <c r="B882" s="1" t="n">
        <v>45055</v>
      </c>
      <c r="C882" s="1" t="n">
        <v>45765</v>
      </c>
      <c r="D882" t="inlineStr">
        <is>
          <t>KALMAR LÄN</t>
        </is>
      </c>
      <c r="E882" t="inlineStr">
        <is>
          <t>VIMMERBY</t>
        </is>
      </c>
      <c r="G882" t="n">
        <v>3.1</v>
      </c>
      <c r="H882" t="n">
        <v>0</v>
      </c>
      <c r="I882" t="n">
        <v>0</v>
      </c>
      <c r="J882" t="n">
        <v>0</v>
      </c>
      <c r="K882" t="n">
        <v>0</v>
      </c>
      <c r="L882" t="n">
        <v>0</v>
      </c>
      <c r="M882" t="n">
        <v>0</v>
      </c>
      <c r="N882" t="n">
        <v>0</v>
      </c>
      <c r="O882" t="n">
        <v>0</v>
      </c>
      <c r="P882" t="n">
        <v>0</v>
      </c>
      <c r="Q882" t="n">
        <v>0</v>
      </c>
      <c r="R882" s="2" t="inlineStr"/>
    </row>
    <row r="883" ht="15" customHeight="1">
      <c r="A883" t="inlineStr">
        <is>
          <t>A 20421-2023</t>
        </is>
      </c>
      <c r="B883" s="1" t="n">
        <v>45056</v>
      </c>
      <c r="C883" s="1" t="n">
        <v>45765</v>
      </c>
      <c r="D883" t="inlineStr">
        <is>
          <t>KALMAR LÄN</t>
        </is>
      </c>
      <c r="E883" t="inlineStr">
        <is>
          <t>VIMMERBY</t>
        </is>
      </c>
      <c r="G883" t="n">
        <v>5.2</v>
      </c>
      <c r="H883" t="n">
        <v>0</v>
      </c>
      <c r="I883" t="n">
        <v>0</v>
      </c>
      <c r="J883" t="n">
        <v>0</v>
      </c>
      <c r="K883" t="n">
        <v>0</v>
      </c>
      <c r="L883" t="n">
        <v>0</v>
      </c>
      <c r="M883" t="n">
        <v>0</v>
      </c>
      <c r="N883" t="n">
        <v>0</v>
      </c>
      <c r="O883" t="n">
        <v>0</v>
      </c>
      <c r="P883" t="n">
        <v>0</v>
      </c>
      <c r="Q883" t="n">
        <v>0</v>
      </c>
      <c r="R883" s="2" t="inlineStr"/>
    </row>
    <row r="884" ht="15" customHeight="1">
      <c r="A884" t="inlineStr">
        <is>
          <t>A 20542-2023</t>
        </is>
      </c>
      <c r="B884" s="1" t="n">
        <v>45057</v>
      </c>
      <c r="C884" s="1" t="n">
        <v>45765</v>
      </c>
      <c r="D884" t="inlineStr">
        <is>
          <t>KALMAR LÄN</t>
        </is>
      </c>
      <c r="E884" t="inlineStr">
        <is>
          <t>VIMMERBY</t>
        </is>
      </c>
      <c r="G884" t="n">
        <v>4.4</v>
      </c>
      <c r="H884" t="n">
        <v>0</v>
      </c>
      <c r="I884" t="n">
        <v>0</v>
      </c>
      <c r="J884" t="n">
        <v>0</v>
      </c>
      <c r="K884" t="n">
        <v>0</v>
      </c>
      <c r="L884" t="n">
        <v>0</v>
      </c>
      <c r="M884" t="n">
        <v>0</v>
      </c>
      <c r="N884" t="n">
        <v>0</v>
      </c>
      <c r="O884" t="n">
        <v>0</v>
      </c>
      <c r="P884" t="n">
        <v>0</v>
      </c>
      <c r="Q884" t="n">
        <v>0</v>
      </c>
      <c r="R884" s="2" t="inlineStr"/>
    </row>
    <row r="885" ht="15" customHeight="1">
      <c r="A885" t="inlineStr">
        <is>
          <t>A 20699-2023</t>
        </is>
      </c>
      <c r="B885" s="1" t="n">
        <v>45058</v>
      </c>
      <c r="C885" s="1" t="n">
        <v>45765</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20736-2023</t>
        </is>
      </c>
      <c r="B886" s="1" t="n">
        <v>45058</v>
      </c>
      <c r="C886" s="1" t="n">
        <v>45765</v>
      </c>
      <c r="D886" t="inlineStr">
        <is>
          <t>KALMAR LÄN</t>
        </is>
      </c>
      <c r="E886" t="inlineStr">
        <is>
          <t>VIMMERBY</t>
        </is>
      </c>
      <c r="G886" t="n">
        <v>1.9</v>
      </c>
      <c r="H886" t="n">
        <v>0</v>
      </c>
      <c r="I886" t="n">
        <v>0</v>
      </c>
      <c r="J886" t="n">
        <v>0</v>
      </c>
      <c r="K886" t="n">
        <v>0</v>
      </c>
      <c r="L886" t="n">
        <v>0</v>
      </c>
      <c r="M886" t="n">
        <v>0</v>
      </c>
      <c r="N886" t="n">
        <v>0</v>
      </c>
      <c r="O886" t="n">
        <v>0</v>
      </c>
      <c r="P886" t="n">
        <v>0</v>
      </c>
      <c r="Q886" t="n">
        <v>0</v>
      </c>
      <c r="R886" s="2" t="inlineStr"/>
    </row>
    <row r="887" ht="15" customHeight="1">
      <c r="A887" t="inlineStr">
        <is>
          <t>A 21025-2023</t>
        </is>
      </c>
      <c r="B887" s="1" t="n">
        <v>45061</v>
      </c>
      <c r="C887" s="1" t="n">
        <v>45765</v>
      </c>
      <c r="D887" t="inlineStr">
        <is>
          <t>KALMAR LÄN</t>
        </is>
      </c>
      <c r="E887" t="inlineStr">
        <is>
          <t>VIMMERBY</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21028-2023</t>
        </is>
      </c>
      <c r="B888" s="1" t="n">
        <v>45061</v>
      </c>
      <c r="C888" s="1" t="n">
        <v>45765</v>
      </c>
      <c r="D888" t="inlineStr">
        <is>
          <t>KALMAR LÄN</t>
        </is>
      </c>
      <c r="E888" t="inlineStr">
        <is>
          <t>VIMMERBY</t>
        </is>
      </c>
      <c r="F888" t="inlineStr">
        <is>
          <t>Övriga Aktiebolag</t>
        </is>
      </c>
      <c r="G888" t="n">
        <v>0.7</v>
      </c>
      <c r="H888" t="n">
        <v>0</v>
      </c>
      <c r="I888" t="n">
        <v>0</v>
      </c>
      <c r="J888" t="n">
        <v>0</v>
      </c>
      <c r="K888" t="n">
        <v>0</v>
      </c>
      <c r="L888" t="n">
        <v>0</v>
      </c>
      <c r="M888" t="n">
        <v>0</v>
      </c>
      <c r="N888" t="n">
        <v>0</v>
      </c>
      <c r="O888" t="n">
        <v>0</v>
      </c>
      <c r="P888" t="n">
        <v>0</v>
      </c>
      <c r="Q888" t="n">
        <v>0</v>
      </c>
      <c r="R888" s="2" t="inlineStr"/>
    </row>
    <row r="889" ht="15" customHeight="1">
      <c r="A889" t="inlineStr">
        <is>
          <t>A 21496-2023</t>
        </is>
      </c>
      <c r="B889" s="1" t="n">
        <v>45063</v>
      </c>
      <c r="C889" s="1" t="n">
        <v>45765</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21507-2023</t>
        </is>
      </c>
      <c r="B890" s="1" t="n">
        <v>45063</v>
      </c>
      <c r="C890" s="1" t="n">
        <v>45765</v>
      </c>
      <c r="D890" t="inlineStr">
        <is>
          <t>KALMAR LÄN</t>
        </is>
      </c>
      <c r="E890" t="inlineStr">
        <is>
          <t>VIMMERBY</t>
        </is>
      </c>
      <c r="G890" t="n">
        <v>2.8</v>
      </c>
      <c r="H890" t="n">
        <v>0</v>
      </c>
      <c r="I890" t="n">
        <v>0</v>
      </c>
      <c r="J890" t="n">
        <v>0</v>
      </c>
      <c r="K890" t="n">
        <v>0</v>
      </c>
      <c r="L890" t="n">
        <v>0</v>
      </c>
      <c r="M890" t="n">
        <v>0</v>
      </c>
      <c r="N890" t="n">
        <v>0</v>
      </c>
      <c r="O890" t="n">
        <v>0</v>
      </c>
      <c r="P890" t="n">
        <v>0</v>
      </c>
      <c r="Q890" t="n">
        <v>0</v>
      </c>
      <c r="R890" s="2" t="inlineStr"/>
    </row>
    <row r="891" ht="15" customHeight="1">
      <c r="A891" t="inlineStr">
        <is>
          <t>A 21911-2023</t>
        </is>
      </c>
      <c r="B891" s="1" t="n">
        <v>45068</v>
      </c>
      <c r="C891" s="1" t="n">
        <v>45765</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22415-2023</t>
        </is>
      </c>
      <c r="B892" s="1" t="n">
        <v>45070</v>
      </c>
      <c r="C892" s="1" t="n">
        <v>45765</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22264-2023</t>
        </is>
      </c>
      <c r="B893" s="1" t="n">
        <v>45070</v>
      </c>
      <c r="C893" s="1" t="n">
        <v>45765</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22421-2023</t>
        </is>
      </c>
      <c r="B894" s="1" t="n">
        <v>45070</v>
      </c>
      <c r="C894" s="1" t="n">
        <v>45765</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22266-2023</t>
        </is>
      </c>
      <c r="B895" s="1" t="n">
        <v>45070</v>
      </c>
      <c r="C895" s="1" t="n">
        <v>45765</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22418-2023</t>
        </is>
      </c>
      <c r="B896" s="1" t="n">
        <v>45070</v>
      </c>
      <c r="C896" s="1" t="n">
        <v>45765</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22426-2023</t>
        </is>
      </c>
      <c r="B897" s="1" t="n">
        <v>45070</v>
      </c>
      <c r="C897" s="1" t="n">
        <v>45765</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22423-2023</t>
        </is>
      </c>
      <c r="B898" s="1" t="n">
        <v>45070</v>
      </c>
      <c r="C898" s="1" t="n">
        <v>45765</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c r="U898">
        <f>HYPERLINK("https://klasma.github.io/Logging_0884/knärot/A 22423-2023 karta knärot.png", "A 22423-2023")</f>
        <v/>
      </c>
      <c r="V898">
        <f>HYPERLINK("https://klasma.github.io/Logging_0884/klagomål/A 22423-2023 FSC-klagomål.docx", "A 22423-2023")</f>
        <v/>
      </c>
      <c r="W898">
        <f>HYPERLINK("https://klasma.github.io/Logging_0884/klagomålsmail/A 22423-2023 FSC-klagomål mail.docx", "A 22423-2023")</f>
        <v/>
      </c>
      <c r="X898">
        <f>HYPERLINK("https://klasma.github.io/Logging_0884/tillsyn/A 22423-2023 tillsynsbegäran.docx", "A 22423-2023")</f>
        <v/>
      </c>
      <c r="Y898">
        <f>HYPERLINK("https://klasma.github.io/Logging_0884/tillsynsmail/A 22423-2023 tillsynsbegäran mail.docx", "A 22423-2023")</f>
        <v/>
      </c>
    </row>
    <row r="899" ht="15" customHeight="1">
      <c r="A899" t="inlineStr">
        <is>
          <t>A 22643-2023</t>
        </is>
      </c>
      <c r="B899" s="1" t="n">
        <v>45071</v>
      </c>
      <c r="C899" s="1" t="n">
        <v>45765</v>
      </c>
      <c r="D899" t="inlineStr">
        <is>
          <t>KALMAR LÄN</t>
        </is>
      </c>
      <c r="E899" t="inlineStr">
        <is>
          <t>VIMMERBY</t>
        </is>
      </c>
      <c r="G899" t="n">
        <v>3.9</v>
      </c>
      <c r="H899" t="n">
        <v>0</v>
      </c>
      <c r="I899" t="n">
        <v>0</v>
      </c>
      <c r="J899" t="n">
        <v>0</v>
      </c>
      <c r="K899" t="n">
        <v>0</v>
      </c>
      <c r="L899" t="n">
        <v>0</v>
      </c>
      <c r="M899" t="n">
        <v>0</v>
      </c>
      <c r="N899" t="n">
        <v>0</v>
      </c>
      <c r="O899" t="n">
        <v>0</v>
      </c>
      <c r="P899" t="n">
        <v>0</v>
      </c>
      <c r="Q899" t="n">
        <v>0</v>
      </c>
      <c r="R899" s="2" t="inlineStr"/>
    </row>
    <row r="900" ht="15" customHeight="1">
      <c r="A900" t="inlineStr">
        <is>
          <t>A 22760-2023</t>
        </is>
      </c>
      <c r="B900" s="1" t="n">
        <v>45072</v>
      </c>
      <c r="C900" s="1" t="n">
        <v>45765</v>
      </c>
      <c r="D900" t="inlineStr">
        <is>
          <t>KALMAR LÄN</t>
        </is>
      </c>
      <c r="E900" t="inlineStr">
        <is>
          <t>VIMMERBY</t>
        </is>
      </c>
      <c r="G900" t="n">
        <v>2.5</v>
      </c>
      <c r="H900" t="n">
        <v>0</v>
      </c>
      <c r="I900" t="n">
        <v>0</v>
      </c>
      <c r="J900" t="n">
        <v>0</v>
      </c>
      <c r="K900" t="n">
        <v>0</v>
      </c>
      <c r="L900" t="n">
        <v>0</v>
      </c>
      <c r="M900" t="n">
        <v>0</v>
      </c>
      <c r="N900" t="n">
        <v>0</v>
      </c>
      <c r="O900" t="n">
        <v>0</v>
      </c>
      <c r="P900" t="n">
        <v>0</v>
      </c>
      <c r="Q900" t="n">
        <v>0</v>
      </c>
      <c r="R900" s="2" t="inlineStr"/>
    </row>
    <row r="901" ht="15" customHeight="1">
      <c r="A901" t="inlineStr">
        <is>
          <t>A 23032-2023</t>
        </is>
      </c>
      <c r="B901" s="1" t="n">
        <v>45074</v>
      </c>
      <c r="C901" s="1" t="n">
        <v>45765</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23095-2023</t>
        </is>
      </c>
      <c r="B902" s="1" t="n">
        <v>45075</v>
      </c>
      <c r="C902" s="1" t="n">
        <v>45765</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23425-2023</t>
        </is>
      </c>
      <c r="B903" s="1" t="n">
        <v>45076</v>
      </c>
      <c r="C903" s="1" t="n">
        <v>45765</v>
      </c>
      <c r="D903" t="inlineStr">
        <is>
          <t>KALMAR LÄN</t>
        </is>
      </c>
      <c r="E903" t="inlineStr">
        <is>
          <t>VIMMERBY</t>
        </is>
      </c>
      <c r="G903" t="n">
        <v>4.8</v>
      </c>
      <c r="H903" t="n">
        <v>0</v>
      </c>
      <c r="I903" t="n">
        <v>0</v>
      </c>
      <c r="J903" t="n">
        <v>0</v>
      </c>
      <c r="K903" t="n">
        <v>0</v>
      </c>
      <c r="L903" t="n">
        <v>0</v>
      </c>
      <c r="M903" t="n">
        <v>0</v>
      </c>
      <c r="N903" t="n">
        <v>0</v>
      </c>
      <c r="O903" t="n">
        <v>0</v>
      </c>
      <c r="P903" t="n">
        <v>0</v>
      </c>
      <c r="Q903" t="n">
        <v>0</v>
      </c>
      <c r="R903" s="2" t="inlineStr"/>
    </row>
    <row r="904" ht="15" customHeight="1">
      <c r="A904" t="inlineStr">
        <is>
          <t>A 23539-2023</t>
        </is>
      </c>
      <c r="B904" s="1" t="n">
        <v>45077</v>
      </c>
      <c r="C904" s="1" t="n">
        <v>45765</v>
      </c>
      <c r="D904" t="inlineStr">
        <is>
          <t>KALMAR LÄN</t>
        </is>
      </c>
      <c r="E904" t="inlineStr">
        <is>
          <t>VIMMERBY</t>
        </is>
      </c>
      <c r="G904" t="n">
        <v>6.9</v>
      </c>
      <c r="H904" t="n">
        <v>0</v>
      </c>
      <c r="I904" t="n">
        <v>0</v>
      </c>
      <c r="J904" t="n">
        <v>0</v>
      </c>
      <c r="K904" t="n">
        <v>0</v>
      </c>
      <c r="L904" t="n">
        <v>0</v>
      </c>
      <c r="M904" t="n">
        <v>0</v>
      </c>
      <c r="N904" t="n">
        <v>0</v>
      </c>
      <c r="O904" t="n">
        <v>0</v>
      </c>
      <c r="P904" t="n">
        <v>0</v>
      </c>
      <c r="Q904" t="n">
        <v>0</v>
      </c>
      <c r="R904" s="2" t="inlineStr"/>
    </row>
    <row r="905" ht="15" customHeight="1">
      <c r="A905" t="inlineStr">
        <is>
          <t>A 23695-2023</t>
        </is>
      </c>
      <c r="B905" s="1" t="n">
        <v>45077</v>
      </c>
      <c r="C905" s="1" t="n">
        <v>45765</v>
      </c>
      <c r="D905" t="inlineStr">
        <is>
          <t>KALMAR LÄN</t>
        </is>
      </c>
      <c r="E905" t="inlineStr">
        <is>
          <t>VIMMERBY</t>
        </is>
      </c>
      <c r="G905" t="n">
        <v>7.6</v>
      </c>
      <c r="H905" t="n">
        <v>0</v>
      </c>
      <c r="I905" t="n">
        <v>0</v>
      </c>
      <c r="J905" t="n">
        <v>0</v>
      </c>
      <c r="K905" t="n">
        <v>0</v>
      </c>
      <c r="L905" t="n">
        <v>0</v>
      </c>
      <c r="M905" t="n">
        <v>0</v>
      </c>
      <c r="N905" t="n">
        <v>0</v>
      </c>
      <c r="O905" t="n">
        <v>0</v>
      </c>
      <c r="P905" t="n">
        <v>0</v>
      </c>
      <c r="Q905" t="n">
        <v>0</v>
      </c>
      <c r="R905" s="2" t="inlineStr"/>
    </row>
    <row r="906" ht="15" customHeight="1">
      <c r="A906" t="inlineStr">
        <is>
          <t>A 24283-2023</t>
        </is>
      </c>
      <c r="B906" s="1" t="n">
        <v>45079</v>
      </c>
      <c r="C906" s="1" t="n">
        <v>45765</v>
      </c>
      <c r="D906" t="inlineStr">
        <is>
          <t>KALMAR LÄN</t>
        </is>
      </c>
      <c r="E906" t="inlineStr">
        <is>
          <t>VIMMERBY</t>
        </is>
      </c>
      <c r="G906" t="n">
        <v>2</v>
      </c>
      <c r="H906" t="n">
        <v>0</v>
      </c>
      <c r="I906" t="n">
        <v>0</v>
      </c>
      <c r="J906" t="n">
        <v>0</v>
      </c>
      <c r="K906" t="n">
        <v>0</v>
      </c>
      <c r="L906" t="n">
        <v>0</v>
      </c>
      <c r="M906" t="n">
        <v>0</v>
      </c>
      <c r="N906" t="n">
        <v>0</v>
      </c>
      <c r="O906" t="n">
        <v>0</v>
      </c>
      <c r="P906" t="n">
        <v>0</v>
      </c>
      <c r="Q906" t="n">
        <v>0</v>
      </c>
      <c r="R906" s="2" t="inlineStr"/>
    </row>
    <row r="907" ht="15" customHeight="1">
      <c r="A907" t="inlineStr">
        <is>
          <t>A 24285-2023</t>
        </is>
      </c>
      <c r="B907" s="1" t="n">
        <v>45079</v>
      </c>
      <c r="C907" s="1" t="n">
        <v>45765</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24288-2023</t>
        </is>
      </c>
      <c r="B908" s="1" t="n">
        <v>45080</v>
      </c>
      <c r="C908" s="1" t="n">
        <v>45765</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25109-2023</t>
        </is>
      </c>
      <c r="B909" s="1" t="n">
        <v>45086</v>
      </c>
      <c r="C909" s="1" t="n">
        <v>45765</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25236-2023</t>
        </is>
      </c>
      <c r="B910" s="1" t="n">
        <v>45086</v>
      </c>
      <c r="C910" s="1" t="n">
        <v>45765</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25244-2023</t>
        </is>
      </c>
      <c r="B911" s="1" t="n">
        <v>45086</v>
      </c>
      <c r="C911" s="1" t="n">
        <v>45765</v>
      </c>
      <c r="D911" t="inlineStr">
        <is>
          <t>KALMAR LÄN</t>
        </is>
      </c>
      <c r="E911" t="inlineStr">
        <is>
          <t>VIMMERBY</t>
        </is>
      </c>
      <c r="G911" t="n">
        <v>4.7</v>
      </c>
      <c r="H911" t="n">
        <v>0</v>
      </c>
      <c r="I911" t="n">
        <v>0</v>
      </c>
      <c r="J911" t="n">
        <v>0</v>
      </c>
      <c r="K911" t="n">
        <v>0</v>
      </c>
      <c r="L911" t="n">
        <v>0</v>
      </c>
      <c r="M911" t="n">
        <v>0</v>
      </c>
      <c r="N911" t="n">
        <v>0</v>
      </c>
      <c r="O911" t="n">
        <v>0</v>
      </c>
      <c r="P911" t="n">
        <v>0</v>
      </c>
      <c r="Q911" t="n">
        <v>0</v>
      </c>
      <c r="R911" s="2" t="inlineStr"/>
    </row>
    <row r="912" ht="15" customHeight="1">
      <c r="A912" t="inlineStr">
        <is>
          <t>A 25234-2023</t>
        </is>
      </c>
      <c r="B912" s="1" t="n">
        <v>45086</v>
      </c>
      <c r="C912" s="1" t="n">
        <v>45765</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25885-2023</t>
        </is>
      </c>
      <c r="B913" s="1" t="n">
        <v>45090</v>
      </c>
      <c r="C913" s="1" t="n">
        <v>45765</v>
      </c>
      <c r="D913" t="inlineStr">
        <is>
          <t>KALMAR LÄN</t>
        </is>
      </c>
      <c r="E913" t="inlineStr">
        <is>
          <t>VIMMERBY</t>
        </is>
      </c>
      <c r="G913" t="n">
        <v>4.6</v>
      </c>
      <c r="H913" t="n">
        <v>0</v>
      </c>
      <c r="I913" t="n">
        <v>0</v>
      </c>
      <c r="J913" t="n">
        <v>0</v>
      </c>
      <c r="K913" t="n">
        <v>0</v>
      </c>
      <c r="L913" t="n">
        <v>0</v>
      </c>
      <c r="M913" t="n">
        <v>0</v>
      </c>
      <c r="N913" t="n">
        <v>0</v>
      </c>
      <c r="O913" t="n">
        <v>0</v>
      </c>
      <c r="P913" t="n">
        <v>0</v>
      </c>
      <c r="Q913" t="n">
        <v>0</v>
      </c>
      <c r="R913" s="2" t="inlineStr"/>
    </row>
    <row r="914" ht="15" customHeight="1">
      <c r="A914" t="inlineStr">
        <is>
          <t>A 25799-2023</t>
        </is>
      </c>
      <c r="B914" s="1" t="n">
        <v>45090</v>
      </c>
      <c r="C914" s="1" t="n">
        <v>45765</v>
      </c>
      <c r="D914" t="inlineStr">
        <is>
          <t>KALMAR LÄN</t>
        </is>
      </c>
      <c r="E914" t="inlineStr">
        <is>
          <t>VIMMERBY</t>
        </is>
      </c>
      <c r="G914" t="n">
        <v>7.7</v>
      </c>
      <c r="H914" t="n">
        <v>0</v>
      </c>
      <c r="I914" t="n">
        <v>0</v>
      </c>
      <c r="J914" t="n">
        <v>0</v>
      </c>
      <c r="K914" t="n">
        <v>0</v>
      </c>
      <c r="L914" t="n">
        <v>0</v>
      </c>
      <c r="M914" t="n">
        <v>0</v>
      </c>
      <c r="N914" t="n">
        <v>0</v>
      </c>
      <c r="O914" t="n">
        <v>0</v>
      </c>
      <c r="P914" t="n">
        <v>0</v>
      </c>
      <c r="Q914" t="n">
        <v>0</v>
      </c>
      <c r="R914" s="2" t="inlineStr"/>
    </row>
    <row r="915" ht="15" customHeight="1">
      <c r="A915" t="inlineStr">
        <is>
          <t>A 25979-2023</t>
        </is>
      </c>
      <c r="B915" s="1" t="n">
        <v>45090</v>
      </c>
      <c r="C915" s="1" t="n">
        <v>45765</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25976-2023</t>
        </is>
      </c>
      <c r="B916" s="1" t="n">
        <v>45090</v>
      </c>
      <c r="C916" s="1" t="n">
        <v>45765</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25980-2023</t>
        </is>
      </c>
      <c r="B917" s="1" t="n">
        <v>45090</v>
      </c>
      <c r="C917" s="1" t="n">
        <v>45765</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25977-2023</t>
        </is>
      </c>
      <c r="B918" s="1" t="n">
        <v>45090</v>
      </c>
      <c r="C918" s="1" t="n">
        <v>45765</v>
      </c>
      <c r="D918" t="inlineStr">
        <is>
          <t>KALMAR LÄN</t>
        </is>
      </c>
      <c r="E918" t="inlineStr">
        <is>
          <t>VIMMERBY</t>
        </is>
      </c>
      <c r="G918" t="n">
        <v>0.9</v>
      </c>
      <c r="H918" t="n">
        <v>0</v>
      </c>
      <c r="I918" t="n">
        <v>0</v>
      </c>
      <c r="J918" t="n">
        <v>0</v>
      </c>
      <c r="K918" t="n">
        <v>0</v>
      </c>
      <c r="L918" t="n">
        <v>0</v>
      </c>
      <c r="M918" t="n">
        <v>0</v>
      </c>
      <c r="N918" t="n">
        <v>0</v>
      </c>
      <c r="O918" t="n">
        <v>0</v>
      </c>
      <c r="P918" t="n">
        <v>0</v>
      </c>
      <c r="Q918" t="n">
        <v>0</v>
      </c>
      <c r="R918" s="2" t="inlineStr"/>
    </row>
    <row r="919" ht="15" customHeight="1">
      <c r="A919" t="inlineStr">
        <is>
          <t>A 26318-2023</t>
        </is>
      </c>
      <c r="B919" s="1" t="n">
        <v>45091</v>
      </c>
      <c r="C919" s="1" t="n">
        <v>45765</v>
      </c>
      <c r="D919" t="inlineStr">
        <is>
          <t>KALMAR LÄN</t>
        </is>
      </c>
      <c r="E919" t="inlineStr">
        <is>
          <t>VIMMERBY</t>
        </is>
      </c>
      <c r="G919" t="n">
        <v>3.8</v>
      </c>
      <c r="H919" t="n">
        <v>0</v>
      </c>
      <c r="I919" t="n">
        <v>0</v>
      </c>
      <c r="J919" t="n">
        <v>0</v>
      </c>
      <c r="K919" t="n">
        <v>0</v>
      </c>
      <c r="L919" t="n">
        <v>0</v>
      </c>
      <c r="M919" t="n">
        <v>0</v>
      </c>
      <c r="N919" t="n">
        <v>0</v>
      </c>
      <c r="O919" t="n">
        <v>0</v>
      </c>
      <c r="P919" t="n">
        <v>0</v>
      </c>
      <c r="Q919" t="n">
        <v>0</v>
      </c>
      <c r="R919" s="2" t="inlineStr"/>
    </row>
    <row r="920" ht="15" customHeight="1">
      <c r="A920" t="inlineStr">
        <is>
          <t>A 26626-2023</t>
        </is>
      </c>
      <c r="B920" s="1" t="n">
        <v>45092</v>
      </c>
      <c r="C920" s="1" t="n">
        <v>45765</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26937-2023</t>
        </is>
      </c>
      <c r="B921" s="1" t="n">
        <v>45093</v>
      </c>
      <c r="C921" s="1" t="n">
        <v>45765</v>
      </c>
      <c r="D921" t="inlineStr">
        <is>
          <t>KALMAR LÄN</t>
        </is>
      </c>
      <c r="E921" t="inlineStr">
        <is>
          <t>VIMMERBY</t>
        </is>
      </c>
      <c r="F921" t="inlineStr">
        <is>
          <t>Sveaskog</t>
        </is>
      </c>
      <c r="G921" t="n">
        <v>14.5</v>
      </c>
      <c r="H921" t="n">
        <v>0</v>
      </c>
      <c r="I921" t="n">
        <v>0</v>
      </c>
      <c r="J921" t="n">
        <v>0</v>
      </c>
      <c r="K921" t="n">
        <v>0</v>
      </c>
      <c r="L921" t="n">
        <v>0</v>
      </c>
      <c r="M921" t="n">
        <v>0</v>
      </c>
      <c r="N921" t="n">
        <v>0</v>
      </c>
      <c r="O921" t="n">
        <v>0</v>
      </c>
      <c r="P921" t="n">
        <v>0</v>
      </c>
      <c r="Q921" t="n">
        <v>0</v>
      </c>
      <c r="R921" s="2" t="inlineStr"/>
    </row>
    <row r="922" ht="15" customHeight="1">
      <c r="A922" t="inlineStr">
        <is>
          <t>A 27122-2023</t>
        </is>
      </c>
      <c r="B922" s="1" t="n">
        <v>45096</v>
      </c>
      <c r="C922" s="1" t="n">
        <v>45765</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27138-2023</t>
        </is>
      </c>
      <c r="B923" s="1" t="n">
        <v>45096</v>
      </c>
      <c r="C923" s="1" t="n">
        <v>45765</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28988-2023</t>
        </is>
      </c>
      <c r="B924" s="1" t="n">
        <v>45096</v>
      </c>
      <c r="C924" s="1" t="n">
        <v>45765</v>
      </c>
      <c r="D924" t="inlineStr">
        <is>
          <t>KALMAR LÄN</t>
        </is>
      </c>
      <c r="E924" t="inlineStr">
        <is>
          <t>VIMMERBY</t>
        </is>
      </c>
      <c r="G924" t="n">
        <v>6</v>
      </c>
      <c r="H924" t="n">
        <v>0</v>
      </c>
      <c r="I924" t="n">
        <v>0</v>
      </c>
      <c r="J924" t="n">
        <v>0</v>
      </c>
      <c r="K924" t="n">
        <v>0</v>
      </c>
      <c r="L924" t="n">
        <v>0</v>
      </c>
      <c r="M924" t="n">
        <v>0</v>
      </c>
      <c r="N924" t="n">
        <v>0</v>
      </c>
      <c r="O924" t="n">
        <v>0</v>
      </c>
      <c r="P924" t="n">
        <v>0</v>
      </c>
      <c r="Q924" t="n">
        <v>0</v>
      </c>
      <c r="R924" s="2" t="inlineStr"/>
    </row>
    <row r="925" ht="15" customHeight="1">
      <c r="A925" t="inlineStr">
        <is>
          <t>A 27443-2023</t>
        </is>
      </c>
      <c r="B925" s="1" t="n">
        <v>45097</v>
      </c>
      <c r="C925" s="1" t="n">
        <v>45765</v>
      </c>
      <c r="D925" t="inlineStr">
        <is>
          <t>KALMAR LÄN</t>
        </is>
      </c>
      <c r="E925" t="inlineStr">
        <is>
          <t>VIMMERBY</t>
        </is>
      </c>
      <c r="F925" t="inlineStr">
        <is>
          <t>Övriga Aktiebolag</t>
        </is>
      </c>
      <c r="G925" t="n">
        <v>2.3</v>
      </c>
      <c r="H925" t="n">
        <v>0</v>
      </c>
      <c r="I925" t="n">
        <v>0</v>
      </c>
      <c r="J925" t="n">
        <v>0</v>
      </c>
      <c r="K925" t="n">
        <v>0</v>
      </c>
      <c r="L925" t="n">
        <v>0</v>
      </c>
      <c r="M925" t="n">
        <v>0</v>
      </c>
      <c r="N925" t="n">
        <v>0</v>
      </c>
      <c r="O925" t="n">
        <v>0</v>
      </c>
      <c r="P925" t="n">
        <v>0</v>
      </c>
      <c r="Q925" t="n">
        <v>0</v>
      </c>
      <c r="R925" s="2" t="inlineStr"/>
    </row>
    <row r="926" ht="15" customHeight="1">
      <c r="A926" t="inlineStr">
        <is>
          <t>A 27705-2023</t>
        </is>
      </c>
      <c r="B926" s="1" t="n">
        <v>45098</v>
      </c>
      <c r="C926" s="1" t="n">
        <v>45765</v>
      </c>
      <c r="D926" t="inlineStr">
        <is>
          <t>KALMAR LÄN</t>
        </is>
      </c>
      <c r="E926" t="inlineStr">
        <is>
          <t>VIMMERBY</t>
        </is>
      </c>
      <c r="G926" t="n">
        <v>1</v>
      </c>
      <c r="H926" t="n">
        <v>0</v>
      </c>
      <c r="I926" t="n">
        <v>0</v>
      </c>
      <c r="J926" t="n">
        <v>0</v>
      </c>
      <c r="K926" t="n">
        <v>0</v>
      </c>
      <c r="L926" t="n">
        <v>0</v>
      </c>
      <c r="M926" t="n">
        <v>0</v>
      </c>
      <c r="N926" t="n">
        <v>0</v>
      </c>
      <c r="O926" t="n">
        <v>0</v>
      </c>
      <c r="P926" t="n">
        <v>0</v>
      </c>
      <c r="Q926" t="n">
        <v>0</v>
      </c>
      <c r="R926" s="2" t="inlineStr"/>
    </row>
    <row r="927" ht="15" customHeight="1">
      <c r="A927" t="inlineStr">
        <is>
          <t>A 28123-2023</t>
        </is>
      </c>
      <c r="B927" s="1" t="n">
        <v>45099</v>
      </c>
      <c r="C927" s="1" t="n">
        <v>45765</v>
      </c>
      <c r="D927" t="inlineStr">
        <is>
          <t>KALMAR LÄN</t>
        </is>
      </c>
      <c r="E927" t="inlineStr">
        <is>
          <t>VIMMERBY</t>
        </is>
      </c>
      <c r="G927" t="n">
        <v>2.5</v>
      </c>
      <c r="H927" t="n">
        <v>0</v>
      </c>
      <c r="I927" t="n">
        <v>0</v>
      </c>
      <c r="J927" t="n">
        <v>0</v>
      </c>
      <c r="K927" t="n">
        <v>0</v>
      </c>
      <c r="L927" t="n">
        <v>0</v>
      </c>
      <c r="M927" t="n">
        <v>0</v>
      </c>
      <c r="N927" t="n">
        <v>0</v>
      </c>
      <c r="O927" t="n">
        <v>0</v>
      </c>
      <c r="P927" t="n">
        <v>0</v>
      </c>
      <c r="Q927" t="n">
        <v>0</v>
      </c>
      <c r="R927" s="2" t="inlineStr"/>
    </row>
    <row r="928" ht="15" customHeight="1">
      <c r="A928" t="inlineStr">
        <is>
          <t>A 28129-2023</t>
        </is>
      </c>
      <c r="B928" s="1" t="n">
        <v>45099</v>
      </c>
      <c r="C928" s="1" t="n">
        <v>45765</v>
      </c>
      <c r="D928" t="inlineStr">
        <is>
          <t>KALMAR LÄN</t>
        </is>
      </c>
      <c r="E928" t="inlineStr">
        <is>
          <t>VIMMERBY</t>
        </is>
      </c>
      <c r="G928" t="n">
        <v>1.1</v>
      </c>
      <c r="H928" t="n">
        <v>0</v>
      </c>
      <c r="I928" t="n">
        <v>0</v>
      </c>
      <c r="J928" t="n">
        <v>0</v>
      </c>
      <c r="K928" t="n">
        <v>0</v>
      </c>
      <c r="L928" t="n">
        <v>0</v>
      </c>
      <c r="M928" t="n">
        <v>0</v>
      </c>
      <c r="N928" t="n">
        <v>0</v>
      </c>
      <c r="O928" t="n">
        <v>0</v>
      </c>
      <c r="P928" t="n">
        <v>0</v>
      </c>
      <c r="Q928" t="n">
        <v>0</v>
      </c>
      <c r="R928" s="2" t="inlineStr"/>
    </row>
    <row r="929" ht="15" customHeight="1">
      <c r="A929" t="inlineStr">
        <is>
          <t>A 28395-2023</t>
        </is>
      </c>
      <c r="B929" s="1" t="n">
        <v>45100</v>
      </c>
      <c r="C929" s="1" t="n">
        <v>45765</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28403-2023</t>
        </is>
      </c>
      <c r="B930" s="1" t="n">
        <v>45100</v>
      </c>
      <c r="C930" s="1" t="n">
        <v>45765</v>
      </c>
      <c r="D930" t="inlineStr">
        <is>
          <t>KALMAR LÄN</t>
        </is>
      </c>
      <c r="E930" t="inlineStr">
        <is>
          <t>VIMMERBY</t>
        </is>
      </c>
      <c r="G930" t="n">
        <v>1.8</v>
      </c>
      <c r="H930" t="n">
        <v>0</v>
      </c>
      <c r="I930" t="n">
        <v>0</v>
      </c>
      <c r="J930" t="n">
        <v>0</v>
      </c>
      <c r="K930" t="n">
        <v>0</v>
      </c>
      <c r="L930" t="n">
        <v>0</v>
      </c>
      <c r="M930" t="n">
        <v>0</v>
      </c>
      <c r="N930" t="n">
        <v>0</v>
      </c>
      <c r="O930" t="n">
        <v>0</v>
      </c>
      <c r="P930" t="n">
        <v>0</v>
      </c>
      <c r="Q930" t="n">
        <v>0</v>
      </c>
      <c r="R930" s="2" t="inlineStr"/>
    </row>
    <row r="931" ht="15" customHeight="1">
      <c r="A931" t="inlineStr">
        <is>
          <t>A 29093-2023</t>
        </is>
      </c>
      <c r="B931" s="1" t="n">
        <v>45105</v>
      </c>
      <c r="C931" s="1" t="n">
        <v>45765</v>
      </c>
      <c r="D931" t="inlineStr">
        <is>
          <t>KALMAR LÄN</t>
        </is>
      </c>
      <c r="E931" t="inlineStr">
        <is>
          <t>VIMMERBY</t>
        </is>
      </c>
      <c r="G931" t="n">
        <v>2.9</v>
      </c>
      <c r="H931" t="n">
        <v>0</v>
      </c>
      <c r="I931" t="n">
        <v>0</v>
      </c>
      <c r="J931" t="n">
        <v>0</v>
      </c>
      <c r="K931" t="n">
        <v>0</v>
      </c>
      <c r="L931" t="n">
        <v>0</v>
      </c>
      <c r="M931" t="n">
        <v>0</v>
      </c>
      <c r="N931" t="n">
        <v>0</v>
      </c>
      <c r="O931" t="n">
        <v>0</v>
      </c>
      <c r="P931" t="n">
        <v>0</v>
      </c>
      <c r="Q931" t="n">
        <v>0</v>
      </c>
      <c r="R931" s="2" t="inlineStr"/>
    </row>
    <row r="932" ht="15" customHeight="1">
      <c r="A932" t="inlineStr">
        <is>
          <t>A 29196-2023</t>
        </is>
      </c>
      <c r="B932" s="1" t="n">
        <v>45105</v>
      </c>
      <c r="C932" s="1" t="n">
        <v>45765</v>
      </c>
      <c r="D932" t="inlineStr">
        <is>
          <t>KALMAR LÄN</t>
        </is>
      </c>
      <c r="E932" t="inlineStr">
        <is>
          <t>VIMMERBY</t>
        </is>
      </c>
      <c r="G932" t="n">
        <v>1.5</v>
      </c>
      <c r="H932" t="n">
        <v>0</v>
      </c>
      <c r="I932" t="n">
        <v>0</v>
      </c>
      <c r="J932" t="n">
        <v>0</v>
      </c>
      <c r="K932" t="n">
        <v>0</v>
      </c>
      <c r="L932" t="n">
        <v>0</v>
      </c>
      <c r="M932" t="n">
        <v>0</v>
      </c>
      <c r="N932" t="n">
        <v>0</v>
      </c>
      <c r="O932" t="n">
        <v>0</v>
      </c>
      <c r="P932" t="n">
        <v>0</v>
      </c>
      <c r="Q932" t="n">
        <v>0</v>
      </c>
      <c r="R932" s="2" t="inlineStr"/>
    </row>
    <row r="933" ht="15" customHeight="1">
      <c r="A933" t="inlineStr">
        <is>
          <t>A 29351-2023</t>
        </is>
      </c>
      <c r="B933" s="1" t="n">
        <v>45106</v>
      </c>
      <c r="C933" s="1" t="n">
        <v>45765</v>
      </c>
      <c r="D933" t="inlineStr">
        <is>
          <t>KALMAR LÄN</t>
        </is>
      </c>
      <c r="E933" t="inlineStr">
        <is>
          <t>VIMMERBY</t>
        </is>
      </c>
      <c r="G933" t="n">
        <v>0.4</v>
      </c>
      <c r="H933" t="n">
        <v>0</v>
      </c>
      <c r="I933" t="n">
        <v>0</v>
      </c>
      <c r="J933" t="n">
        <v>0</v>
      </c>
      <c r="K933" t="n">
        <v>0</v>
      </c>
      <c r="L933" t="n">
        <v>0</v>
      </c>
      <c r="M933" t="n">
        <v>0</v>
      </c>
      <c r="N933" t="n">
        <v>0</v>
      </c>
      <c r="O933" t="n">
        <v>0</v>
      </c>
      <c r="P933" t="n">
        <v>0</v>
      </c>
      <c r="Q933" t="n">
        <v>0</v>
      </c>
      <c r="R933" s="2" t="inlineStr"/>
    </row>
    <row r="934" ht="15" customHeight="1">
      <c r="A934" t="inlineStr">
        <is>
          <t>A 29350-2023</t>
        </is>
      </c>
      <c r="B934" s="1" t="n">
        <v>45106</v>
      </c>
      <c r="C934" s="1" t="n">
        <v>45765</v>
      </c>
      <c r="D934" t="inlineStr">
        <is>
          <t>KALMAR LÄN</t>
        </is>
      </c>
      <c r="E934" t="inlineStr">
        <is>
          <t>VIMMERBY</t>
        </is>
      </c>
      <c r="G934" t="n">
        <v>0.8</v>
      </c>
      <c r="H934" t="n">
        <v>0</v>
      </c>
      <c r="I934" t="n">
        <v>0</v>
      </c>
      <c r="J934" t="n">
        <v>0</v>
      </c>
      <c r="K934" t="n">
        <v>0</v>
      </c>
      <c r="L934" t="n">
        <v>0</v>
      </c>
      <c r="M934" t="n">
        <v>0</v>
      </c>
      <c r="N934" t="n">
        <v>0</v>
      </c>
      <c r="O934" t="n">
        <v>0</v>
      </c>
      <c r="P934" t="n">
        <v>0</v>
      </c>
      <c r="Q934" t="n">
        <v>0</v>
      </c>
      <c r="R934" s="2" t="inlineStr"/>
    </row>
    <row r="935" ht="15" customHeight="1">
      <c r="A935" t="inlineStr">
        <is>
          <t>A 29348-2023</t>
        </is>
      </c>
      <c r="B935" s="1" t="n">
        <v>45106</v>
      </c>
      <c r="C935" s="1" t="n">
        <v>45765</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29349-2023</t>
        </is>
      </c>
      <c r="B936" s="1" t="n">
        <v>45106</v>
      </c>
      <c r="C936" s="1" t="n">
        <v>45765</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29973-2023</t>
        </is>
      </c>
      <c r="B937" s="1" t="n">
        <v>45108</v>
      </c>
      <c r="C937" s="1" t="n">
        <v>45765</v>
      </c>
      <c r="D937" t="inlineStr">
        <is>
          <t>KALMAR LÄN</t>
        </is>
      </c>
      <c r="E937" t="inlineStr">
        <is>
          <t>VIMMERBY</t>
        </is>
      </c>
      <c r="G937" t="n">
        <v>4</v>
      </c>
      <c r="H937" t="n">
        <v>0</v>
      </c>
      <c r="I937" t="n">
        <v>0</v>
      </c>
      <c r="J937" t="n">
        <v>0</v>
      </c>
      <c r="K937" t="n">
        <v>0</v>
      </c>
      <c r="L937" t="n">
        <v>0</v>
      </c>
      <c r="M937" t="n">
        <v>0</v>
      </c>
      <c r="N937" t="n">
        <v>0</v>
      </c>
      <c r="O937" t="n">
        <v>0</v>
      </c>
      <c r="P937" t="n">
        <v>0</v>
      </c>
      <c r="Q937" t="n">
        <v>0</v>
      </c>
      <c r="R937" s="2" t="inlineStr"/>
    </row>
    <row r="938" ht="15" customHeight="1">
      <c r="A938" t="inlineStr">
        <is>
          <t>A 30070-2023</t>
        </is>
      </c>
      <c r="B938" s="1" t="n">
        <v>45110</v>
      </c>
      <c r="C938" s="1" t="n">
        <v>45765</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30063-2023</t>
        </is>
      </c>
      <c r="B939" s="1" t="n">
        <v>45110</v>
      </c>
      <c r="C939" s="1" t="n">
        <v>45765</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30090-2023</t>
        </is>
      </c>
      <c r="B940" s="1" t="n">
        <v>45110</v>
      </c>
      <c r="C940" s="1" t="n">
        <v>45765</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30503-2023</t>
        </is>
      </c>
      <c r="B941" s="1" t="n">
        <v>45111</v>
      </c>
      <c r="C941" s="1" t="n">
        <v>45765</v>
      </c>
      <c r="D941" t="inlineStr">
        <is>
          <t>KALMAR LÄN</t>
        </is>
      </c>
      <c r="E941" t="inlineStr">
        <is>
          <t>VIMMERBY</t>
        </is>
      </c>
      <c r="G941" t="n">
        <v>0.5</v>
      </c>
      <c r="H941" t="n">
        <v>0</v>
      </c>
      <c r="I941" t="n">
        <v>0</v>
      </c>
      <c r="J941" t="n">
        <v>0</v>
      </c>
      <c r="K941" t="n">
        <v>0</v>
      </c>
      <c r="L941" t="n">
        <v>0</v>
      </c>
      <c r="M941" t="n">
        <v>0</v>
      </c>
      <c r="N941" t="n">
        <v>0</v>
      </c>
      <c r="O941" t="n">
        <v>0</v>
      </c>
      <c r="P941" t="n">
        <v>0</v>
      </c>
      <c r="Q941" t="n">
        <v>0</v>
      </c>
      <c r="R941" s="2" t="inlineStr"/>
    </row>
    <row r="942" ht="15" customHeight="1">
      <c r="A942" t="inlineStr">
        <is>
          <t>A 30380-2023</t>
        </is>
      </c>
      <c r="B942" s="1" t="n">
        <v>45111</v>
      </c>
      <c r="C942" s="1" t="n">
        <v>45765</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30400-2023</t>
        </is>
      </c>
      <c r="B943" s="1" t="n">
        <v>45111</v>
      </c>
      <c r="C943" s="1" t="n">
        <v>45765</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30318-2023</t>
        </is>
      </c>
      <c r="B944" s="1" t="n">
        <v>45111</v>
      </c>
      <c r="C944" s="1" t="n">
        <v>45765</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30402-2023</t>
        </is>
      </c>
      <c r="B945" s="1" t="n">
        <v>45111</v>
      </c>
      <c r="C945" s="1" t="n">
        <v>45765</v>
      </c>
      <c r="D945" t="inlineStr">
        <is>
          <t>KALMAR LÄN</t>
        </is>
      </c>
      <c r="E945" t="inlineStr">
        <is>
          <t>VIMMERBY</t>
        </is>
      </c>
      <c r="G945" t="n">
        <v>0.7</v>
      </c>
      <c r="H945" t="n">
        <v>0</v>
      </c>
      <c r="I945" t="n">
        <v>0</v>
      </c>
      <c r="J945" t="n">
        <v>0</v>
      </c>
      <c r="K945" t="n">
        <v>0</v>
      </c>
      <c r="L945" t="n">
        <v>0</v>
      </c>
      <c r="M945" t="n">
        <v>0</v>
      </c>
      <c r="N945" t="n">
        <v>0</v>
      </c>
      <c r="O945" t="n">
        <v>0</v>
      </c>
      <c r="P945" t="n">
        <v>0</v>
      </c>
      <c r="Q945" t="n">
        <v>0</v>
      </c>
      <c r="R945" s="2" t="inlineStr"/>
    </row>
    <row r="946" ht="15" customHeight="1">
      <c r="A946" t="inlineStr">
        <is>
          <t>A 30406-2023</t>
        </is>
      </c>
      <c r="B946" s="1" t="n">
        <v>45111</v>
      </c>
      <c r="C946" s="1" t="n">
        <v>45765</v>
      </c>
      <c r="D946" t="inlineStr">
        <is>
          <t>KALMAR LÄN</t>
        </is>
      </c>
      <c r="E946" t="inlineStr">
        <is>
          <t>VIMMERBY</t>
        </is>
      </c>
      <c r="G946" t="n">
        <v>2.4</v>
      </c>
      <c r="H946" t="n">
        <v>0</v>
      </c>
      <c r="I946" t="n">
        <v>0</v>
      </c>
      <c r="J946" t="n">
        <v>0</v>
      </c>
      <c r="K946" t="n">
        <v>0</v>
      </c>
      <c r="L946" t="n">
        <v>0</v>
      </c>
      <c r="M946" t="n">
        <v>0</v>
      </c>
      <c r="N946" t="n">
        <v>0</v>
      </c>
      <c r="O946" t="n">
        <v>0</v>
      </c>
      <c r="P946" t="n">
        <v>0</v>
      </c>
      <c r="Q946" t="n">
        <v>0</v>
      </c>
      <c r="R946" s="2" t="inlineStr"/>
    </row>
    <row r="947" ht="15" customHeight="1">
      <c r="A947" t="inlineStr">
        <is>
          <t>A 30404-2023</t>
        </is>
      </c>
      <c r="B947" s="1" t="n">
        <v>45111</v>
      </c>
      <c r="C947" s="1" t="n">
        <v>45765</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30408-2023</t>
        </is>
      </c>
      <c r="B948" s="1" t="n">
        <v>45111</v>
      </c>
      <c r="C948" s="1" t="n">
        <v>45765</v>
      </c>
      <c r="D948" t="inlineStr">
        <is>
          <t>KALMAR LÄN</t>
        </is>
      </c>
      <c r="E948" t="inlineStr">
        <is>
          <t>VIMMERBY</t>
        </is>
      </c>
      <c r="G948" t="n">
        <v>1.4</v>
      </c>
      <c r="H948" t="n">
        <v>0</v>
      </c>
      <c r="I948" t="n">
        <v>0</v>
      </c>
      <c r="J948" t="n">
        <v>0</v>
      </c>
      <c r="K948" t="n">
        <v>0</v>
      </c>
      <c r="L948" t="n">
        <v>0</v>
      </c>
      <c r="M948" t="n">
        <v>0</v>
      </c>
      <c r="N948" t="n">
        <v>0</v>
      </c>
      <c r="O948" t="n">
        <v>0</v>
      </c>
      <c r="P948" t="n">
        <v>0</v>
      </c>
      <c r="Q948" t="n">
        <v>0</v>
      </c>
      <c r="R948" s="2" t="inlineStr"/>
    </row>
    <row r="949" ht="15" customHeight="1">
      <c r="A949" t="inlineStr">
        <is>
          <t>A 30586-2023</t>
        </is>
      </c>
      <c r="B949" s="1" t="n">
        <v>45112</v>
      </c>
      <c r="C949" s="1" t="n">
        <v>45765</v>
      </c>
      <c r="D949" t="inlineStr">
        <is>
          <t>KALMAR LÄN</t>
        </is>
      </c>
      <c r="E949" t="inlineStr">
        <is>
          <t>VIMMERBY</t>
        </is>
      </c>
      <c r="G949" t="n">
        <v>3.6</v>
      </c>
      <c r="H949" t="n">
        <v>0</v>
      </c>
      <c r="I949" t="n">
        <v>0</v>
      </c>
      <c r="J949" t="n">
        <v>0</v>
      </c>
      <c r="K949" t="n">
        <v>0</v>
      </c>
      <c r="L949" t="n">
        <v>0</v>
      </c>
      <c r="M949" t="n">
        <v>0</v>
      </c>
      <c r="N949" t="n">
        <v>0</v>
      </c>
      <c r="O949" t="n">
        <v>0</v>
      </c>
      <c r="P949" t="n">
        <v>0</v>
      </c>
      <c r="Q949" t="n">
        <v>0</v>
      </c>
      <c r="R949" s="2" t="inlineStr"/>
    </row>
    <row r="950" ht="15" customHeight="1">
      <c r="A950" t="inlineStr">
        <is>
          <t>A 30588-2023</t>
        </is>
      </c>
      <c r="B950" s="1" t="n">
        <v>45112</v>
      </c>
      <c r="C950" s="1" t="n">
        <v>45765</v>
      </c>
      <c r="D950" t="inlineStr">
        <is>
          <t>KALMAR LÄN</t>
        </is>
      </c>
      <c r="E950" t="inlineStr">
        <is>
          <t>VIMMERBY</t>
        </is>
      </c>
      <c r="G950" t="n">
        <v>2.7</v>
      </c>
      <c r="H950" t="n">
        <v>0</v>
      </c>
      <c r="I950" t="n">
        <v>0</v>
      </c>
      <c r="J950" t="n">
        <v>0</v>
      </c>
      <c r="K950" t="n">
        <v>0</v>
      </c>
      <c r="L950" t="n">
        <v>0</v>
      </c>
      <c r="M950" t="n">
        <v>0</v>
      </c>
      <c r="N950" t="n">
        <v>0</v>
      </c>
      <c r="O950" t="n">
        <v>0</v>
      </c>
      <c r="P950" t="n">
        <v>0</v>
      </c>
      <c r="Q950" t="n">
        <v>0</v>
      </c>
      <c r="R950" s="2" t="inlineStr"/>
    </row>
    <row r="951" ht="15" customHeight="1">
      <c r="A951" t="inlineStr">
        <is>
          <t>A 30896-2023</t>
        </is>
      </c>
      <c r="B951" s="1" t="n">
        <v>45113</v>
      </c>
      <c r="C951" s="1" t="n">
        <v>45765</v>
      </c>
      <c r="D951" t="inlineStr">
        <is>
          <t>KALMAR LÄN</t>
        </is>
      </c>
      <c r="E951" t="inlineStr">
        <is>
          <t>VIMMERBY</t>
        </is>
      </c>
      <c r="G951" t="n">
        <v>3.2</v>
      </c>
      <c r="H951" t="n">
        <v>0</v>
      </c>
      <c r="I951" t="n">
        <v>0</v>
      </c>
      <c r="J951" t="n">
        <v>0</v>
      </c>
      <c r="K951" t="n">
        <v>0</v>
      </c>
      <c r="L951" t="n">
        <v>0</v>
      </c>
      <c r="M951" t="n">
        <v>0</v>
      </c>
      <c r="N951" t="n">
        <v>0</v>
      </c>
      <c r="O951" t="n">
        <v>0</v>
      </c>
      <c r="P951" t="n">
        <v>0</v>
      </c>
      <c r="Q951" t="n">
        <v>0</v>
      </c>
      <c r="R951" s="2" t="inlineStr"/>
    </row>
    <row r="952" ht="15" customHeight="1">
      <c r="A952" t="inlineStr">
        <is>
          <t>A 30899-2023</t>
        </is>
      </c>
      <c r="B952" s="1" t="n">
        <v>45113</v>
      </c>
      <c r="C952" s="1" t="n">
        <v>45765</v>
      </c>
      <c r="D952" t="inlineStr">
        <is>
          <t>KALMAR LÄN</t>
        </is>
      </c>
      <c r="E952" t="inlineStr">
        <is>
          <t>VIMMERBY</t>
        </is>
      </c>
      <c r="G952" t="n">
        <v>0.9</v>
      </c>
      <c r="H952" t="n">
        <v>0</v>
      </c>
      <c r="I952" t="n">
        <v>0</v>
      </c>
      <c r="J952" t="n">
        <v>0</v>
      </c>
      <c r="K952" t="n">
        <v>0</v>
      </c>
      <c r="L952" t="n">
        <v>0</v>
      </c>
      <c r="M952" t="n">
        <v>0</v>
      </c>
      <c r="N952" t="n">
        <v>0</v>
      </c>
      <c r="O952" t="n">
        <v>0</v>
      </c>
      <c r="P952" t="n">
        <v>0</v>
      </c>
      <c r="Q952" t="n">
        <v>0</v>
      </c>
      <c r="R952" s="2" t="inlineStr"/>
    </row>
    <row r="953" ht="15" customHeight="1">
      <c r="A953" t="inlineStr">
        <is>
          <t>A 30912-2023</t>
        </is>
      </c>
      <c r="B953" s="1" t="n">
        <v>45113</v>
      </c>
      <c r="C953" s="1" t="n">
        <v>45765</v>
      </c>
      <c r="D953" t="inlineStr">
        <is>
          <t>KALMAR LÄN</t>
        </is>
      </c>
      <c r="E953" t="inlineStr">
        <is>
          <t>VIMMERBY</t>
        </is>
      </c>
      <c r="G953" t="n">
        <v>5</v>
      </c>
      <c r="H953" t="n">
        <v>0</v>
      </c>
      <c r="I953" t="n">
        <v>0</v>
      </c>
      <c r="J953" t="n">
        <v>0</v>
      </c>
      <c r="K953" t="n">
        <v>0</v>
      </c>
      <c r="L953" t="n">
        <v>0</v>
      </c>
      <c r="M953" t="n">
        <v>0</v>
      </c>
      <c r="N953" t="n">
        <v>0</v>
      </c>
      <c r="O953" t="n">
        <v>0</v>
      </c>
      <c r="P953" t="n">
        <v>0</v>
      </c>
      <c r="Q953" t="n">
        <v>0</v>
      </c>
      <c r="R953" s="2" t="inlineStr"/>
    </row>
    <row r="954" ht="15" customHeight="1">
      <c r="A954" t="inlineStr">
        <is>
          <t>A 30920-2023</t>
        </is>
      </c>
      <c r="B954" s="1" t="n">
        <v>45113</v>
      </c>
      <c r="C954" s="1" t="n">
        <v>45765</v>
      </c>
      <c r="D954" t="inlineStr">
        <is>
          <t>KALMAR LÄN</t>
        </is>
      </c>
      <c r="E954" t="inlineStr">
        <is>
          <t>VIMMERBY</t>
        </is>
      </c>
      <c r="G954" t="n">
        <v>3.1</v>
      </c>
      <c r="H954" t="n">
        <v>0</v>
      </c>
      <c r="I954" t="n">
        <v>0</v>
      </c>
      <c r="J954" t="n">
        <v>0</v>
      </c>
      <c r="K954" t="n">
        <v>0</v>
      </c>
      <c r="L954" t="n">
        <v>0</v>
      </c>
      <c r="M954" t="n">
        <v>0</v>
      </c>
      <c r="N954" t="n">
        <v>0</v>
      </c>
      <c r="O954" t="n">
        <v>0</v>
      </c>
      <c r="P954" t="n">
        <v>0</v>
      </c>
      <c r="Q954" t="n">
        <v>0</v>
      </c>
      <c r="R954" s="2" t="inlineStr"/>
    </row>
    <row r="955" ht="15" customHeight="1">
      <c r="A955" t="inlineStr">
        <is>
          <t>A 30894-2023</t>
        </is>
      </c>
      <c r="B955" s="1" t="n">
        <v>45113</v>
      </c>
      <c r="C955" s="1" t="n">
        <v>45765</v>
      </c>
      <c r="D955" t="inlineStr">
        <is>
          <t>KALMAR LÄN</t>
        </is>
      </c>
      <c r="E955" t="inlineStr">
        <is>
          <t>VIMMERBY</t>
        </is>
      </c>
      <c r="G955" t="n">
        <v>4.9</v>
      </c>
      <c r="H955" t="n">
        <v>0</v>
      </c>
      <c r="I955" t="n">
        <v>0</v>
      </c>
      <c r="J955" t="n">
        <v>0</v>
      </c>
      <c r="K955" t="n">
        <v>0</v>
      </c>
      <c r="L955" t="n">
        <v>0</v>
      </c>
      <c r="M955" t="n">
        <v>0</v>
      </c>
      <c r="N955" t="n">
        <v>0</v>
      </c>
      <c r="O955" t="n">
        <v>0</v>
      </c>
      <c r="P955" t="n">
        <v>0</v>
      </c>
      <c r="Q955" t="n">
        <v>0</v>
      </c>
      <c r="R955" s="2" t="inlineStr"/>
    </row>
    <row r="956" ht="15" customHeight="1">
      <c r="A956" t="inlineStr">
        <is>
          <t>A 30898-2023</t>
        </is>
      </c>
      <c r="B956" s="1" t="n">
        <v>45113</v>
      </c>
      <c r="C956" s="1" t="n">
        <v>45765</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31013-2023</t>
        </is>
      </c>
      <c r="B957" s="1" t="n">
        <v>45113</v>
      </c>
      <c r="C957" s="1" t="n">
        <v>45765</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31017-2023</t>
        </is>
      </c>
      <c r="B958" s="1" t="n">
        <v>45113</v>
      </c>
      <c r="C958" s="1" t="n">
        <v>45765</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31340-2023</t>
        </is>
      </c>
      <c r="B959" s="1" t="n">
        <v>45114</v>
      </c>
      <c r="C959" s="1" t="n">
        <v>45765</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31369-2023</t>
        </is>
      </c>
      <c r="B960" s="1" t="n">
        <v>45114</v>
      </c>
      <c r="C960" s="1" t="n">
        <v>45765</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31377-2023</t>
        </is>
      </c>
      <c r="B961" s="1" t="n">
        <v>45114</v>
      </c>
      <c r="C961" s="1" t="n">
        <v>45765</v>
      </c>
      <c r="D961" t="inlineStr">
        <is>
          <t>KALMAR LÄN</t>
        </is>
      </c>
      <c r="E961" t="inlineStr">
        <is>
          <t>VIMMERBY</t>
        </is>
      </c>
      <c r="G961" t="n">
        <v>2</v>
      </c>
      <c r="H961" t="n">
        <v>0</v>
      </c>
      <c r="I961" t="n">
        <v>0</v>
      </c>
      <c r="J961" t="n">
        <v>0</v>
      </c>
      <c r="K961" t="n">
        <v>0</v>
      </c>
      <c r="L961" t="n">
        <v>0</v>
      </c>
      <c r="M961" t="n">
        <v>0</v>
      </c>
      <c r="N961" t="n">
        <v>0</v>
      </c>
      <c r="O961" t="n">
        <v>0</v>
      </c>
      <c r="P961" t="n">
        <v>0</v>
      </c>
      <c r="Q961" t="n">
        <v>0</v>
      </c>
      <c r="R961" s="2" t="inlineStr"/>
    </row>
    <row r="962" ht="15" customHeight="1">
      <c r="A962" t="inlineStr">
        <is>
          <t>A 31382-2023</t>
        </is>
      </c>
      <c r="B962" s="1" t="n">
        <v>45114</v>
      </c>
      <c r="C962" s="1" t="n">
        <v>45765</v>
      </c>
      <c r="D962" t="inlineStr">
        <is>
          <t>KALMAR LÄN</t>
        </is>
      </c>
      <c r="E962" t="inlineStr">
        <is>
          <t>VIMMERBY</t>
        </is>
      </c>
      <c r="G962" t="n">
        <v>3.7</v>
      </c>
      <c r="H962" t="n">
        <v>0</v>
      </c>
      <c r="I962" t="n">
        <v>0</v>
      </c>
      <c r="J962" t="n">
        <v>0</v>
      </c>
      <c r="K962" t="n">
        <v>0</v>
      </c>
      <c r="L962" t="n">
        <v>0</v>
      </c>
      <c r="M962" t="n">
        <v>0</v>
      </c>
      <c r="N962" t="n">
        <v>0</v>
      </c>
      <c r="O962" t="n">
        <v>0</v>
      </c>
      <c r="P962" t="n">
        <v>0</v>
      </c>
      <c r="Q962" t="n">
        <v>0</v>
      </c>
      <c r="R962" s="2" t="inlineStr"/>
    </row>
    <row r="963" ht="15" customHeight="1">
      <c r="A963" t="inlineStr">
        <is>
          <t>A 31405-2023</t>
        </is>
      </c>
      <c r="B963" s="1" t="n">
        <v>45114</v>
      </c>
      <c r="C963" s="1" t="n">
        <v>45765</v>
      </c>
      <c r="D963" t="inlineStr">
        <is>
          <t>KALMAR LÄN</t>
        </is>
      </c>
      <c r="E963" t="inlineStr">
        <is>
          <t>VIMMERBY</t>
        </is>
      </c>
      <c r="G963" t="n">
        <v>2.6</v>
      </c>
      <c r="H963" t="n">
        <v>0</v>
      </c>
      <c r="I963" t="n">
        <v>0</v>
      </c>
      <c r="J963" t="n">
        <v>0</v>
      </c>
      <c r="K963" t="n">
        <v>0</v>
      </c>
      <c r="L963" t="n">
        <v>0</v>
      </c>
      <c r="M963" t="n">
        <v>0</v>
      </c>
      <c r="N963" t="n">
        <v>0</v>
      </c>
      <c r="O963" t="n">
        <v>0</v>
      </c>
      <c r="P963" t="n">
        <v>0</v>
      </c>
      <c r="Q963" t="n">
        <v>0</v>
      </c>
      <c r="R963" s="2" t="inlineStr"/>
    </row>
    <row r="964" ht="15" customHeight="1">
      <c r="A964" t="inlineStr">
        <is>
          <t>A 31336-2023</t>
        </is>
      </c>
      <c r="B964" s="1" t="n">
        <v>45114</v>
      </c>
      <c r="C964" s="1" t="n">
        <v>45765</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31355-2023</t>
        </is>
      </c>
      <c r="B965" s="1" t="n">
        <v>45114</v>
      </c>
      <c r="C965" s="1" t="n">
        <v>45765</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31390-2023</t>
        </is>
      </c>
      <c r="B966" s="1" t="n">
        <v>45114</v>
      </c>
      <c r="C966" s="1" t="n">
        <v>45765</v>
      </c>
      <c r="D966" t="inlineStr">
        <is>
          <t>KALMAR LÄN</t>
        </is>
      </c>
      <c r="E966" t="inlineStr">
        <is>
          <t>VIMMERBY</t>
        </is>
      </c>
      <c r="G966" t="n">
        <v>3.1</v>
      </c>
      <c r="H966" t="n">
        <v>0</v>
      </c>
      <c r="I966" t="n">
        <v>0</v>
      </c>
      <c r="J966" t="n">
        <v>0</v>
      </c>
      <c r="K966" t="n">
        <v>0</v>
      </c>
      <c r="L966" t="n">
        <v>0</v>
      </c>
      <c r="M966" t="n">
        <v>0</v>
      </c>
      <c r="N966" t="n">
        <v>0</v>
      </c>
      <c r="O966" t="n">
        <v>0</v>
      </c>
      <c r="P966" t="n">
        <v>0</v>
      </c>
      <c r="Q966" t="n">
        <v>0</v>
      </c>
      <c r="R966" s="2" t="inlineStr"/>
    </row>
    <row r="967" ht="15" customHeight="1">
      <c r="A967" t="inlineStr">
        <is>
          <t>A 31408-2023</t>
        </is>
      </c>
      <c r="B967" s="1" t="n">
        <v>45114</v>
      </c>
      <c r="C967" s="1" t="n">
        <v>45765</v>
      </c>
      <c r="D967" t="inlineStr">
        <is>
          <t>KALMAR LÄN</t>
        </is>
      </c>
      <c r="E967" t="inlineStr">
        <is>
          <t>VIMMERBY</t>
        </is>
      </c>
      <c r="G967" t="n">
        <v>4.4</v>
      </c>
      <c r="H967" t="n">
        <v>0</v>
      </c>
      <c r="I967" t="n">
        <v>0</v>
      </c>
      <c r="J967" t="n">
        <v>0</v>
      </c>
      <c r="K967" t="n">
        <v>0</v>
      </c>
      <c r="L967" t="n">
        <v>0</v>
      </c>
      <c r="M967" t="n">
        <v>0</v>
      </c>
      <c r="N967" t="n">
        <v>0</v>
      </c>
      <c r="O967" t="n">
        <v>0</v>
      </c>
      <c r="P967" t="n">
        <v>0</v>
      </c>
      <c r="Q967" t="n">
        <v>0</v>
      </c>
      <c r="R967" s="2" t="inlineStr"/>
    </row>
    <row r="968" ht="15" customHeight="1">
      <c r="A968" t="inlineStr">
        <is>
          <t>A 31682-2023</t>
        </is>
      </c>
      <c r="B968" s="1" t="n">
        <v>45117</v>
      </c>
      <c r="C968" s="1" t="n">
        <v>45765</v>
      </c>
      <c r="D968" t="inlineStr">
        <is>
          <t>KALMAR LÄN</t>
        </is>
      </c>
      <c r="E968" t="inlineStr">
        <is>
          <t>VIMMERBY</t>
        </is>
      </c>
      <c r="G968" t="n">
        <v>2.2</v>
      </c>
      <c r="H968" t="n">
        <v>0</v>
      </c>
      <c r="I968" t="n">
        <v>0</v>
      </c>
      <c r="J968" t="n">
        <v>0</v>
      </c>
      <c r="K968" t="n">
        <v>0</v>
      </c>
      <c r="L968" t="n">
        <v>0</v>
      </c>
      <c r="M968" t="n">
        <v>0</v>
      </c>
      <c r="N968" t="n">
        <v>0</v>
      </c>
      <c r="O968" t="n">
        <v>0</v>
      </c>
      <c r="P968" t="n">
        <v>0</v>
      </c>
      <c r="Q968" t="n">
        <v>0</v>
      </c>
      <c r="R968" s="2" t="inlineStr"/>
    </row>
    <row r="969" ht="15" customHeight="1">
      <c r="A969" t="inlineStr">
        <is>
          <t>A 32633-2023</t>
        </is>
      </c>
      <c r="B969" s="1" t="n">
        <v>45121</v>
      </c>
      <c r="C969" s="1" t="n">
        <v>45765</v>
      </c>
      <c r="D969" t="inlineStr">
        <is>
          <t>KALMAR LÄN</t>
        </is>
      </c>
      <c r="E969" t="inlineStr">
        <is>
          <t>VIMMERBY</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32651-2023</t>
        </is>
      </c>
      <c r="B970" s="1" t="n">
        <v>45121</v>
      </c>
      <c r="C970" s="1" t="n">
        <v>45765</v>
      </c>
      <c r="D970" t="inlineStr">
        <is>
          <t>KALMAR LÄN</t>
        </is>
      </c>
      <c r="E970" t="inlineStr">
        <is>
          <t>VIMMERBY</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32655-2023</t>
        </is>
      </c>
      <c r="B971" s="1" t="n">
        <v>45121</v>
      </c>
      <c r="C971" s="1" t="n">
        <v>45765</v>
      </c>
      <c r="D971" t="inlineStr">
        <is>
          <t>KALMAR LÄN</t>
        </is>
      </c>
      <c r="E971" t="inlineStr">
        <is>
          <t>VIMMERBY</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32669-2023</t>
        </is>
      </c>
      <c r="B972" s="1" t="n">
        <v>45121</v>
      </c>
      <c r="C972" s="1" t="n">
        <v>45765</v>
      </c>
      <c r="D972" t="inlineStr">
        <is>
          <t>KALMAR LÄN</t>
        </is>
      </c>
      <c r="E972" t="inlineStr">
        <is>
          <t>VIMMERBY</t>
        </is>
      </c>
      <c r="G972" t="n">
        <v>1.8</v>
      </c>
      <c r="H972" t="n">
        <v>0</v>
      </c>
      <c r="I972" t="n">
        <v>0</v>
      </c>
      <c r="J972" t="n">
        <v>0</v>
      </c>
      <c r="K972" t="n">
        <v>0</v>
      </c>
      <c r="L972" t="n">
        <v>0</v>
      </c>
      <c r="M972" t="n">
        <v>0</v>
      </c>
      <c r="N972" t="n">
        <v>0</v>
      </c>
      <c r="O972" t="n">
        <v>0</v>
      </c>
      <c r="P972" t="n">
        <v>0</v>
      </c>
      <c r="Q972" t="n">
        <v>0</v>
      </c>
      <c r="R972" s="2" t="inlineStr"/>
    </row>
    <row r="973" ht="15" customHeight="1">
      <c r="A973" t="inlineStr">
        <is>
          <t>A 32614-2023</t>
        </is>
      </c>
      <c r="B973" s="1" t="n">
        <v>45121</v>
      </c>
      <c r="C973" s="1" t="n">
        <v>45765</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32642-2023</t>
        </is>
      </c>
      <c r="B974" s="1" t="n">
        <v>45121</v>
      </c>
      <c r="C974" s="1" t="n">
        <v>45765</v>
      </c>
      <c r="D974" t="inlineStr">
        <is>
          <t>KALMAR LÄN</t>
        </is>
      </c>
      <c r="E974" t="inlineStr">
        <is>
          <t>VIMMERBY</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32639-2023</t>
        </is>
      </c>
      <c r="B975" s="1" t="n">
        <v>45121</v>
      </c>
      <c r="C975" s="1" t="n">
        <v>45765</v>
      </c>
      <c r="D975" t="inlineStr">
        <is>
          <t>KALMAR LÄN</t>
        </is>
      </c>
      <c r="E975" t="inlineStr">
        <is>
          <t>VIMMERBY</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32865-2023</t>
        </is>
      </c>
      <c r="B976" s="1" t="n">
        <v>45124</v>
      </c>
      <c r="C976" s="1" t="n">
        <v>45765</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32984-2023</t>
        </is>
      </c>
      <c r="B977" s="1" t="n">
        <v>45125</v>
      </c>
      <c r="C977" s="1" t="n">
        <v>45765</v>
      </c>
      <c r="D977" t="inlineStr">
        <is>
          <t>KALMAR LÄN</t>
        </is>
      </c>
      <c r="E977" t="inlineStr">
        <is>
          <t>VIMMERBY</t>
        </is>
      </c>
      <c r="G977" t="n">
        <v>1.7</v>
      </c>
      <c r="H977" t="n">
        <v>0</v>
      </c>
      <c r="I977" t="n">
        <v>0</v>
      </c>
      <c r="J977" t="n">
        <v>0</v>
      </c>
      <c r="K977" t="n">
        <v>0</v>
      </c>
      <c r="L977" t="n">
        <v>0</v>
      </c>
      <c r="M977" t="n">
        <v>0</v>
      </c>
      <c r="N977" t="n">
        <v>0</v>
      </c>
      <c r="O977" t="n">
        <v>0</v>
      </c>
      <c r="P977" t="n">
        <v>0</v>
      </c>
      <c r="Q977" t="n">
        <v>0</v>
      </c>
      <c r="R977" s="2" t="inlineStr"/>
    </row>
    <row r="978" ht="15" customHeight="1">
      <c r="A978" t="inlineStr">
        <is>
          <t>A 33236-2023</t>
        </is>
      </c>
      <c r="B978" s="1" t="n">
        <v>45127</v>
      </c>
      <c r="C978" s="1" t="n">
        <v>45765</v>
      </c>
      <c r="D978" t="inlineStr">
        <is>
          <t>KALMAR LÄN</t>
        </is>
      </c>
      <c r="E978" t="inlineStr">
        <is>
          <t>VIMMERBY</t>
        </is>
      </c>
      <c r="G978" t="n">
        <v>2.5</v>
      </c>
      <c r="H978" t="n">
        <v>0</v>
      </c>
      <c r="I978" t="n">
        <v>0</v>
      </c>
      <c r="J978" t="n">
        <v>0</v>
      </c>
      <c r="K978" t="n">
        <v>0</v>
      </c>
      <c r="L978" t="n">
        <v>0</v>
      </c>
      <c r="M978" t="n">
        <v>0</v>
      </c>
      <c r="N978" t="n">
        <v>0</v>
      </c>
      <c r="O978" t="n">
        <v>0</v>
      </c>
      <c r="P978" t="n">
        <v>0</v>
      </c>
      <c r="Q978" t="n">
        <v>0</v>
      </c>
      <c r="R978" s="2" t="inlineStr"/>
    </row>
    <row r="979" ht="15" customHeight="1">
      <c r="A979" t="inlineStr">
        <is>
          <t>A 33340-2023</t>
        </is>
      </c>
      <c r="B979" s="1" t="n">
        <v>45128</v>
      </c>
      <c r="C979" s="1" t="n">
        <v>45765</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33383-2023</t>
        </is>
      </c>
      <c r="B980" s="1" t="n">
        <v>45128</v>
      </c>
      <c r="C980" s="1" t="n">
        <v>45765</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33380-2023</t>
        </is>
      </c>
      <c r="B981" s="1" t="n">
        <v>45128</v>
      </c>
      <c r="C981" s="1" t="n">
        <v>45765</v>
      </c>
      <c r="D981" t="inlineStr">
        <is>
          <t>KALMAR LÄN</t>
        </is>
      </c>
      <c r="E981" t="inlineStr">
        <is>
          <t>VIMMERBY</t>
        </is>
      </c>
      <c r="G981" t="n">
        <v>5.2</v>
      </c>
      <c r="H981" t="n">
        <v>0</v>
      </c>
      <c r="I981" t="n">
        <v>0</v>
      </c>
      <c r="J981" t="n">
        <v>0</v>
      </c>
      <c r="K981" t="n">
        <v>0</v>
      </c>
      <c r="L981" t="n">
        <v>0</v>
      </c>
      <c r="M981" t="n">
        <v>0</v>
      </c>
      <c r="N981" t="n">
        <v>0</v>
      </c>
      <c r="O981" t="n">
        <v>0</v>
      </c>
      <c r="P981" t="n">
        <v>0</v>
      </c>
      <c r="Q981" t="n">
        <v>0</v>
      </c>
      <c r="R981" s="2" t="inlineStr"/>
    </row>
    <row r="982" ht="15" customHeight="1">
      <c r="A982" t="inlineStr">
        <is>
          <t>A 33417-2023</t>
        </is>
      </c>
      <c r="B982" s="1" t="n">
        <v>45128</v>
      </c>
      <c r="C982" s="1" t="n">
        <v>45765</v>
      </c>
      <c r="D982" t="inlineStr">
        <is>
          <t>KALMAR LÄN</t>
        </is>
      </c>
      <c r="E982" t="inlineStr">
        <is>
          <t>VIMMERBY</t>
        </is>
      </c>
      <c r="G982" t="n">
        <v>4.8</v>
      </c>
      <c r="H982" t="n">
        <v>0</v>
      </c>
      <c r="I982" t="n">
        <v>0</v>
      </c>
      <c r="J982" t="n">
        <v>0</v>
      </c>
      <c r="K982" t="n">
        <v>0</v>
      </c>
      <c r="L982" t="n">
        <v>0</v>
      </c>
      <c r="M982" t="n">
        <v>0</v>
      </c>
      <c r="N982" t="n">
        <v>0</v>
      </c>
      <c r="O982" t="n">
        <v>0</v>
      </c>
      <c r="P982" t="n">
        <v>0</v>
      </c>
      <c r="Q982" t="n">
        <v>0</v>
      </c>
      <c r="R982" s="2" t="inlineStr"/>
    </row>
    <row r="983" ht="15" customHeight="1">
      <c r="A983" t="inlineStr">
        <is>
          <t>A 33425-2023</t>
        </is>
      </c>
      <c r="B983" s="1" t="n">
        <v>45129</v>
      </c>
      <c r="C983" s="1" t="n">
        <v>45765</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33424-2023</t>
        </is>
      </c>
      <c r="B984" s="1" t="n">
        <v>45129</v>
      </c>
      <c r="C984" s="1" t="n">
        <v>45765</v>
      </c>
      <c r="D984" t="inlineStr">
        <is>
          <t>KALMAR LÄN</t>
        </is>
      </c>
      <c r="E984" t="inlineStr">
        <is>
          <t>VIMMERBY</t>
        </is>
      </c>
      <c r="G984" t="n">
        <v>2.4</v>
      </c>
      <c r="H984" t="n">
        <v>0</v>
      </c>
      <c r="I984" t="n">
        <v>0</v>
      </c>
      <c r="J984" t="n">
        <v>0</v>
      </c>
      <c r="K984" t="n">
        <v>0</v>
      </c>
      <c r="L984" t="n">
        <v>0</v>
      </c>
      <c r="M984" t="n">
        <v>0</v>
      </c>
      <c r="N984" t="n">
        <v>0</v>
      </c>
      <c r="O984" t="n">
        <v>0</v>
      </c>
      <c r="P984" t="n">
        <v>0</v>
      </c>
      <c r="Q984" t="n">
        <v>0</v>
      </c>
      <c r="R984" s="2" t="inlineStr"/>
    </row>
    <row r="985" ht="15" customHeight="1">
      <c r="A985" t="inlineStr">
        <is>
          <t>A 33649-2023</t>
        </is>
      </c>
      <c r="B985" s="1" t="n">
        <v>45132</v>
      </c>
      <c r="C985" s="1" t="n">
        <v>45765</v>
      </c>
      <c r="D985" t="inlineStr">
        <is>
          <t>KALMAR LÄN</t>
        </is>
      </c>
      <c r="E985" t="inlineStr">
        <is>
          <t>VIMMERBY</t>
        </is>
      </c>
      <c r="G985" t="n">
        <v>4.9</v>
      </c>
      <c r="H985" t="n">
        <v>0</v>
      </c>
      <c r="I985" t="n">
        <v>0</v>
      </c>
      <c r="J985" t="n">
        <v>0</v>
      </c>
      <c r="K985" t="n">
        <v>0</v>
      </c>
      <c r="L985" t="n">
        <v>0</v>
      </c>
      <c r="M985" t="n">
        <v>0</v>
      </c>
      <c r="N985" t="n">
        <v>0</v>
      </c>
      <c r="O985" t="n">
        <v>0</v>
      </c>
      <c r="P985" t="n">
        <v>0</v>
      </c>
      <c r="Q985" t="n">
        <v>0</v>
      </c>
      <c r="R985" s="2" t="inlineStr"/>
    </row>
    <row r="986" ht="15" customHeight="1">
      <c r="A986" t="inlineStr">
        <is>
          <t>A 34205-2023</t>
        </is>
      </c>
      <c r="B986" s="1" t="n">
        <v>45138</v>
      </c>
      <c r="C986" s="1" t="n">
        <v>45765</v>
      </c>
      <c r="D986" t="inlineStr">
        <is>
          <t>KALMAR LÄN</t>
        </is>
      </c>
      <c r="E986" t="inlineStr">
        <is>
          <t>VIMMERBY</t>
        </is>
      </c>
      <c r="G986" t="n">
        <v>0.6</v>
      </c>
      <c r="H986" t="n">
        <v>0</v>
      </c>
      <c r="I986" t="n">
        <v>0</v>
      </c>
      <c r="J986" t="n">
        <v>0</v>
      </c>
      <c r="K986" t="n">
        <v>0</v>
      </c>
      <c r="L986" t="n">
        <v>0</v>
      </c>
      <c r="M986" t="n">
        <v>0</v>
      </c>
      <c r="N986" t="n">
        <v>0</v>
      </c>
      <c r="O986" t="n">
        <v>0</v>
      </c>
      <c r="P986" t="n">
        <v>0</v>
      </c>
      <c r="Q986" t="n">
        <v>0</v>
      </c>
      <c r="R986" s="2" t="inlineStr"/>
    </row>
    <row r="987" ht="15" customHeight="1">
      <c r="A987" t="inlineStr">
        <is>
          <t>A 34300-2023</t>
        </is>
      </c>
      <c r="B987" s="1" t="n">
        <v>45138</v>
      </c>
      <c r="C987" s="1" t="n">
        <v>45765</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34956-2023</t>
        </is>
      </c>
      <c r="B988" s="1" t="n">
        <v>45142</v>
      </c>
      <c r="C988" s="1" t="n">
        <v>45765</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35190-2023</t>
        </is>
      </c>
      <c r="B989" s="1" t="n">
        <v>45145</v>
      </c>
      <c r="C989" s="1" t="n">
        <v>45765</v>
      </c>
      <c r="D989" t="inlineStr">
        <is>
          <t>KALMAR LÄN</t>
        </is>
      </c>
      <c r="E989" t="inlineStr">
        <is>
          <t>VIMMERBY</t>
        </is>
      </c>
      <c r="G989" t="n">
        <v>3.5</v>
      </c>
      <c r="H989" t="n">
        <v>0</v>
      </c>
      <c r="I989" t="n">
        <v>0</v>
      </c>
      <c r="J989" t="n">
        <v>0</v>
      </c>
      <c r="K989" t="n">
        <v>0</v>
      </c>
      <c r="L989" t="n">
        <v>0</v>
      </c>
      <c r="M989" t="n">
        <v>0</v>
      </c>
      <c r="N989" t="n">
        <v>0</v>
      </c>
      <c r="O989" t="n">
        <v>0</v>
      </c>
      <c r="P989" t="n">
        <v>0</v>
      </c>
      <c r="Q989" t="n">
        <v>0</v>
      </c>
      <c r="R989" s="2" t="inlineStr"/>
    </row>
    <row r="990" ht="15" customHeight="1">
      <c r="A990" t="inlineStr">
        <is>
          <t>A 35198-2023</t>
        </is>
      </c>
      <c r="B990" s="1" t="n">
        <v>45145</v>
      </c>
      <c r="C990" s="1" t="n">
        <v>45765</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35372-2023</t>
        </is>
      </c>
      <c r="B991" s="1" t="n">
        <v>45146</v>
      </c>
      <c r="C991" s="1" t="n">
        <v>45765</v>
      </c>
      <c r="D991" t="inlineStr">
        <is>
          <t>KALMAR LÄN</t>
        </is>
      </c>
      <c r="E991" t="inlineStr">
        <is>
          <t>VIMMERBY</t>
        </is>
      </c>
      <c r="G991" t="n">
        <v>1.4</v>
      </c>
      <c r="H991" t="n">
        <v>0</v>
      </c>
      <c r="I991" t="n">
        <v>0</v>
      </c>
      <c r="J991" t="n">
        <v>0</v>
      </c>
      <c r="K991" t="n">
        <v>0</v>
      </c>
      <c r="L991" t="n">
        <v>0</v>
      </c>
      <c r="M991" t="n">
        <v>0</v>
      </c>
      <c r="N991" t="n">
        <v>0</v>
      </c>
      <c r="O991" t="n">
        <v>0</v>
      </c>
      <c r="P991" t="n">
        <v>0</v>
      </c>
      <c r="Q991" t="n">
        <v>0</v>
      </c>
      <c r="R991" s="2" t="inlineStr"/>
    </row>
    <row r="992" ht="15" customHeight="1">
      <c r="A992" t="inlineStr">
        <is>
          <t>A 35670-2023</t>
        </is>
      </c>
      <c r="B992" s="1" t="n">
        <v>45147</v>
      </c>
      <c r="C992" s="1" t="n">
        <v>45765</v>
      </c>
      <c r="D992" t="inlineStr">
        <is>
          <t>KALMAR LÄN</t>
        </is>
      </c>
      <c r="E992" t="inlineStr">
        <is>
          <t>VIMMERBY</t>
        </is>
      </c>
      <c r="G992" t="n">
        <v>6.4</v>
      </c>
      <c r="H992" t="n">
        <v>0</v>
      </c>
      <c r="I992" t="n">
        <v>0</v>
      </c>
      <c r="J992" t="n">
        <v>0</v>
      </c>
      <c r="K992" t="n">
        <v>0</v>
      </c>
      <c r="L992" t="n">
        <v>0</v>
      </c>
      <c r="M992" t="n">
        <v>0</v>
      </c>
      <c r="N992" t="n">
        <v>0</v>
      </c>
      <c r="O992" t="n">
        <v>0</v>
      </c>
      <c r="P992" t="n">
        <v>0</v>
      </c>
      <c r="Q992" t="n">
        <v>0</v>
      </c>
      <c r="R992" s="2" t="inlineStr"/>
    </row>
    <row r="993" ht="15" customHeight="1">
      <c r="A993" t="inlineStr">
        <is>
          <t>A 35678-2023</t>
        </is>
      </c>
      <c r="B993" s="1" t="n">
        <v>45147</v>
      </c>
      <c r="C993" s="1" t="n">
        <v>45765</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35710-2023</t>
        </is>
      </c>
      <c r="B994" s="1" t="n">
        <v>45147</v>
      </c>
      <c r="C994" s="1" t="n">
        <v>45765</v>
      </c>
      <c r="D994" t="inlineStr">
        <is>
          <t>KALMAR LÄN</t>
        </is>
      </c>
      <c r="E994" t="inlineStr">
        <is>
          <t>VIMMERBY</t>
        </is>
      </c>
      <c r="G994" t="n">
        <v>3.1</v>
      </c>
      <c r="H994" t="n">
        <v>0</v>
      </c>
      <c r="I994" t="n">
        <v>0</v>
      </c>
      <c r="J994" t="n">
        <v>0</v>
      </c>
      <c r="K994" t="n">
        <v>0</v>
      </c>
      <c r="L994" t="n">
        <v>0</v>
      </c>
      <c r="M994" t="n">
        <v>0</v>
      </c>
      <c r="N994" t="n">
        <v>0</v>
      </c>
      <c r="O994" t="n">
        <v>0</v>
      </c>
      <c r="P994" t="n">
        <v>0</v>
      </c>
      <c r="Q994" t="n">
        <v>0</v>
      </c>
      <c r="R994" s="2" t="inlineStr"/>
    </row>
    <row r="995" ht="15" customHeight="1">
      <c r="A995" t="inlineStr">
        <is>
          <t>A 35671-2023</t>
        </is>
      </c>
      <c r="B995" s="1" t="n">
        <v>45147</v>
      </c>
      <c r="C995" s="1" t="n">
        <v>45765</v>
      </c>
      <c r="D995" t="inlineStr">
        <is>
          <t>KALMAR LÄN</t>
        </is>
      </c>
      <c r="E995" t="inlineStr">
        <is>
          <t>VIMMERBY</t>
        </is>
      </c>
      <c r="G995" t="n">
        <v>2.3</v>
      </c>
      <c r="H995" t="n">
        <v>0</v>
      </c>
      <c r="I995" t="n">
        <v>0</v>
      </c>
      <c r="J995" t="n">
        <v>0</v>
      </c>
      <c r="K995" t="n">
        <v>0</v>
      </c>
      <c r="L995" t="n">
        <v>0</v>
      </c>
      <c r="M995" t="n">
        <v>0</v>
      </c>
      <c r="N995" t="n">
        <v>0</v>
      </c>
      <c r="O995" t="n">
        <v>0</v>
      </c>
      <c r="P995" t="n">
        <v>0</v>
      </c>
      <c r="Q995" t="n">
        <v>0</v>
      </c>
      <c r="R995" s="2" t="inlineStr"/>
    </row>
    <row r="996" ht="15" customHeight="1">
      <c r="A996" t="inlineStr">
        <is>
          <t>A 35711-2023</t>
        </is>
      </c>
      <c r="B996" s="1" t="n">
        <v>45147</v>
      </c>
      <c r="C996" s="1" t="n">
        <v>45765</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35672-2023</t>
        </is>
      </c>
      <c r="B997" s="1" t="n">
        <v>45147</v>
      </c>
      <c r="C997" s="1" t="n">
        <v>45765</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35713-2023</t>
        </is>
      </c>
      <c r="B998" s="1" t="n">
        <v>45147</v>
      </c>
      <c r="C998" s="1" t="n">
        <v>45765</v>
      </c>
      <c r="D998" t="inlineStr">
        <is>
          <t>KALMAR LÄN</t>
        </is>
      </c>
      <c r="E998" t="inlineStr">
        <is>
          <t>VIMMERBY</t>
        </is>
      </c>
      <c r="G998" t="n">
        <v>1.6</v>
      </c>
      <c r="H998" t="n">
        <v>0</v>
      </c>
      <c r="I998" t="n">
        <v>0</v>
      </c>
      <c r="J998" t="n">
        <v>0</v>
      </c>
      <c r="K998" t="n">
        <v>0</v>
      </c>
      <c r="L998" t="n">
        <v>0</v>
      </c>
      <c r="M998" t="n">
        <v>0</v>
      </c>
      <c r="N998" t="n">
        <v>0</v>
      </c>
      <c r="O998" t="n">
        <v>0</v>
      </c>
      <c r="P998" t="n">
        <v>0</v>
      </c>
      <c r="Q998" t="n">
        <v>0</v>
      </c>
      <c r="R998" s="2" t="inlineStr"/>
    </row>
    <row r="999" ht="15" customHeight="1">
      <c r="A999" t="inlineStr">
        <is>
          <t>A 35839-2023</t>
        </is>
      </c>
      <c r="B999" s="1" t="n">
        <v>45148</v>
      </c>
      <c r="C999" s="1" t="n">
        <v>45765</v>
      </c>
      <c r="D999" t="inlineStr">
        <is>
          <t>KALMAR LÄN</t>
        </is>
      </c>
      <c r="E999" t="inlineStr">
        <is>
          <t>VIMMERBY</t>
        </is>
      </c>
      <c r="G999" t="n">
        <v>1.5</v>
      </c>
      <c r="H999" t="n">
        <v>0</v>
      </c>
      <c r="I999" t="n">
        <v>0</v>
      </c>
      <c r="J999" t="n">
        <v>0</v>
      </c>
      <c r="K999" t="n">
        <v>0</v>
      </c>
      <c r="L999" t="n">
        <v>0</v>
      </c>
      <c r="M999" t="n">
        <v>0</v>
      </c>
      <c r="N999" t="n">
        <v>0</v>
      </c>
      <c r="O999" t="n">
        <v>0</v>
      </c>
      <c r="P999" t="n">
        <v>0</v>
      </c>
      <c r="Q999" t="n">
        <v>0</v>
      </c>
      <c r="R999" s="2" t="inlineStr"/>
    </row>
    <row r="1000" ht="15" customHeight="1">
      <c r="A1000" t="inlineStr">
        <is>
          <t>A 35846-2023</t>
        </is>
      </c>
      <c r="B1000" s="1" t="n">
        <v>45148</v>
      </c>
      <c r="C1000" s="1" t="n">
        <v>45765</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35913-2023</t>
        </is>
      </c>
      <c r="B1001" s="1" t="n">
        <v>45148</v>
      </c>
      <c r="C1001" s="1" t="n">
        <v>45765</v>
      </c>
      <c r="D1001" t="inlineStr">
        <is>
          <t>KALMAR LÄN</t>
        </is>
      </c>
      <c r="E1001" t="inlineStr">
        <is>
          <t>VIMMERBY</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36155-2023</t>
        </is>
      </c>
      <c r="B1002" s="1" t="n">
        <v>45149</v>
      </c>
      <c r="C1002" s="1" t="n">
        <v>45765</v>
      </c>
      <c r="D1002" t="inlineStr">
        <is>
          <t>KALMAR LÄN</t>
        </is>
      </c>
      <c r="E1002" t="inlineStr">
        <is>
          <t>VIMMERBY</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36385-2023</t>
        </is>
      </c>
      <c r="B1003" s="1" t="n">
        <v>45152</v>
      </c>
      <c r="C1003" s="1" t="n">
        <v>45765</v>
      </c>
      <c r="D1003" t="inlineStr">
        <is>
          <t>KALMAR LÄN</t>
        </is>
      </c>
      <c r="E1003" t="inlineStr">
        <is>
          <t>VIMMERBY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36526-2023</t>
        </is>
      </c>
      <c r="B1004" s="1" t="n">
        <v>45153</v>
      </c>
      <c r="C1004" s="1" t="n">
        <v>45765</v>
      </c>
      <c r="D1004" t="inlineStr">
        <is>
          <t>KALMAR LÄN</t>
        </is>
      </c>
      <c r="E1004" t="inlineStr">
        <is>
          <t>VIMMERBY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36843-2023</t>
        </is>
      </c>
      <c r="B1005" s="1" t="n">
        <v>45154</v>
      </c>
      <c r="C1005" s="1" t="n">
        <v>45765</v>
      </c>
      <c r="D1005" t="inlineStr">
        <is>
          <t>KALMAR LÄN</t>
        </is>
      </c>
      <c r="E1005" t="inlineStr">
        <is>
          <t>VIMMERBY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37373-2023</t>
        </is>
      </c>
      <c r="B1006" s="1" t="n">
        <v>45156</v>
      </c>
      <c r="C1006" s="1" t="n">
        <v>45765</v>
      </c>
      <c r="D1006" t="inlineStr">
        <is>
          <t>KALMAR LÄN</t>
        </is>
      </c>
      <c r="E1006" t="inlineStr">
        <is>
          <t>VIMMERBY</t>
        </is>
      </c>
      <c r="F1006" t="inlineStr">
        <is>
          <t>Övriga Aktiebolag</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38254-2023</t>
        </is>
      </c>
      <c r="B1007" s="1" t="n">
        <v>45160</v>
      </c>
      <c r="C1007" s="1" t="n">
        <v>45765</v>
      </c>
      <c r="D1007" t="inlineStr">
        <is>
          <t>KALMAR LÄN</t>
        </is>
      </c>
      <c r="E1007" t="inlineStr">
        <is>
          <t>VIMMERBY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38261-2023</t>
        </is>
      </c>
      <c r="B1008" s="1" t="n">
        <v>45160</v>
      </c>
      <c r="C1008" s="1" t="n">
        <v>45765</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38274-2023</t>
        </is>
      </c>
      <c r="B1009" s="1" t="n">
        <v>45161</v>
      </c>
      <c r="C1009" s="1" t="n">
        <v>45765</v>
      </c>
      <c r="D1009" t="inlineStr">
        <is>
          <t>KALMAR LÄN</t>
        </is>
      </c>
      <c r="E1009" t="inlineStr">
        <is>
          <t>VIMMERBY</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38969-2023</t>
        </is>
      </c>
      <c r="B1010" s="1" t="n">
        <v>45163</v>
      </c>
      <c r="C1010" s="1" t="n">
        <v>45765</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38993-2023</t>
        </is>
      </c>
      <c r="B1011" s="1" t="n">
        <v>45163</v>
      </c>
      <c r="C1011" s="1" t="n">
        <v>45765</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38851-2023</t>
        </is>
      </c>
      <c r="B1012" s="1" t="n">
        <v>45163</v>
      </c>
      <c r="C1012" s="1" t="n">
        <v>45765</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38995-2023</t>
        </is>
      </c>
      <c r="B1013" s="1" t="n">
        <v>45163</v>
      </c>
      <c r="C1013" s="1" t="n">
        <v>45765</v>
      </c>
      <c r="D1013" t="inlineStr">
        <is>
          <t>KALMAR LÄN</t>
        </is>
      </c>
      <c r="E1013" t="inlineStr">
        <is>
          <t>VIMMERBY</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38779-2023</t>
        </is>
      </c>
      <c r="B1014" s="1" t="n">
        <v>45163</v>
      </c>
      <c r="C1014" s="1" t="n">
        <v>45765</v>
      </c>
      <c r="D1014" t="inlineStr">
        <is>
          <t>KALMAR LÄN</t>
        </is>
      </c>
      <c r="E1014" t="inlineStr">
        <is>
          <t>VIMMERBY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38757-2023</t>
        </is>
      </c>
      <c r="B1015" s="1" t="n">
        <v>45163</v>
      </c>
      <c r="C1015" s="1" t="n">
        <v>45765</v>
      </c>
      <c r="D1015" t="inlineStr">
        <is>
          <t>KALMAR LÄN</t>
        </is>
      </c>
      <c r="E1015" t="inlineStr">
        <is>
          <t>VIMMERBY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38799-2023</t>
        </is>
      </c>
      <c r="B1016" s="1" t="n">
        <v>45163</v>
      </c>
      <c r="C1016" s="1" t="n">
        <v>45765</v>
      </c>
      <c r="D1016" t="inlineStr">
        <is>
          <t>KALMAR LÄN</t>
        </is>
      </c>
      <c r="E1016" t="inlineStr">
        <is>
          <t>VIMMERBY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38803-2023</t>
        </is>
      </c>
      <c r="B1017" s="1" t="n">
        <v>45163</v>
      </c>
      <c r="C1017" s="1" t="n">
        <v>45765</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39129-2023</t>
        </is>
      </c>
      <c r="B1018" s="1" t="n">
        <v>45165</v>
      </c>
      <c r="C1018" s="1" t="n">
        <v>45765</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39401-2023</t>
        </is>
      </c>
      <c r="B1019" s="1" t="n">
        <v>45166</v>
      </c>
      <c r="C1019" s="1" t="n">
        <v>45765</v>
      </c>
      <c r="D1019" t="inlineStr">
        <is>
          <t>KALMAR LÄN</t>
        </is>
      </c>
      <c r="E1019" t="inlineStr">
        <is>
          <t>VIMMERBY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40079-2023</t>
        </is>
      </c>
      <c r="B1020" s="1" t="n">
        <v>45168</v>
      </c>
      <c r="C1020" s="1" t="n">
        <v>45765</v>
      </c>
      <c r="D1020" t="inlineStr">
        <is>
          <t>KALMAR LÄN</t>
        </is>
      </c>
      <c r="E1020" t="inlineStr">
        <is>
          <t>VIMMERBY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39912-2023</t>
        </is>
      </c>
      <c r="B1021" s="1" t="n">
        <v>45168</v>
      </c>
      <c r="C1021" s="1" t="n">
        <v>45765</v>
      </c>
      <c r="D1021" t="inlineStr">
        <is>
          <t>KALMAR LÄN</t>
        </is>
      </c>
      <c r="E1021" t="inlineStr">
        <is>
          <t>VIMMERBY</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40147-2023</t>
        </is>
      </c>
      <c r="B1022" s="1" t="n">
        <v>45169</v>
      </c>
      <c r="C1022" s="1" t="n">
        <v>45765</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40151-2023</t>
        </is>
      </c>
      <c r="B1023" s="1" t="n">
        <v>45169</v>
      </c>
      <c r="C1023" s="1" t="n">
        <v>45765</v>
      </c>
      <c r="D1023" t="inlineStr">
        <is>
          <t>KALMAR LÄN</t>
        </is>
      </c>
      <c r="E1023" t="inlineStr">
        <is>
          <t>VIMMERBY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40380-2023</t>
        </is>
      </c>
      <c r="B1024" s="1" t="n">
        <v>45169</v>
      </c>
      <c r="C1024" s="1" t="n">
        <v>45765</v>
      </c>
      <c r="D1024" t="inlineStr">
        <is>
          <t>KALMAR LÄN</t>
        </is>
      </c>
      <c r="E1024" t="inlineStr">
        <is>
          <t>VIMMERBY</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40472-2023</t>
        </is>
      </c>
      <c r="B1025" s="1" t="n">
        <v>45170</v>
      </c>
      <c r="C1025" s="1" t="n">
        <v>45765</v>
      </c>
      <c r="D1025" t="inlineStr">
        <is>
          <t>KALMAR LÄN</t>
        </is>
      </c>
      <c r="E1025" t="inlineStr">
        <is>
          <t>VIMMERBY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40477-2023</t>
        </is>
      </c>
      <c r="B1026" s="1" t="n">
        <v>45170</v>
      </c>
      <c r="C1026" s="1" t="n">
        <v>45765</v>
      </c>
      <c r="D1026" t="inlineStr">
        <is>
          <t>KALMAR LÄN</t>
        </is>
      </c>
      <c r="E1026" t="inlineStr">
        <is>
          <t>VIMMERBY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40665-2023</t>
        </is>
      </c>
      <c r="B1027" s="1" t="n">
        <v>45170</v>
      </c>
      <c r="C1027" s="1" t="n">
        <v>45765</v>
      </c>
      <c r="D1027" t="inlineStr">
        <is>
          <t>KALMAR LÄN</t>
        </is>
      </c>
      <c r="E1027" t="inlineStr">
        <is>
          <t>VIMMERBY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40828-2023</t>
        </is>
      </c>
      <c r="B1028" s="1" t="n">
        <v>45172</v>
      </c>
      <c r="C1028" s="1" t="n">
        <v>45765</v>
      </c>
      <c r="D1028" t="inlineStr">
        <is>
          <t>KALMAR LÄN</t>
        </is>
      </c>
      <c r="E1028" t="inlineStr">
        <is>
          <t>VIMMERBY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40823-2023</t>
        </is>
      </c>
      <c r="B1029" s="1" t="n">
        <v>45171</v>
      </c>
      <c r="C1029" s="1" t="n">
        <v>45765</v>
      </c>
      <c r="D1029" t="inlineStr">
        <is>
          <t>KALMAR LÄN</t>
        </is>
      </c>
      <c r="E1029" t="inlineStr">
        <is>
          <t>VIMMERBY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41084-2023</t>
        </is>
      </c>
      <c r="B1030" s="1" t="n">
        <v>45173</v>
      </c>
      <c r="C1030" s="1" t="n">
        <v>45765</v>
      </c>
      <c r="D1030" t="inlineStr">
        <is>
          <t>KALMAR LÄN</t>
        </is>
      </c>
      <c r="E1030" t="inlineStr">
        <is>
          <t>VIMMERBY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41088-2023</t>
        </is>
      </c>
      <c r="B1031" s="1" t="n">
        <v>45173</v>
      </c>
      <c r="C1031" s="1" t="n">
        <v>45765</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41199-2023</t>
        </is>
      </c>
      <c r="B1032" s="1" t="n">
        <v>45174</v>
      </c>
      <c r="C1032" s="1" t="n">
        <v>45765</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41311-2023</t>
        </is>
      </c>
      <c r="B1033" s="1" t="n">
        <v>45174</v>
      </c>
      <c r="C1033" s="1" t="n">
        <v>45765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41158-2023</t>
        </is>
      </c>
      <c r="B1034" s="1" t="n">
        <v>45174</v>
      </c>
      <c r="C1034" s="1" t="n">
        <v>45765</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41202-2023</t>
        </is>
      </c>
      <c r="B1035" s="1" t="n">
        <v>45174</v>
      </c>
      <c r="C1035" s="1" t="n">
        <v>45765</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41894-2023</t>
        </is>
      </c>
      <c r="B1036" s="1" t="n">
        <v>45176</v>
      </c>
      <c r="C1036" s="1" t="n">
        <v>45765</v>
      </c>
      <c r="D1036" t="inlineStr">
        <is>
          <t>KALMAR LÄN</t>
        </is>
      </c>
      <c r="E1036" t="inlineStr">
        <is>
          <t>VIMMERBY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41896-2023</t>
        </is>
      </c>
      <c r="B1037" s="1" t="n">
        <v>45176</v>
      </c>
      <c r="C1037" s="1" t="n">
        <v>45765</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42241-2023</t>
        </is>
      </c>
      <c r="B1038" s="1" t="n">
        <v>45180</v>
      </c>
      <c r="C1038" s="1" t="n">
        <v>45765</v>
      </c>
      <c r="D1038" t="inlineStr">
        <is>
          <t>KALMAR LÄN</t>
        </is>
      </c>
      <c r="E1038" t="inlineStr">
        <is>
          <t>VIMMERBY</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42689-2023</t>
        </is>
      </c>
      <c r="B1039" s="1" t="n">
        <v>45181</v>
      </c>
      <c r="C1039" s="1" t="n">
        <v>45765</v>
      </c>
      <c r="D1039" t="inlineStr">
        <is>
          <t>KALMAR LÄN</t>
        </is>
      </c>
      <c r="E1039" t="inlineStr">
        <is>
          <t>VIMMERBY</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42644-2023</t>
        </is>
      </c>
      <c r="B1040" s="1" t="n">
        <v>45181</v>
      </c>
      <c r="C1040" s="1" t="n">
        <v>45765</v>
      </c>
      <c r="D1040" t="inlineStr">
        <is>
          <t>KALMAR LÄN</t>
        </is>
      </c>
      <c r="E1040" t="inlineStr">
        <is>
          <t>VIMMERBY</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43068-2023</t>
        </is>
      </c>
      <c r="B1041" s="1" t="n">
        <v>45182</v>
      </c>
      <c r="C1041" s="1" t="n">
        <v>45765</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43705-2023</t>
        </is>
      </c>
      <c r="B1042" s="1" t="n">
        <v>45187</v>
      </c>
      <c r="C1042" s="1" t="n">
        <v>45765</v>
      </c>
      <c r="D1042" t="inlineStr">
        <is>
          <t>KALMAR LÄN</t>
        </is>
      </c>
      <c r="E1042" t="inlineStr">
        <is>
          <t>VIMMERBY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43853-2023</t>
        </is>
      </c>
      <c r="B1043" s="1" t="n">
        <v>45187</v>
      </c>
      <c r="C1043" s="1" t="n">
        <v>45765</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43706-2023</t>
        </is>
      </c>
      <c r="B1044" s="1" t="n">
        <v>45187</v>
      </c>
      <c r="C1044" s="1" t="n">
        <v>45765</v>
      </c>
      <c r="D1044" t="inlineStr">
        <is>
          <t>KALMAR LÄN</t>
        </is>
      </c>
      <c r="E1044" t="inlineStr">
        <is>
          <t>VIMMERBY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43774-2023</t>
        </is>
      </c>
      <c r="B1045" s="1" t="n">
        <v>45187</v>
      </c>
      <c r="C1045" s="1" t="n">
        <v>45765</v>
      </c>
      <c r="D1045" t="inlineStr">
        <is>
          <t>KALMAR LÄN</t>
        </is>
      </c>
      <c r="E1045" t="inlineStr">
        <is>
          <t>VIMMERBY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44660-2023</t>
        </is>
      </c>
      <c r="B1046" s="1" t="n">
        <v>45189</v>
      </c>
      <c r="C1046" s="1" t="n">
        <v>45765</v>
      </c>
      <c r="D1046" t="inlineStr">
        <is>
          <t>KALMAR LÄN</t>
        </is>
      </c>
      <c r="E1046" t="inlineStr">
        <is>
          <t>VIMMERBY</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44423-2023</t>
        </is>
      </c>
      <c r="B1047" s="1" t="n">
        <v>45189</v>
      </c>
      <c r="C1047" s="1" t="n">
        <v>45765</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44833-2023</t>
        </is>
      </c>
      <c r="B1048" s="1" t="n">
        <v>45190</v>
      </c>
      <c r="C1048" s="1" t="n">
        <v>45765</v>
      </c>
      <c r="D1048" t="inlineStr">
        <is>
          <t>KALMAR LÄN</t>
        </is>
      </c>
      <c r="E1048" t="inlineStr">
        <is>
          <t>VIMMERBY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44962-2023</t>
        </is>
      </c>
      <c r="B1049" s="1" t="n">
        <v>45190</v>
      </c>
      <c r="C1049" s="1" t="n">
        <v>45765</v>
      </c>
      <c r="D1049" t="inlineStr">
        <is>
          <t>KALMAR LÄN</t>
        </is>
      </c>
      <c r="E1049" t="inlineStr">
        <is>
          <t>VIMMERBY</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44887-2023</t>
        </is>
      </c>
      <c r="B1050" s="1" t="n">
        <v>45190</v>
      </c>
      <c r="C1050" s="1" t="n">
        <v>45765</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44884-2023</t>
        </is>
      </c>
      <c r="B1051" s="1" t="n">
        <v>45190</v>
      </c>
      <c r="C1051" s="1" t="n">
        <v>45765</v>
      </c>
      <c r="D1051" t="inlineStr">
        <is>
          <t>KALMAR LÄN</t>
        </is>
      </c>
      <c r="E1051" t="inlineStr">
        <is>
          <t>VIMMERBY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45838-2023</t>
        </is>
      </c>
      <c r="B1052" s="1" t="n">
        <v>45195</v>
      </c>
      <c r="C1052" s="1" t="n">
        <v>45765</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45846-2023</t>
        </is>
      </c>
      <c r="B1053" s="1" t="n">
        <v>45195</v>
      </c>
      <c r="C1053" s="1" t="n">
        <v>45765</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45731-2023</t>
        </is>
      </c>
      <c r="B1054" s="1" t="n">
        <v>45195</v>
      </c>
      <c r="C1054" s="1" t="n">
        <v>45765</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45808-2023</t>
        </is>
      </c>
      <c r="B1055" s="1" t="n">
        <v>45195</v>
      </c>
      <c r="C1055" s="1" t="n">
        <v>45765</v>
      </c>
      <c r="D1055" t="inlineStr">
        <is>
          <t>KALMAR LÄN</t>
        </is>
      </c>
      <c r="E1055" t="inlineStr">
        <is>
          <t>VIMMERBY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45839-2023</t>
        </is>
      </c>
      <c r="B1056" s="1" t="n">
        <v>45195</v>
      </c>
      <c r="C1056" s="1" t="n">
        <v>45765</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46116-2023</t>
        </is>
      </c>
      <c r="B1057" s="1" t="n">
        <v>45196</v>
      </c>
      <c r="C1057" s="1" t="n">
        <v>45765</v>
      </c>
      <c r="D1057" t="inlineStr">
        <is>
          <t>KALMAR LÄN</t>
        </is>
      </c>
      <c r="E1057" t="inlineStr">
        <is>
          <t>VIMMERBY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46078-2023</t>
        </is>
      </c>
      <c r="B1058" s="1" t="n">
        <v>45196</v>
      </c>
      <c r="C1058" s="1" t="n">
        <v>45765</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46144-2023</t>
        </is>
      </c>
      <c r="B1059" s="1" t="n">
        <v>45196</v>
      </c>
      <c r="C1059" s="1" t="n">
        <v>45765</v>
      </c>
      <c r="D1059" t="inlineStr">
        <is>
          <t>KALMAR LÄN</t>
        </is>
      </c>
      <c r="E1059" t="inlineStr">
        <is>
          <t>VIMMERBY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46697-2023</t>
        </is>
      </c>
      <c r="B1060" s="1" t="n">
        <v>45198</v>
      </c>
      <c r="C1060" s="1" t="n">
        <v>45765</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46695-2023</t>
        </is>
      </c>
      <c r="B1061" s="1" t="n">
        <v>45198</v>
      </c>
      <c r="C1061" s="1" t="n">
        <v>45765</v>
      </c>
      <c r="D1061" t="inlineStr">
        <is>
          <t>KALMAR LÄN</t>
        </is>
      </c>
      <c r="E1061" t="inlineStr">
        <is>
          <t>VIMMERBY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46916-2023</t>
        </is>
      </c>
      <c r="B1062" s="1" t="n">
        <v>45201</v>
      </c>
      <c r="C1062" s="1" t="n">
        <v>45765</v>
      </c>
      <c r="D1062" t="inlineStr">
        <is>
          <t>KALMAR LÄN</t>
        </is>
      </c>
      <c r="E1062" t="inlineStr">
        <is>
          <t>VIMMERBY</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46921-2023</t>
        </is>
      </c>
      <c r="B1063" s="1" t="n">
        <v>45201</v>
      </c>
      <c r="C1063" s="1" t="n">
        <v>45765</v>
      </c>
      <c r="D1063" t="inlineStr">
        <is>
          <t>KALMAR LÄN</t>
        </is>
      </c>
      <c r="E1063" t="inlineStr">
        <is>
          <t>VIMMERBY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46941-2023</t>
        </is>
      </c>
      <c r="B1064" s="1" t="n">
        <v>45201</v>
      </c>
      <c r="C1064" s="1" t="n">
        <v>45765</v>
      </c>
      <c r="D1064" t="inlineStr">
        <is>
          <t>KALMAR LÄN</t>
        </is>
      </c>
      <c r="E1064" t="inlineStr">
        <is>
          <t>VIMMERBY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46979-2023</t>
        </is>
      </c>
      <c r="B1065" s="1" t="n">
        <v>45201</v>
      </c>
      <c r="C1065" s="1" t="n">
        <v>45765</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47084-2023</t>
        </is>
      </c>
      <c r="B1066" s="1" t="n">
        <v>45201</v>
      </c>
      <c r="C1066" s="1" t="n">
        <v>45765</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47247-2023</t>
        </is>
      </c>
      <c r="B1067" s="1" t="n">
        <v>45202</v>
      </c>
      <c r="C1067" s="1" t="n">
        <v>45765</v>
      </c>
      <c r="D1067" t="inlineStr">
        <is>
          <t>KALMAR LÄN</t>
        </is>
      </c>
      <c r="E1067" t="inlineStr">
        <is>
          <t>VIMMERBY</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47256-2023</t>
        </is>
      </c>
      <c r="B1068" s="1" t="n">
        <v>45202</v>
      </c>
      <c r="C1068" s="1" t="n">
        <v>45765</v>
      </c>
      <c r="D1068" t="inlineStr">
        <is>
          <t>KALMAR LÄN</t>
        </is>
      </c>
      <c r="E1068" t="inlineStr">
        <is>
          <t>VIMMERBY</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47263-2023</t>
        </is>
      </c>
      <c r="B1069" s="1" t="n">
        <v>45202</v>
      </c>
      <c r="C1069" s="1" t="n">
        <v>45765</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47524-2023</t>
        </is>
      </c>
      <c r="B1070" s="1" t="n">
        <v>45203</v>
      </c>
      <c r="C1070" s="1" t="n">
        <v>45765</v>
      </c>
      <c r="D1070" t="inlineStr">
        <is>
          <t>KALMAR LÄN</t>
        </is>
      </c>
      <c r="E1070" t="inlineStr">
        <is>
          <t>VIMMERBY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47515-2023</t>
        </is>
      </c>
      <c r="B1071" s="1" t="n">
        <v>45203</v>
      </c>
      <c r="C1071" s="1" t="n">
        <v>45765</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47517-2023</t>
        </is>
      </c>
      <c r="B1072" s="1" t="n">
        <v>45203</v>
      </c>
      <c r="C1072" s="1" t="n">
        <v>45765</v>
      </c>
      <c r="D1072" t="inlineStr">
        <is>
          <t>KALMAR LÄN</t>
        </is>
      </c>
      <c r="E1072" t="inlineStr">
        <is>
          <t>VIMMERBY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47521-2023</t>
        </is>
      </c>
      <c r="B1073" s="1" t="n">
        <v>45203</v>
      </c>
      <c r="C1073" s="1" t="n">
        <v>45765</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48346-2023</t>
        </is>
      </c>
      <c r="B1074" s="1" t="n">
        <v>45205</v>
      </c>
      <c r="C1074" s="1" t="n">
        <v>45765</v>
      </c>
      <c r="D1074" t="inlineStr">
        <is>
          <t>KALMAR LÄN</t>
        </is>
      </c>
      <c r="E1074" t="inlineStr">
        <is>
          <t>VIMMERBY</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49382-2023</t>
        </is>
      </c>
      <c r="B1075" s="1" t="n">
        <v>45208</v>
      </c>
      <c r="C1075" s="1" t="n">
        <v>45765</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49261-2023</t>
        </is>
      </c>
      <c r="B1076" s="1" t="n">
        <v>45210</v>
      </c>
      <c r="C1076" s="1" t="n">
        <v>45765</v>
      </c>
      <c r="D1076" t="inlineStr">
        <is>
          <t>KALMAR LÄN</t>
        </is>
      </c>
      <c r="E1076" t="inlineStr">
        <is>
          <t>VIMMERBY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49254-2023</t>
        </is>
      </c>
      <c r="B1077" s="1" t="n">
        <v>45210</v>
      </c>
      <c r="C1077" s="1" t="n">
        <v>45765</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49246-2023</t>
        </is>
      </c>
      <c r="B1078" s="1" t="n">
        <v>45210</v>
      </c>
      <c r="C1078" s="1" t="n">
        <v>45765</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49408-2023</t>
        </is>
      </c>
      <c r="B1079" s="1" t="n">
        <v>45211</v>
      </c>
      <c r="C1079" s="1" t="n">
        <v>45765</v>
      </c>
      <c r="D1079" t="inlineStr">
        <is>
          <t>KALMAR LÄN</t>
        </is>
      </c>
      <c r="E1079" t="inlineStr">
        <is>
          <t>VIMMERBY</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49458-2023</t>
        </is>
      </c>
      <c r="B1080" s="1" t="n">
        <v>45211</v>
      </c>
      <c r="C1080" s="1" t="n">
        <v>45765</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49461-2023</t>
        </is>
      </c>
      <c r="B1081" s="1" t="n">
        <v>45211</v>
      </c>
      <c r="C1081" s="1" t="n">
        <v>45765</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49474-2023</t>
        </is>
      </c>
      <c r="B1082" s="1" t="n">
        <v>45211</v>
      </c>
      <c r="C1082" s="1" t="n">
        <v>45765</v>
      </c>
      <c r="D1082" t="inlineStr">
        <is>
          <t>KALMAR LÄN</t>
        </is>
      </c>
      <c r="E1082" t="inlineStr">
        <is>
          <t>VIMMERBY</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49488-2023</t>
        </is>
      </c>
      <c r="B1083" s="1" t="n">
        <v>45211</v>
      </c>
      <c r="C1083" s="1" t="n">
        <v>45765</v>
      </c>
      <c r="D1083" t="inlineStr">
        <is>
          <t>KALMAR LÄN</t>
        </is>
      </c>
      <c r="E1083" t="inlineStr">
        <is>
          <t>VIMMERBY</t>
        </is>
      </c>
      <c r="F1083" t="inlineStr">
        <is>
          <t>Sveaskog</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49756-2023</t>
        </is>
      </c>
      <c r="B1084" s="1" t="n">
        <v>45212</v>
      </c>
      <c r="C1084" s="1" t="n">
        <v>45765</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50087-2023</t>
        </is>
      </c>
      <c r="B1085" s="1" t="n">
        <v>45215</v>
      </c>
      <c r="C1085" s="1" t="n">
        <v>45765</v>
      </c>
      <c r="D1085" t="inlineStr">
        <is>
          <t>KALMAR LÄN</t>
        </is>
      </c>
      <c r="E1085" t="inlineStr">
        <is>
          <t>VIMMERBY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50088-2023</t>
        </is>
      </c>
      <c r="B1086" s="1" t="n">
        <v>45215</v>
      </c>
      <c r="C1086" s="1" t="n">
        <v>45765</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50093-2023</t>
        </is>
      </c>
      <c r="B1087" s="1" t="n">
        <v>45215</v>
      </c>
      <c r="C1087" s="1" t="n">
        <v>45765</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50091-2023</t>
        </is>
      </c>
      <c r="B1088" s="1" t="n">
        <v>45215</v>
      </c>
      <c r="C1088" s="1" t="n">
        <v>45765</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50085-2023</t>
        </is>
      </c>
      <c r="B1089" s="1" t="n">
        <v>45215</v>
      </c>
      <c r="C1089" s="1" t="n">
        <v>45765</v>
      </c>
      <c r="D1089" t="inlineStr">
        <is>
          <t>KALMAR LÄN</t>
        </is>
      </c>
      <c r="E1089" t="inlineStr">
        <is>
          <t>VIMMERBY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50648-2023</t>
        </is>
      </c>
      <c r="B1090" s="1" t="n">
        <v>45217</v>
      </c>
      <c r="C1090" s="1" t="n">
        <v>45765</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52257-2023</t>
        </is>
      </c>
      <c r="B1091" s="1" t="n">
        <v>45217</v>
      </c>
      <c r="C1091" s="1" t="n">
        <v>45765</v>
      </c>
      <c r="D1091" t="inlineStr">
        <is>
          <t>KALMAR LÄN</t>
        </is>
      </c>
      <c r="E1091" t="inlineStr">
        <is>
          <t>VIMMERBY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50934-2023</t>
        </is>
      </c>
      <c r="B1092" s="1" t="n">
        <v>45218</v>
      </c>
      <c r="C1092" s="1" t="n">
        <v>45765</v>
      </c>
      <c r="D1092" t="inlineStr">
        <is>
          <t>KALMAR LÄN</t>
        </is>
      </c>
      <c r="E1092" t="inlineStr">
        <is>
          <t>VIMMERBY</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51408-2023</t>
        </is>
      </c>
      <c r="B1093" s="1" t="n">
        <v>45219</v>
      </c>
      <c r="C1093" s="1" t="n">
        <v>45765</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51187-2023</t>
        </is>
      </c>
      <c r="B1094" s="1" t="n">
        <v>45219</v>
      </c>
      <c r="C1094" s="1" t="n">
        <v>45765</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51775-2023</t>
        </is>
      </c>
      <c r="B1095" s="1" t="n">
        <v>45222</v>
      </c>
      <c r="C1095" s="1" t="n">
        <v>45765</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51552-2023</t>
        </is>
      </c>
      <c r="B1096" s="1" t="n">
        <v>45222</v>
      </c>
      <c r="C1096" s="1" t="n">
        <v>45765</v>
      </c>
      <c r="D1096" t="inlineStr">
        <is>
          <t>KALMAR LÄN</t>
        </is>
      </c>
      <c r="E1096" t="inlineStr">
        <is>
          <t>VIMMERBY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52279-2023</t>
        </is>
      </c>
      <c r="B1097" s="1" t="n">
        <v>45224</v>
      </c>
      <c r="C1097" s="1" t="n">
        <v>45765</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52294-2023</t>
        </is>
      </c>
      <c r="B1098" s="1" t="n">
        <v>45224</v>
      </c>
      <c r="C1098" s="1" t="n">
        <v>45765</v>
      </c>
      <c r="D1098" t="inlineStr">
        <is>
          <t>KALMAR LÄN</t>
        </is>
      </c>
      <c r="E1098" t="inlineStr">
        <is>
          <t>VIMMERBY</t>
        </is>
      </c>
      <c r="F1098" t="inlineStr">
        <is>
          <t>Sveaskog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52327-2023</t>
        </is>
      </c>
      <c r="B1099" s="1" t="n">
        <v>45224</v>
      </c>
      <c r="C1099" s="1" t="n">
        <v>45765</v>
      </c>
      <c r="D1099" t="inlineStr">
        <is>
          <t>KALMAR LÄN</t>
        </is>
      </c>
      <c r="E1099" t="inlineStr">
        <is>
          <t>VIMMERBY</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52208-2023</t>
        </is>
      </c>
      <c r="B1100" s="1" t="n">
        <v>45224</v>
      </c>
      <c r="C1100" s="1" t="n">
        <v>45765</v>
      </c>
      <c r="D1100" t="inlineStr">
        <is>
          <t>KALMAR LÄN</t>
        </is>
      </c>
      <c r="E1100" t="inlineStr">
        <is>
          <t>VIMMERBY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52324-2023</t>
        </is>
      </c>
      <c r="B1101" s="1" t="n">
        <v>45224</v>
      </c>
      <c r="C1101" s="1" t="n">
        <v>45765</v>
      </c>
      <c r="D1101" t="inlineStr">
        <is>
          <t>KALMAR LÄN</t>
        </is>
      </c>
      <c r="E1101" t="inlineStr">
        <is>
          <t>VIMMERBY</t>
        </is>
      </c>
      <c r="F1101" t="inlineStr">
        <is>
          <t>Sveaskog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52411-2023</t>
        </is>
      </c>
      <c r="B1102" s="1" t="n">
        <v>45225</v>
      </c>
      <c r="C1102" s="1" t="n">
        <v>45765</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52588-2023</t>
        </is>
      </c>
      <c r="B1103" s="1" t="n">
        <v>45225</v>
      </c>
      <c r="C1103" s="1" t="n">
        <v>45765</v>
      </c>
      <c r="D1103" t="inlineStr">
        <is>
          <t>KALMAR LÄN</t>
        </is>
      </c>
      <c r="E1103" t="inlineStr">
        <is>
          <t>VIMMERBY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52616-2023</t>
        </is>
      </c>
      <c r="B1104" s="1" t="n">
        <v>45225</v>
      </c>
      <c r="C1104" s="1" t="n">
        <v>45765</v>
      </c>
      <c r="D1104" t="inlineStr">
        <is>
          <t>KALMAR LÄN</t>
        </is>
      </c>
      <c r="E1104" t="inlineStr">
        <is>
          <t>VIMMERBY</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52623-2023</t>
        </is>
      </c>
      <c r="B1105" s="1" t="n">
        <v>45225</v>
      </c>
      <c r="C1105" s="1" t="n">
        <v>45765</v>
      </c>
      <c r="D1105" t="inlineStr">
        <is>
          <t>KALMAR LÄN</t>
        </is>
      </c>
      <c r="E1105" t="inlineStr">
        <is>
          <t>VIMMERBY</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52703-2023</t>
        </is>
      </c>
      <c r="B1106" s="1" t="n">
        <v>45225</v>
      </c>
      <c r="C1106" s="1" t="n">
        <v>45765</v>
      </c>
      <c r="D1106" t="inlineStr">
        <is>
          <t>KALMAR LÄN</t>
        </is>
      </c>
      <c r="E1106" t="inlineStr">
        <is>
          <t>VIMMERBY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53220-2023</t>
        </is>
      </c>
      <c r="B1107" s="1" t="n">
        <v>45229</v>
      </c>
      <c r="C1107" s="1" t="n">
        <v>45765</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54084-2023</t>
        </is>
      </c>
      <c r="B1108" s="1" t="n">
        <v>45232</v>
      </c>
      <c r="C1108" s="1" t="n">
        <v>45765</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54086-2023</t>
        </is>
      </c>
      <c r="B1109" s="1" t="n">
        <v>45232</v>
      </c>
      <c r="C1109" s="1" t="n">
        <v>45765</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55716-2023</t>
        </is>
      </c>
      <c r="B1110" s="1" t="n">
        <v>45232</v>
      </c>
      <c r="C1110" s="1" t="n">
        <v>45765</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54785-2023</t>
        </is>
      </c>
      <c r="B1111" s="1" t="n">
        <v>45236</v>
      </c>
      <c r="C1111" s="1" t="n">
        <v>45765</v>
      </c>
      <c r="D1111" t="inlineStr">
        <is>
          <t>KALMAR LÄN</t>
        </is>
      </c>
      <c r="E1111" t="inlineStr">
        <is>
          <t>VIMMERBY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54787-2023</t>
        </is>
      </c>
      <c r="B1112" s="1" t="n">
        <v>45236</v>
      </c>
      <c r="C1112" s="1" t="n">
        <v>45765</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55236-2023</t>
        </is>
      </c>
      <c r="B1113" s="1" t="n">
        <v>45237</v>
      </c>
      <c r="C1113" s="1" t="n">
        <v>45765</v>
      </c>
      <c r="D1113" t="inlineStr">
        <is>
          <t>KALMAR LÄN</t>
        </is>
      </c>
      <c r="E1113" t="inlineStr">
        <is>
          <t>VIMMERBY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55245-2023</t>
        </is>
      </c>
      <c r="B1114" s="1" t="n">
        <v>45237</v>
      </c>
      <c r="C1114" s="1" t="n">
        <v>45765</v>
      </c>
      <c r="D1114" t="inlineStr">
        <is>
          <t>KALMAR LÄN</t>
        </is>
      </c>
      <c r="E1114" t="inlineStr">
        <is>
          <t>VIMMERBY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55279-2023</t>
        </is>
      </c>
      <c r="B1115" s="1" t="n">
        <v>45237</v>
      </c>
      <c r="C1115" s="1" t="n">
        <v>45765</v>
      </c>
      <c r="D1115" t="inlineStr">
        <is>
          <t>KALMAR LÄN</t>
        </is>
      </c>
      <c r="E1115" t="inlineStr">
        <is>
          <t>VIMMERBY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55457-2023</t>
        </is>
      </c>
      <c r="B1116" s="1" t="n">
        <v>45238</v>
      </c>
      <c r="C1116" s="1" t="n">
        <v>45765</v>
      </c>
      <c r="D1116" t="inlineStr">
        <is>
          <t>KALMAR LÄN</t>
        </is>
      </c>
      <c r="E1116" t="inlineStr">
        <is>
          <t>VIMMERBY</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55470-2023</t>
        </is>
      </c>
      <c r="B1117" s="1" t="n">
        <v>45238</v>
      </c>
      <c r="C1117" s="1" t="n">
        <v>45765</v>
      </c>
      <c r="D1117" t="inlineStr">
        <is>
          <t>KALMAR LÄN</t>
        </is>
      </c>
      <c r="E1117" t="inlineStr">
        <is>
          <t>VIMMERBY</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55436-2023</t>
        </is>
      </c>
      <c r="B1118" s="1" t="n">
        <v>45238</v>
      </c>
      <c r="C1118" s="1" t="n">
        <v>45765</v>
      </c>
      <c r="D1118" t="inlineStr">
        <is>
          <t>KALMAR LÄN</t>
        </is>
      </c>
      <c r="E1118" t="inlineStr">
        <is>
          <t>VIMMERBY</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55510-2023</t>
        </is>
      </c>
      <c r="B1119" s="1" t="n">
        <v>45238</v>
      </c>
      <c r="C1119" s="1" t="n">
        <v>45765</v>
      </c>
      <c r="D1119" t="inlineStr">
        <is>
          <t>KALMAR LÄN</t>
        </is>
      </c>
      <c r="E1119" t="inlineStr">
        <is>
          <t>VIMMERBY</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55442-2023</t>
        </is>
      </c>
      <c r="B1120" s="1" t="n">
        <v>45238</v>
      </c>
      <c r="C1120" s="1" t="n">
        <v>45765</v>
      </c>
      <c r="D1120" t="inlineStr">
        <is>
          <t>KALMAR LÄN</t>
        </is>
      </c>
      <c r="E1120" t="inlineStr">
        <is>
          <t>VIMMERBY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56657-2023</t>
        </is>
      </c>
      <c r="B1121" s="1" t="n">
        <v>45243</v>
      </c>
      <c r="C1121" s="1" t="n">
        <v>45765</v>
      </c>
      <c r="D1121" t="inlineStr">
        <is>
          <t>KALMAR LÄN</t>
        </is>
      </c>
      <c r="E1121" t="inlineStr">
        <is>
          <t>VIMMERBY</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56659-2023</t>
        </is>
      </c>
      <c r="B1122" s="1" t="n">
        <v>45243</v>
      </c>
      <c r="C1122" s="1" t="n">
        <v>45765</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57036-2023</t>
        </is>
      </c>
      <c r="B1123" s="1" t="n">
        <v>45244</v>
      </c>
      <c r="C1123" s="1" t="n">
        <v>45765</v>
      </c>
      <c r="D1123" t="inlineStr">
        <is>
          <t>KALMAR LÄN</t>
        </is>
      </c>
      <c r="E1123" t="inlineStr">
        <is>
          <t>VIMMERBY</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57040-2023</t>
        </is>
      </c>
      <c r="B1124" s="1" t="n">
        <v>45244</v>
      </c>
      <c r="C1124" s="1" t="n">
        <v>45765</v>
      </c>
      <c r="D1124" t="inlineStr">
        <is>
          <t>KALMAR LÄN</t>
        </is>
      </c>
      <c r="E1124" t="inlineStr">
        <is>
          <t>VIMMERBY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57254-2023</t>
        </is>
      </c>
      <c r="B1125" s="1" t="n">
        <v>45245</v>
      </c>
      <c r="C1125" s="1" t="n">
        <v>45765</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57114-2023</t>
        </is>
      </c>
      <c r="B1126" s="1" t="n">
        <v>45245</v>
      </c>
      <c r="C1126" s="1" t="n">
        <v>45765</v>
      </c>
      <c r="D1126" t="inlineStr">
        <is>
          <t>KALMAR LÄN</t>
        </is>
      </c>
      <c r="E1126" t="inlineStr">
        <is>
          <t>VIMMERBY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57264-2023</t>
        </is>
      </c>
      <c r="B1127" s="1" t="n">
        <v>45245</v>
      </c>
      <c r="C1127" s="1" t="n">
        <v>45765</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57311-2023</t>
        </is>
      </c>
      <c r="B1128" s="1" t="n">
        <v>45245</v>
      </c>
      <c r="C1128" s="1" t="n">
        <v>45765</v>
      </c>
      <c r="D1128" t="inlineStr">
        <is>
          <t>KALMAR LÄN</t>
        </is>
      </c>
      <c r="E1128" t="inlineStr">
        <is>
          <t>VIMMERBY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57256-2023</t>
        </is>
      </c>
      <c r="B1129" s="1" t="n">
        <v>45245</v>
      </c>
      <c r="C1129" s="1" t="n">
        <v>45765</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57269-2023</t>
        </is>
      </c>
      <c r="B1130" s="1" t="n">
        <v>45245</v>
      </c>
      <c r="C1130" s="1" t="n">
        <v>45765</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57317-2023</t>
        </is>
      </c>
      <c r="B1131" s="1" t="n">
        <v>45245</v>
      </c>
      <c r="C1131" s="1" t="n">
        <v>45765</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57329-2023</t>
        </is>
      </c>
      <c r="B1132" s="1" t="n">
        <v>45245</v>
      </c>
      <c r="C1132" s="1" t="n">
        <v>45765</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58278-2023</t>
        </is>
      </c>
      <c r="B1133" s="1" t="n">
        <v>45250</v>
      </c>
      <c r="C1133" s="1" t="n">
        <v>45765</v>
      </c>
      <c r="D1133" t="inlineStr">
        <is>
          <t>KALMAR LÄN</t>
        </is>
      </c>
      <c r="E1133" t="inlineStr">
        <is>
          <t>VIMMERBY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59598-2023</t>
        </is>
      </c>
      <c r="B1134" s="1" t="n">
        <v>45254</v>
      </c>
      <c r="C1134" s="1" t="n">
        <v>45765</v>
      </c>
      <c r="D1134" t="inlineStr">
        <is>
          <t>KALMAR LÄN</t>
        </is>
      </c>
      <c r="E1134" t="inlineStr">
        <is>
          <t>VIMMERBY</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59943-2023</t>
        </is>
      </c>
      <c r="B1135" s="1" t="n">
        <v>45257</v>
      </c>
      <c r="C1135" s="1" t="n">
        <v>45765</v>
      </c>
      <c r="D1135" t="inlineStr">
        <is>
          <t>KALMAR LÄN</t>
        </is>
      </c>
      <c r="E1135" t="inlineStr">
        <is>
          <t>VIMMERBY</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59955-2023</t>
        </is>
      </c>
      <c r="B1136" s="1" t="n">
        <v>45257</v>
      </c>
      <c r="C1136" s="1" t="n">
        <v>45765</v>
      </c>
      <c r="D1136" t="inlineStr">
        <is>
          <t>KALMAR LÄN</t>
        </is>
      </c>
      <c r="E1136" t="inlineStr">
        <is>
          <t>VIMMERBY</t>
        </is>
      </c>
      <c r="G1136" t="n">
        <v>13.8</v>
      </c>
      <c r="H1136" t="n">
        <v>0</v>
      </c>
      <c r="I1136" t="n">
        <v>0</v>
      </c>
      <c r="J1136" t="n">
        <v>0</v>
      </c>
      <c r="K1136" t="n">
        <v>0</v>
      </c>
      <c r="L1136" t="n">
        <v>0</v>
      </c>
      <c r="M1136" t="n">
        <v>0</v>
      </c>
      <c r="N1136" t="n">
        <v>0</v>
      </c>
      <c r="O1136" t="n">
        <v>0</v>
      </c>
      <c r="P1136" t="n">
        <v>0</v>
      </c>
      <c r="Q1136" t="n">
        <v>0</v>
      </c>
      <c r="R1136" s="2" t="inlineStr"/>
    </row>
    <row r="1137" ht="15" customHeight="1">
      <c r="A1137" t="inlineStr">
        <is>
          <t>A 60438-2023</t>
        </is>
      </c>
      <c r="B1137" s="1" t="n">
        <v>45259</v>
      </c>
      <c r="C1137" s="1" t="n">
        <v>45765</v>
      </c>
      <c r="D1137" t="inlineStr">
        <is>
          <t>KALMAR LÄN</t>
        </is>
      </c>
      <c r="E1137" t="inlineStr">
        <is>
          <t>VIMMERBY</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60437-2023</t>
        </is>
      </c>
      <c r="B1138" s="1" t="n">
        <v>45259</v>
      </c>
      <c r="C1138" s="1" t="n">
        <v>45765</v>
      </c>
      <c r="D1138" t="inlineStr">
        <is>
          <t>KALMAR LÄN</t>
        </is>
      </c>
      <c r="E1138" t="inlineStr">
        <is>
          <t>VIMMERBY</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60675-2023</t>
        </is>
      </c>
      <c r="B1139" s="1" t="n">
        <v>45260</v>
      </c>
      <c r="C1139" s="1" t="n">
        <v>45765</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60951-2023</t>
        </is>
      </c>
      <c r="B1140" s="1" t="n">
        <v>45261</v>
      </c>
      <c r="C1140" s="1" t="n">
        <v>45765</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61189-2023</t>
        </is>
      </c>
      <c r="B1141" s="1" t="n">
        <v>45264</v>
      </c>
      <c r="C1141" s="1" t="n">
        <v>45765</v>
      </c>
      <c r="D1141" t="inlineStr">
        <is>
          <t>KALMAR LÄN</t>
        </is>
      </c>
      <c r="E1141" t="inlineStr">
        <is>
          <t>VIMMERBY</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61227-2023</t>
        </is>
      </c>
      <c r="B1142" s="1" t="n">
        <v>45264</v>
      </c>
      <c r="C1142" s="1" t="n">
        <v>45765</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61224-2023</t>
        </is>
      </c>
      <c r="B1143" s="1" t="n">
        <v>45264</v>
      </c>
      <c r="C1143" s="1" t="n">
        <v>45765</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61221-2023</t>
        </is>
      </c>
      <c r="B1144" s="1" t="n">
        <v>45264</v>
      </c>
      <c r="C1144" s="1" t="n">
        <v>45765</v>
      </c>
      <c r="D1144" t="inlineStr">
        <is>
          <t>KALMAR LÄN</t>
        </is>
      </c>
      <c r="E1144" t="inlineStr">
        <is>
          <t>VIMMERBY</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61817-2023</t>
        </is>
      </c>
      <c r="B1145" s="1" t="n">
        <v>45266</v>
      </c>
      <c r="C1145" s="1" t="n">
        <v>45765</v>
      </c>
      <c r="D1145" t="inlineStr">
        <is>
          <t>KALMAR LÄN</t>
        </is>
      </c>
      <c r="E1145" t="inlineStr">
        <is>
          <t>VIMMERBY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61825-2023</t>
        </is>
      </c>
      <c r="B1146" s="1" t="n">
        <v>45266</v>
      </c>
      <c r="C1146" s="1" t="n">
        <v>45765</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61820-2023</t>
        </is>
      </c>
      <c r="B1147" s="1" t="n">
        <v>45266</v>
      </c>
      <c r="C1147" s="1" t="n">
        <v>45765</v>
      </c>
      <c r="D1147" t="inlineStr">
        <is>
          <t>KALMAR LÄN</t>
        </is>
      </c>
      <c r="E1147" t="inlineStr">
        <is>
          <t>VIMMERBY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62615-2023</t>
        </is>
      </c>
      <c r="B1148" s="1" t="n">
        <v>45271</v>
      </c>
      <c r="C1148" s="1" t="n">
        <v>45765</v>
      </c>
      <c r="D1148" t="inlineStr">
        <is>
          <t>KALMAR LÄN</t>
        </is>
      </c>
      <c r="E1148" t="inlineStr">
        <is>
          <t>VIMMERBY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62779-2023</t>
        </is>
      </c>
      <c r="B1149" s="1" t="n">
        <v>45271</v>
      </c>
      <c r="C1149" s="1" t="n">
        <v>45765</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62852-2023</t>
        </is>
      </c>
      <c r="B1150" s="1" t="n">
        <v>45272</v>
      </c>
      <c r="C1150" s="1" t="n">
        <v>45765</v>
      </c>
      <c r="D1150" t="inlineStr">
        <is>
          <t>KALMAR LÄN</t>
        </is>
      </c>
      <c r="E1150" t="inlineStr">
        <is>
          <t>VIMMERBY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62997-2023</t>
        </is>
      </c>
      <c r="B1151" s="1" t="n">
        <v>45272</v>
      </c>
      <c r="C1151" s="1" t="n">
        <v>45765</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63284-2023</t>
        </is>
      </c>
      <c r="B1152" s="1" t="n">
        <v>45273</v>
      </c>
      <c r="C1152" s="1" t="n">
        <v>45765</v>
      </c>
      <c r="D1152" t="inlineStr">
        <is>
          <t>KALMAR LÄN</t>
        </is>
      </c>
      <c r="E1152" t="inlineStr">
        <is>
          <t>VIMMERBY</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63541-2023</t>
        </is>
      </c>
      <c r="B1153" s="1" t="n">
        <v>45275</v>
      </c>
      <c r="C1153" s="1" t="n">
        <v>45765</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63583-2023</t>
        </is>
      </c>
      <c r="B1154" s="1" t="n">
        <v>45275</v>
      </c>
      <c r="C1154" s="1" t="n">
        <v>45765</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63969-2023</t>
        </is>
      </c>
      <c r="B1155" s="1" t="n">
        <v>45278</v>
      </c>
      <c r="C1155" s="1" t="n">
        <v>45765</v>
      </c>
      <c r="D1155" t="inlineStr">
        <is>
          <t>KALMAR LÄN</t>
        </is>
      </c>
      <c r="E1155" t="inlineStr">
        <is>
          <t>VIMMERBY</t>
        </is>
      </c>
      <c r="F1155" t="inlineStr">
        <is>
          <t>Kyrkan</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63950-2023</t>
        </is>
      </c>
      <c r="B1156" s="1" t="n">
        <v>45278</v>
      </c>
      <c r="C1156" s="1" t="n">
        <v>45765</v>
      </c>
      <c r="D1156" t="inlineStr">
        <is>
          <t>KALMAR LÄN</t>
        </is>
      </c>
      <c r="E1156" t="inlineStr">
        <is>
          <t>VIMMERBY</t>
        </is>
      </c>
      <c r="F1156" t="inlineStr">
        <is>
          <t>Kyrkan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64428-2023</t>
        </is>
      </c>
      <c r="B1157" s="1" t="n">
        <v>45280</v>
      </c>
      <c r="C1157" s="1" t="n">
        <v>45765</v>
      </c>
      <c r="D1157" t="inlineStr">
        <is>
          <t>KALMAR LÄN</t>
        </is>
      </c>
      <c r="E1157" t="inlineStr">
        <is>
          <t>VIMMERBY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65237-2023</t>
        </is>
      </c>
      <c r="B1158" s="1" t="n">
        <v>45289</v>
      </c>
      <c r="C1158" s="1" t="n">
        <v>45765</v>
      </c>
      <c r="D1158" t="inlineStr">
        <is>
          <t>KALMAR LÄN</t>
        </is>
      </c>
      <c r="E1158" t="inlineStr">
        <is>
          <t>VIMMERBY</t>
        </is>
      </c>
      <c r="F1158" t="inlineStr">
        <is>
          <t>Kyrkan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65238-2023</t>
        </is>
      </c>
      <c r="B1159" s="1" t="n">
        <v>45289</v>
      </c>
      <c r="C1159" s="1" t="n">
        <v>45765</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205-2024</t>
        </is>
      </c>
      <c r="B1160" s="1" t="n">
        <v>45294</v>
      </c>
      <c r="C1160" s="1" t="n">
        <v>45765</v>
      </c>
      <c r="D1160" t="inlineStr">
        <is>
          <t>KALMAR LÄN</t>
        </is>
      </c>
      <c r="E1160" t="inlineStr">
        <is>
          <t>VIMMERBY</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526-2024</t>
        </is>
      </c>
      <c r="B1161" s="1" t="n">
        <v>45299</v>
      </c>
      <c r="C1161" s="1" t="n">
        <v>45765</v>
      </c>
      <c r="D1161" t="inlineStr">
        <is>
          <t>KALMAR LÄN</t>
        </is>
      </c>
      <c r="E1161" t="inlineStr">
        <is>
          <t>VIMMERBY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627-2024</t>
        </is>
      </c>
      <c r="B1162" s="1" t="n">
        <v>45299</v>
      </c>
      <c r="C1162" s="1" t="n">
        <v>45765</v>
      </c>
      <c r="D1162" t="inlineStr">
        <is>
          <t>KALMAR LÄN</t>
        </is>
      </c>
      <c r="E1162" t="inlineStr">
        <is>
          <t>VIMMERBY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529-2024</t>
        </is>
      </c>
      <c r="B1163" s="1" t="n">
        <v>45299</v>
      </c>
      <c r="C1163" s="1" t="n">
        <v>45765</v>
      </c>
      <c r="D1163" t="inlineStr">
        <is>
          <t>KALMAR LÄN</t>
        </is>
      </c>
      <c r="E1163" t="inlineStr">
        <is>
          <t>VIMMERBY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527-2024</t>
        </is>
      </c>
      <c r="B1164" s="1" t="n">
        <v>45299</v>
      </c>
      <c r="C1164" s="1" t="n">
        <v>45765</v>
      </c>
      <c r="D1164" t="inlineStr">
        <is>
          <t>KALMAR LÄN</t>
        </is>
      </c>
      <c r="E1164" t="inlineStr">
        <is>
          <t>VIMMERBY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585-2024</t>
        </is>
      </c>
      <c r="B1165" s="1" t="n">
        <v>45299</v>
      </c>
      <c r="C1165" s="1" t="n">
        <v>45765</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690-2024</t>
        </is>
      </c>
      <c r="B1166" s="1" t="n">
        <v>45300</v>
      </c>
      <c r="C1166" s="1" t="n">
        <v>45765</v>
      </c>
      <c r="D1166" t="inlineStr">
        <is>
          <t>KALMAR LÄN</t>
        </is>
      </c>
      <c r="E1166" t="inlineStr">
        <is>
          <t>VIMMERBY</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694-2024</t>
        </is>
      </c>
      <c r="B1167" s="1" t="n">
        <v>45300</v>
      </c>
      <c r="C1167" s="1" t="n">
        <v>45765</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1017-2024</t>
        </is>
      </c>
      <c r="B1168" s="1" t="n">
        <v>45301</v>
      </c>
      <c r="C1168" s="1" t="n">
        <v>45765</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1021-2024</t>
        </is>
      </c>
      <c r="B1169" s="1" t="n">
        <v>45301</v>
      </c>
      <c r="C1169" s="1" t="n">
        <v>45765</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1015-2024</t>
        </is>
      </c>
      <c r="B1170" s="1" t="n">
        <v>45301</v>
      </c>
      <c r="C1170" s="1" t="n">
        <v>45765</v>
      </c>
      <c r="D1170" t="inlineStr">
        <is>
          <t>KALMAR LÄN</t>
        </is>
      </c>
      <c r="E1170" t="inlineStr">
        <is>
          <t>VIMMERBY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1018-2024</t>
        </is>
      </c>
      <c r="B1171" s="1" t="n">
        <v>45301</v>
      </c>
      <c r="C1171" s="1" t="n">
        <v>45765</v>
      </c>
      <c r="D1171" t="inlineStr">
        <is>
          <t>KALMAR LÄN</t>
        </is>
      </c>
      <c r="E1171" t="inlineStr">
        <is>
          <t>VIMMERBY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45765</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45765</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45765</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45765</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45765</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45765</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45765</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45765</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45765</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45765</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45765</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45765</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45765</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45765</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45765</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45765</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45765</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45765</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45765</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45765</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45765</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45765</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45765</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45765</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45765</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45765</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45765</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45765</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45765</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45765</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45765</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45765</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45765</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45765</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45765</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45765</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45765</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45765</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45765</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45765</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45765</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45765</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45765</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45765</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45765</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45765</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45765</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45765</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45765</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45765</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45765</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45765</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45765</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45765</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45765</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45765</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45765</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45765</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45765</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45765</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45765</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45765</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45765</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45765</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45765</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45765</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45765</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45765</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45765</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45765</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45765</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45765</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45765</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45765</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45765</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45765</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45765</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45765</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45765</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45765</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45765</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45765</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45765</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45765</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45765</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45765</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45765</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45765</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45765</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45765</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45765</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45765</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45765</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45765</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45765</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45765</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45765</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45765</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45765</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45765</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45765</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45765</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45765</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45765</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45765</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45765</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45765</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45765</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45765</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45765</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45765</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45765</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45765</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45765</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45765</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45765</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45765</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45765</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45765</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45765</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45765</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45765</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45765</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45765</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45765</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45765</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45765</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45765</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45765</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45765</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45765</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45765</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45765</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45765</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45765</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45765</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45765</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45765</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45765</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45765</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45765</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45765</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45765</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45765</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45765</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45765</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45765</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45765</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45765</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45765</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45765</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45765</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45765</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45765</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45765</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45765</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45765</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45765</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45765</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45765</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45765</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45765</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45765</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45765</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45765</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45765</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45765</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45765</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45765</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45765</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45765</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45765</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45765</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45765</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45765</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45765</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45765</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45765</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45765</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45765</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45765</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45765</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45765</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45765</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45765</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45765</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45765</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45765</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45765</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45765</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45765</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45765</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45765</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45765</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45765</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45765</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45765</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45765</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45765</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45765</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45765</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45765</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45765</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45765</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45765</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45765</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45765</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45765</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45765</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45765</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45765</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45765</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45765</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45765</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45765</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45765</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45765</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45765</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45765</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45765</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45765</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45765</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45765</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45765</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45765</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45765</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45765</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45765</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45765</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45765</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45765</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45765</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45765</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45765</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45765</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45765</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45765</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45765</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45765</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45765</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45765</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45765</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45765</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45765</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45765</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45765</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45765</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45765</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45765</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45765</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45765</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45765</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45765</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45765</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45765</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45765</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45765</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45765</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45765</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45765</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45765</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45765</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45765</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45765</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45765</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45765</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45765</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45765</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45765</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45765</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45765</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45765</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45765</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45765</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45765</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45765</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45765</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45765</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45765</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45765</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45765</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45765</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45765</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45765</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45765</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45765</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45765</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45765</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45765</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45765</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45765</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45765</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45765</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45765</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45765</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45765</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45765</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45765</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45765</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45765</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45765</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45765</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45765</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45765</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45765</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45765</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45765</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45765</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45765</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45765</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45765</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45765</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45765</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45765</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45765</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45765</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45765</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45765</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45765</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45765</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45765</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45765</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45765</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45765</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45765</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45765</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45765</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45765</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45765</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45765</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45765</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45765</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45765</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45765</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45765</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45765</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45765</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45765</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45765</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45765</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45765</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45765</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45765</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45765</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45765</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45765</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45765</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45765</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45765</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45765</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45765</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45765</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45765</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45765</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45765</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45765</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45765</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45765</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45765</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45765</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45765</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45765</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45765</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45765</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45765</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45765</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45765</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45765</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45765</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45765</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45765</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45765</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45765</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45765</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45765</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45765</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45765</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45765</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45765</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45765</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45765</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45765</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45765</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45765</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45765</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45765</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45765</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45765</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45765</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45765</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45765</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45765</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45765</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45765</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45765</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45765</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45765</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45765</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45765</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45765</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45765</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45765</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45765</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45765</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45765</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45765</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45765</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45765</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45765</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45765</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45765</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45765</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45765</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45765</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45765</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45765</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45765</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45765</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45765</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45765</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45765</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45765</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45765</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45765</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45765</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45765</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45765</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45765</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45765</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45765</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45765</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45765</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45765</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45765</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45765</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45765</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45765</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45765</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45765</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45765</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12587-2025</t>
        </is>
      </c>
      <c r="B1616" s="1" t="n">
        <v>45732</v>
      </c>
      <c r="C1616" s="1" t="n">
        <v>45765</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12588-2025</t>
        </is>
      </c>
      <c r="B1617" s="1" t="n">
        <v>45732</v>
      </c>
      <c r="C1617" s="1" t="n">
        <v>45765</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45765</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45765</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45765</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45765</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45765</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45765</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45765</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45765</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15391-2025</t>
        </is>
      </c>
      <c r="B1626" s="1" t="n">
        <v>45747</v>
      </c>
      <c r="C1626" s="1" t="n">
        <v>45765</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45765</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45765</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45765</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45765</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45765</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45765</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45765</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45765</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45765</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17084-2025</t>
        </is>
      </c>
      <c r="B1636" s="1" t="n">
        <v>45755</v>
      </c>
      <c r="C1636" s="1" t="n">
        <v>45765</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16953-2025</t>
        </is>
      </c>
      <c r="B1637" s="1" t="n">
        <v>45755</v>
      </c>
      <c r="C1637" s="1" t="n">
        <v>45765</v>
      </c>
      <c r="D1637" t="inlineStr">
        <is>
          <t>KALMAR LÄN</t>
        </is>
      </c>
      <c r="E1637" t="inlineStr">
        <is>
          <t>VIMMERBY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45765</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45765</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18022-2025</t>
        </is>
      </c>
      <c r="B1640" s="1" t="n">
        <v>45761</v>
      </c>
      <c r="C1640" s="1" t="n">
        <v>45765</v>
      </c>
      <c r="D1640" t="inlineStr">
        <is>
          <t>KALMAR LÄN</t>
        </is>
      </c>
      <c r="E1640" t="inlineStr">
        <is>
          <t>VIMMERBY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17978-2025</t>
        </is>
      </c>
      <c r="B1641" s="1" t="n">
        <v>45761</v>
      </c>
      <c r="C1641" s="1" t="n">
        <v>45765</v>
      </c>
      <c r="D1641" t="inlineStr">
        <is>
          <t>KALMAR LÄN</t>
        </is>
      </c>
      <c r="E1641" t="inlineStr">
        <is>
          <t>VIMMERBY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17988-2025</t>
        </is>
      </c>
      <c r="B1642" s="1" t="n">
        <v>45761</v>
      </c>
      <c r="C1642" s="1" t="n">
        <v>45765</v>
      </c>
      <c r="D1642" t="inlineStr">
        <is>
          <t>KALMAR LÄN</t>
        </is>
      </c>
      <c r="E1642" t="inlineStr">
        <is>
          <t>VIMMERBY</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18020-2025</t>
        </is>
      </c>
      <c r="B1643" s="1" t="n">
        <v>45761</v>
      </c>
      <c r="C1643" s="1" t="n">
        <v>45765</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17968-2025</t>
        </is>
      </c>
      <c r="B1644" s="1" t="n">
        <v>45761</v>
      </c>
      <c r="C1644" s="1" t="n">
        <v>45765</v>
      </c>
      <c r="D1644" t="inlineStr">
        <is>
          <t>KALMAR LÄN</t>
        </is>
      </c>
      <c r="E1644" t="inlineStr">
        <is>
          <t>VIMMERBY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18039-2025</t>
        </is>
      </c>
      <c r="B1645" s="1" t="n">
        <v>45761</v>
      </c>
      <c r="C1645" s="1" t="n">
        <v>45765</v>
      </c>
      <c r="D1645" t="inlineStr">
        <is>
          <t>KALMAR LÄN</t>
        </is>
      </c>
      <c r="E1645" t="inlineStr">
        <is>
          <t>VIMMERBY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45765</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45765</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c r="A1648" t="inlineStr">
        <is>
          <t>A 18899-2025</t>
        </is>
      </c>
      <c r="B1648" s="1" t="n">
        <v>45764</v>
      </c>
      <c r="C1648" s="1" t="n">
        <v>45765</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2025-04-18T16:41:31Z</dcterms:created>
  <dcterms:modified xmlns:dcterms="http://purl.org/dc/terms/" xmlns:xsi="http://www.w3.org/2001/XMLSchema-instance" xsi:type="dcterms:W3CDTF">2025-04-18T16:41:32Z</dcterms:modified>
</cp:coreProperties>
</file>