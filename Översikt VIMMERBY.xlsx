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45993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45993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45993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45993</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45993</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45993</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45993</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3075-2025</t>
        </is>
      </c>
      <c r="B14" s="1" t="n">
        <v>45678</v>
      </c>
      <c r="C14" s="1" t="n">
        <v>45993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45993</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8411-2021</t>
        </is>
      </c>
      <c r="B16" s="1" t="n">
        <v>44245</v>
      </c>
      <c r="C16" s="1" t="n">
        <v>45993</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45993</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45993</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45993</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45993</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45993</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45993</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45993</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14024-2023</t>
        </is>
      </c>
      <c r="B24" s="1" t="n">
        <v>45008.60878472222</v>
      </c>
      <c r="C24" s="1" t="n">
        <v>45993</v>
      </c>
      <c r="D24" t="inlineStr">
        <is>
          <t>KALMAR LÄN</t>
        </is>
      </c>
      <c r="E24" t="inlineStr">
        <is>
          <t>VIMMERBY</t>
        </is>
      </c>
      <c r="G24" t="n">
        <v>3.2</v>
      </c>
      <c r="H24" t="n">
        <v>1</v>
      </c>
      <c r="I24" t="n">
        <v>1</v>
      </c>
      <c r="J24" t="n">
        <v>0</v>
      </c>
      <c r="K24" t="n">
        <v>0</v>
      </c>
      <c r="L24" t="n">
        <v>1</v>
      </c>
      <c r="M24" t="n">
        <v>0</v>
      </c>
      <c r="N24" t="n">
        <v>0</v>
      </c>
      <c r="O24" t="n">
        <v>1</v>
      </c>
      <c r="P24" t="n">
        <v>1</v>
      </c>
      <c r="Q24" t="n">
        <v>2</v>
      </c>
      <c r="R24" s="2" t="inlineStr">
        <is>
          <t>Ryl
Purpurknipprot</t>
        </is>
      </c>
      <c r="S24">
        <f>HYPERLINK("https://klasma.github.io/Logging_0884/artfynd/A 14024-2023 artfynd.xlsx", "A 14024-2023")</f>
        <v/>
      </c>
      <c r="T24">
        <f>HYPERLINK("https://klasma.github.io/Logging_0884/kartor/A 14024-2023 karta.png", "A 14024-2023")</f>
        <v/>
      </c>
      <c r="V24">
        <f>HYPERLINK("https://klasma.github.io/Logging_0884/klagomål/A 14024-2023 FSC-klagomål.docx", "A 14024-2023")</f>
        <v/>
      </c>
      <c r="W24">
        <f>HYPERLINK("https://klasma.github.io/Logging_0884/klagomålsmail/A 14024-2023 FSC-klagomål mail.docx", "A 14024-2023")</f>
        <v/>
      </c>
      <c r="X24">
        <f>HYPERLINK("https://klasma.github.io/Logging_0884/tillsyn/A 14024-2023 tillsynsbegäran.docx", "A 14024-2023")</f>
        <v/>
      </c>
      <c r="Y24">
        <f>HYPERLINK("https://klasma.github.io/Logging_0884/tillsynsmail/A 14024-2023 tillsynsbegäran mail.docx", "A 14024-2023")</f>
        <v/>
      </c>
    </row>
    <row r="25" ht="15" customHeight="1">
      <c r="A25" t="inlineStr">
        <is>
          <t>A 2518-2023</t>
        </is>
      </c>
      <c r="B25" s="1" t="n">
        <v>44943</v>
      </c>
      <c r="C25" s="1" t="n">
        <v>45993</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45993</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40684-2025</t>
        </is>
      </c>
      <c r="B27" s="1" t="n">
        <v>45896.86820601852</v>
      </c>
      <c r="C27" s="1" t="n">
        <v>45993</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22825-2023</t>
        </is>
      </c>
      <c r="B28" s="1" t="n">
        <v>45072</v>
      </c>
      <c r="C28" s="1" t="n">
        <v>45993</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42802-2025</t>
        </is>
      </c>
      <c r="B29" s="1" t="n">
        <v>45908</v>
      </c>
      <c r="C29" s="1" t="n">
        <v>45993</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19158-2023</t>
        </is>
      </c>
      <c r="B30" s="1" t="n">
        <v>45048</v>
      </c>
      <c r="C30" s="1" t="n">
        <v>45993</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45993</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22396-2025</t>
        </is>
      </c>
      <c r="B32" s="1" t="n">
        <v>45786.52827546297</v>
      </c>
      <c r="C32" s="1" t="n">
        <v>45993</v>
      </c>
      <c r="D32" t="inlineStr">
        <is>
          <t>KALMAR LÄN</t>
        </is>
      </c>
      <c r="E32" t="inlineStr">
        <is>
          <t>VIMMERBY</t>
        </is>
      </c>
      <c r="G32" t="n">
        <v>2.5</v>
      </c>
      <c r="H32" t="n">
        <v>2</v>
      </c>
      <c r="I32" t="n">
        <v>0</v>
      </c>
      <c r="J32" t="n">
        <v>0</v>
      </c>
      <c r="K32" t="n">
        <v>1</v>
      </c>
      <c r="L32" t="n">
        <v>0</v>
      </c>
      <c r="M32" t="n">
        <v>0</v>
      </c>
      <c r="N32" t="n">
        <v>0</v>
      </c>
      <c r="O32" t="n">
        <v>1</v>
      </c>
      <c r="P32" t="n">
        <v>1</v>
      </c>
      <c r="Q32" t="n">
        <v>2</v>
      </c>
      <c r="R32" s="2" t="inlineStr">
        <is>
          <t>Knärot
Kungsfågel</t>
        </is>
      </c>
      <c r="S32">
        <f>HYPERLINK("https://klasma.github.io/Logging_0884/artfynd/A 22396-2025 artfynd.xlsx", "A 22396-2025")</f>
        <v/>
      </c>
      <c r="T32">
        <f>HYPERLINK("https://klasma.github.io/Logging_0884/kartor/A 22396-2025 karta.png", "A 22396-2025")</f>
        <v/>
      </c>
      <c r="U32">
        <f>HYPERLINK("https://klasma.github.io/Logging_0884/knärot/A 22396-2025 karta knärot.png", "A 22396-2025")</f>
        <v/>
      </c>
      <c r="V32">
        <f>HYPERLINK("https://klasma.github.io/Logging_0884/klagomål/A 22396-2025 FSC-klagomål.docx", "A 22396-2025")</f>
        <v/>
      </c>
      <c r="W32">
        <f>HYPERLINK("https://klasma.github.io/Logging_0884/klagomålsmail/A 22396-2025 FSC-klagomål mail.docx", "A 22396-2025")</f>
        <v/>
      </c>
      <c r="X32">
        <f>HYPERLINK("https://klasma.github.io/Logging_0884/tillsyn/A 22396-2025 tillsynsbegäran.docx", "A 22396-2025")</f>
        <v/>
      </c>
      <c r="Y32">
        <f>HYPERLINK("https://klasma.github.io/Logging_0884/tillsynsmail/A 22396-2025 tillsynsbegäran mail.docx", "A 22396-2025")</f>
        <v/>
      </c>
      <c r="Z32">
        <f>HYPERLINK("https://klasma.github.io/Logging_0884/fåglar/A 22396-2025 prioriterade fågelarter.docx", "A 22396-2025")</f>
        <v/>
      </c>
    </row>
    <row r="33" ht="15" customHeight="1">
      <c r="A33" t="inlineStr">
        <is>
          <t>A 32396-2021</t>
        </is>
      </c>
      <c r="B33" s="1" t="n">
        <v>44371</v>
      </c>
      <c r="C33" s="1" t="n">
        <v>45993</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37930-2021</t>
        </is>
      </c>
      <c r="B34" s="1" t="n">
        <v>44403</v>
      </c>
      <c r="C34" s="1" t="n">
        <v>45993</v>
      </c>
      <c r="D34" t="inlineStr">
        <is>
          <t>KALMAR LÄN</t>
        </is>
      </c>
      <c r="E34" t="inlineStr">
        <is>
          <t>VIMMERBY</t>
        </is>
      </c>
      <c r="G34" t="n">
        <v>4.4</v>
      </c>
      <c r="H34" t="n">
        <v>0</v>
      </c>
      <c r="I34" t="n">
        <v>0</v>
      </c>
      <c r="J34" t="n">
        <v>1</v>
      </c>
      <c r="K34" t="n">
        <v>0</v>
      </c>
      <c r="L34" t="n">
        <v>0</v>
      </c>
      <c r="M34" t="n">
        <v>0</v>
      </c>
      <c r="N34" t="n">
        <v>0</v>
      </c>
      <c r="O34" t="n">
        <v>1</v>
      </c>
      <c r="P34" t="n">
        <v>0</v>
      </c>
      <c r="Q34" t="n">
        <v>1</v>
      </c>
      <c r="R34" s="2" t="inlineStr">
        <is>
          <t>Spindelört</t>
        </is>
      </c>
      <c r="S34">
        <f>HYPERLINK("https://klasma.github.io/Logging_0884/artfynd/A 37930-2021 artfynd.xlsx", "A 37930-2021")</f>
        <v/>
      </c>
      <c r="T34">
        <f>HYPERLINK("https://klasma.github.io/Logging_0884/kartor/A 37930-2021 karta.png", "A 37930-2021")</f>
        <v/>
      </c>
      <c r="V34">
        <f>HYPERLINK("https://klasma.github.io/Logging_0884/klagomål/A 37930-2021 FSC-klagomål.docx", "A 37930-2021")</f>
        <v/>
      </c>
      <c r="W34">
        <f>HYPERLINK("https://klasma.github.io/Logging_0884/klagomålsmail/A 37930-2021 FSC-klagomål mail.docx", "A 37930-2021")</f>
        <v/>
      </c>
      <c r="X34">
        <f>HYPERLINK("https://klasma.github.io/Logging_0884/tillsyn/A 37930-2021 tillsynsbegäran.docx", "A 37930-2021")</f>
        <v/>
      </c>
      <c r="Y34">
        <f>HYPERLINK("https://klasma.github.io/Logging_0884/tillsynsmail/A 37930-2021 tillsynsbegäran mail.docx", "A 37930-2021")</f>
        <v/>
      </c>
    </row>
    <row r="35" ht="15" customHeight="1">
      <c r="A35" t="inlineStr">
        <is>
          <t>A 15122-2024</t>
        </is>
      </c>
      <c r="B35" s="1" t="n">
        <v>45399.71412037037</v>
      </c>
      <c r="C35" s="1" t="n">
        <v>45993</v>
      </c>
      <c r="D35" t="inlineStr">
        <is>
          <t>KALMAR LÄN</t>
        </is>
      </c>
      <c r="E35" t="inlineStr">
        <is>
          <t>VIMMERBY</t>
        </is>
      </c>
      <c r="G35" t="n">
        <v>1.7</v>
      </c>
      <c r="H35" t="n">
        <v>0</v>
      </c>
      <c r="I35" t="n">
        <v>0</v>
      </c>
      <c r="J35" t="n">
        <v>0</v>
      </c>
      <c r="K35" t="n">
        <v>1</v>
      </c>
      <c r="L35" t="n">
        <v>0</v>
      </c>
      <c r="M35" t="n">
        <v>0</v>
      </c>
      <c r="N35" t="n">
        <v>0</v>
      </c>
      <c r="O35" t="n">
        <v>1</v>
      </c>
      <c r="P35" t="n">
        <v>1</v>
      </c>
      <c r="Q35" t="n">
        <v>1</v>
      </c>
      <c r="R35" s="2" t="inlineStr">
        <is>
          <t>Sågfibbla</t>
        </is>
      </c>
      <c r="S35">
        <f>HYPERLINK("https://klasma.github.io/Logging_0884/artfynd/A 15122-2024 artfynd.xlsx", "A 15122-2024")</f>
        <v/>
      </c>
      <c r="T35">
        <f>HYPERLINK("https://klasma.github.io/Logging_0884/kartor/A 15122-2024 karta.png", "A 15122-2024")</f>
        <v/>
      </c>
      <c r="V35">
        <f>HYPERLINK("https://klasma.github.io/Logging_0884/klagomål/A 15122-2024 FSC-klagomål.docx", "A 15122-2024")</f>
        <v/>
      </c>
      <c r="W35">
        <f>HYPERLINK("https://klasma.github.io/Logging_0884/klagomålsmail/A 15122-2024 FSC-klagomål mail.docx", "A 15122-2024")</f>
        <v/>
      </c>
      <c r="X35">
        <f>HYPERLINK("https://klasma.github.io/Logging_0884/tillsyn/A 15122-2024 tillsynsbegäran.docx", "A 15122-2024")</f>
        <v/>
      </c>
      <c r="Y35">
        <f>HYPERLINK("https://klasma.github.io/Logging_0884/tillsynsmail/A 15122-2024 tillsynsbegäran mail.docx", "A 15122-2024")</f>
        <v/>
      </c>
    </row>
    <row r="36" ht="15" customHeight="1">
      <c r="A36" t="inlineStr">
        <is>
          <t>A 32985-2023</t>
        </is>
      </c>
      <c r="B36" s="1" t="n">
        <v>45125</v>
      </c>
      <c r="C36" s="1" t="n">
        <v>45993</v>
      </c>
      <c r="D36" t="inlineStr">
        <is>
          <t>KALMAR LÄN</t>
        </is>
      </c>
      <c r="E36" t="inlineStr">
        <is>
          <t>VIMMERBY</t>
        </is>
      </c>
      <c r="G36" t="n">
        <v>1.9</v>
      </c>
      <c r="H36" t="n">
        <v>0</v>
      </c>
      <c r="I36" t="n">
        <v>0</v>
      </c>
      <c r="J36" t="n">
        <v>0</v>
      </c>
      <c r="K36" t="n">
        <v>0</v>
      </c>
      <c r="L36" t="n">
        <v>1</v>
      </c>
      <c r="M36" t="n">
        <v>0</v>
      </c>
      <c r="N36" t="n">
        <v>0</v>
      </c>
      <c r="O36" t="n">
        <v>1</v>
      </c>
      <c r="P36" t="n">
        <v>1</v>
      </c>
      <c r="Q36" t="n">
        <v>1</v>
      </c>
      <c r="R36" s="2" t="inlineStr">
        <is>
          <t>Ryl</t>
        </is>
      </c>
      <c r="S36">
        <f>HYPERLINK("https://klasma.github.io/Logging_0884/artfynd/A 32985-2023 artfynd.xlsx", "A 32985-2023")</f>
        <v/>
      </c>
      <c r="T36">
        <f>HYPERLINK("https://klasma.github.io/Logging_0884/kartor/A 32985-2023 karta.png", "A 32985-2023")</f>
        <v/>
      </c>
      <c r="V36">
        <f>HYPERLINK("https://klasma.github.io/Logging_0884/klagomål/A 32985-2023 FSC-klagomål.docx", "A 32985-2023")</f>
        <v/>
      </c>
      <c r="W36">
        <f>HYPERLINK("https://klasma.github.io/Logging_0884/klagomålsmail/A 32985-2023 FSC-klagomål mail.docx", "A 32985-2023")</f>
        <v/>
      </c>
      <c r="X36">
        <f>HYPERLINK("https://klasma.github.io/Logging_0884/tillsyn/A 32985-2023 tillsynsbegäran.docx", "A 32985-2023")</f>
        <v/>
      </c>
      <c r="Y36">
        <f>HYPERLINK("https://klasma.github.io/Logging_0884/tillsynsmail/A 32985-2023 tillsynsbegäran mail.docx", "A 32985-2023")</f>
        <v/>
      </c>
    </row>
    <row r="37" ht="15" customHeight="1">
      <c r="A37" t="inlineStr">
        <is>
          <t>A 28852-2023</t>
        </is>
      </c>
      <c r="B37" s="1" t="n">
        <v>45104</v>
      </c>
      <c r="C37" s="1" t="n">
        <v>45993</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45993</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44515-2024</t>
        </is>
      </c>
      <c r="B39" s="1" t="n">
        <v>45574.42767361111</v>
      </c>
      <c r="C39" s="1" t="n">
        <v>45993</v>
      </c>
      <c r="D39" t="inlineStr">
        <is>
          <t>KALMAR LÄN</t>
        </is>
      </c>
      <c r="E39" t="inlineStr">
        <is>
          <t>VIMMERBY</t>
        </is>
      </c>
      <c r="G39" t="n">
        <v>1.4</v>
      </c>
      <c r="H39" t="n">
        <v>1</v>
      </c>
      <c r="I39" t="n">
        <v>0</v>
      </c>
      <c r="J39" t="n">
        <v>0</v>
      </c>
      <c r="K39" t="n">
        <v>1</v>
      </c>
      <c r="L39" t="n">
        <v>0</v>
      </c>
      <c r="M39" t="n">
        <v>0</v>
      </c>
      <c r="N39" t="n">
        <v>0</v>
      </c>
      <c r="O39" t="n">
        <v>1</v>
      </c>
      <c r="P39" t="n">
        <v>1</v>
      </c>
      <c r="Q39" t="n">
        <v>1</v>
      </c>
      <c r="R39" s="2" t="inlineStr">
        <is>
          <t>Knärot</t>
        </is>
      </c>
      <c r="S39">
        <f>HYPERLINK("https://klasma.github.io/Logging_0884/artfynd/A 44515-2024 artfynd.xlsx", "A 44515-2024")</f>
        <v/>
      </c>
      <c r="T39">
        <f>HYPERLINK("https://klasma.github.io/Logging_0884/kartor/A 44515-2024 karta.png", "A 44515-2024")</f>
        <v/>
      </c>
      <c r="U39">
        <f>HYPERLINK("https://klasma.github.io/Logging_0884/knärot/A 44515-2024 karta knärot.png", "A 44515-2024")</f>
        <v/>
      </c>
      <c r="V39">
        <f>HYPERLINK("https://klasma.github.io/Logging_0884/klagomål/A 44515-2024 FSC-klagomål.docx", "A 44515-2024")</f>
        <v/>
      </c>
      <c r="W39">
        <f>HYPERLINK("https://klasma.github.io/Logging_0884/klagomålsmail/A 44515-2024 FSC-klagomål mail.docx", "A 44515-2024")</f>
        <v/>
      </c>
      <c r="X39">
        <f>HYPERLINK("https://klasma.github.io/Logging_0884/tillsyn/A 44515-2024 tillsynsbegäran.docx", "A 44515-2024")</f>
        <v/>
      </c>
      <c r="Y39">
        <f>HYPERLINK("https://klasma.github.io/Logging_0884/tillsynsmail/A 44515-2024 tillsynsbegäran mail.docx", "A 44515-2024")</f>
        <v/>
      </c>
    </row>
    <row r="40" ht="15" customHeight="1">
      <c r="A40" t="inlineStr">
        <is>
          <t>A 40083-2023</t>
        </is>
      </c>
      <c r="B40" s="1" t="n">
        <v>45168</v>
      </c>
      <c r="C40" s="1" t="n">
        <v>45993</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45993</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6841-2021</t>
        </is>
      </c>
      <c r="B42" s="1" t="n">
        <v>44236</v>
      </c>
      <c r="C42" s="1" t="n">
        <v>45993</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61860-2024</t>
        </is>
      </c>
      <c r="B43" s="1" t="n">
        <v>45649</v>
      </c>
      <c r="C43" s="1" t="n">
        <v>45993</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33436-2021</t>
        </is>
      </c>
      <c r="B44" s="1" t="n">
        <v>44377.61104166666</v>
      </c>
      <c r="C44" s="1" t="n">
        <v>45993</v>
      </c>
      <c r="D44" t="inlineStr">
        <is>
          <t>KALMAR LÄN</t>
        </is>
      </c>
      <c r="E44" t="inlineStr">
        <is>
          <t>VIMMERBY</t>
        </is>
      </c>
      <c r="G44" t="n">
        <v>11.8</v>
      </c>
      <c r="H44" t="n">
        <v>1</v>
      </c>
      <c r="I44" t="n">
        <v>0</v>
      </c>
      <c r="J44" t="n">
        <v>0</v>
      </c>
      <c r="K44" t="n">
        <v>1</v>
      </c>
      <c r="L44" t="n">
        <v>0</v>
      </c>
      <c r="M44" t="n">
        <v>0</v>
      </c>
      <c r="N44" t="n">
        <v>0</v>
      </c>
      <c r="O44" t="n">
        <v>1</v>
      </c>
      <c r="P44" t="n">
        <v>1</v>
      </c>
      <c r="Q44" t="n">
        <v>1</v>
      </c>
      <c r="R44" s="2" t="inlineStr">
        <is>
          <t>Knärot</t>
        </is>
      </c>
      <c r="S44">
        <f>HYPERLINK("https://klasma.github.io/Logging_0884/artfynd/A 33436-2021 artfynd.xlsx", "A 33436-2021")</f>
        <v/>
      </c>
      <c r="T44">
        <f>HYPERLINK("https://klasma.github.io/Logging_0884/kartor/A 33436-2021 karta.png", "A 33436-2021")</f>
        <v/>
      </c>
      <c r="U44">
        <f>HYPERLINK("https://klasma.github.io/Logging_0884/knärot/A 33436-2021 karta knärot.png", "A 33436-2021")</f>
        <v/>
      </c>
      <c r="V44">
        <f>HYPERLINK("https://klasma.github.io/Logging_0884/klagomål/A 33436-2021 FSC-klagomål.docx", "A 33436-2021")</f>
        <v/>
      </c>
      <c r="W44">
        <f>HYPERLINK("https://klasma.github.io/Logging_0884/klagomålsmail/A 33436-2021 FSC-klagomål mail.docx", "A 33436-2021")</f>
        <v/>
      </c>
      <c r="X44">
        <f>HYPERLINK("https://klasma.github.io/Logging_0884/tillsyn/A 33436-2021 tillsynsbegäran.docx", "A 33436-2021")</f>
        <v/>
      </c>
      <c r="Y44">
        <f>HYPERLINK("https://klasma.github.io/Logging_0884/tillsynsmail/A 33436-2021 tillsynsbegäran mail.docx", "A 33436-2021")</f>
        <v/>
      </c>
    </row>
    <row r="45" ht="15" customHeight="1">
      <c r="A45" t="inlineStr">
        <is>
          <t>A 9067-2025</t>
        </is>
      </c>
      <c r="B45" s="1" t="n">
        <v>45713</v>
      </c>
      <c r="C45" s="1" t="n">
        <v>45993</v>
      </c>
      <c r="D45" t="inlineStr">
        <is>
          <t>KALMAR LÄN</t>
        </is>
      </c>
      <c r="E45" t="inlineStr">
        <is>
          <t>VIMMERBY</t>
        </is>
      </c>
      <c r="G45" t="n">
        <v>3.9</v>
      </c>
      <c r="H45" t="n">
        <v>0</v>
      </c>
      <c r="I45" t="n">
        <v>1</v>
      </c>
      <c r="J45" t="n">
        <v>0</v>
      </c>
      <c r="K45" t="n">
        <v>0</v>
      </c>
      <c r="L45" t="n">
        <v>0</v>
      </c>
      <c r="M45" t="n">
        <v>0</v>
      </c>
      <c r="N45" t="n">
        <v>0</v>
      </c>
      <c r="O45" t="n">
        <v>0</v>
      </c>
      <c r="P45" t="n">
        <v>0</v>
      </c>
      <c r="Q45" t="n">
        <v>1</v>
      </c>
      <c r="R45" s="2" t="inlineStr">
        <is>
          <t>Ögonpyrola</t>
        </is>
      </c>
      <c r="S45">
        <f>HYPERLINK("https://klasma.github.io/Logging_0884/artfynd/A 9067-2025 artfynd.xlsx", "A 9067-2025")</f>
        <v/>
      </c>
      <c r="T45">
        <f>HYPERLINK("https://klasma.github.io/Logging_0884/kartor/A 9067-2025 karta.png", "A 9067-2025")</f>
        <v/>
      </c>
      <c r="V45">
        <f>HYPERLINK("https://klasma.github.io/Logging_0884/klagomål/A 9067-2025 FSC-klagomål.docx", "A 9067-2025")</f>
        <v/>
      </c>
      <c r="W45">
        <f>HYPERLINK("https://klasma.github.io/Logging_0884/klagomålsmail/A 9067-2025 FSC-klagomål mail.docx", "A 9067-2025")</f>
        <v/>
      </c>
      <c r="X45">
        <f>HYPERLINK("https://klasma.github.io/Logging_0884/tillsyn/A 9067-2025 tillsynsbegäran.docx", "A 9067-2025")</f>
        <v/>
      </c>
      <c r="Y45">
        <f>HYPERLINK("https://klasma.github.io/Logging_0884/tillsynsmail/A 9067-2025 tillsynsbegäran mail.docx", "A 9067-2025")</f>
        <v/>
      </c>
    </row>
    <row r="46" ht="15" customHeight="1">
      <c r="A46" t="inlineStr">
        <is>
          <t>A 53404-2025</t>
        </is>
      </c>
      <c r="B46" s="1" t="n">
        <v>45959.57126157408</v>
      </c>
      <c r="C46" s="1" t="n">
        <v>45993</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23602-2023</t>
        </is>
      </c>
      <c r="B47" s="1" t="n">
        <v>45077</v>
      </c>
      <c r="C47" s="1" t="n">
        <v>45993</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53400-2025</t>
        </is>
      </c>
      <c r="B48" s="1" t="n">
        <v>45959.56684027778</v>
      </c>
      <c r="C48" s="1" t="n">
        <v>45993</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57062-2025</t>
        </is>
      </c>
      <c r="B49" s="1" t="n">
        <v>45979.37598379629</v>
      </c>
      <c r="C49" s="1" t="n">
        <v>45993</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1201-2025</t>
        </is>
      </c>
      <c r="B50" s="1" t="n">
        <v>45667</v>
      </c>
      <c r="C50" s="1" t="n">
        <v>45993</v>
      </c>
      <c r="D50" t="inlineStr">
        <is>
          <t>KALMAR LÄN</t>
        </is>
      </c>
      <c r="E50" t="inlineStr">
        <is>
          <t>VIMMERBY</t>
        </is>
      </c>
      <c r="G50" t="n">
        <v>6.4</v>
      </c>
      <c r="H50" t="n">
        <v>1</v>
      </c>
      <c r="I50" t="n">
        <v>0</v>
      </c>
      <c r="J50" t="n">
        <v>0</v>
      </c>
      <c r="K50" t="n">
        <v>1</v>
      </c>
      <c r="L50" t="n">
        <v>0</v>
      </c>
      <c r="M50" t="n">
        <v>0</v>
      </c>
      <c r="N50" t="n">
        <v>0</v>
      </c>
      <c r="O50" t="n">
        <v>1</v>
      </c>
      <c r="P50" t="n">
        <v>1</v>
      </c>
      <c r="Q50" t="n">
        <v>1</v>
      </c>
      <c r="R50" s="2" t="inlineStr">
        <is>
          <t>Knärot</t>
        </is>
      </c>
      <c r="S50">
        <f>HYPERLINK("https://klasma.github.io/Logging_0884/artfynd/A 1201-2025 artfynd.xlsx", "A 1201-2025")</f>
        <v/>
      </c>
      <c r="T50">
        <f>HYPERLINK("https://klasma.github.io/Logging_0884/kartor/A 1201-2025 karta.png", "A 1201-2025")</f>
        <v/>
      </c>
      <c r="U50">
        <f>HYPERLINK("https://klasma.github.io/Logging_0884/knärot/A 1201-2025 karta knärot.png", "A 1201-2025")</f>
        <v/>
      </c>
      <c r="V50">
        <f>HYPERLINK("https://klasma.github.io/Logging_0884/klagomål/A 1201-2025 FSC-klagomål.docx", "A 1201-2025")</f>
        <v/>
      </c>
      <c r="W50">
        <f>HYPERLINK("https://klasma.github.io/Logging_0884/klagomålsmail/A 1201-2025 FSC-klagomål mail.docx", "A 1201-2025")</f>
        <v/>
      </c>
      <c r="X50">
        <f>HYPERLINK("https://klasma.github.io/Logging_0884/tillsyn/A 1201-2025 tillsynsbegäran.docx", "A 1201-2025")</f>
        <v/>
      </c>
      <c r="Y50">
        <f>HYPERLINK("https://klasma.github.io/Logging_0884/tillsynsmail/A 1201-2025 tillsynsbegäran mail.docx", "A 1201-2025")</f>
        <v/>
      </c>
    </row>
    <row r="51" ht="15" customHeight="1">
      <c r="A51" t="inlineStr">
        <is>
          <t>A 29183-2025</t>
        </is>
      </c>
      <c r="B51" s="1" t="n">
        <v>45821</v>
      </c>
      <c r="C51" s="1" t="n">
        <v>45993</v>
      </c>
      <c r="D51" t="inlineStr">
        <is>
          <t>KALMAR LÄN</t>
        </is>
      </c>
      <c r="E51" t="inlineStr">
        <is>
          <t>VIMMERBY</t>
        </is>
      </c>
      <c r="G51" t="n">
        <v>2.7</v>
      </c>
      <c r="H51" t="n">
        <v>0</v>
      </c>
      <c r="I51" t="n">
        <v>1</v>
      </c>
      <c r="J51" t="n">
        <v>0</v>
      </c>
      <c r="K51" t="n">
        <v>0</v>
      </c>
      <c r="L51" t="n">
        <v>0</v>
      </c>
      <c r="M51" t="n">
        <v>0</v>
      </c>
      <c r="N51" t="n">
        <v>0</v>
      </c>
      <c r="O51" t="n">
        <v>0</v>
      </c>
      <c r="P51" t="n">
        <v>0</v>
      </c>
      <c r="Q51" t="n">
        <v>1</v>
      </c>
      <c r="R51" s="2" t="inlineStr">
        <is>
          <t>Sårläka</t>
        </is>
      </c>
      <c r="S51">
        <f>HYPERLINK("https://klasma.github.io/Logging_0884/artfynd/A 29183-2025 artfynd.xlsx", "A 29183-2025")</f>
        <v/>
      </c>
      <c r="T51">
        <f>HYPERLINK("https://klasma.github.io/Logging_0884/kartor/A 29183-2025 karta.png", "A 29183-2025")</f>
        <v/>
      </c>
      <c r="V51">
        <f>HYPERLINK("https://klasma.github.io/Logging_0884/klagomål/A 29183-2025 FSC-klagomål.docx", "A 29183-2025")</f>
        <v/>
      </c>
      <c r="W51">
        <f>HYPERLINK("https://klasma.github.io/Logging_0884/klagomålsmail/A 29183-2025 FSC-klagomål mail.docx", "A 29183-2025")</f>
        <v/>
      </c>
      <c r="X51">
        <f>HYPERLINK("https://klasma.github.io/Logging_0884/tillsyn/A 29183-2025 tillsynsbegäran.docx", "A 29183-2025")</f>
        <v/>
      </c>
      <c r="Y51">
        <f>HYPERLINK("https://klasma.github.io/Logging_0884/tillsynsmail/A 29183-2025 tillsynsbegäran mail.docx", "A 29183-2025")</f>
        <v/>
      </c>
    </row>
    <row r="52" ht="15" customHeight="1">
      <c r="A52" t="inlineStr">
        <is>
          <t>A 15092-2021</t>
        </is>
      </c>
      <c r="B52" s="1" t="n">
        <v>44281.79269675926</v>
      </c>
      <c r="C52" s="1" t="n">
        <v>45993</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45993</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45993</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45993</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45993</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45993</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45993</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45993</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45993</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45993</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45993</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45993</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45993</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45993</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45993</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45993</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45993</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45993</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45993</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45993</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45993</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45993</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45993</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45993</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45993</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45993</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45993</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45993</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45993</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45993</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45993</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45993</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45993</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45993</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45993</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45993</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45993</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45993</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45993</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45993</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45993</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45993</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45993</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45993</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45993</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45993</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45993</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45993</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45993</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45993</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45993</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45993</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45993</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45993</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45993</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45993</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45993</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45993</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45993</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45993</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45993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45993</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45993</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45993</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45993</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45993</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45993</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45993</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45993</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45993</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45993</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16602-2021</t>
        </is>
      </c>
      <c r="B123" s="1" t="n">
        <v>44294</v>
      </c>
      <c r="C123" s="1" t="n">
        <v>45993</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16607-2021</t>
        </is>
      </c>
      <c r="B124" s="1" t="n">
        <v>44294</v>
      </c>
      <c r="C124" s="1" t="n">
        <v>45993</v>
      </c>
      <c r="D124" t="inlineStr">
        <is>
          <t>KALMAR LÄN</t>
        </is>
      </c>
      <c r="E124" t="inlineStr">
        <is>
          <t>VIMMERBY</t>
        </is>
      </c>
      <c r="G124" t="n">
        <v>1</v>
      </c>
      <c r="H124" t="n">
        <v>0</v>
      </c>
      <c r="I124" t="n">
        <v>0</v>
      </c>
      <c r="J124" t="n">
        <v>0</v>
      </c>
      <c r="K124" t="n">
        <v>0</v>
      </c>
      <c r="L124" t="n">
        <v>0</v>
      </c>
      <c r="M124" t="n">
        <v>0</v>
      </c>
      <c r="N124" t="n">
        <v>0</v>
      </c>
      <c r="O124" t="n">
        <v>0</v>
      </c>
      <c r="P124" t="n">
        <v>0</v>
      </c>
      <c r="Q124" t="n">
        <v>0</v>
      </c>
      <c r="R124" s="2" t="inlineStr"/>
    </row>
    <row r="125" ht="15" customHeight="1">
      <c r="A125" t="inlineStr">
        <is>
          <t>A 17029-2022</t>
        </is>
      </c>
      <c r="B125" s="1" t="n">
        <v>44676.85248842592</v>
      </c>
      <c r="C125" s="1" t="n">
        <v>45993</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45993</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24369-2021</t>
        </is>
      </c>
      <c r="B127" s="1" t="n">
        <v>44337</v>
      </c>
      <c r="C127" s="1" t="n">
        <v>45993</v>
      </c>
      <c r="D127" t="inlineStr">
        <is>
          <t>KALMAR LÄN</t>
        </is>
      </c>
      <c r="E127" t="inlineStr">
        <is>
          <t>VIMMERBY</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7167-2022</t>
        </is>
      </c>
      <c r="B128" s="1" t="n">
        <v>44604</v>
      </c>
      <c r="C128" s="1" t="n">
        <v>45993</v>
      </c>
      <c r="D128" t="inlineStr">
        <is>
          <t>KALMAR LÄN</t>
        </is>
      </c>
      <c r="E128" t="inlineStr">
        <is>
          <t>VIMMERBY</t>
        </is>
      </c>
      <c r="G128" t="n">
        <v>1.7</v>
      </c>
      <c r="H128" t="n">
        <v>0</v>
      </c>
      <c r="I128" t="n">
        <v>0</v>
      </c>
      <c r="J128" t="n">
        <v>0</v>
      </c>
      <c r="K128" t="n">
        <v>0</v>
      </c>
      <c r="L128" t="n">
        <v>0</v>
      </c>
      <c r="M128" t="n">
        <v>0</v>
      </c>
      <c r="N128" t="n">
        <v>0</v>
      </c>
      <c r="O128" t="n">
        <v>0</v>
      </c>
      <c r="P128" t="n">
        <v>0</v>
      </c>
      <c r="Q128" t="n">
        <v>0</v>
      </c>
      <c r="R128" s="2" t="inlineStr"/>
    </row>
    <row r="129" ht="15" customHeight="1">
      <c r="A129" t="inlineStr">
        <is>
          <t>A 23825-2022</t>
        </is>
      </c>
      <c r="B129" s="1" t="n">
        <v>44722.48768518519</v>
      </c>
      <c r="C129" s="1" t="n">
        <v>45993</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18356-2021</t>
        </is>
      </c>
      <c r="B130" s="1" t="n">
        <v>44305</v>
      </c>
      <c r="C130" s="1" t="n">
        <v>45993</v>
      </c>
      <c r="D130" t="inlineStr">
        <is>
          <t>KALMAR LÄN</t>
        </is>
      </c>
      <c r="E130" t="inlineStr">
        <is>
          <t>VIMMERBY</t>
        </is>
      </c>
      <c r="G130" t="n">
        <v>3.4</v>
      </c>
      <c r="H130" t="n">
        <v>0</v>
      </c>
      <c r="I130" t="n">
        <v>0</v>
      </c>
      <c r="J130" t="n">
        <v>0</v>
      </c>
      <c r="K130" t="n">
        <v>0</v>
      </c>
      <c r="L130" t="n">
        <v>0</v>
      </c>
      <c r="M130" t="n">
        <v>0</v>
      </c>
      <c r="N130" t="n">
        <v>0</v>
      </c>
      <c r="O130" t="n">
        <v>0</v>
      </c>
      <c r="P130" t="n">
        <v>0</v>
      </c>
      <c r="Q130" t="n">
        <v>0</v>
      </c>
      <c r="R130" s="2" t="inlineStr"/>
    </row>
    <row r="131" ht="15" customHeight="1">
      <c r="A131" t="inlineStr">
        <is>
          <t>A 4042-2022</t>
        </is>
      </c>
      <c r="B131" s="1" t="n">
        <v>44588</v>
      </c>
      <c r="C131" s="1" t="n">
        <v>45993</v>
      </c>
      <c r="D131" t="inlineStr">
        <is>
          <t>KALMAR LÄN</t>
        </is>
      </c>
      <c r="E131" t="inlineStr">
        <is>
          <t>VIMMERBY</t>
        </is>
      </c>
      <c r="G131" t="n">
        <v>4.7</v>
      </c>
      <c r="H131" t="n">
        <v>0</v>
      </c>
      <c r="I131" t="n">
        <v>0</v>
      </c>
      <c r="J131" t="n">
        <v>0</v>
      </c>
      <c r="K131" t="n">
        <v>0</v>
      </c>
      <c r="L131" t="n">
        <v>0</v>
      </c>
      <c r="M131" t="n">
        <v>0</v>
      </c>
      <c r="N131" t="n">
        <v>0</v>
      </c>
      <c r="O131" t="n">
        <v>0</v>
      </c>
      <c r="P131" t="n">
        <v>0</v>
      </c>
      <c r="Q131" t="n">
        <v>0</v>
      </c>
      <c r="R131" s="2" t="inlineStr"/>
    </row>
    <row r="132" ht="15" customHeight="1">
      <c r="A132" t="inlineStr">
        <is>
          <t>A 65887-2021</t>
        </is>
      </c>
      <c r="B132" s="1" t="n">
        <v>44517</v>
      </c>
      <c r="C132" s="1" t="n">
        <v>45993</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35001-2021</t>
        </is>
      </c>
      <c r="B133" s="1" t="n">
        <v>44383</v>
      </c>
      <c r="C133" s="1" t="n">
        <v>45993</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45993</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55674-2021</t>
        </is>
      </c>
      <c r="B135" s="1" t="n">
        <v>44476</v>
      </c>
      <c r="C135" s="1" t="n">
        <v>45993</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18276-2021</t>
        </is>
      </c>
      <c r="B136" s="1" t="n">
        <v>44305.40046296296</v>
      </c>
      <c r="C136" s="1" t="n">
        <v>45993</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47473-2021</t>
        </is>
      </c>
      <c r="B137" s="1" t="n">
        <v>44447</v>
      </c>
      <c r="C137" s="1" t="n">
        <v>45993</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40077-2021</t>
        </is>
      </c>
      <c r="B138" s="1" t="n">
        <v>44418</v>
      </c>
      <c r="C138" s="1" t="n">
        <v>45993</v>
      </c>
      <c r="D138" t="inlineStr">
        <is>
          <t>KALMAR LÄN</t>
        </is>
      </c>
      <c r="E138" t="inlineStr">
        <is>
          <t>VIMMERBY</t>
        </is>
      </c>
      <c r="G138" t="n">
        <v>2.9</v>
      </c>
      <c r="H138" t="n">
        <v>0</v>
      </c>
      <c r="I138" t="n">
        <v>0</v>
      </c>
      <c r="J138" t="n">
        <v>0</v>
      </c>
      <c r="K138" t="n">
        <v>0</v>
      </c>
      <c r="L138" t="n">
        <v>0</v>
      </c>
      <c r="M138" t="n">
        <v>0</v>
      </c>
      <c r="N138" t="n">
        <v>0</v>
      </c>
      <c r="O138" t="n">
        <v>0</v>
      </c>
      <c r="P138" t="n">
        <v>0</v>
      </c>
      <c r="Q138" t="n">
        <v>0</v>
      </c>
      <c r="R138" s="2" t="inlineStr"/>
    </row>
    <row r="139" ht="15" customHeight="1">
      <c r="A139" t="inlineStr">
        <is>
          <t>A 47769-2022</t>
        </is>
      </c>
      <c r="B139" s="1" t="n">
        <v>44854</v>
      </c>
      <c r="C139" s="1" t="n">
        <v>45993</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41056-2022</t>
        </is>
      </c>
      <c r="B140" s="1" t="n">
        <v>44824</v>
      </c>
      <c r="C140" s="1" t="n">
        <v>45993</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31660-2021</t>
        </is>
      </c>
      <c r="B141" s="1" t="n">
        <v>44369</v>
      </c>
      <c r="C141" s="1" t="n">
        <v>45993</v>
      </c>
      <c r="D141" t="inlineStr">
        <is>
          <t>KALMAR LÄN</t>
        </is>
      </c>
      <c r="E141" t="inlineStr">
        <is>
          <t>VIMMERBY</t>
        </is>
      </c>
      <c r="G141" t="n">
        <v>4.2</v>
      </c>
      <c r="H141" t="n">
        <v>0</v>
      </c>
      <c r="I141" t="n">
        <v>0</v>
      </c>
      <c r="J141" t="n">
        <v>0</v>
      </c>
      <c r="K141" t="n">
        <v>0</v>
      </c>
      <c r="L141" t="n">
        <v>0</v>
      </c>
      <c r="M141" t="n">
        <v>0</v>
      </c>
      <c r="N141" t="n">
        <v>0</v>
      </c>
      <c r="O141" t="n">
        <v>0</v>
      </c>
      <c r="P141" t="n">
        <v>0</v>
      </c>
      <c r="Q141" t="n">
        <v>0</v>
      </c>
      <c r="R141" s="2" t="inlineStr"/>
    </row>
    <row r="142" ht="15" customHeight="1">
      <c r="A142" t="inlineStr">
        <is>
          <t>A 27455-2022</t>
        </is>
      </c>
      <c r="B142" s="1" t="n">
        <v>44742</v>
      </c>
      <c r="C142" s="1" t="n">
        <v>45993</v>
      </c>
      <c r="D142" t="inlineStr">
        <is>
          <t>KALMAR LÄN</t>
        </is>
      </c>
      <c r="E142" t="inlineStr">
        <is>
          <t>VIMMERBY</t>
        </is>
      </c>
      <c r="G142" t="n">
        <v>1.6</v>
      </c>
      <c r="H142" t="n">
        <v>0</v>
      </c>
      <c r="I142" t="n">
        <v>0</v>
      </c>
      <c r="J142" t="n">
        <v>0</v>
      </c>
      <c r="K142" t="n">
        <v>0</v>
      </c>
      <c r="L142" t="n">
        <v>0</v>
      </c>
      <c r="M142" t="n">
        <v>0</v>
      </c>
      <c r="N142" t="n">
        <v>0</v>
      </c>
      <c r="O142" t="n">
        <v>0</v>
      </c>
      <c r="P142" t="n">
        <v>0</v>
      </c>
      <c r="Q142" t="n">
        <v>0</v>
      </c>
      <c r="R142" s="2" t="inlineStr"/>
    </row>
    <row r="143" ht="15" customHeight="1">
      <c r="A143" t="inlineStr">
        <is>
          <t>A 33690-2022</t>
        </is>
      </c>
      <c r="B143" s="1" t="n">
        <v>44789</v>
      </c>
      <c r="C143" s="1" t="n">
        <v>45993</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12661-2021</t>
        </is>
      </c>
      <c r="B144" s="1" t="n">
        <v>44270</v>
      </c>
      <c r="C144" s="1" t="n">
        <v>45993</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24999-2021</t>
        </is>
      </c>
      <c r="B145" s="1" t="n">
        <v>44341</v>
      </c>
      <c r="C145" s="1" t="n">
        <v>45993</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7917-2022</t>
        </is>
      </c>
      <c r="B146" s="1" t="n">
        <v>44608</v>
      </c>
      <c r="C146" s="1" t="n">
        <v>45993</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47208-2021</t>
        </is>
      </c>
      <c r="B147" s="1" t="n">
        <v>44447.34237268518</v>
      </c>
      <c r="C147" s="1" t="n">
        <v>45993</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48377-2021</t>
        </is>
      </c>
      <c r="B148" s="1" t="n">
        <v>44451.8375</v>
      </c>
      <c r="C148" s="1" t="n">
        <v>45993</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40472-2022</t>
        </is>
      </c>
      <c r="B149" s="1" t="n">
        <v>44823</v>
      </c>
      <c r="C149" s="1" t="n">
        <v>45993</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16705-2021</t>
        </is>
      </c>
      <c r="B150" s="1" t="n">
        <v>44294</v>
      </c>
      <c r="C150" s="1" t="n">
        <v>45993</v>
      </c>
      <c r="D150" t="inlineStr">
        <is>
          <t>KALMAR LÄN</t>
        </is>
      </c>
      <c r="E150" t="inlineStr">
        <is>
          <t>VIMMERBY</t>
        </is>
      </c>
      <c r="G150" t="n">
        <v>2.6</v>
      </c>
      <c r="H150" t="n">
        <v>0</v>
      </c>
      <c r="I150" t="n">
        <v>0</v>
      </c>
      <c r="J150" t="n">
        <v>0</v>
      </c>
      <c r="K150" t="n">
        <v>0</v>
      </c>
      <c r="L150" t="n">
        <v>0</v>
      </c>
      <c r="M150" t="n">
        <v>0</v>
      </c>
      <c r="N150" t="n">
        <v>0</v>
      </c>
      <c r="O150" t="n">
        <v>0</v>
      </c>
      <c r="P150" t="n">
        <v>0</v>
      </c>
      <c r="Q150" t="n">
        <v>0</v>
      </c>
      <c r="R150" s="2" t="inlineStr"/>
    </row>
    <row r="151" ht="15" customHeight="1">
      <c r="A151" t="inlineStr">
        <is>
          <t>A 3330-2021</t>
        </is>
      </c>
      <c r="B151" s="1" t="n">
        <v>44217.79856481482</v>
      </c>
      <c r="C151" s="1" t="n">
        <v>45993</v>
      </c>
      <c r="D151" t="inlineStr">
        <is>
          <t>KALMAR LÄN</t>
        </is>
      </c>
      <c r="E151" t="inlineStr">
        <is>
          <t>VIMMERBY</t>
        </is>
      </c>
      <c r="G151" t="n">
        <v>11.1</v>
      </c>
      <c r="H151" t="n">
        <v>0</v>
      </c>
      <c r="I151" t="n">
        <v>0</v>
      </c>
      <c r="J151" t="n">
        <v>0</v>
      </c>
      <c r="K151" t="n">
        <v>0</v>
      </c>
      <c r="L151" t="n">
        <v>0</v>
      </c>
      <c r="M151" t="n">
        <v>0</v>
      </c>
      <c r="N151" t="n">
        <v>0</v>
      </c>
      <c r="O151" t="n">
        <v>0</v>
      </c>
      <c r="P151" t="n">
        <v>0</v>
      </c>
      <c r="Q151" t="n">
        <v>0</v>
      </c>
      <c r="R151" s="2" t="inlineStr"/>
    </row>
    <row r="152" ht="15" customHeight="1">
      <c r="A152" t="inlineStr">
        <is>
          <t>A 35316-2021</t>
        </is>
      </c>
      <c r="B152" s="1" t="n">
        <v>44384</v>
      </c>
      <c r="C152" s="1" t="n">
        <v>45993</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33831-2022</t>
        </is>
      </c>
      <c r="B153" s="1" t="n">
        <v>44790.48503472222</v>
      </c>
      <c r="C153" s="1" t="n">
        <v>45993</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45993</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56389-2021</t>
        </is>
      </c>
      <c r="B155" s="1" t="n">
        <v>44480</v>
      </c>
      <c r="C155" s="1" t="n">
        <v>45993</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9918-2022</t>
        </is>
      </c>
      <c r="B156" s="1" t="n">
        <v>44620</v>
      </c>
      <c r="C156" s="1" t="n">
        <v>45993</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67952-2021</t>
        </is>
      </c>
      <c r="B157" s="1" t="n">
        <v>44525.63913194444</v>
      </c>
      <c r="C157" s="1" t="n">
        <v>45993</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35198-2021</t>
        </is>
      </c>
      <c r="B158" s="1" t="n">
        <v>44377</v>
      </c>
      <c r="C158" s="1" t="n">
        <v>45993</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14521-2021</t>
        </is>
      </c>
      <c r="B159" s="1" t="n">
        <v>44279.64934027778</v>
      </c>
      <c r="C159" s="1" t="n">
        <v>45993</v>
      </c>
      <c r="D159" t="inlineStr">
        <is>
          <t>KALMAR LÄN</t>
        </is>
      </c>
      <c r="E159" t="inlineStr">
        <is>
          <t>VIMMERBY</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15533-2022</t>
        </is>
      </c>
      <c r="B160" s="1" t="n">
        <v>44662</v>
      </c>
      <c r="C160" s="1" t="n">
        <v>45993</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32603-2021</t>
        </is>
      </c>
      <c r="B161" s="1" t="n">
        <v>44375.38789351852</v>
      </c>
      <c r="C161" s="1" t="n">
        <v>45993</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618-2021</t>
        </is>
      </c>
      <c r="B162" s="1" t="n">
        <v>44203</v>
      </c>
      <c r="C162" s="1" t="n">
        <v>45993</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165-2022</t>
        </is>
      </c>
      <c r="B163" s="1" t="n">
        <v>44564</v>
      </c>
      <c r="C163" s="1" t="n">
        <v>45993</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45993</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45993</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34036-2021</t>
        </is>
      </c>
      <c r="B166" s="1" t="n">
        <v>44379</v>
      </c>
      <c r="C166" s="1" t="n">
        <v>45993</v>
      </c>
      <c r="D166" t="inlineStr">
        <is>
          <t>KALMAR LÄN</t>
        </is>
      </c>
      <c r="E166" t="inlineStr">
        <is>
          <t>VIMMERBY</t>
        </is>
      </c>
      <c r="F166" t="inlineStr">
        <is>
          <t>Sveaskog</t>
        </is>
      </c>
      <c r="G166" t="n">
        <v>7</v>
      </c>
      <c r="H166" t="n">
        <v>0</v>
      </c>
      <c r="I166" t="n">
        <v>0</v>
      </c>
      <c r="J166" t="n">
        <v>0</v>
      </c>
      <c r="K166" t="n">
        <v>0</v>
      </c>
      <c r="L166" t="n">
        <v>0</v>
      </c>
      <c r="M166" t="n">
        <v>0</v>
      </c>
      <c r="N166" t="n">
        <v>0</v>
      </c>
      <c r="O166" t="n">
        <v>0</v>
      </c>
      <c r="P166" t="n">
        <v>0</v>
      </c>
      <c r="Q166" t="n">
        <v>0</v>
      </c>
      <c r="R166" s="2" t="inlineStr"/>
    </row>
    <row r="167" ht="15" customHeight="1">
      <c r="A167" t="inlineStr">
        <is>
          <t>A 12241-2021</t>
        </is>
      </c>
      <c r="B167" s="1" t="n">
        <v>44266.7240625</v>
      </c>
      <c r="C167" s="1" t="n">
        <v>45993</v>
      </c>
      <c r="D167" t="inlineStr">
        <is>
          <t>KALMAR LÄN</t>
        </is>
      </c>
      <c r="E167" t="inlineStr">
        <is>
          <t>VIMMERBY</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34040-2021</t>
        </is>
      </c>
      <c r="B168" s="1" t="n">
        <v>44379</v>
      </c>
      <c r="C168" s="1" t="n">
        <v>45993</v>
      </c>
      <c r="D168" t="inlineStr">
        <is>
          <t>KALMAR LÄN</t>
        </is>
      </c>
      <c r="E168" t="inlineStr">
        <is>
          <t>VIMMERBY</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15200-2021</t>
        </is>
      </c>
      <c r="B169" s="1" t="n">
        <v>44284.44574074074</v>
      </c>
      <c r="C169" s="1" t="n">
        <v>45993</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12662-2021</t>
        </is>
      </c>
      <c r="B170" s="1" t="n">
        <v>44270.49743055556</v>
      </c>
      <c r="C170" s="1" t="n">
        <v>45993</v>
      </c>
      <c r="D170" t="inlineStr">
        <is>
          <t>KALMAR LÄN</t>
        </is>
      </c>
      <c r="E170" t="inlineStr">
        <is>
          <t>VIMMERBY</t>
        </is>
      </c>
      <c r="F170" t="inlineStr">
        <is>
          <t>Sveaskog</t>
        </is>
      </c>
      <c r="G170" t="n">
        <v>1.8</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45993</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12107-2022</t>
        </is>
      </c>
      <c r="B172" s="1" t="n">
        <v>44636</v>
      </c>
      <c r="C172" s="1" t="n">
        <v>45993</v>
      </c>
      <c r="D172" t="inlineStr">
        <is>
          <t>KALMAR LÄN</t>
        </is>
      </c>
      <c r="E172" t="inlineStr">
        <is>
          <t>VIMMERBY</t>
        </is>
      </c>
      <c r="G172" t="n">
        <v>1.8</v>
      </c>
      <c r="H172" t="n">
        <v>0</v>
      </c>
      <c r="I172" t="n">
        <v>0</v>
      </c>
      <c r="J172" t="n">
        <v>0</v>
      </c>
      <c r="K172" t="n">
        <v>0</v>
      </c>
      <c r="L172" t="n">
        <v>0</v>
      </c>
      <c r="M172" t="n">
        <v>0</v>
      </c>
      <c r="N172" t="n">
        <v>0</v>
      </c>
      <c r="O172" t="n">
        <v>0</v>
      </c>
      <c r="P172" t="n">
        <v>0</v>
      </c>
      <c r="Q172" t="n">
        <v>0</v>
      </c>
      <c r="R172" s="2" t="inlineStr"/>
    </row>
    <row r="173" ht="15" customHeight="1">
      <c r="A173" t="inlineStr">
        <is>
          <t>A 65564-2020</t>
        </is>
      </c>
      <c r="B173" s="1" t="n">
        <v>44172</v>
      </c>
      <c r="C173" s="1" t="n">
        <v>45993</v>
      </c>
      <c r="D173" t="inlineStr">
        <is>
          <t>KALMAR LÄN</t>
        </is>
      </c>
      <c r="E173" t="inlineStr">
        <is>
          <t>VIMMERBY</t>
        </is>
      </c>
      <c r="G173" t="n">
        <v>4.1</v>
      </c>
      <c r="H173" t="n">
        <v>0</v>
      </c>
      <c r="I173" t="n">
        <v>0</v>
      </c>
      <c r="J173" t="n">
        <v>0</v>
      </c>
      <c r="K173" t="n">
        <v>0</v>
      </c>
      <c r="L173" t="n">
        <v>0</v>
      </c>
      <c r="M173" t="n">
        <v>0</v>
      </c>
      <c r="N173" t="n">
        <v>0</v>
      </c>
      <c r="O173" t="n">
        <v>0</v>
      </c>
      <c r="P173" t="n">
        <v>0</v>
      </c>
      <c r="Q173" t="n">
        <v>0</v>
      </c>
      <c r="R173" s="2" t="inlineStr"/>
    </row>
    <row r="174" ht="15" customHeight="1">
      <c r="A174" t="inlineStr">
        <is>
          <t>A 39225-2022</t>
        </is>
      </c>
      <c r="B174" s="1" t="n">
        <v>44817.57988425926</v>
      </c>
      <c r="C174" s="1" t="n">
        <v>45993</v>
      </c>
      <c r="D174" t="inlineStr">
        <is>
          <t>KALMAR LÄN</t>
        </is>
      </c>
      <c r="E174" t="inlineStr">
        <is>
          <t>VIMMERBY</t>
        </is>
      </c>
      <c r="G174" t="n">
        <v>2.2</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45993</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25738-2022</t>
        </is>
      </c>
      <c r="B176" s="1" t="n">
        <v>44733.43092592592</v>
      </c>
      <c r="C176" s="1" t="n">
        <v>45993</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22197-2024</t>
        </is>
      </c>
      <c r="B177" s="1" t="n">
        <v>45446.36774305555</v>
      </c>
      <c r="C177" s="1" t="n">
        <v>45993</v>
      </c>
      <c r="D177" t="inlineStr">
        <is>
          <t>KALMAR LÄN</t>
        </is>
      </c>
      <c r="E177" t="inlineStr">
        <is>
          <t>VIMMERBY</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45993</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63244-2021</t>
        </is>
      </c>
      <c r="B179" s="1" t="n">
        <v>44508</v>
      </c>
      <c r="C179" s="1" t="n">
        <v>45993</v>
      </c>
      <c r="D179" t="inlineStr">
        <is>
          <t>KALMAR LÄN</t>
        </is>
      </c>
      <c r="E179" t="inlineStr">
        <is>
          <t>VIMMERBY</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8194-2022</t>
        </is>
      </c>
      <c r="B180" s="1" t="n">
        <v>44609</v>
      </c>
      <c r="C180" s="1" t="n">
        <v>45993</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15191-2021</t>
        </is>
      </c>
      <c r="B181" s="1" t="n">
        <v>44284.42348379629</v>
      </c>
      <c r="C181" s="1" t="n">
        <v>45993</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35710-2023</t>
        </is>
      </c>
      <c r="B182" s="1" t="n">
        <v>45147.67096064815</v>
      </c>
      <c r="C182" s="1" t="n">
        <v>45993</v>
      </c>
      <c r="D182" t="inlineStr">
        <is>
          <t>KALMAR LÄN</t>
        </is>
      </c>
      <c r="E182" t="inlineStr">
        <is>
          <t>VIMMERBY</t>
        </is>
      </c>
      <c r="G182" t="n">
        <v>3.1</v>
      </c>
      <c r="H182" t="n">
        <v>0</v>
      </c>
      <c r="I182" t="n">
        <v>0</v>
      </c>
      <c r="J182" t="n">
        <v>0</v>
      </c>
      <c r="K182" t="n">
        <v>0</v>
      </c>
      <c r="L182" t="n">
        <v>0</v>
      </c>
      <c r="M182" t="n">
        <v>0</v>
      </c>
      <c r="N182" t="n">
        <v>0</v>
      </c>
      <c r="O182" t="n">
        <v>0</v>
      </c>
      <c r="P182" t="n">
        <v>0</v>
      </c>
      <c r="Q182" t="n">
        <v>0</v>
      </c>
      <c r="R182" s="2" t="inlineStr"/>
    </row>
    <row r="183" ht="15" customHeight="1">
      <c r="A183" t="inlineStr">
        <is>
          <t>A 35711-2023</t>
        </is>
      </c>
      <c r="B183" s="1" t="n">
        <v>45147.67172453704</v>
      </c>
      <c r="C183" s="1" t="n">
        <v>45993</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13180-2022</t>
        </is>
      </c>
      <c r="B184" s="1" t="n">
        <v>44644</v>
      </c>
      <c r="C184" s="1" t="n">
        <v>45993</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45993</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68744-2020</t>
        </is>
      </c>
      <c r="B186" s="1" t="n">
        <v>44186</v>
      </c>
      <c r="C186" s="1" t="n">
        <v>45993</v>
      </c>
      <c r="D186" t="inlineStr">
        <is>
          <t>KALMAR LÄN</t>
        </is>
      </c>
      <c r="E186" t="inlineStr">
        <is>
          <t>VIMMERBY</t>
        </is>
      </c>
      <c r="G186" t="n">
        <v>2.5</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45993</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14278-2021</t>
        </is>
      </c>
      <c r="B188" s="1" t="n">
        <v>44278.63479166666</v>
      </c>
      <c r="C188" s="1" t="n">
        <v>45993</v>
      </c>
      <c r="D188" t="inlineStr">
        <is>
          <t>KALMAR LÄN</t>
        </is>
      </c>
      <c r="E188" t="inlineStr">
        <is>
          <t>VIMMERBY</t>
        </is>
      </c>
      <c r="F188" t="inlineStr">
        <is>
          <t>Övriga statliga verk och myndigheter</t>
        </is>
      </c>
      <c r="G188" t="n">
        <v>0.8</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45993</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45993</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45993</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45993</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34588-2024</t>
        </is>
      </c>
      <c r="B193" s="1" t="n">
        <v>45526.3865625</v>
      </c>
      <c r="C193" s="1" t="n">
        <v>45993</v>
      </c>
      <c r="D193" t="inlineStr">
        <is>
          <t>KALMAR LÄN</t>
        </is>
      </c>
      <c r="E193" t="inlineStr">
        <is>
          <t>VIMMERBY</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45993</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42850-2022</t>
        </is>
      </c>
      <c r="B195" s="1" t="n">
        <v>44832.67608796297</v>
      </c>
      <c r="C195" s="1" t="n">
        <v>45993</v>
      </c>
      <c r="D195" t="inlineStr">
        <is>
          <t>KALMAR LÄN</t>
        </is>
      </c>
      <c r="E195" t="inlineStr">
        <is>
          <t>VIMMERBY</t>
        </is>
      </c>
      <c r="G195" t="n">
        <v>5.9</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45993</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56659-2023</t>
        </is>
      </c>
      <c r="B197" s="1" t="n">
        <v>45243.84869212963</v>
      </c>
      <c r="C197" s="1" t="n">
        <v>45993</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7804-2022</t>
        </is>
      </c>
      <c r="B198" s="1" t="n">
        <v>44608.50458333334</v>
      </c>
      <c r="C198" s="1" t="n">
        <v>45993</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39042-2022</t>
        </is>
      </c>
      <c r="B199" s="1" t="n">
        <v>44817</v>
      </c>
      <c r="C199" s="1" t="n">
        <v>45993</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46078-2023</t>
        </is>
      </c>
      <c r="B200" s="1" t="n">
        <v>45196</v>
      </c>
      <c r="C200" s="1" t="n">
        <v>45993</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16288-2021</t>
        </is>
      </c>
      <c r="B201" s="1" t="n">
        <v>44292</v>
      </c>
      <c r="C201" s="1" t="n">
        <v>45993</v>
      </c>
      <c r="D201" t="inlineStr">
        <is>
          <t>KALMAR LÄN</t>
        </is>
      </c>
      <c r="E201" t="inlineStr">
        <is>
          <t>VIMMERBY</t>
        </is>
      </c>
      <c r="F201" t="inlineStr">
        <is>
          <t>Övriga Aktiebolag</t>
        </is>
      </c>
      <c r="G201" t="n">
        <v>27.6</v>
      </c>
      <c r="H201" t="n">
        <v>0</v>
      </c>
      <c r="I201" t="n">
        <v>0</v>
      </c>
      <c r="J201" t="n">
        <v>0</v>
      </c>
      <c r="K201" t="n">
        <v>0</v>
      </c>
      <c r="L201" t="n">
        <v>0</v>
      </c>
      <c r="M201" t="n">
        <v>0</v>
      </c>
      <c r="N201" t="n">
        <v>0</v>
      </c>
      <c r="O201" t="n">
        <v>0</v>
      </c>
      <c r="P201" t="n">
        <v>0</v>
      </c>
      <c r="Q201" t="n">
        <v>0</v>
      </c>
      <c r="R201" s="2" t="inlineStr"/>
    </row>
    <row r="202" ht="15" customHeight="1">
      <c r="A202" t="inlineStr">
        <is>
          <t>A 7643-2022</t>
        </is>
      </c>
      <c r="B202" s="1" t="n">
        <v>44607</v>
      </c>
      <c r="C202" s="1" t="n">
        <v>45993</v>
      </c>
      <c r="D202" t="inlineStr">
        <is>
          <t>KALMAR LÄN</t>
        </is>
      </c>
      <c r="E202" t="inlineStr">
        <is>
          <t>VIMMERBY</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29441-2024</t>
        </is>
      </c>
      <c r="B203" s="1" t="n">
        <v>45483.82834490741</v>
      </c>
      <c r="C203" s="1" t="n">
        <v>45993</v>
      </c>
      <c r="D203" t="inlineStr">
        <is>
          <t>KALMAR LÄN</t>
        </is>
      </c>
      <c r="E203" t="inlineStr">
        <is>
          <t>VIMMERBY</t>
        </is>
      </c>
      <c r="G203" t="n">
        <v>1.3</v>
      </c>
      <c r="H203" t="n">
        <v>0</v>
      </c>
      <c r="I203" t="n">
        <v>0</v>
      </c>
      <c r="J203" t="n">
        <v>0</v>
      </c>
      <c r="K203" t="n">
        <v>0</v>
      </c>
      <c r="L203" t="n">
        <v>0</v>
      </c>
      <c r="M203" t="n">
        <v>0</v>
      </c>
      <c r="N203" t="n">
        <v>0</v>
      </c>
      <c r="O203" t="n">
        <v>0</v>
      </c>
      <c r="P203" t="n">
        <v>0</v>
      </c>
      <c r="Q203" t="n">
        <v>0</v>
      </c>
      <c r="R203" s="2" t="inlineStr"/>
    </row>
    <row r="204" ht="15" customHeight="1">
      <c r="A204" t="inlineStr">
        <is>
          <t>A 3494-2023</t>
        </is>
      </c>
      <c r="B204" s="1" t="n">
        <v>44949</v>
      </c>
      <c r="C204" s="1" t="n">
        <v>45993</v>
      </c>
      <c r="D204" t="inlineStr">
        <is>
          <t>KALMAR LÄN</t>
        </is>
      </c>
      <c r="E204" t="inlineStr">
        <is>
          <t>VIMMERBY</t>
        </is>
      </c>
      <c r="F204" t="inlineStr">
        <is>
          <t>Kyrkan</t>
        </is>
      </c>
      <c r="G204" t="n">
        <v>0.8</v>
      </c>
      <c r="H204" t="n">
        <v>0</v>
      </c>
      <c r="I204" t="n">
        <v>0</v>
      </c>
      <c r="J204" t="n">
        <v>0</v>
      </c>
      <c r="K204" t="n">
        <v>0</v>
      </c>
      <c r="L204" t="n">
        <v>0</v>
      </c>
      <c r="M204" t="n">
        <v>0</v>
      </c>
      <c r="N204" t="n">
        <v>0</v>
      </c>
      <c r="O204" t="n">
        <v>0</v>
      </c>
      <c r="P204" t="n">
        <v>0</v>
      </c>
      <c r="Q204" t="n">
        <v>0</v>
      </c>
      <c r="R204" s="2" t="inlineStr"/>
    </row>
    <row r="205" ht="15" customHeight="1">
      <c r="A205" t="inlineStr">
        <is>
          <t>A 25728-2023</t>
        </is>
      </c>
      <c r="B205" s="1" t="n">
        <v>45090.38012731481</v>
      </c>
      <c r="C205" s="1" t="n">
        <v>45993</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32633-2023</t>
        </is>
      </c>
      <c r="B206" s="1" t="n">
        <v>45121.58699074074</v>
      </c>
      <c r="C206" s="1" t="n">
        <v>45993</v>
      </c>
      <c r="D206" t="inlineStr">
        <is>
          <t>KALMAR LÄN</t>
        </is>
      </c>
      <c r="E206" t="inlineStr">
        <is>
          <t>VIMMERBY</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3331-2023</t>
        </is>
      </c>
      <c r="B207" s="1" t="n">
        <v>44949</v>
      </c>
      <c r="C207" s="1" t="n">
        <v>45993</v>
      </c>
      <c r="D207" t="inlineStr">
        <is>
          <t>KALMAR LÄN</t>
        </is>
      </c>
      <c r="E207" t="inlineStr">
        <is>
          <t>VIMMERBY</t>
        </is>
      </c>
      <c r="G207" t="n">
        <v>6.2</v>
      </c>
      <c r="H207" t="n">
        <v>0</v>
      </c>
      <c r="I207" t="n">
        <v>0</v>
      </c>
      <c r="J207" t="n">
        <v>0</v>
      </c>
      <c r="K207" t="n">
        <v>0</v>
      </c>
      <c r="L207" t="n">
        <v>0</v>
      </c>
      <c r="M207" t="n">
        <v>0</v>
      </c>
      <c r="N207" t="n">
        <v>0</v>
      </c>
      <c r="O207" t="n">
        <v>0</v>
      </c>
      <c r="P207" t="n">
        <v>0</v>
      </c>
      <c r="Q207" t="n">
        <v>0</v>
      </c>
      <c r="R207" s="2" t="inlineStr"/>
    </row>
    <row r="208" ht="15" customHeight="1">
      <c r="A208" t="inlineStr">
        <is>
          <t>A 43601-2024</t>
        </is>
      </c>
      <c r="B208" s="1" t="n">
        <v>45569.44684027778</v>
      </c>
      <c r="C208" s="1" t="n">
        <v>45993</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40828-2023</t>
        </is>
      </c>
      <c r="B209" s="1" t="n">
        <v>45171.96248842592</v>
      </c>
      <c r="C209" s="1" t="n">
        <v>45993</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13813-2024</t>
        </is>
      </c>
      <c r="B210" s="1" t="n">
        <v>45391.41310185185</v>
      </c>
      <c r="C210" s="1" t="n">
        <v>45993</v>
      </c>
      <c r="D210" t="inlineStr">
        <is>
          <t>KALMAR LÄN</t>
        </is>
      </c>
      <c r="E210" t="inlineStr">
        <is>
          <t>VIMMERBY</t>
        </is>
      </c>
      <c r="G210" t="n">
        <v>0.4</v>
      </c>
      <c r="H210" t="n">
        <v>0</v>
      </c>
      <c r="I210" t="n">
        <v>0</v>
      </c>
      <c r="J210" t="n">
        <v>0</v>
      </c>
      <c r="K210" t="n">
        <v>0</v>
      </c>
      <c r="L210" t="n">
        <v>0</v>
      </c>
      <c r="M210" t="n">
        <v>0</v>
      </c>
      <c r="N210" t="n">
        <v>0</v>
      </c>
      <c r="O210" t="n">
        <v>0</v>
      </c>
      <c r="P210" t="n">
        <v>0</v>
      </c>
      <c r="Q210" t="n">
        <v>0</v>
      </c>
      <c r="R210" s="2" t="inlineStr"/>
    </row>
    <row r="211" ht="15" customHeight="1">
      <c r="A211" t="inlineStr">
        <is>
          <t>A 25234-2023</t>
        </is>
      </c>
      <c r="B211" s="1" t="n">
        <v>45086.63194444445</v>
      </c>
      <c r="C211" s="1" t="n">
        <v>45993</v>
      </c>
      <c r="D211" t="inlineStr">
        <is>
          <t>KALMAR LÄN</t>
        </is>
      </c>
      <c r="E211" t="inlineStr">
        <is>
          <t>VIMMERBY</t>
        </is>
      </c>
      <c r="G211" t="n">
        <v>2.1</v>
      </c>
      <c r="H211" t="n">
        <v>0</v>
      </c>
      <c r="I211" t="n">
        <v>0</v>
      </c>
      <c r="J211" t="n">
        <v>0</v>
      </c>
      <c r="K211" t="n">
        <v>0</v>
      </c>
      <c r="L211" t="n">
        <v>0</v>
      </c>
      <c r="M211" t="n">
        <v>0</v>
      </c>
      <c r="N211" t="n">
        <v>0</v>
      </c>
      <c r="O211" t="n">
        <v>0</v>
      </c>
      <c r="P211" t="n">
        <v>0</v>
      </c>
      <c r="Q211" t="n">
        <v>0</v>
      </c>
      <c r="R211" s="2" t="inlineStr"/>
    </row>
    <row r="212" ht="15" customHeight="1">
      <c r="A212" t="inlineStr">
        <is>
          <t>A 25236-2023</t>
        </is>
      </c>
      <c r="B212" s="1" t="n">
        <v>45086.63334490741</v>
      </c>
      <c r="C212" s="1" t="n">
        <v>45993</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16734-2023</t>
        </is>
      </c>
      <c r="B213" s="1" t="n">
        <v>45030.71012731481</v>
      </c>
      <c r="C213" s="1" t="n">
        <v>45993</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11814-2022</t>
        </is>
      </c>
      <c r="B214" s="1" t="n">
        <v>44634.69703703704</v>
      </c>
      <c r="C214" s="1" t="n">
        <v>45993</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25244-2023</t>
        </is>
      </c>
      <c r="B215" s="1" t="n">
        <v>45086</v>
      </c>
      <c r="C215" s="1" t="n">
        <v>45993</v>
      </c>
      <c r="D215" t="inlineStr">
        <is>
          <t>KALMAR LÄN</t>
        </is>
      </c>
      <c r="E215" t="inlineStr">
        <is>
          <t>VIMMERBY</t>
        </is>
      </c>
      <c r="G215" t="n">
        <v>4.7</v>
      </c>
      <c r="H215" t="n">
        <v>0</v>
      </c>
      <c r="I215" t="n">
        <v>0</v>
      </c>
      <c r="J215" t="n">
        <v>0</v>
      </c>
      <c r="K215" t="n">
        <v>0</v>
      </c>
      <c r="L215" t="n">
        <v>0</v>
      </c>
      <c r="M215" t="n">
        <v>0</v>
      </c>
      <c r="N215" t="n">
        <v>0</v>
      </c>
      <c r="O215" t="n">
        <v>0</v>
      </c>
      <c r="P215" t="n">
        <v>0</v>
      </c>
      <c r="Q215" t="n">
        <v>0</v>
      </c>
      <c r="R215" s="2" t="inlineStr"/>
    </row>
    <row r="216" ht="15" customHeight="1">
      <c r="A216" t="inlineStr">
        <is>
          <t>A 64143-2021</t>
        </is>
      </c>
      <c r="B216" s="1" t="n">
        <v>44510.52157407408</v>
      </c>
      <c r="C216" s="1" t="n">
        <v>45993</v>
      </c>
      <c r="D216" t="inlineStr">
        <is>
          <t>KALMAR LÄN</t>
        </is>
      </c>
      <c r="E216" t="inlineStr">
        <is>
          <t>VIMMERBY</t>
        </is>
      </c>
      <c r="G216" t="n">
        <v>1.6</v>
      </c>
      <c r="H216" t="n">
        <v>0</v>
      </c>
      <c r="I216" t="n">
        <v>0</v>
      </c>
      <c r="J216" t="n">
        <v>0</v>
      </c>
      <c r="K216" t="n">
        <v>0</v>
      </c>
      <c r="L216" t="n">
        <v>0</v>
      </c>
      <c r="M216" t="n">
        <v>0</v>
      </c>
      <c r="N216" t="n">
        <v>0</v>
      </c>
      <c r="O216" t="n">
        <v>0</v>
      </c>
      <c r="P216" t="n">
        <v>0</v>
      </c>
      <c r="Q216" t="n">
        <v>0</v>
      </c>
      <c r="R216" s="2" t="inlineStr"/>
    </row>
    <row r="217" ht="15" customHeight="1">
      <c r="A217" t="inlineStr">
        <is>
          <t>A 9720-2023</t>
        </is>
      </c>
      <c r="B217" s="1" t="n">
        <v>44984</v>
      </c>
      <c r="C217" s="1" t="n">
        <v>45993</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5938-2022</t>
        </is>
      </c>
      <c r="B218" s="1" t="n">
        <v>44598</v>
      </c>
      <c r="C218" s="1" t="n">
        <v>45993</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56385-2021</t>
        </is>
      </c>
      <c r="B219" s="1" t="n">
        <v>44480</v>
      </c>
      <c r="C219" s="1" t="n">
        <v>45993</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1687-2023</t>
        </is>
      </c>
      <c r="B220" s="1" t="n">
        <v>44938</v>
      </c>
      <c r="C220" s="1" t="n">
        <v>45993</v>
      </c>
      <c r="D220" t="inlineStr">
        <is>
          <t>KALMAR LÄN</t>
        </is>
      </c>
      <c r="E220" t="inlineStr">
        <is>
          <t>VIMMERBY</t>
        </is>
      </c>
      <c r="F220" t="inlineStr">
        <is>
          <t>Kommuner</t>
        </is>
      </c>
      <c r="G220" t="n">
        <v>2.5</v>
      </c>
      <c r="H220" t="n">
        <v>0</v>
      </c>
      <c r="I220" t="n">
        <v>0</v>
      </c>
      <c r="J220" t="n">
        <v>0</v>
      </c>
      <c r="K220" t="n">
        <v>0</v>
      </c>
      <c r="L220" t="n">
        <v>0</v>
      </c>
      <c r="M220" t="n">
        <v>0</v>
      </c>
      <c r="N220" t="n">
        <v>0</v>
      </c>
      <c r="O220" t="n">
        <v>0</v>
      </c>
      <c r="P220" t="n">
        <v>0</v>
      </c>
      <c r="Q220" t="n">
        <v>0</v>
      </c>
      <c r="R220" s="2" t="inlineStr"/>
    </row>
    <row r="221" ht="15" customHeight="1">
      <c r="A221" t="inlineStr">
        <is>
          <t>A 29440-2024</t>
        </is>
      </c>
      <c r="B221" s="1" t="n">
        <v>45483.82479166667</v>
      </c>
      <c r="C221" s="1" t="n">
        <v>45993</v>
      </c>
      <c r="D221" t="inlineStr">
        <is>
          <t>KALMAR LÄN</t>
        </is>
      </c>
      <c r="E221" t="inlineStr">
        <is>
          <t>VIMMERBY</t>
        </is>
      </c>
      <c r="G221" t="n">
        <v>4.5</v>
      </c>
      <c r="H221" t="n">
        <v>0</v>
      </c>
      <c r="I221" t="n">
        <v>0</v>
      </c>
      <c r="J221" t="n">
        <v>0</v>
      </c>
      <c r="K221" t="n">
        <v>0</v>
      </c>
      <c r="L221" t="n">
        <v>0</v>
      </c>
      <c r="M221" t="n">
        <v>0</v>
      </c>
      <c r="N221" t="n">
        <v>0</v>
      </c>
      <c r="O221" t="n">
        <v>0</v>
      </c>
      <c r="P221" t="n">
        <v>0</v>
      </c>
      <c r="Q221" t="n">
        <v>0</v>
      </c>
      <c r="R221" s="2" t="inlineStr"/>
    </row>
    <row r="222" ht="15" customHeight="1">
      <c r="A222" t="inlineStr">
        <is>
          <t>A 30921-2024</t>
        </is>
      </c>
      <c r="B222" s="1" t="n">
        <v>45498</v>
      </c>
      <c r="C222" s="1" t="n">
        <v>45993</v>
      </c>
      <c r="D222" t="inlineStr">
        <is>
          <t>KALMAR LÄN</t>
        </is>
      </c>
      <c r="E222" t="inlineStr">
        <is>
          <t>VIMMERBY</t>
        </is>
      </c>
      <c r="G222" t="n">
        <v>1.6</v>
      </c>
      <c r="H222" t="n">
        <v>0</v>
      </c>
      <c r="I222" t="n">
        <v>0</v>
      </c>
      <c r="J222" t="n">
        <v>0</v>
      </c>
      <c r="K222" t="n">
        <v>0</v>
      </c>
      <c r="L222" t="n">
        <v>0</v>
      </c>
      <c r="M222" t="n">
        <v>0</v>
      </c>
      <c r="N222" t="n">
        <v>0</v>
      </c>
      <c r="O222" t="n">
        <v>0</v>
      </c>
      <c r="P222" t="n">
        <v>0</v>
      </c>
      <c r="Q222" t="n">
        <v>0</v>
      </c>
      <c r="R222" s="2" t="inlineStr"/>
    </row>
    <row r="223" ht="15" customHeight="1">
      <c r="A223" t="inlineStr">
        <is>
          <t>A 53482-2022</t>
        </is>
      </c>
      <c r="B223" s="1" t="n">
        <v>44879</v>
      </c>
      <c r="C223" s="1" t="n">
        <v>45993</v>
      </c>
      <c r="D223" t="inlineStr">
        <is>
          <t>KALMAR LÄN</t>
        </is>
      </c>
      <c r="E223" t="inlineStr">
        <is>
          <t>VIMMERBY</t>
        </is>
      </c>
      <c r="G223" t="n">
        <v>10.1</v>
      </c>
      <c r="H223" t="n">
        <v>0</v>
      </c>
      <c r="I223" t="n">
        <v>0</v>
      </c>
      <c r="J223" t="n">
        <v>0</v>
      </c>
      <c r="K223" t="n">
        <v>0</v>
      </c>
      <c r="L223" t="n">
        <v>0</v>
      </c>
      <c r="M223" t="n">
        <v>0</v>
      </c>
      <c r="N223" t="n">
        <v>0</v>
      </c>
      <c r="O223" t="n">
        <v>0</v>
      </c>
      <c r="P223" t="n">
        <v>0</v>
      </c>
      <c r="Q223" t="n">
        <v>0</v>
      </c>
      <c r="R223" s="2" t="inlineStr"/>
    </row>
    <row r="224" ht="15" customHeight="1">
      <c r="A224" t="inlineStr">
        <is>
          <t>A 23341-2022</t>
        </is>
      </c>
      <c r="B224" s="1" t="n">
        <v>44720.53898148148</v>
      </c>
      <c r="C224" s="1" t="n">
        <v>45993</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8086-2021</t>
        </is>
      </c>
      <c r="B225" s="1" t="n">
        <v>44243</v>
      </c>
      <c r="C225" s="1" t="n">
        <v>45993</v>
      </c>
      <c r="D225" t="inlineStr">
        <is>
          <t>KALMAR LÄN</t>
        </is>
      </c>
      <c r="E225" t="inlineStr">
        <is>
          <t>VIMMERBY</t>
        </is>
      </c>
      <c r="G225" t="n">
        <v>4.1</v>
      </c>
      <c r="H225" t="n">
        <v>0</v>
      </c>
      <c r="I225" t="n">
        <v>0</v>
      </c>
      <c r="J225" t="n">
        <v>0</v>
      </c>
      <c r="K225" t="n">
        <v>0</v>
      </c>
      <c r="L225" t="n">
        <v>0</v>
      </c>
      <c r="M225" t="n">
        <v>0</v>
      </c>
      <c r="N225" t="n">
        <v>0</v>
      </c>
      <c r="O225" t="n">
        <v>0</v>
      </c>
      <c r="P225" t="n">
        <v>0</v>
      </c>
      <c r="Q225" t="n">
        <v>0</v>
      </c>
      <c r="R225" s="2" t="inlineStr"/>
    </row>
    <row r="226" ht="15" customHeight="1">
      <c r="A226" t="inlineStr">
        <is>
          <t>A 31053-2022</t>
        </is>
      </c>
      <c r="B226" s="1" t="n">
        <v>44769.45422453704</v>
      </c>
      <c r="C226" s="1" t="n">
        <v>45993</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24738-2021</t>
        </is>
      </c>
      <c r="B227" s="1" t="n">
        <v>44340.58002314815</v>
      </c>
      <c r="C227" s="1" t="n">
        <v>45993</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71793-2021</t>
        </is>
      </c>
      <c r="B228" s="1" t="n">
        <v>44539</v>
      </c>
      <c r="C228" s="1" t="n">
        <v>45993</v>
      </c>
      <c r="D228" t="inlineStr">
        <is>
          <t>KALMAR LÄN</t>
        </is>
      </c>
      <c r="E228" t="inlineStr">
        <is>
          <t>VIMMERBY</t>
        </is>
      </c>
      <c r="G228" t="n">
        <v>2.7</v>
      </c>
      <c r="H228" t="n">
        <v>0</v>
      </c>
      <c r="I228" t="n">
        <v>0</v>
      </c>
      <c r="J228" t="n">
        <v>0</v>
      </c>
      <c r="K228" t="n">
        <v>0</v>
      </c>
      <c r="L228" t="n">
        <v>0</v>
      </c>
      <c r="M228" t="n">
        <v>0</v>
      </c>
      <c r="N228" t="n">
        <v>0</v>
      </c>
      <c r="O228" t="n">
        <v>0</v>
      </c>
      <c r="P228" t="n">
        <v>0</v>
      </c>
      <c r="Q228" t="n">
        <v>0</v>
      </c>
      <c r="R228" s="2" t="inlineStr"/>
    </row>
    <row r="229" ht="15" customHeight="1">
      <c r="A229" t="inlineStr">
        <is>
          <t>A 8454-2022</t>
        </is>
      </c>
      <c r="B229" s="1" t="n">
        <v>44612.86762731482</v>
      </c>
      <c r="C229" s="1" t="n">
        <v>45993</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73938-2021</t>
        </is>
      </c>
      <c r="B230" s="1" t="n">
        <v>44553</v>
      </c>
      <c r="C230" s="1" t="n">
        <v>45993</v>
      </c>
      <c r="D230" t="inlineStr">
        <is>
          <t>KALMAR LÄN</t>
        </is>
      </c>
      <c r="E230" t="inlineStr">
        <is>
          <t>VIMMERBY</t>
        </is>
      </c>
      <c r="G230" t="n">
        <v>3.2</v>
      </c>
      <c r="H230" t="n">
        <v>0</v>
      </c>
      <c r="I230" t="n">
        <v>0</v>
      </c>
      <c r="J230" t="n">
        <v>0</v>
      </c>
      <c r="K230" t="n">
        <v>0</v>
      </c>
      <c r="L230" t="n">
        <v>0</v>
      </c>
      <c r="M230" t="n">
        <v>0</v>
      </c>
      <c r="N230" t="n">
        <v>0</v>
      </c>
      <c r="O230" t="n">
        <v>0</v>
      </c>
      <c r="P230" t="n">
        <v>0</v>
      </c>
      <c r="Q230" t="n">
        <v>0</v>
      </c>
      <c r="R230" s="2" t="inlineStr"/>
    </row>
    <row r="231" ht="15" customHeight="1">
      <c r="A231" t="inlineStr">
        <is>
          <t>A 6069-2023</t>
        </is>
      </c>
      <c r="B231" s="1" t="n">
        <v>44964.5115162037</v>
      </c>
      <c r="C231" s="1" t="n">
        <v>45993</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29180-2024</t>
        </is>
      </c>
      <c r="B232" s="1" t="n">
        <v>45482.54108796296</v>
      </c>
      <c r="C232" s="1" t="n">
        <v>45993</v>
      </c>
      <c r="D232" t="inlineStr">
        <is>
          <t>KALMAR LÄN</t>
        </is>
      </c>
      <c r="E232" t="inlineStr">
        <is>
          <t>VIMMERBY</t>
        </is>
      </c>
      <c r="G232" t="n">
        <v>3.8</v>
      </c>
      <c r="H232" t="n">
        <v>0</v>
      </c>
      <c r="I232" t="n">
        <v>0</v>
      </c>
      <c r="J232" t="n">
        <v>0</v>
      </c>
      <c r="K232" t="n">
        <v>0</v>
      </c>
      <c r="L232" t="n">
        <v>0</v>
      </c>
      <c r="M232" t="n">
        <v>0</v>
      </c>
      <c r="N232" t="n">
        <v>0</v>
      </c>
      <c r="O232" t="n">
        <v>0</v>
      </c>
      <c r="P232" t="n">
        <v>0</v>
      </c>
      <c r="Q232" t="n">
        <v>0</v>
      </c>
      <c r="R232" s="2" t="inlineStr"/>
    </row>
    <row r="233" ht="15" customHeight="1">
      <c r="A233" t="inlineStr">
        <is>
          <t>A 50995-2022</t>
        </is>
      </c>
      <c r="B233" s="1" t="n">
        <v>44867</v>
      </c>
      <c r="C233" s="1" t="n">
        <v>45993</v>
      </c>
      <c r="D233" t="inlineStr">
        <is>
          <t>KALMAR LÄN</t>
        </is>
      </c>
      <c r="E233" t="inlineStr">
        <is>
          <t>VIMMERBY</t>
        </is>
      </c>
      <c r="G233" t="n">
        <v>2.4</v>
      </c>
      <c r="H233" t="n">
        <v>0</v>
      </c>
      <c r="I233" t="n">
        <v>0</v>
      </c>
      <c r="J233" t="n">
        <v>0</v>
      </c>
      <c r="K233" t="n">
        <v>0</v>
      </c>
      <c r="L233" t="n">
        <v>0</v>
      </c>
      <c r="M233" t="n">
        <v>0</v>
      </c>
      <c r="N233" t="n">
        <v>0</v>
      </c>
      <c r="O233" t="n">
        <v>0</v>
      </c>
      <c r="P233" t="n">
        <v>0</v>
      </c>
      <c r="Q233" t="n">
        <v>0</v>
      </c>
      <c r="R233" s="2" t="inlineStr"/>
    </row>
    <row r="234" ht="15" customHeight="1">
      <c r="A234" t="inlineStr">
        <is>
          <t>A 52435-2021</t>
        </is>
      </c>
      <c r="B234" s="1" t="n">
        <v>44466.34962962963</v>
      </c>
      <c r="C234" s="1" t="n">
        <v>45993</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29093-2023</t>
        </is>
      </c>
      <c r="B235" s="1" t="n">
        <v>45105</v>
      </c>
      <c r="C235" s="1" t="n">
        <v>45993</v>
      </c>
      <c r="D235" t="inlineStr">
        <is>
          <t>KALMAR LÄN</t>
        </is>
      </c>
      <c r="E235" t="inlineStr">
        <is>
          <t>VIMMERBY</t>
        </is>
      </c>
      <c r="G235" t="n">
        <v>2.9</v>
      </c>
      <c r="H235" t="n">
        <v>0</v>
      </c>
      <c r="I235" t="n">
        <v>0</v>
      </c>
      <c r="J235" t="n">
        <v>0</v>
      </c>
      <c r="K235" t="n">
        <v>0</v>
      </c>
      <c r="L235" t="n">
        <v>0</v>
      </c>
      <c r="M235" t="n">
        <v>0</v>
      </c>
      <c r="N235" t="n">
        <v>0</v>
      </c>
      <c r="O235" t="n">
        <v>0</v>
      </c>
      <c r="P235" t="n">
        <v>0</v>
      </c>
      <c r="Q235" t="n">
        <v>0</v>
      </c>
      <c r="R235" s="2" t="inlineStr"/>
    </row>
    <row r="236" ht="15" customHeight="1">
      <c r="A236" t="inlineStr">
        <is>
          <t>A 34205-2023</t>
        </is>
      </c>
      <c r="B236" s="1" t="n">
        <v>45138</v>
      </c>
      <c r="C236" s="1" t="n">
        <v>45993</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27122-2023</t>
        </is>
      </c>
      <c r="B237" s="1" t="n">
        <v>45096.45247685185</v>
      </c>
      <c r="C237" s="1" t="n">
        <v>45993</v>
      </c>
      <c r="D237" t="inlineStr">
        <is>
          <t>KALMAR LÄN</t>
        </is>
      </c>
      <c r="E237" t="inlineStr">
        <is>
          <t>VIMMERBY</t>
        </is>
      </c>
      <c r="G237" t="n">
        <v>1.7</v>
      </c>
      <c r="H237" t="n">
        <v>0</v>
      </c>
      <c r="I237" t="n">
        <v>0</v>
      </c>
      <c r="J237" t="n">
        <v>0</v>
      </c>
      <c r="K237" t="n">
        <v>0</v>
      </c>
      <c r="L237" t="n">
        <v>0</v>
      </c>
      <c r="M237" t="n">
        <v>0</v>
      </c>
      <c r="N237" t="n">
        <v>0</v>
      </c>
      <c r="O237" t="n">
        <v>0</v>
      </c>
      <c r="P237" t="n">
        <v>0</v>
      </c>
      <c r="Q237" t="n">
        <v>0</v>
      </c>
      <c r="R237" s="2" t="inlineStr"/>
    </row>
    <row r="238" ht="15" customHeight="1">
      <c r="A238" t="inlineStr">
        <is>
          <t>A 14220-2021</t>
        </is>
      </c>
      <c r="B238" s="1" t="n">
        <v>44278.54855324074</v>
      </c>
      <c r="C238" s="1" t="n">
        <v>45993</v>
      </c>
      <c r="D238" t="inlineStr">
        <is>
          <t>KALMAR LÄN</t>
        </is>
      </c>
      <c r="E238" t="inlineStr">
        <is>
          <t>VIMMERBY</t>
        </is>
      </c>
      <c r="G238" t="n">
        <v>0.3</v>
      </c>
      <c r="H238" t="n">
        <v>0</v>
      </c>
      <c r="I238" t="n">
        <v>0</v>
      </c>
      <c r="J238" t="n">
        <v>0</v>
      </c>
      <c r="K238" t="n">
        <v>0</v>
      </c>
      <c r="L238" t="n">
        <v>0</v>
      </c>
      <c r="M238" t="n">
        <v>0</v>
      </c>
      <c r="N238" t="n">
        <v>0</v>
      </c>
      <c r="O238" t="n">
        <v>0</v>
      </c>
      <c r="P238" t="n">
        <v>0</v>
      </c>
      <c r="Q238" t="n">
        <v>0</v>
      </c>
      <c r="R238" s="2" t="inlineStr"/>
    </row>
    <row r="239" ht="15" customHeight="1">
      <c r="A239" t="inlineStr">
        <is>
          <t>A 29783-2024</t>
        </is>
      </c>
      <c r="B239" s="1" t="n">
        <v>45485.45778935185</v>
      </c>
      <c r="C239" s="1" t="n">
        <v>45993</v>
      </c>
      <c r="D239" t="inlineStr">
        <is>
          <t>KALMAR LÄN</t>
        </is>
      </c>
      <c r="E239" t="inlineStr">
        <is>
          <t>VIMMERBY</t>
        </is>
      </c>
      <c r="G239" t="n">
        <v>3.1</v>
      </c>
      <c r="H239" t="n">
        <v>0</v>
      </c>
      <c r="I239" t="n">
        <v>0</v>
      </c>
      <c r="J239" t="n">
        <v>0</v>
      </c>
      <c r="K239" t="n">
        <v>0</v>
      </c>
      <c r="L239" t="n">
        <v>0</v>
      </c>
      <c r="M239" t="n">
        <v>0</v>
      </c>
      <c r="N239" t="n">
        <v>0</v>
      </c>
      <c r="O239" t="n">
        <v>0</v>
      </c>
      <c r="P239" t="n">
        <v>0</v>
      </c>
      <c r="Q239" t="n">
        <v>0</v>
      </c>
      <c r="R239" s="2" t="inlineStr"/>
    </row>
    <row r="240" ht="15" customHeight="1">
      <c r="A240" t="inlineStr">
        <is>
          <t>A 54838-2024</t>
        </is>
      </c>
      <c r="B240" s="1" t="n">
        <v>45618.56787037037</v>
      </c>
      <c r="C240" s="1" t="n">
        <v>45993</v>
      </c>
      <c r="D240" t="inlineStr">
        <is>
          <t>KALMAR LÄN</t>
        </is>
      </c>
      <c r="E240" t="inlineStr">
        <is>
          <t>VIMMERBY</t>
        </is>
      </c>
      <c r="G240" t="n">
        <v>3.3</v>
      </c>
      <c r="H240" t="n">
        <v>0</v>
      </c>
      <c r="I240" t="n">
        <v>0</v>
      </c>
      <c r="J240" t="n">
        <v>0</v>
      </c>
      <c r="K240" t="n">
        <v>0</v>
      </c>
      <c r="L240" t="n">
        <v>0</v>
      </c>
      <c r="M240" t="n">
        <v>0</v>
      </c>
      <c r="N240" t="n">
        <v>0</v>
      </c>
      <c r="O240" t="n">
        <v>0</v>
      </c>
      <c r="P240" t="n">
        <v>0</v>
      </c>
      <c r="Q240" t="n">
        <v>0</v>
      </c>
      <c r="R240" s="2" t="inlineStr"/>
    </row>
    <row r="241" ht="15" customHeight="1">
      <c r="A241" t="inlineStr">
        <is>
          <t>A 30402-2023</t>
        </is>
      </c>
      <c r="B241" s="1" t="n">
        <v>45111.48395833333</v>
      </c>
      <c r="C241" s="1" t="n">
        <v>45993</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25987-2024</t>
        </is>
      </c>
      <c r="B242" s="1" t="n">
        <v>45467.74417824074</v>
      </c>
      <c r="C242" s="1" t="n">
        <v>45993</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25109-2023</t>
        </is>
      </c>
      <c r="B243" s="1" t="n">
        <v>45086</v>
      </c>
      <c r="C243" s="1" t="n">
        <v>45993</v>
      </c>
      <c r="D243" t="inlineStr">
        <is>
          <t>KALMAR LÄN</t>
        </is>
      </c>
      <c r="E243" t="inlineStr">
        <is>
          <t>VIMMERBY</t>
        </is>
      </c>
      <c r="G243" t="n">
        <v>1.5</v>
      </c>
      <c r="H243" t="n">
        <v>0</v>
      </c>
      <c r="I243" t="n">
        <v>0</v>
      </c>
      <c r="J243" t="n">
        <v>0</v>
      </c>
      <c r="K243" t="n">
        <v>0</v>
      </c>
      <c r="L243" t="n">
        <v>0</v>
      </c>
      <c r="M243" t="n">
        <v>0</v>
      </c>
      <c r="N243" t="n">
        <v>0</v>
      </c>
      <c r="O243" t="n">
        <v>0</v>
      </c>
      <c r="P243" t="n">
        <v>0</v>
      </c>
      <c r="Q243" t="n">
        <v>0</v>
      </c>
      <c r="R243" s="2" t="inlineStr"/>
    </row>
    <row r="244" ht="15" customHeight="1">
      <c r="A244" t="inlineStr">
        <is>
          <t>A 33359-2021</t>
        </is>
      </c>
      <c r="B244" s="1" t="n">
        <v>44377.49684027778</v>
      </c>
      <c r="C244" s="1" t="n">
        <v>45993</v>
      </c>
      <c r="D244" t="inlineStr">
        <is>
          <t>KALMAR LÄN</t>
        </is>
      </c>
      <c r="E244" t="inlineStr">
        <is>
          <t>VIMMERBY</t>
        </is>
      </c>
      <c r="F244" t="inlineStr">
        <is>
          <t>Kommuner</t>
        </is>
      </c>
      <c r="G244" t="n">
        <v>8</v>
      </c>
      <c r="H244" t="n">
        <v>0</v>
      </c>
      <c r="I244" t="n">
        <v>0</v>
      </c>
      <c r="J244" t="n">
        <v>0</v>
      </c>
      <c r="K244" t="n">
        <v>0</v>
      </c>
      <c r="L244" t="n">
        <v>0</v>
      </c>
      <c r="M244" t="n">
        <v>0</v>
      </c>
      <c r="N244" t="n">
        <v>0</v>
      </c>
      <c r="O244" t="n">
        <v>0</v>
      </c>
      <c r="P244" t="n">
        <v>0</v>
      </c>
      <c r="Q244" t="n">
        <v>0</v>
      </c>
      <c r="R244" s="2" t="inlineStr"/>
    </row>
    <row r="245" ht="15" customHeight="1">
      <c r="A245" t="inlineStr">
        <is>
          <t>A 43038-2022</t>
        </is>
      </c>
      <c r="B245" s="1" t="n">
        <v>44833.60123842592</v>
      </c>
      <c r="C245" s="1" t="n">
        <v>45993</v>
      </c>
      <c r="D245" t="inlineStr">
        <is>
          <t>KALMAR LÄN</t>
        </is>
      </c>
      <c r="E245" t="inlineStr">
        <is>
          <t>VIMMERBY</t>
        </is>
      </c>
      <c r="G245" t="n">
        <v>4.2</v>
      </c>
      <c r="H245" t="n">
        <v>0</v>
      </c>
      <c r="I245" t="n">
        <v>0</v>
      </c>
      <c r="J245" t="n">
        <v>0</v>
      </c>
      <c r="K245" t="n">
        <v>0</v>
      </c>
      <c r="L245" t="n">
        <v>0</v>
      </c>
      <c r="M245" t="n">
        <v>0</v>
      </c>
      <c r="N245" t="n">
        <v>0</v>
      </c>
      <c r="O245" t="n">
        <v>0</v>
      </c>
      <c r="P245" t="n">
        <v>0</v>
      </c>
      <c r="Q245" t="n">
        <v>0</v>
      </c>
      <c r="R245" s="2" t="inlineStr"/>
    </row>
    <row r="246" ht="15" customHeight="1">
      <c r="A246" t="inlineStr">
        <is>
          <t>A 50087-2023</t>
        </is>
      </c>
      <c r="B246" s="1" t="n">
        <v>45215.59743055556</v>
      </c>
      <c r="C246" s="1" t="n">
        <v>45993</v>
      </c>
      <c r="D246" t="inlineStr">
        <is>
          <t>KALMAR LÄN</t>
        </is>
      </c>
      <c r="E246" t="inlineStr">
        <is>
          <t>VIMMERBY</t>
        </is>
      </c>
      <c r="G246" t="n">
        <v>0.9</v>
      </c>
      <c r="H246" t="n">
        <v>0</v>
      </c>
      <c r="I246" t="n">
        <v>0</v>
      </c>
      <c r="J246" t="n">
        <v>0</v>
      </c>
      <c r="K246" t="n">
        <v>0</v>
      </c>
      <c r="L246" t="n">
        <v>0</v>
      </c>
      <c r="M246" t="n">
        <v>0</v>
      </c>
      <c r="N246" t="n">
        <v>0</v>
      </c>
      <c r="O246" t="n">
        <v>0</v>
      </c>
      <c r="P246" t="n">
        <v>0</v>
      </c>
      <c r="Q246" t="n">
        <v>0</v>
      </c>
      <c r="R246" s="2" t="inlineStr"/>
    </row>
    <row r="247" ht="15" customHeight="1">
      <c r="A247" t="inlineStr">
        <is>
          <t>A 33681-2022</t>
        </is>
      </c>
      <c r="B247" s="1" t="n">
        <v>44789</v>
      </c>
      <c r="C247" s="1" t="n">
        <v>45993</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62023-2022</t>
        </is>
      </c>
      <c r="B248" s="1" t="n">
        <v>44918.50106481482</v>
      </c>
      <c r="C248" s="1" t="n">
        <v>45993</v>
      </c>
      <c r="D248" t="inlineStr">
        <is>
          <t>KALMAR LÄN</t>
        </is>
      </c>
      <c r="E248" t="inlineStr">
        <is>
          <t>VIMMERBY</t>
        </is>
      </c>
      <c r="G248" t="n">
        <v>0.3</v>
      </c>
      <c r="H248" t="n">
        <v>0</v>
      </c>
      <c r="I248" t="n">
        <v>0</v>
      </c>
      <c r="J248" t="n">
        <v>0</v>
      </c>
      <c r="K248" t="n">
        <v>0</v>
      </c>
      <c r="L248" t="n">
        <v>0</v>
      </c>
      <c r="M248" t="n">
        <v>0</v>
      </c>
      <c r="N248" t="n">
        <v>0</v>
      </c>
      <c r="O248" t="n">
        <v>0</v>
      </c>
      <c r="P248" t="n">
        <v>0</v>
      </c>
      <c r="Q248" t="n">
        <v>0</v>
      </c>
      <c r="R248" s="2" t="inlineStr"/>
    </row>
    <row r="249" ht="15" customHeight="1">
      <c r="A249" t="inlineStr">
        <is>
          <t>A 58104-2024</t>
        </is>
      </c>
      <c r="B249" s="1" t="n">
        <v>45632.37459490741</v>
      </c>
      <c r="C249" s="1" t="n">
        <v>45993</v>
      </c>
      <c r="D249" t="inlineStr">
        <is>
          <t>KALMAR LÄN</t>
        </is>
      </c>
      <c r="E249" t="inlineStr">
        <is>
          <t>VIMMERBY</t>
        </is>
      </c>
      <c r="G249" t="n">
        <v>5</v>
      </c>
      <c r="H249" t="n">
        <v>0</v>
      </c>
      <c r="I249" t="n">
        <v>0</v>
      </c>
      <c r="J249" t="n">
        <v>0</v>
      </c>
      <c r="K249" t="n">
        <v>0</v>
      </c>
      <c r="L249" t="n">
        <v>0</v>
      </c>
      <c r="M249" t="n">
        <v>0</v>
      </c>
      <c r="N249" t="n">
        <v>0</v>
      </c>
      <c r="O249" t="n">
        <v>0</v>
      </c>
      <c r="P249" t="n">
        <v>0</v>
      </c>
      <c r="Q249" t="n">
        <v>0</v>
      </c>
      <c r="R249" s="2" t="inlineStr"/>
    </row>
    <row r="250" ht="15" customHeight="1">
      <c r="A250" t="inlineStr">
        <is>
          <t>A 47842-2024</t>
        </is>
      </c>
      <c r="B250" s="1" t="n">
        <v>45588.65545138889</v>
      </c>
      <c r="C250" s="1" t="n">
        <v>45993</v>
      </c>
      <c r="D250" t="inlineStr">
        <is>
          <t>KALMAR LÄN</t>
        </is>
      </c>
      <c r="E250" t="inlineStr">
        <is>
          <t>VIMMERBY</t>
        </is>
      </c>
      <c r="G250" t="n">
        <v>2.4</v>
      </c>
      <c r="H250" t="n">
        <v>0</v>
      </c>
      <c r="I250" t="n">
        <v>0</v>
      </c>
      <c r="J250" t="n">
        <v>0</v>
      </c>
      <c r="K250" t="n">
        <v>0</v>
      </c>
      <c r="L250" t="n">
        <v>0</v>
      </c>
      <c r="M250" t="n">
        <v>0</v>
      </c>
      <c r="N250" t="n">
        <v>0</v>
      </c>
      <c r="O250" t="n">
        <v>0</v>
      </c>
      <c r="P250" t="n">
        <v>0</v>
      </c>
      <c r="Q250" t="n">
        <v>0</v>
      </c>
      <c r="R250" s="2" t="inlineStr"/>
    </row>
    <row r="251" ht="15" customHeight="1">
      <c r="A251" t="inlineStr">
        <is>
          <t>A 57091-2022</t>
        </is>
      </c>
      <c r="B251" s="1" t="n">
        <v>44895.46524305556</v>
      </c>
      <c r="C251" s="1" t="n">
        <v>45993</v>
      </c>
      <c r="D251" t="inlineStr">
        <is>
          <t>KALMAR LÄN</t>
        </is>
      </c>
      <c r="E251" t="inlineStr">
        <is>
          <t>VIMMERBY</t>
        </is>
      </c>
      <c r="G251" t="n">
        <v>2.6</v>
      </c>
      <c r="H251" t="n">
        <v>0</v>
      </c>
      <c r="I251" t="n">
        <v>0</v>
      </c>
      <c r="J251" t="n">
        <v>0</v>
      </c>
      <c r="K251" t="n">
        <v>0</v>
      </c>
      <c r="L251" t="n">
        <v>0</v>
      </c>
      <c r="M251" t="n">
        <v>0</v>
      </c>
      <c r="N251" t="n">
        <v>0</v>
      </c>
      <c r="O251" t="n">
        <v>0</v>
      </c>
      <c r="P251" t="n">
        <v>0</v>
      </c>
      <c r="Q251" t="n">
        <v>0</v>
      </c>
      <c r="R251" s="2" t="inlineStr"/>
    </row>
    <row r="252" ht="15" customHeight="1">
      <c r="A252" t="inlineStr">
        <is>
          <t>A 6857-2023</t>
        </is>
      </c>
      <c r="B252" s="1" t="n">
        <v>44967.45122685185</v>
      </c>
      <c r="C252" s="1" t="n">
        <v>45993</v>
      </c>
      <c r="D252" t="inlineStr">
        <is>
          <t>KALMAR LÄN</t>
        </is>
      </c>
      <c r="E252" t="inlineStr">
        <is>
          <t>VIMMERBY</t>
        </is>
      </c>
      <c r="G252" t="n">
        <v>2.1</v>
      </c>
      <c r="H252" t="n">
        <v>0</v>
      </c>
      <c r="I252" t="n">
        <v>0</v>
      </c>
      <c r="J252" t="n">
        <v>0</v>
      </c>
      <c r="K252" t="n">
        <v>0</v>
      </c>
      <c r="L252" t="n">
        <v>0</v>
      </c>
      <c r="M252" t="n">
        <v>0</v>
      </c>
      <c r="N252" t="n">
        <v>0</v>
      </c>
      <c r="O252" t="n">
        <v>0</v>
      </c>
      <c r="P252" t="n">
        <v>0</v>
      </c>
      <c r="Q252" t="n">
        <v>0</v>
      </c>
      <c r="R252" s="2" t="inlineStr"/>
    </row>
    <row r="253" ht="15" customHeight="1">
      <c r="A253" t="inlineStr">
        <is>
          <t>A 12215-2024</t>
        </is>
      </c>
      <c r="B253" s="1" t="n">
        <v>45378.32185185186</v>
      </c>
      <c r="C253" s="1" t="n">
        <v>45993</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30920-2024</t>
        </is>
      </c>
      <c r="B254" s="1" t="n">
        <v>45498.673125</v>
      </c>
      <c r="C254" s="1" t="n">
        <v>45993</v>
      </c>
      <c r="D254" t="inlineStr">
        <is>
          <t>KALMAR LÄN</t>
        </is>
      </c>
      <c r="E254" t="inlineStr">
        <is>
          <t>VIMMERBY</t>
        </is>
      </c>
      <c r="G254" t="n">
        <v>1.3</v>
      </c>
      <c r="H254" t="n">
        <v>0</v>
      </c>
      <c r="I254" t="n">
        <v>0</v>
      </c>
      <c r="J254" t="n">
        <v>0</v>
      </c>
      <c r="K254" t="n">
        <v>0</v>
      </c>
      <c r="L254" t="n">
        <v>0</v>
      </c>
      <c r="M254" t="n">
        <v>0</v>
      </c>
      <c r="N254" t="n">
        <v>0</v>
      </c>
      <c r="O254" t="n">
        <v>0</v>
      </c>
      <c r="P254" t="n">
        <v>0</v>
      </c>
      <c r="Q254" t="n">
        <v>0</v>
      </c>
      <c r="R254" s="2" t="inlineStr"/>
    </row>
    <row r="255" ht="15" customHeight="1">
      <c r="A255" t="inlineStr">
        <is>
          <t>A 56536-2022</t>
        </is>
      </c>
      <c r="B255" s="1" t="n">
        <v>44893</v>
      </c>
      <c r="C255" s="1" t="n">
        <v>45993</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63541-2023</t>
        </is>
      </c>
      <c r="B256" s="1" t="n">
        <v>45275.32266203704</v>
      </c>
      <c r="C256" s="1" t="n">
        <v>45993</v>
      </c>
      <c r="D256" t="inlineStr">
        <is>
          <t>KALMAR LÄN</t>
        </is>
      </c>
      <c r="E256" t="inlineStr">
        <is>
          <t>VIMMERBY</t>
        </is>
      </c>
      <c r="G256" t="n">
        <v>1.1</v>
      </c>
      <c r="H256" t="n">
        <v>0</v>
      </c>
      <c r="I256" t="n">
        <v>0</v>
      </c>
      <c r="J256" t="n">
        <v>0</v>
      </c>
      <c r="K256" t="n">
        <v>0</v>
      </c>
      <c r="L256" t="n">
        <v>0</v>
      </c>
      <c r="M256" t="n">
        <v>0</v>
      </c>
      <c r="N256" t="n">
        <v>0</v>
      </c>
      <c r="O256" t="n">
        <v>0</v>
      </c>
      <c r="P256" t="n">
        <v>0</v>
      </c>
      <c r="Q256" t="n">
        <v>0</v>
      </c>
      <c r="R256" s="2" t="inlineStr"/>
    </row>
    <row r="257" ht="15" customHeight="1">
      <c r="A257" t="inlineStr">
        <is>
          <t>A 16825-2024</t>
        </is>
      </c>
      <c r="B257" s="1" t="n">
        <v>45411.47335648148</v>
      </c>
      <c r="C257" s="1" t="n">
        <v>45993</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37323-2024</t>
        </is>
      </c>
      <c r="B258" s="1" t="n">
        <v>45540.50098379629</v>
      </c>
      <c r="C258" s="1" t="n">
        <v>45993</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46224-2024</t>
        </is>
      </c>
      <c r="B259" s="1" t="n">
        <v>45581.57016203704</v>
      </c>
      <c r="C259" s="1" t="n">
        <v>45993</v>
      </c>
      <c r="D259" t="inlineStr">
        <is>
          <t>KALMAR LÄN</t>
        </is>
      </c>
      <c r="E259" t="inlineStr">
        <is>
          <t>VIMMERBY</t>
        </is>
      </c>
      <c r="G259" t="n">
        <v>3.1</v>
      </c>
      <c r="H259" t="n">
        <v>0</v>
      </c>
      <c r="I259" t="n">
        <v>0</v>
      </c>
      <c r="J259" t="n">
        <v>0</v>
      </c>
      <c r="K259" t="n">
        <v>0</v>
      </c>
      <c r="L259" t="n">
        <v>0</v>
      </c>
      <c r="M259" t="n">
        <v>0</v>
      </c>
      <c r="N259" t="n">
        <v>0</v>
      </c>
      <c r="O259" t="n">
        <v>0</v>
      </c>
      <c r="P259" t="n">
        <v>0</v>
      </c>
      <c r="Q259" t="n">
        <v>0</v>
      </c>
      <c r="R259" s="2" t="inlineStr"/>
    </row>
    <row r="260" ht="15" customHeight="1">
      <c r="A260" t="inlineStr">
        <is>
          <t>A 12033-2024</t>
        </is>
      </c>
      <c r="B260" s="1" t="n">
        <v>45377.40043981482</v>
      </c>
      <c r="C260" s="1" t="n">
        <v>45993</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6214-2025</t>
        </is>
      </c>
      <c r="B261" s="1" t="n">
        <v>45698.51711805556</v>
      </c>
      <c r="C261" s="1" t="n">
        <v>45993</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29013-2024</t>
        </is>
      </c>
      <c r="B262" s="1" t="n">
        <v>45481.55984953704</v>
      </c>
      <c r="C262" s="1" t="n">
        <v>45993</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2604-2025</t>
        </is>
      </c>
      <c r="B263" s="1" t="n">
        <v>45674.74094907408</v>
      </c>
      <c r="C263" s="1" t="n">
        <v>45993</v>
      </c>
      <c r="D263" t="inlineStr">
        <is>
          <t>KALMAR LÄN</t>
        </is>
      </c>
      <c r="E263" t="inlineStr">
        <is>
          <t>VIMMERBY</t>
        </is>
      </c>
      <c r="G263" t="n">
        <v>7.6</v>
      </c>
      <c r="H263" t="n">
        <v>0</v>
      </c>
      <c r="I263" t="n">
        <v>0</v>
      </c>
      <c r="J263" t="n">
        <v>0</v>
      </c>
      <c r="K263" t="n">
        <v>0</v>
      </c>
      <c r="L263" t="n">
        <v>0</v>
      </c>
      <c r="M263" t="n">
        <v>0</v>
      </c>
      <c r="N263" t="n">
        <v>0</v>
      </c>
      <c r="O263" t="n">
        <v>0</v>
      </c>
      <c r="P263" t="n">
        <v>0</v>
      </c>
      <c r="Q263" t="n">
        <v>0</v>
      </c>
      <c r="R263" s="2" t="inlineStr"/>
    </row>
    <row r="264" ht="15" customHeight="1">
      <c r="A264" t="inlineStr">
        <is>
          <t>A 49408-2023</t>
        </is>
      </c>
      <c r="B264" s="1" t="n">
        <v>45211.43555555555</v>
      </c>
      <c r="C264" s="1" t="n">
        <v>45993</v>
      </c>
      <c r="D264" t="inlineStr">
        <is>
          <t>KALMAR LÄN</t>
        </is>
      </c>
      <c r="E264" t="inlineStr">
        <is>
          <t>VIMMERBY</t>
        </is>
      </c>
      <c r="G264" t="n">
        <v>13.1</v>
      </c>
      <c r="H264" t="n">
        <v>0</v>
      </c>
      <c r="I264" t="n">
        <v>0</v>
      </c>
      <c r="J264" t="n">
        <v>0</v>
      </c>
      <c r="K264" t="n">
        <v>0</v>
      </c>
      <c r="L264" t="n">
        <v>0</v>
      </c>
      <c r="M264" t="n">
        <v>0</v>
      </c>
      <c r="N264" t="n">
        <v>0</v>
      </c>
      <c r="O264" t="n">
        <v>0</v>
      </c>
      <c r="P264" t="n">
        <v>0</v>
      </c>
      <c r="Q264" t="n">
        <v>0</v>
      </c>
      <c r="R264" s="2" t="inlineStr"/>
    </row>
    <row r="265" ht="15" customHeight="1">
      <c r="A265" t="inlineStr">
        <is>
          <t>A 6807-2025</t>
        </is>
      </c>
      <c r="B265" s="1" t="n">
        <v>45700.68672453704</v>
      </c>
      <c r="C265" s="1" t="n">
        <v>45993</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27443-2023</t>
        </is>
      </c>
      <c r="B266" s="1" t="n">
        <v>45097.40524305555</v>
      </c>
      <c r="C266" s="1" t="n">
        <v>45993</v>
      </c>
      <c r="D266" t="inlineStr">
        <is>
          <t>KALMAR LÄN</t>
        </is>
      </c>
      <c r="E266" t="inlineStr">
        <is>
          <t>VIMMERBY</t>
        </is>
      </c>
      <c r="F266" t="inlineStr">
        <is>
          <t>Övriga Aktiebolag</t>
        </is>
      </c>
      <c r="G266" t="n">
        <v>2.3</v>
      </c>
      <c r="H266" t="n">
        <v>0</v>
      </c>
      <c r="I266" t="n">
        <v>0</v>
      </c>
      <c r="J266" t="n">
        <v>0</v>
      </c>
      <c r="K266" t="n">
        <v>0</v>
      </c>
      <c r="L266" t="n">
        <v>0</v>
      </c>
      <c r="M266" t="n">
        <v>0</v>
      </c>
      <c r="N266" t="n">
        <v>0</v>
      </c>
      <c r="O266" t="n">
        <v>0</v>
      </c>
      <c r="P266" t="n">
        <v>0</v>
      </c>
      <c r="Q266" t="n">
        <v>0</v>
      </c>
      <c r="R266" s="2" t="inlineStr"/>
    </row>
    <row r="267" ht="15" customHeight="1">
      <c r="A267" t="inlineStr">
        <is>
          <t>A 37028-2024</t>
        </is>
      </c>
      <c r="B267" s="1" t="n">
        <v>45539.38744212963</v>
      </c>
      <c r="C267" s="1" t="n">
        <v>45993</v>
      </c>
      <c r="D267" t="inlineStr">
        <is>
          <t>KALMAR LÄN</t>
        </is>
      </c>
      <c r="E267" t="inlineStr">
        <is>
          <t>VIMMERBY</t>
        </is>
      </c>
      <c r="G267" t="n">
        <v>5.2</v>
      </c>
      <c r="H267" t="n">
        <v>0</v>
      </c>
      <c r="I267" t="n">
        <v>0</v>
      </c>
      <c r="J267" t="n">
        <v>0</v>
      </c>
      <c r="K267" t="n">
        <v>0</v>
      </c>
      <c r="L267" t="n">
        <v>0</v>
      </c>
      <c r="M267" t="n">
        <v>0</v>
      </c>
      <c r="N267" t="n">
        <v>0</v>
      </c>
      <c r="O267" t="n">
        <v>0</v>
      </c>
      <c r="P267" t="n">
        <v>0</v>
      </c>
      <c r="Q267" t="n">
        <v>0</v>
      </c>
      <c r="R267" s="2" t="inlineStr"/>
    </row>
    <row r="268" ht="15" customHeight="1">
      <c r="A268" t="inlineStr">
        <is>
          <t>A 11429-2022</t>
        </is>
      </c>
      <c r="B268" s="1" t="n">
        <v>44630</v>
      </c>
      <c r="C268" s="1" t="n">
        <v>45993</v>
      </c>
      <c r="D268" t="inlineStr">
        <is>
          <t>KALMAR LÄN</t>
        </is>
      </c>
      <c r="E268" t="inlineStr">
        <is>
          <t>VIMMERBY</t>
        </is>
      </c>
      <c r="G268" t="n">
        <v>2.6</v>
      </c>
      <c r="H268" t="n">
        <v>0</v>
      </c>
      <c r="I268" t="n">
        <v>0</v>
      </c>
      <c r="J268" t="n">
        <v>0</v>
      </c>
      <c r="K268" t="n">
        <v>0</v>
      </c>
      <c r="L268" t="n">
        <v>0</v>
      </c>
      <c r="M268" t="n">
        <v>0</v>
      </c>
      <c r="N268" t="n">
        <v>0</v>
      </c>
      <c r="O268" t="n">
        <v>0</v>
      </c>
      <c r="P268" t="n">
        <v>0</v>
      </c>
      <c r="Q268" t="n">
        <v>0</v>
      </c>
      <c r="R268" s="2" t="inlineStr"/>
    </row>
    <row r="269" ht="15" customHeight="1">
      <c r="A269" t="inlineStr">
        <is>
          <t>A 56582-2022</t>
        </is>
      </c>
      <c r="B269" s="1" t="n">
        <v>44893</v>
      </c>
      <c r="C269" s="1" t="n">
        <v>45993</v>
      </c>
      <c r="D269" t="inlineStr">
        <is>
          <t>KALMAR LÄN</t>
        </is>
      </c>
      <c r="E269" t="inlineStr">
        <is>
          <t>VIMMERBY</t>
        </is>
      </c>
      <c r="G269" t="n">
        <v>2.2</v>
      </c>
      <c r="H269" t="n">
        <v>0</v>
      </c>
      <c r="I269" t="n">
        <v>0</v>
      </c>
      <c r="J269" t="n">
        <v>0</v>
      </c>
      <c r="K269" t="n">
        <v>0</v>
      </c>
      <c r="L269" t="n">
        <v>0</v>
      </c>
      <c r="M269" t="n">
        <v>0</v>
      </c>
      <c r="N269" t="n">
        <v>0</v>
      </c>
      <c r="O269" t="n">
        <v>0</v>
      </c>
      <c r="P269" t="n">
        <v>0</v>
      </c>
      <c r="Q269" t="n">
        <v>0</v>
      </c>
      <c r="R269" s="2" t="inlineStr"/>
    </row>
    <row r="270" ht="15" customHeight="1">
      <c r="A270" t="inlineStr">
        <is>
          <t>A 37187-2024</t>
        </is>
      </c>
      <c r="B270" s="1" t="n">
        <v>45539.65212962963</v>
      </c>
      <c r="C270" s="1" t="n">
        <v>45993</v>
      </c>
      <c r="D270" t="inlineStr">
        <is>
          <t>KALMAR LÄN</t>
        </is>
      </c>
      <c r="E270" t="inlineStr">
        <is>
          <t>VIMMERBY</t>
        </is>
      </c>
      <c r="G270" t="n">
        <v>2.7</v>
      </c>
      <c r="H270" t="n">
        <v>0</v>
      </c>
      <c r="I270" t="n">
        <v>0</v>
      </c>
      <c r="J270" t="n">
        <v>0</v>
      </c>
      <c r="K270" t="n">
        <v>0</v>
      </c>
      <c r="L270" t="n">
        <v>0</v>
      </c>
      <c r="M270" t="n">
        <v>0</v>
      </c>
      <c r="N270" t="n">
        <v>0</v>
      </c>
      <c r="O270" t="n">
        <v>0</v>
      </c>
      <c r="P270" t="n">
        <v>0</v>
      </c>
      <c r="Q270" t="n">
        <v>0</v>
      </c>
      <c r="R270" s="2" t="inlineStr"/>
    </row>
    <row r="271" ht="15" customHeight="1">
      <c r="A271" t="inlineStr">
        <is>
          <t>A 28395-2023</t>
        </is>
      </c>
      <c r="B271" s="1" t="n">
        <v>45100.4062962963</v>
      </c>
      <c r="C271" s="1" t="n">
        <v>45993</v>
      </c>
      <c r="D271" t="inlineStr">
        <is>
          <t>KALMAR LÄN</t>
        </is>
      </c>
      <c r="E271" t="inlineStr">
        <is>
          <t>VIMMERBY</t>
        </is>
      </c>
      <c r="G271" t="n">
        <v>1.4</v>
      </c>
      <c r="H271" t="n">
        <v>0</v>
      </c>
      <c r="I271" t="n">
        <v>0</v>
      </c>
      <c r="J271" t="n">
        <v>0</v>
      </c>
      <c r="K271" t="n">
        <v>0</v>
      </c>
      <c r="L271" t="n">
        <v>0</v>
      </c>
      <c r="M271" t="n">
        <v>0</v>
      </c>
      <c r="N271" t="n">
        <v>0</v>
      </c>
      <c r="O271" t="n">
        <v>0</v>
      </c>
      <c r="P271" t="n">
        <v>0</v>
      </c>
      <c r="Q271" t="n">
        <v>0</v>
      </c>
      <c r="R271" s="2" t="inlineStr"/>
    </row>
    <row r="272" ht="15" customHeight="1">
      <c r="A272" t="inlineStr">
        <is>
          <t>A 38851-2023</t>
        </is>
      </c>
      <c r="B272" s="1" t="n">
        <v>45163</v>
      </c>
      <c r="C272" s="1" t="n">
        <v>45993</v>
      </c>
      <c r="D272" t="inlineStr">
        <is>
          <t>KALMAR LÄN</t>
        </is>
      </c>
      <c r="E272" t="inlineStr">
        <is>
          <t>VIMMERBY</t>
        </is>
      </c>
      <c r="G272" t="n">
        <v>4.3</v>
      </c>
      <c r="H272" t="n">
        <v>0</v>
      </c>
      <c r="I272" t="n">
        <v>0</v>
      </c>
      <c r="J272" t="n">
        <v>0</v>
      </c>
      <c r="K272" t="n">
        <v>0</v>
      </c>
      <c r="L272" t="n">
        <v>0</v>
      </c>
      <c r="M272" t="n">
        <v>0</v>
      </c>
      <c r="N272" t="n">
        <v>0</v>
      </c>
      <c r="O272" t="n">
        <v>0</v>
      </c>
      <c r="P272" t="n">
        <v>0</v>
      </c>
      <c r="Q272" t="n">
        <v>0</v>
      </c>
      <c r="R272" s="2" t="inlineStr"/>
    </row>
    <row r="273" ht="15" customHeight="1">
      <c r="A273" t="inlineStr">
        <is>
          <t>A 6408-2025</t>
        </is>
      </c>
      <c r="B273" s="1" t="n">
        <v>45699.45671296296</v>
      </c>
      <c r="C273" s="1" t="n">
        <v>45993</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18501-2024</t>
        </is>
      </c>
      <c r="B274" s="1" t="n">
        <v>45425.57538194444</v>
      </c>
      <c r="C274" s="1" t="n">
        <v>45993</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11609-2023</t>
        </is>
      </c>
      <c r="B275" s="1" t="n">
        <v>44994.40635416667</v>
      </c>
      <c r="C275" s="1" t="n">
        <v>45993</v>
      </c>
      <c r="D275" t="inlineStr">
        <is>
          <t>KALMAR LÄN</t>
        </is>
      </c>
      <c r="E275" t="inlineStr">
        <is>
          <t>VIMMERBY</t>
        </is>
      </c>
      <c r="G275" t="n">
        <v>4.9</v>
      </c>
      <c r="H275" t="n">
        <v>0</v>
      </c>
      <c r="I275" t="n">
        <v>0</v>
      </c>
      <c r="J275" t="n">
        <v>0</v>
      </c>
      <c r="K275" t="n">
        <v>0</v>
      </c>
      <c r="L275" t="n">
        <v>0</v>
      </c>
      <c r="M275" t="n">
        <v>0</v>
      </c>
      <c r="N275" t="n">
        <v>0</v>
      </c>
      <c r="O275" t="n">
        <v>0</v>
      </c>
      <c r="P275" t="n">
        <v>0</v>
      </c>
      <c r="Q275" t="n">
        <v>0</v>
      </c>
      <c r="R275" s="2" t="inlineStr"/>
    </row>
    <row r="276" ht="15" customHeight="1">
      <c r="A276" t="inlineStr">
        <is>
          <t>A 44464-2024</t>
        </is>
      </c>
      <c r="B276" s="1" t="n">
        <v>45574.35809027778</v>
      </c>
      <c r="C276" s="1" t="n">
        <v>45993</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41066-2024</t>
        </is>
      </c>
      <c r="B277" s="1" t="n">
        <v>45559.38876157408</v>
      </c>
      <c r="C277" s="1" t="n">
        <v>45993</v>
      </c>
      <c r="D277" t="inlineStr">
        <is>
          <t>KALMAR LÄN</t>
        </is>
      </c>
      <c r="E277" t="inlineStr">
        <is>
          <t>VIMMERBY</t>
        </is>
      </c>
      <c r="G277" t="n">
        <v>2.4</v>
      </c>
      <c r="H277" t="n">
        <v>0</v>
      </c>
      <c r="I277" t="n">
        <v>0</v>
      </c>
      <c r="J277" t="n">
        <v>0</v>
      </c>
      <c r="K277" t="n">
        <v>0</v>
      </c>
      <c r="L277" t="n">
        <v>0</v>
      </c>
      <c r="M277" t="n">
        <v>0</v>
      </c>
      <c r="N277" t="n">
        <v>0</v>
      </c>
      <c r="O277" t="n">
        <v>0</v>
      </c>
      <c r="P277" t="n">
        <v>0</v>
      </c>
      <c r="Q277" t="n">
        <v>0</v>
      </c>
      <c r="R277" s="2" t="inlineStr"/>
    </row>
    <row r="278" ht="15" customHeight="1">
      <c r="A278" t="inlineStr">
        <is>
          <t>A 12630-2023</t>
        </is>
      </c>
      <c r="B278" s="1" t="n">
        <v>45000.47998842593</v>
      </c>
      <c r="C278" s="1" t="n">
        <v>45993</v>
      </c>
      <c r="D278" t="inlineStr">
        <is>
          <t>KALMAR LÄN</t>
        </is>
      </c>
      <c r="E278" t="inlineStr">
        <is>
          <t>VIMMERBY</t>
        </is>
      </c>
      <c r="G278" t="n">
        <v>2.1</v>
      </c>
      <c r="H278" t="n">
        <v>0</v>
      </c>
      <c r="I278" t="n">
        <v>0</v>
      </c>
      <c r="J278" t="n">
        <v>0</v>
      </c>
      <c r="K278" t="n">
        <v>0</v>
      </c>
      <c r="L278" t="n">
        <v>0</v>
      </c>
      <c r="M278" t="n">
        <v>0</v>
      </c>
      <c r="N278" t="n">
        <v>0</v>
      </c>
      <c r="O278" t="n">
        <v>0</v>
      </c>
      <c r="P278" t="n">
        <v>0</v>
      </c>
      <c r="Q278" t="n">
        <v>0</v>
      </c>
      <c r="R278" s="2" t="inlineStr"/>
    </row>
    <row r="279" ht="15" customHeight="1">
      <c r="A279" t="inlineStr">
        <is>
          <t>A 25799-2023</t>
        </is>
      </c>
      <c r="B279" s="1" t="n">
        <v>45090</v>
      </c>
      <c r="C279" s="1" t="n">
        <v>45993</v>
      </c>
      <c r="D279" t="inlineStr">
        <is>
          <t>KALMAR LÄN</t>
        </is>
      </c>
      <c r="E279" t="inlineStr">
        <is>
          <t>VIMMERBY</t>
        </is>
      </c>
      <c r="G279" t="n">
        <v>7.7</v>
      </c>
      <c r="H279" t="n">
        <v>0</v>
      </c>
      <c r="I279" t="n">
        <v>0</v>
      </c>
      <c r="J279" t="n">
        <v>0</v>
      </c>
      <c r="K279" t="n">
        <v>0</v>
      </c>
      <c r="L279" t="n">
        <v>0</v>
      </c>
      <c r="M279" t="n">
        <v>0</v>
      </c>
      <c r="N279" t="n">
        <v>0</v>
      </c>
      <c r="O279" t="n">
        <v>0</v>
      </c>
      <c r="P279" t="n">
        <v>0</v>
      </c>
      <c r="Q279" t="n">
        <v>0</v>
      </c>
      <c r="R279" s="2" t="inlineStr"/>
    </row>
    <row r="280" ht="15" customHeight="1">
      <c r="A280" t="inlineStr">
        <is>
          <t>A 16015-2025</t>
        </is>
      </c>
      <c r="B280" s="1" t="n">
        <v>45749.60487268519</v>
      </c>
      <c r="C280" s="1" t="n">
        <v>45993</v>
      </c>
      <c r="D280" t="inlineStr">
        <is>
          <t>KALMAR LÄN</t>
        </is>
      </c>
      <c r="E280" t="inlineStr">
        <is>
          <t>VIMMERBY</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39584-2024</t>
        </is>
      </c>
      <c r="B281" s="1" t="n">
        <v>45552.36759259259</v>
      </c>
      <c r="C281" s="1" t="n">
        <v>45993</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57256-2023</t>
        </is>
      </c>
      <c r="B282" s="1" t="n">
        <v>45245.5735300926</v>
      </c>
      <c r="C282" s="1" t="n">
        <v>45993</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27705-2023</t>
        </is>
      </c>
      <c r="B283" s="1" t="n">
        <v>45098.30535879629</v>
      </c>
      <c r="C283" s="1" t="n">
        <v>45993</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23088-2024</t>
        </is>
      </c>
      <c r="B284" s="1" t="n">
        <v>45450.51092592593</v>
      </c>
      <c r="C284" s="1" t="n">
        <v>45993</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3816-2022</t>
        </is>
      </c>
      <c r="B285" s="1" t="n">
        <v>44587</v>
      </c>
      <c r="C285" s="1" t="n">
        <v>45993</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1081-2023</t>
        </is>
      </c>
      <c r="B286" s="1" t="n">
        <v>44935</v>
      </c>
      <c r="C286" s="1" t="n">
        <v>45993</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57189-2022</t>
        </is>
      </c>
      <c r="B287" s="1" t="n">
        <v>44895.62296296296</v>
      </c>
      <c r="C287" s="1" t="n">
        <v>45993</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7047-2022</t>
        </is>
      </c>
      <c r="B288" s="1" t="n">
        <v>44603</v>
      </c>
      <c r="C288" s="1" t="n">
        <v>45993</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12499-2023</t>
        </is>
      </c>
      <c r="B289" s="1" t="n">
        <v>44999.86172453704</v>
      </c>
      <c r="C289" s="1" t="n">
        <v>45993</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31013-2023</t>
        </is>
      </c>
      <c r="B290" s="1" t="n">
        <v>45113.56574074074</v>
      </c>
      <c r="C290" s="1" t="n">
        <v>45993</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12500-2023</t>
        </is>
      </c>
      <c r="B291" s="1" t="n">
        <v>44999.8625</v>
      </c>
      <c r="C291" s="1" t="n">
        <v>45993</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23252-2024</t>
        </is>
      </c>
      <c r="B292" s="1" t="n">
        <v>45453.36067129629</v>
      </c>
      <c r="C292" s="1" t="n">
        <v>45993</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15388-2025</t>
        </is>
      </c>
      <c r="B293" s="1" t="n">
        <v>45747.42633101852</v>
      </c>
      <c r="C293" s="1" t="n">
        <v>45993</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15391-2025</t>
        </is>
      </c>
      <c r="B294" s="1" t="n">
        <v>45747.42958333333</v>
      </c>
      <c r="C294" s="1" t="n">
        <v>45993</v>
      </c>
      <c r="D294" t="inlineStr">
        <is>
          <t>KALMAR LÄN</t>
        </is>
      </c>
      <c r="E294" t="inlineStr">
        <is>
          <t>VIMMERBY</t>
        </is>
      </c>
      <c r="G294" t="n">
        <v>1.1</v>
      </c>
      <c r="H294" t="n">
        <v>0</v>
      </c>
      <c r="I294" t="n">
        <v>0</v>
      </c>
      <c r="J294" t="n">
        <v>0</v>
      </c>
      <c r="K294" t="n">
        <v>0</v>
      </c>
      <c r="L294" t="n">
        <v>0</v>
      </c>
      <c r="M294" t="n">
        <v>0</v>
      </c>
      <c r="N294" t="n">
        <v>0</v>
      </c>
      <c r="O294" t="n">
        <v>0</v>
      </c>
      <c r="P294" t="n">
        <v>0</v>
      </c>
      <c r="Q294" t="n">
        <v>0</v>
      </c>
      <c r="R294" s="2" t="inlineStr"/>
    </row>
    <row r="295" ht="15" customHeight="1">
      <c r="A295" t="inlineStr">
        <is>
          <t>A 1987-2024</t>
        </is>
      </c>
      <c r="B295" s="1" t="n">
        <v>45308.61152777778</v>
      </c>
      <c r="C295" s="1" t="n">
        <v>45993</v>
      </c>
      <c r="D295" t="inlineStr">
        <is>
          <t>KALMAR LÄN</t>
        </is>
      </c>
      <c r="E295" t="inlineStr">
        <is>
          <t>VIMMERBY</t>
        </is>
      </c>
      <c r="G295" t="n">
        <v>3</v>
      </c>
      <c r="H295" t="n">
        <v>0</v>
      </c>
      <c r="I295" t="n">
        <v>0</v>
      </c>
      <c r="J295" t="n">
        <v>0</v>
      </c>
      <c r="K295" t="n">
        <v>0</v>
      </c>
      <c r="L295" t="n">
        <v>0</v>
      </c>
      <c r="M295" t="n">
        <v>0</v>
      </c>
      <c r="N295" t="n">
        <v>0</v>
      </c>
      <c r="O295" t="n">
        <v>0</v>
      </c>
      <c r="P295" t="n">
        <v>0</v>
      </c>
      <c r="Q295" t="n">
        <v>0</v>
      </c>
      <c r="R295" s="2" t="inlineStr"/>
    </row>
    <row r="296" ht="15" customHeight="1">
      <c r="A296" t="inlineStr">
        <is>
          <t>A 11303-2025</t>
        </is>
      </c>
      <c r="B296" s="1" t="n">
        <v>45726.44471064815</v>
      </c>
      <c r="C296" s="1" t="n">
        <v>45993</v>
      </c>
      <c r="D296" t="inlineStr">
        <is>
          <t>KALMAR LÄN</t>
        </is>
      </c>
      <c r="E296" t="inlineStr">
        <is>
          <t>VIMMERBY</t>
        </is>
      </c>
      <c r="G296" t="n">
        <v>2.1</v>
      </c>
      <c r="H296" t="n">
        <v>0</v>
      </c>
      <c r="I296" t="n">
        <v>0</v>
      </c>
      <c r="J296" t="n">
        <v>0</v>
      </c>
      <c r="K296" t="n">
        <v>0</v>
      </c>
      <c r="L296" t="n">
        <v>0</v>
      </c>
      <c r="M296" t="n">
        <v>0</v>
      </c>
      <c r="N296" t="n">
        <v>0</v>
      </c>
      <c r="O296" t="n">
        <v>0</v>
      </c>
      <c r="P296" t="n">
        <v>0</v>
      </c>
      <c r="Q296" t="n">
        <v>0</v>
      </c>
      <c r="R296" s="2" t="inlineStr"/>
    </row>
    <row r="297" ht="15" customHeight="1">
      <c r="A297" t="inlineStr">
        <is>
          <t>A 527-2024</t>
        </is>
      </c>
      <c r="B297" s="1" t="n">
        <v>45299.47513888889</v>
      </c>
      <c r="C297" s="1" t="n">
        <v>45993</v>
      </c>
      <c r="D297" t="inlineStr">
        <is>
          <t>KALMAR LÄN</t>
        </is>
      </c>
      <c r="E297" t="inlineStr">
        <is>
          <t>VIMMERBY</t>
        </is>
      </c>
      <c r="G297" t="n">
        <v>2.2</v>
      </c>
      <c r="H297" t="n">
        <v>0</v>
      </c>
      <c r="I297" t="n">
        <v>0</v>
      </c>
      <c r="J297" t="n">
        <v>0</v>
      </c>
      <c r="K297" t="n">
        <v>0</v>
      </c>
      <c r="L297" t="n">
        <v>0</v>
      </c>
      <c r="M297" t="n">
        <v>0</v>
      </c>
      <c r="N297" t="n">
        <v>0</v>
      </c>
      <c r="O297" t="n">
        <v>0</v>
      </c>
      <c r="P297" t="n">
        <v>0</v>
      </c>
      <c r="Q297" t="n">
        <v>0</v>
      </c>
      <c r="R297" s="2" t="inlineStr"/>
    </row>
    <row r="298" ht="15" customHeight="1">
      <c r="A298" t="inlineStr">
        <is>
          <t>A 6066-2023</t>
        </is>
      </c>
      <c r="B298" s="1" t="n">
        <v>44964.50894675926</v>
      </c>
      <c r="C298" s="1" t="n">
        <v>45993</v>
      </c>
      <c r="D298" t="inlineStr">
        <is>
          <t>KALMAR LÄN</t>
        </is>
      </c>
      <c r="E298" t="inlineStr">
        <is>
          <t>VIMMERBY</t>
        </is>
      </c>
      <c r="G298" t="n">
        <v>2.8</v>
      </c>
      <c r="H298" t="n">
        <v>0</v>
      </c>
      <c r="I298" t="n">
        <v>0</v>
      </c>
      <c r="J298" t="n">
        <v>0</v>
      </c>
      <c r="K298" t="n">
        <v>0</v>
      </c>
      <c r="L298" t="n">
        <v>0</v>
      </c>
      <c r="M298" t="n">
        <v>0</v>
      </c>
      <c r="N298" t="n">
        <v>0</v>
      </c>
      <c r="O298" t="n">
        <v>0</v>
      </c>
      <c r="P298" t="n">
        <v>0</v>
      </c>
      <c r="Q298" t="n">
        <v>0</v>
      </c>
      <c r="R298" s="2" t="inlineStr"/>
    </row>
    <row r="299" ht="15" customHeight="1">
      <c r="A299" t="inlineStr">
        <is>
          <t>A 33103-2024</t>
        </is>
      </c>
      <c r="B299" s="1" t="n">
        <v>45517.8162037037</v>
      </c>
      <c r="C299" s="1" t="n">
        <v>45993</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33161-2024</t>
        </is>
      </c>
      <c r="B300" s="1" t="n">
        <v>45518.40657407408</v>
      </c>
      <c r="C300" s="1" t="n">
        <v>45993</v>
      </c>
      <c r="D300" t="inlineStr">
        <is>
          <t>KALMAR LÄN</t>
        </is>
      </c>
      <c r="E300" t="inlineStr">
        <is>
          <t>VIMMERBY</t>
        </is>
      </c>
      <c r="G300" t="n">
        <v>4.7</v>
      </c>
      <c r="H300" t="n">
        <v>0</v>
      </c>
      <c r="I300" t="n">
        <v>0</v>
      </c>
      <c r="J300" t="n">
        <v>0</v>
      </c>
      <c r="K300" t="n">
        <v>0</v>
      </c>
      <c r="L300" t="n">
        <v>0</v>
      </c>
      <c r="M300" t="n">
        <v>0</v>
      </c>
      <c r="N300" t="n">
        <v>0</v>
      </c>
      <c r="O300" t="n">
        <v>0</v>
      </c>
      <c r="P300" t="n">
        <v>0</v>
      </c>
      <c r="Q300" t="n">
        <v>0</v>
      </c>
      <c r="R300" s="2" t="inlineStr"/>
    </row>
    <row r="301" ht="15" customHeight="1">
      <c r="A301" t="inlineStr">
        <is>
          <t>A 12510-2022</t>
        </is>
      </c>
      <c r="B301" s="1" t="n">
        <v>44638.55256944444</v>
      </c>
      <c r="C301" s="1" t="n">
        <v>45993</v>
      </c>
      <c r="D301" t="inlineStr">
        <is>
          <t>KALMAR LÄN</t>
        </is>
      </c>
      <c r="E301" t="inlineStr">
        <is>
          <t>VIMMERBY</t>
        </is>
      </c>
      <c r="G301" t="n">
        <v>2.4</v>
      </c>
      <c r="H301" t="n">
        <v>0</v>
      </c>
      <c r="I301" t="n">
        <v>0</v>
      </c>
      <c r="J301" t="n">
        <v>0</v>
      </c>
      <c r="K301" t="n">
        <v>0</v>
      </c>
      <c r="L301" t="n">
        <v>0</v>
      </c>
      <c r="M301" t="n">
        <v>0</v>
      </c>
      <c r="N301" t="n">
        <v>0</v>
      </c>
      <c r="O301" t="n">
        <v>0</v>
      </c>
      <c r="P301" t="n">
        <v>0</v>
      </c>
      <c r="Q301" t="n">
        <v>0</v>
      </c>
      <c r="R301" s="2" t="inlineStr"/>
    </row>
    <row r="302" ht="15" customHeight="1">
      <c r="A302" t="inlineStr">
        <is>
          <t>A 5792-2023</t>
        </is>
      </c>
      <c r="B302" s="1" t="n">
        <v>44963.44769675926</v>
      </c>
      <c r="C302" s="1" t="n">
        <v>45993</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2797-2023</t>
        </is>
      </c>
      <c r="B303" s="1" t="n">
        <v>44944.71386574074</v>
      </c>
      <c r="C303" s="1" t="n">
        <v>45993</v>
      </c>
      <c r="D303" t="inlineStr">
        <is>
          <t>KALMAR LÄN</t>
        </is>
      </c>
      <c r="E303" t="inlineStr">
        <is>
          <t>VIMMERBY</t>
        </is>
      </c>
      <c r="G303" t="n">
        <v>3.4</v>
      </c>
      <c r="H303" t="n">
        <v>0</v>
      </c>
      <c r="I303" t="n">
        <v>0</v>
      </c>
      <c r="J303" t="n">
        <v>0</v>
      </c>
      <c r="K303" t="n">
        <v>0</v>
      </c>
      <c r="L303" t="n">
        <v>0</v>
      </c>
      <c r="M303" t="n">
        <v>0</v>
      </c>
      <c r="N303" t="n">
        <v>0</v>
      </c>
      <c r="O303" t="n">
        <v>0</v>
      </c>
      <c r="P303" t="n">
        <v>0</v>
      </c>
      <c r="Q303" t="n">
        <v>0</v>
      </c>
      <c r="R303" s="2" t="inlineStr"/>
    </row>
    <row r="304" ht="15" customHeight="1">
      <c r="A304" t="inlineStr">
        <is>
          <t>A 2799-2023</t>
        </is>
      </c>
      <c r="B304" s="1" t="n">
        <v>44944.72100694444</v>
      </c>
      <c r="C304" s="1" t="n">
        <v>45993</v>
      </c>
      <c r="D304" t="inlineStr">
        <is>
          <t>KALMAR LÄN</t>
        </is>
      </c>
      <c r="E304" t="inlineStr">
        <is>
          <t>VIMMERBY</t>
        </is>
      </c>
      <c r="G304" t="n">
        <v>1.3</v>
      </c>
      <c r="H304" t="n">
        <v>0</v>
      </c>
      <c r="I304" t="n">
        <v>0</v>
      </c>
      <c r="J304" t="n">
        <v>0</v>
      </c>
      <c r="K304" t="n">
        <v>0</v>
      </c>
      <c r="L304" t="n">
        <v>0</v>
      </c>
      <c r="M304" t="n">
        <v>0</v>
      </c>
      <c r="N304" t="n">
        <v>0</v>
      </c>
      <c r="O304" t="n">
        <v>0</v>
      </c>
      <c r="P304" t="n">
        <v>0</v>
      </c>
      <c r="Q304" t="n">
        <v>0</v>
      </c>
      <c r="R304" s="2" t="inlineStr"/>
    </row>
    <row r="305" ht="15" customHeight="1">
      <c r="A305" t="inlineStr">
        <is>
          <t>A 37192-2024</t>
        </is>
      </c>
      <c r="B305" s="1" t="n">
        <v>45539.66027777778</v>
      </c>
      <c r="C305" s="1" t="n">
        <v>45993</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33352-2022</t>
        </is>
      </c>
      <c r="B306" s="1" t="n">
        <v>44788</v>
      </c>
      <c r="C306" s="1" t="n">
        <v>45993</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6220-2025</t>
        </is>
      </c>
      <c r="B307" s="1" t="n">
        <v>45698.53725694444</v>
      </c>
      <c r="C307" s="1" t="n">
        <v>45993</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46234-2024</t>
        </is>
      </c>
      <c r="B308" s="1" t="n">
        <v>45581.57958333333</v>
      </c>
      <c r="C308" s="1" t="n">
        <v>45993</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39053-2024</t>
        </is>
      </c>
      <c r="B309" s="1" t="n">
        <v>45548</v>
      </c>
      <c r="C309" s="1" t="n">
        <v>45993</v>
      </c>
      <c r="D309" t="inlineStr">
        <is>
          <t>KALMAR LÄN</t>
        </is>
      </c>
      <c r="E309" t="inlineStr">
        <is>
          <t>VIMMERBY</t>
        </is>
      </c>
      <c r="G309" t="n">
        <v>5</v>
      </c>
      <c r="H309" t="n">
        <v>0</v>
      </c>
      <c r="I309" t="n">
        <v>0</v>
      </c>
      <c r="J309" t="n">
        <v>0</v>
      </c>
      <c r="K309" t="n">
        <v>0</v>
      </c>
      <c r="L309" t="n">
        <v>0</v>
      </c>
      <c r="M309" t="n">
        <v>0</v>
      </c>
      <c r="N309" t="n">
        <v>0</v>
      </c>
      <c r="O309" t="n">
        <v>0</v>
      </c>
      <c r="P309" t="n">
        <v>0</v>
      </c>
      <c r="Q309" t="n">
        <v>0</v>
      </c>
      <c r="R309" s="2" t="inlineStr"/>
    </row>
    <row r="310" ht="15" customHeight="1">
      <c r="A310" t="inlineStr">
        <is>
          <t>A 15449-2023</t>
        </is>
      </c>
      <c r="B310" s="1" t="n">
        <v>45020</v>
      </c>
      <c r="C310" s="1" t="n">
        <v>45993</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1146-2025</t>
        </is>
      </c>
      <c r="B311" s="1" t="n">
        <v>45666</v>
      </c>
      <c r="C311" s="1" t="n">
        <v>45993</v>
      </c>
      <c r="D311" t="inlineStr">
        <is>
          <t>KALMAR LÄN</t>
        </is>
      </c>
      <c r="E311" t="inlineStr">
        <is>
          <t>VIMMERBY</t>
        </is>
      </c>
      <c r="G311" t="n">
        <v>4</v>
      </c>
      <c r="H311" t="n">
        <v>0</v>
      </c>
      <c r="I311" t="n">
        <v>0</v>
      </c>
      <c r="J311" t="n">
        <v>0</v>
      </c>
      <c r="K311" t="n">
        <v>0</v>
      </c>
      <c r="L311" t="n">
        <v>0</v>
      </c>
      <c r="M311" t="n">
        <v>0</v>
      </c>
      <c r="N311" t="n">
        <v>0</v>
      </c>
      <c r="O311" t="n">
        <v>0</v>
      </c>
      <c r="P311" t="n">
        <v>0</v>
      </c>
      <c r="Q311" t="n">
        <v>0</v>
      </c>
      <c r="R311" s="2" t="inlineStr"/>
    </row>
    <row r="312" ht="15" customHeight="1">
      <c r="A312" t="inlineStr">
        <is>
          <t>A 43594-2024</t>
        </is>
      </c>
      <c r="B312" s="1" t="n">
        <v>45569.44295138889</v>
      </c>
      <c r="C312" s="1" t="n">
        <v>45993</v>
      </c>
      <c r="D312" t="inlineStr">
        <is>
          <t>KALMAR LÄN</t>
        </is>
      </c>
      <c r="E312" t="inlineStr">
        <is>
          <t>VIMMERBY</t>
        </is>
      </c>
      <c r="G312" t="n">
        <v>3.9</v>
      </c>
      <c r="H312" t="n">
        <v>0</v>
      </c>
      <c r="I312" t="n">
        <v>0</v>
      </c>
      <c r="J312" t="n">
        <v>0</v>
      </c>
      <c r="K312" t="n">
        <v>0</v>
      </c>
      <c r="L312" t="n">
        <v>0</v>
      </c>
      <c r="M312" t="n">
        <v>0</v>
      </c>
      <c r="N312" t="n">
        <v>0</v>
      </c>
      <c r="O312" t="n">
        <v>0</v>
      </c>
      <c r="P312" t="n">
        <v>0</v>
      </c>
      <c r="Q312" t="n">
        <v>0</v>
      </c>
      <c r="R312" s="2" t="inlineStr"/>
    </row>
    <row r="313" ht="15" customHeight="1">
      <c r="A313" t="inlineStr">
        <is>
          <t>A 17486-2024</t>
        </is>
      </c>
      <c r="B313" s="1" t="n">
        <v>45415.48979166667</v>
      </c>
      <c r="C313" s="1" t="n">
        <v>45993</v>
      </c>
      <c r="D313" t="inlineStr">
        <is>
          <t>KALMAR LÄN</t>
        </is>
      </c>
      <c r="E313" t="inlineStr">
        <is>
          <t>VIMMERBY</t>
        </is>
      </c>
      <c r="G313" t="n">
        <v>2.6</v>
      </c>
      <c r="H313" t="n">
        <v>0</v>
      </c>
      <c r="I313" t="n">
        <v>0</v>
      </c>
      <c r="J313" t="n">
        <v>0</v>
      </c>
      <c r="K313" t="n">
        <v>0</v>
      </c>
      <c r="L313" t="n">
        <v>0</v>
      </c>
      <c r="M313" t="n">
        <v>0</v>
      </c>
      <c r="N313" t="n">
        <v>0</v>
      </c>
      <c r="O313" t="n">
        <v>0</v>
      </c>
      <c r="P313" t="n">
        <v>0</v>
      </c>
      <c r="Q313" t="n">
        <v>0</v>
      </c>
      <c r="R313" s="2" t="inlineStr"/>
    </row>
    <row r="314" ht="15" customHeight="1">
      <c r="A314" t="inlineStr">
        <is>
          <t>A 14248-2023</t>
        </is>
      </c>
      <c r="B314" s="1" t="n">
        <v>45009</v>
      </c>
      <c r="C314" s="1" t="n">
        <v>45993</v>
      </c>
      <c r="D314" t="inlineStr">
        <is>
          <t>KALMAR LÄN</t>
        </is>
      </c>
      <c r="E314" t="inlineStr">
        <is>
          <t>VIMMERBY</t>
        </is>
      </c>
      <c r="G314" t="n">
        <v>2.6</v>
      </c>
      <c r="H314" t="n">
        <v>0</v>
      </c>
      <c r="I314" t="n">
        <v>0</v>
      </c>
      <c r="J314" t="n">
        <v>0</v>
      </c>
      <c r="K314" t="n">
        <v>0</v>
      </c>
      <c r="L314" t="n">
        <v>0</v>
      </c>
      <c r="M314" t="n">
        <v>0</v>
      </c>
      <c r="N314" t="n">
        <v>0</v>
      </c>
      <c r="O314" t="n">
        <v>0</v>
      </c>
      <c r="P314" t="n">
        <v>0</v>
      </c>
      <c r="Q314" t="n">
        <v>0</v>
      </c>
      <c r="R314" s="2" t="inlineStr"/>
    </row>
    <row r="315" ht="15" customHeight="1">
      <c r="A315" t="inlineStr">
        <is>
          <t>A 47063-2022</t>
        </is>
      </c>
      <c r="B315" s="1" t="n">
        <v>44852</v>
      </c>
      <c r="C315" s="1" t="n">
        <v>45993</v>
      </c>
      <c r="D315" t="inlineStr">
        <is>
          <t>KALMAR LÄN</t>
        </is>
      </c>
      <c r="E315" t="inlineStr">
        <is>
          <t>VIMMERBY</t>
        </is>
      </c>
      <c r="G315" t="n">
        <v>2.5</v>
      </c>
      <c r="H315" t="n">
        <v>0</v>
      </c>
      <c r="I315" t="n">
        <v>0</v>
      </c>
      <c r="J315" t="n">
        <v>0</v>
      </c>
      <c r="K315" t="n">
        <v>0</v>
      </c>
      <c r="L315" t="n">
        <v>0</v>
      </c>
      <c r="M315" t="n">
        <v>0</v>
      </c>
      <c r="N315" t="n">
        <v>0</v>
      </c>
      <c r="O315" t="n">
        <v>0</v>
      </c>
      <c r="P315" t="n">
        <v>0</v>
      </c>
      <c r="Q315" t="n">
        <v>0</v>
      </c>
      <c r="R315" s="2" t="inlineStr"/>
    </row>
    <row r="316" ht="15" customHeight="1">
      <c r="A316" t="inlineStr">
        <is>
          <t>A 12819-2024</t>
        </is>
      </c>
      <c r="B316" s="1" t="n">
        <v>45384.66917824074</v>
      </c>
      <c r="C316" s="1" t="n">
        <v>45993</v>
      </c>
      <c r="D316" t="inlineStr">
        <is>
          <t>KALMAR LÄN</t>
        </is>
      </c>
      <c r="E316" t="inlineStr">
        <is>
          <t>VIMMERBY</t>
        </is>
      </c>
      <c r="G316" t="n">
        <v>5.1</v>
      </c>
      <c r="H316" t="n">
        <v>0</v>
      </c>
      <c r="I316" t="n">
        <v>0</v>
      </c>
      <c r="J316" t="n">
        <v>0</v>
      </c>
      <c r="K316" t="n">
        <v>0</v>
      </c>
      <c r="L316" t="n">
        <v>0</v>
      </c>
      <c r="M316" t="n">
        <v>0</v>
      </c>
      <c r="N316" t="n">
        <v>0</v>
      </c>
      <c r="O316" t="n">
        <v>0</v>
      </c>
      <c r="P316" t="n">
        <v>0</v>
      </c>
      <c r="Q316" t="n">
        <v>0</v>
      </c>
      <c r="R316" s="2" t="inlineStr"/>
    </row>
    <row r="317" ht="15" customHeight="1">
      <c r="A317" t="inlineStr">
        <is>
          <t>A 58278-2023</t>
        </is>
      </c>
      <c r="B317" s="1" t="n">
        <v>45250.5278587963</v>
      </c>
      <c r="C317" s="1" t="n">
        <v>45993</v>
      </c>
      <c r="D317" t="inlineStr">
        <is>
          <t>KALMAR LÄN</t>
        </is>
      </c>
      <c r="E317" t="inlineStr">
        <is>
          <t>VIMMERBY</t>
        </is>
      </c>
      <c r="G317" t="n">
        <v>1.8</v>
      </c>
      <c r="H317" t="n">
        <v>0</v>
      </c>
      <c r="I317" t="n">
        <v>0</v>
      </c>
      <c r="J317" t="n">
        <v>0</v>
      </c>
      <c r="K317" t="n">
        <v>0</v>
      </c>
      <c r="L317" t="n">
        <v>0</v>
      </c>
      <c r="M317" t="n">
        <v>0</v>
      </c>
      <c r="N317" t="n">
        <v>0</v>
      </c>
      <c r="O317" t="n">
        <v>0</v>
      </c>
      <c r="P317" t="n">
        <v>0</v>
      </c>
      <c r="Q317" t="n">
        <v>0</v>
      </c>
      <c r="R317" s="2" t="inlineStr"/>
    </row>
    <row r="318" ht="15" customHeight="1">
      <c r="A318" t="inlineStr">
        <is>
          <t>A 12890-2023</t>
        </is>
      </c>
      <c r="B318" s="1" t="n">
        <v>45001.59209490741</v>
      </c>
      <c r="C318" s="1" t="n">
        <v>45993</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36259-2022</t>
        </is>
      </c>
      <c r="B319" s="1" t="n">
        <v>44803.59118055556</v>
      </c>
      <c r="C319" s="1" t="n">
        <v>45993</v>
      </c>
      <c r="D319" t="inlineStr">
        <is>
          <t>KALMAR LÄN</t>
        </is>
      </c>
      <c r="E319" t="inlineStr">
        <is>
          <t>VIMMERBY</t>
        </is>
      </c>
      <c r="G319" t="n">
        <v>3.9</v>
      </c>
      <c r="H319" t="n">
        <v>0</v>
      </c>
      <c r="I319" t="n">
        <v>0</v>
      </c>
      <c r="J319" t="n">
        <v>0</v>
      </c>
      <c r="K319" t="n">
        <v>0</v>
      </c>
      <c r="L319" t="n">
        <v>0</v>
      </c>
      <c r="M319" t="n">
        <v>0</v>
      </c>
      <c r="N319" t="n">
        <v>0</v>
      </c>
      <c r="O319" t="n">
        <v>0</v>
      </c>
      <c r="P319" t="n">
        <v>0</v>
      </c>
      <c r="Q319" t="n">
        <v>0</v>
      </c>
      <c r="R319" s="2" t="inlineStr"/>
    </row>
    <row r="320" ht="15" customHeight="1">
      <c r="A320" t="inlineStr">
        <is>
          <t>A 3902-2022</t>
        </is>
      </c>
      <c r="B320" s="1" t="n">
        <v>44587.48847222222</v>
      </c>
      <c r="C320" s="1" t="n">
        <v>45993</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31382-2023</t>
        </is>
      </c>
      <c r="B321" s="1" t="n">
        <v>45114.55136574074</v>
      </c>
      <c r="C321" s="1" t="n">
        <v>45993</v>
      </c>
      <c r="D321" t="inlineStr">
        <is>
          <t>KALMAR LÄN</t>
        </is>
      </c>
      <c r="E321" t="inlineStr">
        <is>
          <t>VIMMERBY</t>
        </is>
      </c>
      <c r="G321" t="n">
        <v>3.7</v>
      </c>
      <c r="H321" t="n">
        <v>0</v>
      </c>
      <c r="I321" t="n">
        <v>0</v>
      </c>
      <c r="J321" t="n">
        <v>0</v>
      </c>
      <c r="K321" t="n">
        <v>0</v>
      </c>
      <c r="L321" t="n">
        <v>0</v>
      </c>
      <c r="M321" t="n">
        <v>0</v>
      </c>
      <c r="N321" t="n">
        <v>0</v>
      </c>
      <c r="O321" t="n">
        <v>0</v>
      </c>
      <c r="P321" t="n">
        <v>0</v>
      </c>
      <c r="Q321" t="n">
        <v>0</v>
      </c>
      <c r="R321" s="2" t="inlineStr"/>
    </row>
    <row r="322" ht="15" customHeight="1">
      <c r="A322" t="inlineStr">
        <is>
          <t>A 11073-2023</t>
        </is>
      </c>
      <c r="B322" s="1" t="n">
        <v>44992</v>
      </c>
      <c r="C322" s="1" t="n">
        <v>45993</v>
      </c>
      <c r="D322" t="inlineStr">
        <is>
          <t>KALMAR LÄN</t>
        </is>
      </c>
      <c r="E322" t="inlineStr">
        <is>
          <t>VIMMERBY</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36526-2023</t>
        </is>
      </c>
      <c r="B323" s="1" t="n">
        <v>45153.32778935185</v>
      </c>
      <c r="C323" s="1" t="n">
        <v>45993</v>
      </c>
      <c r="D323" t="inlineStr">
        <is>
          <t>KALMAR LÄN</t>
        </is>
      </c>
      <c r="E323" t="inlineStr">
        <is>
          <t>VIMMERBY</t>
        </is>
      </c>
      <c r="G323" t="n">
        <v>2.7</v>
      </c>
      <c r="H323" t="n">
        <v>0</v>
      </c>
      <c r="I323" t="n">
        <v>0</v>
      </c>
      <c r="J323" t="n">
        <v>0</v>
      </c>
      <c r="K323" t="n">
        <v>0</v>
      </c>
      <c r="L323" t="n">
        <v>0</v>
      </c>
      <c r="M323" t="n">
        <v>0</v>
      </c>
      <c r="N323" t="n">
        <v>0</v>
      </c>
      <c r="O323" t="n">
        <v>0</v>
      </c>
      <c r="P323" t="n">
        <v>0</v>
      </c>
      <c r="Q323" t="n">
        <v>0</v>
      </c>
      <c r="R323" s="2" t="inlineStr"/>
    </row>
    <row r="324" ht="15" customHeight="1">
      <c r="A324" t="inlineStr">
        <is>
          <t>A 17988-2025</t>
        </is>
      </c>
      <c r="B324" s="1" t="n">
        <v>45761.39600694444</v>
      </c>
      <c r="C324" s="1" t="n">
        <v>45993</v>
      </c>
      <c r="D324" t="inlineStr">
        <is>
          <t>KALMAR LÄN</t>
        </is>
      </c>
      <c r="E324" t="inlineStr">
        <is>
          <t>VIMMERBY</t>
        </is>
      </c>
      <c r="G324" t="n">
        <v>2.8</v>
      </c>
      <c r="H324" t="n">
        <v>0</v>
      </c>
      <c r="I324" t="n">
        <v>0</v>
      </c>
      <c r="J324" t="n">
        <v>0</v>
      </c>
      <c r="K324" t="n">
        <v>0</v>
      </c>
      <c r="L324" t="n">
        <v>0</v>
      </c>
      <c r="M324" t="n">
        <v>0</v>
      </c>
      <c r="N324" t="n">
        <v>0</v>
      </c>
      <c r="O324" t="n">
        <v>0</v>
      </c>
      <c r="P324" t="n">
        <v>0</v>
      </c>
      <c r="Q324" t="n">
        <v>0</v>
      </c>
      <c r="R324" s="2" t="inlineStr"/>
    </row>
    <row r="325" ht="15" customHeight="1">
      <c r="A325" t="inlineStr">
        <is>
          <t>A 30400-2023</t>
        </is>
      </c>
      <c r="B325" s="1" t="n">
        <v>45111.48225694444</v>
      </c>
      <c r="C325" s="1" t="n">
        <v>45993</v>
      </c>
      <c r="D325" t="inlineStr">
        <is>
          <t>KALMAR LÄN</t>
        </is>
      </c>
      <c r="E325" t="inlineStr">
        <is>
          <t>VIMMERBY</t>
        </is>
      </c>
      <c r="G325" t="n">
        <v>2.7</v>
      </c>
      <c r="H325" t="n">
        <v>0</v>
      </c>
      <c r="I325" t="n">
        <v>0</v>
      </c>
      <c r="J325" t="n">
        <v>0</v>
      </c>
      <c r="K325" t="n">
        <v>0</v>
      </c>
      <c r="L325" t="n">
        <v>0</v>
      </c>
      <c r="M325" t="n">
        <v>0</v>
      </c>
      <c r="N325" t="n">
        <v>0</v>
      </c>
      <c r="O325" t="n">
        <v>0</v>
      </c>
      <c r="P325" t="n">
        <v>0</v>
      </c>
      <c r="Q325" t="n">
        <v>0</v>
      </c>
      <c r="R325" s="2" t="inlineStr"/>
    </row>
    <row r="326" ht="15" customHeight="1">
      <c r="A326" t="inlineStr">
        <is>
          <t>A 30404-2023</t>
        </is>
      </c>
      <c r="B326" s="1" t="n">
        <v>45111.48636574074</v>
      </c>
      <c r="C326" s="1" t="n">
        <v>45993</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55123-2024</t>
        </is>
      </c>
      <c r="B327" s="1" t="n">
        <v>45621.46103009259</v>
      </c>
      <c r="C327" s="1" t="n">
        <v>45993</v>
      </c>
      <c r="D327" t="inlineStr">
        <is>
          <t>KALMAR LÄN</t>
        </is>
      </c>
      <c r="E327" t="inlineStr">
        <is>
          <t>VIMMERBY</t>
        </is>
      </c>
      <c r="G327" t="n">
        <v>3.1</v>
      </c>
      <c r="H327" t="n">
        <v>0</v>
      </c>
      <c r="I327" t="n">
        <v>0</v>
      </c>
      <c r="J327" t="n">
        <v>0</v>
      </c>
      <c r="K327" t="n">
        <v>0</v>
      </c>
      <c r="L327" t="n">
        <v>0</v>
      </c>
      <c r="M327" t="n">
        <v>0</v>
      </c>
      <c r="N327" t="n">
        <v>0</v>
      </c>
      <c r="O327" t="n">
        <v>0</v>
      </c>
      <c r="P327" t="n">
        <v>0</v>
      </c>
      <c r="Q327" t="n">
        <v>0</v>
      </c>
      <c r="R327" s="2" t="inlineStr"/>
    </row>
    <row r="328" ht="15" customHeight="1">
      <c r="A328" t="inlineStr">
        <is>
          <t>A 31405-2023</t>
        </is>
      </c>
      <c r="B328" s="1" t="n">
        <v>45114.58148148148</v>
      </c>
      <c r="C328" s="1" t="n">
        <v>45993</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89-2023</t>
        </is>
      </c>
      <c r="B329" s="1" t="n">
        <v>44918</v>
      </c>
      <c r="C329" s="1" t="n">
        <v>45993</v>
      </c>
      <c r="D329" t="inlineStr">
        <is>
          <t>KALMAR LÄN</t>
        </is>
      </c>
      <c r="E329" t="inlineStr">
        <is>
          <t>VIMMERBY</t>
        </is>
      </c>
      <c r="G329" t="n">
        <v>16.1</v>
      </c>
      <c r="H329" t="n">
        <v>0</v>
      </c>
      <c r="I329" t="n">
        <v>0</v>
      </c>
      <c r="J329" t="n">
        <v>0</v>
      </c>
      <c r="K329" t="n">
        <v>0</v>
      </c>
      <c r="L329" t="n">
        <v>0</v>
      </c>
      <c r="M329" t="n">
        <v>0</v>
      </c>
      <c r="N329" t="n">
        <v>0</v>
      </c>
      <c r="O329" t="n">
        <v>0</v>
      </c>
      <c r="P329" t="n">
        <v>0</v>
      </c>
      <c r="Q329" t="n">
        <v>0</v>
      </c>
      <c r="R329" s="2" t="inlineStr"/>
    </row>
    <row r="330" ht="15" customHeight="1">
      <c r="A330" t="inlineStr">
        <is>
          <t>A 5382-2023</t>
        </is>
      </c>
      <c r="B330" s="1" t="n">
        <v>44959.66407407408</v>
      </c>
      <c r="C330" s="1" t="n">
        <v>45993</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6668-2023</t>
        </is>
      </c>
      <c r="B331" s="1" t="n">
        <v>44966</v>
      </c>
      <c r="C331" s="1" t="n">
        <v>45993</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172-2022</t>
        </is>
      </c>
      <c r="B332" s="1" t="n">
        <v>44564.62598379629</v>
      </c>
      <c r="C332" s="1" t="n">
        <v>45993</v>
      </c>
      <c r="D332" t="inlineStr">
        <is>
          <t>KALMAR LÄN</t>
        </is>
      </c>
      <c r="E332" t="inlineStr">
        <is>
          <t>VIMMERBY</t>
        </is>
      </c>
      <c r="G332" t="n">
        <v>2.1</v>
      </c>
      <c r="H332" t="n">
        <v>0</v>
      </c>
      <c r="I332" t="n">
        <v>0</v>
      </c>
      <c r="J332" t="n">
        <v>0</v>
      </c>
      <c r="K332" t="n">
        <v>0</v>
      </c>
      <c r="L332" t="n">
        <v>0</v>
      </c>
      <c r="M332" t="n">
        <v>0</v>
      </c>
      <c r="N332" t="n">
        <v>0</v>
      </c>
      <c r="O332" t="n">
        <v>0</v>
      </c>
      <c r="P332" t="n">
        <v>0</v>
      </c>
      <c r="Q332" t="n">
        <v>0</v>
      </c>
      <c r="R332" s="2" t="inlineStr"/>
    </row>
    <row r="333" ht="15" customHeight="1">
      <c r="A333" t="inlineStr">
        <is>
          <t>A 59955-2023</t>
        </is>
      </c>
      <c r="B333" s="1" t="n">
        <v>45257.70313657408</v>
      </c>
      <c r="C333" s="1" t="n">
        <v>45993</v>
      </c>
      <c r="D333" t="inlineStr">
        <is>
          <t>KALMAR LÄN</t>
        </is>
      </c>
      <c r="E333" t="inlineStr">
        <is>
          <t>VIMMERBY</t>
        </is>
      </c>
      <c r="G333" t="n">
        <v>13.8</v>
      </c>
      <c r="H333" t="n">
        <v>0</v>
      </c>
      <c r="I333" t="n">
        <v>0</v>
      </c>
      <c r="J333" t="n">
        <v>0</v>
      </c>
      <c r="K333" t="n">
        <v>0</v>
      </c>
      <c r="L333" t="n">
        <v>0</v>
      </c>
      <c r="M333" t="n">
        <v>0</v>
      </c>
      <c r="N333" t="n">
        <v>0</v>
      </c>
      <c r="O333" t="n">
        <v>0</v>
      </c>
      <c r="P333" t="n">
        <v>0</v>
      </c>
      <c r="Q333" t="n">
        <v>0</v>
      </c>
      <c r="R333" s="2" t="inlineStr"/>
    </row>
    <row r="334" ht="15" customHeight="1">
      <c r="A334" t="inlineStr">
        <is>
          <t>A 24707-2024</t>
        </is>
      </c>
      <c r="B334" s="1" t="n">
        <v>45460.62172453704</v>
      </c>
      <c r="C334" s="1" t="n">
        <v>45993</v>
      </c>
      <c r="D334" t="inlineStr">
        <is>
          <t>KALMAR LÄN</t>
        </is>
      </c>
      <c r="E334" t="inlineStr">
        <is>
          <t>VIMMERBY</t>
        </is>
      </c>
      <c r="G334" t="n">
        <v>1.7</v>
      </c>
      <c r="H334" t="n">
        <v>0</v>
      </c>
      <c r="I334" t="n">
        <v>0</v>
      </c>
      <c r="J334" t="n">
        <v>0</v>
      </c>
      <c r="K334" t="n">
        <v>0</v>
      </c>
      <c r="L334" t="n">
        <v>0</v>
      </c>
      <c r="M334" t="n">
        <v>0</v>
      </c>
      <c r="N334" t="n">
        <v>0</v>
      </c>
      <c r="O334" t="n">
        <v>0</v>
      </c>
      <c r="P334" t="n">
        <v>0</v>
      </c>
      <c r="Q334" t="n">
        <v>0</v>
      </c>
      <c r="R334" s="2" t="inlineStr"/>
    </row>
    <row r="335" ht="15" customHeight="1">
      <c r="A335" t="inlineStr">
        <is>
          <t>A 30634-2024</t>
        </is>
      </c>
      <c r="B335" s="1" t="n">
        <v>45495</v>
      </c>
      <c r="C335" s="1" t="n">
        <v>45993</v>
      </c>
      <c r="D335" t="inlineStr">
        <is>
          <t>KALMAR LÄN</t>
        </is>
      </c>
      <c r="E335" t="inlineStr">
        <is>
          <t>VIMMERBY</t>
        </is>
      </c>
      <c r="G335" t="n">
        <v>1.2</v>
      </c>
      <c r="H335" t="n">
        <v>0</v>
      </c>
      <c r="I335" t="n">
        <v>0</v>
      </c>
      <c r="J335" t="n">
        <v>0</v>
      </c>
      <c r="K335" t="n">
        <v>0</v>
      </c>
      <c r="L335" t="n">
        <v>0</v>
      </c>
      <c r="M335" t="n">
        <v>0</v>
      </c>
      <c r="N335" t="n">
        <v>0</v>
      </c>
      <c r="O335" t="n">
        <v>0</v>
      </c>
      <c r="P335" t="n">
        <v>0</v>
      </c>
      <c r="Q335" t="n">
        <v>0</v>
      </c>
      <c r="R335" s="2" t="inlineStr"/>
    </row>
    <row r="336" ht="15" customHeight="1">
      <c r="A336" t="inlineStr">
        <is>
          <t>A 6355-2022</t>
        </is>
      </c>
      <c r="B336" s="1" t="n">
        <v>44600</v>
      </c>
      <c r="C336" s="1" t="n">
        <v>45993</v>
      </c>
      <c r="D336" t="inlineStr">
        <is>
          <t>KALMAR LÄN</t>
        </is>
      </c>
      <c r="E336" t="inlineStr">
        <is>
          <t>VIMMERBY</t>
        </is>
      </c>
      <c r="G336" t="n">
        <v>4.9</v>
      </c>
      <c r="H336" t="n">
        <v>0</v>
      </c>
      <c r="I336" t="n">
        <v>0</v>
      </c>
      <c r="J336" t="n">
        <v>0</v>
      </c>
      <c r="K336" t="n">
        <v>0</v>
      </c>
      <c r="L336" t="n">
        <v>0</v>
      </c>
      <c r="M336" t="n">
        <v>0</v>
      </c>
      <c r="N336" t="n">
        <v>0</v>
      </c>
      <c r="O336" t="n">
        <v>0</v>
      </c>
      <c r="P336" t="n">
        <v>0</v>
      </c>
      <c r="Q336" t="n">
        <v>0</v>
      </c>
      <c r="R336" s="2" t="inlineStr"/>
    </row>
    <row r="337" ht="15" customHeight="1">
      <c r="A337" t="inlineStr">
        <is>
          <t>A 36802-2021</t>
        </is>
      </c>
      <c r="B337" s="1" t="n">
        <v>44392</v>
      </c>
      <c r="C337" s="1" t="n">
        <v>45993</v>
      </c>
      <c r="D337" t="inlineStr">
        <is>
          <t>KALMAR LÄN</t>
        </is>
      </c>
      <c r="E337" t="inlineStr">
        <is>
          <t>VIMMERBY</t>
        </is>
      </c>
      <c r="F337" t="inlineStr">
        <is>
          <t>Sveaskog</t>
        </is>
      </c>
      <c r="G337" t="n">
        <v>4.6</v>
      </c>
      <c r="H337" t="n">
        <v>0</v>
      </c>
      <c r="I337" t="n">
        <v>0</v>
      </c>
      <c r="J337" t="n">
        <v>0</v>
      </c>
      <c r="K337" t="n">
        <v>0</v>
      </c>
      <c r="L337" t="n">
        <v>0</v>
      </c>
      <c r="M337" t="n">
        <v>0</v>
      </c>
      <c r="N337" t="n">
        <v>0</v>
      </c>
      <c r="O337" t="n">
        <v>0</v>
      </c>
      <c r="P337" t="n">
        <v>0</v>
      </c>
      <c r="Q337" t="n">
        <v>0</v>
      </c>
      <c r="R337" s="2" t="inlineStr"/>
    </row>
    <row r="338" ht="15" customHeight="1">
      <c r="A338" t="inlineStr">
        <is>
          <t>A 29350-2023</t>
        </is>
      </c>
      <c r="B338" s="1" t="n">
        <v>45106</v>
      </c>
      <c r="C338" s="1" t="n">
        <v>45993</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29351-2023</t>
        </is>
      </c>
      <c r="B339" s="1" t="n">
        <v>45106.2610300926</v>
      </c>
      <c r="C339" s="1" t="n">
        <v>45993</v>
      </c>
      <c r="D339" t="inlineStr">
        <is>
          <t>KALMAR LÄN</t>
        </is>
      </c>
      <c r="E339" t="inlineStr">
        <is>
          <t>VIMMERBY</t>
        </is>
      </c>
      <c r="G339" t="n">
        <v>0.4</v>
      </c>
      <c r="H339" t="n">
        <v>0</v>
      </c>
      <c r="I339" t="n">
        <v>0</v>
      </c>
      <c r="J339" t="n">
        <v>0</v>
      </c>
      <c r="K339" t="n">
        <v>0</v>
      </c>
      <c r="L339" t="n">
        <v>0</v>
      </c>
      <c r="M339" t="n">
        <v>0</v>
      </c>
      <c r="N339" t="n">
        <v>0</v>
      </c>
      <c r="O339" t="n">
        <v>0</v>
      </c>
      <c r="P339" t="n">
        <v>0</v>
      </c>
      <c r="Q339" t="n">
        <v>0</v>
      </c>
      <c r="R339" s="2" t="inlineStr"/>
    </row>
    <row r="340" ht="15" customHeight="1">
      <c r="A340" t="inlineStr">
        <is>
          <t>A 16020-2023</t>
        </is>
      </c>
      <c r="B340" s="1" t="n">
        <v>45026.82216435186</v>
      </c>
      <c r="C340" s="1" t="n">
        <v>45993</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61820-2023</t>
        </is>
      </c>
      <c r="B341" s="1" t="n">
        <v>45266.32614583334</v>
      </c>
      <c r="C341" s="1" t="n">
        <v>45993</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3269-2024</t>
        </is>
      </c>
      <c r="B342" s="1" t="n">
        <v>45317.40372685185</v>
      </c>
      <c r="C342" s="1" t="n">
        <v>45993</v>
      </c>
      <c r="D342" t="inlineStr">
        <is>
          <t>KALMAR LÄN</t>
        </is>
      </c>
      <c r="E342" t="inlineStr">
        <is>
          <t>VIMMERBY</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36049-2024</t>
        </is>
      </c>
      <c r="B343" s="1" t="n">
        <v>45533.61996527778</v>
      </c>
      <c r="C343" s="1" t="n">
        <v>45993</v>
      </c>
      <c r="D343" t="inlineStr">
        <is>
          <t>KALMAR LÄN</t>
        </is>
      </c>
      <c r="E343" t="inlineStr">
        <is>
          <t>VIMMERBY</t>
        </is>
      </c>
      <c r="F343" t="inlineStr">
        <is>
          <t>Kommuner</t>
        </is>
      </c>
      <c r="G343" t="n">
        <v>2.6</v>
      </c>
      <c r="H343" t="n">
        <v>0</v>
      </c>
      <c r="I343" t="n">
        <v>0</v>
      </c>
      <c r="J343" t="n">
        <v>0</v>
      </c>
      <c r="K343" t="n">
        <v>0</v>
      </c>
      <c r="L343" t="n">
        <v>0</v>
      </c>
      <c r="M343" t="n">
        <v>0</v>
      </c>
      <c r="N343" t="n">
        <v>0</v>
      </c>
      <c r="O343" t="n">
        <v>0</v>
      </c>
      <c r="P343" t="n">
        <v>0</v>
      </c>
      <c r="Q343" t="n">
        <v>0</v>
      </c>
      <c r="R343" s="2" t="inlineStr"/>
    </row>
    <row r="344" ht="15" customHeight="1">
      <c r="A344" t="inlineStr">
        <is>
          <t>A 6474-2025</t>
        </is>
      </c>
      <c r="B344" s="1" t="n">
        <v>45699.60055555555</v>
      </c>
      <c r="C344" s="1" t="n">
        <v>45993</v>
      </c>
      <c r="D344" t="inlineStr">
        <is>
          <t>KALMAR LÄN</t>
        </is>
      </c>
      <c r="E344" t="inlineStr">
        <is>
          <t>VIMMERBY</t>
        </is>
      </c>
      <c r="G344" t="n">
        <v>1.6</v>
      </c>
      <c r="H344" t="n">
        <v>0</v>
      </c>
      <c r="I344" t="n">
        <v>0</v>
      </c>
      <c r="J344" t="n">
        <v>0</v>
      </c>
      <c r="K344" t="n">
        <v>0</v>
      </c>
      <c r="L344" t="n">
        <v>0</v>
      </c>
      <c r="M344" t="n">
        <v>0</v>
      </c>
      <c r="N344" t="n">
        <v>0</v>
      </c>
      <c r="O344" t="n">
        <v>0</v>
      </c>
      <c r="P344" t="n">
        <v>0</v>
      </c>
      <c r="Q344" t="n">
        <v>0</v>
      </c>
      <c r="R344" s="2" t="inlineStr"/>
    </row>
    <row r="345" ht="15" customHeight="1">
      <c r="A345" t="inlineStr">
        <is>
          <t>A 2157-2024</t>
        </is>
      </c>
      <c r="B345" s="1" t="n">
        <v>45309.59487268519</v>
      </c>
      <c r="C345" s="1" t="n">
        <v>45993</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9416-2024</t>
        </is>
      </c>
      <c r="B346" s="1" t="n">
        <v>45359.44837962963</v>
      </c>
      <c r="C346" s="1" t="n">
        <v>45993</v>
      </c>
      <c r="D346" t="inlineStr">
        <is>
          <t>KALMAR LÄN</t>
        </is>
      </c>
      <c r="E346" t="inlineStr">
        <is>
          <t>VIMMERBY</t>
        </is>
      </c>
      <c r="G346" t="n">
        <v>3.2</v>
      </c>
      <c r="H346" t="n">
        <v>0</v>
      </c>
      <c r="I346" t="n">
        <v>0</v>
      </c>
      <c r="J346" t="n">
        <v>0</v>
      </c>
      <c r="K346" t="n">
        <v>0</v>
      </c>
      <c r="L346" t="n">
        <v>0</v>
      </c>
      <c r="M346" t="n">
        <v>0</v>
      </c>
      <c r="N346" t="n">
        <v>0</v>
      </c>
      <c r="O346" t="n">
        <v>0</v>
      </c>
      <c r="P346" t="n">
        <v>0</v>
      </c>
      <c r="Q346" t="n">
        <v>0</v>
      </c>
      <c r="R346" s="2" t="inlineStr"/>
    </row>
    <row r="347" ht="15" customHeight="1">
      <c r="A347" t="inlineStr">
        <is>
          <t>A 58318-2021</t>
        </is>
      </c>
      <c r="B347" s="1" t="n">
        <v>44488.35878472222</v>
      </c>
      <c r="C347" s="1" t="n">
        <v>45993</v>
      </c>
      <c r="D347" t="inlineStr">
        <is>
          <t>KALMAR LÄN</t>
        </is>
      </c>
      <c r="E347" t="inlineStr">
        <is>
          <t>VIMMERBY</t>
        </is>
      </c>
      <c r="G347" t="n">
        <v>4</v>
      </c>
      <c r="H347" t="n">
        <v>0</v>
      </c>
      <c r="I347" t="n">
        <v>0</v>
      </c>
      <c r="J347" t="n">
        <v>0</v>
      </c>
      <c r="K347" t="n">
        <v>0</v>
      </c>
      <c r="L347" t="n">
        <v>0</v>
      </c>
      <c r="M347" t="n">
        <v>0</v>
      </c>
      <c r="N347" t="n">
        <v>0</v>
      </c>
      <c r="O347" t="n">
        <v>0</v>
      </c>
      <c r="P347" t="n">
        <v>0</v>
      </c>
      <c r="Q347" t="n">
        <v>0</v>
      </c>
      <c r="R347" s="2" t="inlineStr"/>
    </row>
    <row r="348" ht="15" customHeight="1">
      <c r="A348" t="inlineStr">
        <is>
          <t>A 53083-2021</t>
        </is>
      </c>
      <c r="B348" s="1" t="n">
        <v>44467.83386574074</v>
      </c>
      <c r="C348" s="1" t="n">
        <v>45993</v>
      </c>
      <c r="D348" t="inlineStr">
        <is>
          <t>KALMAR LÄN</t>
        </is>
      </c>
      <c r="E348" t="inlineStr">
        <is>
          <t>VIMMERBY</t>
        </is>
      </c>
      <c r="G348" t="n">
        <v>6.8</v>
      </c>
      <c r="H348" t="n">
        <v>0</v>
      </c>
      <c r="I348" t="n">
        <v>0</v>
      </c>
      <c r="J348" t="n">
        <v>0</v>
      </c>
      <c r="K348" t="n">
        <v>0</v>
      </c>
      <c r="L348" t="n">
        <v>0</v>
      </c>
      <c r="M348" t="n">
        <v>0</v>
      </c>
      <c r="N348" t="n">
        <v>0</v>
      </c>
      <c r="O348" t="n">
        <v>0</v>
      </c>
      <c r="P348" t="n">
        <v>0</v>
      </c>
      <c r="Q348" t="n">
        <v>0</v>
      </c>
      <c r="R348" s="2" t="inlineStr"/>
    </row>
    <row r="349" ht="15" customHeight="1">
      <c r="A349" t="inlineStr">
        <is>
          <t>A 60292-2022</t>
        </is>
      </c>
      <c r="B349" s="1" t="n">
        <v>44910.54231481482</v>
      </c>
      <c r="C349" s="1" t="n">
        <v>45993</v>
      </c>
      <c r="D349" t="inlineStr">
        <is>
          <t>KALMAR LÄN</t>
        </is>
      </c>
      <c r="E349" t="inlineStr">
        <is>
          <t>VIMMERBY</t>
        </is>
      </c>
      <c r="G349" t="n">
        <v>4.4</v>
      </c>
      <c r="H349" t="n">
        <v>0</v>
      </c>
      <c r="I349" t="n">
        <v>0</v>
      </c>
      <c r="J349" t="n">
        <v>0</v>
      </c>
      <c r="K349" t="n">
        <v>0</v>
      </c>
      <c r="L349" t="n">
        <v>0</v>
      </c>
      <c r="M349" t="n">
        <v>0</v>
      </c>
      <c r="N349" t="n">
        <v>0</v>
      </c>
      <c r="O349" t="n">
        <v>0</v>
      </c>
      <c r="P349" t="n">
        <v>0</v>
      </c>
      <c r="Q349" t="n">
        <v>0</v>
      </c>
      <c r="R349" s="2" t="inlineStr"/>
    </row>
    <row r="350" ht="15" customHeight="1">
      <c r="A350" t="inlineStr">
        <is>
          <t>A 29173-2024</t>
        </is>
      </c>
      <c r="B350" s="1" t="n">
        <v>45482.52887731481</v>
      </c>
      <c r="C350" s="1" t="n">
        <v>45993</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11111-2024</t>
        </is>
      </c>
      <c r="B351" s="1" t="n">
        <v>45371.36359953704</v>
      </c>
      <c r="C351" s="1" t="n">
        <v>45993</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11141-2024</t>
        </is>
      </c>
      <c r="B352" s="1" t="n">
        <v>45371.45865740741</v>
      </c>
      <c r="C352" s="1" t="n">
        <v>45993</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43034-2024</t>
        </is>
      </c>
      <c r="B353" s="1" t="n">
        <v>45567.42011574074</v>
      </c>
      <c r="C353" s="1" t="n">
        <v>45993</v>
      </c>
      <c r="D353" t="inlineStr">
        <is>
          <t>KALMAR LÄN</t>
        </is>
      </c>
      <c r="E353" t="inlineStr">
        <is>
          <t>VIMMERBY</t>
        </is>
      </c>
      <c r="G353" t="n">
        <v>1.8</v>
      </c>
      <c r="H353" t="n">
        <v>0</v>
      </c>
      <c r="I353" t="n">
        <v>0</v>
      </c>
      <c r="J353" t="n">
        <v>0</v>
      </c>
      <c r="K353" t="n">
        <v>0</v>
      </c>
      <c r="L353" t="n">
        <v>0</v>
      </c>
      <c r="M353" t="n">
        <v>0</v>
      </c>
      <c r="N353" t="n">
        <v>0</v>
      </c>
      <c r="O353" t="n">
        <v>0</v>
      </c>
      <c r="P353" t="n">
        <v>0</v>
      </c>
      <c r="Q353" t="n">
        <v>0</v>
      </c>
      <c r="R353" s="2" t="inlineStr"/>
    </row>
    <row r="354" ht="15" customHeight="1">
      <c r="A354" t="inlineStr">
        <is>
          <t>A 40256-2024</t>
        </is>
      </c>
      <c r="B354" s="1" t="n">
        <v>45554.62944444444</v>
      </c>
      <c r="C354" s="1" t="n">
        <v>45993</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9418-2024</t>
        </is>
      </c>
      <c r="B355" s="1" t="n">
        <v>45359.45038194444</v>
      </c>
      <c r="C355" s="1" t="n">
        <v>45993</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49313-2022</t>
        </is>
      </c>
      <c r="B356" s="1" t="n">
        <v>44861.52505787037</v>
      </c>
      <c r="C356" s="1" t="n">
        <v>45993</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35998-2024</t>
        </is>
      </c>
      <c r="B357" s="1" t="n">
        <v>45533.54429398148</v>
      </c>
      <c r="C357" s="1" t="n">
        <v>45993</v>
      </c>
      <c r="D357" t="inlineStr">
        <is>
          <t>KALMAR LÄN</t>
        </is>
      </c>
      <c r="E357" t="inlineStr">
        <is>
          <t>VIMMERBY</t>
        </is>
      </c>
      <c r="G357" t="n">
        <v>8.6</v>
      </c>
      <c r="H357" t="n">
        <v>0</v>
      </c>
      <c r="I357" t="n">
        <v>0</v>
      </c>
      <c r="J357" t="n">
        <v>0</v>
      </c>
      <c r="K357" t="n">
        <v>0</v>
      </c>
      <c r="L357" t="n">
        <v>0</v>
      </c>
      <c r="M357" t="n">
        <v>0</v>
      </c>
      <c r="N357" t="n">
        <v>0</v>
      </c>
      <c r="O357" t="n">
        <v>0</v>
      </c>
      <c r="P357" t="n">
        <v>0</v>
      </c>
      <c r="Q357" t="n">
        <v>0</v>
      </c>
      <c r="R357" s="2" t="inlineStr"/>
    </row>
    <row r="358" ht="15" customHeight="1">
      <c r="A358" t="inlineStr">
        <is>
          <t>A 36040-2024</t>
        </is>
      </c>
      <c r="B358" s="1" t="n">
        <v>45533.60232638889</v>
      </c>
      <c r="C358" s="1" t="n">
        <v>45993</v>
      </c>
      <c r="D358" t="inlineStr">
        <is>
          <t>KALMAR LÄN</t>
        </is>
      </c>
      <c r="E358" t="inlineStr">
        <is>
          <t>VIMMERBY</t>
        </is>
      </c>
      <c r="F358" t="inlineStr">
        <is>
          <t>Kommuner</t>
        </is>
      </c>
      <c r="G358" t="n">
        <v>3.6</v>
      </c>
      <c r="H358" t="n">
        <v>0</v>
      </c>
      <c r="I358" t="n">
        <v>0</v>
      </c>
      <c r="J358" t="n">
        <v>0</v>
      </c>
      <c r="K358" t="n">
        <v>0</v>
      </c>
      <c r="L358" t="n">
        <v>0</v>
      </c>
      <c r="M358" t="n">
        <v>0</v>
      </c>
      <c r="N358" t="n">
        <v>0</v>
      </c>
      <c r="O358" t="n">
        <v>0</v>
      </c>
      <c r="P358" t="n">
        <v>0</v>
      </c>
      <c r="Q358" t="n">
        <v>0</v>
      </c>
      <c r="R358" s="2" t="inlineStr"/>
    </row>
    <row r="359" ht="15" customHeight="1">
      <c r="A359" t="inlineStr">
        <is>
          <t>A 36043-2024</t>
        </is>
      </c>
      <c r="B359" s="1" t="n">
        <v>45533.60770833334</v>
      </c>
      <c r="C359" s="1" t="n">
        <v>45993</v>
      </c>
      <c r="D359" t="inlineStr">
        <is>
          <t>KALMAR LÄN</t>
        </is>
      </c>
      <c r="E359" t="inlineStr">
        <is>
          <t>VIMMERBY</t>
        </is>
      </c>
      <c r="F359" t="inlineStr">
        <is>
          <t>Kommuner</t>
        </is>
      </c>
      <c r="G359" t="n">
        <v>1.5</v>
      </c>
      <c r="H359" t="n">
        <v>0</v>
      </c>
      <c r="I359" t="n">
        <v>0</v>
      </c>
      <c r="J359" t="n">
        <v>0</v>
      </c>
      <c r="K359" t="n">
        <v>0</v>
      </c>
      <c r="L359" t="n">
        <v>0</v>
      </c>
      <c r="M359" t="n">
        <v>0</v>
      </c>
      <c r="N359" t="n">
        <v>0</v>
      </c>
      <c r="O359" t="n">
        <v>0</v>
      </c>
      <c r="P359" t="n">
        <v>0</v>
      </c>
      <c r="Q359" t="n">
        <v>0</v>
      </c>
      <c r="R359" s="2" t="inlineStr"/>
    </row>
    <row r="360" ht="15" customHeight="1">
      <c r="A360" t="inlineStr">
        <is>
          <t>A 58159-2024</t>
        </is>
      </c>
      <c r="B360" s="1" t="n">
        <v>45632.44886574074</v>
      </c>
      <c r="C360" s="1" t="n">
        <v>45993</v>
      </c>
      <c r="D360" t="inlineStr">
        <is>
          <t>KALMAR LÄN</t>
        </is>
      </c>
      <c r="E360" t="inlineStr">
        <is>
          <t>VIMMERBY</t>
        </is>
      </c>
      <c r="G360" t="n">
        <v>7.5</v>
      </c>
      <c r="H360" t="n">
        <v>0</v>
      </c>
      <c r="I360" t="n">
        <v>0</v>
      </c>
      <c r="J360" t="n">
        <v>0</v>
      </c>
      <c r="K360" t="n">
        <v>0</v>
      </c>
      <c r="L360" t="n">
        <v>0</v>
      </c>
      <c r="M360" t="n">
        <v>0</v>
      </c>
      <c r="N360" t="n">
        <v>0</v>
      </c>
      <c r="O360" t="n">
        <v>0</v>
      </c>
      <c r="P360" t="n">
        <v>0</v>
      </c>
      <c r="Q360" t="n">
        <v>0</v>
      </c>
      <c r="R360" s="2" t="inlineStr"/>
    </row>
    <row r="361" ht="15" customHeight="1">
      <c r="A361" t="inlineStr">
        <is>
          <t>A 14359-2025</t>
        </is>
      </c>
      <c r="B361" s="1" t="n">
        <v>45741.37270833334</v>
      </c>
      <c r="C361" s="1" t="n">
        <v>45993</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43093-2024</t>
        </is>
      </c>
      <c r="B362" s="1" t="n">
        <v>45567</v>
      </c>
      <c r="C362" s="1" t="n">
        <v>45993</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39578-2024</t>
        </is>
      </c>
      <c r="B363" s="1" t="n">
        <v>45552.36484953704</v>
      </c>
      <c r="C363" s="1" t="n">
        <v>45993</v>
      </c>
      <c r="D363" t="inlineStr">
        <is>
          <t>KALMAR LÄN</t>
        </is>
      </c>
      <c r="E363" t="inlineStr">
        <is>
          <t>VIMMERBY</t>
        </is>
      </c>
      <c r="G363" t="n">
        <v>1.5</v>
      </c>
      <c r="H363" t="n">
        <v>0</v>
      </c>
      <c r="I363" t="n">
        <v>0</v>
      </c>
      <c r="J363" t="n">
        <v>0</v>
      </c>
      <c r="K363" t="n">
        <v>0</v>
      </c>
      <c r="L363" t="n">
        <v>0</v>
      </c>
      <c r="M363" t="n">
        <v>0</v>
      </c>
      <c r="N363" t="n">
        <v>0</v>
      </c>
      <c r="O363" t="n">
        <v>0</v>
      </c>
      <c r="P363" t="n">
        <v>0</v>
      </c>
      <c r="Q363" t="n">
        <v>0</v>
      </c>
      <c r="R363" s="2" t="inlineStr"/>
    </row>
    <row r="364" ht="15" customHeight="1">
      <c r="A364" t="inlineStr">
        <is>
          <t>A 17-2025</t>
        </is>
      </c>
      <c r="B364" s="1" t="n">
        <v>45658.78774305555</v>
      </c>
      <c r="C364" s="1" t="n">
        <v>45993</v>
      </c>
      <c r="D364" t="inlineStr">
        <is>
          <t>KALMAR LÄN</t>
        </is>
      </c>
      <c r="E364" t="inlineStr">
        <is>
          <t>VIMMERBY</t>
        </is>
      </c>
      <c r="G364" t="n">
        <v>4.4</v>
      </c>
      <c r="H364" t="n">
        <v>0</v>
      </c>
      <c r="I364" t="n">
        <v>0</v>
      </c>
      <c r="J364" t="n">
        <v>0</v>
      </c>
      <c r="K364" t="n">
        <v>0</v>
      </c>
      <c r="L364" t="n">
        <v>0</v>
      </c>
      <c r="M364" t="n">
        <v>0</v>
      </c>
      <c r="N364" t="n">
        <v>0</v>
      </c>
      <c r="O364" t="n">
        <v>0</v>
      </c>
      <c r="P364" t="n">
        <v>0</v>
      </c>
      <c r="Q364" t="n">
        <v>0</v>
      </c>
      <c r="R364" s="2" t="inlineStr"/>
    </row>
    <row r="365" ht="15" customHeight="1">
      <c r="A365" t="inlineStr">
        <is>
          <t>A 35198-2023</t>
        </is>
      </c>
      <c r="B365" s="1" t="n">
        <v>45145</v>
      </c>
      <c r="C365" s="1" t="n">
        <v>45993</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62779-2023</t>
        </is>
      </c>
      <c r="B366" s="1" t="n">
        <v>45271.66576388889</v>
      </c>
      <c r="C366" s="1" t="n">
        <v>45993</v>
      </c>
      <c r="D366" t="inlineStr">
        <is>
          <t>KALMAR LÄN</t>
        </is>
      </c>
      <c r="E366" t="inlineStr">
        <is>
          <t>VIMMERBY</t>
        </is>
      </c>
      <c r="G366" t="n">
        <v>1.1</v>
      </c>
      <c r="H366" t="n">
        <v>0</v>
      </c>
      <c r="I366" t="n">
        <v>0</v>
      </c>
      <c r="J366" t="n">
        <v>0</v>
      </c>
      <c r="K366" t="n">
        <v>0</v>
      </c>
      <c r="L366" t="n">
        <v>0</v>
      </c>
      <c r="M366" t="n">
        <v>0</v>
      </c>
      <c r="N366" t="n">
        <v>0</v>
      </c>
      <c r="O366" t="n">
        <v>0</v>
      </c>
      <c r="P366" t="n">
        <v>0</v>
      </c>
      <c r="Q366" t="n">
        <v>0</v>
      </c>
      <c r="R366" s="2" t="inlineStr"/>
    </row>
    <row r="367" ht="15" customHeight="1">
      <c r="A367" t="inlineStr">
        <is>
          <t>A 57555-2024</t>
        </is>
      </c>
      <c r="B367" s="1" t="n">
        <v>45630.45069444444</v>
      </c>
      <c r="C367" s="1" t="n">
        <v>45993</v>
      </c>
      <c r="D367" t="inlineStr">
        <is>
          <t>KALMAR LÄN</t>
        </is>
      </c>
      <c r="E367" t="inlineStr">
        <is>
          <t>VIMMERBY</t>
        </is>
      </c>
      <c r="G367" t="n">
        <v>1.1</v>
      </c>
      <c r="H367" t="n">
        <v>0</v>
      </c>
      <c r="I367" t="n">
        <v>0</v>
      </c>
      <c r="J367" t="n">
        <v>0</v>
      </c>
      <c r="K367" t="n">
        <v>0</v>
      </c>
      <c r="L367" t="n">
        <v>0</v>
      </c>
      <c r="M367" t="n">
        <v>0</v>
      </c>
      <c r="N367" t="n">
        <v>0</v>
      </c>
      <c r="O367" t="n">
        <v>0</v>
      </c>
      <c r="P367" t="n">
        <v>0</v>
      </c>
      <c r="Q367" t="n">
        <v>0</v>
      </c>
      <c r="R367" s="2" t="inlineStr"/>
    </row>
    <row r="368" ht="15" customHeight="1">
      <c r="A368" t="inlineStr">
        <is>
          <t>A 46399-2024</t>
        </is>
      </c>
      <c r="B368" s="1" t="n">
        <v>45582.41200231481</v>
      </c>
      <c r="C368" s="1" t="n">
        <v>45993</v>
      </c>
      <c r="D368" t="inlineStr">
        <is>
          <t>KALMAR LÄN</t>
        </is>
      </c>
      <c r="E368" t="inlineStr">
        <is>
          <t>VIMMERBY</t>
        </is>
      </c>
      <c r="G368" t="n">
        <v>4.6</v>
      </c>
      <c r="H368" t="n">
        <v>0</v>
      </c>
      <c r="I368" t="n">
        <v>0</v>
      </c>
      <c r="J368" t="n">
        <v>0</v>
      </c>
      <c r="K368" t="n">
        <v>0</v>
      </c>
      <c r="L368" t="n">
        <v>0</v>
      </c>
      <c r="M368" t="n">
        <v>0</v>
      </c>
      <c r="N368" t="n">
        <v>0</v>
      </c>
      <c r="O368" t="n">
        <v>0</v>
      </c>
      <c r="P368" t="n">
        <v>0</v>
      </c>
      <c r="Q368" t="n">
        <v>0</v>
      </c>
      <c r="R368" s="2" t="inlineStr"/>
    </row>
    <row r="369" ht="15" customHeight="1">
      <c r="A369" t="inlineStr">
        <is>
          <t>A 36934-2025</t>
        </is>
      </c>
      <c r="B369" s="1" t="n">
        <v>45874.57109953704</v>
      </c>
      <c r="C369" s="1" t="n">
        <v>45993</v>
      </c>
      <c r="D369" t="inlineStr">
        <is>
          <t>KALMAR LÄN</t>
        </is>
      </c>
      <c r="E369" t="inlineStr">
        <is>
          <t>VIMMERBY</t>
        </is>
      </c>
      <c r="G369" t="n">
        <v>4.2</v>
      </c>
      <c r="H369" t="n">
        <v>0</v>
      </c>
      <c r="I369" t="n">
        <v>0</v>
      </c>
      <c r="J369" t="n">
        <v>0</v>
      </c>
      <c r="K369" t="n">
        <v>0</v>
      </c>
      <c r="L369" t="n">
        <v>0</v>
      </c>
      <c r="M369" t="n">
        <v>0</v>
      </c>
      <c r="N369" t="n">
        <v>0</v>
      </c>
      <c r="O369" t="n">
        <v>0</v>
      </c>
      <c r="P369" t="n">
        <v>0</v>
      </c>
      <c r="Q369" t="n">
        <v>0</v>
      </c>
      <c r="R369" s="2" t="inlineStr"/>
    </row>
    <row r="370" ht="15" customHeight="1">
      <c r="A370" t="inlineStr">
        <is>
          <t>A 58374-2024</t>
        </is>
      </c>
      <c r="B370" s="1" t="n">
        <v>45632.72635416667</v>
      </c>
      <c r="C370" s="1" t="n">
        <v>45993</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3425-2022</t>
        </is>
      </c>
      <c r="B371" s="1" t="n">
        <v>44585.51060185185</v>
      </c>
      <c r="C371" s="1" t="n">
        <v>45993</v>
      </c>
      <c r="D371" t="inlineStr">
        <is>
          <t>KALMAR LÄN</t>
        </is>
      </c>
      <c r="E371" t="inlineStr">
        <is>
          <t>VIMMERBY</t>
        </is>
      </c>
      <c r="G371" t="n">
        <v>1.3</v>
      </c>
      <c r="H371" t="n">
        <v>0</v>
      </c>
      <c r="I371" t="n">
        <v>0</v>
      </c>
      <c r="J371" t="n">
        <v>0</v>
      </c>
      <c r="K371" t="n">
        <v>0</v>
      </c>
      <c r="L371" t="n">
        <v>0</v>
      </c>
      <c r="M371" t="n">
        <v>0</v>
      </c>
      <c r="N371" t="n">
        <v>0</v>
      </c>
      <c r="O371" t="n">
        <v>0</v>
      </c>
      <c r="P371" t="n">
        <v>0</v>
      </c>
      <c r="Q371" t="n">
        <v>0</v>
      </c>
      <c r="R371" s="2" t="inlineStr"/>
    </row>
    <row r="372" ht="15" customHeight="1">
      <c r="A372" t="inlineStr">
        <is>
          <t>A 43962-2024</t>
        </is>
      </c>
      <c r="B372" s="1" t="n">
        <v>45572.48293981481</v>
      </c>
      <c r="C372" s="1" t="n">
        <v>45993</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12810-2023</t>
        </is>
      </c>
      <c r="B373" s="1" t="n">
        <v>45001.43854166667</v>
      </c>
      <c r="C373" s="1" t="n">
        <v>45993</v>
      </c>
      <c r="D373" t="inlineStr">
        <is>
          <t>KALMAR LÄN</t>
        </is>
      </c>
      <c r="E373" t="inlineStr">
        <is>
          <t>VIMMERBY</t>
        </is>
      </c>
      <c r="G373" t="n">
        <v>1.5</v>
      </c>
      <c r="H373" t="n">
        <v>0</v>
      </c>
      <c r="I373" t="n">
        <v>0</v>
      </c>
      <c r="J373" t="n">
        <v>0</v>
      </c>
      <c r="K373" t="n">
        <v>0</v>
      </c>
      <c r="L373" t="n">
        <v>0</v>
      </c>
      <c r="M373" t="n">
        <v>0</v>
      </c>
      <c r="N373" t="n">
        <v>0</v>
      </c>
      <c r="O373" t="n">
        <v>0</v>
      </c>
      <c r="P373" t="n">
        <v>0</v>
      </c>
      <c r="Q373" t="n">
        <v>0</v>
      </c>
      <c r="R373" s="2" t="inlineStr"/>
    </row>
    <row r="374" ht="15" customHeight="1">
      <c r="A374" t="inlineStr">
        <is>
          <t>A 18411-2021</t>
        </is>
      </c>
      <c r="B374" s="1" t="n">
        <v>44302</v>
      </c>
      <c r="C374" s="1" t="n">
        <v>45993</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43068-2023</t>
        </is>
      </c>
      <c r="B375" s="1" t="n">
        <v>45182.78834490741</v>
      </c>
      <c r="C375" s="1" t="n">
        <v>45993</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37088-2025</t>
        </is>
      </c>
      <c r="B376" s="1" t="n">
        <v>45875.45716435185</v>
      </c>
      <c r="C376" s="1" t="n">
        <v>45993</v>
      </c>
      <c r="D376" t="inlineStr">
        <is>
          <t>KALMAR LÄN</t>
        </is>
      </c>
      <c r="E376" t="inlineStr">
        <is>
          <t>VIMMERBY</t>
        </is>
      </c>
      <c r="G376" t="n">
        <v>1.3</v>
      </c>
      <c r="H376" t="n">
        <v>0</v>
      </c>
      <c r="I376" t="n">
        <v>0</v>
      </c>
      <c r="J376" t="n">
        <v>0</v>
      </c>
      <c r="K376" t="n">
        <v>0</v>
      </c>
      <c r="L376" t="n">
        <v>0</v>
      </c>
      <c r="M376" t="n">
        <v>0</v>
      </c>
      <c r="N376" t="n">
        <v>0</v>
      </c>
      <c r="O376" t="n">
        <v>0</v>
      </c>
      <c r="P376" t="n">
        <v>0</v>
      </c>
      <c r="Q376" t="n">
        <v>0</v>
      </c>
      <c r="R376" s="2" t="inlineStr"/>
    </row>
    <row r="377" ht="15" customHeight="1">
      <c r="A377" t="inlineStr">
        <is>
          <t>A 37102-2025</t>
        </is>
      </c>
      <c r="B377" s="1" t="n">
        <v>45875.47454861111</v>
      </c>
      <c r="C377" s="1" t="n">
        <v>45993</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55300-2021</t>
        </is>
      </c>
      <c r="B378" s="1" t="n">
        <v>44475</v>
      </c>
      <c r="C378" s="1" t="n">
        <v>45993</v>
      </c>
      <c r="D378" t="inlineStr">
        <is>
          <t>KALMAR LÄN</t>
        </is>
      </c>
      <c r="E378" t="inlineStr">
        <is>
          <t>VIMMERBY</t>
        </is>
      </c>
      <c r="G378" t="n">
        <v>3.4</v>
      </c>
      <c r="H378" t="n">
        <v>0</v>
      </c>
      <c r="I378" t="n">
        <v>0</v>
      </c>
      <c r="J378" t="n">
        <v>0</v>
      </c>
      <c r="K378" t="n">
        <v>0</v>
      </c>
      <c r="L378" t="n">
        <v>0</v>
      </c>
      <c r="M378" t="n">
        <v>0</v>
      </c>
      <c r="N378" t="n">
        <v>0</v>
      </c>
      <c r="O378" t="n">
        <v>0</v>
      </c>
      <c r="P378" t="n">
        <v>0</v>
      </c>
      <c r="Q378" t="n">
        <v>0</v>
      </c>
      <c r="R378" s="2" t="inlineStr"/>
    </row>
    <row r="379" ht="15" customHeight="1">
      <c r="A379" t="inlineStr">
        <is>
          <t>A 47263-2023</t>
        </is>
      </c>
      <c r="B379" s="1" t="n">
        <v>45202.4209837963</v>
      </c>
      <c r="C379" s="1" t="n">
        <v>45993</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52279-2023</t>
        </is>
      </c>
      <c r="B380" s="1" t="n">
        <v>45224</v>
      </c>
      <c r="C380" s="1" t="n">
        <v>45993</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52324-2023</t>
        </is>
      </c>
      <c r="B381" s="1" t="n">
        <v>45224.64659722222</v>
      </c>
      <c r="C381" s="1" t="n">
        <v>45993</v>
      </c>
      <c r="D381" t="inlineStr">
        <is>
          <t>KALMAR LÄN</t>
        </is>
      </c>
      <c r="E381" t="inlineStr">
        <is>
          <t>VIMMERBY</t>
        </is>
      </c>
      <c r="F381" t="inlineStr">
        <is>
          <t>Sveaskog</t>
        </is>
      </c>
      <c r="G381" t="n">
        <v>2.9</v>
      </c>
      <c r="H381" t="n">
        <v>0</v>
      </c>
      <c r="I381" t="n">
        <v>0</v>
      </c>
      <c r="J381" t="n">
        <v>0</v>
      </c>
      <c r="K381" t="n">
        <v>0</v>
      </c>
      <c r="L381" t="n">
        <v>0</v>
      </c>
      <c r="M381" t="n">
        <v>0</v>
      </c>
      <c r="N381" t="n">
        <v>0</v>
      </c>
      <c r="O381" t="n">
        <v>0</v>
      </c>
      <c r="P381" t="n">
        <v>0</v>
      </c>
      <c r="Q381" t="n">
        <v>0</v>
      </c>
      <c r="R381" s="2" t="inlineStr"/>
    </row>
    <row r="382" ht="15" customHeight="1">
      <c r="A382" t="inlineStr">
        <is>
          <t>A 37079-2025</t>
        </is>
      </c>
      <c r="B382" s="1" t="n">
        <v>45875.42716435185</v>
      </c>
      <c r="C382" s="1" t="n">
        <v>45993</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37668-2025</t>
        </is>
      </c>
      <c r="B383" s="1" t="n">
        <v>45880.51550925926</v>
      </c>
      <c r="C383" s="1" t="n">
        <v>45993</v>
      </c>
      <c r="D383" t="inlineStr">
        <is>
          <t>KALMAR LÄN</t>
        </is>
      </c>
      <c r="E383" t="inlineStr">
        <is>
          <t>VIMMERBY</t>
        </is>
      </c>
      <c r="F383" t="inlineStr">
        <is>
          <t>Sveaskog</t>
        </is>
      </c>
      <c r="G383" t="n">
        <v>0.6</v>
      </c>
      <c r="H383" t="n">
        <v>0</v>
      </c>
      <c r="I383" t="n">
        <v>0</v>
      </c>
      <c r="J383" t="n">
        <v>0</v>
      </c>
      <c r="K383" t="n">
        <v>0</v>
      </c>
      <c r="L383" t="n">
        <v>0</v>
      </c>
      <c r="M383" t="n">
        <v>0</v>
      </c>
      <c r="N383" t="n">
        <v>0</v>
      </c>
      <c r="O383" t="n">
        <v>0</v>
      </c>
      <c r="P383" t="n">
        <v>0</v>
      </c>
      <c r="Q383" t="n">
        <v>0</v>
      </c>
      <c r="R383" s="2" t="inlineStr"/>
    </row>
    <row r="384" ht="15" customHeight="1">
      <c r="A384" t="inlineStr">
        <is>
          <t>A 12075-2024</t>
        </is>
      </c>
      <c r="B384" s="1" t="n">
        <v>45377</v>
      </c>
      <c r="C384" s="1" t="n">
        <v>45993</v>
      </c>
      <c r="D384" t="inlineStr">
        <is>
          <t>KALMAR LÄN</t>
        </is>
      </c>
      <c r="E384" t="inlineStr">
        <is>
          <t>VIMMERBY</t>
        </is>
      </c>
      <c r="G384" t="n">
        <v>3.7</v>
      </c>
      <c r="H384" t="n">
        <v>0</v>
      </c>
      <c r="I384" t="n">
        <v>0</v>
      </c>
      <c r="J384" t="n">
        <v>0</v>
      </c>
      <c r="K384" t="n">
        <v>0</v>
      </c>
      <c r="L384" t="n">
        <v>0</v>
      </c>
      <c r="M384" t="n">
        <v>0</v>
      </c>
      <c r="N384" t="n">
        <v>0</v>
      </c>
      <c r="O384" t="n">
        <v>0</v>
      </c>
      <c r="P384" t="n">
        <v>0</v>
      </c>
      <c r="Q384" t="n">
        <v>0</v>
      </c>
      <c r="R384" s="2" t="inlineStr"/>
    </row>
    <row r="385" ht="15" customHeight="1">
      <c r="A385" t="inlineStr">
        <is>
          <t>A 37578-2025</t>
        </is>
      </c>
      <c r="B385" s="1" t="n">
        <v>45880.38380787037</v>
      </c>
      <c r="C385" s="1" t="n">
        <v>45993</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2536-2023</t>
        </is>
      </c>
      <c r="B386" s="1" t="n">
        <v>44943.62954861111</v>
      </c>
      <c r="C386" s="1" t="n">
        <v>45993</v>
      </c>
      <c r="D386" t="inlineStr">
        <is>
          <t>KALMAR LÄN</t>
        </is>
      </c>
      <c r="E386" t="inlineStr">
        <is>
          <t>VIMMERBY</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2801-2023</t>
        </is>
      </c>
      <c r="B387" s="1" t="n">
        <v>44944.73487268519</v>
      </c>
      <c r="C387" s="1" t="n">
        <v>45993</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1799-2025</t>
        </is>
      </c>
      <c r="B388" s="1" t="n">
        <v>45671.46746527778</v>
      </c>
      <c r="C388" s="1" t="n">
        <v>45993</v>
      </c>
      <c r="D388" t="inlineStr">
        <is>
          <t>KALMAR LÄN</t>
        </is>
      </c>
      <c r="E388" t="inlineStr">
        <is>
          <t>VIMMERBY</t>
        </is>
      </c>
      <c r="G388" t="n">
        <v>3.3</v>
      </c>
      <c r="H388" t="n">
        <v>0</v>
      </c>
      <c r="I388" t="n">
        <v>0</v>
      </c>
      <c r="J388" t="n">
        <v>0</v>
      </c>
      <c r="K388" t="n">
        <v>0</v>
      </c>
      <c r="L388" t="n">
        <v>0</v>
      </c>
      <c r="M388" t="n">
        <v>0</v>
      </c>
      <c r="N388" t="n">
        <v>0</v>
      </c>
      <c r="O388" t="n">
        <v>0</v>
      </c>
      <c r="P388" t="n">
        <v>0</v>
      </c>
      <c r="Q388" t="n">
        <v>0</v>
      </c>
      <c r="R388" s="2" t="inlineStr"/>
    </row>
    <row r="389" ht="15" customHeight="1">
      <c r="A389" t="inlineStr">
        <is>
          <t>A 17968-2025</t>
        </is>
      </c>
      <c r="B389" s="1" t="n">
        <v>45761.35990740741</v>
      </c>
      <c r="C389" s="1" t="n">
        <v>45993</v>
      </c>
      <c r="D389" t="inlineStr">
        <is>
          <t>KALMAR LÄN</t>
        </is>
      </c>
      <c r="E389" t="inlineStr">
        <is>
          <t>VIMMERBY</t>
        </is>
      </c>
      <c r="G389" t="n">
        <v>3.3</v>
      </c>
      <c r="H389" t="n">
        <v>0</v>
      </c>
      <c r="I389" t="n">
        <v>0</v>
      </c>
      <c r="J389" t="n">
        <v>0</v>
      </c>
      <c r="K389" t="n">
        <v>0</v>
      </c>
      <c r="L389" t="n">
        <v>0</v>
      </c>
      <c r="M389" t="n">
        <v>0</v>
      </c>
      <c r="N389" t="n">
        <v>0</v>
      </c>
      <c r="O389" t="n">
        <v>0</v>
      </c>
      <c r="P389" t="n">
        <v>0</v>
      </c>
      <c r="Q389" t="n">
        <v>0</v>
      </c>
      <c r="R389" s="2" t="inlineStr"/>
    </row>
    <row r="390" ht="15" customHeight="1">
      <c r="A390" t="inlineStr">
        <is>
          <t>A 2462-2022</t>
        </is>
      </c>
      <c r="B390" s="1" t="n">
        <v>44579.62225694444</v>
      </c>
      <c r="C390" s="1" t="n">
        <v>45993</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14451-2024</t>
        </is>
      </c>
      <c r="B391" s="1" t="n">
        <v>45394.50028935185</v>
      </c>
      <c r="C391" s="1" t="n">
        <v>45993</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37866-2025</t>
        </is>
      </c>
      <c r="B392" s="1" t="n">
        <v>45881</v>
      </c>
      <c r="C392" s="1" t="n">
        <v>45993</v>
      </c>
      <c r="D392" t="inlineStr">
        <is>
          <t>KALMAR LÄN</t>
        </is>
      </c>
      <c r="E392" t="inlineStr">
        <is>
          <t>VIMMERBY</t>
        </is>
      </c>
      <c r="G392" t="n">
        <v>3.4</v>
      </c>
      <c r="H392" t="n">
        <v>0</v>
      </c>
      <c r="I392" t="n">
        <v>0</v>
      </c>
      <c r="J392" t="n">
        <v>0</v>
      </c>
      <c r="K392" t="n">
        <v>0</v>
      </c>
      <c r="L392" t="n">
        <v>0</v>
      </c>
      <c r="M392" t="n">
        <v>0</v>
      </c>
      <c r="N392" t="n">
        <v>0</v>
      </c>
      <c r="O392" t="n">
        <v>0</v>
      </c>
      <c r="P392" t="n">
        <v>0</v>
      </c>
      <c r="Q392" t="n">
        <v>0</v>
      </c>
      <c r="R392" s="2" t="inlineStr"/>
    </row>
    <row r="393" ht="15" customHeight="1">
      <c r="A393" t="inlineStr">
        <is>
          <t>A 13015-2022</t>
        </is>
      </c>
      <c r="B393" s="1" t="n">
        <v>44643</v>
      </c>
      <c r="C393" s="1" t="n">
        <v>45993</v>
      </c>
      <c r="D393" t="inlineStr">
        <is>
          <t>KALMAR LÄN</t>
        </is>
      </c>
      <c r="E393" t="inlineStr">
        <is>
          <t>VIMMERBY</t>
        </is>
      </c>
      <c r="G393" t="n">
        <v>2.4</v>
      </c>
      <c r="H393" t="n">
        <v>0</v>
      </c>
      <c r="I393" t="n">
        <v>0</v>
      </c>
      <c r="J393" t="n">
        <v>0</v>
      </c>
      <c r="K393" t="n">
        <v>0</v>
      </c>
      <c r="L393" t="n">
        <v>0</v>
      </c>
      <c r="M393" t="n">
        <v>0</v>
      </c>
      <c r="N393" t="n">
        <v>0</v>
      </c>
      <c r="O393" t="n">
        <v>0</v>
      </c>
      <c r="P393" t="n">
        <v>0</v>
      </c>
      <c r="Q393" t="n">
        <v>0</v>
      </c>
      <c r="R393" s="2" t="inlineStr"/>
    </row>
    <row r="394" ht="15" customHeight="1">
      <c r="A394" t="inlineStr">
        <is>
          <t>A 4624-2024</t>
        </is>
      </c>
      <c r="B394" s="1" t="n">
        <v>45328.38755787037</v>
      </c>
      <c r="C394" s="1" t="n">
        <v>45993</v>
      </c>
      <c r="D394" t="inlineStr">
        <is>
          <t>KALMAR LÄN</t>
        </is>
      </c>
      <c r="E394" t="inlineStr">
        <is>
          <t>VIMMERBY</t>
        </is>
      </c>
      <c r="G394" t="n">
        <v>1.7</v>
      </c>
      <c r="H394" t="n">
        <v>0</v>
      </c>
      <c r="I394" t="n">
        <v>0</v>
      </c>
      <c r="J394" t="n">
        <v>0</v>
      </c>
      <c r="K394" t="n">
        <v>0</v>
      </c>
      <c r="L394" t="n">
        <v>0</v>
      </c>
      <c r="M394" t="n">
        <v>0</v>
      </c>
      <c r="N394" t="n">
        <v>0</v>
      </c>
      <c r="O394" t="n">
        <v>0</v>
      </c>
      <c r="P394" t="n">
        <v>0</v>
      </c>
      <c r="Q394" t="n">
        <v>0</v>
      </c>
      <c r="R394" s="2" t="inlineStr"/>
    </row>
    <row r="395" ht="15" customHeight="1">
      <c r="A395" t="inlineStr">
        <is>
          <t>A 37939-2025</t>
        </is>
      </c>
      <c r="B395" s="1" t="n">
        <v>45881.59877314815</v>
      </c>
      <c r="C395" s="1" t="n">
        <v>45993</v>
      </c>
      <c r="D395" t="inlineStr">
        <is>
          <t>KALMAR LÄN</t>
        </is>
      </c>
      <c r="E395" t="inlineStr">
        <is>
          <t>VIMMERBY</t>
        </is>
      </c>
      <c r="G395" t="n">
        <v>1.3</v>
      </c>
      <c r="H395" t="n">
        <v>0</v>
      </c>
      <c r="I395" t="n">
        <v>0</v>
      </c>
      <c r="J395" t="n">
        <v>0</v>
      </c>
      <c r="K395" t="n">
        <v>0</v>
      </c>
      <c r="L395" t="n">
        <v>0</v>
      </c>
      <c r="M395" t="n">
        <v>0</v>
      </c>
      <c r="N395" t="n">
        <v>0</v>
      </c>
      <c r="O395" t="n">
        <v>0</v>
      </c>
      <c r="P395" t="n">
        <v>0</v>
      </c>
      <c r="Q395" t="n">
        <v>0</v>
      </c>
      <c r="R395" s="2" t="inlineStr"/>
    </row>
    <row r="396" ht="15" customHeight="1">
      <c r="A396" t="inlineStr">
        <is>
          <t>A 32639-2023</t>
        </is>
      </c>
      <c r="B396" s="1" t="n">
        <v>45121.5965162037</v>
      </c>
      <c r="C396" s="1" t="n">
        <v>45993</v>
      </c>
      <c r="D396" t="inlineStr">
        <is>
          <t>KALMAR LÄN</t>
        </is>
      </c>
      <c r="E396" t="inlineStr">
        <is>
          <t>VIMMERBY</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32642-2023</t>
        </is>
      </c>
      <c r="B397" s="1" t="n">
        <v>45121.59954861111</v>
      </c>
      <c r="C397" s="1" t="n">
        <v>45993</v>
      </c>
      <c r="D397" t="inlineStr">
        <is>
          <t>KALMAR LÄN</t>
        </is>
      </c>
      <c r="E397" t="inlineStr">
        <is>
          <t>VIMMERBY</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32651-2023</t>
        </is>
      </c>
      <c r="B398" s="1" t="n">
        <v>45121.6096875</v>
      </c>
      <c r="C398" s="1" t="n">
        <v>45993</v>
      </c>
      <c r="D398" t="inlineStr">
        <is>
          <t>KALMAR LÄN</t>
        </is>
      </c>
      <c r="E398" t="inlineStr">
        <is>
          <t>VIMMERBY</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9129-2025</t>
        </is>
      </c>
      <c r="B399" s="1" t="n">
        <v>45713.92412037037</v>
      </c>
      <c r="C399" s="1" t="n">
        <v>45993</v>
      </c>
      <c r="D399" t="inlineStr">
        <is>
          <t>KALMAR LÄN</t>
        </is>
      </c>
      <c r="E399" t="inlineStr">
        <is>
          <t>VIMMERBY</t>
        </is>
      </c>
      <c r="G399" t="n">
        <v>2.8</v>
      </c>
      <c r="H399" t="n">
        <v>0</v>
      </c>
      <c r="I399" t="n">
        <v>0</v>
      </c>
      <c r="J399" t="n">
        <v>0</v>
      </c>
      <c r="K399" t="n">
        <v>0</v>
      </c>
      <c r="L399" t="n">
        <v>0</v>
      </c>
      <c r="M399" t="n">
        <v>0</v>
      </c>
      <c r="N399" t="n">
        <v>0</v>
      </c>
      <c r="O399" t="n">
        <v>0</v>
      </c>
      <c r="P399" t="n">
        <v>0</v>
      </c>
      <c r="Q399" t="n">
        <v>0</v>
      </c>
      <c r="R399" s="2" t="inlineStr"/>
    </row>
    <row r="400" ht="15" customHeight="1">
      <c r="A400" t="inlineStr">
        <is>
          <t>A 46238-2024</t>
        </is>
      </c>
      <c r="B400" s="1" t="n">
        <v>45581.58418981481</v>
      </c>
      <c r="C400" s="1" t="n">
        <v>45993</v>
      </c>
      <c r="D400" t="inlineStr">
        <is>
          <t>KALMAR LÄN</t>
        </is>
      </c>
      <c r="E400" t="inlineStr">
        <is>
          <t>VIMMERBY</t>
        </is>
      </c>
      <c r="G400" t="n">
        <v>2.1</v>
      </c>
      <c r="H400" t="n">
        <v>0</v>
      </c>
      <c r="I400" t="n">
        <v>0</v>
      </c>
      <c r="J400" t="n">
        <v>0</v>
      </c>
      <c r="K400" t="n">
        <v>0</v>
      </c>
      <c r="L400" t="n">
        <v>0</v>
      </c>
      <c r="M400" t="n">
        <v>0</v>
      </c>
      <c r="N400" t="n">
        <v>0</v>
      </c>
      <c r="O400" t="n">
        <v>0</v>
      </c>
      <c r="P400" t="n">
        <v>0</v>
      </c>
      <c r="Q400" t="n">
        <v>0</v>
      </c>
      <c r="R400" s="2" t="inlineStr"/>
    </row>
    <row r="401" ht="15" customHeight="1">
      <c r="A401" t="inlineStr">
        <is>
          <t>A 50993-2022</t>
        </is>
      </c>
      <c r="B401" s="1" t="n">
        <v>44867</v>
      </c>
      <c r="C401" s="1" t="n">
        <v>45993</v>
      </c>
      <c r="D401" t="inlineStr">
        <is>
          <t>KALMAR LÄN</t>
        </is>
      </c>
      <c r="E401" t="inlineStr">
        <is>
          <t>VIMMERBY</t>
        </is>
      </c>
      <c r="G401" t="n">
        <v>1.7</v>
      </c>
      <c r="H401" t="n">
        <v>0</v>
      </c>
      <c r="I401" t="n">
        <v>0</v>
      </c>
      <c r="J401" t="n">
        <v>0</v>
      </c>
      <c r="K401" t="n">
        <v>0</v>
      </c>
      <c r="L401" t="n">
        <v>0</v>
      </c>
      <c r="M401" t="n">
        <v>0</v>
      </c>
      <c r="N401" t="n">
        <v>0</v>
      </c>
      <c r="O401" t="n">
        <v>0</v>
      </c>
      <c r="P401" t="n">
        <v>0</v>
      </c>
      <c r="Q401" t="n">
        <v>0</v>
      </c>
      <c r="R401" s="2" t="inlineStr"/>
    </row>
    <row r="402" ht="15" customHeight="1">
      <c r="A402" t="inlineStr">
        <is>
          <t>A 40730-2024</t>
        </is>
      </c>
      <c r="B402" s="1" t="n">
        <v>45558.44914351852</v>
      </c>
      <c r="C402" s="1" t="n">
        <v>45993</v>
      </c>
      <c r="D402" t="inlineStr">
        <is>
          <t>KALMAR LÄN</t>
        </is>
      </c>
      <c r="E402" t="inlineStr">
        <is>
          <t>VIMMERBY</t>
        </is>
      </c>
      <c r="G402" t="n">
        <v>0.5</v>
      </c>
      <c r="H402" t="n">
        <v>0</v>
      </c>
      <c r="I402" t="n">
        <v>0</v>
      </c>
      <c r="J402" t="n">
        <v>0</v>
      </c>
      <c r="K402" t="n">
        <v>0</v>
      </c>
      <c r="L402" t="n">
        <v>0</v>
      </c>
      <c r="M402" t="n">
        <v>0</v>
      </c>
      <c r="N402" t="n">
        <v>0</v>
      </c>
      <c r="O402" t="n">
        <v>0</v>
      </c>
      <c r="P402" t="n">
        <v>0</v>
      </c>
      <c r="Q402" t="n">
        <v>0</v>
      </c>
      <c r="R402" s="2" t="inlineStr"/>
    </row>
    <row r="403" ht="15" customHeight="1">
      <c r="A403" t="inlineStr">
        <is>
          <t>A 46225-2024</t>
        </is>
      </c>
      <c r="B403" s="1" t="n">
        <v>45581.57333333333</v>
      </c>
      <c r="C403" s="1" t="n">
        <v>45993</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36055-2024</t>
        </is>
      </c>
      <c r="B404" s="1" t="n">
        <v>45533.63056712963</v>
      </c>
      <c r="C404" s="1" t="n">
        <v>45993</v>
      </c>
      <c r="D404" t="inlineStr">
        <is>
          <t>KALMAR LÄN</t>
        </is>
      </c>
      <c r="E404" t="inlineStr">
        <is>
          <t>VIMMERBY</t>
        </is>
      </c>
      <c r="F404" t="inlineStr">
        <is>
          <t>Kommuner</t>
        </is>
      </c>
      <c r="G404" t="n">
        <v>1.9</v>
      </c>
      <c r="H404" t="n">
        <v>0</v>
      </c>
      <c r="I404" t="n">
        <v>0</v>
      </c>
      <c r="J404" t="n">
        <v>0</v>
      </c>
      <c r="K404" t="n">
        <v>0</v>
      </c>
      <c r="L404" t="n">
        <v>0</v>
      </c>
      <c r="M404" t="n">
        <v>0</v>
      </c>
      <c r="N404" t="n">
        <v>0</v>
      </c>
      <c r="O404" t="n">
        <v>0</v>
      </c>
      <c r="P404" t="n">
        <v>0</v>
      </c>
      <c r="Q404" t="n">
        <v>0</v>
      </c>
      <c r="R404" s="2" t="inlineStr"/>
    </row>
    <row r="405" ht="15" customHeight="1">
      <c r="A405" t="inlineStr">
        <is>
          <t>A 47859-2024</t>
        </is>
      </c>
      <c r="B405" s="1" t="n">
        <v>45588.67070601852</v>
      </c>
      <c r="C405" s="1" t="n">
        <v>45993</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9643-2023</t>
        </is>
      </c>
      <c r="B406" s="1" t="n">
        <v>44984</v>
      </c>
      <c r="C406" s="1" t="n">
        <v>45993</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56213-2024</t>
        </is>
      </c>
      <c r="B407" s="1" t="n">
        <v>45624.60141203704</v>
      </c>
      <c r="C407" s="1" t="n">
        <v>45993</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32835-2022</t>
        </is>
      </c>
      <c r="B408" s="1" t="n">
        <v>44784.42528935185</v>
      </c>
      <c r="C408" s="1" t="n">
        <v>45993</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22643-2023</t>
        </is>
      </c>
      <c r="B409" s="1" t="n">
        <v>45071</v>
      </c>
      <c r="C409" s="1" t="n">
        <v>45993</v>
      </c>
      <c r="D409" t="inlineStr">
        <is>
          <t>KALMAR LÄN</t>
        </is>
      </c>
      <c r="E409" t="inlineStr">
        <is>
          <t>VIMMERBY</t>
        </is>
      </c>
      <c r="G409" t="n">
        <v>3.9</v>
      </c>
      <c r="H409" t="n">
        <v>0</v>
      </c>
      <c r="I409" t="n">
        <v>0</v>
      </c>
      <c r="J409" t="n">
        <v>0</v>
      </c>
      <c r="K409" t="n">
        <v>0</v>
      </c>
      <c r="L409" t="n">
        <v>0</v>
      </c>
      <c r="M409" t="n">
        <v>0</v>
      </c>
      <c r="N409" t="n">
        <v>0</v>
      </c>
      <c r="O409" t="n">
        <v>0</v>
      </c>
      <c r="P409" t="n">
        <v>0</v>
      </c>
      <c r="Q409" t="n">
        <v>0</v>
      </c>
      <c r="R409" s="2" t="inlineStr"/>
    </row>
    <row r="410" ht="15" customHeight="1">
      <c r="A410" t="inlineStr">
        <is>
          <t>A 20126-2024</t>
        </is>
      </c>
      <c r="B410" s="1" t="n">
        <v>45434.55471064815</v>
      </c>
      <c r="C410" s="1" t="n">
        <v>45993</v>
      </c>
      <c r="D410" t="inlineStr">
        <is>
          <t>KALMAR LÄN</t>
        </is>
      </c>
      <c r="E410" t="inlineStr">
        <is>
          <t>VIMMERBY</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19865-2021</t>
        </is>
      </c>
      <c r="B411" s="1" t="n">
        <v>44312</v>
      </c>
      <c r="C411" s="1" t="n">
        <v>45993</v>
      </c>
      <c r="D411" t="inlineStr">
        <is>
          <t>KALMAR LÄN</t>
        </is>
      </c>
      <c r="E411" t="inlineStr">
        <is>
          <t>VIMMERBY</t>
        </is>
      </c>
      <c r="G411" t="n">
        <v>8.6</v>
      </c>
      <c r="H411" t="n">
        <v>0</v>
      </c>
      <c r="I411" t="n">
        <v>0</v>
      </c>
      <c r="J411" t="n">
        <v>0</v>
      </c>
      <c r="K411" t="n">
        <v>0</v>
      </c>
      <c r="L411" t="n">
        <v>0</v>
      </c>
      <c r="M411" t="n">
        <v>0</v>
      </c>
      <c r="N411" t="n">
        <v>0</v>
      </c>
      <c r="O411" t="n">
        <v>0</v>
      </c>
      <c r="P411" t="n">
        <v>0</v>
      </c>
      <c r="Q411" t="n">
        <v>0</v>
      </c>
      <c r="R411" s="2" t="inlineStr"/>
    </row>
    <row r="412" ht="15" customHeight="1">
      <c r="A412" t="inlineStr">
        <is>
          <t>A 9694-2023</t>
        </is>
      </c>
      <c r="B412" s="1" t="n">
        <v>44984.45895833334</v>
      </c>
      <c r="C412" s="1" t="n">
        <v>45993</v>
      </c>
      <c r="D412" t="inlineStr">
        <is>
          <t>KALMAR LÄN</t>
        </is>
      </c>
      <c r="E412" t="inlineStr">
        <is>
          <t>VIMMERBY</t>
        </is>
      </c>
      <c r="G412" t="n">
        <v>2.1</v>
      </c>
      <c r="H412" t="n">
        <v>0</v>
      </c>
      <c r="I412" t="n">
        <v>0</v>
      </c>
      <c r="J412" t="n">
        <v>0</v>
      </c>
      <c r="K412" t="n">
        <v>0</v>
      </c>
      <c r="L412" t="n">
        <v>0</v>
      </c>
      <c r="M412" t="n">
        <v>0</v>
      </c>
      <c r="N412" t="n">
        <v>0</v>
      </c>
      <c r="O412" t="n">
        <v>0</v>
      </c>
      <c r="P412" t="n">
        <v>0</v>
      </c>
      <c r="Q412" t="n">
        <v>0</v>
      </c>
      <c r="R412" s="2" t="inlineStr"/>
    </row>
    <row r="413" ht="15" customHeight="1">
      <c r="A413" t="inlineStr">
        <is>
          <t>A 9710-2023</t>
        </is>
      </c>
      <c r="B413" s="1" t="n">
        <v>44984</v>
      </c>
      <c r="C413" s="1" t="n">
        <v>45993</v>
      </c>
      <c r="D413" t="inlineStr">
        <is>
          <t>KALMAR LÄN</t>
        </is>
      </c>
      <c r="E413" t="inlineStr">
        <is>
          <t>VIMMERBY</t>
        </is>
      </c>
      <c r="G413" t="n">
        <v>3.7</v>
      </c>
      <c r="H413" t="n">
        <v>0</v>
      </c>
      <c r="I413" t="n">
        <v>0</v>
      </c>
      <c r="J413" t="n">
        <v>0</v>
      </c>
      <c r="K413" t="n">
        <v>0</v>
      </c>
      <c r="L413" t="n">
        <v>0</v>
      </c>
      <c r="M413" t="n">
        <v>0</v>
      </c>
      <c r="N413" t="n">
        <v>0</v>
      </c>
      <c r="O413" t="n">
        <v>0</v>
      </c>
      <c r="P413" t="n">
        <v>0</v>
      </c>
      <c r="Q413" t="n">
        <v>0</v>
      </c>
      <c r="R413" s="2" t="inlineStr"/>
    </row>
    <row r="414" ht="15" customHeight="1">
      <c r="A414" t="inlineStr">
        <is>
          <t>A 6216-2025</t>
        </is>
      </c>
      <c r="B414" s="1" t="n">
        <v>45698.52806712963</v>
      </c>
      <c r="C414" s="1" t="n">
        <v>45993</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41896-2023</t>
        </is>
      </c>
      <c r="B415" s="1" t="n">
        <v>45176.72427083334</v>
      </c>
      <c r="C415" s="1" t="n">
        <v>45993</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43606-2024</t>
        </is>
      </c>
      <c r="B416" s="1" t="n">
        <v>45569.45017361111</v>
      </c>
      <c r="C416" s="1" t="n">
        <v>45993</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12325-2023</t>
        </is>
      </c>
      <c r="B417" s="1" t="n">
        <v>44999.35858796296</v>
      </c>
      <c r="C417" s="1" t="n">
        <v>45993</v>
      </c>
      <c r="D417" t="inlineStr">
        <is>
          <t>KALMAR LÄN</t>
        </is>
      </c>
      <c r="E417" t="inlineStr">
        <is>
          <t>VIMMERBY</t>
        </is>
      </c>
      <c r="G417" t="n">
        <v>3.4</v>
      </c>
      <c r="H417" t="n">
        <v>0</v>
      </c>
      <c r="I417" t="n">
        <v>0</v>
      </c>
      <c r="J417" t="n">
        <v>0</v>
      </c>
      <c r="K417" t="n">
        <v>0</v>
      </c>
      <c r="L417" t="n">
        <v>0</v>
      </c>
      <c r="M417" t="n">
        <v>0</v>
      </c>
      <c r="N417" t="n">
        <v>0</v>
      </c>
      <c r="O417" t="n">
        <v>0</v>
      </c>
      <c r="P417" t="n">
        <v>0</v>
      </c>
      <c r="Q417" t="n">
        <v>0</v>
      </c>
      <c r="R417" s="2" t="inlineStr"/>
    </row>
    <row r="418" ht="15" customHeight="1">
      <c r="A418" t="inlineStr">
        <is>
          <t>A 8945-2025</t>
        </is>
      </c>
      <c r="B418" s="1" t="n">
        <v>45713.45311342592</v>
      </c>
      <c r="C418" s="1" t="n">
        <v>45993</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40665-2023</t>
        </is>
      </c>
      <c r="B419" s="1" t="n">
        <v>45170</v>
      </c>
      <c r="C419" s="1" t="n">
        <v>45993</v>
      </c>
      <c r="D419" t="inlineStr">
        <is>
          <t>KALMAR LÄN</t>
        </is>
      </c>
      <c r="E419" t="inlineStr">
        <is>
          <t>VIMMERBY</t>
        </is>
      </c>
      <c r="G419" t="n">
        <v>2.6</v>
      </c>
      <c r="H419" t="n">
        <v>0</v>
      </c>
      <c r="I419" t="n">
        <v>0</v>
      </c>
      <c r="J419" t="n">
        <v>0</v>
      </c>
      <c r="K419" t="n">
        <v>0</v>
      </c>
      <c r="L419" t="n">
        <v>0</v>
      </c>
      <c r="M419" t="n">
        <v>0</v>
      </c>
      <c r="N419" t="n">
        <v>0</v>
      </c>
      <c r="O419" t="n">
        <v>0</v>
      </c>
      <c r="P419" t="n">
        <v>0</v>
      </c>
      <c r="Q419" t="n">
        <v>0</v>
      </c>
      <c r="R419" s="2" t="inlineStr"/>
    </row>
    <row r="420" ht="15" customHeight="1">
      <c r="A420" t="inlineStr">
        <is>
          <t>A 13307-2025</t>
        </is>
      </c>
      <c r="B420" s="1" t="n">
        <v>45735.58024305556</v>
      </c>
      <c r="C420" s="1" t="n">
        <v>45993</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34597-2022</t>
        </is>
      </c>
      <c r="B421" s="1" t="n">
        <v>44795</v>
      </c>
      <c r="C421" s="1" t="n">
        <v>45993</v>
      </c>
      <c r="D421" t="inlineStr">
        <is>
          <t>KALMAR LÄN</t>
        </is>
      </c>
      <c r="E421" t="inlineStr">
        <is>
          <t>VIMMERBY</t>
        </is>
      </c>
      <c r="G421" t="n">
        <v>2.2</v>
      </c>
      <c r="H421" t="n">
        <v>0</v>
      </c>
      <c r="I421" t="n">
        <v>0</v>
      </c>
      <c r="J421" t="n">
        <v>0</v>
      </c>
      <c r="K421" t="n">
        <v>0</v>
      </c>
      <c r="L421" t="n">
        <v>0</v>
      </c>
      <c r="M421" t="n">
        <v>0</v>
      </c>
      <c r="N421" t="n">
        <v>0</v>
      </c>
      <c r="O421" t="n">
        <v>0</v>
      </c>
      <c r="P421" t="n">
        <v>0</v>
      </c>
      <c r="Q421" t="n">
        <v>0</v>
      </c>
      <c r="R421" s="2" t="inlineStr"/>
    </row>
    <row r="422" ht="15" customHeight="1">
      <c r="A422" t="inlineStr">
        <is>
          <t>A 7944-2024</t>
        </is>
      </c>
      <c r="B422" s="1" t="n">
        <v>45350.53306712963</v>
      </c>
      <c r="C422" s="1" t="n">
        <v>45993</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28034-2022</t>
        </is>
      </c>
      <c r="B423" s="1" t="n">
        <v>44746.38834490741</v>
      </c>
      <c r="C423" s="1" t="n">
        <v>45993</v>
      </c>
      <c r="D423" t="inlineStr">
        <is>
          <t>KALMAR LÄN</t>
        </is>
      </c>
      <c r="E423" t="inlineStr">
        <is>
          <t>VIMMERBY</t>
        </is>
      </c>
      <c r="G423" t="n">
        <v>2</v>
      </c>
      <c r="H423" t="n">
        <v>0</v>
      </c>
      <c r="I423" t="n">
        <v>0</v>
      </c>
      <c r="J423" t="n">
        <v>0</v>
      </c>
      <c r="K423" t="n">
        <v>0</v>
      </c>
      <c r="L423" t="n">
        <v>0</v>
      </c>
      <c r="M423" t="n">
        <v>0</v>
      </c>
      <c r="N423" t="n">
        <v>0</v>
      </c>
      <c r="O423" t="n">
        <v>0</v>
      </c>
      <c r="P423" t="n">
        <v>0</v>
      </c>
      <c r="Q423" t="n">
        <v>0</v>
      </c>
      <c r="R423" s="2" t="inlineStr"/>
    </row>
    <row r="424" ht="15" customHeight="1">
      <c r="A424" t="inlineStr">
        <is>
          <t>A 40079-2023</t>
        </is>
      </c>
      <c r="B424" s="1" t="n">
        <v>45168.89298611111</v>
      </c>
      <c r="C424" s="1" t="n">
        <v>45993</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598-2025</t>
        </is>
      </c>
      <c r="B425" s="1" t="n">
        <v>45660</v>
      </c>
      <c r="C425" s="1" t="n">
        <v>45993</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10674-2021</t>
        </is>
      </c>
      <c r="B426" s="1" t="n">
        <v>44258</v>
      </c>
      <c r="C426" s="1" t="n">
        <v>45993</v>
      </c>
      <c r="D426" t="inlineStr">
        <is>
          <t>KALMAR LÄN</t>
        </is>
      </c>
      <c r="E426" t="inlineStr">
        <is>
          <t>VIMMERBY</t>
        </is>
      </c>
      <c r="G426" t="n">
        <v>8.4</v>
      </c>
      <c r="H426" t="n">
        <v>0</v>
      </c>
      <c r="I426" t="n">
        <v>0</v>
      </c>
      <c r="J426" t="n">
        <v>0</v>
      </c>
      <c r="K426" t="n">
        <v>0</v>
      </c>
      <c r="L426" t="n">
        <v>0</v>
      </c>
      <c r="M426" t="n">
        <v>0</v>
      </c>
      <c r="N426" t="n">
        <v>0</v>
      </c>
      <c r="O426" t="n">
        <v>0</v>
      </c>
      <c r="P426" t="n">
        <v>0</v>
      </c>
      <c r="Q426" t="n">
        <v>0</v>
      </c>
      <c r="R426" s="2" t="inlineStr"/>
    </row>
    <row r="427" ht="15" customHeight="1">
      <c r="A427" t="inlineStr">
        <is>
          <t>A 38604-2025</t>
        </is>
      </c>
      <c r="B427" s="1" t="n">
        <v>45884.50613425926</v>
      </c>
      <c r="C427" s="1" t="n">
        <v>45993</v>
      </c>
      <c r="D427" t="inlineStr">
        <is>
          <t>KALMAR LÄN</t>
        </is>
      </c>
      <c r="E427" t="inlineStr">
        <is>
          <t>VIMMERBY</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19833-2023</t>
        </is>
      </c>
      <c r="B428" s="1" t="n">
        <v>45052</v>
      </c>
      <c r="C428" s="1" t="n">
        <v>45993</v>
      </c>
      <c r="D428" t="inlineStr">
        <is>
          <t>KALMAR LÄN</t>
        </is>
      </c>
      <c r="E428" t="inlineStr">
        <is>
          <t>VIMMERBY</t>
        </is>
      </c>
      <c r="G428" t="n">
        <v>6.7</v>
      </c>
      <c r="H428" t="n">
        <v>0</v>
      </c>
      <c r="I428" t="n">
        <v>0</v>
      </c>
      <c r="J428" t="n">
        <v>0</v>
      </c>
      <c r="K428" t="n">
        <v>0</v>
      </c>
      <c r="L428" t="n">
        <v>0</v>
      </c>
      <c r="M428" t="n">
        <v>0</v>
      </c>
      <c r="N428" t="n">
        <v>0</v>
      </c>
      <c r="O428" t="n">
        <v>0</v>
      </c>
      <c r="P428" t="n">
        <v>0</v>
      </c>
      <c r="Q428" t="n">
        <v>0</v>
      </c>
      <c r="R428" s="2" t="inlineStr"/>
    </row>
    <row r="429" ht="15" customHeight="1">
      <c r="A429" t="inlineStr">
        <is>
          <t>A 10807-2024</t>
        </is>
      </c>
      <c r="B429" s="1" t="n">
        <v>45369.62780092593</v>
      </c>
      <c r="C429" s="1" t="n">
        <v>45993</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55605-2024</t>
        </is>
      </c>
      <c r="B430" s="1" t="n">
        <v>45622</v>
      </c>
      <c r="C430" s="1" t="n">
        <v>45993</v>
      </c>
      <c r="D430" t="inlineStr">
        <is>
          <t>KALMAR LÄN</t>
        </is>
      </c>
      <c r="E430" t="inlineStr">
        <is>
          <t>VIMMERBY</t>
        </is>
      </c>
      <c r="G430" t="n">
        <v>1.1</v>
      </c>
      <c r="H430" t="n">
        <v>0</v>
      </c>
      <c r="I430" t="n">
        <v>0</v>
      </c>
      <c r="J430" t="n">
        <v>0</v>
      </c>
      <c r="K430" t="n">
        <v>0</v>
      </c>
      <c r="L430" t="n">
        <v>0</v>
      </c>
      <c r="M430" t="n">
        <v>0</v>
      </c>
      <c r="N430" t="n">
        <v>0</v>
      </c>
      <c r="O430" t="n">
        <v>0</v>
      </c>
      <c r="P430" t="n">
        <v>0</v>
      </c>
      <c r="Q430" t="n">
        <v>0</v>
      </c>
      <c r="R430" s="2" t="inlineStr"/>
    </row>
    <row r="431" ht="15" customHeight="1">
      <c r="A431" t="inlineStr">
        <is>
          <t>A 42165-2024</t>
        </is>
      </c>
      <c r="B431" s="1" t="n">
        <v>45562.46342592593</v>
      </c>
      <c r="C431" s="1" t="n">
        <v>45993</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40260-2024</t>
        </is>
      </c>
      <c r="B432" s="1" t="n">
        <v>45554.63225694445</v>
      </c>
      <c r="C432" s="1" t="n">
        <v>45993</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10787-2025</t>
        </is>
      </c>
      <c r="B433" s="1" t="n">
        <v>45722.48915509259</v>
      </c>
      <c r="C433" s="1" t="n">
        <v>45993</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20129-2024</t>
        </is>
      </c>
      <c r="B434" s="1" t="n">
        <v>45434.55831018519</v>
      </c>
      <c r="C434" s="1" t="n">
        <v>45993</v>
      </c>
      <c r="D434" t="inlineStr">
        <is>
          <t>KALMAR LÄN</t>
        </is>
      </c>
      <c r="E434" t="inlineStr">
        <is>
          <t>VIMMERBY</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20137-2024</t>
        </is>
      </c>
      <c r="B435" s="1" t="n">
        <v>45434.56398148148</v>
      </c>
      <c r="C435" s="1" t="n">
        <v>45993</v>
      </c>
      <c r="D435" t="inlineStr">
        <is>
          <t>KALMAR LÄN</t>
        </is>
      </c>
      <c r="E435" t="inlineStr">
        <is>
          <t>VIMMERBY</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58577-2024</t>
        </is>
      </c>
      <c r="B436" s="1" t="n">
        <v>45635.4874537037</v>
      </c>
      <c r="C436" s="1" t="n">
        <v>45993</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38198-2024</t>
        </is>
      </c>
      <c r="B437" s="1" t="n">
        <v>45545.49508101852</v>
      </c>
      <c r="C437" s="1" t="n">
        <v>45993</v>
      </c>
      <c r="D437" t="inlineStr">
        <is>
          <t>KALMAR LÄN</t>
        </is>
      </c>
      <c r="E437" t="inlineStr">
        <is>
          <t>VIMMERBY</t>
        </is>
      </c>
      <c r="G437" t="n">
        <v>7.9</v>
      </c>
      <c r="H437" t="n">
        <v>0</v>
      </c>
      <c r="I437" t="n">
        <v>0</v>
      </c>
      <c r="J437" t="n">
        <v>0</v>
      </c>
      <c r="K437" t="n">
        <v>0</v>
      </c>
      <c r="L437" t="n">
        <v>0</v>
      </c>
      <c r="M437" t="n">
        <v>0</v>
      </c>
      <c r="N437" t="n">
        <v>0</v>
      </c>
      <c r="O437" t="n">
        <v>0</v>
      </c>
      <c r="P437" t="n">
        <v>0</v>
      </c>
      <c r="Q437" t="n">
        <v>0</v>
      </c>
      <c r="R437" s="2" t="inlineStr"/>
    </row>
    <row r="438" ht="15" customHeight="1">
      <c r="A438" t="inlineStr">
        <is>
          <t>A 43617-2024</t>
        </is>
      </c>
      <c r="B438" s="1" t="n">
        <v>45569.47494212963</v>
      </c>
      <c r="C438" s="1" t="n">
        <v>45993</v>
      </c>
      <c r="D438" t="inlineStr">
        <is>
          <t>KALMAR LÄN</t>
        </is>
      </c>
      <c r="E438" t="inlineStr">
        <is>
          <t>VIMMERBY</t>
        </is>
      </c>
      <c r="G438" t="n">
        <v>2.7</v>
      </c>
      <c r="H438" t="n">
        <v>0</v>
      </c>
      <c r="I438" t="n">
        <v>0</v>
      </c>
      <c r="J438" t="n">
        <v>0</v>
      </c>
      <c r="K438" t="n">
        <v>0</v>
      </c>
      <c r="L438" t="n">
        <v>0</v>
      </c>
      <c r="M438" t="n">
        <v>0</v>
      </c>
      <c r="N438" t="n">
        <v>0</v>
      </c>
      <c r="O438" t="n">
        <v>0</v>
      </c>
      <c r="P438" t="n">
        <v>0</v>
      </c>
      <c r="Q438" t="n">
        <v>0</v>
      </c>
      <c r="R438" s="2" t="inlineStr"/>
    </row>
    <row r="439" ht="15" customHeight="1">
      <c r="A439" t="inlineStr">
        <is>
          <t>A 23095-2023</t>
        </is>
      </c>
      <c r="B439" s="1" t="n">
        <v>45075.43059027778</v>
      </c>
      <c r="C439" s="1" t="n">
        <v>45993</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32919-2022</t>
        </is>
      </c>
      <c r="B440" s="1" t="n">
        <v>44784.62724537037</v>
      </c>
      <c r="C440" s="1" t="n">
        <v>45993</v>
      </c>
      <c r="D440" t="inlineStr">
        <is>
          <t>KALMAR LÄN</t>
        </is>
      </c>
      <c r="E440" t="inlineStr">
        <is>
          <t>VIMMERBY</t>
        </is>
      </c>
      <c r="G440" t="n">
        <v>1.7</v>
      </c>
      <c r="H440" t="n">
        <v>0</v>
      </c>
      <c r="I440" t="n">
        <v>0</v>
      </c>
      <c r="J440" t="n">
        <v>0</v>
      </c>
      <c r="K440" t="n">
        <v>0</v>
      </c>
      <c r="L440" t="n">
        <v>0</v>
      </c>
      <c r="M440" t="n">
        <v>0</v>
      </c>
      <c r="N440" t="n">
        <v>0</v>
      </c>
      <c r="O440" t="n">
        <v>0</v>
      </c>
      <c r="P440" t="n">
        <v>0</v>
      </c>
      <c r="Q440" t="n">
        <v>0</v>
      </c>
      <c r="R440" s="2" t="inlineStr"/>
    </row>
    <row r="441" ht="15" customHeight="1">
      <c r="A441" t="inlineStr">
        <is>
          <t>A 17084-2025</t>
        </is>
      </c>
      <c r="B441" s="1" t="n">
        <v>45755.64450231481</v>
      </c>
      <c r="C441" s="1" t="n">
        <v>45993</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7068-2024</t>
        </is>
      </c>
      <c r="B442" s="1" t="n">
        <v>45343.68038194445</v>
      </c>
      <c r="C442" s="1" t="n">
        <v>45993</v>
      </c>
      <c r="D442" t="inlineStr">
        <is>
          <t>KALMAR LÄN</t>
        </is>
      </c>
      <c r="E442" t="inlineStr">
        <is>
          <t>VIMMERBY</t>
        </is>
      </c>
      <c r="G442" t="n">
        <v>2.5</v>
      </c>
      <c r="H442" t="n">
        <v>0</v>
      </c>
      <c r="I442" t="n">
        <v>0</v>
      </c>
      <c r="J442" t="n">
        <v>0</v>
      </c>
      <c r="K442" t="n">
        <v>0</v>
      </c>
      <c r="L442" t="n">
        <v>0</v>
      </c>
      <c r="M442" t="n">
        <v>0</v>
      </c>
      <c r="N442" t="n">
        <v>0</v>
      </c>
      <c r="O442" t="n">
        <v>0</v>
      </c>
      <c r="P442" t="n">
        <v>0</v>
      </c>
      <c r="Q442" t="n">
        <v>0</v>
      </c>
      <c r="R442" s="2" t="inlineStr"/>
    </row>
    <row r="443" ht="15" customHeight="1">
      <c r="A443" t="inlineStr">
        <is>
          <t>A 56022-2024</t>
        </is>
      </c>
      <c r="B443" s="1" t="n">
        <v>45623.95947916667</v>
      </c>
      <c r="C443" s="1" t="n">
        <v>45993</v>
      </c>
      <c r="D443" t="inlineStr">
        <is>
          <t>KALMAR LÄN</t>
        </is>
      </c>
      <c r="E443" t="inlineStr">
        <is>
          <t>VIMMERBY</t>
        </is>
      </c>
      <c r="G443" t="n">
        <v>0.3</v>
      </c>
      <c r="H443" t="n">
        <v>0</v>
      </c>
      <c r="I443" t="n">
        <v>0</v>
      </c>
      <c r="J443" t="n">
        <v>0</v>
      </c>
      <c r="K443" t="n">
        <v>0</v>
      </c>
      <c r="L443" t="n">
        <v>0</v>
      </c>
      <c r="M443" t="n">
        <v>0</v>
      </c>
      <c r="N443" t="n">
        <v>0</v>
      </c>
      <c r="O443" t="n">
        <v>0</v>
      </c>
      <c r="P443" t="n">
        <v>0</v>
      </c>
      <c r="Q443" t="n">
        <v>0</v>
      </c>
      <c r="R443" s="2" t="inlineStr"/>
    </row>
    <row r="444" ht="15" customHeight="1">
      <c r="A444" t="inlineStr">
        <is>
          <t>A 11928-2022</t>
        </is>
      </c>
      <c r="B444" s="1" t="n">
        <v>44635</v>
      </c>
      <c r="C444" s="1" t="n">
        <v>45993</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44270.39765046296</v>
      </c>
      <c r="C445" s="1" t="n">
        <v>45993</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32655-2023</t>
        </is>
      </c>
      <c r="B446" s="1" t="n">
        <v>45121.61318287037</v>
      </c>
      <c r="C446" s="1" t="n">
        <v>45993</v>
      </c>
      <c r="D446" t="inlineStr">
        <is>
          <t>KALMAR LÄN</t>
        </is>
      </c>
      <c r="E446" t="inlineStr">
        <is>
          <t>VIMMERBY</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54409-2024</t>
        </is>
      </c>
      <c r="B447" s="1" t="n">
        <v>45617.47570601852</v>
      </c>
      <c r="C447" s="1" t="n">
        <v>45993</v>
      </c>
      <c r="D447" t="inlineStr">
        <is>
          <t>KALMAR LÄN</t>
        </is>
      </c>
      <c r="E447" t="inlineStr">
        <is>
          <t>VIMMERBY</t>
        </is>
      </c>
      <c r="G447" t="n">
        <v>4.3</v>
      </c>
      <c r="H447" t="n">
        <v>0</v>
      </c>
      <c r="I447" t="n">
        <v>0</v>
      </c>
      <c r="J447" t="n">
        <v>0</v>
      </c>
      <c r="K447" t="n">
        <v>0</v>
      </c>
      <c r="L447" t="n">
        <v>0</v>
      </c>
      <c r="M447" t="n">
        <v>0</v>
      </c>
      <c r="N447" t="n">
        <v>0</v>
      </c>
      <c r="O447" t="n">
        <v>0</v>
      </c>
      <c r="P447" t="n">
        <v>0</v>
      </c>
      <c r="Q447" t="n">
        <v>0</v>
      </c>
      <c r="R447" s="2" t="inlineStr"/>
    </row>
    <row r="448" ht="15" customHeight="1">
      <c r="A448" t="inlineStr">
        <is>
          <t>A 5527-2022</t>
        </is>
      </c>
      <c r="B448" s="1" t="n">
        <v>44595.583125</v>
      </c>
      <c r="C448" s="1" t="n">
        <v>45993</v>
      </c>
      <c r="D448" t="inlineStr">
        <is>
          <t>KALMAR LÄN</t>
        </is>
      </c>
      <c r="E448" t="inlineStr">
        <is>
          <t>VIMMERBY</t>
        </is>
      </c>
      <c r="G448" t="n">
        <v>3.6</v>
      </c>
      <c r="H448" t="n">
        <v>0</v>
      </c>
      <c r="I448" t="n">
        <v>0</v>
      </c>
      <c r="J448" t="n">
        <v>0</v>
      </c>
      <c r="K448" t="n">
        <v>0</v>
      </c>
      <c r="L448" t="n">
        <v>0</v>
      </c>
      <c r="M448" t="n">
        <v>0</v>
      </c>
      <c r="N448" t="n">
        <v>0</v>
      </c>
      <c r="O448" t="n">
        <v>0</v>
      </c>
      <c r="P448" t="n">
        <v>0</v>
      </c>
      <c r="Q448" t="n">
        <v>0</v>
      </c>
      <c r="R448" s="2" t="inlineStr"/>
    </row>
    <row r="449" ht="15" customHeight="1">
      <c r="A449" t="inlineStr">
        <is>
          <t>A 49461-2023</t>
        </is>
      </c>
      <c r="B449" s="1" t="n">
        <v>45211.52642361111</v>
      </c>
      <c r="C449" s="1" t="n">
        <v>45993</v>
      </c>
      <c r="D449" t="inlineStr">
        <is>
          <t>KALMAR LÄN</t>
        </is>
      </c>
      <c r="E449" t="inlineStr">
        <is>
          <t>VIMMERBY</t>
        </is>
      </c>
      <c r="G449" t="n">
        <v>1.5</v>
      </c>
      <c r="H449" t="n">
        <v>0</v>
      </c>
      <c r="I449" t="n">
        <v>0</v>
      </c>
      <c r="J449" t="n">
        <v>0</v>
      </c>
      <c r="K449" t="n">
        <v>0</v>
      </c>
      <c r="L449" t="n">
        <v>0</v>
      </c>
      <c r="M449" t="n">
        <v>0</v>
      </c>
      <c r="N449" t="n">
        <v>0</v>
      </c>
      <c r="O449" t="n">
        <v>0</v>
      </c>
      <c r="P449" t="n">
        <v>0</v>
      </c>
      <c r="Q449" t="n">
        <v>0</v>
      </c>
      <c r="R449" s="2" t="inlineStr"/>
    </row>
    <row r="450" ht="15" customHeight="1">
      <c r="A450" t="inlineStr">
        <is>
          <t>A 49474-2023</t>
        </is>
      </c>
      <c r="B450" s="1" t="n">
        <v>45211.541875</v>
      </c>
      <c r="C450" s="1" t="n">
        <v>45993</v>
      </c>
      <c r="D450" t="inlineStr">
        <is>
          <t>KALMAR LÄN</t>
        </is>
      </c>
      <c r="E450" t="inlineStr">
        <is>
          <t>VIMMERBY</t>
        </is>
      </c>
      <c r="G450" t="n">
        <v>3.6</v>
      </c>
      <c r="H450" t="n">
        <v>0</v>
      </c>
      <c r="I450" t="n">
        <v>0</v>
      </c>
      <c r="J450" t="n">
        <v>0</v>
      </c>
      <c r="K450" t="n">
        <v>0</v>
      </c>
      <c r="L450" t="n">
        <v>0</v>
      </c>
      <c r="M450" t="n">
        <v>0</v>
      </c>
      <c r="N450" t="n">
        <v>0</v>
      </c>
      <c r="O450" t="n">
        <v>0</v>
      </c>
      <c r="P450" t="n">
        <v>0</v>
      </c>
      <c r="Q450" t="n">
        <v>0</v>
      </c>
      <c r="R450" s="2" t="inlineStr"/>
    </row>
    <row r="451" ht="15" customHeight="1">
      <c r="A451" t="inlineStr">
        <is>
          <t>A 29726-2025</t>
        </is>
      </c>
      <c r="B451" s="1" t="n">
        <v>45825.57805555555</v>
      </c>
      <c r="C451" s="1" t="n">
        <v>45993</v>
      </c>
      <c r="D451" t="inlineStr">
        <is>
          <t>KALMAR LÄN</t>
        </is>
      </c>
      <c r="E451" t="inlineStr">
        <is>
          <t>VIMMERBY</t>
        </is>
      </c>
      <c r="G451" t="n">
        <v>2</v>
      </c>
      <c r="H451" t="n">
        <v>0</v>
      </c>
      <c r="I451" t="n">
        <v>0</v>
      </c>
      <c r="J451" t="n">
        <v>0</v>
      </c>
      <c r="K451" t="n">
        <v>0</v>
      </c>
      <c r="L451" t="n">
        <v>0</v>
      </c>
      <c r="M451" t="n">
        <v>0</v>
      </c>
      <c r="N451" t="n">
        <v>0</v>
      </c>
      <c r="O451" t="n">
        <v>0</v>
      </c>
      <c r="P451" t="n">
        <v>0</v>
      </c>
      <c r="Q451" t="n">
        <v>0</v>
      </c>
      <c r="R451" s="2" t="inlineStr"/>
    </row>
    <row r="452" ht="15" customHeight="1">
      <c r="A452" t="inlineStr">
        <is>
          <t>A 61861-2024</t>
        </is>
      </c>
      <c r="B452" s="1" t="n">
        <v>45650.37370370371</v>
      </c>
      <c r="C452" s="1" t="n">
        <v>45993</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9475-2023</t>
        </is>
      </c>
      <c r="B453" s="1" t="n">
        <v>44981.58834490741</v>
      </c>
      <c r="C453" s="1" t="n">
        <v>45993</v>
      </c>
      <c r="D453" t="inlineStr">
        <is>
          <t>KALMAR LÄN</t>
        </is>
      </c>
      <c r="E453" t="inlineStr">
        <is>
          <t>VIMMERBY</t>
        </is>
      </c>
      <c r="G453" t="n">
        <v>2</v>
      </c>
      <c r="H453" t="n">
        <v>0</v>
      </c>
      <c r="I453" t="n">
        <v>0</v>
      </c>
      <c r="J453" t="n">
        <v>0</v>
      </c>
      <c r="K453" t="n">
        <v>0</v>
      </c>
      <c r="L453" t="n">
        <v>0</v>
      </c>
      <c r="M453" t="n">
        <v>0</v>
      </c>
      <c r="N453" t="n">
        <v>0</v>
      </c>
      <c r="O453" t="n">
        <v>0</v>
      </c>
      <c r="P453" t="n">
        <v>0</v>
      </c>
      <c r="Q453" t="n">
        <v>0</v>
      </c>
      <c r="R453" s="2" t="inlineStr"/>
    </row>
    <row r="454" ht="15" customHeight="1">
      <c r="A454" t="inlineStr">
        <is>
          <t>A 45846-2023</t>
        </is>
      </c>
      <c r="B454" s="1" t="n">
        <v>45195.58452546296</v>
      </c>
      <c r="C454" s="1" t="n">
        <v>45993</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22264-2023</t>
        </is>
      </c>
      <c r="B455" s="1" t="n">
        <v>45070.3665625</v>
      </c>
      <c r="C455" s="1" t="n">
        <v>45993</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22266-2023</t>
        </is>
      </c>
      <c r="B456" s="1" t="n">
        <v>45070</v>
      </c>
      <c r="C456" s="1" t="n">
        <v>45993</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8167-2024</t>
        </is>
      </c>
      <c r="B457" s="1" t="n">
        <v>45351.6062962963</v>
      </c>
      <c r="C457" s="1" t="n">
        <v>45993</v>
      </c>
      <c r="D457" t="inlineStr">
        <is>
          <t>KALMAR LÄN</t>
        </is>
      </c>
      <c r="E457" t="inlineStr">
        <is>
          <t>VIMMERBY</t>
        </is>
      </c>
      <c r="G457" t="n">
        <v>3.8</v>
      </c>
      <c r="H457" t="n">
        <v>0</v>
      </c>
      <c r="I457" t="n">
        <v>0</v>
      </c>
      <c r="J457" t="n">
        <v>0</v>
      </c>
      <c r="K457" t="n">
        <v>0</v>
      </c>
      <c r="L457" t="n">
        <v>0</v>
      </c>
      <c r="M457" t="n">
        <v>0</v>
      </c>
      <c r="N457" t="n">
        <v>0</v>
      </c>
      <c r="O457" t="n">
        <v>0</v>
      </c>
      <c r="P457" t="n">
        <v>0</v>
      </c>
      <c r="Q457" t="n">
        <v>0</v>
      </c>
      <c r="R457" s="2" t="inlineStr"/>
    </row>
    <row r="458" ht="15" customHeight="1">
      <c r="A458" t="inlineStr">
        <is>
          <t>A 38964-2025</t>
        </is>
      </c>
      <c r="B458" s="1" t="n">
        <v>45887.68759259259</v>
      </c>
      <c r="C458" s="1" t="n">
        <v>45993</v>
      </c>
      <c r="D458" t="inlineStr">
        <is>
          <t>KALMAR LÄN</t>
        </is>
      </c>
      <c r="E458" t="inlineStr">
        <is>
          <t>VIMMERBY</t>
        </is>
      </c>
      <c r="G458" t="n">
        <v>7.5</v>
      </c>
      <c r="H458" t="n">
        <v>0</v>
      </c>
      <c r="I458" t="n">
        <v>0</v>
      </c>
      <c r="J458" t="n">
        <v>0</v>
      </c>
      <c r="K458" t="n">
        <v>0</v>
      </c>
      <c r="L458" t="n">
        <v>0</v>
      </c>
      <c r="M458" t="n">
        <v>0</v>
      </c>
      <c r="N458" t="n">
        <v>0</v>
      </c>
      <c r="O458" t="n">
        <v>0</v>
      </c>
      <c r="P458" t="n">
        <v>0</v>
      </c>
      <c r="Q458" t="n">
        <v>0</v>
      </c>
      <c r="R458" s="2" t="inlineStr"/>
    </row>
    <row r="459" ht="15" customHeight="1">
      <c r="A459" t="inlineStr">
        <is>
          <t>A 43092-2024</t>
        </is>
      </c>
      <c r="B459" s="1" t="n">
        <v>45567</v>
      </c>
      <c r="C459" s="1" t="n">
        <v>45993</v>
      </c>
      <c r="D459" t="inlineStr">
        <is>
          <t>KALMAR LÄN</t>
        </is>
      </c>
      <c r="E459" t="inlineStr">
        <is>
          <t>VIMMERBY</t>
        </is>
      </c>
      <c r="G459" t="n">
        <v>2.7</v>
      </c>
      <c r="H459" t="n">
        <v>0</v>
      </c>
      <c r="I459" t="n">
        <v>0</v>
      </c>
      <c r="J459" t="n">
        <v>0</v>
      </c>
      <c r="K459" t="n">
        <v>0</v>
      </c>
      <c r="L459" t="n">
        <v>0</v>
      </c>
      <c r="M459" t="n">
        <v>0</v>
      </c>
      <c r="N459" t="n">
        <v>0</v>
      </c>
      <c r="O459" t="n">
        <v>0</v>
      </c>
      <c r="P459" t="n">
        <v>0</v>
      </c>
      <c r="Q459" t="n">
        <v>0</v>
      </c>
      <c r="R459" s="2" t="inlineStr"/>
    </row>
    <row r="460" ht="15" customHeight="1">
      <c r="A460" t="inlineStr">
        <is>
          <t>A 49382-2023</t>
        </is>
      </c>
      <c r="B460" s="1" t="n">
        <v>45208</v>
      </c>
      <c r="C460" s="1" t="n">
        <v>45993</v>
      </c>
      <c r="D460" t="inlineStr">
        <is>
          <t>KALMAR LÄN</t>
        </is>
      </c>
      <c r="E460" t="inlineStr">
        <is>
          <t>VIMMERBY</t>
        </is>
      </c>
      <c r="G460" t="n">
        <v>2.2</v>
      </c>
      <c r="H460" t="n">
        <v>0</v>
      </c>
      <c r="I460" t="n">
        <v>0</v>
      </c>
      <c r="J460" t="n">
        <v>0</v>
      </c>
      <c r="K460" t="n">
        <v>0</v>
      </c>
      <c r="L460" t="n">
        <v>0</v>
      </c>
      <c r="M460" t="n">
        <v>0</v>
      </c>
      <c r="N460" t="n">
        <v>0</v>
      </c>
      <c r="O460" t="n">
        <v>0</v>
      </c>
      <c r="P460" t="n">
        <v>0</v>
      </c>
      <c r="Q460" t="n">
        <v>0</v>
      </c>
      <c r="R460" s="2" t="inlineStr"/>
    </row>
    <row r="461" ht="15" customHeight="1">
      <c r="A461" t="inlineStr">
        <is>
          <t>A 50091-2023</t>
        </is>
      </c>
      <c r="B461" s="1" t="n">
        <v>45215.60199074074</v>
      </c>
      <c r="C461" s="1" t="n">
        <v>45993</v>
      </c>
      <c r="D461" t="inlineStr">
        <is>
          <t>KALMAR LÄN</t>
        </is>
      </c>
      <c r="E461" t="inlineStr">
        <is>
          <t>VIMMERBY</t>
        </is>
      </c>
      <c r="G461" t="n">
        <v>1.7</v>
      </c>
      <c r="H461" t="n">
        <v>0</v>
      </c>
      <c r="I461" t="n">
        <v>0</v>
      </c>
      <c r="J461" t="n">
        <v>0</v>
      </c>
      <c r="K461" t="n">
        <v>0</v>
      </c>
      <c r="L461" t="n">
        <v>0</v>
      </c>
      <c r="M461" t="n">
        <v>0</v>
      </c>
      <c r="N461" t="n">
        <v>0</v>
      </c>
      <c r="O461" t="n">
        <v>0</v>
      </c>
      <c r="P461" t="n">
        <v>0</v>
      </c>
      <c r="Q461" t="n">
        <v>0</v>
      </c>
      <c r="R461" s="2" t="inlineStr"/>
    </row>
    <row r="462" ht="15" customHeight="1">
      <c r="A462" t="inlineStr">
        <is>
          <t>A 12121-2025</t>
        </is>
      </c>
      <c r="B462" s="1" t="n">
        <v>45729.36868055556</v>
      </c>
      <c r="C462" s="1" t="n">
        <v>45993</v>
      </c>
      <c r="D462" t="inlineStr">
        <is>
          <t>KALMAR LÄN</t>
        </is>
      </c>
      <c r="E462" t="inlineStr">
        <is>
          <t>VIMMERBY</t>
        </is>
      </c>
      <c r="G462" t="n">
        <v>4.3</v>
      </c>
      <c r="H462" t="n">
        <v>0</v>
      </c>
      <c r="I462" t="n">
        <v>0</v>
      </c>
      <c r="J462" t="n">
        <v>0</v>
      </c>
      <c r="K462" t="n">
        <v>0</v>
      </c>
      <c r="L462" t="n">
        <v>0</v>
      </c>
      <c r="M462" t="n">
        <v>0</v>
      </c>
      <c r="N462" t="n">
        <v>0</v>
      </c>
      <c r="O462" t="n">
        <v>0</v>
      </c>
      <c r="P462" t="n">
        <v>0</v>
      </c>
      <c r="Q462" t="n">
        <v>0</v>
      </c>
      <c r="R462" s="2" t="inlineStr"/>
    </row>
    <row r="463" ht="15" customHeight="1">
      <c r="A463" t="inlineStr">
        <is>
          <t>A 11619-2023</t>
        </is>
      </c>
      <c r="B463" s="1" t="n">
        <v>44994.42113425926</v>
      </c>
      <c r="C463" s="1" t="n">
        <v>45993</v>
      </c>
      <c r="D463" t="inlineStr">
        <is>
          <t>KALMAR LÄN</t>
        </is>
      </c>
      <c r="E463" t="inlineStr">
        <is>
          <t>VIMMERBY</t>
        </is>
      </c>
      <c r="G463" t="n">
        <v>2.5</v>
      </c>
      <c r="H463" t="n">
        <v>0</v>
      </c>
      <c r="I463" t="n">
        <v>0</v>
      </c>
      <c r="J463" t="n">
        <v>0</v>
      </c>
      <c r="K463" t="n">
        <v>0</v>
      </c>
      <c r="L463" t="n">
        <v>0</v>
      </c>
      <c r="M463" t="n">
        <v>0</v>
      </c>
      <c r="N463" t="n">
        <v>0</v>
      </c>
      <c r="O463" t="n">
        <v>0</v>
      </c>
      <c r="P463" t="n">
        <v>0</v>
      </c>
      <c r="Q463" t="n">
        <v>0</v>
      </c>
      <c r="R463" s="2" t="inlineStr"/>
    </row>
    <row r="464" ht="15" customHeight="1">
      <c r="A464" t="inlineStr">
        <is>
          <t>A 5074-2023</t>
        </is>
      </c>
      <c r="B464" s="1" t="n">
        <v>44958.61047453704</v>
      </c>
      <c r="C464" s="1" t="n">
        <v>45993</v>
      </c>
      <c r="D464" t="inlineStr">
        <is>
          <t>KALMAR LÄN</t>
        </is>
      </c>
      <c r="E464" t="inlineStr">
        <is>
          <t>VIMMERBY</t>
        </is>
      </c>
      <c r="G464" t="n">
        <v>1.6</v>
      </c>
      <c r="H464" t="n">
        <v>0</v>
      </c>
      <c r="I464" t="n">
        <v>0</v>
      </c>
      <c r="J464" t="n">
        <v>0</v>
      </c>
      <c r="K464" t="n">
        <v>0</v>
      </c>
      <c r="L464" t="n">
        <v>0</v>
      </c>
      <c r="M464" t="n">
        <v>0</v>
      </c>
      <c r="N464" t="n">
        <v>0</v>
      </c>
      <c r="O464" t="n">
        <v>0</v>
      </c>
      <c r="P464" t="n">
        <v>0</v>
      </c>
      <c r="Q464" t="n">
        <v>0</v>
      </c>
      <c r="R464" s="2" t="inlineStr"/>
    </row>
    <row r="465" ht="15" customHeight="1">
      <c r="A465" t="inlineStr">
        <is>
          <t>A 6368-2023</t>
        </is>
      </c>
      <c r="B465" s="1" t="n">
        <v>44965</v>
      </c>
      <c r="C465" s="1" t="n">
        <v>45993</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35846-2023</t>
        </is>
      </c>
      <c r="B466" s="1" t="n">
        <v>45148</v>
      </c>
      <c r="C466" s="1" t="n">
        <v>45993</v>
      </c>
      <c r="D466" t="inlineStr">
        <is>
          <t>KALMAR LÄN</t>
        </is>
      </c>
      <c r="E466" t="inlineStr">
        <is>
          <t>VIMMERBY</t>
        </is>
      </c>
      <c r="G466" t="n">
        <v>1</v>
      </c>
      <c r="H466" t="n">
        <v>0</v>
      </c>
      <c r="I466" t="n">
        <v>0</v>
      </c>
      <c r="J466" t="n">
        <v>0</v>
      </c>
      <c r="K466" t="n">
        <v>0</v>
      </c>
      <c r="L466" t="n">
        <v>0</v>
      </c>
      <c r="M466" t="n">
        <v>0</v>
      </c>
      <c r="N466" t="n">
        <v>0</v>
      </c>
      <c r="O466" t="n">
        <v>0</v>
      </c>
      <c r="P466" t="n">
        <v>0</v>
      </c>
      <c r="Q466" t="n">
        <v>0</v>
      </c>
      <c r="R466" s="2" t="inlineStr"/>
    </row>
    <row r="467" ht="15" customHeight="1">
      <c r="A467" t="inlineStr">
        <is>
          <t>A 10303-2025</t>
        </is>
      </c>
      <c r="B467" s="1" t="n">
        <v>45720.44217592593</v>
      </c>
      <c r="C467" s="1" t="n">
        <v>45993</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5701-2024</t>
        </is>
      </c>
      <c r="B468" s="1" t="n">
        <v>45334.78826388889</v>
      </c>
      <c r="C468" s="1" t="n">
        <v>45993</v>
      </c>
      <c r="D468" t="inlineStr">
        <is>
          <t>KALMAR LÄN</t>
        </is>
      </c>
      <c r="E468" t="inlineStr">
        <is>
          <t>VIMMERBY</t>
        </is>
      </c>
      <c r="G468" t="n">
        <v>2.3</v>
      </c>
      <c r="H468" t="n">
        <v>0</v>
      </c>
      <c r="I468" t="n">
        <v>0</v>
      </c>
      <c r="J468" t="n">
        <v>0</v>
      </c>
      <c r="K468" t="n">
        <v>0</v>
      </c>
      <c r="L468" t="n">
        <v>0</v>
      </c>
      <c r="M468" t="n">
        <v>0</v>
      </c>
      <c r="N468" t="n">
        <v>0</v>
      </c>
      <c r="O468" t="n">
        <v>0</v>
      </c>
      <c r="P468" t="n">
        <v>0</v>
      </c>
      <c r="Q468" t="n">
        <v>0</v>
      </c>
      <c r="R468" s="2" t="inlineStr"/>
    </row>
    <row r="469" ht="15" customHeight="1">
      <c r="A469" t="inlineStr">
        <is>
          <t>A 11027-2023</t>
        </is>
      </c>
      <c r="B469" s="1" t="n">
        <v>44991.89657407408</v>
      </c>
      <c r="C469" s="1" t="n">
        <v>45993</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35913-2023</t>
        </is>
      </c>
      <c r="B470" s="1" t="n">
        <v>45148</v>
      </c>
      <c r="C470" s="1" t="n">
        <v>45993</v>
      </c>
      <c r="D470" t="inlineStr">
        <is>
          <t>KALMAR LÄN</t>
        </is>
      </c>
      <c r="E470" t="inlineStr">
        <is>
          <t>VIMMERBY</t>
        </is>
      </c>
      <c r="G470" t="n">
        <v>6.9</v>
      </c>
      <c r="H470" t="n">
        <v>0</v>
      </c>
      <c r="I470" t="n">
        <v>0</v>
      </c>
      <c r="J470" t="n">
        <v>0</v>
      </c>
      <c r="K470" t="n">
        <v>0</v>
      </c>
      <c r="L470" t="n">
        <v>0</v>
      </c>
      <c r="M470" t="n">
        <v>0</v>
      </c>
      <c r="N470" t="n">
        <v>0</v>
      </c>
      <c r="O470" t="n">
        <v>0</v>
      </c>
      <c r="P470" t="n">
        <v>0</v>
      </c>
      <c r="Q470" t="n">
        <v>0</v>
      </c>
      <c r="R470" s="2" t="inlineStr"/>
    </row>
    <row r="471" ht="15" customHeight="1">
      <c r="A471" t="inlineStr">
        <is>
          <t>A 38757-2023</t>
        </is>
      </c>
      <c r="B471" s="1" t="n">
        <v>45163.41376157408</v>
      </c>
      <c r="C471" s="1" t="n">
        <v>45993</v>
      </c>
      <c r="D471" t="inlineStr">
        <is>
          <t>KALMAR LÄN</t>
        </is>
      </c>
      <c r="E471" t="inlineStr">
        <is>
          <t>VIMMERBY</t>
        </is>
      </c>
      <c r="G471" t="n">
        <v>2.5</v>
      </c>
      <c r="H471" t="n">
        <v>0</v>
      </c>
      <c r="I471" t="n">
        <v>0</v>
      </c>
      <c r="J471" t="n">
        <v>0</v>
      </c>
      <c r="K471" t="n">
        <v>0</v>
      </c>
      <c r="L471" t="n">
        <v>0</v>
      </c>
      <c r="M471" t="n">
        <v>0</v>
      </c>
      <c r="N471" t="n">
        <v>0</v>
      </c>
      <c r="O471" t="n">
        <v>0</v>
      </c>
      <c r="P471" t="n">
        <v>0</v>
      </c>
      <c r="Q471" t="n">
        <v>0</v>
      </c>
      <c r="R471" s="2" t="inlineStr"/>
    </row>
    <row r="472" ht="15" customHeight="1">
      <c r="A472" t="inlineStr">
        <is>
          <t>A 20136-2024</t>
        </is>
      </c>
      <c r="B472" s="1" t="n">
        <v>45434.56291666667</v>
      </c>
      <c r="C472" s="1" t="n">
        <v>45993</v>
      </c>
      <c r="D472" t="inlineStr">
        <is>
          <t>KALMAR LÄN</t>
        </is>
      </c>
      <c r="E472" t="inlineStr">
        <is>
          <t>VIMMERBY</t>
        </is>
      </c>
      <c r="F472" t="inlineStr">
        <is>
          <t>Sveaskog</t>
        </is>
      </c>
      <c r="G472" t="n">
        <v>8.4</v>
      </c>
      <c r="H472" t="n">
        <v>0</v>
      </c>
      <c r="I472" t="n">
        <v>0</v>
      </c>
      <c r="J472" t="n">
        <v>0</v>
      </c>
      <c r="K472" t="n">
        <v>0</v>
      </c>
      <c r="L472" t="n">
        <v>0</v>
      </c>
      <c r="M472" t="n">
        <v>0</v>
      </c>
      <c r="N472" t="n">
        <v>0</v>
      </c>
      <c r="O472" t="n">
        <v>0</v>
      </c>
      <c r="P472" t="n">
        <v>0</v>
      </c>
      <c r="Q472" t="n">
        <v>0</v>
      </c>
      <c r="R472" s="2" t="inlineStr"/>
    </row>
    <row r="473" ht="15" customHeight="1">
      <c r="A473" t="inlineStr">
        <is>
          <t>A 24283-2023</t>
        </is>
      </c>
      <c r="B473" s="1" t="n">
        <v>45079.87827546296</v>
      </c>
      <c r="C473" s="1" t="n">
        <v>45993</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7797-2023</t>
        </is>
      </c>
      <c r="B474" s="1" t="n">
        <v>44973.43075231482</v>
      </c>
      <c r="C474" s="1" t="n">
        <v>45993</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39801-2025</t>
        </is>
      </c>
      <c r="B475" s="1" t="n">
        <v>45891.50216435185</v>
      </c>
      <c r="C475" s="1" t="n">
        <v>45993</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59598-2023</t>
        </is>
      </c>
      <c r="B476" s="1" t="n">
        <v>45254.62489583333</v>
      </c>
      <c r="C476" s="1" t="n">
        <v>45993</v>
      </c>
      <c r="D476" t="inlineStr">
        <is>
          <t>KALMAR LÄN</t>
        </is>
      </c>
      <c r="E476" t="inlineStr">
        <is>
          <t>VIMMERBY</t>
        </is>
      </c>
      <c r="F476" t="inlineStr">
        <is>
          <t>Övriga Aktiebolag</t>
        </is>
      </c>
      <c r="G476" t="n">
        <v>4</v>
      </c>
      <c r="H476" t="n">
        <v>0</v>
      </c>
      <c r="I476" t="n">
        <v>0</v>
      </c>
      <c r="J476" t="n">
        <v>0</v>
      </c>
      <c r="K476" t="n">
        <v>0</v>
      </c>
      <c r="L476" t="n">
        <v>0</v>
      </c>
      <c r="M476" t="n">
        <v>0</v>
      </c>
      <c r="N476" t="n">
        <v>0</v>
      </c>
      <c r="O476" t="n">
        <v>0</v>
      </c>
      <c r="P476" t="n">
        <v>0</v>
      </c>
      <c r="Q476" t="n">
        <v>0</v>
      </c>
      <c r="R476" s="2" t="inlineStr"/>
    </row>
    <row r="477" ht="15" customHeight="1">
      <c r="A477" t="inlineStr">
        <is>
          <t>A 30920-2023</t>
        </is>
      </c>
      <c r="B477" s="1" t="n">
        <v>45113.43921296296</v>
      </c>
      <c r="C477" s="1" t="n">
        <v>45993</v>
      </c>
      <c r="D477" t="inlineStr">
        <is>
          <t>KALMAR LÄN</t>
        </is>
      </c>
      <c r="E477" t="inlineStr">
        <is>
          <t>VIMMERBY</t>
        </is>
      </c>
      <c r="G477" t="n">
        <v>3.1</v>
      </c>
      <c r="H477" t="n">
        <v>0</v>
      </c>
      <c r="I477" t="n">
        <v>0</v>
      </c>
      <c r="J477" t="n">
        <v>0</v>
      </c>
      <c r="K477" t="n">
        <v>0</v>
      </c>
      <c r="L477" t="n">
        <v>0</v>
      </c>
      <c r="M477" t="n">
        <v>0</v>
      </c>
      <c r="N477" t="n">
        <v>0</v>
      </c>
      <c r="O477" t="n">
        <v>0</v>
      </c>
      <c r="P477" t="n">
        <v>0</v>
      </c>
      <c r="Q477" t="n">
        <v>0</v>
      </c>
      <c r="R477" s="2" t="inlineStr"/>
    </row>
    <row r="478" ht="15" customHeight="1">
      <c r="A478" t="inlineStr">
        <is>
          <t>A 24655-2021</t>
        </is>
      </c>
      <c r="B478" s="1" t="n">
        <v>44340</v>
      </c>
      <c r="C478" s="1" t="n">
        <v>45993</v>
      </c>
      <c r="D478" t="inlineStr">
        <is>
          <t>KALMAR LÄN</t>
        </is>
      </c>
      <c r="E478" t="inlineStr">
        <is>
          <t>VIMMERBY</t>
        </is>
      </c>
      <c r="G478" t="n">
        <v>14.9</v>
      </c>
      <c r="H478" t="n">
        <v>0</v>
      </c>
      <c r="I478" t="n">
        <v>0</v>
      </c>
      <c r="J478" t="n">
        <v>0</v>
      </c>
      <c r="K478" t="n">
        <v>0</v>
      </c>
      <c r="L478" t="n">
        <v>0</v>
      </c>
      <c r="M478" t="n">
        <v>0</v>
      </c>
      <c r="N478" t="n">
        <v>0</v>
      </c>
      <c r="O478" t="n">
        <v>0</v>
      </c>
      <c r="P478" t="n">
        <v>0</v>
      </c>
      <c r="Q478" t="n">
        <v>0</v>
      </c>
      <c r="R478" s="2" t="inlineStr"/>
    </row>
    <row r="479" ht="15" customHeight="1">
      <c r="A479" t="inlineStr">
        <is>
          <t>A 39807-2025</t>
        </is>
      </c>
      <c r="B479" s="1" t="n">
        <v>45891.50986111111</v>
      </c>
      <c r="C479" s="1" t="n">
        <v>45993</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11661-2023</t>
        </is>
      </c>
      <c r="B480" s="1" t="n">
        <v>44994.46908564815</v>
      </c>
      <c r="C480" s="1" t="n">
        <v>45993</v>
      </c>
      <c r="D480" t="inlineStr">
        <is>
          <t>KALMAR LÄN</t>
        </is>
      </c>
      <c r="E480" t="inlineStr">
        <is>
          <t>VIMMERBY</t>
        </is>
      </c>
      <c r="G480" t="n">
        <v>2.7</v>
      </c>
      <c r="H480" t="n">
        <v>0</v>
      </c>
      <c r="I480" t="n">
        <v>0</v>
      </c>
      <c r="J480" t="n">
        <v>0</v>
      </c>
      <c r="K480" t="n">
        <v>0</v>
      </c>
      <c r="L480" t="n">
        <v>0</v>
      </c>
      <c r="M480" t="n">
        <v>0</v>
      </c>
      <c r="N480" t="n">
        <v>0</v>
      </c>
      <c r="O480" t="n">
        <v>0</v>
      </c>
      <c r="P480" t="n">
        <v>0</v>
      </c>
      <c r="Q480" t="n">
        <v>0</v>
      </c>
      <c r="R480" s="2" t="inlineStr"/>
    </row>
    <row r="481" ht="15" customHeight="1">
      <c r="A481" t="inlineStr">
        <is>
          <t>A 36155-2023</t>
        </is>
      </c>
      <c r="B481" s="1" t="n">
        <v>45149.60917824074</v>
      </c>
      <c r="C481" s="1" t="n">
        <v>45993</v>
      </c>
      <c r="D481" t="inlineStr">
        <is>
          <t>KALMAR LÄN</t>
        </is>
      </c>
      <c r="E481" t="inlineStr">
        <is>
          <t>VIMMERBY</t>
        </is>
      </c>
      <c r="G481" t="n">
        <v>5</v>
      </c>
      <c r="H481" t="n">
        <v>0</v>
      </c>
      <c r="I481" t="n">
        <v>0</v>
      </c>
      <c r="J481" t="n">
        <v>0</v>
      </c>
      <c r="K481" t="n">
        <v>0</v>
      </c>
      <c r="L481" t="n">
        <v>0</v>
      </c>
      <c r="M481" t="n">
        <v>0</v>
      </c>
      <c r="N481" t="n">
        <v>0</v>
      </c>
      <c r="O481" t="n">
        <v>0</v>
      </c>
      <c r="P481" t="n">
        <v>0</v>
      </c>
      <c r="Q481" t="n">
        <v>0</v>
      </c>
      <c r="R481" s="2" t="inlineStr"/>
    </row>
    <row r="482" ht="15" customHeight="1">
      <c r="A482" t="inlineStr">
        <is>
          <t>A 40147-2023</t>
        </is>
      </c>
      <c r="B482" s="1" t="n">
        <v>45169</v>
      </c>
      <c r="C482" s="1" t="n">
        <v>45993</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8410-2023</t>
        </is>
      </c>
      <c r="B483" s="1" t="n">
        <v>44977</v>
      </c>
      <c r="C483" s="1" t="n">
        <v>45993</v>
      </c>
      <c r="D483" t="inlineStr">
        <is>
          <t>KALMAR LÄN</t>
        </is>
      </c>
      <c r="E483" t="inlineStr">
        <is>
          <t>VIMMERBY</t>
        </is>
      </c>
      <c r="G483" t="n">
        <v>0.9</v>
      </c>
      <c r="H483" t="n">
        <v>0</v>
      </c>
      <c r="I483" t="n">
        <v>0</v>
      </c>
      <c r="J483" t="n">
        <v>0</v>
      </c>
      <c r="K483" t="n">
        <v>0</v>
      </c>
      <c r="L483" t="n">
        <v>0</v>
      </c>
      <c r="M483" t="n">
        <v>0</v>
      </c>
      <c r="N483" t="n">
        <v>0</v>
      </c>
      <c r="O483" t="n">
        <v>0</v>
      </c>
      <c r="P483" t="n">
        <v>0</v>
      </c>
      <c r="Q483" t="n">
        <v>0</v>
      </c>
      <c r="R483" s="2" t="inlineStr"/>
    </row>
    <row r="484" ht="15" customHeight="1">
      <c r="A484" t="inlineStr">
        <is>
          <t>A 39736-2025</t>
        </is>
      </c>
      <c r="B484" s="1" t="n">
        <v>45891</v>
      </c>
      <c r="C484" s="1" t="n">
        <v>45993</v>
      </c>
      <c r="D484" t="inlineStr">
        <is>
          <t>KALMAR LÄN</t>
        </is>
      </c>
      <c r="E484" t="inlineStr">
        <is>
          <t>VIMMERBY</t>
        </is>
      </c>
      <c r="G484" t="n">
        <v>12.8</v>
      </c>
      <c r="H484" t="n">
        <v>0</v>
      </c>
      <c r="I484" t="n">
        <v>0</v>
      </c>
      <c r="J484" t="n">
        <v>0</v>
      </c>
      <c r="K484" t="n">
        <v>0</v>
      </c>
      <c r="L484" t="n">
        <v>0</v>
      </c>
      <c r="M484" t="n">
        <v>0</v>
      </c>
      <c r="N484" t="n">
        <v>0</v>
      </c>
      <c r="O484" t="n">
        <v>0</v>
      </c>
      <c r="P484" t="n">
        <v>0</v>
      </c>
      <c r="Q484" t="n">
        <v>0</v>
      </c>
      <c r="R484" s="2" t="inlineStr"/>
    </row>
    <row r="485" ht="15" customHeight="1">
      <c r="A485" t="inlineStr">
        <is>
          <t>A 6028-2023</t>
        </is>
      </c>
      <c r="B485" s="1" t="n">
        <v>44964.44356481481</v>
      </c>
      <c r="C485" s="1" t="n">
        <v>45993</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39803-2025</t>
        </is>
      </c>
      <c r="B486" s="1" t="n">
        <v>45891.50525462963</v>
      </c>
      <c r="C486" s="1" t="n">
        <v>45993</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52823-2024</t>
        </is>
      </c>
      <c r="B487" s="1" t="n">
        <v>45610.59094907407</v>
      </c>
      <c r="C487" s="1" t="n">
        <v>45993</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39889-2025</t>
        </is>
      </c>
      <c r="B488" s="1" t="n">
        <v>45891</v>
      </c>
      <c r="C488" s="1" t="n">
        <v>45993</v>
      </c>
      <c r="D488" t="inlineStr">
        <is>
          <t>KALMAR LÄN</t>
        </is>
      </c>
      <c r="E488" t="inlineStr">
        <is>
          <t>VIMMERBY</t>
        </is>
      </c>
      <c r="G488" t="n">
        <v>4.5</v>
      </c>
      <c r="H488" t="n">
        <v>0</v>
      </c>
      <c r="I488" t="n">
        <v>0</v>
      </c>
      <c r="J488" t="n">
        <v>0</v>
      </c>
      <c r="K488" t="n">
        <v>0</v>
      </c>
      <c r="L488" t="n">
        <v>0</v>
      </c>
      <c r="M488" t="n">
        <v>0</v>
      </c>
      <c r="N488" t="n">
        <v>0</v>
      </c>
      <c r="O488" t="n">
        <v>0</v>
      </c>
      <c r="P488" t="n">
        <v>0</v>
      </c>
      <c r="Q488" t="n">
        <v>0</v>
      </c>
      <c r="R488" s="2" t="inlineStr"/>
    </row>
    <row r="489" ht="15" customHeight="1">
      <c r="A489" t="inlineStr">
        <is>
          <t>A 63950-2023</t>
        </is>
      </c>
      <c r="B489" s="1" t="n">
        <v>45278</v>
      </c>
      <c r="C489" s="1" t="n">
        <v>45993</v>
      </c>
      <c r="D489" t="inlineStr">
        <is>
          <t>KALMAR LÄN</t>
        </is>
      </c>
      <c r="E489" t="inlineStr">
        <is>
          <t>VIMMERBY</t>
        </is>
      </c>
      <c r="F489" t="inlineStr">
        <is>
          <t>Kyrkan</t>
        </is>
      </c>
      <c r="G489" t="n">
        <v>2.7</v>
      </c>
      <c r="H489" t="n">
        <v>0</v>
      </c>
      <c r="I489" t="n">
        <v>0</v>
      </c>
      <c r="J489" t="n">
        <v>0</v>
      </c>
      <c r="K489" t="n">
        <v>0</v>
      </c>
      <c r="L489" t="n">
        <v>0</v>
      </c>
      <c r="M489" t="n">
        <v>0</v>
      </c>
      <c r="N489" t="n">
        <v>0</v>
      </c>
      <c r="O489" t="n">
        <v>0</v>
      </c>
      <c r="P489" t="n">
        <v>0</v>
      </c>
      <c r="Q489" t="n">
        <v>0</v>
      </c>
      <c r="R489" s="2" t="inlineStr"/>
    </row>
    <row r="490" ht="15" customHeight="1">
      <c r="A490" t="inlineStr">
        <is>
          <t>A 56853-2022</t>
        </is>
      </c>
      <c r="B490" s="1" t="n">
        <v>44894.49538194444</v>
      </c>
      <c r="C490" s="1" t="n">
        <v>45993</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11152-2023</t>
        </is>
      </c>
      <c r="B491" s="1" t="n">
        <v>44992</v>
      </c>
      <c r="C491" s="1" t="n">
        <v>45993</v>
      </c>
      <c r="D491" t="inlineStr">
        <is>
          <t>KALMAR LÄN</t>
        </is>
      </c>
      <c r="E491" t="inlineStr">
        <is>
          <t>VIMMERBY</t>
        </is>
      </c>
      <c r="G491" t="n">
        <v>10.6</v>
      </c>
      <c r="H491" t="n">
        <v>0</v>
      </c>
      <c r="I491" t="n">
        <v>0</v>
      </c>
      <c r="J491" t="n">
        <v>0</v>
      </c>
      <c r="K491" t="n">
        <v>0</v>
      </c>
      <c r="L491" t="n">
        <v>0</v>
      </c>
      <c r="M491" t="n">
        <v>0</v>
      </c>
      <c r="N491" t="n">
        <v>0</v>
      </c>
      <c r="O491" t="n">
        <v>0</v>
      </c>
      <c r="P491" t="n">
        <v>0</v>
      </c>
      <c r="Q491" t="n">
        <v>0</v>
      </c>
      <c r="R491" s="2" t="inlineStr"/>
    </row>
    <row r="492" ht="15" customHeight="1">
      <c r="A492" t="inlineStr">
        <is>
          <t>A 24096-2024</t>
        </is>
      </c>
      <c r="B492" s="1" t="n">
        <v>45456.59289351852</v>
      </c>
      <c r="C492" s="1" t="n">
        <v>45993</v>
      </c>
      <c r="D492" t="inlineStr">
        <is>
          <t>KALMAR LÄN</t>
        </is>
      </c>
      <c r="E492" t="inlineStr">
        <is>
          <t>VIMMERBY</t>
        </is>
      </c>
      <c r="G492" t="n">
        <v>2.3</v>
      </c>
      <c r="H492" t="n">
        <v>0</v>
      </c>
      <c r="I492" t="n">
        <v>0</v>
      </c>
      <c r="J492" t="n">
        <v>0</v>
      </c>
      <c r="K492" t="n">
        <v>0</v>
      </c>
      <c r="L492" t="n">
        <v>0</v>
      </c>
      <c r="M492" t="n">
        <v>0</v>
      </c>
      <c r="N492" t="n">
        <v>0</v>
      </c>
      <c r="O492" t="n">
        <v>0</v>
      </c>
      <c r="P492" t="n">
        <v>0</v>
      </c>
      <c r="Q492" t="n">
        <v>0</v>
      </c>
      <c r="R492" s="2" t="inlineStr"/>
    </row>
    <row r="493" ht="15" customHeight="1">
      <c r="A493" t="inlineStr">
        <is>
          <t>A 40929-2022</t>
        </is>
      </c>
      <c r="B493" s="1" t="n">
        <v>44825.4336574074</v>
      </c>
      <c r="C493" s="1" t="n">
        <v>45993</v>
      </c>
      <c r="D493" t="inlineStr">
        <is>
          <t>KALMAR LÄN</t>
        </is>
      </c>
      <c r="E493" t="inlineStr">
        <is>
          <t>VIMMERBY</t>
        </is>
      </c>
      <c r="G493" t="n">
        <v>2.5</v>
      </c>
      <c r="H493" t="n">
        <v>0</v>
      </c>
      <c r="I493" t="n">
        <v>0</v>
      </c>
      <c r="J493" t="n">
        <v>0</v>
      </c>
      <c r="K493" t="n">
        <v>0</v>
      </c>
      <c r="L493" t="n">
        <v>0</v>
      </c>
      <c r="M493" t="n">
        <v>0</v>
      </c>
      <c r="N493" t="n">
        <v>0</v>
      </c>
      <c r="O493" t="n">
        <v>0</v>
      </c>
      <c r="P493" t="n">
        <v>0</v>
      </c>
      <c r="Q493" t="n">
        <v>0</v>
      </c>
      <c r="R493" s="2" t="inlineStr"/>
    </row>
    <row r="494" ht="15" customHeight="1">
      <c r="A494" t="inlineStr">
        <is>
          <t>A 15550-2023</t>
        </is>
      </c>
      <c r="B494" s="1" t="n">
        <v>45020</v>
      </c>
      <c r="C494" s="1" t="n">
        <v>45993</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33380-2023</t>
        </is>
      </c>
      <c r="B495" s="1" t="n">
        <v>45128</v>
      </c>
      <c r="C495" s="1" t="n">
        <v>45993</v>
      </c>
      <c r="D495" t="inlineStr">
        <is>
          <t>KALMAR LÄN</t>
        </is>
      </c>
      <c r="E495" t="inlineStr">
        <is>
          <t>VIMMERBY</t>
        </is>
      </c>
      <c r="G495" t="n">
        <v>5.2</v>
      </c>
      <c r="H495" t="n">
        <v>0</v>
      </c>
      <c r="I495" t="n">
        <v>0</v>
      </c>
      <c r="J495" t="n">
        <v>0</v>
      </c>
      <c r="K495" t="n">
        <v>0</v>
      </c>
      <c r="L495" t="n">
        <v>0</v>
      </c>
      <c r="M495" t="n">
        <v>0</v>
      </c>
      <c r="N495" t="n">
        <v>0</v>
      </c>
      <c r="O495" t="n">
        <v>0</v>
      </c>
      <c r="P495" t="n">
        <v>0</v>
      </c>
      <c r="Q495" t="n">
        <v>0</v>
      </c>
      <c r="R495" s="2" t="inlineStr"/>
    </row>
    <row r="496" ht="15" customHeight="1">
      <c r="A496" t="inlineStr">
        <is>
          <t>A 46144-2023</t>
        </is>
      </c>
      <c r="B496" s="1" t="n">
        <v>45196.57247685185</v>
      </c>
      <c r="C496" s="1" t="n">
        <v>45993</v>
      </c>
      <c r="D496" t="inlineStr">
        <is>
          <t>KALMAR LÄN</t>
        </is>
      </c>
      <c r="E496" t="inlineStr">
        <is>
          <t>VIMMERBY</t>
        </is>
      </c>
      <c r="G496" t="n">
        <v>6.5</v>
      </c>
      <c r="H496" t="n">
        <v>0</v>
      </c>
      <c r="I496" t="n">
        <v>0</v>
      </c>
      <c r="J496" t="n">
        <v>0</v>
      </c>
      <c r="K496" t="n">
        <v>0</v>
      </c>
      <c r="L496" t="n">
        <v>0</v>
      </c>
      <c r="M496" t="n">
        <v>0</v>
      </c>
      <c r="N496" t="n">
        <v>0</v>
      </c>
      <c r="O496" t="n">
        <v>0</v>
      </c>
      <c r="P496" t="n">
        <v>0</v>
      </c>
      <c r="Q496" t="n">
        <v>0</v>
      </c>
      <c r="R496" s="2" t="inlineStr"/>
    </row>
    <row r="497" ht="15" customHeight="1">
      <c r="A497" t="inlineStr">
        <is>
          <t>A 13015-2023</t>
        </is>
      </c>
      <c r="B497" s="1" t="n">
        <v>45002</v>
      </c>
      <c r="C497" s="1" t="n">
        <v>45993</v>
      </c>
      <c r="D497" t="inlineStr">
        <is>
          <t>KALMAR LÄN</t>
        </is>
      </c>
      <c r="E497" t="inlineStr">
        <is>
          <t>VIMMERBY</t>
        </is>
      </c>
      <c r="G497" t="n">
        <v>3.2</v>
      </c>
      <c r="H497" t="n">
        <v>0</v>
      </c>
      <c r="I497" t="n">
        <v>0</v>
      </c>
      <c r="J497" t="n">
        <v>0</v>
      </c>
      <c r="K497" t="n">
        <v>0</v>
      </c>
      <c r="L497" t="n">
        <v>0</v>
      </c>
      <c r="M497" t="n">
        <v>0</v>
      </c>
      <c r="N497" t="n">
        <v>0</v>
      </c>
      <c r="O497" t="n">
        <v>0</v>
      </c>
      <c r="P497" t="n">
        <v>0</v>
      </c>
      <c r="Q497" t="n">
        <v>0</v>
      </c>
      <c r="R497" s="2" t="inlineStr"/>
    </row>
    <row r="498" ht="15" customHeight="1">
      <c r="A498" t="inlineStr">
        <is>
          <t>A 31355-2023</t>
        </is>
      </c>
      <c r="B498" s="1" t="n">
        <v>45114.49505787037</v>
      </c>
      <c r="C498" s="1" t="n">
        <v>45993</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54787-2023</t>
        </is>
      </c>
      <c r="B499" s="1" t="n">
        <v>45236</v>
      </c>
      <c r="C499" s="1" t="n">
        <v>45993</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15715-2022</t>
        </is>
      </c>
      <c r="B500" s="1" t="n">
        <v>44663</v>
      </c>
      <c r="C500" s="1" t="n">
        <v>45993</v>
      </c>
      <c r="D500" t="inlineStr">
        <is>
          <t>KALMAR LÄN</t>
        </is>
      </c>
      <c r="E500" t="inlineStr">
        <is>
          <t>VIMMERBY</t>
        </is>
      </c>
      <c r="G500" t="n">
        <v>2.3</v>
      </c>
      <c r="H500" t="n">
        <v>0</v>
      </c>
      <c r="I500" t="n">
        <v>0</v>
      </c>
      <c r="J500" t="n">
        <v>0</v>
      </c>
      <c r="K500" t="n">
        <v>0</v>
      </c>
      <c r="L500" t="n">
        <v>0</v>
      </c>
      <c r="M500" t="n">
        <v>0</v>
      </c>
      <c r="N500" t="n">
        <v>0</v>
      </c>
      <c r="O500" t="n">
        <v>0</v>
      </c>
      <c r="P500" t="n">
        <v>0</v>
      </c>
      <c r="Q500" t="n">
        <v>0</v>
      </c>
      <c r="R500" s="2" t="inlineStr"/>
    </row>
    <row r="501" ht="15" customHeight="1">
      <c r="A501" t="inlineStr">
        <is>
          <t>A 18330-2023</t>
        </is>
      </c>
      <c r="B501" s="1" t="n">
        <v>45041</v>
      </c>
      <c r="C501" s="1" t="n">
        <v>45993</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40970-2025</t>
        </is>
      </c>
      <c r="B502" s="1" t="n">
        <v>45897.88706018519</v>
      </c>
      <c r="C502" s="1" t="n">
        <v>45993</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40973-2025</t>
        </is>
      </c>
      <c r="B503" s="1" t="n">
        <v>45897.89737268518</v>
      </c>
      <c r="C503" s="1" t="n">
        <v>45993</v>
      </c>
      <c r="D503" t="inlineStr">
        <is>
          <t>KALMAR LÄN</t>
        </is>
      </c>
      <c r="E503" t="inlineStr">
        <is>
          <t>VIMMERBY</t>
        </is>
      </c>
      <c r="G503" t="n">
        <v>1.8</v>
      </c>
      <c r="H503" t="n">
        <v>0</v>
      </c>
      <c r="I503" t="n">
        <v>0</v>
      </c>
      <c r="J503" t="n">
        <v>0</v>
      </c>
      <c r="K503" t="n">
        <v>0</v>
      </c>
      <c r="L503" t="n">
        <v>0</v>
      </c>
      <c r="M503" t="n">
        <v>0</v>
      </c>
      <c r="N503" t="n">
        <v>0</v>
      </c>
      <c r="O503" t="n">
        <v>0</v>
      </c>
      <c r="P503" t="n">
        <v>0</v>
      </c>
      <c r="Q503" t="n">
        <v>0</v>
      </c>
      <c r="R503" s="2" t="inlineStr"/>
    </row>
    <row r="504" ht="15" customHeight="1">
      <c r="A504" t="inlineStr">
        <is>
          <t>A 43774-2023</t>
        </is>
      </c>
      <c r="B504" s="1" t="n">
        <v>45187</v>
      </c>
      <c r="C504" s="1" t="n">
        <v>45993</v>
      </c>
      <c r="D504" t="inlineStr">
        <is>
          <t>KALMAR LÄN</t>
        </is>
      </c>
      <c r="E504" t="inlineStr">
        <is>
          <t>VIMMERBY</t>
        </is>
      </c>
      <c r="G504" t="n">
        <v>3.4</v>
      </c>
      <c r="H504" t="n">
        <v>0</v>
      </c>
      <c r="I504" t="n">
        <v>0</v>
      </c>
      <c r="J504" t="n">
        <v>0</v>
      </c>
      <c r="K504" t="n">
        <v>0</v>
      </c>
      <c r="L504" t="n">
        <v>0</v>
      </c>
      <c r="M504" t="n">
        <v>0</v>
      </c>
      <c r="N504" t="n">
        <v>0</v>
      </c>
      <c r="O504" t="n">
        <v>0</v>
      </c>
      <c r="P504" t="n">
        <v>0</v>
      </c>
      <c r="Q504" t="n">
        <v>0</v>
      </c>
      <c r="R504" s="2" t="inlineStr"/>
    </row>
    <row r="505" ht="15" customHeight="1">
      <c r="A505" t="inlineStr">
        <is>
          <t>A 41199-2023</t>
        </is>
      </c>
      <c r="B505" s="1" t="n">
        <v>45174.40454861111</v>
      </c>
      <c r="C505" s="1" t="n">
        <v>45993</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43705-2023</t>
        </is>
      </c>
      <c r="B506" s="1" t="n">
        <v>45187.42854166667</v>
      </c>
      <c r="C506" s="1" t="n">
        <v>45993</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58100-2024</t>
        </is>
      </c>
      <c r="B507" s="1" t="n">
        <v>45632.36706018518</v>
      </c>
      <c r="C507" s="1" t="n">
        <v>45993</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7932-2025</t>
        </is>
      </c>
      <c r="B508" s="1" t="n">
        <v>45707.3793287037</v>
      </c>
      <c r="C508" s="1" t="n">
        <v>45993</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41224-2025</t>
        </is>
      </c>
      <c r="B509" s="1" t="n">
        <v>45898.58861111111</v>
      </c>
      <c r="C509" s="1" t="n">
        <v>45993</v>
      </c>
      <c r="D509" t="inlineStr">
        <is>
          <t>KALMAR LÄN</t>
        </is>
      </c>
      <c r="E509" t="inlineStr">
        <is>
          <t>VIMMERBY</t>
        </is>
      </c>
      <c r="G509" t="n">
        <v>4.4</v>
      </c>
      <c r="H509" t="n">
        <v>0</v>
      </c>
      <c r="I509" t="n">
        <v>0</v>
      </c>
      <c r="J509" t="n">
        <v>0</v>
      </c>
      <c r="K509" t="n">
        <v>0</v>
      </c>
      <c r="L509" t="n">
        <v>0</v>
      </c>
      <c r="M509" t="n">
        <v>0</v>
      </c>
      <c r="N509" t="n">
        <v>0</v>
      </c>
      <c r="O509" t="n">
        <v>0</v>
      </c>
      <c r="P509" t="n">
        <v>0</v>
      </c>
      <c r="Q509" t="n">
        <v>0</v>
      </c>
      <c r="R509" s="2" t="inlineStr"/>
    </row>
    <row r="510" ht="15" customHeight="1">
      <c r="A510" t="inlineStr">
        <is>
          <t>A 27993-2022</t>
        </is>
      </c>
      <c r="B510" s="1" t="n">
        <v>44745.84396990741</v>
      </c>
      <c r="C510" s="1" t="n">
        <v>45993</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13532-2025</t>
        </is>
      </c>
      <c r="B511" s="1" t="n">
        <v>45736.50743055555</v>
      </c>
      <c r="C511" s="1" t="n">
        <v>45993</v>
      </c>
      <c r="D511" t="inlineStr">
        <is>
          <t>KALMAR LÄN</t>
        </is>
      </c>
      <c r="E511" t="inlineStr">
        <is>
          <t>VIMMERBY</t>
        </is>
      </c>
      <c r="G511" t="n">
        <v>3.6</v>
      </c>
      <c r="H511" t="n">
        <v>0</v>
      </c>
      <c r="I511" t="n">
        <v>0</v>
      </c>
      <c r="J511" t="n">
        <v>0</v>
      </c>
      <c r="K511" t="n">
        <v>0</v>
      </c>
      <c r="L511" t="n">
        <v>0</v>
      </c>
      <c r="M511" t="n">
        <v>0</v>
      </c>
      <c r="N511" t="n">
        <v>0</v>
      </c>
      <c r="O511" t="n">
        <v>0</v>
      </c>
      <c r="P511" t="n">
        <v>0</v>
      </c>
      <c r="Q511" t="n">
        <v>0</v>
      </c>
      <c r="R511" s="2" t="inlineStr"/>
    </row>
    <row r="512" ht="15" customHeight="1">
      <c r="A512" t="inlineStr">
        <is>
          <t>A 65049-2020</t>
        </is>
      </c>
      <c r="B512" s="1" t="n">
        <v>44172</v>
      </c>
      <c r="C512" s="1" t="n">
        <v>45993</v>
      </c>
      <c r="D512" t="inlineStr">
        <is>
          <t>KALMAR LÄN</t>
        </is>
      </c>
      <c r="E512" t="inlineStr">
        <is>
          <t>VIMMERBY</t>
        </is>
      </c>
      <c r="G512" t="n">
        <v>2.3</v>
      </c>
      <c r="H512" t="n">
        <v>0</v>
      </c>
      <c r="I512" t="n">
        <v>0</v>
      </c>
      <c r="J512" t="n">
        <v>0</v>
      </c>
      <c r="K512" t="n">
        <v>0</v>
      </c>
      <c r="L512" t="n">
        <v>0</v>
      </c>
      <c r="M512" t="n">
        <v>0</v>
      </c>
      <c r="N512" t="n">
        <v>0</v>
      </c>
      <c r="O512" t="n">
        <v>0</v>
      </c>
      <c r="P512" t="n">
        <v>0</v>
      </c>
      <c r="Q512" t="n">
        <v>0</v>
      </c>
      <c r="R512" s="2" t="inlineStr"/>
    </row>
    <row r="513" ht="15" customHeight="1">
      <c r="A513" t="inlineStr">
        <is>
          <t>A 38969-2023</t>
        </is>
      </c>
      <c r="B513" s="1" t="n">
        <v>45163.63621527778</v>
      </c>
      <c r="C513" s="1" t="n">
        <v>45993</v>
      </c>
      <c r="D513" t="inlineStr">
        <is>
          <t>KALMAR LÄN</t>
        </is>
      </c>
      <c r="E513" t="inlineStr">
        <is>
          <t>VIMMERBY</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36014-2024</t>
        </is>
      </c>
      <c r="B514" s="1" t="n">
        <v>45533.56108796296</v>
      </c>
      <c r="C514" s="1" t="n">
        <v>45993</v>
      </c>
      <c r="D514" t="inlineStr">
        <is>
          <t>KALMAR LÄN</t>
        </is>
      </c>
      <c r="E514" t="inlineStr">
        <is>
          <t>VIMMERBY</t>
        </is>
      </c>
      <c r="G514" t="n">
        <v>2.3</v>
      </c>
      <c r="H514" t="n">
        <v>0</v>
      </c>
      <c r="I514" t="n">
        <v>0</v>
      </c>
      <c r="J514" t="n">
        <v>0</v>
      </c>
      <c r="K514" t="n">
        <v>0</v>
      </c>
      <c r="L514" t="n">
        <v>0</v>
      </c>
      <c r="M514" t="n">
        <v>0</v>
      </c>
      <c r="N514" t="n">
        <v>0</v>
      </c>
      <c r="O514" t="n">
        <v>0</v>
      </c>
      <c r="P514" t="n">
        <v>0</v>
      </c>
      <c r="Q514" t="n">
        <v>0</v>
      </c>
      <c r="R514" s="2" t="inlineStr"/>
    </row>
    <row r="515" ht="15" customHeight="1">
      <c r="A515" t="inlineStr">
        <is>
          <t>A 36030-2024</t>
        </is>
      </c>
      <c r="B515" s="1" t="n">
        <v>45533.58302083334</v>
      </c>
      <c r="C515" s="1" t="n">
        <v>45993</v>
      </c>
      <c r="D515" t="inlineStr">
        <is>
          <t>KALMAR LÄN</t>
        </is>
      </c>
      <c r="E515" t="inlineStr">
        <is>
          <t>VIMMERBY</t>
        </is>
      </c>
      <c r="F515" t="inlineStr">
        <is>
          <t>Kommuner</t>
        </is>
      </c>
      <c r="G515" t="n">
        <v>4</v>
      </c>
      <c r="H515" t="n">
        <v>0</v>
      </c>
      <c r="I515" t="n">
        <v>0</v>
      </c>
      <c r="J515" t="n">
        <v>0</v>
      </c>
      <c r="K515" t="n">
        <v>0</v>
      </c>
      <c r="L515" t="n">
        <v>0</v>
      </c>
      <c r="M515" t="n">
        <v>0</v>
      </c>
      <c r="N515" t="n">
        <v>0</v>
      </c>
      <c r="O515" t="n">
        <v>0</v>
      </c>
      <c r="P515" t="n">
        <v>0</v>
      </c>
      <c r="Q515" t="n">
        <v>0</v>
      </c>
      <c r="R515" s="2" t="inlineStr"/>
    </row>
    <row r="516" ht="15" customHeight="1">
      <c r="A516" t="inlineStr">
        <is>
          <t>A 53752-2024</t>
        </is>
      </c>
      <c r="B516" s="1" t="n">
        <v>45615.48927083334</v>
      </c>
      <c r="C516" s="1" t="n">
        <v>45993</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40925-2025</t>
        </is>
      </c>
      <c r="B517" s="1" t="n">
        <v>45897.64208333333</v>
      </c>
      <c r="C517" s="1" t="n">
        <v>45993</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40921-2025</t>
        </is>
      </c>
      <c r="B518" s="1" t="n">
        <v>45897.63520833333</v>
      </c>
      <c r="C518" s="1" t="n">
        <v>45993</v>
      </c>
      <c r="D518" t="inlineStr">
        <is>
          <t>KALMAR LÄN</t>
        </is>
      </c>
      <c r="E518" t="inlineStr">
        <is>
          <t>VIMMERBY</t>
        </is>
      </c>
      <c r="G518" t="n">
        <v>4.2</v>
      </c>
      <c r="H518" t="n">
        <v>0</v>
      </c>
      <c r="I518" t="n">
        <v>0</v>
      </c>
      <c r="J518" t="n">
        <v>0</v>
      </c>
      <c r="K518" t="n">
        <v>0</v>
      </c>
      <c r="L518" t="n">
        <v>0</v>
      </c>
      <c r="M518" t="n">
        <v>0</v>
      </c>
      <c r="N518" t="n">
        <v>0</v>
      </c>
      <c r="O518" t="n">
        <v>0</v>
      </c>
      <c r="P518" t="n">
        <v>0</v>
      </c>
      <c r="Q518" t="n">
        <v>0</v>
      </c>
      <c r="R518" s="2" t="inlineStr"/>
    </row>
    <row r="519" ht="15" customHeight="1">
      <c r="A519" t="inlineStr">
        <is>
          <t>A 40971-2025</t>
        </is>
      </c>
      <c r="B519" s="1" t="n">
        <v>45897.88836805556</v>
      </c>
      <c r="C519" s="1" t="n">
        <v>45993</v>
      </c>
      <c r="D519" t="inlineStr">
        <is>
          <t>KALMAR LÄN</t>
        </is>
      </c>
      <c r="E519" t="inlineStr">
        <is>
          <t>VIMMERBY</t>
        </is>
      </c>
      <c r="G519" t="n">
        <v>1.5</v>
      </c>
      <c r="H519" t="n">
        <v>0</v>
      </c>
      <c r="I519" t="n">
        <v>0</v>
      </c>
      <c r="J519" t="n">
        <v>0</v>
      </c>
      <c r="K519" t="n">
        <v>0</v>
      </c>
      <c r="L519" t="n">
        <v>0</v>
      </c>
      <c r="M519" t="n">
        <v>0</v>
      </c>
      <c r="N519" t="n">
        <v>0</v>
      </c>
      <c r="O519" t="n">
        <v>0</v>
      </c>
      <c r="P519" t="n">
        <v>0</v>
      </c>
      <c r="Q519" t="n">
        <v>0</v>
      </c>
      <c r="R519" s="2" t="inlineStr"/>
    </row>
    <row r="520" ht="15" customHeight="1">
      <c r="A520" t="inlineStr">
        <is>
          <t>A 1978-2024</t>
        </is>
      </c>
      <c r="B520" s="1" t="n">
        <v>45308.59001157407</v>
      </c>
      <c r="C520" s="1" t="n">
        <v>45993</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6399-2025</t>
        </is>
      </c>
      <c r="B521" s="1" t="n">
        <v>45699.44291666667</v>
      </c>
      <c r="C521" s="1" t="n">
        <v>45993</v>
      </c>
      <c r="D521" t="inlineStr">
        <is>
          <t>KALMAR LÄN</t>
        </is>
      </c>
      <c r="E521" t="inlineStr">
        <is>
          <t>VIMMERBY</t>
        </is>
      </c>
      <c r="G521" t="n">
        <v>3.1</v>
      </c>
      <c r="H521" t="n">
        <v>0</v>
      </c>
      <c r="I521" t="n">
        <v>0</v>
      </c>
      <c r="J521" t="n">
        <v>0</v>
      </c>
      <c r="K521" t="n">
        <v>0</v>
      </c>
      <c r="L521" t="n">
        <v>0</v>
      </c>
      <c r="M521" t="n">
        <v>0</v>
      </c>
      <c r="N521" t="n">
        <v>0</v>
      </c>
      <c r="O521" t="n">
        <v>0</v>
      </c>
      <c r="P521" t="n">
        <v>0</v>
      </c>
      <c r="Q521" t="n">
        <v>0</v>
      </c>
      <c r="R521" s="2" t="inlineStr"/>
    </row>
    <row r="522" ht="15" customHeight="1">
      <c r="A522" t="inlineStr">
        <is>
          <t>A 41311-2023</t>
        </is>
      </c>
      <c r="B522" s="1" t="n">
        <v>45174</v>
      </c>
      <c r="C522" s="1" t="n">
        <v>45993</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58728-2024</t>
        </is>
      </c>
      <c r="B523" s="1" t="n">
        <v>45635.66695601852</v>
      </c>
      <c r="C523" s="1" t="n">
        <v>45993</v>
      </c>
      <c r="D523" t="inlineStr">
        <is>
          <t>KALMAR LÄN</t>
        </is>
      </c>
      <c r="E523" t="inlineStr">
        <is>
          <t>VIMMERBY</t>
        </is>
      </c>
      <c r="G523" t="n">
        <v>0.4</v>
      </c>
      <c r="H523" t="n">
        <v>0</v>
      </c>
      <c r="I523" t="n">
        <v>0</v>
      </c>
      <c r="J523" t="n">
        <v>0</v>
      </c>
      <c r="K523" t="n">
        <v>0</v>
      </c>
      <c r="L523" t="n">
        <v>0</v>
      </c>
      <c r="M523" t="n">
        <v>0</v>
      </c>
      <c r="N523" t="n">
        <v>0</v>
      </c>
      <c r="O523" t="n">
        <v>0</v>
      </c>
      <c r="P523" t="n">
        <v>0</v>
      </c>
      <c r="Q523" t="n">
        <v>0</v>
      </c>
      <c r="R523" s="2" t="inlineStr"/>
    </row>
    <row r="524" ht="15" customHeight="1">
      <c r="A524" t="inlineStr">
        <is>
          <t>A 43242-2024</t>
        </is>
      </c>
      <c r="B524" s="1" t="n">
        <v>45568.30189814815</v>
      </c>
      <c r="C524" s="1" t="n">
        <v>45993</v>
      </c>
      <c r="D524" t="inlineStr">
        <is>
          <t>KALMAR LÄN</t>
        </is>
      </c>
      <c r="E524" t="inlineStr">
        <is>
          <t>VIMMERBY</t>
        </is>
      </c>
      <c r="G524" t="n">
        <v>2.6</v>
      </c>
      <c r="H524" t="n">
        <v>0</v>
      </c>
      <c r="I524" t="n">
        <v>0</v>
      </c>
      <c r="J524" t="n">
        <v>0</v>
      </c>
      <c r="K524" t="n">
        <v>0</v>
      </c>
      <c r="L524" t="n">
        <v>0</v>
      </c>
      <c r="M524" t="n">
        <v>0</v>
      </c>
      <c r="N524" t="n">
        <v>0</v>
      </c>
      <c r="O524" t="n">
        <v>0</v>
      </c>
      <c r="P524" t="n">
        <v>0</v>
      </c>
      <c r="Q524" t="n">
        <v>0</v>
      </c>
      <c r="R524" s="2" t="inlineStr"/>
    </row>
    <row r="525" ht="15" customHeight="1">
      <c r="A525" t="inlineStr">
        <is>
          <t>A 6321-2023</t>
        </is>
      </c>
      <c r="B525" s="1" t="n">
        <v>44965.4815162037</v>
      </c>
      <c r="C525" s="1" t="n">
        <v>45993</v>
      </c>
      <c r="D525" t="inlineStr">
        <is>
          <t>KALMAR LÄN</t>
        </is>
      </c>
      <c r="E525" t="inlineStr">
        <is>
          <t>VIMMERBY</t>
        </is>
      </c>
      <c r="G525" t="n">
        <v>1.8</v>
      </c>
      <c r="H525" t="n">
        <v>0</v>
      </c>
      <c r="I525" t="n">
        <v>0</v>
      </c>
      <c r="J525" t="n">
        <v>0</v>
      </c>
      <c r="K525" t="n">
        <v>0</v>
      </c>
      <c r="L525" t="n">
        <v>0</v>
      </c>
      <c r="M525" t="n">
        <v>0</v>
      </c>
      <c r="N525" t="n">
        <v>0</v>
      </c>
      <c r="O525" t="n">
        <v>0</v>
      </c>
      <c r="P525" t="n">
        <v>0</v>
      </c>
      <c r="Q525" t="n">
        <v>0</v>
      </c>
      <c r="R525" s="2" t="inlineStr"/>
    </row>
    <row r="526" ht="15" customHeight="1">
      <c r="A526" t="inlineStr">
        <is>
          <t>A 16983-2023</t>
        </is>
      </c>
      <c r="B526" s="1" t="n">
        <v>45033.76043981482</v>
      </c>
      <c r="C526" s="1" t="n">
        <v>45993</v>
      </c>
      <c r="D526" t="inlineStr">
        <is>
          <t>KALMAR LÄN</t>
        </is>
      </c>
      <c r="E526" t="inlineStr">
        <is>
          <t>VIMMERBY</t>
        </is>
      </c>
      <c r="G526" t="n">
        <v>0.6</v>
      </c>
      <c r="H526" t="n">
        <v>0</v>
      </c>
      <c r="I526" t="n">
        <v>0</v>
      </c>
      <c r="J526" t="n">
        <v>0</v>
      </c>
      <c r="K526" t="n">
        <v>0</v>
      </c>
      <c r="L526" t="n">
        <v>0</v>
      </c>
      <c r="M526" t="n">
        <v>0</v>
      </c>
      <c r="N526" t="n">
        <v>0</v>
      </c>
      <c r="O526" t="n">
        <v>0</v>
      </c>
      <c r="P526" t="n">
        <v>0</v>
      </c>
      <c r="Q526" t="n">
        <v>0</v>
      </c>
      <c r="R526" s="2" t="inlineStr"/>
    </row>
    <row r="527" ht="15" customHeight="1">
      <c r="A527" t="inlineStr">
        <is>
          <t>A 41591-2025</t>
        </is>
      </c>
      <c r="B527" s="1" t="n">
        <v>45901.6327662037</v>
      </c>
      <c r="C527" s="1" t="n">
        <v>45993</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41589-2025</t>
        </is>
      </c>
      <c r="B528" s="1" t="n">
        <v>45901.63219907408</v>
      </c>
      <c r="C528" s="1" t="n">
        <v>45993</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6405-2025</t>
        </is>
      </c>
      <c r="B529" s="1" t="n">
        <v>45699.45392361111</v>
      </c>
      <c r="C529" s="1" t="n">
        <v>45993</v>
      </c>
      <c r="D529" t="inlineStr">
        <is>
          <t>KALMAR LÄN</t>
        </is>
      </c>
      <c r="E529" t="inlineStr">
        <is>
          <t>VIMMERBY</t>
        </is>
      </c>
      <c r="G529" t="n">
        <v>1.2</v>
      </c>
      <c r="H529" t="n">
        <v>0</v>
      </c>
      <c r="I529" t="n">
        <v>0</v>
      </c>
      <c r="J529" t="n">
        <v>0</v>
      </c>
      <c r="K529" t="n">
        <v>0</v>
      </c>
      <c r="L529" t="n">
        <v>0</v>
      </c>
      <c r="M529" t="n">
        <v>0</v>
      </c>
      <c r="N529" t="n">
        <v>0</v>
      </c>
      <c r="O529" t="n">
        <v>0</v>
      </c>
      <c r="P529" t="n">
        <v>0</v>
      </c>
      <c r="Q529" t="n">
        <v>0</v>
      </c>
      <c r="R529" s="2" t="inlineStr"/>
    </row>
    <row r="530" ht="15" customHeight="1">
      <c r="A530" t="inlineStr">
        <is>
          <t>A 36843-2023</t>
        </is>
      </c>
      <c r="B530" s="1" t="n">
        <v>45154.49831018518</v>
      </c>
      <c r="C530" s="1" t="n">
        <v>45993</v>
      </c>
      <c r="D530" t="inlineStr">
        <is>
          <t>KALMAR LÄN</t>
        </is>
      </c>
      <c r="E530" t="inlineStr">
        <is>
          <t>VIMMERBY</t>
        </is>
      </c>
      <c r="G530" t="n">
        <v>2</v>
      </c>
      <c r="H530" t="n">
        <v>0</v>
      </c>
      <c r="I530" t="n">
        <v>0</v>
      </c>
      <c r="J530" t="n">
        <v>0</v>
      </c>
      <c r="K530" t="n">
        <v>0</v>
      </c>
      <c r="L530" t="n">
        <v>0</v>
      </c>
      <c r="M530" t="n">
        <v>0</v>
      </c>
      <c r="N530" t="n">
        <v>0</v>
      </c>
      <c r="O530" t="n">
        <v>0</v>
      </c>
      <c r="P530" t="n">
        <v>0</v>
      </c>
      <c r="Q530" t="n">
        <v>0</v>
      </c>
      <c r="R530" s="2" t="inlineStr"/>
    </row>
    <row r="531" ht="15" customHeight="1">
      <c r="A531" t="inlineStr">
        <is>
          <t>A 57486-2024</t>
        </is>
      </c>
      <c r="B531" s="1" t="n">
        <v>45630.35827546296</v>
      </c>
      <c r="C531" s="1" t="n">
        <v>45993</v>
      </c>
      <c r="D531" t="inlineStr">
        <is>
          <t>KALMAR LÄN</t>
        </is>
      </c>
      <c r="E531" t="inlineStr">
        <is>
          <t>VIMMERBY</t>
        </is>
      </c>
      <c r="G531" t="n">
        <v>0.4</v>
      </c>
      <c r="H531" t="n">
        <v>0</v>
      </c>
      <c r="I531" t="n">
        <v>0</v>
      </c>
      <c r="J531" t="n">
        <v>0</v>
      </c>
      <c r="K531" t="n">
        <v>0</v>
      </c>
      <c r="L531" t="n">
        <v>0</v>
      </c>
      <c r="M531" t="n">
        <v>0</v>
      </c>
      <c r="N531" t="n">
        <v>0</v>
      </c>
      <c r="O531" t="n">
        <v>0</v>
      </c>
      <c r="P531" t="n">
        <v>0</v>
      </c>
      <c r="Q531" t="n">
        <v>0</v>
      </c>
      <c r="R531" s="2" t="inlineStr"/>
    </row>
    <row r="532" ht="15" customHeight="1">
      <c r="A532" t="inlineStr">
        <is>
          <t>A 10785-2025</t>
        </is>
      </c>
      <c r="B532" s="1" t="n">
        <v>45722.48634259259</v>
      </c>
      <c r="C532" s="1" t="n">
        <v>45993</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66295-2020</t>
        </is>
      </c>
      <c r="B533" s="1" t="n">
        <v>44176</v>
      </c>
      <c r="C533" s="1" t="n">
        <v>45993</v>
      </c>
      <c r="D533" t="inlineStr">
        <is>
          <t>KALMAR LÄN</t>
        </is>
      </c>
      <c r="E533" t="inlineStr">
        <is>
          <t>VIMMERBY</t>
        </is>
      </c>
      <c r="G533" t="n">
        <v>4.1</v>
      </c>
      <c r="H533" t="n">
        <v>0</v>
      </c>
      <c r="I533" t="n">
        <v>0</v>
      </c>
      <c r="J533" t="n">
        <v>0</v>
      </c>
      <c r="K533" t="n">
        <v>0</v>
      </c>
      <c r="L533" t="n">
        <v>0</v>
      </c>
      <c r="M533" t="n">
        <v>0</v>
      </c>
      <c r="N533" t="n">
        <v>0</v>
      </c>
      <c r="O533" t="n">
        <v>0</v>
      </c>
      <c r="P533" t="n">
        <v>0</v>
      </c>
      <c r="Q533" t="n">
        <v>0</v>
      </c>
      <c r="R533" s="2" t="inlineStr"/>
    </row>
    <row r="534" ht="15" customHeight="1">
      <c r="A534" t="inlineStr">
        <is>
          <t>A 18020-2025</t>
        </is>
      </c>
      <c r="B534" s="1" t="n">
        <v>45761.4437962963</v>
      </c>
      <c r="C534" s="1" t="n">
        <v>45993</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34090-2025</t>
        </is>
      </c>
      <c r="B535" s="1" t="n">
        <v>45845</v>
      </c>
      <c r="C535" s="1" t="n">
        <v>45993</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44423-2023</t>
        </is>
      </c>
      <c r="B536" s="1" t="n">
        <v>45189</v>
      </c>
      <c r="C536" s="1" t="n">
        <v>45993</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585-2024</t>
        </is>
      </c>
      <c r="B537" s="1" t="n">
        <v>45299.62576388889</v>
      </c>
      <c r="C537" s="1" t="n">
        <v>45993</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20-2025</t>
        </is>
      </c>
      <c r="B538" s="1" t="n">
        <v>45658.80232638889</v>
      </c>
      <c r="C538" s="1" t="n">
        <v>45993</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23-2025</t>
        </is>
      </c>
      <c r="B539" s="1" t="n">
        <v>45658.80827546296</v>
      </c>
      <c r="C539" s="1" t="n">
        <v>45993</v>
      </c>
      <c r="D539" t="inlineStr">
        <is>
          <t>KALMAR LÄN</t>
        </is>
      </c>
      <c r="E539" t="inlineStr">
        <is>
          <t>VIMMERBY</t>
        </is>
      </c>
      <c r="G539" t="n">
        <v>1.8</v>
      </c>
      <c r="H539" t="n">
        <v>0</v>
      </c>
      <c r="I539" t="n">
        <v>0</v>
      </c>
      <c r="J539" t="n">
        <v>0</v>
      </c>
      <c r="K539" t="n">
        <v>0</v>
      </c>
      <c r="L539" t="n">
        <v>0</v>
      </c>
      <c r="M539" t="n">
        <v>0</v>
      </c>
      <c r="N539" t="n">
        <v>0</v>
      </c>
      <c r="O539" t="n">
        <v>0</v>
      </c>
      <c r="P539" t="n">
        <v>0</v>
      </c>
      <c r="Q539" t="n">
        <v>0</v>
      </c>
      <c r="R539" s="2" t="inlineStr"/>
    </row>
    <row r="540" ht="15" customHeight="1">
      <c r="A540" t="inlineStr">
        <is>
          <t>A 21496-2023</t>
        </is>
      </c>
      <c r="B540" s="1" t="n">
        <v>45063.49936342592</v>
      </c>
      <c r="C540" s="1" t="n">
        <v>45993</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41735-2025</t>
        </is>
      </c>
      <c r="B541" s="1" t="n">
        <v>45902.47164351852</v>
      </c>
      <c r="C541" s="1" t="n">
        <v>45993</v>
      </c>
      <c r="D541" t="inlineStr">
        <is>
          <t>KALMAR LÄN</t>
        </is>
      </c>
      <c r="E541" t="inlineStr">
        <is>
          <t>VIMMERBY</t>
        </is>
      </c>
      <c r="G541" t="n">
        <v>3</v>
      </c>
      <c r="H541" t="n">
        <v>0</v>
      </c>
      <c r="I541" t="n">
        <v>0</v>
      </c>
      <c r="J541" t="n">
        <v>0</v>
      </c>
      <c r="K541" t="n">
        <v>0</v>
      </c>
      <c r="L541" t="n">
        <v>0</v>
      </c>
      <c r="M541" t="n">
        <v>0</v>
      </c>
      <c r="N541" t="n">
        <v>0</v>
      </c>
      <c r="O541" t="n">
        <v>0</v>
      </c>
      <c r="P541" t="n">
        <v>0</v>
      </c>
      <c r="Q541" t="n">
        <v>0</v>
      </c>
      <c r="R541" s="2" t="inlineStr"/>
    </row>
    <row r="542" ht="15" customHeight="1">
      <c r="A542" t="inlineStr">
        <is>
          <t>A 6802-2025</t>
        </is>
      </c>
      <c r="B542" s="1" t="n">
        <v>45700.68289351852</v>
      </c>
      <c r="C542" s="1" t="n">
        <v>45993</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31056-2022</t>
        </is>
      </c>
      <c r="B543" s="1" t="n">
        <v>44769.45805555556</v>
      </c>
      <c r="C543" s="1" t="n">
        <v>45993</v>
      </c>
      <c r="D543" t="inlineStr">
        <is>
          <t>KALMAR LÄN</t>
        </is>
      </c>
      <c r="E543" t="inlineStr">
        <is>
          <t>VIMMERBY</t>
        </is>
      </c>
      <c r="G543" t="n">
        <v>2</v>
      </c>
      <c r="H543" t="n">
        <v>0</v>
      </c>
      <c r="I543" t="n">
        <v>0</v>
      </c>
      <c r="J543" t="n">
        <v>0</v>
      </c>
      <c r="K543" t="n">
        <v>0</v>
      </c>
      <c r="L543" t="n">
        <v>0</v>
      </c>
      <c r="M543" t="n">
        <v>0</v>
      </c>
      <c r="N543" t="n">
        <v>0</v>
      </c>
      <c r="O543" t="n">
        <v>0</v>
      </c>
      <c r="P543" t="n">
        <v>0</v>
      </c>
      <c r="Q543" t="n">
        <v>0</v>
      </c>
      <c r="R543" s="2" t="inlineStr"/>
    </row>
    <row r="544" ht="15" customHeight="1">
      <c r="A544" t="inlineStr">
        <is>
          <t>A 52755-2022</t>
        </is>
      </c>
      <c r="B544" s="1" t="n">
        <v>44875.27736111111</v>
      </c>
      <c r="C544" s="1" t="n">
        <v>45993</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56020-2024</t>
        </is>
      </c>
      <c r="B545" s="1" t="n">
        <v>45623.9525462963</v>
      </c>
      <c r="C545" s="1" t="n">
        <v>45993</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33842-2022</t>
        </is>
      </c>
      <c r="B546" s="1" t="n">
        <v>44790.49523148148</v>
      </c>
      <c r="C546" s="1" t="n">
        <v>45993</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60675-2023</t>
        </is>
      </c>
      <c r="B547" s="1" t="n">
        <v>45260.4716550926</v>
      </c>
      <c r="C547" s="1" t="n">
        <v>45993</v>
      </c>
      <c r="D547" t="inlineStr">
        <is>
          <t>KALMAR LÄN</t>
        </is>
      </c>
      <c r="E547" t="inlineStr">
        <is>
          <t>VIMMERBY</t>
        </is>
      </c>
      <c r="G547" t="n">
        <v>1.2</v>
      </c>
      <c r="H547" t="n">
        <v>0</v>
      </c>
      <c r="I547" t="n">
        <v>0</v>
      </c>
      <c r="J547" t="n">
        <v>0</v>
      </c>
      <c r="K547" t="n">
        <v>0</v>
      </c>
      <c r="L547" t="n">
        <v>0</v>
      </c>
      <c r="M547" t="n">
        <v>0</v>
      </c>
      <c r="N547" t="n">
        <v>0</v>
      </c>
      <c r="O547" t="n">
        <v>0</v>
      </c>
      <c r="P547" t="n">
        <v>0</v>
      </c>
      <c r="Q547" t="n">
        <v>0</v>
      </c>
      <c r="R547" s="2" t="inlineStr"/>
    </row>
    <row r="548" ht="15" customHeight="1">
      <c r="A548" t="inlineStr">
        <is>
          <t>A 40095-2022</t>
        </is>
      </c>
      <c r="B548" s="1" t="n">
        <v>44820</v>
      </c>
      <c r="C548" s="1" t="n">
        <v>45993</v>
      </c>
      <c r="D548" t="inlineStr">
        <is>
          <t>KALMAR LÄN</t>
        </is>
      </c>
      <c r="E548" t="inlineStr">
        <is>
          <t>VIMMERBY</t>
        </is>
      </c>
      <c r="G548" t="n">
        <v>2.4</v>
      </c>
      <c r="H548" t="n">
        <v>0</v>
      </c>
      <c r="I548" t="n">
        <v>0</v>
      </c>
      <c r="J548" t="n">
        <v>0</v>
      </c>
      <c r="K548" t="n">
        <v>0</v>
      </c>
      <c r="L548" t="n">
        <v>0</v>
      </c>
      <c r="M548" t="n">
        <v>0</v>
      </c>
      <c r="N548" t="n">
        <v>0</v>
      </c>
      <c r="O548" t="n">
        <v>0</v>
      </c>
      <c r="P548" t="n">
        <v>0</v>
      </c>
      <c r="Q548" t="n">
        <v>0</v>
      </c>
      <c r="R548" s="2" t="inlineStr"/>
    </row>
    <row r="549" ht="15" customHeight="1">
      <c r="A549" t="inlineStr">
        <is>
          <t>A 19537-2022</t>
        </is>
      </c>
      <c r="B549" s="1" t="n">
        <v>44693.62822916666</v>
      </c>
      <c r="C549" s="1" t="n">
        <v>45993</v>
      </c>
      <c r="D549" t="inlineStr">
        <is>
          <t>KALMAR LÄN</t>
        </is>
      </c>
      <c r="E549" t="inlineStr">
        <is>
          <t>VIMMERBY</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45993</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57311-2023</t>
        </is>
      </c>
      <c r="B551" s="1" t="n">
        <v>45245.63574074074</v>
      </c>
      <c r="C551" s="1" t="n">
        <v>45993</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40823-2023</t>
        </is>
      </c>
      <c r="B552" s="1" t="n">
        <v>45171.77335648148</v>
      </c>
      <c r="C552" s="1" t="n">
        <v>45993</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52294-2023</t>
        </is>
      </c>
      <c r="B553" s="1" t="n">
        <v>45224.60075231481</v>
      </c>
      <c r="C553" s="1" t="n">
        <v>45993</v>
      </c>
      <c r="D553" t="inlineStr">
        <is>
          <t>KALMAR LÄN</t>
        </is>
      </c>
      <c r="E553" t="inlineStr">
        <is>
          <t>VIMMERBY</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64428-2023</t>
        </is>
      </c>
      <c r="B554" s="1" t="n">
        <v>45280.66769675926</v>
      </c>
      <c r="C554" s="1" t="n">
        <v>45993</v>
      </c>
      <c r="D554" t="inlineStr">
        <is>
          <t>KALMAR LÄN</t>
        </is>
      </c>
      <c r="E554" t="inlineStr">
        <is>
          <t>VIMMERBY</t>
        </is>
      </c>
      <c r="G554" t="n">
        <v>1.2</v>
      </c>
      <c r="H554" t="n">
        <v>0</v>
      </c>
      <c r="I554" t="n">
        <v>0</v>
      </c>
      <c r="J554" t="n">
        <v>0</v>
      </c>
      <c r="K554" t="n">
        <v>0</v>
      </c>
      <c r="L554" t="n">
        <v>0</v>
      </c>
      <c r="M554" t="n">
        <v>0</v>
      </c>
      <c r="N554" t="n">
        <v>0</v>
      </c>
      <c r="O554" t="n">
        <v>0</v>
      </c>
      <c r="P554" t="n">
        <v>0</v>
      </c>
      <c r="Q554" t="n">
        <v>0</v>
      </c>
      <c r="R554" s="2" t="inlineStr"/>
    </row>
    <row r="555" ht="15" customHeight="1">
      <c r="A555" t="inlineStr">
        <is>
          <t>A 61355-2024</t>
        </is>
      </c>
      <c r="B555" s="1" t="n">
        <v>45646.38200231481</v>
      </c>
      <c r="C555" s="1" t="n">
        <v>45993</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4527-2023</t>
        </is>
      </c>
      <c r="B556" s="1" t="n">
        <v>44956</v>
      </c>
      <c r="C556" s="1" t="n">
        <v>45993</v>
      </c>
      <c r="D556" t="inlineStr">
        <is>
          <t>KALMAR LÄN</t>
        </is>
      </c>
      <c r="E556" t="inlineStr">
        <is>
          <t>VIMMERBY</t>
        </is>
      </c>
      <c r="F556" t="inlineStr">
        <is>
          <t>Kommuner</t>
        </is>
      </c>
      <c r="G556" t="n">
        <v>8.5</v>
      </c>
      <c r="H556" t="n">
        <v>0</v>
      </c>
      <c r="I556" t="n">
        <v>0</v>
      </c>
      <c r="J556" t="n">
        <v>0</v>
      </c>
      <c r="K556" t="n">
        <v>0</v>
      </c>
      <c r="L556" t="n">
        <v>0</v>
      </c>
      <c r="M556" t="n">
        <v>0</v>
      </c>
      <c r="N556" t="n">
        <v>0</v>
      </c>
      <c r="O556" t="n">
        <v>0</v>
      </c>
      <c r="P556" t="n">
        <v>0</v>
      </c>
      <c r="Q556" t="n">
        <v>0</v>
      </c>
      <c r="R556" s="2" t="inlineStr"/>
    </row>
    <row r="557" ht="15" customHeight="1">
      <c r="A557" t="inlineStr">
        <is>
          <t>A 42828-2025</t>
        </is>
      </c>
      <c r="B557" s="1" t="n">
        <v>45908.57716435185</v>
      </c>
      <c r="C557" s="1" t="n">
        <v>45993</v>
      </c>
      <c r="D557" t="inlineStr">
        <is>
          <t>KALMAR LÄN</t>
        </is>
      </c>
      <c r="E557" t="inlineStr">
        <is>
          <t>VIMMERBY</t>
        </is>
      </c>
      <c r="G557" t="n">
        <v>5.2</v>
      </c>
      <c r="H557" t="n">
        <v>0</v>
      </c>
      <c r="I557" t="n">
        <v>0</v>
      </c>
      <c r="J557" t="n">
        <v>0</v>
      </c>
      <c r="K557" t="n">
        <v>0</v>
      </c>
      <c r="L557" t="n">
        <v>0</v>
      </c>
      <c r="M557" t="n">
        <v>0</v>
      </c>
      <c r="N557" t="n">
        <v>0</v>
      </c>
      <c r="O557" t="n">
        <v>0</v>
      </c>
      <c r="P557" t="n">
        <v>0</v>
      </c>
      <c r="Q557" t="n">
        <v>0</v>
      </c>
      <c r="R557" s="2" t="inlineStr"/>
    </row>
    <row r="558" ht="15" customHeight="1">
      <c r="A558" t="inlineStr">
        <is>
          <t>A 3268-2024</t>
        </is>
      </c>
      <c r="B558" s="1" t="n">
        <v>45317</v>
      </c>
      <c r="C558" s="1" t="n">
        <v>45993</v>
      </c>
      <c r="D558" t="inlineStr">
        <is>
          <t>KALMAR LÄN</t>
        </is>
      </c>
      <c r="E558" t="inlineStr">
        <is>
          <t>VIMMERBY</t>
        </is>
      </c>
      <c r="F558" t="inlineStr">
        <is>
          <t>Övriga Aktiebolag</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51408-2023</t>
        </is>
      </c>
      <c r="B559" s="1" t="n">
        <v>45219.69356481481</v>
      </c>
      <c r="C559" s="1" t="n">
        <v>45993</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42794-2025</t>
        </is>
      </c>
      <c r="B560" s="1" t="n">
        <v>45908</v>
      </c>
      <c r="C560" s="1" t="n">
        <v>45993</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33374-2021</t>
        </is>
      </c>
      <c r="B561" s="1" t="n">
        <v>44377</v>
      </c>
      <c r="C561" s="1" t="n">
        <v>45993</v>
      </c>
      <c r="D561" t="inlineStr">
        <is>
          <t>KALMAR LÄN</t>
        </is>
      </c>
      <c r="E561" t="inlineStr">
        <is>
          <t>VIMMERBY</t>
        </is>
      </c>
      <c r="G561" t="n">
        <v>3.3</v>
      </c>
      <c r="H561" t="n">
        <v>0</v>
      </c>
      <c r="I561" t="n">
        <v>0</v>
      </c>
      <c r="J561" t="n">
        <v>0</v>
      </c>
      <c r="K561" t="n">
        <v>0</v>
      </c>
      <c r="L561" t="n">
        <v>0</v>
      </c>
      <c r="M561" t="n">
        <v>0</v>
      </c>
      <c r="N561" t="n">
        <v>0</v>
      </c>
      <c r="O561" t="n">
        <v>0</v>
      </c>
      <c r="P561" t="n">
        <v>0</v>
      </c>
      <c r="Q561" t="n">
        <v>0</v>
      </c>
      <c r="R561" s="2" t="inlineStr"/>
    </row>
    <row r="562" ht="15" customHeight="1">
      <c r="A562" t="inlineStr">
        <is>
          <t>A 10759-2023</t>
        </is>
      </c>
      <c r="B562" s="1" t="n">
        <v>44988</v>
      </c>
      <c r="C562" s="1" t="n">
        <v>45993</v>
      </c>
      <c r="D562" t="inlineStr">
        <is>
          <t>KALMAR LÄN</t>
        </is>
      </c>
      <c r="E562" t="inlineStr">
        <is>
          <t>VIMMERBY</t>
        </is>
      </c>
      <c r="G562" t="n">
        <v>0.4</v>
      </c>
      <c r="H562" t="n">
        <v>0</v>
      </c>
      <c r="I562" t="n">
        <v>0</v>
      </c>
      <c r="J562" t="n">
        <v>0</v>
      </c>
      <c r="K562" t="n">
        <v>0</v>
      </c>
      <c r="L562" t="n">
        <v>0</v>
      </c>
      <c r="M562" t="n">
        <v>0</v>
      </c>
      <c r="N562" t="n">
        <v>0</v>
      </c>
      <c r="O562" t="n">
        <v>0</v>
      </c>
      <c r="P562" t="n">
        <v>0</v>
      </c>
      <c r="Q562" t="n">
        <v>0</v>
      </c>
      <c r="R562" s="2" t="inlineStr"/>
    </row>
    <row r="563" ht="15" customHeight="1">
      <c r="A563" t="inlineStr">
        <is>
          <t>A 18899-2025</t>
        </is>
      </c>
      <c r="B563" s="1" t="n">
        <v>45764.44931712963</v>
      </c>
      <c r="C563" s="1" t="n">
        <v>45993</v>
      </c>
      <c r="D563" t="inlineStr">
        <is>
          <t>KALMAR LÄN</t>
        </is>
      </c>
      <c r="E563" t="inlineStr">
        <is>
          <t>VIMMERBY</t>
        </is>
      </c>
      <c r="F563" t="inlineStr">
        <is>
          <t>Kommuner</t>
        </is>
      </c>
      <c r="G563" t="n">
        <v>4</v>
      </c>
      <c r="H563" t="n">
        <v>0</v>
      </c>
      <c r="I563" t="n">
        <v>0</v>
      </c>
      <c r="J563" t="n">
        <v>0</v>
      </c>
      <c r="K563" t="n">
        <v>0</v>
      </c>
      <c r="L563" t="n">
        <v>0</v>
      </c>
      <c r="M563" t="n">
        <v>0</v>
      </c>
      <c r="N563" t="n">
        <v>0</v>
      </c>
      <c r="O563" t="n">
        <v>0</v>
      </c>
      <c r="P563" t="n">
        <v>0</v>
      </c>
      <c r="Q563" t="n">
        <v>0</v>
      </c>
      <c r="R563" s="2" t="inlineStr"/>
    </row>
    <row r="564" ht="15" customHeight="1">
      <c r="A564" t="inlineStr">
        <is>
          <t>A 12480-2024</t>
        </is>
      </c>
      <c r="B564" s="1" t="n">
        <v>45379</v>
      </c>
      <c r="C564" s="1" t="n">
        <v>45993</v>
      </c>
      <c r="D564" t="inlineStr">
        <is>
          <t>KALMAR LÄN</t>
        </is>
      </c>
      <c r="E564" t="inlineStr">
        <is>
          <t>VIMMERBY</t>
        </is>
      </c>
      <c r="G564" t="n">
        <v>2.8</v>
      </c>
      <c r="H564" t="n">
        <v>0</v>
      </c>
      <c r="I564" t="n">
        <v>0</v>
      </c>
      <c r="J564" t="n">
        <v>0</v>
      </c>
      <c r="K564" t="n">
        <v>0</v>
      </c>
      <c r="L564" t="n">
        <v>0</v>
      </c>
      <c r="M564" t="n">
        <v>0</v>
      </c>
      <c r="N564" t="n">
        <v>0</v>
      </c>
      <c r="O564" t="n">
        <v>0</v>
      </c>
      <c r="P564" t="n">
        <v>0</v>
      </c>
      <c r="Q564" t="n">
        <v>0</v>
      </c>
      <c r="R564" s="2" t="inlineStr"/>
    </row>
    <row r="565" ht="15" customHeight="1">
      <c r="A565" t="inlineStr">
        <is>
          <t>A 52588-2023</t>
        </is>
      </c>
      <c r="B565" s="1" t="n">
        <v>45225.60192129629</v>
      </c>
      <c r="C565" s="1" t="n">
        <v>45993</v>
      </c>
      <c r="D565" t="inlineStr">
        <is>
          <t>KALMAR LÄN</t>
        </is>
      </c>
      <c r="E565" t="inlineStr">
        <is>
          <t>VIMMERBY</t>
        </is>
      </c>
      <c r="G565" t="n">
        <v>2.9</v>
      </c>
      <c r="H565" t="n">
        <v>0</v>
      </c>
      <c r="I565" t="n">
        <v>0</v>
      </c>
      <c r="J565" t="n">
        <v>0</v>
      </c>
      <c r="K565" t="n">
        <v>0</v>
      </c>
      <c r="L565" t="n">
        <v>0</v>
      </c>
      <c r="M565" t="n">
        <v>0</v>
      </c>
      <c r="N565" t="n">
        <v>0</v>
      </c>
      <c r="O565" t="n">
        <v>0</v>
      </c>
      <c r="P565" t="n">
        <v>0</v>
      </c>
      <c r="Q565" t="n">
        <v>0</v>
      </c>
      <c r="R565" s="2" t="inlineStr"/>
    </row>
    <row r="566" ht="15" customHeight="1">
      <c r="A566" t="inlineStr">
        <is>
          <t>A 55236-2023</t>
        </is>
      </c>
      <c r="B566" s="1" t="n">
        <v>45237.63225694445</v>
      </c>
      <c r="C566" s="1" t="n">
        <v>45993</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42820-2025</t>
        </is>
      </c>
      <c r="B567" s="1" t="n">
        <v>45908</v>
      </c>
      <c r="C567" s="1" t="n">
        <v>45993</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55245-2023</t>
        </is>
      </c>
      <c r="B568" s="1" t="n">
        <v>45237.64408564815</v>
      </c>
      <c r="C568" s="1" t="n">
        <v>45993</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12586-2021</t>
        </is>
      </c>
      <c r="B569" s="1" t="n">
        <v>44270.38002314815</v>
      </c>
      <c r="C569" s="1" t="n">
        <v>45993</v>
      </c>
      <c r="D569" t="inlineStr">
        <is>
          <t>KALMAR LÄN</t>
        </is>
      </c>
      <c r="E569" t="inlineStr">
        <is>
          <t>VIMMERBY</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19111-2025</t>
        </is>
      </c>
      <c r="B570" s="1" t="n">
        <v>45768.65611111111</v>
      </c>
      <c r="C570" s="1" t="n">
        <v>45993</v>
      </c>
      <c r="D570" t="inlineStr">
        <is>
          <t>KALMAR LÄN</t>
        </is>
      </c>
      <c r="E570" t="inlineStr">
        <is>
          <t>VIMMERBY</t>
        </is>
      </c>
      <c r="G570" t="n">
        <v>6.2</v>
      </c>
      <c r="H570" t="n">
        <v>0</v>
      </c>
      <c r="I570" t="n">
        <v>0</v>
      </c>
      <c r="J570" t="n">
        <v>0</v>
      </c>
      <c r="K570" t="n">
        <v>0</v>
      </c>
      <c r="L570" t="n">
        <v>0</v>
      </c>
      <c r="M570" t="n">
        <v>0</v>
      </c>
      <c r="N570" t="n">
        <v>0</v>
      </c>
      <c r="O570" t="n">
        <v>0</v>
      </c>
      <c r="P570" t="n">
        <v>0</v>
      </c>
      <c r="Q570" t="n">
        <v>0</v>
      </c>
      <c r="R570" s="2" t="inlineStr"/>
    </row>
    <row r="571" ht="15" customHeight="1">
      <c r="A571" t="inlineStr">
        <is>
          <t>A 27761-2024</t>
        </is>
      </c>
      <c r="B571" s="1" t="n">
        <v>45475.49018518518</v>
      </c>
      <c r="C571" s="1" t="n">
        <v>45993</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25370-2022</t>
        </is>
      </c>
      <c r="B572" s="1" t="n">
        <v>44732.3659837963</v>
      </c>
      <c r="C572" s="1" t="n">
        <v>45993</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21028-2023</t>
        </is>
      </c>
      <c r="B573" s="1" t="n">
        <v>45061</v>
      </c>
      <c r="C573" s="1" t="n">
        <v>45993</v>
      </c>
      <c r="D573" t="inlineStr">
        <is>
          <t>KALMAR LÄN</t>
        </is>
      </c>
      <c r="E573" t="inlineStr">
        <is>
          <t>VIMMERBY</t>
        </is>
      </c>
      <c r="F573" t="inlineStr">
        <is>
          <t>Övriga Aktiebolag</t>
        </is>
      </c>
      <c r="G573" t="n">
        <v>0.7</v>
      </c>
      <c r="H573" t="n">
        <v>0</v>
      </c>
      <c r="I573" t="n">
        <v>0</v>
      </c>
      <c r="J573" t="n">
        <v>0</v>
      </c>
      <c r="K573" t="n">
        <v>0</v>
      </c>
      <c r="L573" t="n">
        <v>0</v>
      </c>
      <c r="M573" t="n">
        <v>0</v>
      </c>
      <c r="N573" t="n">
        <v>0</v>
      </c>
      <c r="O573" t="n">
        <v>0</v>
      </c>
      <c r="P573" t="n">
        <v>0</v>
      </c>
      <c r="Q573" t="n">
        <v>0</v>
      </c>
      <c r="R573" s="2" t="inlineStr"/>
    </row>
    <row r="574" ht="15" customHeight="1">
      <c r="A574" t="inlineStr">
        <is>
          <t>A 32614-2023</t>
        </is>
      </c>
      <c r="B574" s="1" t="n">
        <v>45121</v>
      </c>
      <c r="C574" s="1" t="n">
        <v>45993</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61939-2021</t>
        </is>
      </c>
      <c r="B575" s="1" t="n">
        <v>44502</v>
      </c>
      <c r="C575" s="1" t="n">
        <v>45993</v>
      </c>
      <c r="D575" t="inlineStr">
        <is>
          <t>KALMAR LÄN</t>
        </is>
      </c>
      <c r="E575" t="inlineStr">
        <is>
          <t>VIMMERBY</t>
        </is>
      </c>
      <c r="G575" t="n">
        <v>2.7</v>
      </c>
      <c r="H575" t="n">
        <v>0</v>
      </c>
      <c r="I575" t="n">
        <v>0</v>
      </c>
      <c r="J575" t="n">
        <v>0</v>
      </c>
      <c r="K575" t="n">
        <v>0</v>
      </c>
      <c r="L575" t="n">
        <v>0</v>
      </c>
      <c r="M575" t="n">
        <v>0</v>
      </c>
      <c r="N575" t="n">
        <v>0</v>
      </c>
      <c r="O575" t="n">
        <v>0</v>
      </c>
      <c r="P575" t="n">
        <v>0</v>
      </c>
      <c r="Q575" t="n">
        <v>0</v>
      </c>
      <c r="R575" s="2" t="inlineStr"/>
    </row>
    <row r="576" ht="15" customHeight="1">
      <c r="A576" t="inlineStr">
        <is>
          <t>A 34060-2025</t>
        </is>
      </c>
      <c r="B576" s="1" t="n">
        <v>45845.42015046296</v>
      </c>
      <c r="C576" s="1" t="n">
        <v>45993</v>
      </c>
      <c r="D576" t="inlineStr">
        <is>
          <t>KALMAR LÄN</t>
        </is>
      </c>
      <c r="E576" t="inlineStr">
        <is>
          <t>VIMMERBY</t>
        </is>
      </c>
      <c r="G576" t="n">
        <v>5.7</v>
      </c>
      <c r="H576" t="n">
        <v>0</v>
      </c>
      <c r="I576" t="n">
        <v>0</v>
      </c>
      <c r="J576" t="n">
        <v>0</v>
      </c>
      <c r="K576" t="n">
        <v>0</v>
      </c>
      <c r="L576" t="n">
        <v>0</v>
      </c>
      <c r="M576" t="n">
        <v>0</v>
      </c>
      <c r="N576" t="n">
        <v>0</v>
      </c>
      <c r="O576" t="n">
        <v>0</v>
      </c>
      <c r="P576" t="n">
        <v>0</v>
      </c>
      <c r="Q576" t="n">
        <v>0</v>
      </c>
      <c r="R576" s="2" t="inlineStr"/>
    </row>
    <row r="577" ht="15" customHeight="1">
      <c r="A577" t="inlineStr">
        <is>
          <t>A 64203-2021</t>
        </is>
      </c>
      <c r="B577" s="1" t="n">
        <v>44510.60921296296</v>
      </c>
      <c r="C577" s="1" t="n">
        <v>45993</v>
      </c>
      <c r="D577" t="inlineStr">
        <is>
          <t>KALMAR LÄN</t>
        </is>
      </c>
      <c r="E577" t="inlineStr">
        <is>
          <t>VIMMERBY</t>
        </is>
      </c>
      <c r="F577" t="inlineStr">
        <is>
          <t>Övriga Aktiebolag</t>
        </is>
      </c>
      <c r="G577" t="n">
        <v>5.4</v>
      </c>
      <c r="H577" t="n">
        <v>0</v>
      </c>
      <c r="I577" t="n">
        <v>0</v>
      </c>
      <c r="J577" t="n">
        <v>0</v>
      </c>
      <c r="K577" t="n">
        <v>0</v>
      </c>
      <c r="L577" t="n">
        <v>0</v>
      </c>
      <c r="M577" t="n">
        <v>0</v>
      </c>
      <c r="N577" t="n">
        <v>0</v>
      </c>
      <c r="O577" t="n">
        <v>0</v>
      </c>
      <c r="P577" t="n">
        <v>0</v>
      </c>
      <c r="Q577" t="n">
        <v>0</v>
      </c>
      <c r="R577" s="2" t="inlineStr"/>
    </row>
    <row r="578" ht="15" customHeight="1">
      <c r="A578" t="inlineStr">
        <is>
          <t>A 51990-2025</t>
        </is>
      </c>
      <c r="B578" s="1" t="n">
        <v>45952.58061342593</v>
      </c>
      <c r="C578" s="1" t="n">
        <v>45993</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33838-2022</t>
        </is>
      </c>
      <c r="B579" s="1" t="n">
        <v>44790.49040509259</v>
      </c>
      <c r="C579" s="1" t="n">
        <v>45993</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4058-2024</t>
        </is>
      </c>
      <c r="B580" s="1" t="n">
        <v>45323.53744212963</v>
      </c>
      <c r="C580" s="1" t="n">
        <v>45993</v>
      </c>
      <c r="D580" t="inlineStr">
        <is>
          <t>KALMAR LÄN</t>
        </is>
      </c>
      <c r="E580" t="inlineStr">
        <is>
          <t>VIMMERBY</t>
        </is>
      </c>
      <c r="G580" t="n">
        <v>6.5</v>
      </c>
      <c r="H580" t="n">
        <v>0</v>
      </c>
      <c r="I580" t="n">
        <v>0</v>
      </c>
      <c r="J580" t="n">
        <v>0</v>
      </c>
      <c r="K580" t="n">
        <v>0</v>
      </c>
      <c r="L580" t="n">
        <v>0</v>
      </c>
      <c r="M580" t="n">
        <v>0</v>
      </c>
      <c r="N580" t="n">
        <v>0</v>
      </c>
      <c r="O580" t="n">
        <v>0</v>
      </c>
      <c r="P580" t="n">
        <v>0</v>
      </c>
      <c r="Q580" t="n">
        <v>0</v>
      </c>
      <c r="R580" s="2" t="inlineStr"/>
    </row>
    <row r="581" ht="15" customHeight="1">
      <c r="A581" t="inlineStr">
        <is>
          <t>A 36008-2024</t>
        </is>
      </c>
      <c r="B581" s="1" t="n">
        <v>45533.55362268518</v>
      </c>
      <c r="C581" s="1" t="n">
        <v>45993</v>
      </c>
      <c r="D581" t="inlineStr">
        <is>
          <t>KALMAR LÄN</t>
        </is>
      </c>
      <c r="E581" t="inlineStr">
        <is>
          <t>VIMMERBY</t>
        </is>
      </c>
      <c r="G581" t="n">
        <v>3.7</v>
      </c>
      <c r="H581" t="n">
        <v>0</v>
      </c>
      <c r="I581" t="n">
        <v>0</v>
      </c>
      <c r="J581" t="n">
        <v>0</v>
      </c>
      <c r="K581" t="n">
        <v>0</v>
      </c>
      <c r="L581" t="n">
        <v>0</v>
      </c>
      <c r="M581" t="n">
        <v>0</v>
      </c>
      <c r="N581" t="n">
        <v>0</v>
      </c>
      <c r="O581" t="n">
        <v>0</v>
      </c>
      <c r="P581" t="n">
        <v>0</v>
      </c>
      <c r="Q581" t="n">
        <v>0</v>
      </c>
      <c r="R581" s="2" t="inlineStr"/>
    </row>
    <row r="582" ht="15" customHeight="1">
      <c r="A582" t="inlineStr">
        <is>
          <t>A 18669-2025</t>
        </is>
      </c>
      <c r="B582" s="1" t="n">
        <v>45763.59436342592</v>
      </c>
      <c r="C582" s="1" t="n">
        <v>45993</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8540-2024</t>
        </is>
      </c>
      <c r="B583" s="1" t="n">
        <v>45355.54138888889</v>
      </c>
      <c r="C583" s="1" t="n">
        <v>45993</v>
      </c>
      <c r="D583" t="inlineStr">
        <is>
          <t>KALMAR LÄN</t>
        </is>
      </c>
      <c r="E583" t="inlineStr">
        <is>
          <t>VIMMERBY</t>
        </is>
      </c>
      <c r="G583" t="n">
        <v>1.9</v>
      </c>
      <c r="H583" t="n">
        <v>0</v>
      </c>
      <c r="I583" t="n">
        <v>0</v>
      </c>
      <c r="J583" t="n">
        <v>0</v>
      </c>
      <c r="K583" t="n">
        <v>0</v>
      </c>
      <c r="L583" t="n">
        <v>0</v>
      </c>
      <c r="M583" t="n">
        <v>0</v>
      </c>
      <c r="N583" t="n">
        <v>0</v>
      </c>
      <c r="O583" t="n">
        <v>0</v>
      </c>
      <c r="P583" t="n">
        <v>0</v>
      </c>
      <c r="Q583" t="n">
        <v>0</v>
      </c>
      <c r="R583" s="2" t="inlineStr"/>
    </row>
    <row r="584" ht="15" customHeight="1">
      <c r="A584" t="inlineStr">
        <is>
          <t>A 51993-2025</t>
        </is>
      </c>
      <c r="B584" s="1" t="n">
        <v>45952.58194444444</v>
      </c>
      <c r="C584" s="1" t="n">
        <v>45993</v>
      </c>
      <c r="D584" t="inlineStr">
        <is>
          <t>KALMAR LÄN</t>
        </is>
      </c>
      <c r="E584" t="inlineStr">
        <is>
          <t>VIMMERBY</t>
        </is>
      </c>
      <c r="G584" t="n">
        <v>2.8</v>
      </c>
      <c r="H584" t="n">
        <v>0</v>
      </c>
      <c r="I584" t="n">
        <v>0</v>
      </c>
      <c r="J584" t="n">
        <v>0</v>
      </c>
      <c r="K584" t="n">
        <v>0</v>
      </c>
      <c r="L584" t="n">
        <v>0</v>
      </c>
      <c r="M584" t="n">
        <v>0</v>
      </c>
      <c r="N584" t="n">
        <v>0</v>
      </c>
      <c r="O584" t="n">
        <v>0</v>
      </c>
      <c r="P584" t="n">
        <v>0</v>
      </c>
      <c r="Q584" t="n">
        <v>0</v>
      </c>
      <c r="R584" s="2" t="inlineStr"/>
    </row>
    <row r="585" ht="15" customHeight="1">
      <c r="A585" t="inlineStr">
        <is>
          <t>A 9623-2024</t>
        </is>
      </c>
      <c r="B585" s="1" t="n">
        <v>45361.87975694444</v>
      </c>
      <c r="C585" s="1" t="n">
        <v>45993</v>
      </c>
      <c r="D585" t="inlineStr">
        <is>
          <t>KALMAR LÄN</t>
        </is>
      </c>
      <c r="E585" t="inlineStr">
        <is>
          <t>VIMMERBY</t>
        </is>
      </c>
      <c r="G585" t="n">
        <v>1.6</v>
      </c>
      <c r="H585" t="n">
        <v>0</v>
      </c>
      <c r="I585" t="n">
        <v>0</v>
      </c>
      <c r="J585" t="n">
        <v>0</v>
      </c>
      <c r="K585" t="n">
        <v>0</v>
      </c>
      <c r="L585" t="n">
        <v>0</v>
      </c>
      <c r="M585" t="n">
        <v>0</v>
      </c>
      <c r="N585" t="n">
        <v>0</v>
      </c>
      <c r="O585" t="n">
        <v>0</v>
      </c>
      <c r="P585" t="n">
        <v>0</v>
      </c>
      <c r="Q585" t="n">
        <v>0</v>
      </c>
      <c r="R585" s="2" t="inlineStr"/>
    </row>
    <row r="586" ht="15" customHeight="1">
      <c r="A586" t="inlineStr">
        <is>
          <t>A 5146-2024</t>
        </is>
      </c>
      <c r="B586" s="1" t="n">
        <v>45330</v>
      </c>
      <c r="C586" s="1" t="n">
        <v>45993</v>
      </c>
      <c r="D586" t="inlineStr">
        <is>
          <t>KALMAR LÄN</t>
        </is>
      </c>
      <c r="E586" t="inlineStr">
        <is>
          <t>VIMMERBY</t>
        </is>
      </c>
      <c r="G586" t="n">
        <v>5.3</v>
      </c>
      <c r="H586" t="n">
        <v>0</v>
      </c>
      <c r="I586" t="n">
        <v>0</v>
      </c>
      <c r="J586" t="n">
        <v>0</v>
      </c>
      <c r="K586" t="n">
        <v>0</v>
      </c>
      <c r="L586" t="n">
        <v>0</v>
      </c>
      <c r="M586" t="n">
        <v>0</v>
      </c>
      <c r="N586" t="n">
        <v>0</v>
      </c>
      <c r="O586" t="n">
        <v>0</v>
      </c>
      <c r="P586" t="n">
        <v>0</v>
      </c>
      <c r="Q586" t="n">
        <v>0</v>
      </c>
      <c r="R586" s="2" t="inlineStr"/>
    </row>
    <row r="587" ht="15" customHeight="1">
      <c r="A587" t="inlineStr">
        <is>
          <t>A 5148-2024</t>
        </is>
      </c>
      <c r="B587" s="1" t="n">
        <v>45330</v>
      </c>
      <c r="C587" s="1" t="n">
        <v>45993</v>
      </c>
      <c r="D587" t="inlineStr">
        <is>
          <t>KALMAR LÄN</t>
        </is>
      </c>
      <c r="E587" t="inlineStr">
        <is>
          <t>VIMMERBY</t>
        </is>
      </c>
      <c r="G587" t="n">
        <v>5.6</v>
      </c>
      <c r="H587" t="n">
        <v>0</v>
      </c>
      <c r="I587" t="n">
        <v>0</v>
      </c>
      <c r="J587" t="n">
        <v>0</v>
      </c>
      <c r="K587" t="n">
        <v>0</v>
      </c>
      <c r="L587" t="n">
        <v>0</v>
      </c>
      <c r="M587" t="n">
        <v>0</v>
      </c>
      <c r="N587" t="n">
        <v>0</v>
      </c>
      <c r="O587" t="n">
        <v>0</v>
      </c>
      <c r="P587" t="n">
        <v>0</v>
      </c>
      <c r="Q587" t="n">
        <v>0</v>
      </c>
      <c r="R587" s="2" t="inlineStr"/>
    </row>
    <row r="588" ht="15" customHeight="1">
      <c r="A588" t="inlineStr">
        <is>
          <t>A 1016-2024</t>
        </is>
      </c>
      <c r="B588" s="1" t="n">
        <v>45301</v>
      </c>
      <c r="C588" s="1" t="n">
        <v>45993</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1024-2024</t>
        </is>
      </c>
      <c r="B589" s="1" t="n">
        <v>45301.68237268519</v>
      </c>
      <c r="C589" s="1" t="n">
        <v>45993</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27758-2024</t>
        </is>
      </c>
      <c r="B590" s="1" t="n">
        <v>45475.48303240741</v>
      </c>
      <c r="C590" s="1" t="n">
        <v>45993</v>
      </c>
      <c r="D590" t="inlineStr">
        <is>
          <t>KALMAR LÄN</t>
        </is>
      </c>
      <c r="E590" t="inlineStr">
        <is>
          <t>VIMMERBY</t>
        </is>
      </c>
      <c r="G590" t="n">
        <v>2.6</v>
      </c>
      <c r="H590" t="n">
        <v>0</v>
      </c>
      <c r="I590" t="n">
        <v>0</v>
      </c>
      <c r="J590" t="n">
        <v>0</v>
      </c>
      <c r="K590" t="n">
        <v>0</v>
      </c>
      <c r="L590" t="n">
        <v>0</v>
      </c>
      <c r="M590" t="n">
        <v>0</v>
      </c>
      <c r="N590" t="n">
        <v>0</v>
      </c>
      <c r="O590" t="n">
        <v>0</v>
      </c>
      <c r="P590" t="n">
        <v>0</v>
      </c>
      <c r="Q590" t="n">
        <v>0</v>
      </c>
      <c r="R590" s="2" t="inlineStr"/>
    </row>
    <row r="591" ht="15" customHeight="1">
      <c r="A591" t="inlineStr">
        <is>
          <t>A 44179-2022</t>
        </is>
      </c>
      <c r="B591" s="1" t="n">
        <v>44839.4528125</v>
      </c>
      <c r="C591" s="1" t="n">
        <v>45993</v>
      </c>
      <c r="D591" t="inlineStr">
        <is>
          <t>KALMAR LÄN</t>
        </is>
      </c>
      <c r="E591" t="inlineStr">
        <is>
          <t>VIMMERBY</t>
        </is>
      </c>
      <c r="G591" t="n">
        <v>2.8</v>
      </c>
      <c r="H591" t="n">
        <v>0</v>
      </c>
      <c r="I591" t="n">
        <v>0</v>
      </c>
      <c r="J591" t="n">
        <v>0</v>
      </c>
      <c r="K591" t="n">
        <v>0</v>
      </c>
      <c r="L591" t="n">
        <v>0</v>
      </c>
      <c r="M591" t="n">
        <v>0</v>
      </c>
      <c r="N591" t="n">
        <v>0</v>
      </c>
      <c r="O591" t="n">
        <v>0</v>
      </c>
      <c r="P591" t="n">
        <v>0</v>
      </c>
      <c r="Q591" t="n">
        <v>0</v>
      </c>
      <c r="R591" s="2" t="inlineStr"/>
    </row>
    <row r="592" ht="15" customHeight="1">
      <c r="A592" t="inlineStr">
        <is>
          <t>A 50648-2023</t>
        </is>
      </c>
      <c r="B592" s="1" t="n">
        <v>45217.47834490741</v>
      </c>
      <c r="C592" s="1" t="n">
        <v>45993</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6218-2025</t>
        </is>
      </c>
      <c r="B593" s="1" t="n">
        <v>45698.53336805556</v>
      </c>
      <c r="C593" s="1" t="n">
        <v>45993</v>
      </c>
      <c r="D593" t="inlineStr">
        <is>
          <t>KALMAR LÄN</t>
        </is>
      </c>
      <c r="E593" t="inlineStr">
        <is>
          <t>VIMMERBY</t>
        </is>
      </c>
      <c r="G593" t="n">
        <v>1.1</v>
      </c>
      <c r="H593" t="n">
        <v>0</v>
      </c>
      <c r="I593" t="n">
        <v>0</v>
      </c>
      <c r="J593" t="n">
        <v>0</v>
      </c>
      <c r="K593" t="n">
        <v>0</v>
      </c>
      <c r="L593" t="n">
        <v>0</v>
      </c>
      <c r="M593" t="n">
        <v>0</v>
      </c>
      <c r="N593" t="n">
        <v>0</v>
      </c>
      <c r="O593" t="n">
        <v>0</v>
      </c>
      <c r="P593" t="n">
        <v>0</v>
      </c>
      <c r="Q593" t="n">
        <v>0</v>
      </c>
      <c r="R593" s="2" t="inlineStr"/>
    </row>
    <row r="594" ht="15" customHeight="1">
      <c r="A594" t="inlineStr">
        <is>
          <t>A 40076-2021</t>
        </is>
      </c>
      <c r="B594" s="1" t="n">
        <v>44418</v>
      </c>
      <c r="C594" s="1" t="n">
        <v>45993</v>
      </c>
      <c r="D594" t="inlineStr">
        <is>
          <t>KALMAR LÄN</t>
        </is>
      </c>
      <c r="E594" t="inlineStr">
        <is>
          <t>VIMMERBY</t>
        </is>
      </c>
      <c r="G594" t="n">
        <v>2</v>
      </c>
      <c r="H594" t="n">
        <v>0</v>
      </c>
      <c r="I594" t="n">
        <v>0</v>
      </c>
      <c r="J594" t="n">
        <v>0</v>
      </c>
      <c r="K594" t="n">
        <v>0</v>
      </c>
      <c r="L594" t="n">
        <v>0</v>
      </c>
      <c r="M594" t="n">
        <v>0</v>
      </c>
      <c r="N594" t="n">
        <v>0</v>
      </c>
      <c r="O594" t="n">
        <v>0</v>
      </c>
      <c r="P594" t="n">
        <v>0</v>
      </c>
      <c r="Q594" t="n">
        <v>0</v>
      </c>
      <c r="R594" s="2" t="inlineStr"/>
    </row>
    <row r="595" ht="15" customHeight="1">
      <c r="A595" t="inlineStr">
        <is>
          <t>A 2121-2022</t>
        </is>
      </c>
      <c r="B595" s="1" t="n">
        <v>44578.32717592592</v>
      </c>
      <c r="C595" s="1" t="n">
        <v>45993</v>
      </c>
      <c r="D595" t="inlineStr">
        <is>
          <t>KALMAR LÄN</t>
        </is>
      </c>
      <c r="E595" t="inlineStr">
        <is>
          <t>VIMMERBY</t>
        </is>
      </c>
      <c r="G595" t="n">
        <v>2</v>
      </c>
      <c r="H595" t="n">
        <v>0</v>
      </c>
      <c r="I595" t="n">
        <v>0</v>
      </c>
      <c r="J595" t="n">
        <v>0</v>
      </c>
      <c r="K595" t="n">
        <v>0</v>
      </c>
      <c r="L595" t="n">
        <v>0</v>
      </c>
      <c r="M595" t="n">
        <v>0</v>
      </c>
      <c r="N595" t="n">
        <v>0</v>
      </c>
      <c r="O595" t="n">
        <v>0</v>
      </c>
      <c r="P595" t="n">
        <v>0</v>
      </c>
      <c r="Q595" t="n">
        <v>0</v>
      </c>
      <c r="R595" s="2" t="inlineStr"/>
    </row>
    <row r="596" ht="15" customHeight="1">
      <c r="A596" t="inlineStr">
        <is>
          <t>A 57799-2022</t>
        </is>
      </c>
      <c r="B596" s="1" t="n">
        <v>44897</v>
      </c>
      <c r="C596" s="1" t="n">
        <v>45993</v>
      </c>
      <c r="D596" t="inlineStr">
        <is>
          <t>KALMAR LÄN</t>
        </is>
      </c>
      <c r="E596" t="inlineStr">
        <is>
          <t>VIMMERBY</t>
        </is>
      </c>
      <c r="G596" t="n">
        <v>1.4</v>
      </c>
      <c r="H596" t="n">
        <v>0</v>
      </c>
      <c r="I596" t="n">
        <v>0</v>
      </c>
      <c r="J596" t="n">
        <v>0</v>
      </c>
      <c r="K596" t="n">
        <v>0</v>
      </c>
      <c r="L596" t="n">
        <v>0</v>
      </c>
      <c r="M596" t="n">
        <v>0</v>
      </c>
      <c r="N596" t="n">
        <v>0</v>
      </c>
      <c r="O596" t="n">
        <v>0</v>
      </c>
      <c r="P596" t="n">
        <v>0</v>
      </c>
      <c r="Q596" t="n">
        <v>0</v>
      </c>
      <c r="R596" s="2" t="inlineStr"/>
    </row>
    <row r="597" ht="15" customHeight="1">
      <c r="A597" t="inlineStr">
        <is>
          <t>A 15394-2025</t>
        </is>
      </c>
      <c r="B597" s="1" t="n">
        <v>45747.43196759259</v>
      </c>
      <c r="C597" s="1" t="n">
        <v>45993</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43617-2025</t>
        </is>
      </c>
      <c r="B598" s="1" t="n">
        <v>45911.67798611111</v>
      </c>
      <c r="C598" s="1" t="n">
        <v>45993</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26318-2023</t>
        </is>
      </c>
      <c r="B599" s="1" t="n">
        <v>45091.67936342592</v>
      </c>
      <c r="C599" s="1" t="n">
        <v>45993</v>
      </c>
      <c r="D599" t="inlineStr">
        <is>
          <t>KALMAR LÄN</t>
        </is>
      </c>
      <c r="E599" t="inlineStr">
        <is>
          <t>VIMMERBY</t>
        </is>
      </c>
      <c r="G599" t="n">
        <v>3.8</v>
      </c>
      <c r="H599" t="n">
        <v>0</v>
      </c>
      <c r="I599" t="n">
        <v>0</v>
      </c>
      <c r="J599" t="n">
        <v>0</v>
      </c>
      <c r="K599" t="n">
        <v>0</v>
      </c>
      <c r="L599" t="n">
        <v>0</v>
      </c>
      <c r="M599" t="n">
        <v>0</v>
      </c>
      <c r="N599" t="n">
        <v>0</v>
      </c>
      <c r="O599" t="n">
        <v>0</v>
      </c>
      <c r="P599" t="n">
        <v>0</v>
      </c>
      <c r="Q599" t="n">
        <v>0</v>
      </c>
      <c r="R599" s="2" t="inlineStr"/>
    </row>
    <row r="600" ht="15" customHeight="1">
      <c r="A600" t="inlineStr">
        <is>
          <t>A 52465-2025</t>
        </is>
      </c>
      <c r="B600" s="1" t="n">
        <v>45954.44543981482</v>
      </c>
      <c r="C600" s="1" t="n">
        <v>45993</v>
      </c>
      <c r="D600" t="inlineStr">
        <is>
          <t>KALMAR LÄN</t>
        </is>
      </c>
      <c r="E600" t="inlineStr">
        <is>
          <t>VIMMERBY</t>
        </is>
      </c>
      <c r="G600" t="n">
        <v>0.9</v>
      </c>
      <c r="H600" t="n">
        <v>0</v>
      </c>
      <c r="I600" t="n">
        <v>0</v>
      </c>
      <c r="J600" t="n">
        <v>0</v>
      </c>
      <c r="K600" t="n">
        <v>0</v>
      </c>
      <c r="L600" t="n">
        <v>0</v>
      </c>
      <c r="M600" t="n">
        <v>0</v>
      </c>
      <c r="N600" t="n">
        <v>0</v>
      </c>
      <c r="O600" t="n">
        <v>0</v>
      </c>
      <c r="P600" t="n">
        <v>0</v>
      </c>
      <c r="Q600" t="n">
        <v>0</v>
      </c>
      <c r="R600" s="2" t="inlineStr"/>
    </row>
    <row r="601" ht="15" customHeight="1">
      <c r="A601" t="inlineStr">
        <is>
          <t>A 60437-2023</t>
        </is>
      </c>
      <c r="B601" s="1" t="n">
        <v>45259.51916666667</v>
      </c>
      <c r="C601" s="1" t="n">
        <v>45993</v>
      </c>
      <c r="D601" t="inlineStr">
        <is>
          <t>KALMAR LÄN</t>
        </is>
      </c>
      <c r="E601" t="inlineStr">
        <is>
          <t>VIMMERBY</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60438-2023</t>
        </is>
      </c>
      <c r="B602" s="1" t="n">
        <v>45259.52020833334</v>
      </c>
      <c r="C602" s="1" t="n">
        <v>45993</v>
      </c>
      <c r="D602" t="inlineStr">
        <is>
          <t>KALMAR LÄN</t>
        </is>
      </c>
      <c r="E602" t="inlineStr">
        <is>
          <t>VIMMERBY</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52451-2025</t>
        </is>
      </c>
      <c r="B603" s="1" t="n">
        <v>45954.42326388889</v>
      </c>
      <c r="C603" s="1" t="n">
        <v>45993</v>
      </c>
      <c r="D603" t="inlineStr">
        <is>
          <t>KALMAR LÄN</t>
        </is>
      </c>
      <c r="E603" t="inlineStr">
        <is>
          <t>VIMMERBY</t>
        </is>
      </c>
      <c r="G603" t="n">
        <v>2.8</v>
      </c>
      <c r="H603" t="n">
        <v>0</v>
      </c>
      <c r="I603" t="n">
        <v>0</v>
      </c>
      <c r="J603" t="n">
        <v>0</v>
      </c>
      <c r="K603" t="n">
        <v>0</v>
      </c>
      <c r="L603" t="n">
        <v>0</v>
      </c>
      <c r="M603" t="n">
        <v>0</v>
      </c>
      <c r="N603" t="n">
        <v>0</v>
      </c>
      <c r="O603" t="n">
        <v>0</v>
      </c>
      <c r="P603" t="n">
        <v>0</v>
      </c>
      <c r="Q603" t="n">
        <v>0</v>
      </c>
      <c r="R603" s="2" t="inlineStr"/>
    </row>
    <row r="604" ht="15" customHeight="1">
      <c r="A604" t="inlineStr">
        <is>
          <t>A 7758-2024</t>
        </is>
      </c>
      <c r="B604" s="1" t="n">
        <v>45349.54434027777</v>
      </c>
      <c r="C604" s="1" t="n">
        <v>45993</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7456-2024</t>
        </is>
      </c>
      <c r="B605" s="1" t="n">
        <v>45345.83557870371</v>
      </c>
      <c r="C605" s="1" t="n">
        <v>45993</v>
      </c>
      <c r="D605" t="inlineStr">
        <is>
          <t>KALMAR LÄN</t>
        </is>
      </c>
      <c r="E605" t="inlineStr">
        <is>
          <t>VIMMERBY</t>
        </is>
      </c>
      <c r="G605" t="n">
        <v>4.1</v>
      </c>
      <c r="H605" t="n">
        <v>0</v>
      </c>
      <c r="I605" t="n">
        <v>0</v>
      </c>
      <c r="J605" t="n">
        <v>0</v>
      </c>
      <c r="K605" t="n">
        <v>0</v>
      </c>
      <c r="L605" t="n">
        <v>0</v>
      </c>
      <c r="M605" t="n">
        <v>0</v>
      </c>
      <c r="N605" t="n">
        <v>0</v>
      </c>
      <c r="O605" t="n">
        <v>0</v>
      </c>
      <c r="P605" t="n">
        <v>0</v>
      </c>
      <c r="Q605" t="n">
        <v>0</v>
      </c>
      <c r="R605" s="2" t="inlineStr"/>
    </row>
    <row r="606" ht="15" customHeight="1">
      <c r="A606" t="inlineStr">
        <is>
          <t>A 43465-2025</t>
        </is>
      </c>
      <c r="B606" s="1" t="n">
        <v>45911.47138888889</v>
      </c>
      <c r="C606" s="1" t="n">
        <v>45993</v>
      </c>
      <c r="D606" t="inlineStr">
        <is>
          <t>KALMAR LÄN</t>
        </is>
      </c>
      <c r="E606" t="inlineStr">
        <is>
          <t>VIMMERBY</t>
        </is>
      </c>
      <c r="G606" t="n">
        <v>0.7</v>
      </c>
      <c r="H606" t="n">
        <v>0</v>
      </c>
      <c r="I606" t="n">
        <v>0</v>
      </c>
      <c r="J606" t="n">
        <v>0</v>
      </c>
      <c r="K606" t="n">
        <v>0</v>
      </c>
      <c r="L606" t="n">
        <v>0</v>
      </c>
      <c r="M606" t="n">
        <v>0</v>
      </c>
      <c r="N606" t="n">
        <v>0</v>
      </c>
      <c r="O606" t="n">
        <v>0</v>
      </c>
      <c r="P606" t="n">
        <v>0</v>
      </c>
      <c r="Q606" t="n">
        <v>0</v>
      </c>
      <c r="R606" s="2" t="inlineStr"/>
    </row>
    <row r="607" ht="15" customHeight="1">
      <c r="A607" t="inlineStr">
        <is>
          <t>A 32865-2023</t>
        </is>
      </c>
      <c r="B607" s="1" t="n">
        <v>45124</v>
      </c>
      <c r="C607" s="1" t="n">
        <v>45993</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22194-2024</t>
        </is>
      </c>
      <c r="B608" s="1" t="n">
        <v>45446.36482638889</v>
      </c>
      <c r="C608" s="1" t="n">
        <v>45993</v>
      </c>
      <c r="D608" t="inlineStr">
        <is>
          <t>KALMAR LÄN</t>
        </is>
      </c>
      <c r="E608" t="inlineStr">
        <is>
          <t>VIMMERBY</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52473-2025</t>
        </is>
      </c>
      <c r="B609" s="1" t="n">
        <v>45954.45947916667</v>
      </c>
      <c r="C609" s="1" t="n">
        <v>45993</v>
      </c>
      <c r="D609" t="inlineStr">
        <is>
          <t>KALMAR LÄN</t>
        </is>
      </c>
      <c r="E609" t="inlineStr">
        <is>
          <t>VIMMERBY</t>
        </is>
      </c>
      <c r="G609" t="n">
        <v>2.4</v>
      </c>
      <c r="H609" t="n">
        <v>0</v>
      </c>
      <c r="I609" t="n">
        <v>0</v>
      </c>
      <c r="J609" t="n">
        <v>0</v>
      </c>
      <c r="K609" t="n">
        <v>0</v>
      </c>
      <c r="L609" t="n">
        <v>0</v>
      </c>
      <c r="M609" t="n">
        <v>0</v>
      </c>
      <c r="N609" t="n">
        <v>0</v>
      </c>
      <c r="O609" t="n">
        <v>0</v>
      </c>
      <c r="P609" t="n">
        <v>0</v>
      </c>
      <c r="Q609" t="n">
        <v>0</v>
      </c>
      <c r="R609" s="2" t="inlineStr"/>
    </row>
    <row r="610" ht="15" customHeight="1">
      <c r="A610" t="inlineStr">
        <is>
          <t>A 52480-2025</t>
        </is>
      </c>
      <c r="B610" s="1" t="n">
        <v>45954.47172453703</v>
      </c>
      <c r="C610" s="1" t="n">
        <v>45993</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52466-2025</t>
        </is>
      </c>
      <c r="B611" s="1" t="n">
        <v>45954.44707175926</v>
      </c>
      <c r="C611" s="1" t="n">
        <v>45993</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6082-2022</t>
        </is>
      </c>
      <c r="B612" s="1" t="n">
        <v>44599</v>
      </c>
      <c r="C612" s="1" t="n">
        <v>45993</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46979-2023</t>
        </is>
      </c>
      <c r="B613" s="1" t="n">
        <v>45201</v>
      </c>
      <c r="C613" s="1" t="n">
        <v>45993</v>
      </c>
      <c r="D613" t="inlineStr">
        <is>
          <t>KALMAR LÄN</t>
        </is>
      </c>
      <c r="E613" t="inlineStr">
        <is>
          <t>VIMMERBY</t>
        </is>
      </c>
      <c r="G613" t="n">
        <v>1</v>
      </c>
      <c r="H613" t="n">
        <v>0</v>
      </c>
      <c r="I613" t="n">
        <v>0</v>
      </c>
      <c r="J613" t="n">
        <v>0</v>
      </c>
      <c r="K613" t="n">
        <v>0</v>
      </c>
      <c r="L613" t="n">
        <v>0</v>
      </c>
      <c r="M613" t="n">
        <v>0</v>
      </c>
      <c r="N613" t="n">
        <v>0</v>
      </c>
      <c r="O613" t="n">
        <v>0</v>
      </c>
      <c r="P613" t="n">
        <v>0</v>
      </c>
      <c r="Q613" t="n">
        <v>0</v>
      </c>
      <c r="R613" s="2" t="inlineStr"/>
    </row>
    <row r="614" ht="15" customHeight="1">
      <c r="A614" t="inlineStr">
        <is>
          <t>A 12588-2025</t>
        </is>
      </c>
      <c r="B614" s="1" t="n">
        <v>45732.76936342593</v>
      </c>
      <c r="C614" s="1" t="n">
        <v>45993</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25979-2023</t>
        </is>
      </c>
      <c r="B615" s="1" t="n">
        <v>45090.89653935185</v>
      </c>
      <c r="C615" s="1" t="n">
        <v>45993</v>
      </c>
      <c r="D615" t="inlineStr">
        <is>
          <t>KALMAR LÄN</t>
        </is>
      </c>
      <c r="E615" t="inlineStr">
        <is>
          <t>VIMMERBY</t>
        </is>
      </c>
      <c r="G615" t="n">
        <v>2</v>
      </c>
      <c r="H615" t="n">
        <v>0</v>
      </c>
      <c r="I615" t="n">
        <v>0</v>
      </c>
      <c r="J615" t="n">
        <v>0</v>
      </c>
      <c r="K615" t="n">
        <v>0</v>
      </c>
      <c r="L615" t="n">
        <v>0</v>
      </c>
      <c r="M615" t="n">
        <v>0</v>
      </c>
      <c r="N615" t="n">
        <v>0</v>
      </c>
      <c r="O615" t="n">
        <v>0</v>
      </c>
      <c r="P615" t="n">
        <v>0</v>
      </c>
      <c r="Q615" t="n">
        <v>0</v>
      </c>
      <c r="R615" s="2" t="inlineStr"/>
    </row>
    <row r="616" ht="15" customHeight="1">
      <c r="A616" t="inlineStr">
        <is>
          <t>A 25980-2023</t>
        </is>
      </c>
      <c r="B616" s="1" t="n">
        <v>45090.89880787037</v>
      </c>
      <c r="C616" s="1" t="n">
        <v>45993</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2596-2025</t>
        </is>
      </c>
      <c r="B617" s="1" t="n">
        <v>45674.71810185185</v>
      </c>
      <c r="C617" s="1" t="n">
        <v>45993</v>
      </c>
      <c r="D617" t="inlineStr">
        <is>
          <t>KALMAR LÄN</t>
        </is>
      </c>
      <c r="E617" t="inlineStr">
        <is>
          <t>VIMMERBY</t>
        </is>
      </c>
      <c r="G617" t="n">
        <v>9</v>
      </c>
      <c r="H617" t="n">
        <v>0</v>
      </c>
      <c r="I617" t="n">
        <v>0</v>
      </c>
      <c r="J617" t="n">
        <v>0</v>
      </c>
      <c r="K617" t="n">
        <v>0</v>
      </c>
      <c r="L617" t="n">
        <v>0</v>
      </c>
      <c r="M617" t="n">
        <v>0</v>
      </c>
      <c r="N617" t="n">
        <v>0</v>
      </c>
      <c r="O617" t="n">
        <v>0</v>
      </c>
      <c r="P617" t="n">
        <v>0</v>
      </c>
      <c r="Q617" t="n">
        <v>0</v>
      </c>
      <c r="R617" s="2" t="inlineStr"/>
    </row>
    <row r="618" ht="15" customHeight="1">
      <c r="A618" t="inlineStr">
        <is>
          <t>A 47855-2024</t>
        </is>
      </c>
      <c r="B618" s="1" t="n">
        <v>45588.66457175926</v>
      </c>
      <c r="C618" s="1" t="n">
        <v>45993</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63583-2023</t>
        </is>
      </c>
      <c r="B619" s="1" t="n">
        <v>45275.41833333333</v>
      </c>
      <c r="C619" s="1" t="n">
        <v>45993</v>
      </c>
      <c r="D619" t="inlineStr">
        <is>
          <t>KALMAR LÄN</t>
        </is>
      </c>
      <c r="E619" t="inlineStr">
        <is>
          <t>VIMMERBY</t>
        </is>
      </c>
      <c r="G619" t="n">
        <v>1.4</v>
      </c>
      <c r="H619" t="n">
        <v>0</v>
      </c>
      <c r="I619" t="n">
        <v>0</v>
      </c>
      <c r="J619" t="n">
        <v>0</v>
      </c>
      <c r="K619" t="n">
        <v>0</v>
      </c>
      <c r="L619" t="n">
        <v>0</v>
      </c>
      <c r="M619" t="n">
        <v>0</v>
      </c>
      <c r="N619" t="n">
        <v>0</v>
      </c>
      <c r="O619" t="n">
        <v>0</v>
      </c>
      <c r="P619" t="n">
        <v>0</v>
      </c>
      <c r="Q619" t="n">
        <v>0</v>
      </c>
      <c r="R619" s="2" t="inlineStr"/>
    </row>
    <row r="620" ht="15" customHeight="1">
      <c r="A620" t="inlineStr">
        <is>
          <t>A 17926-2025</t>
        </is>
      </c>
      <c r="B620" s="1" t="n">
        <v>45759.38987268518</v>
      </c>
      <c r="C620" s="1" t="n">
        <v>45993</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35127-2024</t>
        </is>
      </c>
      <c r="B621" s="1" t="n">
        <v>45530.33202546297</v>
      </c>
      <c r="C621" s="1" t="n">
        <v>45993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46921-2023</t>
        </is>
      </c>
      <c r="B622" s="1" t="n">
        <v>45201.39996527778</v>
      </c>
      <c r="C622" s="1" t="n">
        <v>45993</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10837-2023</t>
        </is>
      </c>
      <c r="B623" s="1" t="n">
        <v>44991.30547453704</v>
      </c>
      <c r="C623" s="1" t="n">
        <v>45993</v>
      </c>
      <c r="D623" t="inlineStr">
        <is>
          <t>KALMAR LÄN</t>
        </is>
      </c>
      <c r="E623" t="inlineStr">
        <is>
          <t>VIMMERBY</t>
        </is>
      </c>
      <c r="G623" t="n">
        <v>7.3</v>
      </c>
      <c r="H623" t="n">
        <v>0</v>
      </c>
      <c r="I623" t="n">
        <v>0</v>
      </c>
      <c r="J623" t="n">
        <v>0</v>
      </c>
      <c r="K623" t="n">
        <v>0</v>
      </c>
      <c r="L623" t="n">
        <v>0</v>
      </c>
      <c r="M623" t="n">
        <v>0</v>
      </c>
      <c r="N623" t="n">
        <v>0</v>
      </c>
      <c r="O623" t="n">
        <v>0</v>
      </c>
      <c r="P623" t="n">
        <v>0</v>
      </c>
      <c r="Q623" t="n">
        <v>0</v>
      </c>
      <c r="R623" s="2" t="inlineStr"/>
    </row>
    <row r="624" ht="15" customHeight="1">
      <c r="A624" t="inlineStr">
        <is>
          <t>A 10838-2023</t>
        </is>
      </c>
      <c r="B624" s="1" t="n">
        <v>44991</v>
      </c>
      <c r="C624" s="1" t="n">
        <v>45993</v>
      </c>
      <c r="D624" t="inlineStr">
        <is>
          <t>KALMAR LÄN</t>
        </is>
      </c>
      <c r="E624" t="inlineStr">
        <is>
          <t>VIMMERBY</t>
        </is>
      </c>
      <c r="G624" t="n">
        <v>5.1</v>
      </c>
      <c r="H624" t="n">
        <v>0</v>
      </c>
      <c r="I624" t="n">
        <v>0</v>
      </c>
      <c r="J624" t="n">
        <v>0</v>
      </c>
      <c r="K624" t="n">
        <v>0</v>
      </c>
      <c r="L624" t="n">
        <v>0</v>
      </c>
      <c r="M624" t="n">
        <v>0</v>
      </c>
      <c r="N624" t="n">
        <v>0</v>
      </c>
      <c r="O624" t="n">
        <v>0</v>
      </c>
      <c r="P624" t="n">
        <v>0</v>
      </c>
      <c r="Q624" t="n">
        <v>0</v>
      </c>
      <c r="R624" s="2" t="inlineStr"/>
    </row>
    <row r="625" ht="15" customHeight="1">
      <c r="A625" t="inlineStr">
        <is>
          <t>A 60228-2021</t>
        </is>
      </c>
      <c r="B625" s="1" t="n">
        <v>44495</v>
      </c>
      <c r="C625" s="1" t="n">
        <v>45993</v>
      </c>
      <c r="D625" t="inlineStr">
        <is>
          <t>KALMAR LÄN</t>
        </is>
      </c>
      <c r="E625" t="inlineStr">
        <is>
          <t>VIMMERBY</t>
        </is>
      </c>
      <c r="G625" t="n">
        <v>4.1</v>
      </c>
      <c r="H625" t="n">
        <v>0</v>
      </c>
      <c r="I625" t="n">
        <v>0</v>
      </c>
      <c r="J625" t="n">
        <v>0</v>
      </c>
      <c r="K625" t="n">
        <v>0</v>
      </c>
      <c r="L625" t="n">
        <v>0</v>
      </c>
      <c r="M625" t="n">
        <v>0</v>
      </c>
      <c r="N625" t="n">
        <v>0</v>
      </c>
      <c r="O625" t="n">
        <v>0</v>
      </c>
      <c r="P625" t="n">
        <v>0</v>
      </c>
      <c r="Q625" t="n">
        <v>0</v>
      </c>
      <c r="R625" s="2" t="inlineStr"/>
    </row>
    <row r="626" ht="15" customHeight="1">
      <c r="A626" t="inlineStr">
        <is>
          <t>A 30912-2023</t>
        </is>
      </c>
      <c r="B626" s="1" t="n">
        <v>45113.41633101852</v>
      </c>
      <c r="C626" s="1" t="n">
        <v>45993</v>
      </c>
      <c r="D626" t="inlineStr">
        <is>
          <t>KALMAR LÄN</t>
        </is>
      </c>
      <c r="E626" t="inlineStr">
        <is>
          <t>VIMMERBY</t>
        </is>
      </c>
      <c r="G626" t="n">
        <v>5</v>
      </c>
      <c r="H626" t="n">
        <v>0</v>
      </c>
      <c r="I626" t="n">
        <v>0</v>
      </c>
      <c r="J626" t="n">
        <v>0</v>
      </c>
      <c r="K626" t="n">
        <v>0</v>
      </c>
      <c r="L626" t="n">
        <v>0</v>
      </c>
      <c r="M626" t="n">
        <v>0</v>
      </c>
      <c r="N626" t="n">
        <v>0</v>
      </c>
      <c r="O626" t="n">
        <v>0</v>
      </c>
      <c r="P626" t="n">
        <v>0</v>
      </c>
      <c r="Q626" t="n">
        <v>0</v>
      </c>
      <c r="R626" s="2" t="inlineStr"/>
    </row>
    <row r="627" ht="15" customHeight="1">
      <c r="A627" t="inlineStr">
        <is>
          <t>A 52475-2025</t>
        </is>
      </c>
      <c r="B627" s="1" t="n">
        <v>45954.468125</v>
      </c>
      <c r="C627" s="1" t="n">
        <v>45993</v>
      </c>
      <c r="D627" t="inlineStr">
        <is>
          <t>KALMAR LÄN</t>
        </is>
      </c>
      <c r="E627" t="inlineStr">
        <is>
          <t>VIMMERBY</t>
        </is>
      </c>
      <c r="G627" t="n">
        <v>1.5</v>
      </c>
      <c r="H627" t="n">
        <v>0</v>
      </c>
      <c r="I627" t="n">
        <v>0</v>
      </c>
      <c r="J627" t="n">
        <v>0</v>
      </c>
      <c r="K627" t="n">
        <v>0</v>
      </c>
      <c r="L627" t="n">
        <v>0</v>
      </c>
      <c r="M627" t="n">
        <v>0</v>
      </c>
      <c r="N627" t="n">
        <v>0</v>
      </c>
      <c r="O627" t="n">
        <v>0</v>
      </c>
      <c r="P627" t="n">
        <v>0</v>
      </c>
      <c r="Q627" t="n">
        <v>0</v>
      </c>
      <c r="R627" s="2" t="inlineStr"/>
    </row>
    <row r="628" ht="15" customHeight="1">
      <c r="A628" t="inlineStr">
        <is>
          <t>A 52516-2025</t>
        </is>
      </c>
      <c r="B628" s="1" t="n">
        <v>45954.51412037037</v>
      </c>
      <c r="C628" s="1" t="n">
        <v>45993</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46522-2022</t>
        </is>
      </c>
      <c r="B629" s="1" t="n">
        <v>44848.59133101852</v>
      </c>
      <c r="C629" s="1" t="n">
        <v>45993</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44329-2025</t>
        </is>
      </c>
      <c r="B630" s="1" t="n">
        <v>45916.41019675926</v>
      </c>
      <c r="C630" s="1" t="n">
        <v>45993</v>
      </c>
      <c r="D630" t="inlineStr">
        <is>
          <t>KALMAR LÄN</t>
        </is>
      </c>
      <c r="E630" t="inlineStr">
        <is>
          <t>VIMMERBY</t>
        </is>
      </c>
      <c r="G630" t="n">
        <v>4.3</v>
      </c>
      <c r="H630" t="n">
        <v>0</v>
      </c>
      <c r="I630" t="n">
        <v>0</v>
      </c>
      <c r="J630" t="n">
        <v>0</v>
      </c>
      <c r="K630" t="n">
        <v>0</v>
      </c>
      <c r="L630" t="n">
        <v>0</v>
      </c>
      <c r="M630" t="n">
        <v>0</v>
      </c>
      <c r="N630" t="n">
        <v>0</v>
      </c>
      <c r="O630" t="n">
        <v>0</v>
      </c>
      <c r="P630" t="n">
        <v>0</v>
      </c>
      <c r="Q630" t="n">
        <v>0</v>
      </c>
      <c r="R630" s="2" t="inlineStr"/>
    </row>
    <row r="631" ht="15" customHeight="1">
      <c r="A631" t="inlineStr">
        <is>
          <t>A 21109-2024</t>
        </is>
      </c>
      <c r="B631" s="1" t="n">
        <v>45440.28329861111</v>
      </c>
      <c r="C631" s="1" t="n">
        <v>45993</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55436-2023</t>
        </is>
      </c>
      <c r="B632" s="1" t="n">
        <v>45238.4328587963</v>
      </c>
      <c r="C632" s="1" t="n">
        <v>45993</v>
      </c>
      <c r="D632" t="inlineStr">
        <is>
          <t>KALMAR LÄN</t>
        </is>
      </c>
      <c r="E632" t="inlineStr">
        <is>
          <t>VIMMERBY</t>
        </is>
      </c>
      <c r="G632" t="n">
        <v>5.6</v>
      </c>
      <c r="H632" t="n">
        <v>0</v>
      </c>
      <c r="I632" t="n">
        <v>0</v>
      </c>
      <c r="J632" t="n">
        <v>0</v>
      </c>
      <c r="K632" t="n">
        <v>0</v>
      </c>
      <c r="L632" t="n">
        <v>0</v>
      </c>
      <c r="M632" t="n">
        <v>0</v>
      </c>
      <c r="N632" t="n">
        <v>0</v>
      </c>
      <c r="O632" t="n">
        <v>0</v>
      </c>
      <c r="P632" t="n">
        <v>0</v>
      </c>
      <c r="Q632" t="n">
        <v>0</v>
      </c>
      <c r="R632" s="2" t="inlineStr"/>
    </row>
    <row r="633" ht="15" customHeight="1">
      <c r="A633" t="inlineStr">
        <is>
          <t>A 33815-2022</t>
        </is>
      </c>
      <c r="B633" s="1" t="n">
        <v>44790.45876157407</v>
      </c>
      <c r="C633" s="1" t="n">
        <v>45993</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49461-2022</t>
        </is>
      </c>
      <c r="B634" s="1" t="n">
        <v>44861</v>
      </c>
      <c r="C634" s="1" t="n">
        <v>45993</v>
      </c>
      <c r="D634" t="inlineStr">
        <is>
          <t>KALMAR LÄN</t>
        </is>
      </c>
      <c r="E634" t="inlineStr">
        <is>
          <t>VIMMERBY</t>
        </is>
      </c>
      <c r="G634" t="n">
        <v>3.2</v>
      </c>
      <c r="H634" t="n">
        <v>0</v>
      </c>
      <c r="I634" t="n">
        <v>0</v>
      </c>
      <c r="J634" t="n">
        <v>0</v>
      </c>
      <c r="K634" t="n">
        <v>0</v>
      </c>
      <c r="L634" t="n">
        <v>0</v>
      </c>
      <c r="M634" t="n">
        <v>0</v>
      </c>
      <c r="N634" t="n">
        <v>0</v>
      </c>
      <c r="O634" t="n">
        <v>0</v>
      </c>
      <c r="P634" t="n">
        <v>0</v>
      </c>
      <c r="Q634" t="n">
        <v>0</v>
      </c>
      <c r="R634" s="2" t="inlineStr"/>
    </row>
    <row r="635" ht="15" customHeight="1">
      <c r="A635" t="inlineStr">
        <is>
          <t>A 53542-2022</t>
        </is>
      </c>
      <c r="B635" s="1" t="n">
        <v>44879.62173611111</v>
      </c>
      <c r="C635" s="1" t="n">
        <v>45993</v>
      </c>
      <c r="D635" t="inlineStr">
        <is>
          <t>KALMAR LÄN</t>
        </is>
      </c>
      <c r="E635" t="inlineStr">
        <is>
          <t>VIMMERBY</t>
        </is>
      </c>
      <c r="G635" t="n">
        <v>2.6</v>
      </c>
      <c r="H635" t="n">
        <v>0</v>
      </c>
      <c r="I635" t="n">
        <v>0</v>
      </c>
      <c r="J635" t="n">
        <v>0</v>
      </c>
      <c r="K635" t="n">
        <v>0</v>
      </c>
      <c r="L635" t="n">
        <v>0</v>
      </c>
      <c r="M635" t="n">
        <v>0</v>
      </c>
      <c r="N635" t="n">
        <v>0</v>
      </c>
      <c r="O635" t="n">
        <v>0</v>
      </c>
      <c r="P635" t="n">
        <v>0</v>
      </c>
      <c r="Q635" t="n">
        <v>0</v>
      </c>
      <c r="R635" s="2" t="inlineStr"/>
    </row>
    <row r="636" ht="15" customHeight="1">
      <c r="A636" t="inlineStr">
        <is>
          <t>A 21507-2023</t>
        </is>
      </c>
      <c r="B636" s="1" t="n">
        <v>45063.508125</v>
      </c>
      <c r="C636" s="1" t="n">
        <v>45993</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51187-2023</t>
        </is>
      </c>
      <c r="B637" s="1" t="n">
        <v>45219.40528935185</v>
      </c>
      <c r="C637" s="1" t="n">
        <v>45993</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35713-2023</t>
        </is>
      </c>
      <c r="B638" s="1" t="n">
        <v>45147</v>
      </c>
      <c r="C638" s="1" t="n">
        <v>45993</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10424-2023</t>
        </is>
      </c>
      <c r="B639" s="1" t="n">
        <v>44987.54104166666</v>
      </c>
      <c r="C639" s="1" t="n">
        <v>45993</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13290-2025</t>
        </is>
      </c>
      <c r="B640" s="1" t="n">
        <v>45735.56751157407</v>
      </c>
      <c r="C640" s="1" t="n">
        <v>45993</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45560-2021</t>
        </is>
      </c>
      <c r="B641" s="1" t="n">
        <v>44440</v>
      </c>
      <c r="C641" s="1" t="n">
        <v>45993</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44517-2025</t>
        </is>
      </c>
      <c r="B642" s="1" t="n">
        <v>45916.7103587963</v>
      </c>
      <c r="C642" s="1" t="n">
        <v>45993</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33383-2023</t>
        </is>
      </c>
      <c r="B643" s="1" t="n">
        <v>45128.58414351852</v>
      </c>
      <c r="C643" s="1" t="n">
        <v>45993</v>
      </c>
      <c r="D643" t="inlineStr">
        <is>
          <t>KALMAR LÄN</t>
        </is>
      </c>
      <c r="E643" t="inlineStr">
        <is>
          <t>VIMMERBY</t>
        </is>
      </c>
      <c r="G643" t="n">
        <v>2.3</v>
      </c>
      <c r="H643" t="n">
        <v>0</v>
      </c>
      <c r="I643" t="n">
        <v>0</v>
      </c>
      <c r="J643" t="n">
        <v>0</v>
      </c>
      <c r="K643" t="n">
        <v>0</v>
      </c>
      <c r="L643" t="n">
        <v>0</v>
      </c>
      <c r="M643" t="n">
        <v>0</v>
      </c>
      <c r="N643" t="n">
        <v>0</v>
      </c>
      <c r="O643" t="n">
        <v>0</v>
      </c>
      <c r="P643" t="n">
        <v>0</v>
      </c>
      <c r="Q643" t="n">
        <v>0</v>
      </c>
      <c r="R643" s="2" t="inlineStr"/>
    </row>
    <row r="644" ht="15" customHeight="1">
      <c r="A644" t="inlineStr">
        <is>
          <t>A 16622-2025</t>
        </is>
      </c>
      <c r="B644" s="1" t="n">
        <v>45754.33641203704</v>
      </c>
      <c r="C644" s="1" t="n">
        <v>45993</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53220-2025</t>
        </is>
      </c>
      <c r="B645" s="1" t="n">
        <v>45958.60146990741</v>
      </c>
      <c r="C645" s="1" t="n">
        <v>45993</v>
      </c>
      <c r="D645" t="inlineStr">
        <is>
          <t>KALMAR LÄN</t>
        </is>
      </c>
      <c r="E645" t="inlineStr">
        <is>
          <t>VIMMERBY</t>
        </is>
      </c>
      <c r="G645" t="n">
        <v>2.2</v>
      </c>
      <c r="H645" t="n">
        <v>0</v>
      </c>
      <c r="I645" t="n">
        <v>0</v>
      </c>
      <c r="J645" t="n">
        <v>0</v>
      </c>
      <c r="K645" t="n">
        <v>0</v>
      </c>
      <c r="L645" t="n">
        <v>0</v>
      </c>
      <c r="M645" t="n">
        <v>0</v>
      </c>
      <c r="N645" t="n">
        <v>0</v>
      </c>
      <c r="O645" t="n">
        <v>0</v>
      </c>
      <c r="P645" t="n">
        <v>0</v>
      </c>
      <c r="Q645" t="n">
        <v>0</v>
      </c>
      <c r="R645" s="2" t="inlineStr"/>
    </row>
    <row r="646" ht="15" customHeight="1">
      <c r="A646" t="inlineStr">
        <is>
          <t>A 44091-2025</t>
        </is>
      </c>
      <c r="B646" s="1" t="n">
        <v>45915.55950231481</v>
      </c>
      <c r="C646" s="1" t="n">
        <v>45993</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33340-2023</t>
        </is>
      </c>
      <c r="B647" s="1" t="n">
        <v>45128.37305555555</v>
      </c>
      <c r="C647" s="1" t="n">
        <v>45993</v>
      </c>
      <c r="D647" t="inlineStr">
        <is>
          <t>KALMAR LÄN</t>
        </is>
      </c>
      <c r="E647" t="inlineStr">
        <is>
          <t>VIMMERBY</t>
        </is>
      </c>
      <c r="G647" t="n">
        <v>1.5</v>
      </c>
      <c r="H647" t="n">
        <v>0</v>
      </c>
      <c r="I647" t="n">
        <v>0</v>
      </c>
      <c r="J647" t="n">
        <v>0</v>
      </c>
      <c r="K647" t="n">
        <v>0</v>
      </c>
      <c r="L647" t="n">
        <v>0</v>
      </c>
      <c r="M647" t="n">
        <v>0</v>
      </c>
      <c r="N647" t="n">
        <v>0</v>
      </c>
      <c r="O647" t="n">
        <v>0</v>
      </c>
      <c r="P647" t="n">
        <v>0</v>
      </c>
      <c r="Q647" t="n">
        <v>0</v>
      </c>
      <c r="R647" s="2" t="inlineStr"/>
    </row>
    <row r="648" ht="15" customHeight="1">
      <c r="A648" t="inlineStr">
        <is>
          <t>A 29017-2024</t>
        </is>
      </c>
      <c r="B648" s="1" t="n">
        <v>45481.56722222222</v>
      </c>
      <c r="C648" s="1" t="n">
        <v>45993</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4297-2022</t>
        </is>
      </c>
      <c r="B649" s="1" t="n">
        <v>44588</v>
      </c>
      <c r="C649" s="1" t="n">
        <v>45993</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58046-2022</t>
        </is>
      </c>
      <c r="B650" s="1" t="n">
        <v>44900.57393518519</v>
      </c>
      <c r="C650" s="1" t="n">
        <v>45993</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14548-2024</t>
        </is>
      </c>
      <c r="B651" s="1" t="n">
        <v>45394.66887731481</v>
      </c>
      <c r="C651" s="1" t="n">
        <v>45993</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44095-2025</t>
        </is>
      </c>
      <c r="B652" s="1" t="n">
        <v>45915.56430555556</v>
      </c>
      <c r="C652" s="1" t="n">
        <v>45993</v>
      </c>
      <c r="D652" t="inlineStr">
        <is>
          <t>KALMAR LÄN</t>
        </is>
      </c>
      <c r="E652" t="inlineStr">
        <is>
          <t>VIMMERBY</t>
        </is>
      </c>
      <c r="G652" t="n">
        <v>2.4</v>
      </c>
      <c r="H652" t="n">
        <v>0</v>
      </c>
      <c r="I652" t="n">
        <v>0</v>
      </c>
      <c r="J652" t="n">
        <v>0</v>
      </c>
      <c r="K652" t="n">
        <v>0</v>
      </c>
      <c r="L652" t="n">
        <v>0</v>
      </c>
      <c r="M652" t="n">
        <v>0</v>
      </c>
      <c r="N652" t="n">
        <v>0</v>
      </c>
      <c r="O652" t="n">
        <v>0</v>
      </c>
      <c r="P652" t="n">
        <v>0</v>
      </c>
      <c r="Q652" t="n">
        <v>0</v>
      </c>
      <c r="R652" s="2" t="inlineStr"/>
    </row>
    <row r="653" ht="15" customHeight="1">
      <c r="A653" t="inlineStr">
        <is>
          <t>A 31340-2023</t>
        </is>
      </c>
      <c r="B653" s="1" t="n">
        <v>45114.47895833333</v>
      </c>
      <c r="C653" s="1" t="n">
        <v>45993</v>
      </c>
      <c r="D653" t="inlineStr">
        <is>
          <t>KALMAR LÄN</t>
        </is>
      </c>
      <c r="E653" t="inlineStr">
        <is>
          <t>VIMMERBY</t>
        </is>
      </c>
      <c r="G653" t="n">
        <v>1.8</v>
      </c>
      <c r="H653" t="n">
        <v>0</v>
      </c>
      <c r="I653" t="n">
        <v>0</v>
      </c>
      <c r="J653" t="n">
        <v>0</v>
      </c>
      <c r="K653" t="n">
        <v>0</v>
      </c>
      <c r="L653" t="n">
        <v>0</v>
      </c>
      <c r="M653" t="n">
        <v>0</v>
      </c>
      <c r="N653" t="n">
        <v>0</v>
      </c>
      <c r="O653" t="n">
        <v>0</v>
      </c>
      <c r="P653" t="n">
        <v>0</v>
      </c>
      <c r="Q653" t="n">
        <v>0</v>
      </c>
      <c r="R653" s="2" t="inlineStr"/>
    </row>
    <row r="654" ht="15" customHeight="1">
      <c r="A654" t="inlineStr">
        <is>
          <t>A 29168-2024</t>
        </is>
      </c>
      <c r="B654" s="1" t="n">
        <v>45482.49870370371</v>
      </c>
      <c r="C654" s="1" t="n">
        <v>45993</v>
      </c>
      <c r="D654" t="inlineStr">
        <is>
          <t>KALMAR LÄN</t>
        </is>
      </c>
      <c r="E654" t="inlineStr">
        <is>
          <t>VIMMERBY</t>
        </is>
      </c>
      <c r="G654" t="n">
        <v>1.4</v>
      </c>
      <c r="H654" t="n">
        <v>0</v>
      </c>
      <c r="I654" t="n">
        <v>0</v>
      </c>
      <c r="J654" t="n">
        <v>0</v>
      </c>
      <c r="K654" t="n">
        <v>0</v>
      </c>
      <c r="L654" t="n">
        <v>0</v>
      </c>
      <c r="M654" t="n">
        <v>0</v>
      </c>
      <c r="N654" t="n">
        <v>0</v>
      </c>
      <c r="O654" t="n">
        <v>0</v>
      </c>
      <c r="P654" t="n">
        <v>0</v>
      </c>
      <c r="Q654" t="n">
        <v>0</v>
      </c>
      <c r="R654" s="2" t="inlineStr"/>
    </row>
    <row r="655" ht="15" customHeight="1">
      <c r="A655" t="inlineStr">
        <is>
          <t>A 29186-2024</t>
        </is>
      </c>
      <c r="B655" s="1" t="n">
        <v>45482.54844907407</v>
      </c>
      <c r="C655" s="1" t="n">
        <v>45993</v>
      </c>
      <c r="D655" t="inlineStr">
        <is>
          <t>KALMAR LÄN</t>
        </is>
      </c>
      <c r="E655" t="inlineStr">
        <is>
          <t>VIMMERBY</t>
        </is>
      </c>
      <c r="G655" t="n">
        <v>2.6</v>
      </c>
      <c r="H655" t="n">
        <v>0</v>
      </c>
      <c r="I655" t="n">
        <v>0</v>
      </c>
      <c r="J655" t="n">
        <v>0</v>
      </c>
      <c r="K655" t="n">
        <v>0</v>
      </c>
      <c r="L655" t="n">
        <v>0</v>
      </c>
      <c r="M655" t="n">
        <v>0</v>
      </c>
      <c r="N655" t="n">
        <v>0</v>
      </c>
      <c r="O655" t="n">
        <v>0</v>
      </c>
      <c r="P655" t="n">
        <v>0</v>
      </c>
      <c r="Q655" t="n">
        <v>0</v>
      </c>
      <c r="R655" s="2" t="inlineStr"/>
    </row>
    <row r="656" ht="15" customHeight="1">
      <c r="A656" t="inlineStr">
        <is>
          <t>A 35895-2024</t>
        </is>
      </c>
      <c r="B656" s="1" t="n">
        <v>45533.38870370371</v>
      </c>
      <c r="C656" s="1" t="n">
        <v>45993</v>
      </c>
      <c r="D656" t="inlineStr">
        <is>
          <t>KALMAR LÄN</t>
        </is>
      </c>
      <c r="E656" t="inlineStr">
        <is>
          <t>VIMMERBY</t>
        </is>
      </c>
      <c r="G656" t="n">
        <v>1.4</v>
      </c>
      <c r="H656" t="n">
        <v>0</v>
      </c>
      <c r="I656" t="n">
        <v>0</v>
      </c>
      <c r="J656" t="n">
        <v>0</v>
      </c>
      <c r="K656" t="n">
        <v>0</v>
      </c>
      <c r="L656" t="n">
        <v>0</v>
      </c>
      <c r="M656" t="n">
        <v>0</v>
      </c>
      <c r="N656" t="n">
        <v>0</v>
      </c>
      <c r="O656" t="n">
        <v>0</v>
      </c>
      <c r="P656" t="n">
        <v>0</v>
      </c>
      <c r="Q656" t="n">
        <v>0</v>
      </c>
      <c r="R656" s="2" t="inlineStr"/>
    </row>
    <row r="657" ht="15" customHeight="1">
      <c r="A657" t="inlineStr">
        <is>
          <t>A 12590-2025</t>
        </is>
      </c>
      <c r="B657" s="1" t="n">
        <v>45732.79925925926</v>
      </c>
      <c r="C657" s="1" t="n">
        <v>45993</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30318-2023</t>
        </is>
      </c>
      <c r="B658" s="1" t="n">
        <v>45111.30824074074</v>
      </c>
      <c r="C658" s="1" t="n">
        <v>45993</v>
      </c>
      <c r="D658" t="inlineStr">
        <is>
          <t>KALMAR LÄN</t>
        </is>
      </c>
      <c r="E658" t="inlineStr">
        <is>
          <t>VIMMERBY</t>
        </is>
      </c>
      <c r="G658" t="n">
        <v>2.6</v>
      </c>
      <c r="H658" t="n">
        <v>0</v>
      </c>
      <c r="I658" t="n">
        <v>0</v>
      </c>
      <c r="J658" t="n">
        <v>0</v>
      </c>
      <c r="K658" t="n">
        <v>0</v>
      </c>
      <c r="L658" t="n">
        <v>0</v>
      </c>
      <c r="M658" t="n">
        <v>0</v>
      </c>
      <c r="N658" t="n">
        <v>0</v>
      </c>
      <c r="O658" t="n">
        <v>0</v>
      </c>
      <c r="P658" t="n">
        <v>0</v>
      </c>
      <c r="Q658" t="n">
        <v>0</v>
      </c>
      <c r="R658" s="2" t="inlineStr"/>
    </row>
    <row r="659" ht="15" customHeight="1">
      <c r="A659" t="inlineStr">
        <is>
          <t>A 43186-2021</t>
        </is>
      </c>
      <c r="B659" s="1" t="n">
        <v>44431.84840277778</v>
      </c>
      <c r="C659" s="1" t="n">
        <v>45993</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60215-2022</t>
        </is>
      </c>
      <c r="B660" s="1" t="n">
        <v>44910.41346064815</v>
      </c>
      <c r="C660" s="1" t="n">
        <v>45993</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60230-2022</t>
        </is>
      </c>
      <c r="B661" s="1" t="n">
        <v>44910</v>
      </c>
      <c r="C661" s="1" t="n">
        <v>45993</v>
      </c>
      <c r="D661" t="inlineStr">
        <is>
          <t>KALMAR LÄN</t>
        </is>
      </c>
      <c r="E661" t="inlineStr">
        <is>
          <t>VIMMERBY</t>
        </is>
      </c>
      <c r="G661" t="n">
        <v>11.3</v>
      </c>
      <c r="H661" t="n">
        <v>0</v>
      </c>
      <c r="I661" t="n">
        <v>0</v>
      </c>
      <c r="J661" t="n">
        <v>0</v>
      </c>
      <c r="K661" t="n">
        <v>0</v>
      </c>
      <c r="L661" t="n">
        <v>0</v>
      </c>
      <c r="M661" t="n">
        <v>0</v>
      </c>
      <c r="N661" t="n">
        <v>0</v>
      </c>
      <c r="O661" t="n">
        <v>0</v>
      </c>
      <c r="P661" t="n">
        <v>0</v>
      </c>
      <c r="Q661" t="n">
        <v>0</v>
      </c>
      <c r="R661" s="2" t="inlineStr"/>
    </row>
    <row r="662" ht="15" customHeight="1">
      <c r="A662" t="inlineStr">
        <is>
          <t>A 5925-2022</t>
        </is>
      </c>
      <c r="B662" s="1" t="n">
        <v>44598.7384837963</v>
      </c>
      <c r="C662" s="1" t="n">
        <v>45993</v>
      </c>
      <c r="D662" t="inlineStr">
        <is>
          <t>KALMAR LÄN</t>
        </is>
      </c>
      <c r="E662" t="inlineStr">
        <is>
          <t>VIMMERBY</t>
        </is>
      </c>
      <c r="G662" t="n">
        <v>2.1</v>
      </c>
      <c r="H662" t="n">
        <v>0</v>
      </c>
      <c r="I662" t="n">
        <v>0</v>
      </c>
      <c r="J662" t="n">
        <v>0</v>
      </c>
      <c r="K662" t="n">
        <v>0</v>
      </c>
      <c r="L662" t="n">
        <v>0</v>
      </c>
      <c r="M662" t="n">
        <v>0</v>
      </c>
      <c r="N662" t="n">
        <v>0</v>
      </c>
      <c r="O662" t="n">
        <v>0</v>
      </c>
      <c r="P662" t="n">
        <v>0</v>
      </c>
      <c r="Q662" t="n">
        <v>0</v>
      </c>
      <c r="R662" s="2" t="inlineStr"/>
    </row>
    <row r="663" ht="15" customHeight="1">
      <c r="A663" t="inlineStr">
        <is>
          <t>A 845-2023</t>
        </is>
      </c>
      <c r="B663" s="1" t="n">
        <v>44931</v>
      </c>
      <c r="C663" s="1" t="n">
        <v>45993</v>
      </c>
      <c r="D663" t="inlineStr">
        <is>
          <t>KALMAR LÄN</t>
        </is>
      </c>
      <c r="E663" t="inlineStr">
        <is>
          <t>VIMMERBY</t>
        </is>
      </c>
      <c r="F663" t="inlineStr">
        <is>
          <t>Övriga Aktiebolag</t>
        </is>
      </c>
      <c r="G663" t="n">
        <v>19</v>
      </c>
      <c r="H663" t="n">
        <v>0</v>
      </c>
      <c r="I663" t="n">
        <v>0</v>
      </c>
      <c r="J663" t="n">
        <v>0</v>
      </c>
      <c r="K663" t="n">
        <v>0</v>
      </c>
      <c r="L663" t="n">
        <v>0</v>
      </c>
      <c r="M663" t="n">
        <v>0</v>
      </c>
      <c r="N663" t="n">
        <v>0</v>
      </c>
      <c r="O663" t="n">
        <v>0</v>
      </c>
      <c r="P663" t="n">
        <v>0</v>
      </c>
      <c r="Q663" t="n">
        <v>0</v>
      </c>
      <c r="R663" s="2" t="inlineStr"/>
    </row>
    <row r="664" ht="15" customHeight="1">
      <c r="A664" t="inlineStr">
        <is>
          <t>A 48120-2022</t>
        </is>
      </c>
      <c r="B664" s="1" t="n">
        <v>44857.65989583333</v>
      </c>
      <c r="C664" s="1" t="n">
        <v>45993</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3423-2022</t>
        </is>
      </c>
      <c r="B665" s="1" t="n">
        <v>44585.50431712963</v>
      </c>
      <c r="C665" s="1" t="n">
        <v>45993</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11074-2023</t>
        </is>
      </c>
      <c r="B666" s="1" t="n">
        <v>44992.34151620371</v>
      </c>
      <c r="C666" s="1" t="n">
        <v>45993</v>
      </c>
      <c r="D666" t="inlineStr">
        <is>
          <t>KALMAR LÄN</t>
        </is>
      </c>
      <c r="E666" t="inlineStr">
        <is>
          <t>VIMMERBY</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71631-2021</t>
        </is>
      </c>
      <c r="B667" s="1" t="n">
        <v>44542.90072916666</v>
      </c>
      <c r="C667" s="1" t="n">
        <v>45993</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16119-2023</t>
        </is>
      </c>
      <c r="B668" s="1" t="n">
        <v>45027.59450231482</v>
      </c>
      <c r="C668" s="1" t="n">
        <v>45993</v>
      </c>
      <c r="D668" t="inlineStr">
        <is>
          <t>KALMAR LÄN</t>
        </is>
      </c>
      <c r="E668" t="inlineStr">
        <is>
          <t>VIMMERBY</t>
        </is>
      </c>
      <c r="F668" t="inlineStr">
        <is>
          <t>Kommuner</t>
        </is>
      </c>
      <c r="G668" t="n">
        <v>4.4</v>
      </c>
      <c r="H668" t="n">
        <v>0</v>
      </c>
      <c r="I668" t="n">
        <v>0</v>
      </c>
      <c r="J668" t="n">
        <v>0</v>
      </c>
      <c r="K668" t="n">
        <v>0</v>
      </c>
      <c r="L668" t="n">
        <v>0</v>
      </c>
      <c r="M668" t="n">
        <v>0</v>
      </c>
      <c r="N668" t="n">
        <v>0</v>
      </c>
      <c r="O668" t="n">
        <v>0</v>
      </c>
      <c r="P668" t="n">
        <v>0</v>
      </c>
      <c r="Q668" t="n">
        <v>0</v>
      </c>
      <c r="R668" s="2" t="inlineStr"/>
    </row>
    <row r="669" ht="15" customHeight="1">
      <c r="A669" t="inlineStr">
        <is>
          <t>A 30588-2023</t>
        </is>
      </c>
      <c r="B669" s="1" t="n">
        <v>45112.33599537037</v>
      </c>
      <c r="C669" s="1" t="n">
        <v>45993</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44742-2025</t>
        </is>
      </c>
      <c r="B670" s="1" t="n">
        <v>45917.67054398148</v>
      </c>
      <c r="C670" s="1" t="n">
        <v>45993</v>
      </c>
      <c r="D670" t="inlineStr">
        <is>
          <t>KALMAR LÄN</t>
        </is>
      </c>
      <c r="E670" t="inlineStr">
        <is>
          <t>VIMMERBY</t>
        </is>
      </c>
      <c r="G670" t="n">
        <v>4.7</v>
      </c>
      <c r="H670" t="n">
        <v>0</v>
      </c>
      <c r="I670" t="n">
        <v>0</v>
      </c>
      <c r="J670" t="n">
        <v>0</v>
      </c>
      <c r="K670" t="n">
        <v>0</v>
      </c>
      <c r="L670" t="n">
        <v>0</v>
      </c>
      <c r="M670" t="n">
        <v>0</v>
      </c>
      <c r="N670" t="n">
        <v>0</v>
      </c>
      <c r="O670" t="n">
        <v>0</v>
      </c>
      <c r="P670" t="n">
        <v>0</v>
      </c>
      <c r="Q670" t="n">
        <v>0</v>
      </c>
      <c r="R670" s="2" t="inlineStr"/>
    </row>
    <row r="671" ht="15" customHeight="1">
      <c r="A671" t="inlineStr">
        <is>
          <t>A 53397-2025</t>
        </is>
      </c>
      <c r="B671" s="1" t="n">
        <v>45959.55918981481</v>
      </c>
      <c r="C671" s="1" t="n">
        <v>45993</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53413-2025</t>
        </is>
      </c>
      <c r="B672" s="1" t="n">
        <v>45959.5787037037</v>
      </c>
      <c r="C672" s="1" t="n">
        <v>45993</v>
      </c>
      <c r="D672" t="inlineStr">
        <is>
          <t>KALMAR LÄN</t>
        </is>
      </c>
      <c r="E672" t="inlineStr">
        <is>
          <t>VIMMERBY</t>
        </is>
      </c>
      <c r="G672" t="n">
        <v>4.3</v>
      </c>
      <c r="H672" t="n">
        <v>0</v>
      </c>
      <c r="I672" t="n">
        <v>0</v>
      </c>
      <c r="J672" t="n">
        <v>0</v>
      </c>
      <c r="K672" t="n">
        <v>0</v>
      </c>
      <c r="L672" t="n">
        <v>0</v>
      </c>
      <c r="M672" t="n">
        <v>0</v>
      </c>
      <c r="N672" t="n">
        <v>0</v>
      </c>
      <c r="O672" t="n">
        <v>0</v>
      </c>
      <c r="P672" t="n">
        <v>0</v>
      </c>
      <c r="Q672" t="n">
        <v>0</v>
      </c>
      <c r="R672" s="2" t="inlineStr"/>
    </row>
    <row r="673" ht="15" customHeight="1">
      <c r="A673" t="inlineStr">
        <is>
          <t>A 49039-2021</t>
        </is>
      </c>
      <c r="B673" s="1" t="n">
        <v>44453.56578703703</v>
      </c>
      <c r="C673" s="1" t="n">
        <v>45993</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55716-2023</t>
        </is>
      </c>
      <c r="B674" s="1" t="n">
        <v>45232</v>
      </c>
      <c r="C674" s="1" t="n">
        <v>45993</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41896-2025</t>
        </is>
      </c>
      <c r="B675" s="1" t="n">
        <v>45903.38800925926</v>
      </c>
      <c r="C675" s="1" t="n">
        <v>45993</v>
      </c>
      <c r="D675" t="inlineStr">
        <is>
          <t>KALMAR LÄN</t>
        </is>
      </c>
      <c r="E675" t="inlineStr">
        <is>
          <t>VIMMERBY</t>
        </is>
      </c>
      <c r="G675" t="n">
        <v>2.9</v>
      </c>
      <c r="H675" t="n">
        <v>0</v>
      </c>
      <c r="I675" t="n">
        <v>0</v>
      </c>
      <c r="J675" t="n">
        <v>0</v>
      </c>
      <c r="K675" t="n">
        <v>0</v>
      </c>
      <c r="L675" t="n">
        <v>0</v>
      </c>
      <c r="M675" t="n">
        <v>0</v>
      </c>
      <c r="N675" t="n">
        <v>0</v>
      </c>
      <c r="O675" t="n">
        <v>0</v>
      </c>
      <c r="P675" t="n">
        <v>0</v>
      </c>
      <c r="Q675" t="n">
        <v>0</v>
      </c>
      <c r="R675" s="2" t="inlineStr"/>
    </row>
    <row r="676" ht="15" customHeight="1">
      <c r="A676" t="inlineStr">
        <is>
          <t>A 45528-2021</t>
        </is>
      </c>
      <c r="B676" s="1" t="n">
        <v>44440.60415509259</v>
      </c>
      <c r="C676" s="1" t="n">
        <v>45993</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34386-2024</t>
        </is>
      </c>
      <c r="B677" s="1" t="n">
        <v>45525.41762731481</v>
      </c>
      <c r="C677" s="1" t="n">
        <v>45993</v>
      </c>
      <c r="D677" t="inlineStr">
        <is>
          <t>KALMAR LÄN</t>
        </is>
      </c>
      <c r="E677" t="inlineStr">
        <is>
          <t>VIMMERBY</t>
        </is>
      </c>
      <c r="G677" t="n">
        <v>0.3</v>
      </c>
      <c r="H677" t="n">
        <v>0</v>
      </c>
      <c r="I677" t="n">
        <v>0</v>
      </c>
      <c r="J677" t="n">
        <v>0</v>
      </c>
      <c r="K677" t="n">
        <v>0</v>
      </c>
      <c r="L677" t="n">
        <v>0</v>
      </c>
      <c r="M677" t="n">
        <v>0</v>
      </c>
      <c r="N677" t="n">
        <v>0</v>
      </c>
      <c r="O677" t="n">
        <v>0</v>
      </c>
      <c r="P677" t="n">
        <v>0</v>
      </c>
      <c r="Q677" t="n">
        <v>0</v>
      </c>
      <c r="R677" s="2" t="inlineStr"/>
    </row>
    <row r="678" ht="15" customHeight="1">
      <c r="A678" t="inlineStr">
        <is>
          <t>A 42918-2021</t>
        </is>
      </c>
      <c r="B678" s="1" t="n">
        <v>44431</v>
      </c>
      <c r="C678" s="1" t="n">
        <v>45993</v>
      </c>
      <c r="D678" t="inlineStr">
        <is>
          <t>KALMAR LÄN</t>
        </is>
      </c>
      <c r="E678" t="inlineStr">
        <is>
          <t>VIMMERBY</t>
        </is>
      </c>
      <c r="G678" t="n">
        <v>1.6</v>
      </c>
      <c r="H678" t="n">
        <v>0</v>
      </c>
      <c r="I678" t="n">
        <v>0</v>
      </c>
      <c r="J678" t="n">
        <v>0</v>
      </c>
      <c r="K678" t="n">
        <v>0</v>
      </c>
      <c r="L678" t="n">
        <v>0</v>
      </c>
      <c r="M678" t="n">
        <v>0</v>
      </c>
      <c r="N678" t="n">
        <v>0</v>
      </c>
      <c r="O678" t="n">
        <v>0</v>
      </c>
      <c r="P678" t="n">
        <v>0</v>
      </c>
      <c r="Q678" t="n">
        <v>0</v>
      </c>
      <c r="R678" s="2" t="inlineStr"/>
    </row>
    <row r="679" ht="15" customHeight="1">
      <c r="A679" t="inlineStr">
        <is>
          <t>A 529-2022</t>
        </is>
      </c>
      <c r="B679" s="1" t="n">
        <v>44566</v>
      </c>
      <c r="C679" s="1" t="n">
        <v>45993</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53396-2025</t>
        </is>
      </c>
      <c r="B680" s="1" t="n">
        <v>45959.55577546296</v>
      </c>
      <c r="C680" s="1" t="n">
        <v>45993</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53416-2025</t>
        </is>
      </c>
      <c r="B681" s="1" t="n">
        <v>45959.58387731481</v>
      </c>
      <c r="C681" s="1" t="n">
        <v>45993</v>
      </c>
      <c r="D681" t="inlineStr">
        <is>
          <t>KALMAR LÄN</t>
        </is>
      </c>
      <c r="E681" t="inlineStr">
        <is>
          <t>VIMMERBY</t>
        </is>
      </c>
      <c r="G681" t="n">
        <v>4.4</v>
      </c>
      <c r="H681" t="n">
        <v>0</v>
      </c>
      <c r="I681" t="n">
        <v>0</v>
      </c>
      <c r="J681" t="n">
        <v>0</v>
      </c>
      <c r="K681" t="n">
        <v>0</v>
      </c>
      <c r="L681" t="n">
        <v>0</v>
      </c>
      <c r="M681" t="n">
        <v>0</v>
      </c>
      <c r="N681" t="n">
        <v>0</v>
      </c>
      <c r="O681" t="n">
        <v>0</v>
      </c>
      <c r="P681" t="n">
        <v>0</v>
      </c>
      <c r="Q681" t="n">
        <v>0</v>
      </c>
      <c r="R681" s="2" t="inlineStr"/>
    </row>
    <row r="682" ht="15" customHeight="1">
      <c r="A682" t="inlineStr">
        <is>
          <t>A 14855-2025</t>
        </is>
      </c>
      <c r="B682" s="1" t="n">
        <v>45743.41148148148</v>
      </c>
      <c r="C682" s="1" t="n">
        <v>45993</v>
      </c>
      <c r="D682" t="inlineStr">
        <is>
          <t>KALMAR LÄN</t>
        </is>
      </c>
      <c r="E682" t="inlineStr">
        <is>
          <t>VIMMERBY</t>
        </is>
      </c>
      <c r="G682" t="n">
        <v>1.2</v>
      </c>
      <c r="H682" t="n">
        <v>0</v>
      </c>
      <c r="I682" t="n">
        <v>0</v>
      </c>
      <c r="J682" t="n">
        <v>0</v>
      </c>
      <c r="K682" t="n">
        <v>0</v>
      </c>
      <c r="L682" t="n">
        <v>0</v>
      </c>
      <c r="M682" t="n">
        <v>0</v>
      </c>
      <c r="N682" t="n">
        <v>0</v>
      </c>
      <c r="O682" t="n">
        <v>0</v>
      </c>
      <c r="P682" t="n">
        <v>0</v>
      </c>
      <c r="Q682" t="n">
        <v>0</v>
      </c>
      <c r="R682" s="2" t="inlineStr"/>
    </row>
    <row r="683" ht="15" customHeight="1">
      <c r="A683" t="inlineStr">
        <is>
          <t>A 60951-2023</t>
        </is>
      </c>
      <c r="B683" s="1" t="n">
        <v>45261.44914351852</v>
      </c>
      <c r="C683" s="1" t="n">
        <v>45993</v>
      </c>
      <c r="D683" t="inlineStr">
        <is>
          <t>KALMAR LÄN</t>
        </is>
      </c>
      <c r="E683" t="inlineStr">
        <is>
          <t>VIMMERBY</t>
        </is>
      </c>
      <c r="G683" t="n">
        <v>4.3</v>
      </c>
      <c r="H683" t="n">
        <v>0</v>
      </c>
      <c r="I683" t="n">
        <v>0</v>
      </c>
      <c r="J683" t="n">
        <v>0</v>
      </c>
      <c r="K683" t="n">
        <v>0</v>
      </c>
      <c r="L683" t="n">
        <v>0</v>
      </c>
      <c r="M683" t="n">
        <v>0</v>
      </c>
      <c r="N683" t="n">
        <v>0</v>
      </c>
      <c r="O683" t="n">
        <v>0</v>
      </c>
      <c r="P683" t="n">
        <v>0</v>
      </c>
      <c r="Q683" t="n">
        <v>0</v>
      </c>
      <c r="R683" s="2" t="inlineStr"/>
    </row>
    <row r="684" ht="15" customHeight="1">
      <c r="A684" t="inlineStr">
        <is>
          <t>A 42429-2024</t>
        </is>
      </c>
      <c r="B684" s="1" t="n">
        <v>45565.40657407408</v>
      </c>
      <c r="C684" s="1" t="n">
        <v>45993</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16516-2023</t>
        </is>
      </c>
      <c r="B685" s="1" t="n">
        <v>45029</v>
      </c>
      <c r="C685" s="1" t="n">
        <v>45993</v>
      </c>
      <c r="D685" t="inlineStr">
        <is>
          <t>KALMAR LÄN</t>
        </is>
      </c>
      <c r="E685" t="inlineStr">
        <is>
          <t>VIMMERBY</t>
        </is>
      </c>
      <c r="G685" t="n">
        <v>4.3</v>
      </c>
      <c r="H685" t="n">
        <v>0</v>
      </c>
      <c r="I685" t="n">
        <v>0</v>
      </c>
      <c r="J685" t="n">
        <v>0</v>
      </c>
      <c r="K685" t="n">
        <v>0</v>
      </c>
      <c r="L685" t="n">
        <v>0</v>
      </c>
      <c r="M685" t="n">
        <v>0</v>
      </c>
      <c r="N685" t="n">
        <v>0</v>
      </c>
      <c r="O685" t="n">
        <v>0</v>
      </c>
      <c r="P685" t="n">
        <v>0</v>
      </c>
      <c r="Q685" t="n">
        <v>0</v>
      </c>
      <c r="R685" s="2" t="inlineStr"/>
    </row>
    <row r="686" ht="15" customHeight="1">
      <c r="A686" t="inlineStr">
        <is>
          <t>A 2510-2023</t>
        </is>
      </c>
      <c r="B686" s="1" t="n">
        <v>44943.57309027778</v>
      </c>
      <c r="C686" s="1" t="n">
        <v>45993</v>
      </c>
      <c r="D686" t="inlineStr">
        <is>
          <t>KALMAR LÄN</t>
        </is>
      </c>
      <c r="E686" t="inlineStr">
        <is>
          <t>VIMMERBY</t>
        </is>
      </c>
      <c r="G686" t="n">
        <v>8.6</v>
      </c>
      <c r="H686" t="n">
        <v>0</v>
      </c>
      <c r="I686" t="n">
        <v>0</v>
      </c>
      <c r="J686" t="n">
        <v>0</v>
      </c>
      <c r="K686" t="n">
        <v>0</v>
      </c>
      <c r="L686" t="n">
        <v>0</v>
      </c>
      <c r="M686" t="n">
        <v>0</v>
      </c>
      <c r="N686" t="n">
        <v>0</v>
      </c>
      <c r="O686" t="n">
        <v>0</v>
      </c>
      <c r="P686" t="n">
        <v>0</v>
      </c>
      <c r="Q686" t="n">
        <v>0</v>
      </c>
      <c r="R686" s="2" t="inlineStr"/>
    </row>
    <row r="687" ht="15" customHeight="1">
      <c r="A687" t="inlineStr">
        <is>
          <t>A 19162-2023</t>
        </is>
      </c>
      <c r="B687" s="1" t="n">
        <v>45048.59699074074</v>
      </c>
      <c r="C687" s="1" t="n">
        <v>45993</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11946-2025</t>
        </is>
      </c>
      <c r="B688" s="1" t="n">
        <v>45728.54832175926</v>
      </c>
      <c r="C688" s="1" t="n">
        <v>45993</v>
      </c>
      <c r="D688" t="inlineStr">
        <is>
          <t>KALMAR LÄN</t>
        </is>
      </c>
      <c r="E688" t="inlineStr">
        <is>
          <t>VIMMERBY</t>
        </is>
      </c>
      <c r="G688" t="n">
        <v>0.4</v>
      </c>
      <c r="H688" t="n">
        <v>0</v>
      </c>
      <c r="I688" t="n">
        <v>0</v>
      </c>
      <c r="J688" t="n">
        <v>0</v>
      </c>
      <c r="K688" t="n">
        <v>0</v>
      </c>
      <c r="L688" t="n">
        <v>0</v>
      </c>
      <c r="M688" t="n">
        <v>0</v>
      </c>
      <c r="N688" t="n">
        <v>0</v>
      </c>
      <c r="O688" t="n">
        <v>0</v>
      </c>
      <c r="P688" t="n">
        <v>0</v>
      </c>
      <c r="Q688" t="n">
        <v>0</v>
      </c>
      <c r="R688" s="2" t="inlineStr"/>
    </row>
    <row r="689" ht="15" customHeight="1">
      <c r="A689" t="inlineStr">
        <is>
          <t>A 53393-2025</t>
        </is>
      </c>
      <c r="B689" s="1" t="n">
        <v>45959.55284722222</v>
      </c>
      <c r="C689" s="1" t="n">
        <v>45993</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53398-2025</t>
        </is>
      </c>
      <c r="B690" s="1" t="n">
        <v>45959.56247685185</v>
      </c>
      <c r="C690" s="1" t="n">
        <v>45993</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59943-2023</t>
        </is>
      </c>
      <c r="B691" s="1" t="n">
        <v>45257.67958333333</v>
      </c>
      <c r="C691" s="1" t="n">
        <v>45993</v>
      </c>
      <c r="D691" t="inlineStr">
        <is>
          <t>KALMAR LÄN</t>
        </is>
      </c>
      <c r="E691" t="inlineStr">
        <is>
          <t>VIMMERBY</t>
        </is>
      </c>
      <c r="G691" t="n">
        <v>6.4</v>
      </c>
      <c r="H691" t="n">
        <v>0</v>
      </c>
      <c r="I691" t="n">
        <v>0</v>
      </c>
      <c r="J691" t="n">
        <v>0</v>
      </c>
      <c r="K691" t="n">
        <v>0</v>
      </c>
      <c r="L691" t="n">
        <v>0</v>
      </c>
      <c r="M691" t="n">
        <v>0</v>
      </c>
      <c r="N691" t="n">
        <v>0</v>
      </c>
      <c r="O691" t="n">
        <v>0</v>
      </c>
      <c r="P691" t="n">
        <v>0</v>
      </c>
      <c r="Q691" t="n">
        <v>0</v>
      </c>
      <c r="R691" s="2" t="inlineStr"/>
    </row>
    <row r="692" ht="15" customHeight="1">
      <c r="A692" t="inlineStr">
        <is>
          <t>A 15493-2023</t>
        </is>
      </c>
      <c r="B692" s="1" t="n">
        <v>45018</v>
      </c>
      <c r="C692" s="1" t="n">
        <v>45993</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51881-2024</t>
        </is>
      </c>
      <c r="B693" s="1" t="n">
        <v>45607.56773148148</v>
      </c>
      <c r="C693" s="1" t="n">
        <v>45993</v>
      </c>
      <c r="D693" t="inlineStr">
        <is>
          <t>KALMAR LÄN</t>
        </is>
      </c>
      <c r="E693" t="inlineStr">
        <is>
          <t>VIMMERBY</t>
        </is>
      </c>
      <c r="G693" t="n">
        <v>3.4</v>
      </c>
      <c r="H693" t="n">
        <v>0</v>
      </c>
      <c r="I693" t="n">
        <v>0</v>
      </c>
      <c r="J693" t="n">
        <v>0</v>
      </c>
      <c r="K693" t="n">
        <v>0</v>
      </c>
      <c r="L693" t="n">
        <v>0</v>
      </c>
      <c r="M693" t="n">
        <v>0</v>
      </c>
      <c r="N693" t="n">
        <v>0</v>
      </c>
      <c r="O693" t="n">
        <v>0</v>
      </c>
      <c r="P693" t="n">
        <v>0</v>
      </c>
      <c r="Q693" t="n">
        <v>0</v>
      </c>
      <c r="R693" s="2" t="inlineStr"/>
    </row>
    <row r="694" ht="15" customHeight="1">
      <c r="A694" t="inlineStr">
        <is>
          <t>A 53903-2025</t>
        </is>
      </c>
      <c r="B694" s="1" t="n">
        <v>45961.43738425926</v>
      </c>
      <c r="C694" s="1" t="n">
        <v>45993</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53920-2025</t>
        </is>
      </c>
      <c r="B695" s="1" t="n">
        <v>45961.44951388889</v>
      </c>
      <c r="C695" s="1" t="n">
        <v>45993</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1021-2024</t>
        </is>
      </c>
      <c r="B696" s="1" t="n">
        <v>45301.67736111111</v>
      </c>
      <c r="C696" s="1" t="n">
        <v>45993</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32569-2024</t>
        </is>
      </c>
      <c r="B697" s="1" t="n">
        <v>45513.55840277778</v>
      </c>
      <c r="C697" s="1" t="n">
        <v>45993</v>
      </c>
      <c r="D697" t="inlineStr">
        <is>
          <t>KALMAR LÄN</t>
        </is>
      </c>
      <c r="E697" t="inlineStr">
        <is>
          <t>VIMMERBY</t>
        </is>
      </c>
      <c r="G697" t="n">
        <v>3.7</v>
      </c>
      <c r="H697" t="n">
        <v>0</v>
      </c>
      <c r="I697" t="n">
        <v>0</v>
      </c>
      <c r="J697" t="n">
        <v>0</v>
      </c>
      <c r="K697" t="n">
        <v>0</v>
      </c>
      <c r="L697" t="n">
        <v>0</v>
      </c>
      <c r="M697" t="n">
        <v>0</v>
      </c>
      <c r="N697" t="n">
        <v>0</v>
      </c>
      <c r="O697" t="n">
        <v>0</v>
      </c>
      <c r="P697" t="n">
        <v>0</v>
      </c>
      <c r="Q697" t="n">
        <v>0</v>
      </c>
      <c r="R697" s="2" t="inlineStr"/>
    </row>
    <row r="698" ht="15" customHeight="1">
      <c r="A698" t="inlineStr">
        <is>
          <t>A 32575-2024</t>
        </is>
      </c>
      <c r="B698" s="1" t="n">
        <v>45513.56527777778</v>
      </c>
      <c r="C698" s="1" t="n">
        <v>45993</v>
      </c>
      <c r="D698" t="inlineStr">
        <is>
          <t>KALMAR LÄN</t>
        </is>
      </c>
      <c r="E698" t="inlineStr">
        <is>
          <t>VIMMERBY</t>
        </is>
      </c>
      <c r="G698" t="n">
        <v>1.5</v>
      </c>
      <c r="H698" t="n">
        <v>0</v>
      </c>
      <c r="I698" t="n">
        <v>0</v>
      </c>
      <c r="J698" t="n">
        <v>0</v>
      </c>
      <c r="K698" t="n">
        <v>0</v>
      </c>
      <c r="L698" t="n">
        <v>0</v>
      </c>
      <c r="M698" t="n">
        <v>0</v>
      </c>
      <c r="N698" t="n">
        <v>0</v>
      </c>
      <c r="O698" t="n">
        <v>0</v>
      </c>
      <c r="P698" t="n">
        <v>0</v>
      </c>
      <c r="Q698" t="n">
        <v>0</v>
      </c>
      <c r="R698" s="2" t="inlineStr"/>
    </row>
    <row r="699" ht="15" customHeight="1">
      <c r="A699" t="inlineStr">
        <is>
          <t>A 48373-2021</t>
        </is>
      </c>
      <c r="B699" s="1" t="n">
        <v>44451</v>
      </c>
      <c r="C699" s="1" t="n">
        <v>45993</v>
      </c>
      <c r="D699" t="inlineStr">
        <is>
          <t>KALMAR LÄN</t>
        </is>
      </c>
      <c r="E699" t="inlineStr">
        <is>
          <t>VIMMERBY</t>
        </is>
      </c>
      <c r="G699" t="n">
        <v>2.2</v>
      </c>
      <c r="H699" t="n">
        <v>0</v>
      </c>
      <c r="I699" t="n">
        <v>0</v>
      </c>
      <c r="J699" t="n">
        <v>0</v>
      </c>
      <c r="K699" t="n">
        <v>0</v>
      </c>
      <c r="L699" t="n">
        <v>0</v>
      </c>
      <c r="M699" t="n">
        <v>0</v>
      </c>
      <c r="N699" t="n">
        <v>0</v>
      </c>
      <c r="O699" t="n">
        <v>0</v>
      </c>
      <c r="P699" t="n">
        <v>0</v>
      </c>
      <c r="Q699" t="n">
        <v>0</v>
      </c>
      <c r="R699" s="2" t="inlineStr"/>
    </row>
    <row r="700" ht="15" customHeight="1">
      <c r="A700" t="inlineStr">
        <is>
          <t>A 30063-2023</t>
        </is>
      </c>
      <c r="B700" s="1" t="n">
        <v>45110.4184375</v>
      </c>
      <c r="C700" s="1" t="n">
        <v>45993</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17482-2024</t>
        </is>
      </c>
      <c r="B701" s="1" t="n">
        <v>45415.47848379629</v>
      </c>
      <c r="C701" s="1" t="n">
        <v>45993</v>
      </c>
      <c r="D701" t="inlineStr">
        <is>
          <t>KALMAR LÄN</t>
        </is>
      </c>
      <c r="E701" t="inlineStr">
        <is>
          <t>VIMMERBY</t>
        </is>
      </c>
      <c r="G701" t="n">
        <v>1.7</v>
      </c>
      <c r="H701" t="n">
        <v>0</v>
      </c>
      <c r="I701" t="n">
        <v>0</v>
      </c>
      <c r="J701" t="n">
        <v>0</v>
      </c>
      <c r="K701" t="n">
        <v>0</v>
      </c>
      <c r="L701" t="n">
        <v>0</v>
      </c>
      <c r="M701" t="n">
        <v>0</v>
      </c>
      <c r="N701" t="n">
        <v>0</v>
      </c>
      <c r="O701" t="n">
        <v>0</v>
      </c>
      <c r="P701" t="n">
        <v>0</v>
      </c>
      <c r="Q701" t="n">
        <v>0</v>
      </c>
      <c r="R701" s="2" t="inlineStr"/>
    </row>
    <row r="702" ht="15" customHeight="1">
      <c r="A702" t="inlineStr">
        <is>
          <t>A 13817-2024</t>
        </is>
      </c>
      <c r="B702" s="1" t="n">
        <v>45391.41976851852</v>
      </c>
      <c r="C702" s="1" t="n">
        <v>45993</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30406-2023</t>
        </is>
      </c>
      <c r="B703" s="1" t="n">
        <v>45111.48787037037</v>
      </c>
      <c r="C703" s="1" t="n">
        <v>45993</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31209-2024</t>
        </is>
      </c>
      <c r="B704" s="1" t="n">
        <v>45503.5658912037</v>
      </c>
      <c r="C704" s="1" t="n">
        <v>45993</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54234-2025</t>
        </is>
      </c>
      <c r="B705" s="1" t="n">
        <v>45964.62486111111</v>
      </c>
      <c r="C705" s="1" t="n">
        <v>45993</v>
      </c>
      <c r="D705" t="inlineStr">
        <is>
          <t>KALMAR LÄN</t>
        </is>
      </c>
      <c r="E705" t="inlineStr">
        <is>
          <t>VIMMERBY</t>
        </is>
      </c>
      <c r="G705" t="n">
        <v>4.1</v>
      </c>
      <c r="H705" t="n">
        <v>0</v>
      </c>
      <c r="I705" t="n">
        <v>0</v>
      </c>
      <c r="J705" t="n">
        <v>0</v>
      </c>
      <c r="K705" t="n">
        <v>0</v>
      </c>
      <c r="L705" t="n">
        <v>0</v>
      </c>
      <c r="M705" t="n">
        <v>0</v>
      </c>
      <c r="N705" t="n">
        <v>0</v>
      </c>
      <c r="O705" t="n">
        <v>0</v>
      </c>
      <c r="P705" t="n">
        <v>0</v>
      </c>
      <c r="Q705" t="n">
        <v>0</v>
      </c>
      <c r="R705" s="2" t="inlineStr"/>
    </row>
    <row r="706" ht="15" customHeight="1">
      <c r="A706" t="inlineStr">
        <is>
          <t>A 29020-2024</t>
        </is>
      </c>
      <c r="B706" s="1" t="n">
        <v>45481.58048611111</v>
      </c>
      <c r="C706" s="1" t="n">
        <v>45993</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7485-2024</t>
        </is>
      </c>
      <c r="B707" s="1" t="n">
        <v>45346.67184027778</v>
      </c>
      <c r="C707" s="1" t="n">
        <v>45993</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53923-2025</t>
        </is>
      </c>
      <c r="B708" s="1" t="n">
        <v>45961.4569212963</v>
      </c>
      <c r="C708" s="1" t="n">
        <v>45993</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5864-2022</t>
        </is>
      </c>
      <c r="B709" s="1" t="n">
        <v>44596</v>
      </c>
      <c r="C709" s="1" t="n">
        <v>45993</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45319-2025</t>
        </is>
      </c>
      <c r="B710" s="1" t="n">
        <v>45921.95611111111</v>
      </c>
      <c r="C710" s="1" t="n">
        <v>45993</v>
      </c>
      <c r="D710" t="inlineStr">
        <is>
          <t>KALMAR LÄN</t>
        </is>
      </c>
      <c r="E710" t="inlineStr">
        <is>
          <t>VIMMERBY</t>
        </is>
      </c>
      <c r="G710" t="n">
        <v>1</v>
      </c>
      <c r="H710" t="n">
        <v>0</v>
      </c>
      <c r="I710" t="n">
        <v>0</v>
      </c>
      <c r="J710" t="n">
        <v>0</v>
      </c>
      <c r="K710" t="n">
        <v>0</v>
      </c>
      <c r="L710" t="n">
        <v>0</v>
      </c>
      <c r="M710" t="n">
        <v>0</v>
      </c>
      <c r="N710" t="n">
        <v>0</v>
      </c>
      <c r="O710" t="n">
        <v>0</v>
      </c>
      <c r="P710" t="n">
        <v>0</v>
      </c>
      <c r="Q710" t="n">
        <v>0</v>
      </c>
      <c r="R710" s="2" t="inlineStr"/>
    </row>
    <row r="711" ht="15" customHeight="1">
      <c r="A711" t="inlineStr">
        <is>
          <t>A 45320-2025</t>
        </is>
      </c>
      <c r="B711" s="1" t="n">
        <v>45921.96395833333</v>
      </c>
      <c r="C711" s="1" t="n">
        <v>45993</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54236-2025</t>
        </is>
      </c>
      <c r="B712" s="1" t="n">
        <v>45964.62671296296</v>
      </c>
      <c r="C712" s="1" t="n">
        <v>45993</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3938-2023</t>
        </is>
      </c>
      <c r="B713" s="1" t="n">
        <v>44952.35775462963</v>
      </c>
      <c r="C713" s="1" t="n">
        <v>45993</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6574-2023</t>
        </is>
      </c>
      <c r="B714" s="1" t="n">
        <v>44966</v>
      </c>
      <c r="C714" s="1" t="n">
        <v>45993</v>
      </c>
      <c r="D714" t="inlineStr">
        <is>
          <t>KALMAR LÄN</t>
        </is>
      </c>
      <c r="E714" t="inlineStr">
        <is>
          <t>VIMMERBY</t>
        </is>
      </c>
      <c r="G714" t="n">
        <v>2.5</v>
      </c>
      <c r="H714" t="n">
        <v>0</v>
      </c>
      <c r="I714" t="n">
        <v>0</v>
      </c>
      <c r="J714" t="n">
        <v>0</v>
      </c>
      <c r="K714" t="n">
        <v>0</v>
      </c>
      <c r="L714" t="n">
        <v>0</v>
      </c>
      <c r="M714" t="n">
        <v>0</v>
      </c>
      <c r="N714" t="n">
        <v>0</v>
      </c>
      <c r="O714" t="n">
        <v>0</v>
      </c>
      <c r="P714" t="n">
        <v>0</v>
      </c>
      <c r="Q714" t="n">
        <v>0</v>
      </c>
      <c r="R714" s="2" t="inlineStr"/>
    </row>
    <row r="715" ht="15" customHeight="1">
      <c r="A715" t="inlineStr">
        <is>
          <t>A 53927-2025</t>
        </is>
      </c>
      <c r="B715" s="1" t="n">
        <v>45961.46740740741</v>
      </c>
      <c r="C715" s="1" t="n">
        <v>45993</v>
      </c>
      <c r="D715" t="inlineStr">
        <is>
          <t>KALMAR LÄN</t>
        </is>
      </c>
      <c r="E715" t="inlineStr">
        <is>
          <t>VIMMERBY</t>
        </is>
      </c>
      <c r="G715" t="n">
        <v>2.5</v>
      </c>
      <c r="H715" t="n">
        <v>0</v>
      </c>
      <c r="I715" t="n">
        <v>0</v>
      </c>
      <c r="J715" t="n">
        <v>0</v>
      </c>
      <c r="K715" t="n">
        <v>0</v>
      </c>
      <c r="L715" t="n">
        <v>0</v>
      </c>
      <c r="M715" t="n">
        <v>0</v>
      </c>
      <c r="N715" t="n">
        <v>0</v>
      </c>
      <c r="O715" t="n">
        <v>0</v>
      </c>
      <c r="P715" t="n">
        <v>0</v>
      </c>
      <c r="Q715" t="n">
        <v>0</v>
      </c>
      <c r="R715" s="2" t="inlineStr"/>
    </row>
    <row r="716" ht="15" customHeight="1">
      <c r="A716" t="inlineStr">
        <is>
          <t>A 20054-2023</t>
        </is>
      </c>
      <c r="B716" s="1" t="n">
        <v>45054.6750462963</v>
      </c>
      <c r="C716" s="1" t="n">
        <v>45993</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26937-2023</t>
        </is>
      </c>
      <c r="B717" s="1" t="n">
        <v>45093.62777777778</v>
      </c>
      <c r="C717" s="1" t="n">
        <v>45993</v>
      </c>
      <c r="D717" t="inlineStr">
        <is>
          <t>KALMAR LÄN</t>
        </is>
      </c>
      <c r="E717" t="inlineStr">
        <is>
          <t>VIMMERBY</t>
        </is>
      </c>
      <c r="F717" t="inlineStr">
        <is>
          <t>Sveaskog</t>
        </is>
      </c>
      <c r="G717" t="n">
        <v>14.5</v>
      </c>
      <c r="H717" t="n">
        <v>0</v>
      </c>
      <c r="I717" t="n">
        <v>0</v>
      </c>
      <c r="J717" t="n">
        <v>0</v>
      </c>
      <c r="K717" t="n">
        <v>0</v>
      </c>
      <c r="L717" t="n">
        <v>0</v>
      </c>
      <c r="M717" t="n">
        <v>0</v>
      </c>
      <c r="N717" t="n">
        <v>0</v>
      </c>
      <c r="O717" t="n">
        <v>0</v>
      </c>
      <c r="P717" t="n">
        <v>0</v>
      </c>
      <c r="Q717" t="n">
        <v>0</v>
      </c>
      <c r="R717" s="2" t="inlineStr"/>
    </row>
    <row r="718" ht="15" customHeight="1">
      <c r="A718" t="inlineStr">
        <is>
          <t>A 45114-2025</t>
        </is>
      </c>
      <c r="B718" s="1" t="n">
        <v>45919.42387731482</v>
      </c>
      <c r="C718" s="1" t="n">
        <v>45993</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50085-2023</t>
        </is>
      </c>
      <c r="B719" s="1" t="n">
        <v>45215.5959375</v>
      </c>
      <c r="C719" s="1" t="n">
        <v>45993</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44903.33363425926</v>
      </c>
      <c r="C720" s="1" t="n">
        <v>45993</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11219-2023</t>
        </is>
      </c>
      <c r="B721" s="1" t="n">
        <v>44992.62498842592</v>
      </c>
      <c r="C721" s="1" t="n">
        <v>45993</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53933-2025</t>
        </is>
      </c>
      <c r="B722" s="1" t="n">
        <v>45961.47650462963</v>
      </c>
      <c r="C722" s="1" t="n">
        <v>45993</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46118-2025</t>
        </is>
      </c>
      <c r="B723" s="1" t="n">
        <v>45924.57697916667</v>
      </c>
      <c r="C723" s="1" t="n">
        <v>45993</v>
      </c>
      <c r="D723" t="inlineStr">
        <is>
          <t>KALMAR LÄN</t>
        </is>
      </c>
      <c r="E723" t="inlineStr">
        <is>
          <t>VIMMERBY</t>
        </is>
      </c>
      <c r="G723" t="n">
        <v>2.9</v>
      </c>
      <c r="H723" t="n">
        <v>0</v>
      </c>
      <c r="I723" t="n">
        <v>0</v>
      </c>
      <c r="J723" t="n">
        <v>0</v>
      </c>
      <c r="K723" t="n">
        <v>0</v>
      </c>
      <c r="L723" t="n">
        <v>0</v>
      </c>
      <c r="M723" t="n">
        <v>0</v>
      </c>
      <c r="N723" t="n">
        <v>0</v>
      </c>
      <c r="O723" t="n">
        <v>0</v>
      </c>
      <c r="P723" t="n">
        <v>0</v>
      </c>
      <c r="Q723" t="n">
        <v>0</v>
      </c>
      <c r="R723" s="2" t="inlineStr"/>
    </row>
    <row r="724" ht="15" customHeight="1">
      <c r="A724" t="inlineStr">
        <is>
          <t>A 54737-2025</t>
        </is>
      </c>
      <c r="B724" s="1" t="n">
        <v>45966.56826388889</v>
      </c>
      <c r="C724" s="1" t="n">
        <v>45993</v>
      </c>
      <c r="D724" t="inlineStr">
        <is>
          <t>KALMAR LÄN</t>
        </is>
      </c>
      <c r="E724" t="inlineStr">
        <is>
          <t>VIMMERBY</t>
        </is>
      </c>
      <c r="G724" t="n">
        <v>2.1</v>
      </c>
      <c r="H724" t="n">
        <v>0</v>
      </c>
      <c r="I724" t="n">
        <v>0</v>
      </c>
      <c r="J724" t="n">
        <v>0</v>
      </c>
      <c r="K724" t="n">
        <v>0</v>
      </c>
      <c r="L724" t="n">
        <v>0</v>
      </c>
      <c r="M724" t="n">
        <v>0</v>
      </c>
      <c r="N724" t="n">
        <v>0</v>
      </c>
      <c r="O724" t="n">
        <v>0</v>
      </c>
      <c r="P724" t="n">
        <v>0</v>
      </c>
      <c r="Q724" t="n">
        <v>0</v>
      </c>
      <c r="R724" s="2" t="inlineStr"/>
    </row>
    <row r="725" ht="15" customHeight="1">
      <c r="A725" t="inlineStr">
        <is>
          <t>A 2260-2022</t>
        </is>
      </c>
      <c r="B725" s="1" t="n">
        <v>44578.62943287037</v>
      </c>
      <c r="C725" s="1" t="n">
        <v>45993</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6850-2023</t>
        </is>
      </c>
      <c r="B726" s="1" t="n">
        <v>44967.44255787037</v>
      </c>
      <c r="C726" s="1" t="n">
        <v>45993</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50860-2022</t>
        </is>
      </c>
      <c r="B727" s="1" t="n">
        <v>44867</v>
      </c>
      <c r="C727" s="1" t="n">
        <v>45993</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44879.55940972222</v>
      </c>
      <c r="C728" s="1" t="n">
        <v>45993</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6358-2022</t>
        </is>
      </c>
      <c r="B729" s="1" t="n">
        <v>44600</v>
      </c>
      <c r="C729" s="1" t="n">
        <v>45993</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54813-2025</t>
        </is>
      </c>
      <c r="B730" s="1" t="n">
        <v>45966.64881944445</v>
      </c>
      <c r="C730" s="1" t="n">
        <v>45993</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58962-2022</t>
        </is>
      </c>
      <c r="B731" s="1" t="n">
        <v>44903</v>
      </c>
      <c r="C731" s="1" t="n">
        <v>45993</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45993</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57682-2022</t>
        </is>
      </c>
      <c r="B733" s="1" t="n">
        <v>44890</v>
      </c>
      <c r="C733" s="1" t="n">
        <v>45993</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43853-2023</t>
        </is>
      </c>
      <c r="B734" s="1" t="n">
        <v>45187.60813657408</v>
      </c>
      <c r="C734" s="1" t="n">
        <v>45993</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7075-2021</t>
        </is>
      </c>
      <c r="B735" s="1" t="n">
        <v>44237</v>
      </c>
      <c r="C735" s="1" t="n">
        <v>45993</v>
      </c>
      <c r="D735" t="inlineStr">
        <is>
          <t>KALMAR LÄN</t>
        </is>
      </c>
      <c r="E735" t="inlineStr">
        <is>
          <t>VIMMERBY</t>
        </is>
      </c>
      <c r="G735" t="n">
        <v>3.6</v>
      </c>
      <c r="H735" t="n">
        <v>0</v>
      </c>
      <c r="I735" t="n">
        <v>0</v>
      </c>
      <c r="J735" t="n">
        <v>0</v>
      </c>
      <c r="K735" t="n">
        <v>0</v>
      </c>
      <c r="L735" t="n">
        <v>0</v>
      </c>
      <c r="M735" t="n">
        <v>0</v>
      </c>
      <c r="N735" t="n">
        <v>0</v>
      </c>
      <c r="O735" t="n">
        <v>0</v>
      </c>
      <c r="P735" t="n">
        <v>0</v>
      </c>
      <c r="Q735" t="n">
        <v>0</v>
      </c>
      <c r="R735" s="2" t="inlineStr"/>
    </row>
    <row r="736" ht="15" customHeight="1">
      <c r="A736" t="inlineStr">
        <is>
          <t>A 48673-2021</t>
        </is>
      </c>
      <c r="B736" s="1" t="n">
        <v>44452</v>
      </c>
      <c r="C736" s="1" t="n">
        <v>45993</v>
      </c>
      <c r="D736" t="inlineStr">
        <is>
          <t>KALMAR LÄN</t>
        </is>
      </c>
      <c r="E736" t="inlineStr">
        <is>
          <t>VIMMERBY</t>
        </is>
      </c>
      <c r="G736" t="n">
        <v>1.3</v>
      </c>
      <c r="H736" t="n">
        <v>0</v>
      </c>
      <c r="I736" t="n">
        <v>0</v>
      </c>
      <c r="J736" t="n">
        <v>0</v>
      </c>
      <c r="K736" t="n">
        <v>0</v>
      </c>
      <c r="L736" t="n">
        <v>0</v>
      </c>
      <c r="M736" t="n">
        <v>0</v>
      </c>
      <c r="N736" t="n">
        <v>0</v>
      </c>
      <c r="O736" t="n">
        <v>0</v>
      </c>
      <c r="P736" t="n">
        <v>0</v>
      </c>
      <c r="Q736" t="n">
        <v>0</v>
      </c>
      <c r="R736" s="2" t="inlineStr"/>
    </row>
    <row r="737" ht="15" customHeight="1">
      <c r="A737" t="inlineStr">
        <is>
          <t>A 14137-2023</t>
        </is>
      </c>
      <c r="B737" s="1" t="n">
        <v>45009.4671875</v>
      </c>
      <c r="C737" s="1" t="n">
        <v>45993</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7630-2025</t>
        </is>
      </c>
      <c r="B738" s="1" t="n">
        <v>45705.74418981482</v>
      </c>
      <c r="C738" s="1" t="n">
        <v>45993</v>
      </c>
      <c r="D738" t="inlineStr">
        <is>
          <t>KALMAR LÄN</t>
        </is>
      </c>
      <c r="E738" t="inlineStr">
        <is>
          <t>VIMMERBY</t>
        </is>
      </c>
      <c r="G738" t="n">
        <v>2.5</v>
      </c>
      <c r="H738" t="n">
        <v>0</v>
      </c>
      <c r="I738" t="n">
        <v>0</v>
      </c>
      <c r="J738" t="n">
        <v>0</v>
      </c>
      <c r="K738" t="n">
        <v>0</v>
      </c>
      <c r="L738" t="n">
        <v>0</v>
      </c>
      <c r="M738" t="n">
        <v>0</v>
      </c>
      <c r="N738" t="n">
        <v>0</v>
      </c>
      <c r="O738" t="n">
        <v>0</v>
      </c>
      <c r="P738" t="n">
        <v>0</v>
      </c>
      <c r="Q738" t="n">
        <v>0</v>
      </c>
      <c r="R738" s="2" t="inlineStr"/>
    </row>
    <row r="739" ht="15" customHeight="1">
      <c r="A739" t="inlineStr">
        <is>
          <t>A 4076-2022</t>
        </is>
      </c>
      <c r="B739" s="1" t="n">
        <v>44588.37998842593</v>
      </c>
      <c r="C739" s="1" t="n">
        <v>45993</v>
      </c>
      <c r="D739" t="inlineStr">
        <is>
          <t>KALMAR LÄN</t>
        </is>
      </c>
      <c r="E739" t="inlineStr">
        <is>
          <t>VIMMERBY</t>
        </is>
      </c>
      <c r="G739" t="n">
        <v>3</v>
      </c>
      <c r="H739" t="n">
        <v>0</v>
      </c>
      <c r="I739" t="n">
        <v>0</v>
      </c>
      <c r="J739" t="n">
        <v>0</v>
      </c>
      <c r="K739" t="n">
        <v>0</v>
      </c>
      <c r="L739" t="n">
        <v>0</v>
      </c>
      <c r="M739" t="n">
        <v>0</v>
      </c>
      <c r="N739" t="n">
        <v>0</v>
      </c>
      <c r="O739" t="n">
        <v>0</v>
      </c>
      <c r="P739" t="n">
        <v>0</v>
      </c>
      <c r="Q739" t="n">
        <v>0</v>
      </c>
      <c r="R739" s="2" t="inlineStr"/>
    </row>
    <row r="740" ht="15" customHeight="1">
      <c r="A740" t="inlineStr">
        <is>
          <t>A 4122-2022</t>
        </is>
      </c>
      <c r="B740" s="1" t="n">
        <v>44588</v>
      </c>
      <c r="C740" s="1" t="n">
        <v>45993</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65961-2020</t>
        </is>
      </c>
      <c r="B741" s="1" t="n">
        <v>44175.39748842592</v>
      </c>
      <c r="C741" s="1" t="n">
        <v>45993</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53788-2025</t>
        </is>
      </c>
      <c r="B742" s="1" t="n">
        <v>45960</v>
      </c>
      <c r="C742" s="1" t="n">
        <v>45993</v>
      </c>
      <c r="D742" t="inlineStr">
        <is>
          <t>KALMAR LÄN</t>
        </is>
      </c>
      <c r="E742" t="inlineStr">
        <is>
          <t>VIMMERBY</t>
        </is>
      </c>
      <c r="F742" t="inlineStr">
        <is>
          <t>Övriga statliga verk och myndigheter</t>
        </is>
      </c>
      <c r="G742" t="n">
        <v>6.3</v>
      </c>
      <c r="H742" t="n">
        <v>0</v>
      </c>
      <c r="I742" t="n">
        <v>0</v>
      </c>
      <c r="J742" t="n">
        <v>0</v>
      </c>
      <c r="K742" t="n">
        <v>0</v>
      </c>
      <c r="L742" t="n">
        <v>0</v>
      </c>
      <c r="M742" t="n">
        <v>0</v>
      </c>
      <c r="N742" t="n">
        <v>0</v>
      </c>
      <c r="O742" t="n">
        <v>0</v>
      </c>
      <c r="P742" t="n">
        <v>0</v>
      </c>
      <c r="Q742" t="n">
        <v>0</v>
      </c>
      <c r="R742" s="2" t="inlineStr"/>
    </row>
    <row r="743" ht="15" customHeight="1">
      <c r="A743" t="inlineStr">
        <is>
          <t>A 38780-2021</t>
        </is>
      </c>
      <c r="B743" s="1" t="n">
        <v>44410</v>
      </c>
      <c r="C743" s="1" t="n">
        <v>45993</v>
      </c>
      <c r="D743" t="inlineStr">
        <is>
          <t>KALMAR LÄN</t>
        </is>
      </c>
      <c r="E743" t="inlineStr">
        <is>
          <t>VIMMERBY</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30503-2023</t>
        </is>
      </c>
      <c r="B744" s="1" t="n">
        <v>45111</v>
      </c>
      <c r="C744" s="1" t="n">
        <v>45993</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60110-2022</t>
        </is>
      </c>
      <c r="B745" s="1" t="n">
        <v>44909</v>
      </c>
      <c r="C745" s="1" t="n">
        <v>45993</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9624-2024</t>
        </is>
      </c>
      <c r="B746" s="1" t="n">
        <v>45361.90282407407</v>
      </c>
      <c r="C746" s="1" t="n">
        <v>45993</v>
      </c>
      <c r="D746" t="inlineStr">
        <is>
          <t>KALMAR LÄN</t>
        </is>
      </c>
      <c r="E746" t="inlineStr">
        <is>
          <t>VIMMERBY</t>
        </is>
      </c>
      <c r="G746" t="n">
        <v>3.8</v>
      </c>
      <c r="H746" t="n">
        <v>0</v>
      </c>
      <c r="I746" t="n">
        <v>0</v>
      </c>
      <c r="J746" t="n">
        <v>0</v>
      </c>
      <c r="K746" t="n">
        <v>0</v>
      </c>
      <c r="L746" t="n">
        <v>0</v>
      </c>
      <c r="M746" t="n">
        <v>0</v>
      </c>
      <c r="N746" t="n">
        <v>0</v>
      </c>
      <c r="O746" t="n">
        <v>0</v>
      </c>
      <c r="P746" t="n">
        <v>0</v>
      </c>
      <c r="Q746" t="n">
        <v>0</v>
      </c>
      <c r="R746" s="2" t="inlineStr"/>
    </row>
    <row r="747" ht="15" customHeight="1">
      <c r="A747" t="inlineStr">
        <is>
          <t>A 52327-2023</t>
        </is>
      </c>
      <c r="B747" s="1" t="n">
        <v>45224.6515162037</v>
      </c>
      <c r="C747" s="1" t="n">
        <v>45993</v>
      </c>
      <c r="D747" t="inlineStr">
        <is>
          <t>KALMAR LÄN</t>
        </is>
      </c>
      <c r="E747" t="inlineStr">
        <is>
          <t>VIMMERBY</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59300-2024</t>
        </is>
      </c>
      <c r="B748" s="1" t="n">
        <v>45637.66542824074</v>
      </c>
      <c r="C748" s="1" t="n">
        <v>45993</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29616-2022</t>
        </is>
      </c>
      <c r="B749" s="1" t="n">
        <v>44754</v>
      </c>
      <c r="C749" s="1" t="n">
        <v>45993</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29348-2023</t>
        </is>
      </c>
      <c r="B750" s="1" t="n">
        <v>45106.25025462963</v>
      </c>
      <c r="C750" s="1" t="n">
        <v>45993</v>
      </c>
      <c r="D750" t="inlineStr">
        <is>
          <t>KALMAR LÄN</t>
        </is>
      </c>
      <c r="E750" t="inlineStr">
        <is>
          <t>VIMMERBY</t>
        </is>
      </c>
      <c r="G750" t="n">
        <v>2.4</v>
      </c>
      <c r="H750" t="n">
        <v>0</v>
      </c>
      <c r="I750" t="n">
        <v>0</v>
      </c>
      <c r="J750" t="n">
        <v>0</v>
      </c>
      <c r="K750" t="n">
        <v>0</v>
      </c>
      <c r="L750" t="n">
        <v>0</v>
      </c>
      <c r="M750" t="n">
        <v>0</v>
      </c>
      <c r="N750" t="n">
        <v>0</v>
      </c>
      <c r="O750" t="n">
        <v>0</v>
      </c>
      <c r="P750" t="n">
        <v>0</v>
      </c>
      <c r="Q750" t="n">
        <v>0</v>
      </c>
      <c r="R750" s="2" t="inlineStr"/>
    </row>
    <row r="751" ht="15" customHeight="1">
      <c r="A751" t="inlineStr">
        <is>
          <t>A 28403-2023</t>
        </is>
      </c>
      <c r="B751" s="1" t="n">
        <v>45100.85270833333</v>
      </c>
      <c r="C751" s="1" t="n">
        <v>45993</v>
      </c>
      <c r="D751" t="inlineStr">
        <is>
          <t>KALMAR LÄN</t>
        </is>
      </c>
      <c r="E751" t="inlineStr">
        <is>
          <t>VIMMERBY</t>
        </is>
      </c>
      <c r="G751" t="n">
        <v>1.8</v>
      </c>
      <c r="H751" t="n">
        <v>0</v>
      </c>
      <c r="I751" t="n">
        <v>0</v>
      </c>
      <c r="J751" t="n">
        <v>0</v>
      </c>
      <c r="K751" t="n">
        <v>0</v>
      </c>
      <c r="L751" t="n">
        <v>0</v>
      </c>
      <c r="M751" t="n">
        <v>0</v>
      </c>
      <c r="N751" t="n">
        <v>0</v>
      </c>
      <c r="O751" t="n">
        <v>0</v>
      </c>
      <c r="P751" t="n">
        <v>0</v>
      </c>
      <c r="Q751" t="n">
        <v>0</v>
      </c>
      <c r="R751" s="2" t="inlineStr"/>
    </row>
    <row r="752" ht="15" customHeight="1">
      <c r="A752" t="inlineStr">
        <is>
          <t>A 19445-2021</t>
        </is>
      </c>
      <c r="B752" s="1" t="n">
        <v>44310</v>
      </c>
      <c r="C752" s="1" t="n">
        <v>45993</v>
      </c>
      <c r="D752" t="inlineStr">
        <is>
          <t>KALMAR LÄN</t>
        </is>
      </c>
      <c r="E752" t="inlineStr">
        <is>
          <t>VIMMERBY</t>
        </is>
      </c>
      <c r="G752" t="n">
        <v>6.8</v>
      </c>
      <c r="H752" t="n">
        <v>0</v>
      </c>
      <c r="I752" t="n">
        <v>0</v>
      </c>
      <c r="J752" t="n">
        <v>0</v>
      </c>
      <c r="K752" t="n">
        <v>0</v>
      </c>
      <c r="L752" t="n">
        <v>0</v>
      </c>
      <c r="M752" t="n">
        <v>0</v>
      </c>
      <c r="N752" t="n">
        <v>0</v>
      </c>
      <c r="O752" t="n">
        <v>0</v>
      </c>
      <c r="P752" t="n">
        <v>0</v>
      </c>
      <c r="Q752" t="n">
        <v>0</v>
      </c>
      <c r="R752" s="2" t="inlineStr"/>
    </row>
    <row r="753" ht="15" customHeight="1">
      <c r="A753" t="inlineStr">
        <is>
          <t>A 45854-2025</t>
        </is>
      </c>
      <c r="B753" s="1" t="n">
        <v>45923</v>
      </c>
      <c r="C753" s="1" t="n">
        <v>45993</v>
      </c>
      <c r="D753" t="inlineStr">
        <is>
          <t>KALMAR LÄN</t>
        </is>
      </c>
      <c r="E753" t="inlineStr">
        <is>
          <t>VIMMERBY</t>
        </is>
      </c>
      <c r="G753" t="n">
        <v>2.2</v>
      </c>
      <c r="H753" t="n">
        <v>0</v>
      </c>
      <c r="I753" t="n">
        <v>0</v>
      </c>
      <c r="J753" t="n">
        <v>0</v>
      </c>
      <c r="K753" t="n">
        <v>0</v>
      </c>
      <c r="L753" t="n">
        <v>0</v>
      </c>
      <c r="M753" t="n">
        <v>0</v>
      </c>
      <c r="N753" t="n">
        <v>0</v>
      </c>
      <c r="O753" t="n">
        <v>0</v>
      </c>
      <c r="P753" t="n">
        <v>0</v>
      </c>
      <c r="Q753" t="n">
        <v>0</v>
      </c>
      <c r="R753" s="2" t="inlineStr"/>
    </row>
    <row r="754" ht="15" customHeight="1">
      <c r="A754" t="inlineStr">
        <is>
          <t>A 45855-2025</t>
        </is>
      </c>
      <c r="B754" s="1" t="n">
        <v>45923</v>
      </c>
      <c r="C754" s="1" t="n">
        <v>45993</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17511-2024</t>
        </is>
      </c>
      <c r="B755" s="1" t="n">
        <v>45415.57682870371</v>
      </c>
      <c r="C755" s="1" t="n">
        <v>45993</v>
      </c>
      <c r="D755" t="inlineStr">
        <is>
          <t>KALMAR LÄN</t>
        </is>
      </c>
      <c r="E755" t="inlineStr">
        <is>
          <t>VIMMERBY</t>
        </is>
      </c>
      <c r="G755" t="n">
        <v>5.3</v>
      </c>
      <c r="H755" t="n">
        <v>0</v>
      </c>
      <c r="I755" t="n">
        <v>0</v>
      </c>
      <c r="J755" t="n">
        <v>0</v>
      </c>
      <c r="K755" t="n">
        <v>0</v>
      </c>
      <c r="L755" t="n">
        <v>0</v>
      </c>
      <c r="M755" t="n">
        <v>0</v>
      </c>
      <c r="N755" t="n">
        <v>0</v>
      </c>
      <c r="O755" t="n">
        <v>0</v>
      </c>
      <c r="P755" t="n">
        <v>0</v>
      </c>
      <c r="Q755" t="n">
        <v>0</v>
      </c>
      <c r="R755" s="2" t="inlineStr"/>
    </row>
    <row r="756" ht="15" customHeight="1">
      <c r="A756" t="inlineStr">
        <is>
          <t>A 66022-2021</t>
        </is>
      </c>
      <c r="B756" s="1" t="n">
        <v>44517</v>
      </c>
      <c r="C756" s="1" t="n">
        <v>45993</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18329-2023</t>
        </is>
      </c>
      <c r="B757" s="1" t="n">
        <v>45041.63380787037</v>
      </c>
      <c r="C757" s="1" t="n">
        <v>45993</v>
      </c>
      <c r="D757" t="inlineStr">
        <is>
          <t>KALMAR LÄN</t>
        </is>
      </c>
      <c r="E757" t="inlineStr">
        <is>
          <t>VIMMERBY</t>
        </is>
      </c>
      <c r="G757" t="n">
        <v>0.5</v>
      </c>
      <c r="H757" t="n">
        <v>0</v>
      </c>
      <c r="I757" t="n">
        <v>0</v>
      </c>
      <c r="J757" t="n">
        <v>0</v>
      </c>
      <c r="K757" t="n">
        <v>0</v>
      </c>
      <c r="L757" t="n">
        <v>0</v>
      </c>
      <c r="M757" t="n">
        <v>0</v>
      </c>
      <c r="N757" t="n">
        <v>0</v>
      </c>
      <c r="O757" t="n">
        <v>0</v>
      </c>
      <c r="P757" t="n">
        <v>0</v>
      </c>
      <c r="Q757" t="n">
        <v>0</v>
      </c>
      <c r="R757" s="2" t="inlineStr"/>
    </row>
    <row r="758" ht="15" customHeight="1">
      <c r="A758" t="inlineStr">
        <is>
          <t>A 46361-2025</t>
        </is>
      </c>
      <c r="B758" s="1" t="n">
        <v>45925.49670138889</v>
      </c>
      <c r="C758" s="1" t="n">
        <v>45993</v>
      </c>
      <c r="D758" t="inlineStr">
        <is>
          <t>KALMAR LÄN</t>
        </is>
      </c>
      <c r="E758" t="inlineStr">
        <is>
          <t>VIMMERBY</t>
        </is>
      </c>
      <c r="G758" t="n">
        <v>4.2</v>
      </c>
      <c r="H758" t="n">
        <v>0</v>
      </c>
      <c r="I758" t="n">
        <v>0</v>
      </c>
      <c r="J758" t="n">
        <v>0</v>
      </c>
      <c r="K758" t="n">
        <v>0</v>
      </c>
      <c r="L758" t="n">
        <v>0</v>
      </c>
      <c r="M758" t="n">
        <v>0</v>
      </c>
      <c r="N758" t="n">
        <v>0</v>
      </c>
      <c r="O758" t="n">
        <v>0</v>
      </c>
      <c r="P758" t="n">
        <v>0</v>
      </c>
      <c r="Q758" t="n">
        <v>0</v>
      </c>
      <c r="R758" s="2" t="inlineStr"/>
    </row>
    <row r="759" ht="15" customHeight="1">
      <c r="A759" t="inlineStr">
        <is>
          <t>A 46365-2025</t>
        </is>
      </c>
      <c r="B759" s="1" t="n">
        <v>45925.50075231482</v>
      </c>
      <c r="C759" s="1" t="n">
        <v>45993</v>
      </c>
      <c r="D759" t="inlineStr">
        <is>
          <t>KALMAR LÄN</t>
        </is>
      </c>
      <c r="E759" t="inlineStr">
        <is>
          <t>VIMMERBY</t>
        </is>
      </c>
      <c r="G759" t="n">
        <v>5.6</v>
      </c>
      <c r="H759" t="n">
        <v>0</v>
      </c>
      <c r="I759" t="n">
        <v>0</v>
      </c>
      <c r="J759" t="n">
        <v>0</v>
      </c>
      <c r="K759" t="n">
        <v>0</v>
      </c>
      <c r="L759" t="n">
        <v>0</v>
      </c>
      <c r="M759" t="n">
        <v>0</v>
      </c>
      <c r="N759" t="n">
        <v>0</v>
      </c>
      <c r="O759" t="n">
        <v>0</v>
      </c>
      <c r="P759" t="n">
        <v>0</v>
      </c>
      <c r="Q759" t="n">
        <v>0</v>
      </c>
      <c r="R759" s="2" t="inlineStr"/>
    </row>
    <row r="760" ht="15" customHeight="1">
      <c r="A760" t="inlineStr">
        <is>
          <t>A 29973-2023</t>
        </is>
      </c>
      <c r="B760" s="1" t="n">
        <v>45108.703125</v>
      </c>
      <c r="C760" s="1" t="n">
        <v>45993</v>
      </c>
      <c r="D760" t="inlineStr">
        <is>
          <t>KALMAR LÄN</t>
        </is>
      </c>
      <c r="E760" t="inlineStr">
        <is>
          <t>VIMMERBY</t>
        </is>
      </c>
      <c r="G760" t="n">
        <v>4</v>
      </c>
      <c r="H760" t="n">
        <v>0</v>
      </c>
      <c r="I760" t="n">
        <v>0</v>
      </c>
      <c r="J760" t="n">
        <v>0</v>
      </c>
      <c r="K760" t="n">
        <v>0</v>
      </c>
      <c r="L760" t="n">
        <v>0</v>
      </c>
      <c r="M760" t="n">
        <v>0</v>
      </c>
      <c r="N760" t="n">
        <v>0</v>
      </c>
      <c r="O760" t="n">
        <v>0</v>
      </c>
      <c r="P760" t="n">
        <v>0</v>
      </c>
      <c r="Q760" t="n">
        <v>0</v>
      </c>
      <c r="R760" s="2" t="inlineStr"/>
    </row>
    <row r="761" ht="15" customHeight="1">
      <c r="A761" t="inlineStr">
        <is>
          <t>A 5720-2023</t>
        </is>
      </c>
      <c r="B761" s="1" t="n">
        <v>44961</v>
      </c>
      <c r="C761" s="1" t="n">
        <v>45993</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61538-2022</t>
        </is>
      </c>
      <c r="B762" s="1" t="n">
        <v>44916.55414351852</v>
      </c>
      <c r="C762" s="1" t="n">
        <v>45993</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30070-2023</t>
        </is>
      </c>
      <c r="B763" s="1" t="n">
        <v>45110.4275</v>
      </c>
      <c r="C763" s="1" t="n">
        <v>45993</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694-2024</t>
        </is>
      </c>
      <c r="B764" s="1" t="n">
        <v>45300.3794212963</v>
      </c>
      <c r="C764" s="1" t="n">
        <v>45993</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57114-2023</t>
        </is>
      </c>
      <c r="B765" s="1" t="n">
        <v>45245.36174768519</v>
      </c>
      <c r="C765" s="1" t="n">
        <v>45993</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45856-2025</t>
        </is>
      </c>
      <c r="B766" s="1" t="n">
        <v>45923</v>
      </c>
      <c r="C766" s="1" t="n">
        <v>45993</v>
      </c>
      <c r="D766" t="inlineStr">
        <is>
          <t>KALMAR LÄN</t>
        </is>
      </c>
      <c r="E766" t="inlineStr">
        <is>
          <t>VIMMERBY</t>
        </is>
      </c>
      <c r="G766" t="n">
        <v>2.1</v>
      </c>
      <c r="H766" t="n">
        <v>0</v>
      </c>
      <c r="I766" t="n">
        <v>0</v>
      </c>
      <c r="J766" t="n">
        <v>0</v>
      </c>
      <c r="K766" t="n">
        <v>0</v>
      </c>
      <c r="L766" t="n">
        <v>0</v>
      </c>
      <c r="M766" t="n">
        <v>0</v>
      </c>
      <c r="N766" t="n">
        <v>0</v>
      </c>
      <c r="O766" t="n">
        <v>0</v>
      </c>
      <c r="P766" t="n">
        <v>0</v>
      </c>
      <c r="Q766" t="n">
        <v>0</v>
      </c>
      <c r="R766" s="2" t="inlineStr"/>
    </row>
    <row r="767" ht="15" customHeight="1">
      <c r="A767" t="inlineStr">
        <is>
          <t>A 12327-2023</t>
        </is>
      </c>
      <c r="B767" s="1" t="n">
        <v>44999.36081018519</v>
      </c>
      <c r="C767" s="1" t="n">
        <v>45993</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30633-2024</t>
        </is>
      </c>
      <c r="B768" s="1" t="n">
        <v>45495</v>
      </c>
      <c r="C768" s="1" t="n">
        <v>45993</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46887-2025</t>
        </is>
      </c>
      <c r="B769" s="1" t="n">
        <v>45929.3672337963</v>
      </c>
      <c r="C769" s="1" t="n">
        <v>45993</v>
      </c>
      <c r="D769" t="inlineStr">
        <is>
          <t>KALMAR LÄN</t>
        </is>
      </c>
      <c r="E769" t="inlineStr">
        <is>
          <t>VIMMERBY</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33424-2023</t>
        </is>
      </c>
      <c r="B770" s="1" t="n">
        <v>45128.9325</v>
      </c>
      <c r="C770" s="1" t="n">
        <v>45993</v>
      </c>
      <c r="D770" t="inlineStr">
        <is>
          <t>KALMAR LÄN</t>
        </is>
      </c>
      <c r="E770" t="inlineStr">
        <is>
          <t>VIMMERBY</t>
        </is>
      </c>
      <c r="G770" t="n">
        <v>2.4</v>
      </c>
      <c r="H770" t="n">
        <v>0</v>
      </c>
      <c r="I770" t="n">
        <v>0</v>
      </c>
      <c r="J770" t="n">
        <v>0</v>
      </c>
      <c r="K770" t="n">
        <v>0</v>
      </c>
      <c r="L770" t="n">
        <v>0</v>
      </c>
      <c r="M770" t="n">
        <v>0</v>
      </c>
      <c r="N770" t="n">
        <v>0</v>
      </c>
      <c r="O770" t="n">
        <v>0</v>
      </c>
      <c r="P770" t="n">
        <v>0</v>
      </c>
      <c r="Q770" t="n">
        <v>0</v>
      </c>
      <c r="R770" s="2" t="inlineStr"/>
    </row>
    <row r="771" ht="15" customHeight="1">
      <c r="A771" t="inlineStr">
        <is>
          <t>A 33425-2023</t>
        </is>
      </c>
      <c r="B771" s="1" t="n">
        <v>45128.93540509259</v>
      </c>
      <c r="C771" s="1" t="n">
        <v>45993</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3609-2024</t>
        </is>
      </c>
      <c r="B772" s="1" t="n">
        <v>45320.89128472222</v>
      </c>
      <c r="C772" s="1" t="n">
        <v>45993</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25582-2024</t>
        </is>
      </c>
      <c r="B773" s="1" t="n">
        <v>45463</v>
      </c>
      <c r="C773" s="1" t="n">
        <v>45993</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47227-2025</t>
        </is>
      </c>
      <c r="B774" s="1" t="n">
        <v>45930.39769675926</v>
      </c>
      <c r="C774" s="1" t="n">
        <v>45993</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57578-2024</t>
        </is>
      </c>
      <c r="B775" s="1" t="n">
        <v>45630.47564814815</v>
      </c>
      <c r="C775" s="1" t="n">
        <v>45993</v>
      </c>
      <c r="D775" t="inlineStr">
        <is>
          <t>KALMAR LÄN</t>
        </is>
      </c>
      <c r="E775" t="inlineStr">
        <is>
          <t>VIMMERBY</t>
        </is>
      </c>
      <c r="G775" t="n">
        <v>2.6</v>
      </c>
      <c r="H775" t="n">
        <v>0</v>
      </c>
      <c r="I775" t="n">
        <v>0</v>
      </c>
      <c r="J775" t="n">
        <v>0</v>
      </c>
      <c r="K775" t="n">
        <v>0</v>
      </c>
      <c r="L775" t="n">
        <v>0</v>
      </c>
      <c r="M775" t="n">
        <v>0</v>
      </c>
      <c r="N775" t="n">
        <v>0</v>
      </c>
      <c r="O775" t="n">
        <v>0</v>
      </c>
      <c r="P775" t="n">
        <v>0</v>
      </c>
      <c r="Q775" t="n">
        <v>0</v>
      </c>
      <c r="R775" s="2" t="inlineStr"/>
    </row>
    <row r="776" ht="15" customHeight="1">
      <c r="A776" t="inlineStr">
        <is>
          <t>A 55384-2025</t>
        </is>
      </c>
      <c r="B776" s="1" t="n">
        <v>45971.43178240741</v>
      </c>
      <c r="C776" s="1" t="n">
        <v>45993</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55385-2025</t>
        </is>
      </c>
      <c r="B777" s="1" t="n">
        <v>45971.43350694444</v>
      </c>
      <c r="C777" s="1" t="n">
        <v>45993</v>
      </c>
      <c r="D777" t="inlineStr">
        <is>
          <t>KALMAR LÄN</t>
        </is>
      </c>
      <c r="E777" t="inlineStr">
        <is>
          <t>VIMMERBY</t>
        </is>
      </c>
      <c r="G777" t="n">
        <v>5</v>
      </c>
      <c r="H777" t="n">
        <v>0</v>
      </c>
      <c r="I777" t="n">
        <v>0</v>
      </c>
      <c r="J777" t="n">
        <v>0</v>
      </c>
      <c r="K777" t="n">
        <v>0</v>
      </c>
      <c r="L777" t="n">
        <v>0</v>
      </c>
      <c r="M777" t="n">
        <v>0</v>
      </c>
      <c r="N777" t="n">
        <v>0</v>
      </c>
      <c r="O777" t="n">
        <v>0</v>
      </c>
      <c r="P777" t="n">
        <v>0</v>
      </c>
      <c r="Q777" t="n">
        <v>0</v>
      </c>
      <c r="R777" s="2" t="inlineStr"/>
    </row>
    <row r="778" ht="15" customHeight="1">
      <c r="A778" t="inlineStr">
        <is>
          <t>A 55604-2025</t>
        </is>
      </c>
      <c r="B778" s="1" t="n">
        <v>45971</v>
      </c>
      <c r="C778" s="1" t="n">
        <v>45993</v>
      </c>
      <c r="D778" t="inlineStr">
        <is>
          <t>KALMAR LÄN</t>
        </is>
      </c>
      <c r="E778" t="inlineStr">
        <is>
          <t>VIMMERBY</t>
        </is>
      </c>
      <c r="G778" t="n">
        <v>4.4</v>
      </c>
      <c r="H778" t="n">
        <v>0</v>
      </c>
      <c r="I778" t="n">
        <v>0</v>
      </c>
      <c r="J778" t="n">
        <v>0</v>
      </c>
      <c r="K778" t="n">
        <v>0</v>
      </c>
      <c r="L778" t="n">
        <v>0</v>
      </c>
      <c r="M778" t="n">
        <v>0</v>
      </c>
      <c r="N778" t="n">
        <v>0</v>
      </c>
      <c r="O778" t="n">
        <v>0</v>
      </c>
      <c r="P778" t="n">
        <v>0</v>
      </c>
      <c r="Q778" t="n">
        <v>0</v>
      </c>
      <c r="R778" s="2" t="inlineStr"/>
    </row>
    <row r="779" ht="15" customHeight="1">
      <c r="A779" t="inlineStr">
        <is>
          <t>A 55602-2025</t>
        </is>
      </c>
      <c r="B779" s="1" t="n">
        <v>45971</v>
      </c>
      <c r="C779" s="1" t="n">
        <v>45993</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55603-2025</t>
        </is>
      </c>
      <c r="B780" s="1" t="n">
        <v>45971</v>
      </c>
      <c r="C780" s="1" t="n">
        <v>45993</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55605-2025</t>
        </is>
      </c>
      <c r="B781" s="1" t="n">
        <v>45971</v>
      </c>
      <c r="C781" s="1" t="n">
        <v>45993</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8650-2022</t>
        </is>
      </c>
      <c r="B782" s="1" t="n">
        <v>44613</v>
      </c>
      <c r="C782" s="1" t="n">
        <v>45993</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22399-2025</t>
        </is>
      </c>
      <c r="B783" s="1" t="n">
        <v>45786.52996527778</v>
      </c>
      <c r="C783" s="1" t="n">
        <v>45993</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11147-2023</t>
        </is>
      </c>
      <c r="B784" s="1" t="n">
        <v>44992</v>
      </c>
      <c r="C784" s="1" t="n">
        <v>45993</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16676-2023</t>
        </is>
      </c>
      <c r="B785" s="1" t="n">
        <v>45028</v>
      </c>
      <c r="C785" s="1" t="n">
        <v>45993</v>
      </c>
      <c r="D785" t="inlineStr">
        <is>
          <t>KALMAR LÄN</t>
        </is>
      </c>
      <c r="E785" t="inlineStr">
        <is>
          <t>VIMMERBY</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23263-2024</t>
        </is>
      </c>
      <c r="B786" s="1" t="n">
        <v>45453.36854166666</v>
      </c>
      <c r="C786" s="1" t="n">
        <v>45993</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47965-2025</t>
        </is>
      </c>
      <c r="B787" s="1" t="n">
        <v>45932.59597222223</v>
      </c>
      <c r="C787" s="1" t="n">
        <v>45993</v>
      </c>
      <c r="D787" t="inlineStr">
        <is>
          <t>KALMAR LÄN</t>
        </is>
      </c>
      <c r="E787" t="inlineStr">
        <is>
          <t>VIMMERBY</t>
        </is>
      </c>
      <c r="G787" t="n">
        <v>2.2</v>
      </c>
      <c r="H787" t="n">
        <v>0</v>
      </c>
      <c r="I787" t="n">
        <v>0</v>
      </c>
      <c r="J787" t="n">
        <v>0</v>
      </c>
      <c r="K787" t="n">
        <v>0</v>
      </c>
      <c r="L787" t="n">
        <v>0</v>
      </c>
      <c r="M787" t="n">
        <v>0</v>
      </c>
      <c r="N787" t="n">
        <v>0</v>
      </c>
      <c r="O787" t="n">
        <v>0</v>
      </c>
      <c r="P787" t="n">
        <v>0</v>
      </c>
      <c r="Q787" t="n">
        <v>0</v>
      </c>
      <c r="R787" s="2" t="inlineStr"/>
    </row>
    <row r="788" ht="15" customHeight="1">
      <c r="A788" t="inlineStr">
        <is>
          <t>A 49488-2023</t>
        </is>
      </c>
      <c r="B788" s="1" t="n">
        <v>45211.55472222222</v>
      </c>
      <c r="C788" s="1" t="n">
        <v>45993</v>
      </c>
      <c r="D788" t="inlineStr">
        <is>
          <t>KALMAR LÄN</t>
        </is>
      </c>
      <c r="E788" t="inlineStr">
        <is>
          <t>VIMMERBY</t>
        </is>
      </c>
      <c r="F788" t="inlineStr">
        <is>
          <t>Sveaskog</t>
        </is>
      </c>
      <c r="G788" t="n">
        <v>6.2</v>
      </c>
      <c r="H788" t="n">
        <v>0</v>
      </c>
      <c r="I788" t="n">
        <v>0</v>
      </c>
      <c r="J788" t="n">
        <v>0</v>
      </c>
      <c r="K788" t="n">
        <v>0</v>
      </c>
      <c r="L788" t="n">
        <v>0</v>
      </c>
      <c r="M788" t="n">
        <v>0</v>
      </c>
      <c r="N788" t="n">
        <v>0</v>
      </c>
      <c r="O788" t="n">
        <v>0</v>
      </c>
      <c r="P788" t="n">
        <v>0</v>
      </c>
      <c r="Q788" t="n">
        <v>0</v>
      </c>
      <c r="R788" s="2" t="inlineStr"/>
    </row>
    <row r="789" ht="15" customHeight="1">
      <c r="A789" t="inlineStr">
        <is>
          <t>A 22397-2025</t>
        </is>
      </c>
      <c r="B789" s="1" t="n">
        <v>45786.52878472222</v>
      </c>
      <c r="C789" s="1" t="n">
        <v>45993</v>
      </c>
      <c r="D789" t="inlineStr">
        <is>
          <t>KALMAR LÄN</t>
        </is>
      </c>
      <c r="E789" t="inlineStr">
        <is>
          <t>VIMMERBY</t>
        </is>
      </c>
      <c r="G789" t="n">
        <v>0.8</v>
      </c>
      <c r="H789" t="n">
        <v>0</v>
      </c>
      <c r="I789" t="n">
        <v>0</v>
      </c>
      <c r="J789" t="n">
        <v>0</v>
      </c>
      <c r="K789" t="n">
        <v>0</v>
      </c>
      <c r="L789" t="n">
        <v>0</v>
      </c>
      <c r="M789" t="n">
        <v>0</v>
      </c>
      <c r="N789" t="n">
        <v>0</v>
      </c>
      <c r="O789" t="n">
        <v>0</v>
      </c>
      <c r="P789" t="n">
        <v>0</v>
      </c>
      <c r="Q789" t="n">
        <v>0</v>
      </c>
      <c r="R789" s="2" t="inlineStr"/>
    </row>
    <row r="790" ht="15" customHeight="1">
      <c r="A790" t="inlineStr">
        <is>
          <t>A 59768-2024</t>
        </is>
      </c>
      <c r="B790" s="1" t="n">
        <v>45639.56185185185</v>
      </c>
      <c r="C790" s="1" t="n">
        <v>45993</v>
      </c>
      <c r="D790" t="inlineStr">
        <is>
          <t>KALMAR LÄN</t>
        </is>
      </c>
      <c r="E790" t="inlineStr">
        <is>
          <t>VIMMERBY</t>
        </is>
      </c>
      <c r="G790" t="n">
        <v>5.9</v>
      </c>
      <c r="H790" t="n">
        <v>0</v>
      </c>
      <c r="I790" t="n">
        <v>0</v>
      </c>
      <c r="J790" t="n">
        <v>0</v>
      </c>
      <c r="K790" t="n">
        <v>0</v>
      </c>
      <c r="L790" t="n">
        <v>0</v>
      </c>
      <c r="M790" t="n">
        <v>0</v>
      </c>
      <c r="N790" t="n">
        <v>0</v>
      </c>
      <c r="O790" t="n">
        <v>0</v>
      </c>
      <c r="P790" t="n">
        <v>0</v>
      </c>
      <c r="Q790" t="n">
        <v>0</v>
      </c>
      <c r="R790" s="2" t="inlineStr"/>
    </row>
    <row r="791" ht="15" customHeight="1">
      <c r="A791" t="inlineStr">
        <is>
          <t>A 72067-2021</t>
        </is>
      </c>
      <c r="B791" s="1" t="n">
        <v>44540</v>
      </c>
      <c r="C791" s="1" t="n">
        <v>45993</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41158-2023</t>
        </is>
      </c>
      <c r="B792" s="1" t="n">
        <v>45174.31395833333</v>
      </c>
      <c r="C792" s="1" t="n">
        <v>45993</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11442-2025</t>
        </is>
      </c>
      <c r="B793" s="1" t="n">
        <v>45726.62721064815</v>
      </c>
      <c r="C793" s="1" t="n">
        <v>45993</v>
      </c>
      <c r="D793" t="inlineStr">
        <is>
          <t>KALMAR LÄN</t>
        </is>
      </c>
      <c r="E793" t="inlineStr">
        <is>
          <t>VIMMERBY</t>
        </is>
      </c>
      <c r="G793" t="n">
        <v>2.6</v>
      </c>
      <c r="H793" t="n">
        <v>0</v>
      </c>
      <c r="I793" t="n">
        <v>0</v>
      </c>
      <c r="J793" t="n">
        <v>0</v>
      </c>
      <c r="K793" t="n">
        <v>0</v>
      </c>
      <c r="L793" t="n">
        <v>0</v>
      </c>
      <c r="M793" t="n">
        <v>0</v>
      </c>
      <c r="N793" t="n">
        <v>0</v>
      </c>
      <c r="O793" t="n">
        <v>0</v>
      </c>
      <c r="P793" t="n">
        <v>0</v>
      </c>
      <c r="Q793" t="n">
        <v>0</v>
      </c>
      <c r="R793" s="2" t="inlineStr"/>
    </row>
    <row r="794" ht="15" customHeight="1">
      <c r="A794" t="inlineStr">
        <is>
          <t>A 6307-2025</t>
        </is>
      </c>
      <c r="B794" s="1" t="n">
        <v>45698.69016203703</v>
      </c>
      <c r="C794" s="1" t="n">
        <v>45993</v>
      </c>
      <c r="D794" t="inlineStr">
        <is>
          <t>KALMAR LÄN</t>
        </is>
      </c>
      <c r="E794" t="inlineStr">
        <is>
          <t>VIMMERBY</t>
        </is>
      </c>
      <c r="G794" t="n">
        <v>3</v>
      </c>
      <c r="H794" t="n">
        <v>0</v>
      </c>
      <c r="I794" t="n">
        <v>0</v>
      </c>
      <c r="J794" t="n">
        <v>0</v>
      </c>
      <c r="K794" t="n">
        <v>0</v>
      </c>
      <c r="L794" t="n">
        <v>0</v>
      </c>
      <c r="M794" t="n">
        <v>0</v>
      </c>
      <c r="N794" t="n">
        <v>0</v>
      </c>
      <c r="O794" t="n">
        <v>0</v>
      </c>
      <c r="P794" t="n">
        <v>0</v>
      </c>
      <c r="Q794" t="n">
        <v>0</v>
      </c>
      <c r="R794" s="2" t="inlineStr"/>
    </row>
    <row r="795" ht="15" customHeight="1">
      <c r="A795" t="inlineStr">
        <is>
          <t>A 22198-2024</t>
        </is>
      </c>
      <c r="B795" s="1" t="n">
        <v>45446.36865740741</v>
      </c>
      <c r="C795" s="1" t="n">
        <v>45993</v>
      </c>
      <c r="D795" t="inlineStr">
        <is>
          <t>KALMAR LÄN</t>
        </is>
      </c>
      <c r="E795" t="inlineStr">
        <is>
          <t>VIMMERBY</t>
        </is>
      </c>
      <c r="F795" t="inlineStr">
        <is>
          <t>Sveaskog</t>
        </is>
      </c>
      <c r="G795" t="n">
        <v>2.3</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44981.64725694444</v>
      </c>
      <c r="C796" s="1" t="n">
        <v>45993</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47955-2025</t>
        </is>
      </c>
      <c r="B797" s="1" t="n">
        <v>45932.58896990741</v>
      </c>
      <c r="C797" s="1" t="n">
        <v>45993</v>
      </c>
      <c r="D797" t="inlineStr">
        <is>
          <t>KALMAR LÄN</t>
        </is>
      </c>
      <c r="E797" t="inlineStr">
        <is>
          <t>VIMMERBY</t>
        </is>
      </c>
      <c r="G797" t="n">
        <v>3.4</v>
      </c>
      <c r="H797" t="n">
        <v>0</v>
      </c>
      <c r="I797" t="n">
        <v>0</v>
      </c>
      <c r="J797" t="n">
        <v>0</v>
      </c>
      <c r="K797" t="n">
        <v>0</v>
      </c>
      <c r="L797" t="n">
        <v>0</v>
      </c>
      <c r="M797" t="n">
        <v>0</v>
      </c>
      <c r="N797" t="n">
        <v>0</v>
      </c>
      <c r="O797" t="n">
        <v>0</v>
      </c>
      <c r="P797" t="n">
        <v>0</v>
      </c>
      <c r="Q797" t="n">
        <v>0</v>
      </c>
      <c r="R797" s="2" t="inlineStr"/>
    </row>
    <row r="798" ht="15" customHeight="1">
      <c r="A798" t="inlineStr">
        <is>
          <t>A 23394-2025</t>
        </is>
      </c>
      <c r="B798" s="1" t="n">
        <v>45791.89865740741</v>
      </c>
      <c r="C798" s="1" t="n">
        <v>45993</v>
      </c>
      <c r="D798" t="inlineStr">
        <is>
          <t>KALMAR LÄN</t>
        </is>
      </c>
      <c r="E798" t="inlineStr">
        <is>
          <t>VIMMERBY</t>
        </is>
      </c>
      <c r="G798" t="n">
        <v>3.1</v>
      </c>
      <c r="H798" t="n">
        <v>0</v>
      </c>
      <c r="I798" t="n">
        <v>0</v>
      </c>
      <c r="J798" t="n">
        <v>0</v>
      </c>
      <c r="K798" t="n">
        <v>0</v>
      </c>
      <c r="L798" t="n">
        <v>0</v>
      </c>
      <c r="M798" t="n">
        <v>0</v>
      </c>
      <c r="N798" t="n">
        <v>0</v>
      </c>
      <c r="O798" t="n">
        <v>0</v>
      </c>
      <c r="P798" t="n">
        <v>0</v>
      </c>
      <c r="Q798" t="n">
        <v>0</v>
      </c>
      <c r="R798" s="2" t="inlineStr"/>
    </row>
    <row r="799" ht="15" customHeight="1">
      <c r="A799" t="inlineStr">
        <is>
          <t>A 48299-2025</t>
        </is>
      </c>
      <c r="B799" s="1" t="n">
        <v>45933.60982638889</v>
      </c>
      <c r="C799" s="1" t="n">
        <v>45993</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48723-2025</t>
        </is>
      </c>
      <c r="B800" s="1" t="n">
        <v>45936.65121527778</v>
      </c>
      <c r="C800" s="1" t="n">
        <v>45993</v>
      </c>
      <c r="D800" t="inlineStr">
        <is>
          <t>KALMAR LÄN</t>
        </is>
      </c>
      <c r="E800" t="inlineStr">
        <is>
          <t>VIMMERBY</t>
        </is>
      </c>
      <c r="G800" t="n">
        <v>3</v>
      </c>
      <c r="H800" t="n">
        <v>0</v>
      </c>
      <c r="I800" t="n">
        <v>0</v>
      </c>
      <c r="J800" t="n">
        <v>0</v>
      </c>
      <c r="K800" t="n">
        <v>0</v>
      </c>
      <c r="L800" t="n">
        <v>0</v>
      </c>
      <c r="M800" t="n">
        <v>0</v>
      </c>
      <c r="N800" t="n">
        <v>0</v>
      </c>
      <c r="O800" t="n">
        <v>0</v>
      </c>
      <c r="P800" t="n">
        <v>0</v>
      </c>
      <c r="Q800" t="n">
        <v>0</v>
      </c>
      <c r="R800" s="2" t="inlineStr"/>
    </row>
    <row r="801" ht="15" customHeight="1">
      <c r="A801" t="inlineStr">
        <is>
          <t>A 48600-2025</t>
        </is>
      </c>
      <c r="B801" s="1" t="n">
        <v>45935</v>
      </c>
      <c r="C801" s="1" t="n">
        <v>45993</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48408-2025</t>
        </is>
      </c>
      <c r="B802" s="1" t="n">
        <v>45934.40527777778</v>
      </c>
      <c r="C802" s="1" t="n">
        <v>45993</v>
      </c>
      <c r="D802" t="inlineStr">
        <is>
          <t>KALMAR LÄN</t>
        </is>
      </c>
      <c r="E802" t="inlineStr">
        <is>
          <t>VIMMERBY</t>
        </is>
      </c>
      <c r="G802" t="n">
        <v>2.4</v>
      </c>
      <c r="H802" t="n">
        <v>0</v>
      </c>
      <c r="I802" t="n">
        <v>0</v>
      </c>
      <c r="J802" t="n">
        <v>0</v>
      </c>
      <c r="K802" t="n">
        <v>0</v>
      </c>
      <c r="L802" t="n">
        <v>0</v>
      </c>
      <c r="M802" t="n">
        <v>0</v>
      </c>
      <c r="N802" t="n">
        <v>0</v>
      </c>
      <c r="O802" t="n">
        <v>0</v>
      </c>
      <c r="P802" t="n">
        <v>0</v>
      </c>
      <c r="Q802" t="n">
        <v>0</v>
      </c>
      <c r="R802" s="2" t="inlineStr"/>
    </row>
    <row r="803" ht="15" customHeight="1">
      <c r="A803" t="inlineStr">
        <is>
          <t>A 48409-2025</t>
        </is>
      </c>
      <c r="B803" s="1" t="n">
        <v>45934.41387731482</v>
      </c>
      <c r="C803" s="1" t="n">
        <v>45993</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23984-2025</t>
        </is>
      </c>
      <c r="B804" s="1" t="n">
        <v>45796</v>
      </c>
      <c r="C804" s="1" t="n">
        <v>45993</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48712-2025</t>
        </is>
      </c>
      <c r="B805" s="1" t="n">
        <v>45936.63373842592</v>
      </c>
      <c r="C805" s="1" t="n">
        <v>45993</v>
      </c>
      <c r="D805" t="inlineStr">
        <is>
          <t>KALMAR LÄN</t>
        </is>
      </c>
      <c r="E805" t="inlineStr">
        <is>
          <t>VIMMERBY</t>
        </is>
      </c>
      <c r="G805" t="n">
        <v>3</v>
      </c>
      <c r="H805" t="n">
        <v>0</v>
      </c>
      <c r="I805" t="n">
        <v>0</v>
      </c>
      <c r="J805" t="n">
        <v>0</v>
      </c>
      <c r="K805" t="n">
        <v>0</v>
      </c>
      <c r="L805" t="n">
        <v>0</v>
      </c>
      <c r="M805" t="n">
        <v>0</v>
      </c>
      <c r="N805" t="n">
        <v>0</v>
      </c>
      <c r="O805" t="n">
        <v>0</v>
      </c>
      <c r="P805" t="n">
        <v>0</v>
      </c>
      <c r="Q805" t="n">
        <v>0</v>
      </c>
      <c r="R805" s="2" t="inlineStr"/>
    </row>
    <row r="806" ht="15" customHeight="1">
      <c r="A806" t="inlineStr">
        <is>
          <t>A 51278-2024</t>
        </is>
      </c>
      <c r="B806" s="1" t="n">
        <v>45603.74959490741</v>
      </c>
      <c r="C806" s="1" t="n">
        <v>45993</v>
      </c>
      <c r="D806" t="inlineStr">
        <is>
          <t>KALMAR LÄN</t>
        </is>
      </c>
      <c r="E806" t="inlineStr">
        <is>
          <t>VIMMERBY</t>
        </is>
      </c>
      <c r="G806" t="n">
        <v>3.4</v>
      </c>
      <c r="H806" t="n">
        <v>0</v>
      </c>
      <c r="I806" t="n">
        <v>0</v>
      </c>
      <c r="J806" t="n">
        <v>0</v>
      </c>
      <c r="K806" t="n">
        <v>0</v>
      </c>
      <c r="L806" t="n">
        <v>0</v>
      </c>
      <c r="M806" t="n">
        <v>0</v>
      </c>
      <c r="N806" t="n">
        <v>0</v>
      </c>
      <c r="O806" t="n">
        <v>0</v>
      </c>
      <c r="P806" t="n">
        <v>0</v>
      </c>
      <c r="Q806" t="n">
        <v>0</v>
      </c>
      <c r="R806" s="2" t="inlineStr"/>
    </row>
    <row r="807" ht="15" customHeight="1">
      <c r="A807" t="inlineStr">
        <is>
          <t>A 35082-2024</t>
        </is>
      </c>
      <c r="B807" s="1" t="n">
        <v>45527.68784722222</v>
      </c>
      <c r="C807" s="1" t="n">
        <v>45993</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53789-2025</t>
        </is>
      </c>
      <c r="B808" s="1" t="n">
        <v>45960</v>
      </c>
      <c r="C808" s="1" t="n">
        <v>45993</v>
      </c>
      <c r="D808" t="inlineStr">
        <is>
          <t>KALMAR LÄN</t>
        </is>
      </c>
      <c r="E808" t="inlineStr">
        <is>
          <t>VIMMERBY</t>
        </is>
      </c>
      <c r="F808" t="inlineStr">
        <is>
          <t>Övriga statliga verk och myndigheter</t>
        </is>
      </c>
      <c r="G808" t="n">
        <v>1.6</v>
      </c>
      <c r="H808" t="n">
        <v>0</v>
      </c>
      <c r="I808" t="n">
        <v>0</v>
      </c>
      <c r="J808" t="n">
        <v>0</v>
      </c>
      <c r="K808" t="n">
        <v>0</v>
      </c>
      <c r="L808" t="n">
        <v>0</v>
      </c>
      <c r="M808" t="n">
        <v>0</v>
      </c>
      <c r="N808" t="n">
        <v>0</v>
      </c>
      <c r="O808" t="n">
        <v>0</v>
      </c>
      <c r="P808" t="n">
        <v>0</v>
      </c>
      <c r="Q808" t="n">
        <v>0</v>
      </c>
      <c r="R808" s="2" t="inlineStr"/>
    </row>
    <row r="809" ht="15" customHeight="1">
      <c r="A809" t="inlineStr">
        <is>
          <t>A 44582-2024</t>
        </is>
      </c>
      <c r="B809" s="1" t="n">
        <v>45574.49298611111</v>
      </c>
      <c r="C809" s="1" t="n">
        <v>45993</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9456-2025</t>
        </is>
      </c>
      <c r="B810" s="1" t="n">
        <v>45715.44159722222</v>
      </c>
      <c r="C810" s="1" t="n">
        <v>45993</v>
      </c>
      <c r="D810" t="inlineStr">
        <is>
          <t>KALMAR LÄN</t>
        </is>
      </c>
      <c r="E810" t="inlineStr">
        <is>
          <t>VIMMERBY</t>
        </is>
      </c>
      <c r="G810" t="n">
        <v>1.5</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44992.4255787037</v>
      </c>
      <c r="C811" s="1" t="n">
        <v>45993</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58724-2024</t>
        </is>
      </c>
      <c r="B812" s="1" t="n">
        <v>45635.66409722222</v>
      </c>
      <c r="C812" s="1" t="n">
        <v>45993</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15494-2024</t>
        </is>
      </c>
      <c r="B813" s="1" t="n">
        <v>45401.53033564815</v>
      </c>
      <c r="C813" s="1" t="n">
        <v>45993</v>
      </c>
      <c r="D813" t="inlineStr">
        <is>
          <t>KALMAR LÄN</t>
        </is>
      </c>
      <c r="E813" t="inlineStr">
        <is>
          <t>VIMMERBY</t>
        </is>
      </c>
      <c r="G813" t="n">
        <v>3.2</v>
      </c>
      <c r="H813" t="n">
        <v>0</v>
      </c>
      <c r="I813" t="n">
        <v>0</v>
      </c>
      <c r="J813" t="n">
        <v>0</v>
      </c>
      <c r="K813" t="n">
        <v>0</v>
      </c>
      <c r="L813" t="n">
        <v>0</v>
      </c>
      <c r="M813" t="n">
        <v>0</v>
      </c>
      <c r="N813" t="n">
        <v>0</v>
      </c>
      <c r="O813" t="n">
        <v>0</v>
      </c>
      <c r="P813" t="n">
        <v>0</v>
      </c>
      <c r="Q813" t="n">
        <v>0</v>
      </c>
      <c r="R813" s="2" t="inlineStr"/>
    </row>
    <row r="814" ht="15" customHeight="1">
      <c r="A814" t="inlineStr">
        <is>
          <t>A 26039-2025</t>
        </is>
      </c>
      <c r="B814" s="1" t="n">
        <v>45804.6953587963</v>
      </c>
      <c r="C814" s="1" t="n">
        <v>45993</v>
      </c>
      <c r="D814" t="inlineStr">
        <is>
          <t>KALMAR LÄN</t>
        </is>
      </c>
      <c r="E814" t="inlineStr">
        <is>
          <t>VIMMERBY</t>
        </is>
      </c>
      <c r="F814" t="inlineStr">
        <is>
          <t>Sveaskog</t>
        </is>
      </c>
      <c r="G814" t="n">
        <v>5.2</v>
      </c>
      <c r="H814" t="n">
        <v>0</v>
      </c>
      <c r="I814" t="n">
        <v>0</v>
      </c>
      <c r="J814" t="n">
        <v>0</v>
      </c>
      <c r="K814" t="n">
        <v>0</v>
      </c>
      <c r="L814" t="n">
        <v>0</v>
      </c>
      <c r="M814" t="n">
        <v>0</v>
      </c>
      <c r="N814" t="n">
        <v>0</v>
      </c>
      <c r="O814" t="n">
        <v>0</v>
      </c>
      <c r="P814" t="n">
        <v>0</v>
      </c>
      <c r="Q814" t="n">
        <v>0</v>
      </c>
      <c r="R814" s="2" t="inlineStr"/>
    </row>
    <row r="815" ht="15" customHeight="1">
      <c r="A815" t="inlineStr">
        <is>
          <t>A 26046-2025</t>
        </is>
      </c>
      <c r="B815" s="1" t="n">
        <v>45804.708125</v>
      </c>
      <c r="C815" s="1" t="n">
        <v>45993</v>
      </c>
      <c r="D815" t="inlineStr">
        <is>
          <t>KALMAR LÄN</t>
        </is>
      </c>
      <c r="E815" t="inlineStr">
        <is>
          <t>VIMMERBY</t>
        </is>
      </c>
      <c r="F815" t="inlineStr">
        <is>
          <t>Sveaskog</t>
        </is>
      </c>
      <c r="G815" t="n">
        <v>5.1</v>
      </c>
      <c r="H815" t="n">
        <v>0</v>
      </c>
      <c r="I815" t="n">
        <v>0</v>
      </c>
      <c r="J815" t="n">
        <v>0</v>
      </c>
      <c r="K815" t="n">
        <v>0</v>
      </c>
      <c r="L815" t="n">
        <v>0</v>
      </c>
      <c r="M815" t="n">
        <v>0</v>
      </c>
      <c r="N815" t="n">
        <v>0</v>
      </c>
      <c r="O815" t="n">
        <v>0</v>
      </c>
      <c r="P815" t="n">
        <v>0</v>
      </c>
      <c r="Q815" t="n">
        <v>0</v>
      </c>
      <c r="R815" s="2" t="inlineStr"/>
    </row>
    <row r="816" ht="15" customHeight="1">
      <c r="A816" t="inlineStr">
        <is>
          <t>A 25792-2025</t>
        </is>
      </c>
      <c r="B816" s="1" t="n">
        <v>45804.39141203704</v>
      </c>
      <c r="C816" s="1" t="n">
        <v>45993</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25830-2025</t>
        </is>
      </c>
      <c r="B817" s="1" t="n">
        <v>45804.44519675926</v>
      </c>
      <c r="C817" s="1" t="n">
        <v>45993</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26124-2025</t>
        </is>
      </c>
      <c r="B818" s="1" t="n">
        <v>45805.39247685186</v>
      </c>
      <c r="C818" s="1" t="n">
        <v>45993</v>
      </c>
      <c r="D818" t="inlineStr">
        <is>
          <t>KALMAR LÄN</t>
        </is>
      </c>
      <c r="E818" t="inlineStr">
        <is>
          <t>VIMMERBY</t>
        </is>
      </c>
      <c r="G818" t="n">
        <v>6.6</v>
      </c>
      <c r="H818" t="n">
        <v>0</v>
      </c>
      <c r="I818" t="n">
        <v>0</v>
      </c>
      <c r="J818" t="n">
        <v>0</v>
      </c>
      <c r="K818" t="n">
        <v>0</v>
      </c>
      <c r="L818" t="n">
        <v>0</v>
      </c>
      <c r="M818" t="n">
        <v>0</v>
      </c>
      <c r="N818" t="n">
        <v>0</v>
      </c>
      <c r="O818" t="n">
        <v>0</v>
      </c>
      <c r="P818" t="n">
        <v>0</v>
      </c>
      <c r="Q818" t="n">
        <v>0</v>
      </c>
      <c r="R818" s="2" t="inlineStr"/>
    </row>
    <row r="819" ht="15" customHeight="1">
      <c r="A819" t="inlineStr">
        <is>
          <t>A 49871-2025</t>
        </is>
      </c>
      <c r="B819" s="1" t="n">
        <v>45940.54104166666</v>
      </c>
      <c r="C819" s="1" t="n">
        <v>45993</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26254-2025</t>
        </is>
      </c>
      <c r="B820" s="1" t="n">
        <v>45805</v>
      </c>
      <c r="C820" s="1" t="n">
        <v>45993</v>
      </c>
      <c r="D820" t="inlineStr">
        <is>
          <t>KALMAR LÄN</t>
        </is>
      </c>
      <c r="E820" t="inlineStr">
        <is>
          <t>VIMMERBY</t>
        </is>
      </c>
      <c r="G820" t="n">
        <v>2</v>
      </c>
      <c r="H820" t="n">
        <v>0</v>
      </c>
      <c r="I820" t="n">
        <v>0</v>
      </c>
      <c r="J820" t="n">
        <v>0</v>
      </c>
      <c r="K820" t="n">
        <v>0</v>
      </c>
      <c r="L820" t="n">
        <v>0</v>
      </c>
      <c r="M820" t="n">
        <v>0</v>
      </c>
      <c r="N820" t="n">
        <v>0</v>
      </c>
      <c r="O820" t="n">
        <v>0</v>
      </c>
      <c r="P820" t="n">
        <v>0</v>
      </c>
      <c r="Q820" t="n">
        <v>0</v>
      </c>
      <c r="R820" s="2" t="inlineStr"/>
    </row>
    <row r="821" ht="15" customHeight="1">
      <c r="A821" t="inlineStr">
        <is>
          <t>A 26207-2025</t>
        </is>
      </c>
      <c r="B821" s="1" t="n">
        <v>45805.52983796296</v>
      </c>
      <c r="C821" s="1" t="n">
        <v>45993</v>
      </c>
      <c r="D821" t="inlineStr">
        <is>
          <t>KALMAR LÄN</t>
        </is>
      </c>
      <c r="E821" t="inlineStr">
        <is>
          <t>VIMMERBY</t>
        </is>
      </c>
      <c r="G821" t="n">
        <v>0.7</v>
      </c>
      <c r="H821" t="n">
        <v>0</v>
      </c>
      <c r="I821" t="n">
        <v>0</v>
      </c>
      <c r="J821" t="n">
        <v>0</v>
      </c>
      <c r="K821" t="n">
        <v>0</v>
      </c>
      <c r="L821" t="n">
        <v>0</v>
      </c>
      <c r="M821" t="n">
        <v>0</v>
      </c>
      <c r="N821" t="n">
        <v>0</v>
      </c>
      <c r="O821" t="n">
        <v>0</v>
      </c>
      <c r="P821" t="n">
        <v>0</v>
      </c>
      <c r="Q821" t="n">
        <v>0</v>
      </c>
      <c r="R821" s="2" t="inlineStr"/>
    </row>
    <row r="822" ht="15" customHeight="1">
      <c r="A822" t="inlineStr">
        <is>
          <t>A 58435-2025</t>
        </is>
      </c>
      <c r="B822" s="1" t="n">
        <v>45985.61501157407</v>
      </c>
      <c r="C822" s="1" t="n">
        <v>45993</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57728-2025</t>
        </is>
      </c>
      <c r="B823" s="1" t="n">
        <v>45981</v>
      </c>
      <c r="C823" s="1" t="n">
        <v>45993</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58498-2025</t>
        </is>
      </c>
      <c r="B824" s="1" t="n">
        <v>45985.68671296296</v>
      </c>
      <c r="C824" s="1" t="n">
        <v>45993</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58501-2025</t>
        </is>
      </c>
      <c r="B825" s="1" t="n">
        <v>45985.69153935185</v>
      </c>
      <c r="C825" s="1" t="n">
        <v>45993</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58500-2025</t>
        </is>
      </c>
      <c r="B826" s="1" t="n">
        <v>45985.69008101852</v>
      </c>
      <c r="C826" s="1" t="n">
        <v>45993</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58503-2025</t>
        </is>
      </c>
      <c r="B827" s="1" t="n">
        <v>45985.69509259259</v>
      </c>
      <c r="C827" s="1" t="n">
        <v>45993</v>
      </c>
      <c r="D827" t="inlineStr">
        <is>
          <t>KALMAR LÄN</t>
        </is>
      </c>
      <c r="E827" t="inlineStr">
        <is>
          <t>VIMMERBY</t>
        </is>
      </c>
      <c r="G827" t="n">
        <v>1.6</v>
      </c>
      <c r="H827" t="n">
        <v>0</v>
      </c>
      <c r="I827" t="n">
        <v>0</v>
      </c>
      <c r="J827" t="n">
        <v>0</v>
      </c>
      <c r="K827" t="n">
        <v>0</v>
      </c>
      <c r="L827" t="n">
        <v>0</v>
      </c>
      <c r="M827" t="n">
        <v>0</v>
      </c>
      <c r="N827" t="n">
        <v>0</v>
      </c>
      <c r="O827" t="n">
        <v>0</v>
      </c>
      <c r="P827" t="n">
        <v>0</v>
      </c>
      <c r="Q827" t="n">
        <v>0</v>
      </c>
      <c r="R827" s="2" t="inlineStr"/>
    </row>
    <row r="828" ht="15" customHeight="1">
      <c r="A828" t="inlineStr">
        <is>
          <t>A 58446-2025</t>
        </is>
      </c>
      <c r="B828" s="1" t="n">
        <v>45985.62168981481</v>
      </c>
      <c r="C828" s="1" t="n">
        <v>45993</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58514-2025</t>
        </is>
      </c>
      <c r="B829" s="1" t="n">
        <v>45985.70513888889</v>
      </c>
      <c r="C829" s="1" t="n">
        <v>45993</v>
      </c>
      <c r="D829" t="inlineStr">
        <is>
          <t>KALMAR LÄN</t>
        </is>
      </c>
      <c r="E829" t="inlineStr">
        <is>
          <t>VIMMERBY</t>
        </is>
      </c>
      <c r="G829" t="n">
        <v>3.7</v>
      </c>
      <c r="H829" t="n">
        <v>0</v>
      </c>
      <c r="I829" t="n">
        <v>0</v>
      </c>
      <c r="J829" t="n">
        <v>0</v>
      </c>
      <c r="K829" t="n">
        <v>0</v>
      </c>
      <c r="L829" t="n">
        <v>0</v>
      </c>
      <c r="M829" t="n">
        <v>0</v>
      </c>
      <c r="N829" t="n">
        <v>0</v>
      </c>
      <c r="O829" t="n">
        <v>0</v>
      </c>
      <c r="P829" t="n">
        <v>0</v>
      </c>
      <c r="Q829" t="n">
        <v>0</v>
      </c>
      <c r="R829" s="2" t="inlineStr"/>
    </row>
    <row r="830" ht="15" customHeight="1">
      <c r="A830" t="inlineStr">
        <is>
          <t>A 50324-2025</t>
        </is>
      </c>
      <c r="B830" s="1" t="n">
        <v>45944.45962962963</v>
      </c>
      <c r="C830" s="1" t="n">
        <v>45993</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53586-2025</t>
        </is>
      </c>
      <c r="B831" s="1" t="n">
        <v>45960</v>
      </c>
      <c r="C831" s="1" t="n">
        <v>45993</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58442-2025</t>
        </is>
      </c>
      <c r="B832" s="1" t="n">
        <v>45985.61635416667</v>
      </c>
      <c r="C832" s="1" t="n">
        <v>45993</v>
      </c>
      <c r="D832" t="inlineStr">
        <is>
          <t>KALMAR LÄN</t>
        </is>
      </c>
      <c r="E832" t="inlineStr">
        <is>
          <t>VIMMERBY</t>
        </is>
      </c>
      <c r="G832" t="n">
        <v>0.8</v>
      </c>
      <c r="H832" t="n">
        <v>0</v>
      </c>
      <c r="I832" t="n">
        <v>0</v>
      </c>
      <c r="J832" t="n">
        <v>0</v>
      </c>
      <c r="K832" t="n">
        <v>0</v>
      </c>
      <c r="L832" t="n">
        <v>0</v>
      </c>
      <c r="M832" t="n">
        <v>0</v>
      </c>
      <c r="N832" t="n">
        <v>0</v>
      </c>
      <c r="O832" t="n">
        <v>0</v>
      </c>
      <c r="P832" t="n">
        <v>0</v>
      </c>
      <c r="Q832" t="n">
        <v>0</v>
      </c>
      <c r="R832" s="2" t="inlineStr"/>
    </row>
    <row r="833" ht="15" customHeight="1">
      <c r="A833" t="inlineStr">
        <is>
          <t>A 58841-2025</t>
        </is>
      </c>
      <c r="B833" s="1" t="n">
        <v>45987.36275462963</v>
      </c>
      <c r="C833" s="1" t="n">
        <v>45993</v>
      </c>
      <c r="D833" t="inlineStr">
        <is>
          <t>KALMAR LÄN</t>
        </is>
      </c>
      <c r="E833" t="inlineStr">
        <is>
          <t>VIMMERBY</t>
        </is>
      </c>
      <c r="G833" t="n">
        <v>3.5</v>
      </c>
      <c r="H833" t="n">
        <v>0</v>
      </c>
      <c r="I833" t="n">
        <v>0</v>
      </c>
      <c r="J833" t="n">
        <v>0</v>
      </c>
      <c r="K833" t="n">
        <v>0</v>
      </c>
      <c r="L833" t="n">
        <v>0</v>
      </c>
      <c r="M833" t="n">
        <v>0</v>
      </c>
      <c r="N833" t="n">
        <v>0</v>
      </c>
      <c r="O833" t="n">
        <v>0</v>
      </c>
      <c r="P833" t="n">
        <v>0</v>
      </c>
      <c r="Q833" t="n">
        <v>0</v>
      </c>
      <c r="R833" s="2" t="inlineStr"/>
    </row>
    <row r="834" ht="15" customHeight="1">
      <c r="A834" t="inlineStr">
        <is>
          <t>A 59039-2025</t>
        </is>
      </c>
      <c r="B834" s="1" t="n">
        <v>45988.36790509259</v>
      </c>
      <c r="C834" s="1" t="n">
        <v>45993</v>
      </c>
      <c r="D834" t="inlineStr">
        <is>
          <t>KALMAR LÄN</t>
        </is>
      </c>
      <c r="E834" t="inlineStr">
        <is>
          <t>VIMMERBY</t>
        </is>
      </c>
      <c r="F834" t="inlineStr">
        <is>
          <t>Sveaskog</t>
        </is>
      </c>
      <c r="G834" t="n">
        <v>3.2</v>
      </c>
      <c r="H834" t="n">
        <v>0</v>
      </c>
      <c r="I834" t="n">
        <v>0</v>
      </c>
      <c r="J834" t="n">
        <v>0</v>
      </c>
      <c r="K834" t="n">
        <v>0</v>
      </c>
      <c r="L834" t="n">
        <v>0</v>
      </c>
      <c r="M834" t="n">
        <v>0</v>
      </c>
      <c r="N834" t="n">
        <v>0</v>
      </c>
      <c r="O834" t="n">
        <v>0</v>
      </c>
      <c r="P834" t="n">
        <v>0</v>
      </c>
      <c r="Q834" t="n">
        <v>0</v>
      </c>
      <c r="R834" s="2" t="inlineStr"/>
    </row>
    <row r="835" ht="15" customHeight="1">
      <c r="A835" t="inlineStr">
        <is>
          <t>A 28290-2025</t>
        </is>
      </c>
      <c r="B835" s="1" t="n">
        <v>45818.59261574074</v>
      </c>
      <c r="C835" s="1" t="n">
        <v>45993</v>
      </c>
      <c r="D835" t="inlineStr">
        <is>
          <t>KALMAR LÄN</t>
        </is>
      </c>
      <c r="E835" t="inlineStr">
        <is>
          <t>VIMMERBY</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28280-2025</t>
        </is>
      </c>
      <c r="B836" s="1" t="n">
        <v>45818.5862037037</v>
      </c>
      <c r="C836" s="1" t="n">
        <v>45993</v>
      </c>
      <c r="D836" t="inlineStr">
        <is>
          <t>KALMAR LÄN</t>
        </is>
      </c>
      <c r="E836" t="inlineStr">
        <is>
          <t>VIMMERBY</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28286-2025</t>
        </is>
      </c>
      <c r="B837" s="1" t="n">
        <v>45818.58993055556</v>
      </c>
      <c r="C837" s="1" t="n">
        <v>45993</v>
      </c>
      <c r="D837" t="inlineStr">
        <is>
          <t>KALMAR LÄN</t>
        </is>
      </c>
      <c r="E837" t="inlineStr">
        <is>
          <t>VIMMERBY</t>
        </is>
      </c>
      <c r="F837" t="inlineStr">
        <is>
          <t>Sveaskog</t>
        </is>
      </c>
      <c r="G837" t="n">
        <v>8</v>
      </c>
      <c r="H837" t="n">
        <v>0</v>
      </c>
      <c r="I837" t="n">
        <v>0</v>
      </c>
      <c r="J837" t="n">
        <v>0</v>
      </c>
      <c r="K837" t="n">
        <v>0</v>
      </c>
      <c r="L837" t="n">
        <v>0</v>
      </c>
      <c r="M837" t="n">
        <v>0</v>
      </c>
      <c r="N837" t="n">
        <v>0</v>
      </c>
      <c r="O837" t="n">
        <v>0</v>
      </c>
      <c r="P837" t="n">
        <v>0</v>
      </c>
      <c r="Q837" t="n">
        <v>0</v>
      </c>
      <c r="R837" s="2" t="inlineStr"/>
    </row>
    <row r="838" ht="15" customHeight="1">
      <c r="A838" t="inlineStr">
        <is>
          <t>A 58858-2025</t>
        </is>
      </c>
      <c r="B838" s="1" t="n">
        <v>45987.4243287037</v>
      </c>
      <c r="C838" s="1" t="n">
        <v>45993</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58997-2025</t>
        </is>
      </c>
      <c r="B839" s="1" t="n">
        <v>45987</v>
      </c>
      <c r="C839" s="1" t="n">
        <v>45993</v>
      </c>
      <c r="D839" t="inlineStr">
        <is>
          <t>KALMAR LÄN</t>
        </is>
      </c>
      <c r="E839" t="inlineStr">
        <is>
          <t>VIMMERBY</t>
        </is>
      </c>
      <c r="G839" t="n">
        <v>7.9</v>
      </c>
      <c r="H839" t="n">
        <v>0</v>
      </c>
      <c r="I839" t="n">
        <v>0</v>
      </c>
      <c r="J839" t="n">
        <v>0</v>
      </c>
      <c r="K839" t="n">
        <v>0</v>
      </c>
      <c r="L839" t="n">
        <v>0</v>
      </c>
      <c r="M839" t="n">
        <v>0</v>
      </c>
      <c r="N839" t="n">
        <v>0</v>
      </c>
      <c r="O839" t="n">
        <v>0</v>
      </c>
      <c r="P839" t="n">
        <v>0</v>
      </c>
      <c r="Q839" t="n">
        <v>0</v>
      </c>
      <c r="R839" s="2" t="inlineStr"/>
    </row>
    <row r="840" ht="15" customHeight="1">
      <c r="A840" t="inlineStr">
        <is>
          <t>A 59037-2025</t>
        </is>
      </c>
      <c r="B840" s="1" t="n">
        <v>45988.36508101852</v>
      </c>
      <c r="C840" s="1" t="n">
        <v>45993</v>
      </c>
      <c r="D840" t="inlineStr">
        <is>
          <t>KALMAR LÄN</t>
        </is>
      </c>
      <c r="E840" t="inlineStr">
        <is>
          <t>VIMMERBY</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59068-2025</t>
        </is>
      </c>
      <c r="B841" s="1" t="n">
        <v>45988.41725694444</v>
      </c>
      <c r="C841" s="1" t="n">
        <v>45993</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28282-2025</t>
        </is>
      </c>
      <c r="B842" s="1" t="n">
        <v>45818.58769675926</v>
      </c>
      <c r="C842" s="1" t="n">
        <v>45993</v>
      </c>
      <c r="D842" t="inlineStr">
        <is>
          <t>KALMAR LÄN</t>
        </is>
      </c>
      <c r="E842" t="inlineStr">
        <is>
          <t>VIMMERBY</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28294-2025</t>
        </is>
      </c>
      <c r="B843" s="1" t="n">
        <v>45818.595625</v>
      </c>
      <c r="C843" s="1" t="n">
        <v>45993</v>
      </c>
      <c r="D843" t="inlineStr">
        <is>
          <t>KALMAR LÄN</t>
        </is>
      </c>
      <c r="E843" t="inlineStr">
        <is>
          <t>VIMMERBY</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50544-2025</t>
        </is>
      </c>
      <c r="B844" s="1" t="n">
        <v>45945.50736111111</v>
      </c>
      <c r="C844" s="1" t="n">
        <v>45993</v>
      </c>
      <c r="D844" t="inlineStr">
        <is>
          <t>KALMAR LÄN</t>
        </is>
      </c>
      <c r="E844" t="inlineStr">
        <is>
          <t>VIMMERBY</t>
        </is>
      </c>
      <c r="G844" t="n">
        <v>0.8</v>
      </c>
      <c r="H844" t="n">
        <v>0</v>
      </c>
      <c r="I844" t="n">
        <v>0</v>
      </c>
      <c r="J844" t="n">
        <v>0</v>
      </c>
      <c r="K844" t="n">
        <v>0</v>
      </c>
      <c r="L844" t="n">
        <v>0</v>
      </c>
      <c r="M844" t="n">
        <v>0</v>
      </c>
      <c r="N844" t="n">
        <v>0</v>
      </c>
      <c r="O844" t="n">
        <v>0</v>
      </c>
      <c r="P844" t="n">
        <v>0</v>
      </c>
      <c r="Q844" t="n">
        <v>0</v>
      </c>
      <c r="R844" s="2" t="inlineStr"/>
    </row>
    <row r="845" ht="15" customHeight="1">
      <c r="A845" t="inlineStr">
        <is>
          <t>A 59034-2025</t>
        </is>
      </c>
      <c r="B845" s="1" t="n">
        <v>45988.36243055556</v>
      </c>
      <c r="C845" s="1" t="n">
        <v>45993</v>
      </c>
      <c r="D845" t="inlineStr">
        <is>
          <t>KALMAR LÄN</t>
        </is>
      </c>
      <c r="E845" t="inlineStr">
        <is>
          <t>VIMMERBY</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28713-2025</t>
        </is>
      </c>
      <c r="B846" s="1" t="n">
        <v>45820.33930555556</v>
      </c>
      <c r="C846" s="1" t="n">
        <v>45993</v>
      </c>
      <c r="D846" t="inlineStr">
        <is>
          <t>KALMAR LÄN</t>
        </is>
      </c>
      <c r="E846" t="inlineStr">
        <is>
          <t>VIMMERBY</t>
        </is>
      </c>
      <c r="G846" t="n">
        <v>2.3</v>
      </c>
      <c r="H846" t="n">
        <v>0</v>
      </c>
      <c r="I846" t="n">
        <v>0</v>
      </c>
      <c r="J846" t="n">
        <v>0</v>
      </c>
      <c r="K846" t="n">
        <v>0</v>
      </c>
      <c r="L846" t="n">
        <v>0</v>
      </c>
      <c r="M846" t="n">
        <v>0</v>
      </c>
      <c r="N846" t="n">
        <v>0</v>
      </c>
      <c r="O846" t="n">
        <v>0</v>
      </c>
      <c r="P846" t="n">
        <v>0</v>
      </c>
      <c r="Q846" t="n">
        <v>0</v>
      </c>
      <c r="R846" s="2" t="inlineStr"/>
    </row>
    <row r="847" ht="15" customHeight="1">
      <c r="A847" t="inlineStr">
        <is>
          <t>A 51062-2025</t>
        </is>
      </c>
      <c r="B847" s="1" t="n">
        <v>45947.44685185186</v>
      </c>
      <c r="C847" s="1" t="n">
        <v>45993</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28712-2025</t>
        </is>
      </c>
      <c r="B848" s="1" t="n">
        <v>45820.33708333333</v>
      </c>
      <c r="C848" s="1" t="n">
        <v>45993</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28714-2025</t>
        </is>
      </c>
      <c r="B849" s="1" t="n">
        <v>45820.34128472222</v>
      </c>
      <c r="C849" s="1" t="n">
        <v>45993</v>
      </c>
      <c r="D849" t="inlineStr">
        <is>
          <t>KALMAR LÄN</t>
        </is>
      </c>
      <c r="E849" t="inlineStr">
        <is>
          <t>VIMMERBY</t>
        </is>
      </c>
      <c r="G849" t="n">
        <v>1.8</v>
      </c>
      <c r="H849" t="n">
        <v>0</v>
      </c>
      <c r="I849" t="n">
        <v>0</v>
      </c>
      <c r="J849" t="n">
        <v>0</v>
      </c>
      <c r="K849" t="n">
        <v>0</v>
      </c>
      <c r="L849" t="n">
        <v>0</v>
      </c>
      <c r="M849" t="n">
        <v>0</v>
      </c>
      <c r="N849" t="n">
        <v>0</v>
      </c>
      <c r="O849" t="n">
        <v>0</v>
      </c>
      <c r="P849" t="n">
        <v>0</v>
      </c>
      <c r="Q849" t="n">
        <v>0</v>
      </c>
      <c r="R849" s="2" t="inlineStr"/>
    </row>
    <row r="850" ht="15" customHeight="1">
      <c r="A850" t="inlineStr">
        <is>
          <t>A 28620-2025</t>
        </is>
      </c>
      <c r="B850" s="1" t="n">
        <v>45819.61060185185</v>
      </c>
      <c r="C850" s="1" t="n">
        <v>45993</v>
      </c>
      <c r="D850" t="inlineStr">
        <is>
          <t>KALMAR LÄN</t>
        </is>
      </c>
      <c r="E850" t="inlineStr">
        <is>
          <t>VIMMERBY</t>
        </is>
      </c>
      <c r="G850" t="n">
        <v>5.6</v>
      </c>
      <c r="H850" t="n">
        <v>0</v>
      </c>
      <c r="I850" t="n">
        <v>0</v>
      </c>
      <c r="J850" t="n">
        <v>0</v>
      </c>
      <c r="K850" t="n">
        <v>0</v>
      </c>
      <c r="L850" t="n">
        <v>0</v>
      </c>
      <c r="M850" t="n">
        <v>0</v>
      </c>
      <c r="N850" t="n">
        <v>0</v>
      </c>
      <c r="O850" t="n">
        <v>0</v>
      </c>
      <c r="P850" t="n">
        <v>0</v>
      </c>
      <c r="Q850" t="n">
        <v>0</v>
      </c>
      <c r="R850" s="2" t="inlineStr"/>
    </row>
    <row r="851" ht="15" customHeight="1">
      <c r="A851" t="inlineStr">
        <is>
          <t>A 59579-2025</t>
        </is>
      </c>
      <c r="B851" s="1" t="n">
        <v>45992.30569444445</v>
      </c>
      <c r="C851" s="1" t="n">
        <v>45993</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29727-2025</t>
        </is>
      </c>
      <c r="B852" s="1" t="n">
        <v>45825.5796875</v>
      </c>
      <c r="C852" s="1" t="n">
        <v>45993</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29737-2025</t>
        </is>
      </c>
      <c r="B853" s="1" t="n">
        <v>45825.58672453704</v>
      </c>
      <c r="C853" s="1" t="n">
        <v>45993</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30293-2025</t>
        </is>
      </c>
      <c r="B854" s="1" t="n">
        <v>45827</v>
      </c>
      <c r="C854" s="1" t="n">
        <v>45993</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30290-2025</t>
        </is>
      </c>
      <c r="B855" s="1" t="n">
        <v>45827</v>
      </c>
      <c r="C855" s="1" t="n">
        <v>45993</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30850-2025</t>
        </is>
      </c>
      <c r="B856" s="1" t="n">
        <v>45831</v>
      </c>
      <c r="C856" s="1" t="n">
        <v>45993</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30882-2025</t>
        </is>
      </c>
      <c r="B857" s="1" t="n">
        <v>45832.34540509259</v>
      </c>
      <c r="C857" s="1" t="n">
        <v>45993</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30971-2025</t>
        </is>
      </c>
      <c r="B858" s="1" t="n">
        <v>45832.46146990741</v>
      </c>
      <c r="C858" s="1" t="n">
        <v>45993</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31552-2025</t>
        </is>
      </c>
      <c r="B859" s="1" t="n">
        <v>45833.64563657407</v>
      </c>
      <c r="C859" s="1" t="n">
        <v>45993</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31555-2025</t>
        </is>
      </c>
      <c r="B860" s="1" t="n">
        <v>45833.64814814815</v>
      </c>
      <c r="C860" s="1" t="n">
        <v>45993</v>
      </c>
      <c r="D860" t="inlineStr">
        <is>
          <t>KALMAR LÄN</t>
        </is>
      </c>
      <c r="E860" t="inlineStr">
        <is>
          <t>VIMMERBY</t>
        </is>
      </c>
      <c r="G860" t="n">
        <v>1.8</v>
      </c>
      <c r="H860" t="n">
        <v>0</v>
      </c>
      <c r="I860" t="n">
        <v>0</v>
      </c>
      <c r="J860" t="n">
        <v>0</v>
      </c>
      <c r="K860" t="n">
        <v>0</v>
      </c>
      <c r="L860" t="n">
        <v>0</v>
      </c>
      <c r="M860" t="n">
        <v>0</v>
      </c>
      <c r="N860" t="n">
        <v>0</v>
      </c>
      <c r="O860" t="n">
        <v>0</v>
      </c>
      <c r="P860" t="n">
        <v>0</v>
      </c>
      <c r="Q860" t="n">
        <v>0</v>
      </c>
      <c r="R860" s="2" t="inlineStr"/>
    </row>
    <row r="861" ht="15" customHeight="1">
      <c r="A861" t="inlineStr">
        <is>
          <t>A 31870-2025</t>
        </is>
      </c>
      <c r="B861" s="1" t="n">
        <v>45834.64667824074</v>
      </c>
      <c r="C861" s="1" t="n">
        <v>45993</v>
      </c>
      <c r="D861" t="inlineStr">
        <is>
          <t>KALMAR LÄN</t>
        </is>
      </c>
      <c r="E861" t="inlineStr">
        <is>
          <t>VIMMERBY</t>
        </is>
      </c>
      <c r="F861" t="inlineStr">
        <is>
          <t>Sveaskog</t>
        </is>
      </c>
      <c r="G861" t="n">
        <v>3.5</v>
      </c>
      <c r="H861" t="n">
        <v>0</v>
      </c>
      <c r="I861" t="n">
        <v>0</v>
      </c>
      <c r="J861" t="n">
        <v>0</v>
      </c>
      <c r="K861" t="n">
        <v>0</v>
      </c>
      <c r="L861" t="n">
        <v>0</v>
      </c>
      <c r="M861" t="n">
        <v>0</v>
      </c>
      <c r="N861" t="n">
        <v>0</v>
      </c>
      <c r="O861" t="n">
        <v>0</v>
      </c>
      <c r="P861" t="n">
        <v>0</v>
      </c>
      <c r="Q861" t="n">
        <v>0</v>
      </c>
      <c r="R861" s="2" t="inlineStr"/>
    </row>
    <row r="862" ht="15" customHeight="1">
      <c r="A862" t="inlineStr">
        <is>
          <t>A 8559-2025</t>
        </is>
      </c>
      <c r="B862" s="1" t="n">
        <v>45709.62280092593</v>
      </c>
      <c r="C862" s="1" t="n">
        <v>45993</v>
      </c>
      <c r="D862" t="inlineStr">
        <is>
          <t>KALMAR LÄN</t>
        </is>
      </c>
      <c r="E862" t="inlineStr">
        <is>
          <t>VIMMERBY</t>
        </is>
      </c>
      <c r="G862" t="n">
        <v>8.9</v>
      </c>
      <c r="H862" t="n">
        <v>0</v>
      </c>
      <c r="I862" t="n">
        <v>0</v>
      </c>
      <c r="J862" t="n">
        <v>0</v>
      </c>
      <c r="K862" t="n">
        <v>0</v>
      </c>
      <c r="L862" t="n">
        <v>0</v>
      </c>
      <c r="M862" t="n">
        <v>0</v>
      </c>
      <c r="N862" t="n">
        <v>0</v>
      </c>
      <c r="O862" t="n">
        <v>0</v>
      </c>
      <c r="P862" t="n">
        <v>0</v>
      </c>
      <c r="Q862" t="n">
        <v>0</v>
      </c>
      <c r="R862" s="2" t="inlineStr"/>
    </row>
    <row r="863" ht="15" customHeight="1">
      <c r="A863" t="inlineStr">
        <is>
          <t>A 31872-2025</t>
        </is>
      </c>
      <c r="B863" s="1" t="n">
        <v>45834.65040509259</v>
      </c>
      <c r="C863" s="1" t="n">
        <v>45993</v>
      </c>
      <c r="D863" t="inlineStr">
        <is>
          <t>KALMAR LÄN</t>
        </is>
      </c>
      <c r="E863" t="inlineStr">
        <is>
          <t>VIMMERBY</t>
        </is>
      </c>
      <c r="F863" t="inlineStr">
        <is>
          <t>Sveaskog</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31876-2025</t>
        </is>
      </c>
      <c r="B864" s="1" t="n">
        <v>45834.65197916667</v>
      </c>
      <c r="C864" s="1" t="n">
        <v>45993</v>
      </c>
      <c r="D864" t="inlineStr">
        <is>
          <t>KALMAR LÄN</t>
        </is>
      </c>
      <c r="E864" t="inlineStr">
        <is>
          <t>VIMMERBY</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31551-2025</t>
        </is>
      </c>
      <c r="B865" s="1" t="n">
        <v>45833.64237268519</v>
      </c>
      <c r="C865" s="1" t="n">
        <v>45993</v>
      </c>
      <c r="D865" t="inlineStr">
        <is>
          <t>KALMAR LÄN</t>
        </is>
      </c>
      <c r="E865" t="inlineStr">
        <is>
          <t>VIMMERBY</t>
        </is>
      </c>
      <c r="G865" t="n">
        <v>1.9</v>
      </c>
      <c r="H865" t="n">
        <v>0</v>
      </c>
      <c r="I865" t="n">
        <v>0</v>
      </c>
      <c r="J865" t="n">
        <v>0</v>
      </c>
      <c r="K865" t="n">
        <v>0</v>
      </c>
      <c r="L865" t="n">
        <v>0</v>
      </c>
      <c r="M865" t="n">
        <v>0</v>
      </c>
      <c r="N865" t="n">
        <v>0</v>
      </c>
      <c r="O865" t="n">
        <v>0</v>
      </c>
      <c r="P865" t="n">
        <v>0</v>
      </c>
      <c r="Q865" t="n">
        <v>0</v>
      </c>
      <c r="R865" s="2" t="inlineStr"/>
    </row>
    <row r="866" ht="15" customHeight="1">
      <c r="A866" t="inlineStr">
        <is>
          <t>A 31987-2025</t>
        </is>
      </c>
      <c r="B866" s="1" t="n">
        <v>45835.36229166666</v>
      </c>
      <c r="C866" s="1" t="n">
        <v>45993</v>
      </c>
      <c r="D866" t="inlineStr">
        <is>
          <t>KALMAR LÄN</t>
        </is>
      </c>
      <c r="E866" t="inlineStr">
        <is>
          <t>VIMMERBY</t>
        </is>
      </c>
      <c r="F866" t="inlineStr">
        <is>
          <t>Kyrkan</t>
        </is>
      </c>
      <c r="G866" t="n">
        <v>1.2</v>
      </c>
      <c r="H866" t="n">
        <v>0</v>
      </c>
      <c r="I866" t="n">
        <v>0</v>
      </c>
      <c r="J866" t="n">
        <v>0</v>
      </c>
      <c r="K866" t="n">
        <v>0</v>
      </c>
      <c r="L866" t="n">
        <v>0</v>
      </c>
      <c r="M866" t="n">
        <v>0</v>
      </c>
      <c r="N866" t="n">
        <v>0</v>
      </c>
      <c r="O866" t="n">
        <v>0</v>
      </c>
      <c r="P866" t="n">
        <v>0</v>
      </c>
      <c r="Q866" t="n">
        <v>0</v>
      </c>
      <c r="R866" s="2" t="inlineStr"/>
    </row>
    <row r="867" ht="15" customHeight="1">
      <c r="A867" t="inlineStr">
        <is>
          <t>A 32120-2025</t>
        </is>
      </c>
      <c r="B867" s="1" t="n">
        <v>45835.4924537037</v>
      </c>
      <c r="C867" s="1" t="n">
        <v>45993</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32116-2025</t>
        </is>
      </c>
      <c r="B868" s="1" t="n">
        <v>45835.48862268519</v>
      </c>
      <c r="C868" s="1" t="n">
        <v>45993</v>
      </c>
      <c r="D868" t="inlineStr">
        <is>
          <t>KALMAR LÄN</t>
        </is>
      </c>
      <c r="E868" t="inlineStr">
        <is>
          <t>VIMMERBY</t>
        </is>
      </c>
      <c r="G868" t="n">
        <v>0.9</v>
      </c>
      <c r="H868" t="n">
        <v>0</v>
      </c>
      <c r="I868" t="n">
        <v>0</v>
      </c>
      <c r="J868" t="n">
        <v>0</v>
      </c>
      <c r="K868" t="n">
        <v>0</v>
      </c>
      <c r="L868" t="n">
        <v>0</v>
      </c>
      <c r="M868" t="n">
        <v>0</v>
      </c>
      <c r="N868" t="n">
        <v>0</v>
      </c>
      <c r="O868" t="n">
        <v>0</v>
      </c>
      <c r="P868" t="n">
        <v>0</v>
      </c>
      <c r="Q868" t="n">
        <v>0</v>
      </c>
      <c r="R868" s="2" t="inlineStr"/>
    </row>
    <row r="869" ht="15" customHeight="1">
      <c r="A869" t="inlineStr">
        <is>
          <t>A 32380-2025</t>
        </is>
      </c>
      <c r="B869" s="1" t="n">
        <v>45837.77701388889</v>
      </c>
      <c r="C869" s="1" t="n">
        <v>45993</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32109-2025</t>
        </is>
      </c>
      <c r="B870" s="1" t="n">
        <v>45835.48267361111</v>
      </c>
      <c r="C870" s="1" t="n">
        <v>45993</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32113-2025</t>
        </is>
      </c>
      <c r="B871" s="1" t="n">
        <v>45835.48445601852</v>
      </c>
      <c r="C871" s="1" t="n">
        <v>45993</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32077-2025</t>
        </is>
      </c>
      <c r="B872" s="1" t="n">
        <v>45835.45099537037</v>
      </c>
      <c r="C872" s="1" t="n">
        <v>45993</v>
      </c>
      <c r="D872" t="inlineStr">
        <is>
          <t>KALMAR LÄN</t>
        </is>
      </c>
      <c r="E872" t="inlineStr">
        <is>
          <t>VIMMERBY</t>
        </is>
      </c>
      <c r="G872" t="n">
        <v>1.8</v>
      </c>
      <c r="H872" t="n">
        <v>0</v>
      </c>
      <c r="I872" t="n">
        <v>0</v>
      </c>
      <c r="J872" t="n">
        <v>0</v>
      </c>
      <c r="K872" t="n">
        <v>0</v>
      </c>
      <c r="L872" t="n">
        <v>0</v>
      </c>
      <c r="M872" t="n">
        <v>0</v>
      </c>
      <c r="N872" t="n">
        <v>0</v>
      </c>
      <c r="O872" t="n">
        <v>0</v>
      </c>
      <c r="P872" t="n">
        <v>0</v>
      </c>
      <c r="Q872" t="n">
        <v>0</v>
      </c>
      <c r="R872" s="2" t="inlineStr"/>
    </row>
    <row r="873" ht="15" customHeight="1">
      <c r="A873" t="inlineStr">
        <is>
          <t>A 32064-2025</t>
        </is>
      </c>
      <c r="B873" s="1" t="n">
        <v>45835.44709490741</v>
      </c>
      <c r="C873" s="1" t="n">
        <v>45993</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32065-2025</t>
        </is>
      </c>
      <c r="B874" s="1" t="n">
        <v>45835.44732638889</v>
      </c>
      <c r="C874" s="1" t="n">
        <v>45993</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33186-2025</t>
        </is>
      </c>
      <c r="B875" s="1" t="n">
        <v>45840.59474537037</v>
      </c>
      <c r="C875" s="1" t="n">
        <v>45993</v>
      </c>
      <c r="D875" t="inlineStr">
        <is>
          <t>KALMAR LÄN</t>
        </is>
      </c>
      <c r="E875" t="inlineStr">
        <is>
          <t>VIMMERBY</t>
        </is>
      </c>
      <c r="G875" t="n">
        <v>2.6</v>
      </c>
      <c r="H875" t="n">
        <v>0</v>
      </c>
      <c r="I875" t="n">
        <v>0</v>
      </c>
      <c r="J875" t="n">
        <v>0</v>
      </c>
      <c r="K875" t="n">
        <v>0</v>
      </c>
      <c r="L875" t="n">
        <v>0</v>
      </c>
      <c r="M875" t="n">
        <v>0</v>
      </c>
      <c r="N875" t="n">
        <v>0</v>
      </c>
      <c r="O875" t="n">
        <v>0</v>
      </c>
      <c r="P875" t="n">
        <v>0</v>
      </c>
      <c r="Q875" t="n">
        <v>0</v>
      </c>
      <c r="R875" s="2" t="inlineStr"/>
    </row>
    <row r="876" ht="15" customHeight="1">
      <c r="A876" t="inlineStr">
        <is>
          <t>A 30977-2025</t>
        </is>
      </c>
      <c r="B876" s="1" t="n">
        <v>45832.46649305556</v>
      </c>
      <c r="C876" s="1" t="n">
        <v>45993</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33695-2025</t>
        </is>
      </c>
      <c r="B877" s="1" t="n">
        <v>45841.70569444444</v>
      </c>
      <c r="C877" s="1" t="n">
        <v>45993</v>
      </c>
      <c r="D877" t="inlineStr">
        <is>
          <t>KALMAR LÄN</t>
        </is>
      </c>
      <c r="E877" t="inlineStr">
        <is>
          <t>VIMMERBY</t>
        </is>
      </c>
      <c r="G877" t="n">
        <v>2.7</v>
      </c>
      <c r="H877" t="n">
        <v>0</v>
      </c>
      <c r="I877" t="n">
        <v>0</v>
      </c>
      <c r="J877" t="n">
        <v>0</v>
      </c>
      <c r="K877" t="n">
        <v>0</v>
      </c>
      <c r="L877" t="n">
        <v>0</v>
      </c>
      <c r="M877" t="n">
        <v>0</v>
      </c>
      <c r="N877" t="n">
        <v>0</v>
      </c>
      <c r="O877" t="n">
        <v>0</v>
      </c>
      <c r="P877" t="n">
        <v>0</v>
      </c>
      <c r="Q877" t="n">
        <v>0</v>
      </c>
      <c r="R877" s="2" t="inlineStr"/>
    </row>
    <row r="878" ht="15" customHeight="1">
      <c r="A878" t="inlineStr">
        <is>
          <t>A 33698-2025</t>
        </is>
      </c>
      <c r="B878" s="1" t="n">
        <v>45841.70868055556</v>
      </c>
      <c r="C878" s="1" t="n">
        <v>45993</v>
      </c>
      <c r="D878" t="inlineStr">
        <is>
          <t>KALMAR LÄN</t>
        </is>
      </c>
      <c r="E878" t="inlineStr">
        <is>
          <t>VIMMERBY</t>
        </is>
      </c>
      <c r="G878" t="n">
        <v>3.7</v>
      </c>
      <c r="H878" t="n">
        <v>0</v>
      </c>
      <c r="I878" t="n">
        <v>0</v>
      </c>
      <c r="J878" t="n">
        <v>0</v>
      </c>
      <c r="K878" t="n">
        <v>0</v>
      </c>
      <c r="L878" t="n">
        <v>0</v>
      </c>
      <c r="M878" t="n">
        <v>0</v>
      </c>
      <c r="N878" t="n">
        <v>0</v>
      </c>
      <c r="O878" t="n">
        <v>0</v>
      </c>
      <c r="P878" t="n">
        <v>0</v>
      </c>
      <c r="Q878" t="n">
        <v>0</v>
      </c>
      <c r="R878" s="2" t="inlineStr"/>
    </row>
    <row r="879" ht="15" customHeight="1">
      <c r="A879" t="inlineStr">
        <is>
          <t>A 33696-2025</t>
        </is>
      </c>
      <c r="B879" s="1" t="n">
        <v>45841.7072337963</v>
      </c>
      <c r="C879" s="1" t="n">
        <v>45993</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28702-2025</t>
        </is>
      </c>
      <c r="B880" s="1" t="n">
        <v>45820.03976851852</v>
      </c>
      <c r="C880" s="1" t="n">
        <v>45993</v>
      </c>
      <c r="D880" t="inlineStr">
        <is>
          <t>KALMAR LÄN</t>
        </is>
      </c>
      <c r="E880" t="inlineStr">
        <is>
          <t>VIMMERBY</t>
        </is>
      </c>
      <c r="G880" t="n">
        <v>2.1</v>
      </c>
      <c r="H880" t="n">
        <v>0</v>
      </c>
      <c r="I880" t="n">
        <v>0</v>
      </c>
      <c r="J880" t="n">
        <v>0</v>
      </c>
      <c r="K880" t="n">
        <v>0</v>
      </c>
      <c r="L880" t="n">
        <v>0</v>
      </c>
      <c r="M880" t="n">
        <v>0</v>
      </c>
      <c r="N880" t="n">
        <v>0</v>
      </c>
      <c r="O880" t="n">
        <v>0</v>
      </c>
      <c r="P880" t="n">
        <v>0</v>
      </c>
      <c r="Q880" t="n">
        <v>0</v>
      </c>
      <c r="R880" s="2" t="inlineStr"/>
    </row>
    <row r="881" ht="15" customHeight="1">
      <c r="A881" t="inlineStr">
        <is>
          <t>A 34071-2025</t>
        </is>
      </c>
      <c r="B881" s="1" t="n">
        <v>45845.43803240741</v>
      </c>
      <c r="C881" s="1" t="n">
        <v>45993</v>
      </c>
      <c r="D881" t="inlineStr">
        <is>
          <t>KALMAR LÄN</t>
        </is>
      </c>
      <c r="E881" t="inlineStr">
        <is>
          <t>VIMMERBY</t>
        </is>
      </c>
      <c r="G881" t="n">
        <v>6.8</v>
      </c>
      <c r="H881" t="n">
        <v>0</v>
      </c>
      <c r="I881" t="n">
        <v>0</v>
      </c>
      <c r="J881" t="n">
        <v>0</v>
      </c>
      <c r="K881" t="n">
        <v>0</v>
      </c>
      <c r="L881" t="n">
        <v>0</v>
      </c>
      <c r="M881" t="n">
        <v>0</v>
      </c>
      <c r="N881" t="n">
        <v>0</v>
      </c>
      <c r="O881" t="n">
        <v>0</v>
      </c>
      <c r="P881" t="n">
        <v>0</v>
      </c>
      <c r="Q881" t="n">
        <v>0</v>
      </c>
      <c r="R881" s="2" t="inlineStr"/>
    </row>
    <row r="882" ht="15" customHeight="1">
      <c r="A882" t="inlineStr">
        <is>
          <t>A 34106-2025</t>
        </is>
      </c>
      <c r="B882" s="1" t="n">
        <v>45845.49414351852</v>
      </c>
      <c r="C882" s="1" t="n">
        <v>45993</v>
      </c>
      <c r="D882" t="inlineStr">
        <is>
          <t>KALMAR LÄN</t>
        </is>
      </c>
      <c r="E882" t="inlineStr">
        <is>
          <t>VIMMERBY</t>
        </is>
      </c>
      <c r="G882" t="n">
        <v>6</v>
      </c>
      <c r="H882" t="n">
        <v>0</v>
      </c>
      <c r="I882" t="n">
        <v>0</v>
      </c>
      <c r="J882" t="n">
        <v>0</v>
      </c>
      <c r="K882" t="n">
        <v>0</v>
      </c>
      <c r="L882" t="n">
        <v>0</v>
      </c>
      <c r="M882" t="n">
        <v>0</v>
      </c>
      <c r="N882" t="n">
        <v>0</v>
      </c>
      <c r="O882" t="n">
        <v>0</v>
      </c>
      <c r="P882" t="n">
        <v>0</v>
      </c>
      <c r="Q882" t="n">
        <v>0</v>
      </c>
      <c r="R882" s="2" t="inlineStr"/>
    </row>
    <row r="883" ht="15" customHeight="1">
      <c r="A883" t="inlineStr">
        <is>
          <t>A 26956-2025</t>
        </is>
      </c>
      <c r="B883" s="1" t="n">
        <v>45811.45460648148</v>
      </c>
      <c r="C883" s="1" t="n">
        <v>45993</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34628-2025</t>
        </is>
      </c>
      <c r="B884" s="1" t="n">
        <v>45847.91280092593</v>
      </c>
      <c r="C884" s="1" t="n">
        <v>45993</v>
      </c>
      <c r="D884" t="inlineStr">
        <is>
          <t>KALMAR LÄN</t>
        </is>
      </c>
      <c r="E884" t="inlineStr">
        <is>
          <t>VIMMERBY</t>
        </is>
      </c>
      <c r="G884" t="n">
        <v>4.2</v>
      </c>
      <c r="H884" t="n">
        <v>0</v>
      </c>
      <c r="I884" t="n">
        <v>0</v>
      </c>
      <c r="J884" t="n">
        <v>0</v>
      </c>
      <c r="K884" t="n">
        <v>0</v>
      </c>
      <c r="L884" t="n">
        <v>0</v>
      </c>
      <c r="M884" t="n">
        <v>0</v>
      </c>
      <c r="N884" t="n">
        <v>0</v>
      </c>
      <c r="O884" t="n">
        <v>0</v>
      </c>
      <c r="P884" t="n">
        <v>0</v>
      </c>
      <c r="Q884" t="n">
        <v>0</v>
      </c>
      <c r="R884" s="2" t="inlineStr"/>
    </row>
    <row r="885" ht="15" customHeight="1">
      <c r="A885" t="inlineStr">
        <is>
          <t>A 35270-2025</t>
        </is>
      </c>
      <c r="B885" s="1" t="n">
        <v>45853.87112268519</v>
      </c>
      <c r="C885" s="1" t="n">
        <v>45993</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35271-2025</t>
        </is>
      </c>
      <c r="B886" s="1" t="n">
        <v>45853.87599537037</v>
      </c>
      <c r="C886" s="1" t="n">
        <v>45993</v>
      </c>
      <c r="D886" t="inlineStr">
        <is>
          <t>KALMAR LÄN</t>
        </is>
      </c>
      <c r="E886" t="inlineStr">
        <is>
          <t>VIMMERBY</t>
        </is>
      </c>
      <c r="G886" t="n">
        <v>0.4</v>
      </c>
      <c r="H886" t="n">
        <v>0</v>
      </c>
      <c r="I886" t="n">
        <v>0</v>
      </c>
      <c r="J886" t="n">
        <v>0</v>
      </c>
      <c r="K886" t="n">
        <v>0</v>
      </c>
      <c r="L886" t="n">
        <v>0</v>
      </c>
      <c r="M886" t="n">
        <v>0</v>
      </c>
      <c r="N886" t="n">
        <v>0</v>
      </c>
      <c r="O886" t="n">
        <v>0</v>
      </c>
      <c r="P886" t="n">
        <v>0</v>
      </c>
      <c r="Q886" t="n">
        <v>0</v>
      </c>
      <c r="R886" s="2" t="inlineStr"/>
    </row>
    <row r="887" ht="15" customHeight="1">
      <c r="A887" t="inlineStr">
        <is>
          <t>A 35272-2025</t>
        </is>
      </c>
      <c r="B887" s="1" t="n">
        <v>45853.88070601852</v>
      </c>
      <c r="C887" s="1" t="n">
        <v>45993</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16953-2025</t>
        </is>
      </c>
      <c r="B888" s="1" t="n">
        <v>45755.44333333334</v>
      </c>
      <c r="C888" s="1" t="n">
        <v>45993</v>
      </c>
      <c r="D888" t="inlineStr">
        <is>
          <t>KALMAR LÄN</t>
        </is>
      </c>
      <c r="E888" t="inlineStr">
        <is>
          <t>VIMMERBY</t>
        </is>
      </c>
      <c r="G888" t="n">
        <v>2</v>
      </c>
      <c r="H888" t="n">
        <v>0</v>
      </c>
      <c r="I888" t="n">
        <v>0</v>
      </c>
      <c r="J888" t="n">
        <v>0</v>
      </c>
      <c r="K888" t="n">
        <v>0</v>
      </c>
      <c r="L888" t="n">
        <v>0</v>
      </c>
      <c r="M888" t="n">
        <v>0</v>
      </c>
      <c r="N888" t="n">
        <v>0</v>
      </c>
      <c r="O888" t="n">
        <v>0</v>
      </c>
      <c r="P888" t="n">
        <v>0</v>
      </c>
      <c r="Q888" t="n">
        <v>0</v>
      </c>
      <c r="R888" s="2" t="inlineStr"/>
    </row>
    <row r="889" ht="15" customHeight="1">
      <c r="A889" t="inlineStr">
        <is>
          <t>A 35597-2025</t>
        </is>
      </c>
      <c r="B889" s="1" t="n">
        <v>45858.66019675926</v>
      </c>
      <c r="C889" s="1" t="n">
        <v>45993</v>
      </c>
      <c r="D889" t="inlineStr">
        <is>
          <t>KALMAR LÄN</t>
        </is>
      </c>
      <c r="E889" t="inlineStr">
        <is>
          <t>VIMMERBY</t>
        </is>
      </c>
      <c r="G889" t="n">
        <v>6.4</v>
      </c>
      <c r="H889" t="n">
        <v>0</v>
      </c>
      <c r="I889" t="n">
        <v>0</v>
      </c>
      <c r="J889" t="n">
        <v>0</v>
      </c>
      <c r="K889" t="n">
        <v>0</v>
      </c>
      <c r="L889" t="n">
        <v>0</v>
      </c>
      <c r="M889" t="n">
        <v>0</v>
      </c>
      <c r="N889" t="n">
        <v>0</v>
      </c>
      <c r="O889" t="n">
        <v>0</v>
      </c>
      <c r="P889" t="n">
        <v>0</v>
      </c>
      <c r="Q889" t="n">
        <v>0</v>
      </c>
      <c r="R889" s="2" t="inlineStr"/>
    </row>
    <row r="890" ht="15" customHeight="1">
      <c r="A890" t="inlineStr">
        <is>
          <t>A 35596-2025</t>
        </is>
      </c>
      <c r="B890" s="1" t="n">
        <v>45858.60641203704</v>
      </c>
      <c r="C890" s="1" t="n">
        <v>45993</v>
      </c>
      <c r="D890" t="inlineStr">
        <is>
          <t>KALMAR LÄN</t>
        </is>
      </c>
      <c r="E890" t="inlineStr">
        <is>
          <t>VIMMERBY</t>
        </is>
      </c>
      <c r="G890" t="n">
        <v>2.8</v>
      </c>
      <c r="H890" t="n">
        <v>0</v>
      </c>
      <c r="I890" t="n">
        <v>0</v>
      </c>
      <c r="J890" t="n">
        <v>0</v>
      </c>
      <c r="K890" t="n">
        <v>0</v>
      </c>
      <c r="L890" t="n">
        <v>0</v>
      </c>
      <c r="M890" t="n">
        <v>0</v>
      </c>
      <c r="N890" t="n">
        <v>0</v>
      </c>
      <c r="O890" t="n">
        <v>0</v>
      </c>
      <c r="P890" t="n">
        <v>0</v>
      </c>
      <c r="Q890" t="n">
        <v>0</v>
      </c>
      <c r="R890" s="2" t="inlineStr"/>
    </row>
    <row r="891" ht="15" customHeight="1">
      <c r="A891" t="inlineStr">
        <is>
          <t>A 19502-2025</t>
        </is>
      </c>
      <c r="B891" s="1" t="n">
        <v>45769</v>
      </c>
      <c r="C891" s="1" t="n">
        <v>45993</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36273-2025</t>
        </is>
      </c>
      <c r="B892" s="1" t="n">
        <v>45867.63094907408</v>
      </c>
      <c r="C892" s="1" t="n">
        <v>45993</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36299-2025</t>
        </is>
      </c>
      <c r="B893" s="1" t="n">
        <v>45867.69346064814</v>
      </c>
      <c r="C893" s="1" t="n">
        <v>45993</v>
      </c>
      <c r="D893" t="inlineStr">
        <is>
          <t>KALMAR LÄN</t>
        </is>
      </c>
      <c r="E893" t="inlineStr">
        <is>
          <t>VIMMERBY</t>
        </is>
      </c>
      <c r="G893" t="n">
        <v>7.6</v>
      </c>
      <c r="H893" t="n">
        <v>0</v>
      </c>
      <c r="I893" t="n">
        <v>0</v>
      </c>
      <c r="J893" t="n">
        <v>0</v>
      </c>
      <c r="K893" t="n">
        <v>0</v>
      </c>
      <c r="L893" t="n">
        <v>0</v>
      </c>
      <c r="M893" t="n">
        <v>0</v>
      </c>
      <c r="N893" t="n">
        <v>0</v>
      </c>
      <c r="O893" t="n">
        <v>0</v>
      </c>
      <c r="P893" t="n">
        <v>0</v>
      </c>
      <c r="Q893" t="n">
        <v>0</v>
      </c>
      <c r="R893" s="2" t="inlineStr"/>
    </row>
    <row r="894" ht="15" customHeight="1">
      <c r="A894" t="inlineStr">
        <is>
          <t>A 36221-2025</t>
        </is>
      </c>
      <c r="B894" s="1" t="n">
        <v>45867.50792824074</v>
      </c>
      <c r="C894" s="1" t="n">
        <v>45993</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36226-2025</t>
        </is>
      </c>
      <c r="B895" s="1" t="n">
        <v>45867.51630787037</v>
      </c>
      <c r="C895" s="1" t="n">
        <v>45993</v>
      </c>
      <c r="D895" t="inlineStr">
        <is>
          <t>KALMAR LÄN</t>
        </is>
      </c>
      <c r="E895" t="inlineStr">
        <is>
          <t>VIMMERBY</t>
        </is>
      </c>
      <c r="G895" t="n">
        <v>3.1</v>
      </c>
      <c r="H895" t="n">
        <v>0</v>
      </c>
      <c r="I895" t="n">
        <v>0</v>
      </c>
      <c r="J895" t="n">
        <v>0</v>
      </c>
      <c r="K895" t="n">
        <v>0</v>
      </c>
      <c r="L895" t="n">
        <v>0</v>
      </c>
      <c r="M895" t="n">
        <v>0</v>
      </c>
      <c r="N895" t="n">
        <v>0</v>
      </c>
      <c r="O895" t="n">
        <v>0</v>
      </c>
      <c r="P895" t="n">
        <v>0</v>
      </c>
      <c r="Q895" t="n">
        <v>0</v>
      </c>
      <c r="R895" s="2" t="inlineStr"/>
    </row>
    <row r="896" ht="15" customHeight="1">
      <c r="A896" t="inlineStr">
        <is>
          <t>A 36297-2025</t>
        </is>
      </c>
      <c r="B896" s="1" t="n">
        <v>45867.68625</v>
      </c>
      <c r="C896" s="1" t="n">
        <v>45993</v>
      </c>
      <c r="D896" t="inlineStr">
        <is>
          <t>KALMAR LÄN</t>
        </is>
      </c>
      <c r="E896" t="inlineStr">
        <is>
          <t>VIMMERBY</t>
        </is>
      </c>
      <c r="G896" t="n">
        <v>4.9</v>
      </c>
      <c r="H896" t="n">
        <v>0</v>
      </c>
      <c r="I896" t="n">
        <v>0</v>
      </c>
      <c r="J896" t="n">
        <v>0</v>
      </c>
      <c r="K896" t="n">
        <v>0</v>
      </c>
      <c r="L896" t="n">
        <v>0</v>
      </c>
      <c r="M896" t="n">
        <v>0</v>
      </c>
      <c r="N896" t="n">
        <v>0</v>
      </c>
      <c r="O896" t="n">
        <v>0</v>
      </c>
      <c r="P896" t="n">
        <v>0</v>
      </c>
      <c r="Q896" t="n">
        <v>0</v>
      </c>
      <c r="R896" s="2" t="inlineStr"/>
    </row>
    <row r="897" ht="15" customHeight="1">
      <c r="A897" t="inlineStr">
        <is>
          <t>A 36246-2025</t>
        </is>
      </c>
      <c r="B897" s="1" t="n">
        <v>45867.56320601852</v>
      </c>
      <c r="C897" s="1" t="n">
        <v>45993</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36282-2025</t>
        </is>
      </c>
      <c r="B898" s="1" t="n">
        <v>45867.64663194444</v>
      </c>
      <c r="C898" s="1" t="n">
        <v>45993</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36538-2025</t>
        </is>
      </c>
      <c r="B899" s="1" t="n">
        <v>45869.62276620371</v>
      </c>
      <c r="C899" s="1" t="n">
        <v>45993</v>
      </c>
      <c r="D899" t="inlineStr">
        <is>
          <t>KALMAR LÄN</t>
        </is>
      </c>
      <c r="E899" t="inlineStr">
        <is>
          <t>VIMMERBY</t>
        </is>
      </c>
      <c r="G899" t="n">
        <v>2.6</v>
      </c>
      <c r="H899" t="n">
        <v>0</v>
      </c>
      <c r="I899" t="n">
        <v>0</v>
      </c>
      <c r="J899" t="n">
        <v>0</v>
      </c>
      <c r="K899" t="n">
        <v>0</v>
      </c>
      <c r="L899" t="n">
        <v>0</v>
      </c>
      <c r="M899" t="n">
        <v>0</v>
      </c>
      <c r="N899" t="n">
        <v>0</v>
      </c>
      <c r="O899" t="n">
        <v>0</v>
      </c>
      <c r="P899" t="n">
        <v>0</v>
      </c>
      <c r="Q899" t="n">
        <v>0</v>
      </c>
      <c r="R899" s="2" t="inlineStr"/>
    </row>
    <row r="900" ht="15" customHeight="1">
      <c r="A900" t="inlineStr">
        <is>
          <t>A 36598-2025</t>
        </is>
      </c>
      <c r="B900" s="1" t="n">
        <v>45870.51708333333</v>
      </c>
      <c r="C900" s="1" t="n">
        <v>45993</v>
      </c>
      <c r="D900" t="inlineStr">
        <is>
          <t>KALMAR LÄN</t>
        </is>
      </c>
      <c r="E900" t="inlineStr">
        <is>
          <t>VIMMERBY</t>
        </is>
      </c>
      <c r="G900" t="n">
        <v>3.7</v>
      </c>
      <c r="H900" t="n">
        <v>0</v>
      </c>
      <c r="I900" t="n">
        <v>0</v>
      </c>
      <c r="J900" t="n">
        <v>0</v>
      </c>
      <c r="K900" t="n">
        <v>0</v>
      </c>
      <c r="L900" t="n">
        <v>0</v>
      </c>
      <c r="M900" t="n">
        <v>0</v>
      </c>
      <c r="N900" t="n">
        <v>0</v>
      </c>
      <c r="O900" t="n">
        <v>0</v>
      </c>
      <c r="P900" t="n">
        <v>0</v>
      </c>
      <c r="Q900" t="n">
        <v>0</v>
      </c>
      <c r="R900" s="2" t="inlineStr"/>
    </row>
    <row r="901" ht="15" customHeight="1">
      <c r="A901" t="inlineStr">
        <is>
          <t>A 36602-2025</t>
        </is>
      </c>
      <c r="B901" s="1" t="n">
        <v>45870.52111111111</v>
      </c>
      <c r="C901" s="1" t="n">
        <v>45993</v>
      </c>
      <c r="D901" t="inlineStr">
        <is>
          <t>KALMAR LÄN</t>
        </is>
      </c>
      <c r="E901" t="inlineStr">
        <is>
          <t>VIMMERBY</t>
        </is>
      </c>
      <c r="G901" t="n">
        <v>0.6</v>
      </c>
      <c r="H901" t="n">
        <v>0</v>
      </c>
      <c r="I901" t="n">
        <v>0</v>
      </c>
      <c r="J901" t="n">
        <v>0</v>
      </c>
      <c r="K901" t="n">
        <v>0</v>
      </c>
      <c r="L901" t="n">
        <v>0</v>
      </c>
      <c r="M901" t="n">
        <v>0</v>
      </c>
      <c r="N901" t="n">
        <v>0</v>
      </c>
      <c r="O901" t="n">
        <v>0</v>
      </c>
      <c r="P901" t="n">
        <v>0</v>
      </c>
      <c r="Q901" t="n">
        <v>0</v>
      </c>
      <c r="R901" s="2" t="inlineStr"/>
    </row>
    <row r="902" ht="15" customHeight="1">
      <c r="A902" t="inlineStr">
        <is>
          <t>A 36600-2025</t>
        </is>
      </c>
      <c r="B902" s="1" t="n">
        <v>45870.51958333333</v>
      </c>
      <c r="C902" s="1" t="n">
        <v>45993</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36601-2025</t>
        </is>
      </c>
      <c r="B903" s="1" t="n">
        <v>45870.52005787037</v>
      </c>
      <c r="C903" s="1" t="n">
        <v>45993</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c r="A904" t="inlineStr">
        <is>
          <t>A 36603-2025</t>
        </is>
      </c>
      <c r="B904" s="1" t="n">
        <v>45870.52142361111</v>
      </c>
      <c r="C904" s="1" t="n">
        <v>45993</v>
      </c>
      <c r="D904" t="inlineStr">
        <is>
          <t>KALMAR LÄN</t>
        </is>
      </c>
      <c r="E904" t="inlineStr">
        <is>
          <t>VIMMERBY</t>
        </is>
      </c>
      <c r="G904" t="n">
        <v>1.6</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2025-12-02T10:21:37Z</dcterms:created>
  <dcterms:modified xmlns:dcterms="http://purl.org/dc/terms/" xmlns:xsi="http://www.w3.org/2001/XMLSchema-instance" xsi:type="dcterms:W3CDTF">2025-12-02T10:21:38Z</dcterms:modified>
</cp:coreProperties>
</file>