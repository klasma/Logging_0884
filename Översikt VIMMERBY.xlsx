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46196</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46196</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46196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46196</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46196</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46196</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1023-2024</t>
        </is>
      </c>
      <c r="B8" s="1" t="n">
        <v>45301</v>
      </c>
      <c r="C8" s="1" t="n">
        <v>46196</v>
      </c>
      <c r="D8" t="inlineStr">
        <is>
          <t>KALMAR LÄN</t>
        </is>
      </c>
      <c r="E8" t="inlineStr">
        <is>
          <t>VIMMERBY</t>
        </is>
      </c>
      <c r="G8" t="n">
        <v>4.4</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46196</v>
      </c>
      <c r="D9" t="inlineStr">
        <is>
          <t>KALMAR LÄN</t>
        </is>
      </c>
      <c r="E9" t="inlineStr">
        <is>
          <t>VIMMERBY</t>
        </is>
      </c>
      <c r="G9" t="n">
        <v>3.5</v>
      </c>
      <c r="H9" t="n">
        <v>4</v>
      </c>
      <c r="I9" t="n">
        <v>0</v>
      </c>
      <c r="J9" t="n">
        <v>2</v>
      </c>
      <c r="K9" t="n">
        <v>1</v>
      </c>
      <c r="L9" t="n">
        <v>0</v>
      </c>
      <c r="M9" t="n">
        <v>0</v>
      </c>
      <c r="N9" t="n">
        <v>0</v>
      </c>
      <c r="O9" t="n">
        <v>3</v>
      </c>
      <c r="P9" t="n">
        <v>1</v>
      </c>
      <c r="Q9" t="n">
        <v>5</v>
      </c>
      <c r="R9" s="2" t="inlineStr">
        <is>
          <t>Knärot
Talltita
Ullticka
Spillkråka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32645-2023</t>
        </is>
      </c>
      <c r="B10" s="1" t="n">
        <v>45121</v>
      </c>
      <c r="C10" s="1" t="n">
        <v>46196</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5</v>
      </c>
      <c r="R10" s="2" t="inlineStr">
        <is>
          <t>Dvärgbägarlav
Talltita
Vedtrappmossa
Mindre märgborre
Spillkråka</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12081-2024</t>
        </is>
      </c>
      <c r="B11" s="1" t="n">
        <v>45377</v>
      </c>
      <c r="C11" s="1" t="n">
        <v>46196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46196</v>
      </c>
      <c r="D12" t="inlineStr">
        <is>
          <t>KALMAR LÄN</t>
        </is>
      </c>
      <c r="E12" t="inlineStr">
        <is>
          <t>VIMMERBY</t>
        </is>
      </c>
      <c r="G12" t="n">
        <v>4.5</v>
      </c>
      <c r="H12" t="n">
        <v>4</v>
      </c>
      <c r="I12" t="n">
        <v>0</v>
      </c>
      <c r="J12" t="n">
        <v>1</v>
      </c>
      <c r="K12" t="n">
        <v>1</v>
      </c>
      <c r="L12" t="n">
        <v>0</v>
      </c>
      <c r="M12" t="n">
        <v>0</v>
      </c>
      <c r="N12" t="n">
        <v>0</v>
      </c>
      <c r="O12" t="n">
        <v>2</v>
      </c>
      <c r="P12" t="n">
        <v>1</v>
      </c>
      <c r="Q12" t="n">
        <v>4</v>
      </c>
      <c r="R12" s="2" t="inlineStr">
        <is>
          <t>Knärot
Talltita
Spillkråka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57053-2025</t>
        </is>
      </c>
      <c r="B13" s="1" t="n">
        <v>45979</v>
      </c>
      <c r="C13" s="1" t="n">
        <v>46196</v>
      </c>
      <c r="D13" t="inlineStr">
        <is>
          <t>KALMAR LÄN</t>
        </is>
      </c>
      <c r="E13" t="inlineStr">
        <is>
          <t>VIMMERBY</t>
        </is>
      </c>
      <c r="F13" t="inlineStr">
        <is>
          <t>Sveaskog</t>
        </is>
      </c>
      <c r="G13" t="n">
        <v>2.1</v>
      </c>
      <c r="H13" t="n">
        <v>2</v>
      </c>
      <c r="I13" t="n">
        <v>0</v>
      </c>
      <c r="J13" t="n">
        <v>0</v>
      </c>
      <c r="K13" t="n">
        <v>2</v>
      </c>
      <c r="L13" t="n">
        <v>0</v>
      </c>
      <c r="M13" t="n">
        <v>0</v>
      </c>
      <c r="N13" t="n">
        <v>0</v>
      </c>
      <c r="O13" t="n">
        <v>2</v>
      </c>
      <c r="P13" t="n">
        <v>2</v>
      </c>
      <c r="Q13" t="n">
        <v>3</v>
      </c>
      <c r="R13" s="2" t="inlineStr">
        <is>
          <t>Aspfjädermossa
Knärot
Blåsippa</t>
        </is>
      </c>
      <c r="S13">
        <f>HYPERLINK("https://klasma.github.io/Logging_0884/artfynd/A 57053-2025 artfynd.xlsx", "A 57053-2025")</f>
        <v/>
      </c>
      <c r="T13">
        <f>HYPERLINK("https://klasma.github.io/Logging_0884/kartor/A 57053-2025 karta.png", "A 57053-2025")</f>
        <v/>
      </c>
      <c r="U13">
        <f>HYPERLINK("https://klasma.github.io/Logging_0884/knärot/A 57053-2025 karta knärot.png", "A 57053-2025")</f>
        <v/>
      </c>
      <c r="V13">
        <f>HYPERLINK("https://klasma.github.io/Logging_0884/klagomål/A 57053-2025 FSC-klagomål.docx", "A 57053-2025")</f>
        <v/>
      </c>
      <c r="W13">
        <f>HYPERLINK("https://klasma.github.io/Logging_0884/klagomålsmail/A 57053-2025 FSC-klagomål mail.docx", "A 57053-2025")</f>
        <v/>
      </c>
      <c r="X13">
        <f>HYPERLINK("https://klasma.github.io/Logging_0884/tillsyn/A 57053-2025 tillsynsbegäran.docx", "A 57053-2025")</f>
        <v/>
      </c>
      <c r="Y13">
        <f>HYPERLINK("https://klasma.github.io/Logging_0884/tillsynsmail/A 57053-2025 tillsynsbegäran mail.docx", "A 57053-2025")</f>
        <v/>
      </c>
    </row>
    <row r="14" ht="15" customHeight="1">
      <c r="A14" t="inlineStr">
        <is>
          <t>A 14426-2026</t>
        </is>
      </c>
      <c r="B14" s="1" t="n">
        <v>46100</v>
      </c>
      <c r="C14" s="1" t="n">
        <v>46196</v>
      </c>
      <c r="D14" t="inlineStr">
        <is>
          <t>KALMAR LÄN</t>
        </is>
      </c>
      <c r="E14" t="inlineStr">
        <is>
          <t>VIMMERBY</t>
        </is>
      </c>
      <c r="F14" t="inlineStr">
        <is>
          <t>Kyrkan</t>
        </is>
      </c>
      <c r="G14" t="n">
        <v>8.6</v>
      </c>
      <c r="H14" t="n">
        <v>1</v>
      </c>
      <c r="I14" t="n">
        <v>0</v>
      </c>
      <c r="J14" t="n">
        <v>1</v>
      </c>
      <c r="K14" t="n">
        <v>1</v>
      </c>
      <c r="L14" t="n">
        <v>0</v>
      </c>
      <c r="M14" t="n">
        <v>0</v>
      </c>
      <c r="N14" t="n">
        <v>0</v>
      </c>
      <c r="O14" t="n">
        <v>2</v>
      </c>
      <c r="P14" t="n">
        <v>1</v>
      </c>
      <c r="Q14" t="n">
        <v>3</v>
      </c>
      <c r="R14" s="2" t="inlineStr">
        <is>
          <t>Knärot
Tallticka
Linnea</t>
        </is>
      </c>
      <c r="S14">
        <f>HYPERLINK("https://klasma.github.io/Logging_0884/artfynd/A 14426-2026 artfynd.xlsx", "A 14426-2026")</f>
        <v/>
      </c>
      <c r="T14">
        <f>HYPERLINK("https://klasma.github.io/Logging_0884/kartor/A 14426-2026 karta.png", "A 14426-2026")</f>
        <v/>
      </c>
      <c r="U14">
        <f>HYPERLINK("https://klasma.github.io/Logging_0884/knärot/A 14426-2026 karta knärot.png", "A 14426-2026")</f>
        <v/>
      </c>
      <c r="V14">
        <f>HYPERLINK("https://klasma.github.io/Logging_0884/klagomål/A 14426-2026 FSC-klagomål.docx", "A 14426-2026")</f>
        <v/>
      </c>
      <c r="W14">
        <f>HYPERLINK("https://klasma.github.io/Logging_0884/klagomålsmail/A 14426-2026 FSC-klagomål mail.docx", "A 14426-2026")</f>
        <v/>
      </c>
      <c r="X14">
        <f>HYPERLINK("https://klasma.github.io/Logging_0884/tillsyn/A 14426-2026 tillsynsbegäran.docx", "A 14426-2026")</f>
        <v/>
      </c>
      <c r="Y14">
        <f>HYPERLINK("https://klasma.github.io/Logging_0884/tillsynsmail/A 14426-2026 tillsynsbegäran mail.docx", "A 14426-2026")</f>
        <v/>
      </c>
    </row>
    <row r="15" ht="15" customHeight="1">
      <c r="A15" t="inlineStr">
        <is>
          <t>A 14584-2025</t>
        </is>
      </c>
      <c r="B15" s="1" t="n">
        <v>45742</v>
      </c>
      <c r="C15" s="1" t="n">
        <v>46196</v>
      </c>
      <c r="D15" t="inlineStr">
        <is>
          <t>KALMAR LÄN</t>
        </is>
      </c>
      <c r="E15" t="inlineStr">
        <is>
          <t>VIMMERBY</t>
        </is>
      </c>
      <c r="G15" t="n">
        <v>5.4</v>
      </c>
      <c r="H15" t="n">
        <v>2</v>
      </c>
      <c r="I15" t="n">
        <v>1</v>
      </c>
      <c r="J15" t="n">
        <v>0</v>
      </c>
      <c r="K15" t="n">
        <v>1</v>
      </c>
      <c r="L15" t="n">
        <v>0</v>
      </c>
      <c r="M15" t="n">
        <v>0</v>
      </c>
      <c r="N15" t="n">
        <v>0</v>
      </c>
      <c r="O15" t="n">
        <v>1</v>
      </c>
      <c r="P15" t="n">
        <v>1</v>
      </c>
      <c r="Q15" t="n">
        <v>3</v>
      </c>
      <c r="R15" s="2" t="inlineStr">
        <is>
          <t>Knärot
Blåmossa
Spillkråka</t>
        </is>
      </c>
      <c r="S15">
        <f>HYPERLINK("https://klasma.github.io/Logging_0884/artfynd/A 14584-2025 artfynd.xlsx", "A 14584-2025")</f>
        <v/>
      </c>
      <c r="T15">
        <f>HYPERLINK("https://klasma.github.io/Logging_0884/kartor/A 14584-2025 karta.png", "A 14584-2025")</f>
        <v/>
      </c>
      <c r="U15">
        <f>HYPERLINK("https://klasma.github.io/Logging_0884/knärot/A 14584-2025 karta knärot.png", "A 14584-2025")</f>
        <v/>
      </c>
      <c r="V15">
        <f>HYPERLINK("https://klasma.github.io/Logging_0884/klagomål/A 14584-2025 FSC-klagomål.docx", "A 14584-2025")</f>
        <v/>
      </c>
      <c r="W15">
        <f>HYPERLINK("https://klasma.github.io/Logging_0884/klagomålsmail/A 14584-2025 FSC-klagomål mail.docx", "A 14584-2025")</f>
        <v/>
      </c>
      <c r="X15">
        <f>HYPERLINK("https://klasma.github.io/Logging_0884/tillsyn/A 14584-2025 tillsynsbegäran.docx", "A 14584-2025")</f>
        <v/>
      </c>
      <c r="Y15">
        <f>HYPERLINK("https://klasma.github.io/Logging_0884/tillsynsmail/A 14584-2025 tillsynsbegäran mail.docx", "A 14584-2025")</f>
        <v/>
      </c>
      <c r="Z15">
        <f>HYPERLINK("https://klasma.github.io/Logging_0884/fåglar/A 14584-2025 prioriterade fågelarter.docx", "A 14584-2025")</f>
        <v/>
      </c>
    </row>
    <row r="16" ht="15" customHeight="1">
      <c r="A16" t="inlineStr">
        <is>
          <t>A 46824-2025</t>
        </is>
      </c>
      <c r="B16" s="1" t="n">
        <v>45926</v>
      </c>
      <c r="C16" s="1" t="n">
        <v>46196</v>
      </c>
      <c r="D16" t="inlineStr">
        <is>
          <t>KALMAR LÄN</t>
        </is>
      </c>
      <c r="E16" t="inlineStr">
        <is>
          <t>VIMMERBY</t>
        </is>
      </c>
      <c r="G16" t="n">
        <v>2.8</v>
      </c>
      <c r="H16" t="n">
        <v>1</v>
      </c>
      <c r="I16" t="n">
        <v>0</v>
      </c>
      <c r="J16" t="n">
        <v>2</v>
      </c>
      <c r="K16" t="n">
        <v>1</v>
      </c>
      <c r="L16" t="n">
        <v>0</v>
      </c>
      <c r="M16" t="n">
        <v>0</v>
      </c>
      <c r="N16" t="n">
        <v>0</v>
      </c>
      <c r="O16" t="n">
        <v>3</v>
      </c>
      <c r="P16" t="n">
        <v>1</v>
      </c>
      <c r="Q16" t="n">
        <v>3</v>
      </c>
      <c r="R16" s="2" t="inlineStr">
        <is>
          <t>Knärot
Dropptaggsvamp
Fjällig taggsvamp s.str.</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row>
    <row r="17" ht="15" customHeight="1">
      <c r="A17" t="inlineStr">
        <is>
          <t>A 23602-2023</t>
        </is>
      </c>
      <c r="B17" s="1" t="n">
        <v>45077</v>
      </c>
      <c r="C17" s="1" t="n">
        <v>46196</v>
      </c>
      <c r="D17" t="inlineStr">
        <is>
          <t>KALMAR LÄN</t>
        </is>
      </c>
      <c r="E17" t="inlineStr">
        <is>
          <t>VIMMERBY</t>
        </is>
      </c>
      <c r="G17" t="n">
        <v>1.6</v>
      </c>
      <c r="H17" t="n">
        <v>0</v>
      </c>
      <c r="I17" t="n">
        <v>2</v>
      </c>
      <c r="J17" t="n">
        <v>1</v>
      </c>
      <c r="K17" t="n">
        <v>0</v>
      </c>
      <c r="L17" t="n">
        <v>0</v>
      </c>
      <c r="M17" t="n">
        <v>0</v>
      </c>
      <c r="N17" t="n">
        <v>0</v>
      </c>
      <c r="O17" t="n">
        <v>1</v>
      </c>
      <c r="P17" t="n">
        <v>0</v>
      </c>
      <c r="Q17" t="n">
        <v>3</v>
      </c>
      <c r="R17" s="2" t="inlineStr">
        <is>
          <t>Vedtrappmossa
Terpentinmossa
Vanlig rörsvepemossa</t>
        </is>
      </c>
      <c r="S17">
        <f>HYPERLINK("https://klasma.github.io/Logging_0884/artfynd/A 23602-2023 artfynd.xlsx", "A 23602-2023")</f>
        <v/>
      </c>
      <c r="T17">
        <f>HYPERLINK("https://klasma.github.io/Logging_0884/kartor/A 23602-2023 karta.png", "A 23602-2023")</f>
        <v/>
      </c>
      <c r="V17">
        <f>HYPERLINK("https://klasma.github.io/Logging_0884/klagomål/A 23602-2023 FSC-klagomål.docx", "A 23602-2023")</f>
        <v/>
      </c>
      <c r="W17">
        <f>HYPERLINK("https://klasma.github.io/Logging_0884/klagomålsmail/A 23602-2023 FSC-klagomål mail.docx", "A 23602-2023")</f>
        <v/>
      </c>
      <c r="X17">
        <f>HYPERLINK("https://klasma.github.io/Logging_0884/tillsyn/A 23602-2023 tillsynsbegäran.docx", "A 23602-2023")</f>
        <v/>
      </c>
      <c r="Y17">
        <f>HYPERLINK("https://klasma.github.io/Logging_0884/tillsynsmail/A 23602-2023 tillsynsbegäran mail.docx", "A 23602-2023")</f>
        <v/>
      </c>
    </row>
    <row r="18" ht="15" customHeight="1">
      <c r="A18" t="inlineStr">
        <is>
          <t>A 15427-2023</t>
        </is>
      </c>
      <c r="B18" s="1" t="n">
        <v>45020</v>
      </c>
      <c r="C18" s="1" t="n">
        <v>46196</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46196</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v>
      </c>
      <c r="C20" s="1" t="n">
        <v>46196</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46196</v>
      </c>
      <c r="D21" t="inlineStr">
        <is>
          <t>KALMAR LÄN</t>
        </is>
      </c>
      <c r="E21" t="inlineStr">
        <is>
          <t>VIMMERBY</t>
        </is>
      </c>
      <c r="G21" t="n">
        <v>2</v>
      </c>
      <c r="H21" t="n">
        <v>1</v>
      </c>
      <c r="I21" t="n">
        <v>0</v>
      </c>
      <c r="J21" t="n">
        <v>1</v>
      </c>
      <c r="K21" t="n">
        <v>1</v>
      </c>
      <c r="L21" t="n">
        <v>0</v>
      </c>
      <c r="M21" t="n">
        <v>0</v>
      </c>
      <c r="N21" t="n">
        <v>0</v>
      </c>
      <c r="O21" t="n">
        <v>2</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42802-2025</t>
        </is>
      </c>
      <c r="B22" s="1" t="n">
        <v>45908</v>
      </c>
      <c r="C22" s="1" t="n">
        <v>46196</v>
      </c>
      <c r="D22" t="inlineStr">
        <is>
          <t>KALMAR LÄN</t>
        </is>
      </c>
      <c r="E22" t="inlineStr">
        <is>
          <t>VIMMERBY</t>
        </is>
      </c>
      <c r="G22" t="n">
        <v>2.8</v>
      </c>
      <c r="H22" t="n">
        <v>1</v>
      </c>
      <c r="I22" t="n">
        <v>1</v>
      </c>
      <c r="J22" t="n">
        <v>0</v>
      </c>
      <c r="K22" t="n">
        <v>0</v>
      </c>
      <c r="L22" t="n">
        <v>0</v>
      </c>
      <c r="M22" t="n">
        <v>0</v>
      </c>
      <c r="N22" t="n">
        <v>0</v>
      </c>
      <c r="O22" t="n">
        <v>0</v>
      </c>
      <c r="P22" t="n">
        <v>0</v>
      </c>
      <c r="Q22" t="n">
        <v>2</v>
      </c>
      <c r="R22" s="2" t="inlineStr">
        <is>
          <t>Tibast
Fläcknycklar</t>
        </is>
      </c>
      <c r="S22">
        <f>HYPERLINK("https://klasma.github.io/Logging_0884/artfynd/A 42802-2025 artfynd.xlsx", "A 42802-2025")</f>
        <v/>
      </c>
      <c r="T22">
        <f>HYPERLINK("https://klasma.github.io/Logging_0884/kartor/A 42802-2025 karta.png", "A 42802-2025")</f>
        <v/>
      </c>
      <c r="V22">
        <f>HYPERLINK("https://klasma.github.io/Logging_0884/klagomål/A 42802-2025 FSC-klagomål.docx", "A 42802-2025")</f>
        <v/>
      </c>
      <c r="W22">
        <f>HYPERLINK("https://klasma.github.io/Logging_0884/klagomålsmail/A 42802-2025 FSC-klagomål mail.docx", "A 42802-2025")</f>
        <v/>
      </c>
      <c r="X22">
        <f>HYPERLINK("https://klasma.github.io/Logging_0884/tillsyn/A 42802-2025 tillsynsbegäran.docx", "A 42802-2025")</f>
        <v/>
      </c>
      <c r="Y22">
        <f>HYPERLINK("https://klasma.github.io/Logging_0884/tillsynsmail/A 42802-2025 tillsynsbegäran mail.docx", "A 42802-2025")</f>
        <v/>
      </c>
    </row>
    <row r="23" ht="15" customHeight="1">
      <c r="A23" t="inlineStr">
        <is>
          <t>A 2518-2023</t>
        </is>
      </c>
      <c r="B23" s="1" t="n">
        <v>44943</v>
      </c>
      <c r="C23" s="1" t="n">
        <v>46196</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22825-2023</t>
        </is>
      </c>
      <c r="B24" s="1" t="n">
        <v>45072</v>
      </c>
      <c r="C24" s="1" t="n">
        <v>46196</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40083-2023</t>
        </is>
      </c>
      <c r="B25" s="1" t="n">
        <v>45168</v>
      </c>
      <c r="C25" s="1" t="n">
        <v>46196</v>
      </c>
      <c r="D25" t="inlineStr">
        <is>
          <t>KALMAR LÄN</t>
        </is>
      </c>
      <c r="E25" t="inlineStr">
        <is>
          <t>VIMMERBY</t>
        </is>
      </c>
      <c r="G25" t="n">
        <v>2.2</v>
      </c>
      <c r="H25" t="n">
        <v>2</v>
      </c>
      <c r="I25" t="n">
        <v>0</v>
      </c>
      <c r="J25" t="n">
        <v>1</v>
      </c>
      <c r="K25" t="n">
        <v>0</v>
      </c>
      <c r="L25" t="n">
        <v>0</v>
      </c>
      <c r="M25" t="n">
        <v>0</v>
      </c>
      <c r="N25" t="n">
        <v>0</v>
      </c>
      <c r="O25" t="n">
        <v>1</v>
      </c>
      <c r="P25" t="n">
        <v>0</v>
      </c>
      <c r="Q25" t="n">
        <v>2</v>
      </c>
      <c r="R25" s="2" t="inlineStr">
        <is>
          <t>Grönsångare
Revlummer</t>
        </is>
      </c>
      <c r="S25">
        <f>HYPERLINK("https://klasma.github.io/Logging_0884/artfynd/A 40083-2023 artfynd.xlsx", "A 40083-2023")</f>
        <v/>
      </c>
      <c r="T25">
        <f>HYPERLINK("https://klasma.github.io/Logging_0884/kartor/A 40083-2023 karta.png", "A 40083-2023")</f>
        <v/>
      </c>
      <c r="V25">
        <f>HYPERLINK("https://klasma.github.io/Logging_0884/klagomål/A 40083-2023 FSC-klagomål.docx", "A 40083-2023")</f>
        <v/>
      </c>
      <c r="W25">
        <f>HYPERLINK("https://klasma.github.io/Logging_0884/klagomålsmail/A 40083-2023 FSC-klagomål mail.docx", "A 40083-2023")</f>
        <v/>
      </c>
      <c r="X25">
        <f>HYPERLINK("https://klasma.github.io/Logging_0884/tillsyn/A 40083-2023 tillsynsbegäran.docx", "A 40083-2023")</f>
        <v/>
      </c>
      <c r="Y25">
        <f>HYPERLINK("https://klasma.github.io/Logging_0884/tillsynsmail/A 40083-2023 tillsynsbegäran mail.docx", "A 40083-2023")</f>
        <v/>
      </c>
      <c r="Z25">
        <f>HYPERLINK("https://klasma.github.io/Logging_0884/fåglar/A 40083-2023 prioriterade fågelarter.docx", "A 40083-2023")</f>
        <v/>
      </c>
    </row>
    <row r="26" ht="15" customHeight="1">
      <c r="A26" t="inlineStr">
        <is>
          <t>A 40084-2023</t>
        </is>
      </c>
      <c r="B26" s="1" t="n">
        <v>45168</v>
      </c>
      <c r="C26" s="1" t="n">
        <v>46196</v>
      </c>
      <c r="D26" t="inlineStr">
        <is>
          <t>KALMAR LÄN</t>
        </is>
      </c>
      <c r="E26" t="inlineStr">
        <is>
          <t>VIMMERBY</t>
        </is>
      </c>
      <c r="G26" t="n">
        <v>1.3</v>
      </c>
      <c r="H26" t="n">
        <v>2</v>
      </c>
      <c r="I26" t="n">
        <v>0</v>
      </c>
      <c r="J26" t="n">
        <v>2</v>
      </c>
      <c r="K26" t="n">
        <v>0</v>
      </c>
      <c r="L26" t="n">
        <v>0</v>
      </c>
      <c r="M26" t="n">
        <v>0</v>
      </c>
      <c r="N26" t="n">
        <v>0</v>
      </c>
      <c r="O26" t="n">
        <v>2</v>
      </c>
      <c r="P26" t="n">
        <v>0</v>
      </c>
      <c r="Q26" t="n">
        <v>2</v>
      </c>
      <c r="R26" s="2" t="inlineStr">
        <is>
          <t>Entita
Rödvingetrast</t>
        </is>
      </c>
      <c r="S26">
        <f>HYPERLINK("https://klasma.github.io/Logging_0884/artfynd/A 40084-2023 artfynd.xlsx", "A 40084-2023")</f>
        <v/>
      </c>
      <c r="T26">
        <f>HYPERLINK("https://klasma.github.io/Logging_0884/kartor/A 40084-2023 karta.png", "A 40084-2023")</f>
        <v/>
      </c>
      <c r="V26">
        <f>HYPERLINK("https://klasma.github.io/Logging_0884/klagomål/A 40084-2023 FSC-klagomål.docx", "A 40084-2023")</f>
        <v/>
      </c>
      <c r="W26">
        <f>HYPERLINK("https://klasma.github.io/Logging_0884/klagomålsmail/A 40084-2023 FSC-klagomål mail.docx", "A 40084-2023")</f>
        <v/>
      </c>
      <c r="X26">
        <f>HYPERLINK("https://klasma.github.io/Logging_0884/tillsyn/A 40084-2023 tillsynsbegäran.docx", "A 40084-2023")</f>
        <v/>
      </c>
      <c r="Y26">
        <f>HYPERLINK("https://klasma.github.io/Logging_0884/tillsynsmail/A 40084-2023 tillsynsbegäran mail.docx", "A 40084-2023")</f>
        <v/>
      </c>
      <c r="Z26">
        <f>HYPERLINK("https://klasma.github.io/Logging_0884/fåglar/A 40084-2023 prioriterade fågelarter.docx", "A 40084-2023")</f>
        <v/>
      </c>
    </row>
    <row r="27" ht="15" customHeight="1">
      <c r="A27" t="inlineStr">
        <is>
          <t>A 25155-2026</t>
        </is>
      </c>
      <c r="B27" s="1" t="n">
        <v>46175</v>
      </c>
      <c r="C27" s="1" t="n">
        <v>46196</v>
      </c>
      <c r="D27" t="inlineStr">
        <is>
          <t>KALMAR LÄN</t>
        </is>
      </c>
      <c r="E27" t="inlineStr">
        <is>
          <t>VIMMERBY</t>
        </is>
      </c>
      <c r="G27" t="n">
        <v>2.9</v>
      </c>
      <c r="H27" t="n">
        <v>0</v>
      </c>
      <c r="I27" t="n">
        <v>1</v>
      </c>
      <c r="J27" t="n">
        <v>0</v>
      </c>
      <c r="K27" t="n">
        <v>1</v>
      </c>
      <c r="L27" t="n">
        <v>0</v>
      </c>
      <c r="M27" t="n">
        <v>0</v>
      </c>
      <c r="N27" t="n">
        <v>0</v>
      </c>
      <c r="O27" t="n">
        <v>1</v>
      </c>
      <c r="P27" t="n">
        <v>1</v>
      </c>
      <c r="Q27" t="n">
        <v>2</v>
      </c>
      <c r="R27" s="2" t="inlineStr">
        <is>
          <t>Ryl
Grönpyrola</t>
        </is>
      </c>
      <c r="S27">
        <f>HYPERLINK("https://klasma.github.io/Logging_0884/artfynd/A 25155-2026 artfynd.xlsx", "A 25155-2026")</f>
        <v/>
      </c>
      <c r="T27">
        <f>HYPERLINK("https://klasma.github.io/Logging_0884/kartor/A 25155-2026 karta.png", "A 25155-2026")</f>
        <v/>
      </c>
      <c r="V27">
        <f>HYPERLINK("https://klasma.github.io/Logging_0884/klagomål/A 25155-2026 FSC-klagomål.docx", "A 25155-2026")</f>
        <v/>
      </c>
      <c r="W27">
        <f>HYPERLINK("https://klasma.github.io/Logging_0884/klagomålsmail/A 25155-2026 FSC-klagomål mail.docx", "A 25155-2026")</f>
        <v/>
      </c>
      <c r="X27">
        <f>HYPERLINK("https://klasma.github.io/Logging_0884/tillsyn/A 25155-2026 tillsynsbegäran.docx", "A 25155-2026")</f>
        <v/>
      </c>
      <c r="Y27">
        <f>HYPERLINK("https://klasma.github.io/Logging_0884/tillsynsmail/A 25155-2026 tillsynsbegäran mail.docx", "A 25155-2026")</f>
        <v/>
      </c>
    </row>
    <row r="28" ht="15" customHeight="1">
      <c r="A28" t="inlineStr">
        <is>
          <t>A 22396-2025</t>
        </is>
      </c>
      <c r="B28" s="1" t="n">
        <v>45786</v>
      </c>
      <c r="C28" s="1" t="n">
        <v>46196</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row>
    <row r="29" ht="15" customHeight="1">
      <c r="A29" t="inlineStr">
        <is>
          <t>A 2604-2025</t>
        </is>
      </c>
      <c r="B29" s="1" t="n">
        <v>45674</v>
      </c>
      <c r="C29" s="1" t="n">
        <v>46196</v>
      </c>
      <c r="D29" t="inlineStr">
        <is>
          <t>KALMAR LÄN</t>
        </is>
      </c>
      <c r="E29" t="inlineStr">
        <is>
          <t>VIMMERBY</t>
        </is>
      </c>
      <c r="G29" t="n">
        <v>7.6</v>
      </c>
      <c r="H29" t="n">
        <v>0</v>
      </c>
      <c r="I29" t="n">
        <v>0</v>
      </c>
      <c r="J29" t="n">
        <v>2</v>
      </c>
      <c r="K29" t="n">
        <v>0</v>
      </c>
      <c r="L29" t="n">
        <v>0</v>
      </c>
      <c r="M29" t="n">
        <v>0</v>
      </c>
      <c r="N29" t="n">
        <v>0</v>
      </c>
      <c r="O29" t="n">
        <v>2</v>
      </c>
      <c r="P29" t="n">
        <v>0</v>
      </c>
      <c r="Q29" t="n">
        <v>2</v>
      </c>
      <c r="R29" s="2" t="inlineStr">
        <is>
          <t>Långfibbla
Spretfibbla</t>
        </is>
      </c>
      <c r="S29">
        <f>HYPERLINK("https://klasma.github.io/Logging_0884/artfynd/A 2604-2025 artfynd.xlsx", "A 2604-2025")</f>
        <v/>
      </c>
      <c r="T29">
        <f>HYPERLINK("https://klasma.github.io/Logging_0884/kartor/A 2604-2025 karta.png", "A 2604-2025")</f>
        <v/>
      </c>
      <c r="V29">
        <f>HYPERLINK("https://klasma.github.io/Logging_0884/klagomål/A 2604-2025 FSC-klagomål.docx", "A 2604-2025")</f>
        <v/>
      </c>
      <c r="W29">
        <f>HYPERLINK("https://klasma.github.io/Logging_0884/klagomålsmail/A 2604-2025 FSC-klagomål mail.docx", "A 2604-2025")</f>
        <v/>
      </c>
      <c r="X29">
        <f>HYPERLINK("https://klasma.github.io/Logging_0884/tillsyn/A 2604-2025 tillsynsbegäran.docx", "A 2604-2025")</f>
        <v/>
      </c>
      <c r="Y29">
        <f>HYPERLINK("https://klasma.github.io/Logging_0884/tillsynsmail/A 2604-2025 tillsynsbegäran mail.docx", "A 2604-2025")</f>
        <v/>
      </c>
    </row>
    <row r="30" ht="15" customHeight="1">
      <c r="A30" t="inlineStr">
        <is>
          <t>A 37930-2021</t>
        </is>
      </c>
      <c r="B30" s="1" t="n">
        <v>44403</v>
      </c>
      <c r="C30" s="1" t="n">
        <v>46196</v>
      </c>
      <c r="D30" t="inlineStr">
        <is>
          <t>KALMAR LÄN</t>
        </is>
      </c>
      <c r="E30" t="inlineStr">
        <is>
          <t>VIMMERBY</t>
        </is>
      </c>
      <c r="G30" t="n">
        <v>4.4</v>
      </c>
      <c r="H30" t="n">
        <v>1</v>
      </c>
      <c r="I30" t="n">
        <v>1</v>
      </c>
      <c r="J30" t="n">
        <v>1</v>
      </c>
      <c r="K30" t="n">
        <v>0</v>
      </c>
      <c r="L30" t="n">
        <v>0</v>
      </c>
      <c r="M30" t="n">
        <v>0</v>
      </c>
      <c r="N30" t="n">
        <v>0</v>
      </c>
      <c r="O30" t="n">
        <v>1</v>
      </c>
      <c r="P30" t="n">
        <v>0</v>
      </c>
      <c r="Q30" t="n">
        <v>2</v>
      </c>
      <c r="R30" s="2" t="inlineStr">
        <is>
          <t>Spindelört
Grön sköldmossa</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14024-2023</t>
        </is>
      </c>
      <c r="B31" s="1" t="n">
        <v>45008</v>
      </c>
      <c r="C31" s="1" t="n">
        <v>46196</v>
      </c>
      <c r="D31" t="inlineStr">
        <is>
          <t>KALMAR LÄN</t>
        </is>
      </c>
      <c r="E31" t="inlineStr">
        <is>
          <t>VIMMERBY</t>
        </is>
      </c>
      <c r="G31" t="n">
        <v>3.2</v>
      </c>
      <c r="H31" t="n">
        <v>1</v>
      </c>
      <c r="I31" t="n">
        <v>1</v>
      </c>
      <c r="J31" t="n">
        <v>0</v>
      </c>
      <c r="K31" t="n">
        <v>1</v>
      </c>
      <c r="L31" t="n">
        <v>0</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v>
      </c>
      <c r="C32" s="1" t="n">
        <v>46196</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46196</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16288-2022</t>
        </is>
      </c>
      <c r="B34" s="1" t="n">
        <v>44670</v>
      </c>
      <c r="C34" s="1" t="n">
        <v>46196</v>
      </c>
      <c r="D34" t="inlineStr">
        <is>
          <t>KALMAR LÄN</t>
        </is>
      </c>
      <c r="E34" t="inlineStr">
        <is>
          <t>VIMMERBY</t>
        </is>
      </c>
      <c r="G34" t="n">
        <v>1.7</v>
      </c>
      <c r="H34" t="n">
        <v>0</v>
      </c>
      <c r="I34" t="n">
        <v>1</v>
      </c>
      <c r="J34" t="n">
        <v>0</v>
      </c>
      <c r="K34" t="n">
        <v>0</v>
      </c>
      <c r="L34" t="n">
        <v>0</v>
      </c>
      <c r="M34" t="n">
        <v>0</v>
      </c>
      <c r="N34" t="n">
        <v>0</v>
      </c>
      <c r="O34" t="n">
        <v>0</v>
      </c>
      <c r="P34" t="n">
        <v>0</v>
      </c>
      <c r="Q34" t="n">
        <v>1</v>
      </c>
      <c r="R34" s="2" t="inlineStr">
        <is>
          <t>Sotlav</t>
        </is>
      </c>
      <c r="S34">
        <f>HYPERLINK("https://klasma.github.io/Logging_0884/artfynd/A 16288-2022 artfynd.xlsx", "A 16288-2022")</f>
        <v/>
      </c>
      <c r="T34">
        <f>HYPERLINK("https://klasma.github.io/Logging_0884/kartor/A 16288-2022 karta.png", "A 16288-2022")</f>
        <v/>
      </c>
      <c r="V34">
        <f>HYPERLINK("https://klasma.github.io/Logging_0884/klagomål/A 16288-2022 FSC-klagomål.docx", "A 16288-2022")</f>
        <v/>
      </c>
      <c r="W34">
        <f>HYPERLINK("https://klasma.github.io/Logging_0884/klagomålsmail/A 16288-2022 FSC-klagomål mail.docx", "A 16288-2022")</f>
        <v/>
      </c>
      <c r="X34">
        <f>HYPERLINK("https://klasma.github.io/Logging_0884/tillsyn/A 16288-2022 tillsynsbegäran.docx", "A 16288-2022")</f>
        <v/>
      </c>
      <c r="Y34">
        <f>HYPERLINK("https://klasma.github.io/Logging_0884/tillsynsmail/A 16288-2022 tillsynsbegäran mail.docx", "A 16288-2022")</f>
        <v/>
      </c>
    </row>
    <row r="35" ht="15" customHeight="1">
      <c r="A35" t="inlineStr">
        <is>
          <t>A 32396-2021</t>
        </is>
      </c>
      <c r="B35" s="1" t="n">
        <v>44371</v>
      </c>
      <c r="C35" s="1" t="n">
        <v>46196</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47473-2021</t>
        </is>
      </c>
      <c r="B36" s="1" t="n">
        <v>44447</v>
      </c>
      <c r="C36" s="1" t="n">
        <v>46196</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53404-2025</t>
        </is>
      </c>
      <c r="B37" s="1" t="n">
        <v>45959</v>
      </c>
      <c r="C37" s="1" t="n">
        <v>46196</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57062-2025</t>
        </is>
      </c>
      <c r="B38" s="1" t="n">
        <v>45979</v>
      </c>
      <c r="C38" s="1" t="n">
        <v>46196</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57062-2025 artfynd.xlsx", "A 57062-2025")</f>
        <v/>
      </c>
      <c r="T38">
        <f>HYPERLINK("https://klasma.github.io/Logging_0884/kartor/A 57062-2025 karta.png", "A 57062-2025")</f>
        <v/>
      </c>
      <c r="U38">
        <f>HYPERLINK("https://klasma.github.io/Logging_0884/knärot/A 57062-2025 karta knärot.png", "A 57062-2025")</f>
        <v/>
      </c>
      <c r="V38">
        <f>HYPERLINK("https://klasma.github.io/Logging_0884/klagomål/A 57062-2025 FSC-klagomål.docx", "A 57062-2025")</f>
        <v/>
      </c>
      <c r="W38">
        <f>HYPERLINK("https://klasma.github.io/Logging_0884/klagomålsmail/A 57062-2025 FSC-klagomål mail.docx", "A 57062-2025")</f>
        <v/>
      </c>
      <c r="X38">
        <f>HYPERLINK("https://klasma.github.io/Logging_0884/tillsyn/A 57062-2025 tillsynsbegäran.docx", "A 57062-2025")</f>
        <v/>
      </c>
      <c r="Y38">
        <f>HYPERLINK("https://klasma.github.io/Logging_0884/tillsynsmail/A 57062-2025 tillsynsbegäran mail.docx", "A 57062-2025")</f>
        <v/>
      </c>
    </row>
    <row r="39" ht="15" customHeight="1">
      <c r="A39" t="inlineStr">
        <is>
          <t>A 28852-2023</t>
        </is>
      </c>
      <c r="B39" s="1" t="n">
        <v>45104</v>
      </c>
      <c r="C39" s="1" t="n">
        <v>46196</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29183-2025</t>
        </is>
      </c>
      <c r="B40" s="1" t="n">
        <v>45821</v>
      </c>
      <c r="C40" s="1" t="n">
        <v>46196</v>
      </c>
      <c r="D40" t="inlineStr">
        <is>
          <t>KALMAR LÄN</t>
        </is>
      </c>
      <c r="E40" t="inlineStr">
        <is>
          <t>VIMMERBY</t>
        </is>
      </c>
      <c r="G40" t="n">
        <v>2.7</v>
      </c>
      <c r="H40" t="n">
        <v>0</v>
      </c>
      <c r="I40" t="n">
        <v>0</v>
      </c>
      <c r="J40" t="n">
        <v>1</v>
      </c>
      <c r="K40" t="n">
        <v>0</v>
      </c>
      <c r="L40" t="n">
        <v>0</v>
      </c>
      <c r="M40" t="n">
        <v>0</v>
      </c>
      <c r="N40" t="n">
        <v>0</v>
      </c>
      <c r="O40" t="n">
        <v>1</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52301-2023</t>
        </is>
      </c>
      <c r="B41" s="1" t="n">
        <v>45224</v>
      </c>
      <c r="C41" s="1" t="n">
        <v>46196</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13015-2023</t>
        </is>
      </c>
      <c r="B42" s="1" t="n">
        <v>45002</v>
      </c>
      <c r="C42" s="1" t="n">
        <v>46196</v>
      </c>
      <c r="D42" t="inlineStr">
        <is>
          <t>KALMAR LÄN</t>
        </is>
      </c>
      <c r="E42" t="inlineStr">
        <is>
          <t>VIMMERBY</t>
        </is>
      </c>
      <c r="G42" t="n">
        <v>3.2</v>
      </c>
      <c r="H42" t="n">
        <v>0</v>
      </c>
      <c r="I42" t="n">
        <v>0</v>
      </c>
      <c r="J42" t="n">
        <v>0</v>
      </c>
      <c r="K42" t="n">
        <v>1</v>
      </c>
      <c r="L42" t="n">
        <v>0</v>
      </c>
      <c r="M42" t="n">
        <v>0</v>
      </c>
      <c r="N42" t="n">
        <v>0</v>
      </c>
      <c r="O42" t="n">
        <v>1</v>
      </c>
      <c r="P42" t="n">
        <v>1</v>
      </c>
      <c r="Q42" t="n">
        <v>1</v>
      </c>
      <c r="R42" s="2" t="inlineStr">
        <is>
          <t>Bredbrämad bastardsvärmare</t>
        </is>
      </c>
      <c r="S42">
        <f>HYPERLINK("https://klasma.github.io/Logging_0884/artfynd/A 13015-2023 artfynd.xlsx", "A 13015-2023")</f>
        <v/>
      </c>
      <c r="T42">
        <f>HYPERLINK("https://klasma.github.io/Logging_0884/kartor/A 13015-2023 karta.png", "A 13015-2023")</f>
        <v/>
      </c>
      <c r="V42">
        <f>HYPERLINK("https://klasma.github.io/Logging_0884/klagomål/A 13015-2023 FSC-klagomål.docx", "A 13015-2023")</f>
        <v/>
      </c>
      <c r="W42">
        <f>HYPERLINK("https://klasma.github.io/Logging_0884/klagomålsmail/A 13015-2023 FSC-klagomål mail.docx", "A 13015-2023")</f>
        <v/>
      </c>
      <c r="X42">
        <f>HYPERLINK("https://klasma.github.io/Logging_0884/tillsyn/A 13015-2023 tillsynsbegäran.docx", "A 13015-2023")</f>
        <v/>
      </c>
      <c r="Y42">
        <f>HYPERLINK("https://klasma.github.io/Logging_0884/tillsynsmail/A 13015-2023 tillsynsbegäran mail.docx", "A 13015-2023")</f>
        <v/>
      </c>
    </row>
    <row r="43" ht="15" customHeight="1">
      <c r="A43" t="inlineStr">
        <is>
          <t>A 5527-2022</t>
        </is>
      </c>
      <c r="B43" s="1" t="n">
        <v>44595</v>
      </c>
      <c r="C43" s="1" t="n">
        <v>46196</v>
      </c>
      <c r="D43" t="inlineStr">
        <is>
          <t>KALMAR LÄN</t>
        </is>
      </c>
      <c r="E43" t="inlineStr">
        <is>
          <t>VIMMERBY</t>
        </is>
      </c>
      <c r="G43" t="n">
        <v>3.6</v>
      </c>
      <c r="H43" t="n">
        <v>0</v>
      </c>
      <c r="I43" t="n">
        <v>0</v>
      </c>
      <c r="J43" t="n">
        <v>1</v>
      </c>
      <c r="K43" t="n">
        <v>0</v>
      </c>
      <c r="L43" t="n">
        <v>0</v>
      </c>
      <c r="M43" t="n">
        <v>0</v>
      </c>
      <c r="N43" t="n">
        <v>0</v>
      </c>
      <c r="O43" t="n">
        <v>1</v>
      </c>
      <c r="P43" t="n">
        <v>0</v>
      </c>
      <c r="Q43" t="n">
        <v>1</v>
      </c>
      <c r="R43" s="2" t="inlineStr">
        <is>
          <t>Koralltaggsvamp</t>
        </is>
      </c>
      <c r="S43">
        <f>HYPERLINK("https://klasma.github.io/Logging_0884/artfynd/A 5527-2022 artfynd.xlsx", "A 5527-2022")</f>
        <v/>
      </c>
      <c r="T43">
        <f>HYPERLINK("https://klasma.github.io/Logging_0884/kartor/A 5527-2022 karta.png", "A 5527-2022")</f>
        <v/>
      </c>
      <c r="V43">
        <f>HYPERLINK("https://klasma.github.io/Logging_0884/klagomål/A 5527-2022 FSC-klagomål.docx", "A 5527-2022")</f>
        <v/>
      </c>
      <c r="W43">
        <f>HYPERLINK("https://klasma.github.io/Logging_0884/klagomålsmail/A 5527-2022 FSC-klagomål mail.docx", "A 5527-2022")</f>
        <v/>
      </c>
      <c r="X43">
        <f>HYPERLINK("https://klasma.github.io/Logging_0884/tillsyn/A 5527-2022 tillsynsbegäran.docx", "A 5527-2022")</f>
        <v/>
      </c>
      <c r="Y43">
        <f>HYPERLINK("https://klasma.github.io/Logging_0884/tillsynsmail/A 5527-2022 tillsynsbegäran mail.docx", "A 5527-2022")</f>
        <v/>
      </c>
    </row>
    <row r="44" ht="15" customHeight="1">
      <c r="A44" t="inlineStr">
        <is>
          <t>A 61860-2024</t>
        </is>
      </c>
      <c r="B44" s="1" t="n">
        <v>45649</v>
      </c>
      <c r="C44" s="1" t="n">
        <v>46196</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1201-2025</t>
        </is>
      </c>
      <c r="B45" s="1" t="n">
        <v>45667</v>
      </c>
      <c r="C45" s="1" t="n">
        <v>46196</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22266-2023</t>
        </is>
      </c>
      <c r="B46" s="1" t="n">
        <v>45070</v>
      </c>
      <c r="C46" s="1" t="n">
        <v>46196</v>
      </c>
      <c r="D46" t="inlineStr">
        <is>
          <t>KALMAR LÄN</t>
        </is>
      </c>
      <c r="E46" t="inlineStr">
        <is>
          <t>VIMMERBY</t>
        </is>
      </c>
      <c r="G46" t="n">
        <v>0.5</v>
      </c>
      <c r="H46" t="n">
        <v>0</v>
      </c>
      <c r="I46" t="n">
        <v>1</v>
      </c>
      <c r="J46" t="n">
        <v>0</v>
      </c>
      <c r="K46" t="n">
        <v>0</v>
      </c>
      <c r="L46" t="n">
        <v>0</v>
      </c>
      <c r="M46" t="n">
        <v>0</v>
      </c>
      <c r="N46" t="n">
        <v>0</v>
      </c>
      <c r="O46" t="n">
        <v>0</v>
      </c>
      <c r="P46" t="n">
        <v>0</v>
      </c>
      <c r="Q46" t="n">
        <v>1</v>
      </c>
      <c r="R46" s="2" t="inlineStr">
        <is>
          <t>Vätteros</t>
        </is>
      </c>
      <c r="S46">
        <f>HYPERLINK("https://klasma.github.io/Logging_0884/artfynd/A 22266-2023 artfynd.xlsx", "A 22266-2023")</f>
        <v/>
      </c>
      <c r="T46">
        <f>HYPERLINK("https://klasma.github.io/Logging_0884/kartor/A 22266-2023 karta.png", "A 22266-2023")</f>
        <v/>
      </c>
      <c r="V46">
        <f>HYPERLINK("https://klasma.github.io/Logging_0884/klagomål/A 22266-2023 FSC-klagomål.docx", "A 22266-2023")</f>
        <v/>
      </c>
      <c r="W46">
        <f>HYPERLINK("https://klasma.github.io/Logging_0884/klagomålsmail/A 22266-2023 FSC-klagomål mail.docx", "A 22266-2023")</f>
        <v/>
      </c>
      <c r="X46">
        <f>HYPERLINK("https://klasma.github.io/Logging_0884/tillsyn/A 22266-2023 tillsynsbegäran.docx", "A 22266-2023")</f>
        <v/>
      </c>
      <c r="Y46">
        <f>HYPERLINK("https://klasma.github.io/Logging_0884/tillsynsmail/A 22266-2023 tillsynsbegäran mail.docx", "A 22266-2023")</f>
        <v/>
      </c>
    </row>
    <row r="47" ht="15" customHeight="1">
      <c r="A47" t="inlineStr">
        <is>
          <t>A 32985-2023</t>
        </is>
      </c>
      <c r="B47" s="1" t="n">
        <v>45125</v>
      </c>
      <c r="C47" s="1" t="n">
        <v>46196</v>
      </c>
      <c r="D47" t="inlineStr">
        <is>
          <t>KALMAR LÄN</t>
        </is>
      </c>
      <c r="E47" t="inlineStr">
        <is>
          <t>VIMMERBY</t>
        </is>
      </c>
      <c r="G47" t="n">
        <v>1.9</v>
      </c>
      <c r="H47" t="n">
        <v>0</v>
      </c>
      <c r="I47" t="n">
        <v>0</v>
      </c>
      <c r="J47" t="n">
        <v>0</v>
      </c>
      <c r="K47" t="n">
        <v>1</v>
      </c>
      <c r="L47" t="n">
        <v>0</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v>
      </c>
      <c r="C48" s="1" t="n">
        <v>46196</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17511-2024</t>
        </is>
      </c>
      <c r="B49" s="1" t="n">
        <v>45415</v>
      </c>
      <c r="C49" s="1" t="n">
        <v>46196</v>
      </c>
      <c r="D49" t="inlineStr">
        <is>
          <t>KALMAR LÄN</t>
        </is>
      </c>
      <c r="E49" t="inlineStr">
        <is>
          <t>VIMMERBY</t>
        </is>
      </c>
      <c r="G49" t="n">
        <v>5.3</v>
      </c>
      <c r="H49" t="n">
        <v>0</v>
      </c>
      <c r="I49" t="n">
        <v>0</v>
      </c>
      <c r="J49" t="n">
        <v>1</v>
      </c>
      <c r="K49" t="n">
        <v>0</v>
      </c>
      <c r="L49" t="n">
        <v>0</v>
      </c>
      <c r="M49" t="n">
        <v>0</v>
      </c>
      <c r="N49" t="n">
        <v>0</v>
      </c>
      <c r="O49" t="n">
        <v>1</v>
      </c>
      <c r="P49" t="n">
        <v>0</v>
      </c>
      <c r="Q49" t="n">
        <v>1</v>
      </c>
      <c r="R49" s="2" t="inlineStr">
        <is>
          <t>Sydspärgel</t>
        </is>
      </c>
      <c r="S49">
        <f>HYPERLINK("https://klasma.github.io/Logging_0884/artfynd/A 17511-2024 artfynd.xlsx", "A 17511-2024")</f>
        <v/>
      </c>
      <c r="T49">
        <f>HYPERLINK("https://klasma.github.io/Logging_0884/kartor/A 17511-2024 karta.png", "A 17511-2024")</f>
        <v/>
      </c>
      <c r="V49">
        <f>HYPERLINK("https://klasma.github.io/Logging_0884/klagomål/A 17511-2024 FSC-klagomål.docx", "A 17511-2024")</f>
        <v/>
      </c>
      <c r="W49">
        <f>HYPERLINK("https://klasma.github.io/Logging_0884/klagomålsmail/A 17511-2024 FSC-klagomål mail.docx", "A 17511-2024")</f>
        <v/>
      </c>
      <c r="X49">
        <f>HYPERLINK("https://klasma.github.io/Logging_0884/tillsyn/A 17511-2024 tillsynsbegäran.docx", "A 17511-2024")</f>
        <v/>
      </c>
      <c r="Y49">
        <f>HYPERLINK("https://klasma.github.io/Logging_0884/tillsynsmail/A 17511-2024 tillsynsbegäran mail.docx", "A 17511-2024")</f>
        <v/>
      </c>
    </row>
    <row r="50" ht="15" customHeight="1">
      <c r="A50" t="inlineStr">
        <is>
          <t>A 6358-2022</t>
        </is>
      </c>
      <c r="B50" s="1" t="n">
        <v>44600</v>
      </c>
      <c r="C50" s="1" t="n">
        <v>46196</v>
      </c>
      <c r="D50" t="inlineStr">
        <is>
          <t>KALMAR LÄN</t>
        </is>
      </c>
      <c r="E50" t="inlineStr">
        <is>
          <t>VIMMERBY</t>
        </is>
      </c>
      <c r="G50" t="n">
        <v>1.7</v>
      </c>
      <c r="H50" t="n">
        <v>1</v>
      </c>
      <c r="I50" t="n">
        <v>1</v>
      </c>
      <c r="J50" t="n">
        <v>0</v>
      </c>
      <c r="K50" t="n">
        <v>0</v>
      </c>
      <c r="L50" t="n">
        <v>0</v>
      </c>
      <c r="M50" t="n">
        <v>0</v>
      </c>
      <c r="N50" t="n">
        <v>0</v>
      </c>
      <c r="O50" t="n">
        <v>0</v>
      </c>
      <c r="P50" t="n">
        <v>0</v>
      </c>
      <c r="Q50" t="n">
        <v>1</v>
      </c>
      <c r="R50" s="2" t="inlineStr">
        <is>
          <t>Ekoxe</t>
        </is>
      </c>
      <c r="S50">
        <f>HYPERLINK("https://klasma.github.io/Logging_0884/artfynd/A 6358-2022 artfynd.xlsx", "A 6358-2022")</f>
        <v/>
      </c>
      <c r="T50">
        <f>HYPERLINK("https://klasma.github.io/Logging_0884/kartor/A 6358-2022 karta.png", "A 6358-2022")</f>
        <v/>
      </c>
      <c r="V50">
        <f>HYPERLINK("https://klasma.github.io/Logging_0884/klagomål/A 6358-2022 FSC-klagomål.docx", "A 6358-2022")</f>
        <v/>
      </c>
      <c r="W50">
        <f>HYPERLINK("https://klasma.github.io/Logging_0884/klagomålsmail/A 6358-2022 FSC-klagomål mail.docx", "A 6358-2022")</f>
        <v/>
      </c>
      <c r="X50">
        <f>HYPERLINK("https://klasma.github.io/Logging_0884/tillsyn/A 6358-2022 tillsynsbegäran.docx", "A 6358-2022")</f>
        <v/>
      </c>
      <c r="Y50">
        <f>HYPERLINK("https://klasma.github.io/Logging_0884/tillsynsmail/A 6358-2022 tillsynsbegäran mail.docx", "A 6358-2022")</f>
        <v/>
      </c>
    </row>
    <row r="51" ht="15" customHeight="1">
      <c r="A51" t="inlineStr">
        <is>
          <t>A 33436-2021</t>
        </is>
      </c>
      <c r="B51" s="1" t="n">
        <v>44377</v>
      </c>
      <c r="C51" s="1" t="n">
        <v>46196</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v>
      </c>
      <c r="C52" s="1" t="n">
        <v>46196</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47205-2021</t>
        </is>
      </c>
      <c r="B53" s="1" t="n">
        <v>44447</v>
      </c>
      <c r="C53" s="1" t="n">
        <v>46196</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v>
      </c>
      <c r="C54" s="1" t="n">
        <v>46196</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v>
      </c>
      <c r="C55" s="1" t="n">
        <v>46196</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v>
      </c>
      <c r="C56" s="1" t="n">
        <v>46196</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46196</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46196</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63926-2021</t>
        </is>
      </c>
      <c r="B59" s="1" t="n">
        <v>44509</v>
      </c>
      <c r="C59" s="1" t="n">
        <v>46196</v>
      </c>
      <c r="D59" t="inlineStr">
        <is>
          <t>KALMAR LÄN</t>
        </is>
      </c>
      <c r="E59" t="inlineStr">
        <is>
          <t>VIMMERBY</t>
        </is>
      </c>
      <c r="G59" t="n">
        <v>0.7</v>
      </c>
      <c r="H59" t="n">
        <v>0</v>
      </c>
      <c r="I59" t="n">
        <v>0</v>
      </c>
      <c r="J59" t="n">
        <v>0</v>
      </c>
      <c r="K59" t="n">
        <v>0</v>
      </c>
      <c r="L59" t="n">
        <v>0</v>
      </c>
      <c r="M59" t="n">
        <v>0</v>
      </c>
      <c r="N59" t="n">
        <v>0</v>
      </c>
      <c r="O59" t="n">
        <v>0</v>
      </c>
      <c r="P59" t="n">
        <v>0</v>
      </c>
      <c r="Q59" t="n">
        <v>0</v>
      </c>
      <c r="R59" s="2" t="inlineStr"/>
    </row>
    <row r="60" ht="15" customHeight="1">
      <c r="A60" t="inlineStr">
        <is>
          <t>A 38348-2021</t>
        </is>
      </c>
      <c r="B60" s="1" t="n">
        <v>44406</v>
      </c>
      <c r="C60" s="1" t="n">
        <v>46196</v>
      </c>
      <c r="D60" t="inlineStr">
        <is>
          <t>KALMAR LÄN</t>
        </is>
      </c>
      <c r="E60" t="inlineStr">
        <is>
          <t>VIMMERBY</t>
        </is>
      </c>
      <c r="G60" t="n">
        <v>2.2</v>
      </c>
      <c r="H60" t="n">
        <v>0</v>
      </c>
      <c r="I60" t="n">
        <v>0</v>
      </c>
      <c r="J60" t="n">
        <v>0</v>
      </c>
      <c r="K60" t="n">
        <v>0</v>
      </c>
      <c r="L60" t="n">
        <v>0</v>
      </c>
      <c r="M60" t="n">
        <v>0</v>
      </c>
      <c r="N60" t="n">
        <v>0</v>
      </c>
      <c r="O60" t="n">
        <v>0</v>
      </c>
      <c r="P60" t="n">
        <v>0</v>
      </c>
      <c r="Q60" t="n">
        <v>0</v>
      </c>
      <c r="R60" s="2" t="inlineStr"/>
    </row>
    <row r="61" ht="15" customHeight="1">
      <c r="A61" t="inlineStr">
        <is>
          <t>A 56378-2021</t>
        </is>
      </c>
      <c r="B61" s="1" t="n">
        <v>44480</v>
      </c>
      <c r="C61" s="1" t="n">
        <v>46196</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3426-2022</t>
        </is>
      </c>
      <c r="B62" s="1" t="n">
        <v>44585</v>
      </c>
      <c r="C62" s="1" t="n">
        <v>46196</v>
      </c>
      <c r="D62" t="inlineStr">
        <is>
          <t>KALMAR LÄN</t>
        </is>
      </c>
      <c r="E62" t="inlineStr">
        <is>
          <t>VIMMERBY</t>
        </is>
      </c>
      <c r="G62" t="n">
        <v>1.8</v>
      </c>
      <c r="H62" t="n">
        <v>0</v>
      </c>
      <c r="I62" t="n">
        <v>0</v>
      </c>
      <c r="J62" t="n">
        <v>0</v>
      </c>
      <c r="K62" t="n">
        <v>0</v>
      </c>
      <c r="L62" t="n">
        <v>0</v>
      </c>
      <c r="M62" t="n">
        <v>0</v>
      </c>
      <c r="N62" t="n">
        <v>0</v>
      </c>
      <c r="O62" t="n">
        <v>0</v>
      </c>
      <c r="P62" t="n">
        <v>0</v>
      </c>
      <c r="Q62" t="n">
        <v>0</v>
      </c>
      <c r="R62" s="2" t="inlineStr"/>
    </row>
    <row r="63" ht="15" customHeight="1">
      <c r="A63" t="inlineStr">
        <is>
          <t>A 40728-2022</t>
        </is>
      </c>
      <c r="B63" s="1" t="n">
        <v>44824</v>
      </c>
      <c r="C63" s="1" t="n">
        <v>46196</v>
      </c>
      <c r="D63" t="inlineStr">
        <is>
          <t>KALMAR LÄN</t>
        </is>
      </c>
      <c r="E63" t="inlineStr">
        <is>
          <t>VIMMERBY</t>
        </is>
      </c>
      <c r="G63" t="n">
        <v>1.1</v>
      </c>
      <c r="H63" t="n">
        <v>0</v>
      </c>
      <c r="I63" t="n">
        <v>0</v>
      </c>
      <c r="J63" t="n">
        <v>0</v>
      </c>
      <c r="K63" t="n">
        <v>0</v>
      </c>
      <c r="L63" t="n">
        <v>0</v>
      </c>
      <c r="M63" t="n">
        <v>0</v>
      </c>
      <c r="N63" t="n">
        <v>0</v>
      </c>
      <c r="O63" t="n">
        <v>0</v>
      </c>
      <c r="P63" t="n">
        <v>0</v>
      </c>
      <c r="Q63" t="n">
        <v>0</v>
      </c>
      <c r="R63" s="2" t="inlineStr"/>
    </row>
    <row r="64" ht="15" customHeight="1">
      <c r="A64" t="inlineStr">
        <is>
          <t>A 40073-2021</t>
        </is>
      </c>
      <c r="B64" s="1" t="n">
        <v>44418</v>
      </c>
      <c r="C64" s="1" t="n">
        <v>46196</v>
      </c>
      <c r="D64" t="inlineStr">
        <is>
          <t>KALMAR LÄN</t>
        </is>
      </c>
      <c r="E64" t="inlineStr">
        <is>
          <t>VIMMERBY</t>
        </is>
      </c>
      <c r="G64" t="n">
        <v>1</v>
      </c>
      <c r="H64" t="n">
        <v>0</v>
      </c>
      <c r="I64" t="n">
        <v>0</v>
      </c>
      <c r="J64" t="n">
        <v>0</v>
      </c>
      <c r="K64" t="n">
        <v>0</v>
      </c>
      <c r="L64" t="n">
        <v>0</v>
      </c>
      <c r="M64" t="n">
        <v>0</v>
      </c>
      <c r="N64" t="n">
        <v>0</v>
      </c>
      <c r="O64" t="n">
        <v>0</v>
      </c>
      <c r="P64" t="n">
        <v>0</v>
      </c>
      <c r="Q64" t="n">
        <v>0</v>
      </c>
      <c r="R64" s="2" t="inlineStr"/>
    </row>
    <row r="65" ht="15" customHeight="1">
      <c r="A65" t="inlineStr">
        <is>
          <t>A 41438-2022</t>
        </is>
      </c>
      <c r="B65" s="1" t="n">
        <v>44826</v>
      </c>
      <c r="C65" s="1" t="n">
        <v>46196</v>
      </c>
      <c r="D65" t="inlineStr">
        <is>
          <t>KALMAR LÄN</t>
        </is>
      </c>
      <c r="E65" t="inlineStr">
        <is>
          <t>VIMMERBY</t>
        </is>
      </c>
      <c r="G65" t="n">
        <v>3.1</v>
      </c>
      <c r="H65" t="n">
        <v>0</v>
      </c>
      <c r="I65" t="n">
        <v>0</v>
      </c>
      <c r="J65" t="n">
        <v>0</v>
      </c>
      <c r="K65" t="n">
        <v>0</v>
      </c>
      <c r="L65" t="n">
        <v>0</v>
      </c>
      <c r="M65" t="n">
        <v>0</v>
      </c>
      <c r="N65" t="n">
        <v>0</v>
      </c>
      <c r="O65" t="n">
        <v>0</v>
      </c>
      <c r="P65" t="n">
        <v>0</v>
      </c>
      <c r="Q65" t="n">
        <v>0</v>
      </c>
      <c r="R65" s="2" t="inlineStr"/>
    </row>
    <row r="66" ht="15" customHeight="1">
      <c r="A66" t="inlineStr">
        <is>
          <t>A 2183-2022</t>
        </is>
      </c>
      <c r="B66" s="1" t="n">
        <v>44578</v>
      </c>
      <c r="C66" s="1" t="n">
        <v>46196</v>
      </c>
      <c r="D66" t="inlineStr">
        <is>
          <t>KALMAR LÄN</t>
        </is>
      </c>
      <c r="E66" t="inlineStr">
        <is>
          <t>VIMMERBY</t>
        </is>
      </c>
      <c r="G66" t="n">
        <v>4.8</v>
      </c>
      <c r="H66" t="n">
        <v>0</v>
      </c>
      <c r="I66" t="n">
        <v>0</v>
      </c>
      <c r="J66" t="n">
        <v>0</v>
      </c>
      <c r="K66" t="n">
        <v>0</v>
      </c>
      <c r="L66" t="n">
        <v>0</v>
      </c>
      <c r="M66" t="n">
        <v>0</v>
      </c>
      <c r="N66" t="n">
        <v>0</v>
      </c>
      <c r="O66" t="n">
        <v>0</v>
      </c>
      <c r="P66" t="n">
        <v>0</v>
      </c>
      <c r="Q66" t="n">
        <v>0</v>
      </c>
      <c r="R66" s="2" t="inlineStr"/>
    </row>
    <row r="67" ht="15" customHeight="1">
      <c r="A67" t="inlineStr">
        <is>
          <t>A 65670-2021</t>
        </is>
      </c>
      <c r="B67" s="1" t="n">
        <v>44516</v>
      </c>
      <c r="C67" s="1" t="n">
        <v>46196</v>
      </c>
      <c r="D67" t="inlineStr">
        <is>
          <t>KALMAR LÄN</t>
        </is>
      </c>
      <c r="E67" t="inlineStr">
        <is>
          <t>VIMMERBY</t>
        </is>
      </c>
      <c r="G67" t="n">
        <v>1.9</v>
      </c>
      <c r="H67" t="n">
        <v>0</v>
      </c>
      <c r="I67" t="n">
        <v>0</v>
      </c>
      <c r="J67" t="n">
        <v>0</v>
      </c>
      <c r="K67" t="n">
        <v>0</v>
      </c>
      <c r="L67" t="n">
        <v>0</v>
      </c>
      <c r="M67" t="n">
        <v>0</v>
      </c>
      <c r="N67" t="n">
        <v>0</v>
      </c>
      <c r="O67" t="n">
        <v>0</v>
      </c>
      <c r="P67" t="n">
        <v>0</v>
      </c>
      <c r="Q67" t="n">
        <v>0</v>
      </c>
      <c r="R67" s="2" t="inlineStr"/>
    </row>
    <row r="68" ht="15" customHeight="1">
      <c r="A68" t="inlineStr">
        <is>
          <t>A 50809-2022</t>
        </is>
      </c>
      <c r="B68" s="1" t="n">
        <v>44862</v>
      </c>
      <c r="C68" s="1" t="n">
        <v>46196</v>
      </c>
      <c r="D68" t="inlineStr">
        <is>
          <t>KALMAR LÄN</t>
        </is>
      </c>
      <c r="E68" t="inlineStr">
        <is>
          <t>VIMMERBY</t>
        </is>
      </c>
      <c r="G68" t="n">
        <v>3.7</v>
      </c>
      <c r="H68" t="n">
        <v>0</v>
      </c>
      <c r="I68" t="n">
        <v>0</v>
      </c>
      <c r="J68" t="n">
        <v>0</v>
      </c>
      <c r="K68" t="n">
        <v>0</v>
      </c>
      <c r="L68" t="n">
        <v>0</v>
      </c>
      <c r="M68" t="n">
        <v>0</v>
      </c>
      <c r="N68" t="n">
        <v>0</v>
      </c>
      <c r="O68" t="n">
        <v>0</v>
      </c>
      <c r="P68" t="n">
        <v>0</v>
      </c>
      <c r="Q68" t="n">
        <v>0</v>
      </c>
      <c r="R68" s="2" t="inlineStr"/>
    </row>
    <row r="69" ht="15" customHeight="1">
      <c r="A69" t="inlineStr">
        <is>
          <t>A 33051-2022</t>
        </is>
      </c>
      <c r="B69" s="1" t="n">
        <v>44785</v>
      </c>
      <c r="C69" s="1" t="n">
        <v>46196</v>
      </c>
      <c r="D69" t="inlineStr">
        <is>
          <t>KALMAR LÄN</t>
        </is>
      </c>
      <c r="E69" t="inlineStr">
        <is>
          <t>VIMMERBY</t>
        </is>
      </c>
      <c r="G69" t="n">
        <v>0.3</v>
      </c>
      <c r="H69" t="n">
        <v>0</v>
      </c>
      <c r="I69" t="n">
        <v>0</v>
      </c>
      <c r="J69" t="n">
        <v>0</v>
      </c>
      <c r="K69" t="n">
        <v>0</v>
      </c>
      <c r="L69" t="n">
        <v>0</v>
      </c>
      <c r="M69" t="n">
        <v>0</v>
      </c>
      <c r="N69" t="n">
        <v>0</v>
      </c>
      <c r="O69" t="n">
        <v>0</v>
      </c>
      <c r="P69" t="n">
        <v>0</v>
      </c>
      <c r="Q69" t="n">
        <v>0</v>
      </c>
      <c r="R69" s="2" t="inlineStr"/>
    </row>
    <row r="70" ht="15" customHeight="1">
      <c r="A70" t="inlineStr">
        <is>
          <t>A 7049-2022</t>
        </is>
      </c>
      <c r="B70" s="1" t="n">
        <v>44603</v>
      </c>
      <c r="C70" s="1" t="n">
        <v>46196</v>
      </c>
      <c r="D70" t="inlineStr">
        <is>
          <t>KALMAR LÄN</t>
        </is>
      </c>
      <c r="E70" t="inlineStr">
        <is>
          <t>VIMMERBY</t>
        </is>
      </c>
      <c r="G70" t="n">
        <v>2.3</v>
      </c>
      <c r="H70" t="n">
        <v>0</v>
      </c>
      <c r="I70" t="n">
        <v>0</v>
      </c>
      <c r="J70" t="n">
        <v>0</v>
      </c>
      <c r="K70" t="n">
        <v>0</v>
      </c>
      <c r="L70" t="n">
        <v>0</v>
      </c>
      <c r="M70" t="n">
        <v>0</v>
      </c>
      <c r="N70" t="n">
        <v>0</v>
      </c>
      <c r="O70" t="n">
        <v>0</v>
      </c>
      <c r="P70" t="n">
        <v>0</v>
      </c>
      <c r="Q70" t="n">
        <v>0</v>
      </c>
      <c r="R70" s="2" t="inlineStr"/>
    </row>
    <row r="71" ht="15" customHeight="1">
      <c r="A71" t="inlineStr">
        <is>
          <t>A 4296-2022</t>
        </is>
      </c>
      <c r="B71" s="1" t="n">
        <v>44588</v>
      </c>
      <c r="C71" s="1" t="n">
        <v>46196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38086-2021</t>
        </is>
      </c>
      <c r="B72" s="1" t="n">
        <v>44404</v>
      </c>
      <c r="C72" s="1" t="n">
        <v>46196</v>
      </c>
      <c r="D72" t="inlineStr">
        <is>
          <t>KALMAR LÄN</t>
        </is>
      </c>
      <c r="E72" t="inlineStr">
        <is>
          <t>VIMMERBY</t>
        </is>
      </c>
      <c r="G72" t="n">
        <v>4.4</v>
      </c>
      <c r="H72" t="n">
        <v>0</v>
      </c>
      <c r="I72" t="n">
        <v>0</v>
      </c>
      <c r="J72" t="n">
        <v>0</v>
      </c>
      <c r="K72" t="n">
        <v>0</v>
      </c>
      <c r="L72" t="n">
        <v>0</v>
      </c>
      <c r="M72" t="n">
        <v>0</v>
      </c>
      <c r="N72" t="n">
        <v>0</v>
      </c>
      <c r="O72" t="n">
        <v>0</v>
      </c>
      <c r="P72" t="n">
        <v>0</v>
      </c>
      <c r="Q72" t="n">
        <v>0</v>
      </c>
      <c r="R72" s="2" t="inlineStr"/>
    </row>
    <row r="73" ht="15" customHeight="1">
      <c r="A73" t="inlineStr">
        <is>
          <t>A 59791-2021</t>
        </is>
      </c>
      <c r="B73" s="1" t="n">
        <v>44494</v>
      </c>
      <c r="C73" s="1" t="n">
        <v>46196</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57416-2021</t>
        </is>
      </c>
      <c r="B74" s="1" t="n">
        <v>44483</v>
      </c>
      <c r="C74" s="1" t="n">
        <v>46196</v>
      </c>
      <c r="D74" t="inlineStr">
        <is>
          <t>KALMAR LÄN</t>
        </is>
      </c>
      <c r="E74" t="inlineStr">
        <is>
          <t>VIMMERBY</t>
        </is>
      </c>
      <c r="G74" t="n">
        <v>2.9</v>
      </c>
      <c r="H74" t="n">
        <v>0</v>
      </c>
      <c r="I74" t="n">
        <v>0</v>
      </c>
      <c r="J74" t="n">
        <v>0</v>
      </c>
      <c r="K74" t="n">
        <v>0</v>
      </c>
      <c r="L74" t="n">
        <v>0</v>
      </c>
      <c r="M74" t="n">
        <v>0</v>
      </c>
      <c r="N74" t="n">
        <v>0</v>
      </c>
      <c r="O74" t="n">
        <v>0</v>
      </c>
      <c r="P74" t="n">
        <v>0</v>
      </c>
      <c r="Q74" t="n">
        <v>0</v>
      </c>
      <c r="R74" s="2" t="inlineStr"/>
    </row>
    <row r="75" ht="15" customHeight="1">
      <c r="A75" t="inlineStr">
        <is>
          <t>A 64923-2021</t>
        </is>
      </c>
      <c r="B75" s="1" t="n">
        <v>44512</v>
      </c>
      <c r="C75" s="1" t="n">
        <v>46196</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33829-2022</t>
        </is>
      </c>
      <c r="B76" s="1" t="n">
        <v>44790</v>
      </c>
      <c r="C76" s="1" t="n">
        <v>46196</v>
      </c>
      <c r="D76" t="inlineStr">
        <is>
          <t>KALMAR LÄN</t>
        </is>
      </c>
      <c r="E76" t="inlineStr">
        <is>
          <t>VIMMERBY</t>
        </is>
      </c>
      <c r="G76" t="n">
        <v>1.6</v>
      </c>
      <c r="H76" t="n">
        <v>0</v>
      </c>
      <c r="I76" t="n">
        <v>0</v>
      </c>
      <c r="J76" t="n">
        <v>0</v>
      </c>
      <c r="K76" t="n">
        <v>0</v>
      </c>
      <c r="L76" t="n">
        <v>0</v>
      </c>
      <c r="M76" t="n">
        <v>0</v>
      </c>
      <c r="N76" t="n">
        <v>0</v>
      </c>
      <c r="O76" t="n">
        <v>0</v>
      </c>
      <c r="P76" t="n">
        <v>0</v>
      </c>
      <c r="Q76" t="n">
        <v>0</v>
      </c>
      <c r="R76" s="2" t="inlineStr"/>
    </row>
    <row r="77" ht="15" customHeight="1">
      <c r="A77" t="inlineStr">
        <is>
          <t>A 71626-2021</t>
        </is>
      </c>
      <c r="B77" s="1" t="n">
        <v>44542</v>
      </c>
      <c r="C77" s="1" t="n">
        <v>46196</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68840-2021</t>
        </is>
      </c>
      <c r="B78" s="1" t="n">
        <v>44530</v>
      </c>
      <c r="C78" s="1" t="n">
        <v>46196</v>
      </c>
      <c r="D78" t="inlineStr">
        <is>
          <t>KALMAR LÄN</t>
        </is>
      </c>
      <c r="E78" t="inlineStr">
        <is>
          <t>VIMMERBY</t>
        </is>
      </c>
      <c r="G78" t="n">
        <v>1.4</v>
      </c>
      <c r="H78" t="n">
        <v>0</v>
      </c>
      <c r="I78" t="n">
        <v>0</v>
      </c>
      <c r="J78" t="n">
        <v>0</v>
      </c>
      <c r="K78" t="n">
        <v>0</v>
      </c>
      <c r="L78" t="n">
        <v>0</v>
      </c>
      <c r="M78" t="n">
        <v>0</v>
      </c>
      <c r="N78" t="n">
        <v>0</v>
      </c>
      <c r="O78" t="n">
        <v>0</v>
      </c>
      <c r="P78" t="n">
        <v>0</v>
      </c>
      <c r="Q78" t="n">
        <v>0</v>
      </c>
      <c r="R78" s="2" t="inlineStr"/>
    </row>
    <row r="79" ht="15" customHeight="1">
      <c r="A79" t="inlineStr">
        <is>
          <t>A 4118-2022</t>
        </is>
      </c>
      <c r="B79" s="1" t="n">
        <v>44588</v>
      </c>
      <c r="C79" s="1" t="n">
        <v>46196</v>
      </c>
      <c r="D79" t="inlineStr">
        <is>
          <t>KALMAR LÄN</t>
        </is>
      </c>
      <c r="E79" t="inlineStr">
        <is>
          <t>VIMMERBY</t>
        </is>
      </c>
      <c r="G79" t="n">
        <v>0.5</v>
      </c>
      <c r="H79" t="n">
        <v>0</v>
      </c>
      <c r="I79" t="n">
        <v>0</v>
      </c>
      <c r="J79" t="n">
        <v>0</v>
      </c>
      <c r="K79" t="n">
        <v>0</v>
      </c>
      <c r="L79" t="n">
        <v>0</v>
      </c>
      <c r="M79" t="n">
        <v>0</v>
      </c>
      <c r="N79" t="n">
        <v>0</v>
      </c>
      <c r="O79" t="n">
        <v>0</v>
      </c>
      <c r="P79" t="n">
        <v>0</v>
      </c>
      <c r="Q79" t="n">
        <v>0</v>
      </c>
      <c r="R79" s="2" t="inlineStr"/>
    </row>
    <row r="80" ht="15" customHeight="1">
      <c r="A80" t="inlineStr">
        <is>
          <t>A 4126-2022</t>
        </is>
      </c>
      <c r="B80" s="1" t="n">
        <v>44588</v>
      </c>
      <c r="C80" s="1" t="n">
        <v>46196</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33820-2022</t>
        </is>
      </c>
      <c r="B81" s="1" t="n">
        <v>44790</v>
      </c>
      <c r="C81" s="1" t="n">
        <v>46196</v>
      </c>
      <c r="D81" t="inlineStr">
        <is>
          <t>KALMAR LÄN</t>
        </is>
      </c>
      <c r="E81" t="inlineStr">
        <is>
          <t>VIMMERBY</t>
        </is>
      </c>
      <c r="G81" t="n">
        <v>3</v>
      </c>
      <c r="H81" t="n">
        <v>0</v>
      </c>
      <c r="I81" t="n">
        <v>0</v>
      </c>
      <c r="J81" t="n">
        <v>0</v>
      </c>
      <c r="K81" t="n">
        <v>0</v>
      </c>
      <c r="L81" t="n">
        <v>0</v>
      </c>
      <c r="M81" t="n">
        <v>0</v>
      </c>
      <c r="N81" t="n">
        <v>0</v>
      </c>
      <c r="O81" t="n">
        <v>0</v>
      </c>
      <c r="P81" t="n">
        <v>0</v>
      </c>
      <c r="Q81" t="n">
        <v>0</v>
      </c>
      <c r="R81" s="2" t="inlineStr"/>
    </row>
    <row r="82" ht="15" customHeight="1">
      <c r="A82" t="inlineStr">
        <is>
          <t>A 33824-2022</t>
        </is>
      </c>
      <c r="B82" s="1" t="n">
        <v>44790</v>
      </c>
      <c r="C82" s="1" t="n">
        <v>46196</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55297-2021</t>
        </is>
      </c>
      <c r="B83" s="1" t="n">
        <v>44475</v>
      </c>
      <c r="C83" s="1" t="n">
        <v>46196</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35531-2021</t>
        </is>
      </c>
      <c r="B84" s="1" t="n">
        <v>44385</v>
      </c>
      <c r="C84" s="1" t="n">
        <v>46196</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38789-2021</t>
        </is>
      </c>
      <c r="B85" s="1" t="n">
        <v>44410</v>
      </c>
      <c r="C85" s="1" t="n">
        <v>46196</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16290-2022</t>
        </is>
      </c>
      <c r="B86" s="1" t="n">
        <v>44670</v>
      </c>
      <c r="C86" s="1" t="n">
        <v>46196</v>
      </c>
      <c r="D86" t="inlineStr">
        <is>
          <t>KALMAR LÄN</t>
        </is>
      </c>
      <c r="E86" t="inlineStr">
        <is>
          <t>VIMMERBY</t>
        </is>
      </c>
      <c r="G86" t="n">
        <v>1.2</v>
      </c>
      <c r="H86" t="n">
        <v>0</v>
      </c>
      <c r="I86" t="n">
        <v>0</v>
      </c>
      <c r="J86" t="n">
        <v>0</v>
      </c>
      <c r="K86" t="n">
        <v>0</v>
      </c>
      <c r="L86" t="n">
        <v>0</v>
      </c>
      <c r="M86" t="n">
        <v>0</v>
      </c>
      <c r="N86" t="n">
        <v>0</v>
      </c>
      <c r="O86" t="n">
        <v>0</v>
      </c>
      <c r="P86" t="n">
        <v>0</v>
      </c>
      <c r="Q86" t="n">
        <v>0</v>
      </c>
      <c r="R86" s="2" t="inlineStr"/>
    </row>
    <row r="87" ht="15" customHeight="1">
      <c r="A87" t="inlineStr">
        <is>
          <t>A 25049-2022</t>
        </is>
      </c>
      <c r="B87" s="1" t="n">
        <v>44729</v>
      </c>
      <c r="C87" s="1" t="n">
        <v>46196</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46196</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46196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46196</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v>
      </c>
      <c r="C91" s="1" t="n">
        <v>46196</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v>
      </c>
      <c r="C92" s="1" t="n">
        <v>46196</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46196</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v>
      </c>
      <c r="C94" s="1" t="n">
        <v>46196</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46196</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46196</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46196</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46196</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v>
      </c>
      <c r="C99" s="1" t="n">
        <v>46196</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46196</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v>
      </c>
      <c r="C101" s="1" t="n">
        <v>46196</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v>
      </c>
      <c r="C102" s="1" t="n">
        <v>46196</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46196</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46196</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7917-2022</t>
        </is>
      </c>
      <c r="B105" s="1" t="n">
        <v>44608</v>
      </c>
      <c r="C105" s="1" t="n">
        <v>46196</v>
      </c>
      <c r="D105" t="inlineStr">
        <is>
          <t>KALMAR LÄN</t>
        </is>
      </c>
      <c r="E105" t="inlineStr">
        <is>
          <t>VIMMERBY</t>
        </is>
      </c>
      <c r="G105" t="n">
        <v>0.6</v>
      </c>
      <c r="H105" t="n">
        <v>0</v>
      </c>
      <c r="I105" t="n">
        <v>0</v>
      </c>
      <c r="J105" t="n">
        <v>0</v>
      </c>
      <c r="K105" t="n">
        <v>0</v>
      </c>
      <c r="L105" t="n">
        <v>0</v>
      </c>
      <c r="M105" t="n">
        <v>0</v>
      </c>
      <c r="N105" t="n">
        <v>0</v>
      </c>
      <c r="O105" t="n">
        <v>0</v>
      </c>
      <c r="P105" t="n">
        <v>0</v>
      </c>
      <c r="Q105" t="n">
        <v>0</v>
      </c>
      <c r="R105" s="2" t="inlineStr"/>
    </row>
    <row r="106" ht="15" customHeight="1">
      <c r="A106" t="inlineStr">
        <is>
          <t>A 47208-2021</t>
        </is>
      </c>
      <c r="B106" s="1" t="n">
        <v>44447</v>
      </c>
      <c r="C106" s="1" t="n">
        <v>46196</v>
      </c>
      <c r="D106" t="inlineStr">
        <is>
          <t>KALMAR LÄN</t>
        </is>
      </c>
      <c r="E106" t="inlineStr">
        <is>
          <t>VIMMERBY</t>
        </is>
      </c>
      <c r="G106" t="n">
        <v>1.4</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46196</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v>
      </c>
      <c r="C108" s="1" t="n">
        <v>46196</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46196</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46196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46196</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46196</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v>
      </c>
      <c r="C113" s="1" t="n">
        <v>46196</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v>
      </c>
      <c r="C114" s="1" t="n">
        <v>46196</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46196</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46196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40077-2021</t>
        </is>
      </c>
      <c r="B117" s="1" t="n">
        <v>44418</v>
      </c>
      <c r="C117" s="1" t="n">
        <v>46196</v>
      </c>
      <c r="D117" t="inlineStr">
        <is>
          <t>KALMAR LÄN</t>
        </is>
      </c>
      <c r="E117" t="inlineStr">
        <is>
          <t>VIMMERBY</t>
        </is>
      </c>
      <c r="G117" t="n">
        <v>2.9</v>
      </c>
      <c r="H117" t="n">
        <v>0</v>
      </c>
      <c r="I117" t="n">
        <v>0</v>
      </c>
      <c r="J117" t="n">
        <v>0</v>
      </c>
      <c r="K117" t="n">
        <v>0</v>
      </c>
      <c r="L117" t="n">
        <v>0</v>
      </c>
      <c r="M117" t="n">
        <v>0</v>
      </c>
      <c r="N117" t="n">
        <v>0</v>
      </c>
      <c r="O117" t="n">
        <v>0</v>
      </c>
      <c r="P117" t="n">
        <v>0</v>
      </c>
      <c r="Q117" t="n">
        <v>0</v>
      </c>
      <c r="R117" s="2" t="inlineStr"/>
    </row>
    <row r="118" ht="15" customHeight="1">
      <c r="A118" t="inlineStr">
        <is>
          <t>A 47769-2022</t>
        </is>
      </c>
      <c r="B118" s="1" t="n">
        <v>44854</v>
      </c>
      <c r="C118" s="1" t="n">
        <v>46196</v>
      </c>
      <c r="D118" t="inlineStr">
        <is>
          <t>KALMAR LÄN</t>
        </is>
      </c>
      <c r="E118" t="inlineStr">
        <is>
          <t>VIMMERBY</t>
        </is>
      </c>
      <c r="G118" t="n">
        <v>1.1</v>
      </c>
      <c r="H118" t="n">
        <v>0</v>
      </c>
      <c r="I118" t="n">
        <v>0</v>
      </c>
      <c r="J118" t="n">
        <v>0</v>
      </c>
      <c r="K118" t="n">
        <v>0</v>
      </c>
      <c r="L118" t="n">
        <v>0</v>
      </c>
      <c r="M118" t="n">
        <v>0</v>
      </c>
      <c r="N118" t="n">
        <v>0</v>
      </c>
      <c r="O118" t="n">
        <v>0</v>
      </c>
      <c r="P118" t="n">
        <v>0</v>
      </c>
      <c r="Q118" t="n">
        <v>0</v>
      </c>
      <c r="R118" s="2" t="inlineStr"/>
    </row>
    <row r="119" ht="15" customHeight="1">
      <c r="A119" t="inlineStr">
        <is>
          <t>A 55674-2021</t>
        </is>
      </c>
      <c r="B119" s="1" t="n">
        <v>44476</v>
      </c>
      <c r="C119" s="1" t="n">
        <v>46196</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v>
      </c>
      <c r="C120" s="1" t="n">
        <v>46196</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46196</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46196</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v>
      </c>
      <c r="C123" s="1" t="n">
        <v>46196</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v>
      </c>
      <c r="C124" s="1" t="n">
        <v>46196</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46196</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v>
      </c>
      <c r="C126" s="1" t="n">
        <v>46196</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41056-2022</t>
        </is>
      </c>
      <c r="B127" s="1" t="n">
        <v>44824</v>
      </c>
      <c r="C127" s="1" t="n">
        <v>46196</v>
      </c>
      <c r="D127" t="inlineStr">
        <is>
          <t>KALMAR LÄN</t>
        </is>
      </c>
      <c r="E127" t="inlineStr">
        <is>
          <t>VIMMERBY</t>
        </is>
      </c>
      <c r="G127" t="n">
        <v>0.8</v>
      </c>
      <c r="H127" t="n">
        <v>0</v>
      </c>
      <c r="I127" t="n">
        <v>0</v>
      </c>
      <c r="J127" t="n">
        <v>0</v>
      </c>
      <c r="K127" t="n">
        <v>0</v>
      </c>
      <c r="L127" t="n">
        <v>0</v>
      </c>
      <c r="M127" t="n">
        <v>0</v>
      </c>
      <c r="N127" t="n">
        <v>0</v>
      </c>
      <c r="O127" t="n">
        <v>0</v>
      </c>
      <c r="P127" t="n">
        <v>0</v>
      </c>
      <c r="Q127" t="n">
        <v>0</v>
      </c>
      <c r="R127" s="2" t="inlineStr"/>
    </row>
    <row r="128" ht="15" customHeight="1">
      <c r="A128" t="inlineStr">
        <is>
          <t>A 27455-2022</t>
        </is>
      </c>
      <c r="B128" s="1" t="n">
        <v>44742</v>
      </c>
      <c r="C128" s="1" t="n">
        <v>46196</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32603-2021</t>
        </is>
      </c>
      <c r="B129" s="1" t="n">
        <v>44375</v>
      </c>
      <c r="C129" s="1" t="n">
        <v>46196</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36117-2021</t>
        </is>
      </c>
      <c r="B130" s="1" t="n">
        <v>44386</v>
      </c>
      <c r="C130" s="1" t="n">
        <v>46196</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42521-2021</t>
        </is>
      </c>
      <c r="B131" s="1" t="n">
        <v>44427</v>
      </c>
      <c r="C131" s="1" t="n">
        <v>46196</v>
      </c>
      <c r="D131" t="inlineStr">
        <is>
          <t>KALMAR LÄN</t>
        </is>
      </c>
      <c r="E131" t="inlineStr">
        <is>
          <t>VIMMERBY</t>
        </is>
      </c>
      <c r="G131" t="n">
        <v>5.4</v>
      </c>
      <c r="H131" t="n">
        <v>0</v>
      </c>
      <c r="I131" t="n">
        <v>0</v>
      </c>
      <c r="J131" t="n">
        <v>0</v>
      </c>
      <c r="K131" t="n">
        <v>0</v>
      </c>
      <c r="L131" t="n">
        <v>0</v>
      </c>
      <c r="M131" t="n">
        <v>0</v>
      </c>
      <c r="N131" t="n">
        <v>0</v>
      </c>
      <c r="O131" t="n">
        <v>0</v>
      </c>
      <c r="P131" t="n">
        <v>0</v>
      </c>
      <c r="Q131" t="n">
        <v>0</v>
      </c>
      <c r="R131" s="2" t="inlineStr"/>
    </row>
    <row r="132" ht="15" customHeight="1">
      <c r="A132" t="inlineStr">
        <is>
          <t>A 46964-2022</t>
        </is>
      </c>
      <c r="B132" s="1" t="n">
        <v>44851</v>
      </c>
      <c r="C132" s="1" t="n">
        <v>46196</v>
      </c>
      <c r="D132" t="inlineStr">
        <is>
          <t>KALMAR LÄN</t>
        </is>
      </c>
      <c r="E132" t="inlineStr">
        <is>
          <t>VIMMERBY</t>
        </is>
      </c>
      <c r="G132" t="n">
        <v>0.2</v>
      </c>
      <c r="H132" t="n">
        <v>0</v>
      </c>
      <c r="I132" t="n">
        <v>0</v>
      </c>
      <c r="J132" t="n">
        <v>0</v>
      </c>
      <c r="K132" t="n">
        <v>0</v>
      </c>
      <c r="L132" t="n">
        <v>0</v>
      </c>
      <c r="M132" t="n">
        <v>0</v>
      </c>
      <c r="N132" t="n">
        <v>0</v>
      </c>
      <c r="O132" t="n">
        <v>0</v>
      </c>
      <c r="P132" t="n">
        <v>0</v>
      </c>
      <c r="Q132" t="n">
        <v>0</v>
      </c>
      <c r="R132" s="2" t="inlineStr"/>
    </row>
    <row r="133" ht="15" customHeight="1">
      <c r="A133" t="inlineStr">
        <is>
          <t>A 13180-2022</t>
        </is>
      </c>
      <c r="B133" s="1" t="n">
        <v>44644</v>
      </c>
      <c r="C133" s="1" t="n">
        <v>46196</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10086-2022</t>
        </is>
      </c>
      <c r="B134" s="1" t="n">
        <v>44621</v>
      </c>
      <c r="C134" s="1" t="n">
        <v>46196</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53145-2022</t>
        </is>
      </c>
      <c r="B135" s="1" t="n">
        <v>44876</v>
      </c>
      <c r="C135" s="1" t="n">
        <v>46196</v>
      </c>
      <c r="D135" t="inlineStr">
        <is>
          <t>KALMAR LÄN</t>
        </is>
      </c>
      <c r="E135" t="inlineStr">
        <is>
          <t>VIMMERBY</t>
        </is>
      </c>
      <c r="G135" t="n">
        <v>0.4</v>
      </c>
      <c r="H135" t="n">
        <v>0</v>
      </c>
      <c r="I135" t="n">
        <v>0</v>
      </c>
      <c r="J135" t="n">
        <v>0</v>
      </c>
      <c r="K135" t="n">
        <v>0</v>
      </c>
      <c r="L135" t="n">
        <v>0</v>
      </c>
      <c r="M135" t="n">
        <v>0</v>
      </c>
      <c r="N135" t="n">
        <v>0</v>
      </c>
      <c r="O135" t="n">
        <v>0</v>
      </c>
      <c r="P135" t="n">
        <v>0</v>
      </c>
      <c r="Q135" t="n">
        <v>0</v>
      </c>
      <c r="R135" s="2" t="inlineStr"/>
    </row>
    <row r="136" ht="15" customHeight="1">
      <c r="A136" t="inlineStr">
        <is>
          <t>A 25738-2022</t>
        </is>
      </c>
      <c r="B136" s="1" t="n">
        <v>44733</v>
      </c>
      <c r="C136" s="1" t="n">
        <v>46196</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8194-2022</t>
        </is>
      </c>
      <c r="B137" s="1" t="n">
        <v>44609</v>
      </c>
      <c r="C137" s="1" t="n">
        <v>46196</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40971-2021</t>
        </is>
      </c>
      <c r="B138" s="1" t="n">
        <v>44421</v>
      </c>
      <c r="C138" s="1" t="n">
        <v>46196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8453-2022</t>
        </is>
      </c>
      <c r="B139" s="1" t="n">
        <v>44612</v>
      </c>
      <c r="C139" s="1" t="n">
        <v>46196</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52433-2021</t>
        </is>
      </c>
      <c r="B140" s="1" t="n">
        <v>44466</v>
      </c>
      <c r="C140" s="1" t="n">
        <v>46196</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50621-2022</t>
        </is>
      </c>
      <c r="B141" s="1" t="n">
        <v>44866</v>
      </c>
      <c r="C141" s="1" t="n">
        <v>46196</v>
      </c>
      <c r="D141" t="inlineStr">
        <is>
          <t>KALMAR LÄN</t>
        </is>
      </c>
      <c r="E141" t="inlineStr">
        <is>
          <t>VIMMERBY</t>
        </is>
      </c>
      <c r="F141" t="inlineStr">
        <is>
          <t>Övriga Aktiebolag</t>
        </is>
      </c>
      <c r="G141" t="n">
        <v>5.1</v>
      </c>
      <c r="H141" t="n">
        <v>0</v>
      </c>
      <c r="I141" t="n">
        <v>0</v>
      </c>
      <c r="J141" t="n">
        <v>0</v>
      </c>
      <c r="K141" t="n">
        <v>0</v>
      </c>
      <c r="L141" t="n">
        <v>0</v>
      </c>
      <c r="M141" t="n">
        <v>0</v>
      </c>
      <c r="N141" t="n">
        <v>0</v>
      </c>
      <c r="O141" t="n">
        <v>0</v>
      </c>
      <c r="P141" t="n">
        <v>0</v>
      </c>
      <c r="Q141" t="n">
        <v>0</v>
      </c>
      <c r="R141" s="2" t="inlineStr"/>
    </row>
    <row r="142" ht="15" customHeight="1">
      <c r="A142" t="inlineStr">
        <is>
          <t>A 54065-2021</t>
        </is>
      </c>
      <c r="B142" s="1" t="n">
        <v>44470</v>
      </c>
      <c r="C142" s="1" t="n">
        <v>46196</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31824-2022</t>
        </is>
      </c>
      <c r="B143" s="1" t="n">
        <v>44776</v>
      </c>
      <c r="C143" s="1" t="n">
        <v>46196</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7804-2022</t>
        </is>
      </c>
      <c r="B144" s="1" t="n">
        <v>44608</v>
      </c>
      <c r="C144" s="1" t="n">
        <v>46196</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39042-2022</t>
        </is>
      </c>
      <c r="B145" s="1" t="n">
        <v>44817</v>
      </c>
      <c r="C145" s="1" t="n">
        <v>46196</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4076-2022</t>
        </is>
      </c>
      <c r="B146" s="1" t="n">
        <v>44588</v>
      </c>
      <c r="C146" s="1" t="n">
        <v>46196</v>
      </c>
      <c r="D146" t="inlineStr">
        <is>
          <t>KALMAR LÄN</t>
        </is>
      </c>
      <c r="E146" t="inlineStr">
        <is>
          <t>VIMMERBY</t>
        </is>
      </c>
      <c r="G146" t="n">
        <v>3</v>
      </c>
      <c r="H146" t="n">
        <v>0</v>
      </c>
      <c r="I146" t="n">
        <v>0</v>
      </c>
      <c r="J146" t="n">
        <v>0</v>
      </c>
      <c r="K146" t="n">
        <v>0</v>
      </c>
      <c r="L146" t="n">
        <v>0</v>
      </c>
      <c r="M146" t="n">
        <v>0</v>
      </c>
      <c r="N146" t="n">
        <v>0</v>
      </c>
      <c r="O146" t="n">
        <v>0</v>
      </c>
      <c r="P146" t="n">
        <v>0</v>
      </c>
      <c r="Q146" t="n">
        <v>0</v>
      </c>
      <c r="R146" s="2" t="inlineStr"/>
    </row>
    <row r="147" ht="15" customHeight="1">
      <c r="A147" t="inlineStr">
        <is>
          <t>A 4122-2022</t>
        </is>
      </c>
      <c r="B147" s="1" t="n">
        <v>44588</v>
      </c>
      <c r="C147" s="1" t="n">
        <v>46196</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11733-2022</t>
        </is>
      </c>
      <c r="B148" s="1" t="n">
        <v>44634</v>
      </c>
      <c r="C148" s="1" t="n">
        <v>46196</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16983-2023</t>
        </is>
      </c>
      <c r="B149" s="1" t="n">
        <v>45033</v>
      </c>
      <c r="C149" s="1" t="n">
        <v>46196</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46144-2023</t>
        </is>
      </c>
      <c r="B150" s="1" t="n">
        <v>45196</v>
      </c>
      <c r="C150" s="1" t="n">
        <v>46196</v>
      </c>
      <c r="D150" t="inlineStr">
        <is>
          <t>KALMAR LÄN</t>
        </is>
      </c>
      <c r="E150" t="inlineStr">
        <is>
          <t>VIMMERBY</t>
        </is>
      </c>
      <c r="G150" t="n">
        <v>6.5</v>
      </c>
      <c r="H150" t="n">
        <v>0</v>
      </c>
      <c r="I150" t="n">
        <v>0</v>
      </c>
      <c r="J150" t="n">
        <v>0</v>
      </c>
      <c r="K150" t="n">
        <v>0</v>
      </c>
      <c r="L150" t="n">
        <v>0</v>
      </c>
      <c r="M150" t="n">
        <v>0</v>
      </c>
      <c r="N150" t="n">
        <v>0</v>
      </c>
      <c r="O150" t="n">
        <v>0</v>
      </c>
      <c r="P150" t="n">
        <v>0</v>
      </c>
      <c r="Q150" t="n">
        <v>0</v>
      </c>
      <c r="R150" s="2" t="inlineStr"/>
    </row>
    <row r="151" ht="15" customHeight="1">
      <c r="A151" t="inlineStr">
        <is>
          <t>A 30402-2023</t>
        </is>
      </c>
      <c r="B151" s="1" t="n">
        <v>45111</v>
      </c>
      <c r="C151" s="1" t="n">
        <v>46196</v>
      </c>
      <c r="D151" t="inlineStr">
        <is>
          <t>KALMAR LÄN</t>
        </is>
      </c>
      <c r="E151" t="inlineStr">
        <is>
          <t>VIMMERBY</t>
        </is>
      </c>
      <c r="G151" t="n">
        <v>0.7</v>
      </c>
      <c r="H151" t="n">
        <v>0</v>
      </c>
      <c r="I151" t="n">
        <v>0</v>
      </c>
      <c r="J151" t="n">
        <v>0</v>
      </c>
      <c r="K151" t="n">
        <v>0</v>
      </c>
      <c r="L151" t="n">
        <v>0</v>
      </c>
      <c r="M151" t="n">
        <v>0</v>
      </c>
      <c r="N151" t="n">
        <v>0</v>
      </c>
      <c r="O151" t="n">
        <v>0</v>
      </c>
      <c r="P151" t="n">
        <v>0</v>
      </c>
      <c r="Q151" t="n">
        <v>0</v>
      </c>
      <c r="R151" s="2" t="inlineStr"/>
    </row>
    <row r="152" ht="15" customHeight="1">
      <c r="A152" t="inlineStr">
        <is>
          <t>A 11609-2023</t>
        </is>
      </c>
      <c r="B152" s="1" t="n">
        <v>44994</v>
      </c>
      <c r="C152" s="1" t="n">
        <v>46196</v>
      </c>
      <c r="D152" t="inlineStr">
        <is>
          <t>KALMAR LÄN</t>
        </is>
      </c>
      <c r="E152" t="inlineStr">
        <is>
          <t>VIMMERBY</t>
        </is>
      </c>
      <c r="G152" t="n">
        <v>4.9</v>
      </c>
      <c r="H152" t="n">
        <v>0</v>
      </c>
      <c r="I152" t="n">
        <v>0</v>
      </c>
      <c r="J152" t="n">
        <v>0</v>
      </c>
      <c r="K152" t="n">
        <v>0</v>
      </c>
      <c r="L152" t="n">
        <v>0</v>
      </c>
      <c r="M152" t="n">
        <v>0</v>
      </c>
      <c r="N152" t="n">
        <v>0</v>
      </c>
      <c r="O152" t="n">
        <v>0</v>
      </c>
      <c r="P152" t="n">
        <v>0</v>
      </c>
      <c r="Q152" t="n">
        <v>0</v>
      </c>
      <c r="R152" s="2" t="inlineStr"/>
    </row>
    <row r="153" ht="15" customHeight="1">
      <c r="A153" t="inlineStr">
        <is>
          <t>A 58962-2022</t>
        </is>
      </c>
      <c r="B153" s="1" t="n">
        <v>44903</v>
      </c>
      <c r="C153" s="1" t="n">
        <v>46196</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7643-2022</t>
        </is>
      </c>
      <c r="B154" s="1" t="n">
        <v>44607</v>
      </c>
      <c r="C154" s="1" t="n">
        <v>46196</v>
      </c>
      <c r="D154" t="inlineStr">
        <is>
          <t>KALMAR LÄN</t>
        </is>
      </c>
      <c r="E154" t="inlineStr">
        <is>
          <t>VIMMERBY</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56213-2024</t>
        </is>
      </c>
      <c r="B155" s="1" t="n">
        <v>45624</v>
      </c>
      <c r="C155" s="1" t="n">
        <v>46196</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54409-2024</t>
        </is>
      </c>
      <c r="B156" s="1" t="n">
        <v>45617</v>
      </c>
      <c r="C156" s="1" t="n">
        <v>46196</v>
      </c>
      <c r="D156" t="inlineStr">
        <is>
          <t>KALMAR LÄN</t>
        </is>
      </c>
      <c r="E156" t="inlineStr">
        <is>
          <t>VIMMERBY</t>
        </is>
      </c>
      <c r="G156" t="n">
        <v>4.3</v>
      </c>
      <c r="H156" t="n">
        <v>0</v>
      </c>
      <c r="I156" t="n">
        <v>0</v>
      </c>
      <c r="J156" t="n">
        <v>0</v>
      </c>
      <c r="K156" t="n">
        <v>0</v>
      </c>
      <c r="L156" t="n">
        <v>0</v>
      </c>
      <c r="M156" t="n">
        <v>0</v>
      </c>
      <c r="N156" t="n">
        <v>0</v>
      </c>
      <c r="O156" t="n">
        <v>0</v>
      </c>
      <c r="P156" t="n">
        <v>0</v>
      </c>
      <c r="Q156" t="n">
        <v>0</v>
      </c>
      <c r="R156" s="2" t="inlineStr"/>
    </row>
    <row r="157" ht="15" customHeight="1">
      <c r="A157" t="inlineStr">
        <is>
          <t>A 11027-2023</t>
        </is>
      </c>
      <c r="B157" s="1" t="n">
        <v>44991</v>
      </c>
      <c r="C157" s="1" t="n">
        <v>46196</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16825-2024</t>
        </is>
      </c>
      <c r="B158" s="1" t="n">
        <v>45411</v>
      </c>
      <c r="C158" s="1" t="n">
        <v>46196</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10837-2023</t>
        </is>
      </c>
      <c r="B159" s="1" t="n">
        <v>44991</v>
      </c>
      <c r="C159" s="1" t="n">
        <v>46196</v>
      </c>
      <c r="D159" t="inlineStr">
        <is>
          <t>KALMAR LÄN</t>
        </is>
      </c>
      <c r="E159" t="inlineStr">
        <is>
          <t>VIMMERBY</t>
        </is>
      </c>
      <c r="G159" t="n">
        <v>7.3</v>
      </c>
      <c r="H159" t="n">
        <v>0</v>
      </c>
      <c r="I159" t="n">
        <v>0</v>
      </c>
      <c r="J159" t="n">
        <v>0</v>
      </c>
      <c r="K159" t="n">
        <v>0</v>
      </c>
      <c r="L159" t="n">
        <v>0</v>
      </c>
      <c r="M159" t="n">
        <v>0</v>
      </c>
      <c r="N159" t="n">
        <v>0</v>
      </c>
      <c r="O159" t="n">
        <v>0</v>
      </c>
      <c r="P159" t="n">
        <v>0</v>
      </c>
      <c r="Q159" t="n">
        <v>0</v>
      </c>
      <c r="R159" s="2" t="inlineStr"/>
    </row>
    <row r="160" ht="15" customHeight="1">
      <c r="A160" t="inlineStr">
        <is>
          <t>A 10838-2023</t>
        </is>
      </c>
      <c r="B160" s="1" t="n">
        <v>44991</v>
      </c>
      <c r="C160" s="1" t="n">
        <v>46196</v>
      </c>
      <c r="D160" t="inlineStr">
        <is>
          <t>KALMAR LÄN</t>
        </is>
      </c>
      <c r="E160" t="inlineStr">
        <is>
          <t>VIMMERBY</t>
        </is>
      </c>
      <c r="G160" t="n">
        <v>5.1</v>
      </c>
      <c r="H160" t="n">
        <v>0</v>
      </c>
      <c r="I160" t="n">
        <v>0</v>
      </c>
      <c r="J160" t="n">
        <v>0</v>
      </c>
      <c r="K160" t="n">
        <v>0</v>
      </c>
      <c r="L160" t="n">
        <v>0</v>
      </c>
      <c r="M160" t="n">
        <v>0</v>
      </c>
      <c r="N160" t="n">
        <v>0</v>
      </c>
      <c r="O160" t="n">
        <v>0</v>
      </c>
      <c r="P160" t="n">
        <v>0</v>
      </c>
      <c r="Q160" t="n">
        <v>0</v>
      </c>
      <c r="R160" s="2" t="inlineStr"/>
    </row>
    <row r="161" ht="15" customHeight="1">
      <c r="A161" t="inlineStr">
        <is>
          <t>A 31382-2023</t>
        </is>
      </c>
      <c r="B161" s="1" t="n">
        <v>45114</v>
      </c>
      <c r="C161" s="1" t="n">
        <v>46196</v>
      </c>
      <c r="D161" t="inlineStr">
        <is>
          <t>KALMAR LÄN</t>
        </is>
      </c>
      <c r="E161" t="inlineStr">
        <is>
          <t>VIMMERBY</t>
        </is>
      </c>
      <c r="G161" t="n">
        <v>3.7</v>
      </c>
      <c r="H161" t="n">
        <v>0</v>
      </c>
      <c r="I161" t="n">
        <v>0</v>
      </c>
      <c r="J161" t="n">
        <v>0</v>
      </c>
      <c r="K161" t="n">
        <v>0</v>
      </c>
      <c r="L161" t="n">
        <v>0</v>
      </c>
      <c r="M161" t="n">
        <v>0</v>
      </c>
      <c r="N161" t="n">
        <v>0</v>
      </c>
      <c r="O161" t="n">
        <v>0</v>
      </c>
      <c r="P161" t="n">
        <v>0</v>
      </c>
      <c r="Q161" t="n">
        <v>0</v>
      </c>
      <c r="R161" s="2" t="inlineStr"/>
    </row>
    <row r="162" ht="15" customHeight="1">
      <c r="A162" t="inlineStr">
        <is>
          <t>A 53483-2022</t>
        </is>
      </c>
      <c r="B162" s="1" t="n">
        <v>44879</v>
      </c>
      <c r="C162" s="1" t="n">
        <v>46196</v>
      </c>
      <c r="D162" t="inlineStr">
        <is>
          <t>KALMAR LÄN</t>
        </is>
      </c>
      <c r="E162" t="inlineStr">
        <is>
          <t>VIMMERBY</t>
        </is>
      </c>
      <c r="G162" t="n">
        <v>1.4</v>
      </c>
      <c r="H162" t="n">
        <v>0</v>
      </c>
      <c r="I162" t="n">
        <v>0</v>
      </c>
      <c r="J162" t="n">
        <v>0</v>
      </c>
      <c r="K162" t="n">
        <v>0</v>
      </c>
      <c r="L162" t="n">
        <v>0</v>
      </c>
      <c r="M162" t="n">
        <v>0</v>
      </c>
      <c r="N162" t="n">
        <v>0</v>
      </c>
      <c r="O162" t="n">
        <v>0</v>
      </c>
      <c r="P162" t="n">
        <v>0</v>
      </c>
      <c r="Q162" t="n">
        <v>0</v>
      </c>
      <c r="R162" s="2" t="inlineStr"/>
    </row>
    <row r="163" ht="15" customHeight="1">
      <c r="A163" t="inlineStr">
        <is>
          <t>A 19537-2022</t>
        </is>
      </c>
      <c r="B163" s="1" t="n">
        <v>44693</v>
      </c>
      <c r="C163" s="1" t="n">
        <v>46196</v>
      </c>
      <c r="D163" t="inlineStr">
        <is>
          <t>KALMAR LÄN</t>
        </is>
      </c>
      <c r="E163" t="inlineStr">
        <is>
          <t>VIMMERBY</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19162-2023</t>
        </is>
      </c>
      <c r="B164" s="1" t="n">
        <v>45048</v>
      </c>
      <c r="C164" s="1" t="n">
        <v>46196</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9475-2023</t>
        </is>
      </c>
      <c r="B165" s="1" t="n">
        <v>44981</v>
      </c>
      <c r="C165" s="1" t="n">
        <v>46196</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51062-2025</t>
        </is>
      </c>
      <c r="B166" s="1" t="n">
        <v>45947</v>
      </c>
      <c r="C166" s="1" t="n">
        <v>46196</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25582-2024</t>
        </is>
      </c>
      <c r="B167" s="1" t="n">
        <v>45463</v>
      </c>
      <c r="C167" s="1" t="n">
        <v>46196</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51990-2025</t>
        </is>
      </c>
      <c r="B168" s="1" t="n">
        <v>45952</v>
      </c>
      <c r="C168" s="1" t="n">
        <v>46196</v>
      </c>
      <c r="D168" t="inlineStr">
        <is>
          <t>KALMAR LÄN</t>
        </is>
      </c>
      <c r="E168" t="inlineStr">
        <is>
          <t>VIMMERBY</t>
        </is>
      </c>
      <c r="G168" t="n">
        <v>2.4</v>
      </c>
      <c r="H168" t="n">
        <v>0</v>
      </c>
      <c r="I168" t="n">
        <v>0</v>
      </c>
      <c r="J168" t="n">
        <v>0</v>
      </c>
      <c r="K168" t="n">
        <v>0</v>
      </c>
      <c r="L168" t="n">
        <v>0</v>
      </c>
      <c r="M168" t="n">
        <v>0</v>
      </c>
      <c r="N168" t="n">
        <v>0</v>
      </c>
      <c r="O168" t="n">
        <v>0</v>
      </c>
      <c r="P168" t="n">
        <v>0</v>
      </c>
      <c r="Q168" t="n">
        <v>0</v>
      </c>
      <c r="R168" s="2" t="inlineStr"/>
    </row>
    <row r="169" ht="15" customHeight="1">
      <c r="A169" t="inlineStr">
        <is>
          <t>A 57578-2024</t>
        </is>
      </c>
      <c r="B169" s="1" t="n">
        <v>45630</v>
      </c>
      <c r="C169" s="1" t="n">
        <v>46196</v>
      </c>
      <c r="D169" t="inlineStr">
        <is>
          <t>KALMAR LÄN</t>
        </is>
      </c>
      <c r="E169" t="inlineStr">
        <is>
          <t>VIMMERBY</t>
        </is>
      </c>
      <c r="G169" t="n">
        <v>2.6</v>
      </c>
      <c r="H169" t="n">
        <v>0</v>
      </c>
      <c r="I169" t="n">
        <v>0</v>
      </c>
      <c r="J169" t="n">
        <v>0</v>
      </c>
      <c r="K169" t="n">
        <v>0</v>
      </c>
      <c r="L169" t="n">
        <v>0</v>
      </c>
      <c r="M169" t="n">
        <v>0</v>
      </c>
      <c r="N169" t="n">
        <v>0</v>
      </c>
      <c r="O169" t="n">
        <v>0</v>
      </c>
      <c r="P169" t="n">
        <v>0</v>
      </c>
      <c r="Q169" t="n">
        <v>0</v>
      </c>
      <c r="R169" s="2" t="inlineStr"/>
    </row>
    <row r="170" ht="15" customHeight="1">
      <c r="A170" t="inlineStr">
        <is>
          <t>A 6307-2025</t>
        </is>
      </c>
      <c r="B170" s="1" t="n">
        <v>45698</v>
      </c>
      <c r="C170" s="1" t="n">
        <v>46196</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11442-2025</t>
        </is>
      </c>
      <c r="B171" s="1" t="n">
        <v>45726</v>
      </c>
      <c r="C171" s="1" t="n">
        <v>46196</v>
      </c>
      <c r="D171" t="inlineStr">
        <is>
          <t>KALMAR LÄN</t>
        </is>
      </c>
      <c r="E171" t="inlineStr">
        <is>
          <t>VIMMERBY</t>
        </is>
      </c>
      <c r="G171" t="n">
        <v>2.6</v>
      </c>
      <c r="H171" t="n">
        <v>0</v>
      </c>
      <c r="I171" t="n">
        <v>0</v>
      </c>
      <c r="J171" t="n">
        <v>0</v>
      </c>
      <c r="K171" t="n">
        <v>0</v>
      </c>
      <c r="L171" t="n">
        <v>0</v>
      </c>
      <c r="M171" t="n">
        <v>0</v>
      </c>
      <c r="N171" t="n">
        <v>0</v>
      </c>
      <c r="O171" t="n">
        <v>0</v>
      </c>
      <c r="P171" t="n">
        <v>0</v>
      </c>
      <c r="Q171" t="n">
        <v>0</v>
      </c>
      <c r="R171" s="2" t="inlineStr"/>
    </row>
    <row r="172" ht="15" customHeight="1">
      <c r="A172" t="inlineStr">
        <is>
          <t>A 52466-2025</t>
        </is>
      </c>
      <c r="B172" s="1" t="n">
        <v>45954</v>
      </c>
      <c r="C172" s="1" t="n">
        <v>46196</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38604-2025</t>
        </is>
      </c>
      <c r="B173" s="1" t="n">
        <v>45884</v>
      </c>
      <c r="C173" s="1" t="n">
        <v>46196</v>
      </c>
      <c r="D173" t="inlineStr">
        <is>
          <t>KALMAR LÄN</t>
        </is>
      </c>
      <c r="E173" t="inlineStr">
        <is>
          <t>VIMMERBY</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60951-2023</t>
        </is>
      </c>
      <c r="B174" s="1" t="n">
        <v>45261</v>
      </c>
      <c r="C174" s="1" t="n">
        <v>46196</v>
      </c>
      <c r="D174" t="inlineStr">
        <is>
          <t>KALMAR LÄN</t>
        </is>
      </c>
      <c r="E174" t="inlineStr">
        <is>
          <t>VIMMERBY</t>
        </is>
      </c>
      <c r="G174" t="n">
        <v>4.3</v>
      </c>
      <c r="H174" t="n">
        <v>0</v>
      </c>
      <c r="I174" t="n">
        <v>0</v>
      </c>
      <c r="J174" t="n">
        <v>0</v>
      </c>
      <c r="K174" t="n">
        <v>0</v>
      </c>
      <c r="L174" t="n">
        <v>0</v>
      </c>
      <c r="M174" t="n">
        <v>0</v>
      </c>
      <c r="N174" t="n">
        <v>0</v>
      </c>
      <c r="O174" t="n">
        <v>0</v>
      </c>
      <c r="P174" t="n">
        <v>0</v>
      </c>
      <c r="Q174" t="n">
        <v>0</v>
      </c>
      <c r="R174" s="2" t="inlineStr"/>
    </row>
    <row r="175" ht="15" customHeight="1">
      <c r="A175" t="inlineStr">
        <is>
          <t>A 60292-2022</t>
        </is>
      </c>
      <c r="B175" s="1" t="n">
        <v>44910</v>
      </c>
      <c r="C175" s="1" t="n">
        <v>46196</v>
      </c>
      <c r="D175" t="inlineStr">
        <is>
          <t>KALMAR LÄN</t>
        </is>
      </c>
      <c r="E175" t="inlineStr">
        <is>
          <t>VIMMERBY</t>
        </is>
      </c>
      <c r="G175" t="n">
        <v>4.4</v>
      </c>
      <c r="H175" t="n">
        <v>0</v>
      </c>
      <c r="I175" t="n">
        <v>0</v>
      </c>
      <c r="J175" t="n">
        <v>0</v>
      </c>
      <c r="K175" t="n">
        <v>0</v>
      </c>
      <c r="L175" t="n">
        <v>0</v>
      </c>
      <c r="M175" t="n">
        <v>0</v>
      </c>
      <c r="N175" t="n">
        <v>0</v>
      </c>
      <c r="O175" t="n">
        <v>0</v>
      </c>
      <c r="P175" t="n">
        <v>0</v>
      </c>
      <c r="Q175" t="n">
        <v>0</v>
      </c>
      <c r="R175" s="2" t="inlineStr"/>
    </row>
    <row r="176" ht="15" customHeight="1">
      <c r="A176" t="inlineStr">
        <is>
          <t>A 52475-2025</t>
        </is>
      </c>
      <c r="B176" s="1" t="n">
        <v>45954</v>
      </c>
      <c r="C176" s="1" t="n">
        <v>46196</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53396-2025</t>
        </is>
      </c>
      <c r="B177" s="1" t="n">
        <v>45959</v>
      </c>
      <c r="C177" s="1" t="n">
        <v>46196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53398-2025</t>
        </is>
      </c>
      <c r="B178" s="1" t="n">
        <v>45959</v>
      </c>
      <c r="C178" s="1" t="n">
        <v>46196</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53397-2025</t>
        </is>
      </c>
      <c r="B179" s="1" t="n">
        <v>45959</v>
      </c>
      <c r="C179" s="1" t="n">
        <v>46196</v>
      </c>
      <c r="D179" t="inlineStr">
        <is>
          <t>KALMAR LÄN</t>
        </is>
      </c>
      <c r="E179" t="inlineStr">
        <is>
          <t>VIMMERBY</t>
        </is>
      </c>
      <c r="G179" t="n">
        <v>1.6</v>
      </c>
      <c r="H179" t="n">
        <v>0</v>
      </c>
      <c r="I179" t="n">
        <v>0</v>
      </c>
      <c r="J179" t="n">
        <v>0</v>
      </c>
      <c r="K179" t="n">
        <v>0</v>
      </c>
      <c r="L179" t="n">
        <v>0</v>
      </c>
      <c r="M179" t="n">
        <v>0</v>
      </c>
      <c r="N179" t="n">
        <v>0</v>
      </c>
      <c r="O179" t="n">
        <v>0</v>
      </c>
      <c r="P179" t="n">
        <v>0</v>
      </c>
      <c r="Q179" t="n">
        <v>0</v>
      </c>
      <c r="R179" s="2" t="inlineStr"/>
    </row>
    <row r="180" ht="15" customHeight="1">
      <c r="A180" t="inlineStr">
        <is>
          <t>A 53920-2025</t>
        </is>
      </c>
      <c r="B180" s="1" t="n">
        <v>45961</v>
      </c>
      <c r="C180" s="1" t="n">
        <v>46196</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53933-2025</t>
        </is>
      </c>
      <c r="B181" s="1" t="n">
        <v>45961</v>
      </c>
      <c r="C181" s="1" t="n">
        <v>46196</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54236-2025</t>
        </is>
      </c>
      <c r="B182" s="1" t="n">
        <v>45964</v>
      </c>
      <c r="C182" s="1" t="n">
        <v>46196</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54234-2025</t>
        </is>
      </c>
      <c r="B183" s="1" t="n">
        <v>45964</v>
      </c>
      <c r="C183" s="1" t="n">
        <v>46196</v>
      </c>
      <c r="D183" t="inlineStr">
        <is>
          <t>KALMAR LÄN</t>
        </is>
      </c>
      <c r="E183" t="inlineStr">
        <is>
          <t>VIMMERBY</t>
        </is>
      </c>
      <c r="G183" t="n">
        <v>4.1</v>
      </c>
      <c r="H183" t="n">
        <v>0</v>
      </c>
      <c r="I183" t="n">
        <v>0</v>
      </c>
      <c r="J183" t="n">
        <v>0</v>
      </c>
      <c r="K183" t="n">
        <v>0</v>
      </c>
      <c r="L183" t="n">
        <v>0</v>
      </c>
      <c r="M183" t="n">
        <v>0</v>
      </c>
      <c r="N183" t="n">
        <v>0</v>
      </c>
      <c r="O183" t="n">
        <v>0</v>
      </c>
      <c r="P183" t="n">
        <v>0</v>
      </c>
      <c r="Q183" t="n">
        <v>0</v>
      </c>
      <c r="R183" s="2" t="inlineStr"/>
    </row>
    <row r="184" ht="15" customHeight="1">
      <c r="A184" t="inlineStr">
        <is>
          <t>A 23984-2025</t>
        </is>
      </c>
      <c r="B184" s="1" t="n">
        <v>45796</v>
      </c>
      <c r="C184" s="1" t="n">
        <v>46196</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7485-2024</t>
        </is>
      </c>
      <c r="B185" s="1" t="n">
        <v>45346</v>
      </c>
      <c r="C185" s="1" t="n">
        <v>46196</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39807-2025</t>
        </is>
      </c>
      <c r="B186" s="1" t="n">
        <v>45891</v>
      </c>
      <c r="C186" s="1" t="n">
        <v>46196</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39736-2025</t>
        </is>
      </c>
      <c r="B187" s="1" t="n">
        <v>45891</v>
      </c>
      <c r="C187" s="1" t="n">
        <v>46196</v>
      </c>
      <c r="D187" t="inlineStr">
        <is>
          <t>KALMAR LÄN</t>
        </is>
      </c>
      <c r="E187" t="inlineStr">
        <is>
          <t>VIMMERBY</t>
        </is>
      </c>
      <c r="G187" t="n">
        <v>12.8</v>
      </c>
      <c r="H187" t="n">
        <v>0</v>
      </c>
      <c r="I187" t="n">
        <v>0</v>
      </c>
      <c r="J187" t="n">
        <v>0</v>
      </c>
      <c r="K187" t="n">
        <v>0</v>
      </c>
      <c r="L187" t="n">
        <v>0</v>
      </c>
      <c r="M187" t="n">
        <v>0</v>
      </c>
      <c r="N187" t="n">
        <v>0</v>
      </c>
      <c r="O187" t="n">
        <v>0</v>
      </c>
      <c r="P187" t="n">
        <v>0</v>
      </c>
      <c r="Q187" t="n">
        <v>0</v>
      </c>
      <c r="R187" s="2" t="inlineStr"/>
    </row>
    <row r="188" ht="15" customHeight="1">
      <c r="A188" t="inlineStr">
        <is>
          <t>A 39803-2025</t>
        </is>
      </c>
      <c r="B188" s="1" t="n">
        <v>45891</v>
      </c>
      <c r="C188" s="1" t="n">
        <v>46196</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12590-2025</t>
        </is>
      </c>
      <c r="B189" s="1" t="n">
        <v>45732</v>
      </c>
      <c r="C189" s="1" t="n">
        <v>46196</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35710-2023</t>
        </is>
      </c>
      <c r="B190" s="1" t="n">
        <v>45147</v>
      </c>
      <c r="C190" s="1" t="n">
        <v>46196</v>
      </c>
      <c r="D190" t="inlineStr">
        <is>
          <t>KALMAR LÄN</t>
        </is>
      </c>
      <c r="E190" t="inlineStr">
        <is>
          <t>VIMMERBY</t>
        </is>
      </c>
      <c r="G190" t="n">
        <v>3.1</v>
      </c>
      <c r="H190" t="n">
        <v>0</v>
      </c>
      <c r="I190" t="n">
        <v>0</v>
      </c>
      <c r="J190" t="n">
        <v>0</v>
      </c>
      <c r="K190" t="n">
        <v>0</v>
      </c>
      <c r="L190" t="n">
        <v>0</v>
      </c>
      <c r="M190" t="n">
        <v>0</v>
      </c>
      <c r="N190" t="n">
        <v>0</v>
      </c>
      <c r="O190" t="n">
        <v>0</v>
      </c>
      <c r="P190" t="n">
        <v>0</v>
      </c>
      <c r="Q190" t="n">
        <v>0</v>
      </c>
      <c r="R190" s="2" t="inlineStr"/>
    </row>
    <row r="191" ht="15" customHeight="1">
      <c r="A191" t="inlineStr">
        <is>
          <t>A 52823-2024</t>
        </is>
      </c>
      <c r="B191" s="1" t="n">
        <v>45610</v>
      </c>
      <c r="C191" s="1" t="n">
        <v>46196</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55603-2025</t>
        </is>
      </c>
      <c r="B192" s="1" t="n">
        <v>45971</v>
      </c>
      <c r="C192" s="1" t="n">
        <v>46196</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35082-2024</t>
        </is>
      </c>
      <c r="B193" s="1" t="n">
        <v>45527</v>
      </c>
      <c r="C193" s="1" t="n">
        <v>46196</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51278-2024</t>
        </is>
      </c>
      <c r="B194" s="1" t="n">
        <v>45603</v>
      </c>
      <c r="C194" s="1" t="n">
        <v>46196</v>
      </c>
      <c r="D194" t="inlineStr">
        <is>
          <t>KALMAR LÄN</t>
        </is>
      </c>
      <c r="E194" t="inlineStr">
        <is>
          <t>VIMMERBY</t>
        </is>
      </c>
      <c r="G194" t="n">
        <v>3.4</v>
      </c>
      <c r="H194" t="n">
        <v>0</v>
      </c>
      <c r="I194" t="n">
        <v>0</v>
      </c>
      <c r="J194" t="n">
        <v>0</v>
      </c>
      <c r="K194" t="n">
        <v>0</v>
      </c>
      <c r="L194" t="n">
        <v>0</v>
      </c>
      <c r="M194" t="n">
        <v>0</v>
      </c>
      <c r="N194" t="n">
        <v>0</v>
      </c>
      <c r="O194" t="n">
        <v>0</v>
      </c>
      <c r="P194" t="n">
        <v>0</v>
      </c>
      <c r="Q194" t="n">
        <v>0</v>
      </c>
      <c r="R194" s="2" t="inlineStr"/>
    </row>
    <row r="195" ht="15" customHeight="1">
      <c r="A195" t="inlineStr">
        <is>
          <t>A 9456-2025</t>
        </is>
      </c>
      <c r="B195" s="1" t="n">
        <v>45715</v>
      </c>
      <c r="C195" s="1" t="n">
        <v>46196</v>
      </c>
      <c r="D195" t="inlineStr">
        <is>
          <t>KALMAR LÄN</t>
        </is>
      </c>
      <c r="E195" t="inlineStr">
        <is>
          <t>VIMMERBY</t>
        </is>
      </c>
      <c r="G195" t="n">
        <v>1.5</v>
      </c>
      <c r="H195" t="n">
        <v>0</v>
      </c>
      <c r="I195" t="n">
        <v>0</v>
      </c>
      <c r="J195" t="n">
        <v>0</v>
      </c>
      <c r="K195" t="n">
        <v>0</v>
      </c>
      <c r="L195" t="n">
        <v>0</v>
      </c>
      <c r="M195" t="n">
        <v>0</v>
      </c>
      <c r="N195" t="n">
        <v>0</v>
      </c>
      <c r="O195" t="n">
        <v>0</v>
      </c>
      <c r="P195" t="n">
        <v>0</v>
      </c>
      <c r="Q195" t="n">
        <v>0</v>
      </c>
      <c r="R195" s="2" t="inlineStr"/>
    </row>
    <row r="196" ht="15" customHeight="1">
      <c r="A196" t="inlineStr">
        <is>
          <t>A 11111-2023</t>
        </is>
      </c>
      <c r="B196" s="1" t="n">
        <v>44992</v>
      </c>
      <c r="C196" s="1" t="n">
        <v>46196</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55385-2025</t>
        </is>
      </c>
      <c r="B197" s="1" t="n">
        <v>45971</v>
      </c>
      <c r="C197" s="1" t="n">
        <v>46196</v>
      </c>
      <c r="D197" t="inlineStr">
        <is>
          <t>KALMAR LÄN</t>
        </is>
      </c>
      <c r="E197" t="inlineStr">
        <is>
          <t>VIMMERBY</t>
        </is>
      </c>
      <c r="G197" t="n">
        <v>5</v>
      </c>
      <c r="H197" t="n">
        <v>0</v>
      </c>
      <c r="I197" t="n">
        <v>0</v>
      </c>
      <c r="J197" t="n">
        <v>0</v>
      </c>
      <c r="K197" t="n">
        <v>0</v>
      </c>
      <c r="L197" t="n">
        <v>0</v>
      </c>
      <c r="M197" t="n">
        <v>0</v>
      </c>
      <c r="N197" t="n">
        <v>0</v>
      </c>
      <c r="O197" t="n">
        <v>0</v>
      </c>
      <c r="P197" t="n">
        <v>0</v>
      </c>
      <c r="Q197" t="n">
        <v>0</v>
      </c>
      <c r="R197" s="2" t="inlineStr"/>
    </row>
    <row r="198" ht="15" customHeight="1">
      <c r="A198" t="inlineStr">
        <is>
          <t>A 44582-2024</t>
        </is>
      </c>
      <c r="B198" s="1" t="n">
        <v>45574</v>
      </c>
      <c r="C198" s="1" t="n">
        <v>46196</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11147-2023</t>
        </is>
      </c>
      <c r="B199" s="1" t="n">
        <v>44992</v>
      </c>
      <c r="C199" s="1" t="n">
        <v>46196</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19833-2023</t>
        </is>
      </c>
      <c r="B200" s="1" t="n">
        <v>45052</v>
      </c>
      <c r="C200" s="1" t="n">
        <v>46196</v>
      </c>
      <c r="D200" t="inlineStr">
        <is>
          <t>KALMAR LÄN</t>
        </is>
      </c>
      <c r="E200" t="inlineStr">
        <is>
          <t>VIMMERBY</t>
        </is>
      </c>
      <c r="G200" t="n">
        <v>6.7</v>
      </c>
      <c r="H200" t="n">
        <v>0</v>
      </c>
      <c r="I200" t="n">
        <v>0</v>
      </c>
      <c r="J200" t="n">
        <v>0</v>
      </c>
      <c r="K200" t="n">
        <v>0</v>
      </c>
      <c r="L200" t="n">
        <v>0</v>
      </c>
      <c r="M200" t="n">
        <v>0</v>
      </c>
      <c r="N200" t="n">
        <v>0</v>
      </c>
      <c r="O200" t="n">
        <v>0</v>
      </c>
      <c r="P200" t="n">
        <v>0</v>
      </c>
      <c r="Q200" t="n">
        <v>0</v>
      </c>
      <c r="R200" s="2" t="inlineStr"/>
    </row>
    <row r="201" ht="15" customHeight="1">
      <c r="A201" t="inlineStr">
        <is>
          <t>A 41591-2025</t>
        </is>
      </c>
      <c r="B201" s="1" t="n">
        <v>45901</v>
      </c>
      <c r="C201" s="1" t="n">
        <v>46196</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15494-2024</t>
        </is>
      </c>
      <c r="B202" s="1" t="n">
        <v>45401</v>
      </c>
      <c r="C202" s="1" t="n">
        <v>46196</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40971-2025</t>
        </is>
      </c>
      <c r="B203" s="1" t="n">
        <v>45897</v>
      </c>
      <c r="C203" s="1" t="n">
        <v>46196</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41589-2025</t>
        </is>
      </c>
      <c r="B204" s="1" t="n">
        <v>45901</v>
      </c>
      <c r="C204" s="1" t="n">
        <v>46196</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40970-2025</t>
        </is>
      </c>
      <c r="B205" s="1" t="n">
        <v>45897</v>
      </c>
      <c r="C205" s="1" t="n">
        <v>46196</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40973-2025</t>
        </is>
      </c>
      <c r="B206" s="1" t="n">
        <v>45897</v>
      </c>
      <c r="C206" s="1" t="n">
        <v>46196</v>
      </c>
      <c r="D206" t="inlineStr">
        <is>
          <t>KALMAR LÄN</t>
        </is>
      </c>
      <c r="E206" t="inlineStr">
        <is>
          <t>VIMMERBY</t>
        </is>
      </c>
      <c r="G206" t="n">
        <v>1.8</v>
      </c>
      <c r="H206" t="n">
        <v>0</v>
      </c>
      <c r="I206" t="n">
        <v>0</v>
      </c>
      <c r="J206" t="n">
        <v>0</v>
      </c>
      <c r="K206" t="n">
        <v>0</v>
      </c>
      <c r="L206" t="n">
        <v>0</v>
      </c>
      <c r="M206" t="n">
        <v>0</v>
      </c>
      <c r="N206" t="n">
        <v>0</v>
      </c>
      <c r="O206" t="n">
        <v>0</v>
      </c>
      <c r="P206" t="n">
        <v>0</v>
      </c>
      <c r="Q206" t="n">
        <v>0</v>
      </c>
      <c r="R206" s="2" t="inlineStr"/>
    </row>
    <row r="207" ht="15" customHeight="1">
      <c r="A207" t="inlineStr">
        <is>
          <t>A 14548-2024</t>
        </is>
      </c>
      <c r="B207" s="1" t="n">
        <v>45394</v>
      </c>
      <c r="C207" s="1" t="n">
        <v>46196</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585-2024</t>
        </is>
      </c>
      <c r="B208" s="1" t="n">
        <v>45299</v>
      </c>
      <c r="C208" s="1" t="n">
        <v>46196</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56020-2024</t>
        </is>
      </c>
      <c r="B209" s="1" t="n">
        <v>45623</v>
      </c>
      <c r="C209" s="1" t="n">
        <v>46196</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34090-2025</t>
        </is>
      </c>
      <c r="B210" s="1" t="n">
        <v>45845</v>
      </c>
      <c r="C210" s="1" t="n">
        <v>46196</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23252-2024</t>
        </is>
      </c>
      <c r="B211" s="1" t="n">
        <v>45453</v>
      </c>
      <c r="C211" s="1" t="n">
        <v>46196</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15550-2023</t>
        </is>
      </c>
      <c r="B212" s="1" t="n">
        <v>45020</v>
      </c>
      <c r="C212" s="1" t="n">
        <v>46196</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58724-2024</t>
        </is>
      </c>
      <c r="B213" s="1" t="n">
        <v>45635</v>
      </c>
      <c r="C213" s="1" t="n">
        <v>46196</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25792-2025</t>
        </is>
      </c>
      <c r="B214" s="1" t="n">
        <v>45804</v>
      </c>
      <c r="C214" s="1" t="n">
        <v>46196</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11219-2023</t>
        </is>
      </c>
      <c r="B215" s="1" t="n">
        <v>44992</v>
      </c>
      <c r="C215" s="1" t="n">
        <v>46196</v>
      </c>
      <c r="D215" t="inlineStr">
        <is>
          <t>KALMAR LÄN</t>
        </is>
      </c>
      <c r="E215" t="inlineStr">
        <is>
          <t>VIMMERBY</t>
        </is>
      </c>
      <c r="G215" t="n">
        <v>2.5</v>
      </c>
      <c r="H215" t="n">
        <v>0</v>
      </c>
      <c r="I215" t="n">
        <v>0</v>
      </c>
      <c r="J215" t="n">
        <v>0</v>
      </c>
      <c r="K215" t="n">
        <v>0</v>
      </c>
      <c r="L215" t="n">
        <v>0</v>
      </c>
      <c r="M215" t="n">
        <v>0</v>
      </c>
      <c r="N215" t="n">
        <v>0</v>
      </c>
      <c r="O215" t="n">
        <v>0</v>
      </c>
      <c r="P215" t="n">
        <v>0</v>
      </c>
      <c r="Q215" t="n">
        <v>0</v>
      </c>
      <c r="R215" s="2" t="inlineStr"/>
    </row>
    <row r="216" ht="15" customHeight="1">
      <c r="A216" t="inlineStr">
        <is>
          <t>A 57728-2025</t>
        </is>
      </c>
      <c r="B216" s="1" t="n">
        <v>45981</v>
      </c>
      <c r="C216" s="1" t="n">
        <v>46196</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47855-2024</t>
        </is>
      </c>
      <c r="B217" s="1" t="n">
        <v>45588</v>
      </c>
      <c r="C217" s="1" t="n">
        <v>46196</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26046-2025</t>
        </is>
      </c>
      <c r="B218" s="1" t="n">
        <v>45804</v>
      </c>
      <c r="C218" s="1" t="n">
        <v>46196</v>
      </c>
      <c r="D218" t="inlineStr">
        <is>
          <t>KALMAR LÄN</t>
        </is>
      </c>
      <c r="E218" t="inlineStr">
        <is>
          <t>VIMMERBY</t>
        </is>
      </c>
      <c r="F218" t="inlineStr">
        <is>
          <t>Sveaskog</t>
        </is>
      </c>
      <c r="G218" t="n">
        <v>5.1</v>
      </c>
      <c r="H218" t="n">
        <v>0</v>
      </c>
      <c r="I218" t="n">
        <v>0</v>
      </c>
      <c r="J218" t="n">
        <v>0</v>
      </c>
      <c r="K218" t="n">
        <v>0</v>
      </c>
      <c r="L218" t="n">
        <v>0</v>
      </c>
      <c r="M218" t="n">
        <v>0</v>
      </c>
      <c r="N218" t="n">
        <v>0</v>
      </c>
      <c r="O218" t="n">
        <v>0</v>
      </c>
      <c r="P218" t="n">
        <v>0</v>
      </c>
      <c r="Q218" t="n">
        <v>0</v>
      </c>
      <c r="R218" s="2" t="inlineStr"/>
    </row>
    <row r="219" ht="15" customHeight="1">
      <c r="A219" t="inlineStr">
        <is>
          <t>A 39584-2024</t>
        </is>
      </c>
      <c r="B219" s="1" t="n">
        <v>45552</v>
      </c>
      <c r="C219" s="1" t="n">
        <v>46196</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26207-2025</t>
        </is>
      </c>
      <c r="B220" s="1" t="n">
        <v>45805</v>
      </c>
      <c r="C220" s="1" t="n">
        <v>46196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58503-2025</t>
        </is>
      </c>
      <c r="B221" s="1" t="n">
        <v>45985</v>
      </c>
      <c r="C221" s="1" t="n">
        <v>46196</v>
      </c>
      <c r="D221" t="inlineStr">
        <is>
          <t>KALMAR LÄN</t>
        </is>
      </c>
      <c r="E221" t="inlineStr">
        <is>
          <t>VIMMERBY</t>
        </is>
      </c>
      <c r="G221" t="n">
        <v>1.6</v>
      </c>
      <c r="H221" t="n">
        <v>0</v>
      </c>
      <c r="I221" t="n">
        <v>0</v>
      </c>
      <c r="J221" t="n">
        <v>0</v>
      </c>
      <c r="K221" t="n">
        <v>0</v>
      </c>
      <c r="L221" t="n">
        <v>0</v>
      </c>
      <c r="M221" t="n">
        <v>0</v>
      </c>
      <c r="N221" t="n">
        <v>0</v>
      </c>
      <c r="O221" t="n">
        <v>0</v>
      </c>
      <c r="P221" t="n">
        <v>0</v>
      </c>
      <c r="Q221" t="n">
        <v>0</v>
      </c>
      <c r="R221" s="2" t="inlineStr"/>
    </row>
    <row r="222" ht="15" customHeight="1">
      <c r="A222" t="inlineStr">
        <is>
          <t>A 58498-2025</t>
        </is>
      </c>
      <c r="B222" s="1" t="n">
        <v>45985</v>
      </c>
      <c r="C222" s="1" t="n">
        <v>46196</v>
      </c>
      <c r="D222" t="inlineStr">
        <is>
          <t>KALMAR LÄN</t>
        </is>
      </c>
      <c r="E222" t="inlineStr">
        <is>
          <t>VIMMERBY</t>
        </is>
      </c>
      <c r="G222" t="n">
        <v>2.1</v>
      </c>
      <c r="H222" t="n">
        <v>0</v>
      </c>
      <c r="I222" t="n">
        <v>0</v>
      </c>
      <c r="J222" t="n">
        <v>0</v>
      </c>
      <c r="K222" t="n">
        <v>0</v>
      </c>
      <c r="L222" t="n">
        <v>0</v>
      </c>
      <c r="M222" t="n">
        <v>0</v>
      </c>
      <c r="N222" t="n">
        <v>0</v>
      </c>
      <c r="O222" t="n">
        <v>0</v>
      </c>
      <c r="P222" t="n">
        <v>0</v>
      </c>
      <c r="Q222" t="n">
        <v>0</v>
      </c>
      <c r="R222" s="2" t="inlineStr"/>
    </row>
    <row r="223" ht="15" customHeight="1">
      <c r="A223" t="inlineStr">
        <is>
          <t>A 58501-2025</t>
        </is>
      </c>
      <c r="B223" s="1" t="n">
        <v>45985</v>
      </c>
      <c r="C223" s="1" t="n">
        <v>46196</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51881-2024</t>
        </is>
      </c>
      <c r="B224" s="1" t="n">
        <v>45607</v>
      </c>
      <c r="C224" s="1" t="n">
        <v>46196</v>
      </c>
      <c r="D224" t="inlineStr">
        <is>
          <t>KALMAR LÄN</t>
        </is>
      </c>
      <c r="E224" t="inlineStr">
        <is>
          <t>VIMMERBY</t>
        </is>
      </c>
      <c r="G224" t="n">
        <v>3.4</v>
      </c>
      <c r="H224" t="n">
        <v>0</v>
      </c>
      <c r="I224" t="n">
        <v>0</v>
      </c>
      <c r="J224" t="n">
        <v>0</v>
      </c>
      <c r="K224" t="n">
        <v>0</v>
      </c>
      <c r="L224" t="n">
        <v>0</v>
      </c>
      <c r="M224" t="n">
        <v>0</v>
      </c>
      <c r="N224" t="n">
        <v>0</v>
      </c>
      <c r="O224" t="n">
        <v>0</v>
      </c>
      <c r="P224" t="n">
        <v>0</v>
      </c>
      <c r="Q224" t="n">
        <v>0</v>
      </c>
      <c r="R224" s="2" t="inlineStr"/>
    </row>
    <row r="225" ht="15" customHeight="1">
      <c r="A225" t="inlineStr">
        <is>
          <t>A 2596-2025</t>
        </is>
      </c>
      <c r="B225" s="1" t="n">
        <v>45674</v>
      </c>
      <c r="C225" s="1" t="n">
        <v>46196</v>
      </c>
      <c r="D225" t="inlineStr">
        <is>
          <t>KALMAR LÄN</t>
        </is>
      </c>
      <c r="E225" t="inlineStr">
        <is>
          <t>VIMMERBY</t>
        </is>
      </c>
      <c r="G225" t="n">
        <v>9</v>
      </c>
      <c r="H225" t="n">
        <v>0</v>
      </c>
      <c r="I225" t="n">
        <v>0</v>
      </c>
      <c r="J225" t="n">
        <v>0</v>
      </c>
      <c r="K225" t="n">
        <v>0</v>
      </c>
      <c r="L225" t="n">
        <v>0</v>
      </c>
      <c r="M225" t="n">
        <v>0</v>
      </c>
      <c r="N225" t="n">
        <v>0</v>
      </c>
      <c r="O225" t="n">
        <v>0</v>
      </c>
      <c r="P225" t="n">
        <v>0</v>
      </c>
      <c r="Q225" t="n">
        <v>0</v>
      </c>
      <c r="R225" s="2" t="inlineStr"/>
    </row>
    <row r="226" ht="15" customHeight="1">
      <c r="A226" t="inlineStr">
        <is>
          <t>A 44095-2025</t>
        </is>
      </c>
      <c r="B226" s="1" t="n">
        <v>45915</v>
      </c>
      <c r="C226" s="1" t="n">
        <v>46196</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58446-2025</t>
        </is>
      </c>
      <c r="B227" s="1" t="n">
        <v>45985</v>
      </c>
      <c r="C227" s="1" t="n">
        <v>46196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v>
      </c>
      <c r="C228" s="1" t="n">
        <v>46196</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44091-2025</t>
        </is>
      </c>
      <c r="B229" s="1" t="n">
        <v>45915</v>
      </c>
      <c r="C229" s="1" t="n">
        <v>46196</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58500-2025</t>
        </is>
      </c>
      <c r="B230" s="1" t="n">
        <v>45985</v>
      </c>
      <c r="C230" s="1" t="n">
        <v>46196</v>
      </c>
      <c r="D230" t="inlineStr">
        <is>
          <t>KALMAR LÄN</t>
        </is>
      </c>
      <c r="E230" t="inlineStr">
        <is>
          <t>VIMMERBY</t>
        </is>
      </c>
      <c r="G230" t="n">
        <v>1.8</v>
      </c>
      <c r="H230" t="n">
        <v>0</v>
      </c>
      <c r="I230" t="n">
        <v>0</v>
      </c>
      <c r="J230" t="n">
        <v>0</v>
      </c>
      <c r="K230" t="n">
        <v>0</v>
      </c>
      <c r="L230" t="n">
        <v>0</v>
      </c>
      <c r="M230" t="n">
        <v>0</v>
      </c>
      <c r="N230" t="n">
        <v>0</v>
      </c>
      <c r="O230" t="n">
        <v>0</v>
      </c>
      <c r="P230" t="n">
        <v>0</v>
      </c>
      <c r="Q230" t="n">
        <v>0</v>
      </c>
      <c r="R230" s="2" t="inlineStr"/>
    </row>
    <row r="231" ht="15" customHeight="1">
      <c r="A231" t="inlineStr">
        <is>
          <t>A 58841-2025</t>
        </is>
      </c>
      <c r="B231" s="1" t="n">
        <v>45987</v>
      </c>
      <c r="C231" s="1" t="n">
        <v>46196</v>
      </c>
      <c r="D231" t="inlineStr">
        <is>
          <t>KALMAR LÄN</t>
        </is>
      </c>
      <c r="E231" t="inlineStr">
        <is>
          <t>VIMMERBY</t>
        </is>
      </c>
      <c r="G231" t="n">
        <v>3.5</v>
      </c>
      <c r="H231" t="n">
        <v>0</v>
      </c>
      <c r="I231" t="n">
        <v>0</v>
      </c>
      <c r="J231" t="n">
        <v>0</v>
      </c>
      <c r="K231" t="n">
        <v>0</v>
      </c>
      <c r="L231" t="n">
        <v>0</v>
      </c>
      <c r="M231" t="n">
        <v>0</v>
      </c>
      <c r="N231" t="n">
        <v>0</v>
      </c>
      <c r="O231" t="n">
        <v>0</v>
      </c>
      <c r="P231" t="n">
        <v>0</v>
      </c>
      <c r="Q231" t="n">
        <v>0</v>
      </c>
      <c r="R231" s="2" t="inlineStr"/>
    </row>
    <row r="232" ht="15" customHeight="1">
      <c r="A232" t="inlineStr">
        <is>
          <t>A 58858-2025</t>
        </is>
      </c>
      <c r="B232" s="1" t="n">
        <v>45987</v>
      </c>
      <c r="C232" s="1" t="n">
        <v>46196</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52324-2023</t>
        </is>
      </c>
      <c r="B233" s="1" t="n">
        <v>45224</v>
      </c>
      <c r="C233" s="1" t="n">
        <v>46196</v>
      </c>
      <c r="D233" t="inlineStr">
        <is>
          <t>KALMAR LÄN</t>
        </is>
      </c>
      <c r="E233" t="inlineStr">
        <is>
          <t>VIMMERBY</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23341-2022</t>
        </is>
      </c>
      <c r="B234" s="1" t="n">
        <v>44720</v>
      </c>
      <c r="C234" s="1" t="n">
        <v>46196</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59039-2025</t>
        </is>
      </c>
      <c r="B235" s="1" t="n">
        <v>45988</v>
      </c>
      <c r="C235" s="1" t="n">
        <v>46196</v>
      </c>
      <c r="D235" t="inlineStr">
        <is>
          <t>KALMAR LÄN</t>
        </is>
      </c>
      <c r="E235" t="inlineStr">
        <is>
          <t>VIMMERBY</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37028-2024</t>
        </is>
      </c>
      <c r="B236" s="1" t="n">
        <v>45539</v>
      </c>
      <c r="C236" s="1" t="n">
        <v>46196</v>
      </c>
      <c r="D236" t="inlineStr">
        <is>
          <t>KALMAR LÄN</t>
        </is>
      </c>
      <c r="E236" t="inlineStr">
        <is>
          <t>VIMMERBY</t>
        </is>
      </c>
      <c r="G236" t="n">
        <v>5.2</v>
      </c>
      <c r="H236" t="n">
        <v>0</v>
      </c>
      <c r="I236" t="n">
        <v>0</v>
      </c>
      <c r="J236" t="n">
        <v>0</v>
      </c>
      <c r="K236" t="n">
        <v>0</v>
      </c>
      <c r="L236" t="n">
        <v>0</v>
      </c>
      <c r="M236" t="n">
        <v>0</v>
      </c>
      <c r="N236" t="n">
        <v>0</v>
      </c>
      <c r="O236" t="n">
        <v>0</v>
      </c>
      <c r="P236" t="n">
        <v>0</v>
      </c>
      <c r="Q236" t="n">
        <v>0</v>
      </c>
      <c r="R236" s="2" t="inlineStr"/>
    </row>
    <row r="237" ht="15" customHeight="1">
      <c r="A237" t="inlineStr">
        <is>
          <t>A 59034-2025</t>
        </is>
      </c>
      <c r="B237" s="1" t="n">
        <v>45988</v>
      </c>
      <c r="C237" s="1" t="n">
        <v>46196</v>
      </c>
      <c r="D237" t="inlineStr">
        <is>
          <t>KALMAR LÄN</t>
        </is>
      </c>
      <c r="E237" t="inlineStr">
        <is>
          <t>VIMMERBY</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59037-2025</t>
        </is>
      </c>
      <c r="B238" s="1" t="n">
        <v>45988</v>
      </c>
      <c r="C238" s="1" t="n">
        <v>46196</v>
      </c>
      <c r="D238" t="inlineStr">
        <is>
          <t>KALMAR LÄN</t>
        </is>
      </c>
      <c r="E238" t="inlineStr">
        <is>
          <t>VIMMERBY</t>
        </is>
      </c>
      <c r="F238" t="inlineStr">
        <is>
          <t>Sveaskog</t>
        </is>
      </c>
      <c r="G238" t="n">
        <v>4</v>
      </c>
      <c r="H238" t="n">
        <v>0</v>
      </c>
      <c r="I238" t="n">
        <v>0</v>
      </c>
      <c r="J238" t="n">
        <v>0</v>
      </c>
      <c r="K238" t="n">
        <v>0</v>
      </c>
      <c r="L238" t="n">
        <v>0</v>
      </c>
      <c r="M238" t="n">
        <v>0</v>
      </c>
      <c r="N238" t="n">
        <v>0</v>
      </c>
      <c r="O238" t="n">
        <v>0</v>
      </c>
      <c r="P238" t="n">
        <v>0</v>
      </c>
      <c r="Q238" t="n">
        <v>0</v>
      </c>
      <c r="R238" s="2" t="inlineStr"/>
    </row>
    <row r="239" ht="15" customHeight="1">
      <c r="A239" t="inlineStr">
        <is>
          <t>A 6668-2023</t>
        </is>
      </c>
      <c r="B239" s="1" t="n">
        <v>44966</v>
      </c>
      <c r="C239" s="1" t="n">
        <v>46196</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29168-2024</t>
        </is>
      </c>
      <c r="B240" s="1" t="n">
        <v>45482</v>
      </c>
      <c r="C240" s="1" t="n">
        <v>46196</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55236-2023</t>
        </is>
      </c>
      <c r="B241" s="1" t="n">
        <v>45237</v>
      </c>
      <c r="C241" s="1" t="n">
        <v>46196</v>
      </c>
      <c r="D241" t="inlineStr">
        <is>
          <t>KALMAR LÄN</t>
        </is>
      </c>
      <c r="E241" t="inlineStr">
        <is>
          <t>VIMMERBY</t>
        </is>
      </c>
      <c r="G241" t="n">
        <v>1.1</v>
      </c>
      <c r="H241" t="n">
        <v>0</v>
      </c>
      <c r="I241" t="n">
        <v>0</v>
      </c>
      <c r="J241" t="n">
        <v>0</v>
      </c>
      <c r="K241" t="n">
        <v>0</v>
      </c>
      <c r="L241" t="n">
        <v>0</v>
      </c>
      <c r="M241" t="n">
        <v>0</v>
      </c>
      <c r="N241" t="n">
        <v>0</v>
      </c>
      <c r="O241" t="n">
        <v>0</v>
      </c>
      <c r="P241" t="n">
        <v>0</v>
      </c>
      <c r="Q241" t="n">
        <v>0</v>
      </c>
      <c r="R241" s="2" t="inlineStr"/>
    </row>
    <row r="242" ht="15" customHeight="1">
      <c r="A242" t="inlineStr">
        <is>
          <t>A 55245-2023</t>
        </is>
      </c>
      <c r="B242" s="1" t="n">
        <v>45237</v>
      </c>
      <c r="C242" s="1" t="n">
        <v>46196</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36055-2024</t>
        </is>
      </c>
      <c r="B243" s="1" t="n">
        <v>45533</v>
      </c>
      <c r="C243" s="1" t="n">
        <v>46196</v>
      </c>
      <c r="D243" t="inlineStr">
        <is>
          <t>KALMAR LÄN</t>
        </is>
      </c>
      <c r="E243" t="inlineStr">
        <is>
          <t>VIMMERBY</t>
        </is>
      </c>
      <c r="F243" t="inlineStr">
        <is>
          <t>Kommuner</t>
        </is>
      </c>
      <c r="G243" t="n">
        <v>1.9</v>
      </c>
      <c r="H243" t="n">
        <v>0</v>
      </c>
      <c r="I243" t="n">
        <v>0</v>
      </c>
      <c r="J243" t="n">
        <v>0</v>
      </c>
      <c r="K243" t="n">
        <v>0</v>
      </c>
      <c r="L243" t="n">
        <v>0</v>
      </c>
      <c r="M243" t="n">
        <v>0</v>
      </c>
      <c r="N243" t="n">
        <v>0</v>
      </c>
      <c r="O243" t="n">
        <v>0</v>
      </c>
      <c r="P243" t="n">
        <v>0</v>
      </c>
      <c r="Q243" t="n">
        <v>0</v>
      </c>
      <c r="R243" s="2" t="inlineStr"/>
    </row>
    <row r="244" ht="15" customHeight="1">
      <c r="A244" t="inlineStr">
        <is>
          <t>A 27443-2023</t>
        </is>
      </c>
      <c r="B244" s="1" t="n">
        <v>45097</v>
      </c>
      <c r="C244" s="1" t="n">
        <v>46196</v>
      </c>
      <c r="D244" t="inlineStr">
        <is>
          <t>KALMAR LÄN</t>
        </is>
      </c>
      <c r="E244" t="inlineStr">
        <is>
          <t>VIMMERBY</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845-2023</t>
        </is>
      </c>
      <c r="B245" s="1" t="n">
        <v>44931</v>
      </c>
      <c r="C245" s="1" t="n">
        <v>46196</v>
      </c>
      <c r="D245" t="inlineStr">
        <is>
          <t>KALMAR LÄN</t>
        </is>
      </c>
      <c r="E245" t="inlineStr">
        <is>
          <t>VIMMERBY</t>
        </is>
      </c>
      <c r="F245" t="inlineStr">
        <is>
          <t>Övriga Aktiebolag</t>
        </is>
      </c>
      <c r="G245" t="n">
        <v>19</v>
      </c>
      <c r="H245" t="n">
        <v>0</v>
      </c>
      <c r="I245" t="n">
        <v>0</v>
      </c>
      <c r="J245" t="n">
        <v>0</v>
      </c>
      <c r="K245" t="n">
        <v>0</v>
      </c>
      <c r="L245" t="n">
        <v>0</v>
      </c>
      <c r="M245" t="n">
        <v>0</v>
      </c>
      <c r="N245" t="n">
        <v>0</v>
      </c>
      <c r="O245" t="n">
        <v>0</v>
      </c>
      <c r="P245" t="n">
        <v>0</v>
      </c>
      <c r="Q245" t="n">
        <v>0</v>
      </c>
      <c r="R245" s="2" t="inlineStr"/>
    </row>
    <row r="246" ht="15" customHeight="1">
      <c r="A246" t="inlineStr">
        <is>
          <t>A 60180-2025</t>
        </is>
      </c>
      <c r="B246" s="1" t="n">
        <v>45994</v>
      </c>
      <c r="C246" s="1" t="n">
        <v>46196</v>
      </c>
      <c r="D246" t="inlineStr">
        <is>
          <t>KALMAR LÄN</t>
        </is>
      </c>
      <c r="E246" t="inlineStr">
        <is>
          <t>VIMMERBY</t>
        </is>
      </c>
      <c r="G246" t="n">
        <v>6.8</v>
      </c>
      <c r="H246" t="n">
        <v>0</v>
      </c>
      <c r="I246" t="n">
        <v>0</v>
      </c>
      <c r="J246" t="n">
        <v>0</v>
      </c>
      <c r="K246" t="n">
        <v>0</v>
      </c>
      <c r="L246" t="n">
        <v>0</v>
      </c>
      <c r="M246" t="n">
        <v>0</v>
      </c>
      <c r="N246" t="n">
        <v>0</v>
      </c>
      <c r="O246" t="n">
        <v>0</v>
      </c>
      <c r="P246" t="n">
        <v>0</v>
      </c>
      <c r="Q246" t="n">
        <v>0</v>
      </c>
      <c r="R246" s="2" t="inlineStr"/>
    </row>
    <row r="247" ht="15" customHeight="1">
      <c r="A247" t="inlineStr">
        <is>
          <t>A 60297-2025</t>
        </is>
      </c>
      <c r="B247" s="1" t="n">
        <v>45994</v>
      </c>
      <c r="C247" s="1" t="n">
        <v>46196</v>
      </c>
      <c r="D247" t="inlineStr">
        <is>
          <t>KALMAR LÄN</t>
        </is>
      </c>
      <c r="E247" t="inlineStr">
        <is>
          <t>VIMMERBY</t>
        </is>
      </c>
      <c r="G247" t="n">
        <v>4.2</v>
      </c>
      <c r="H247" t="n">
        <v>0</v>
      </c>
      <c r="I247" t="n">
        <v>0</v>
      </c>
      <c r="J247" t="n">
        <v>0</v>
      </c>
      <c r="K247" t="n">
        <v>0</v>
      </c>
      <c r="L247" t="n">
        <v>0</v>
      </c>
      <c r="M247" t="n">
        <v>0</v>
      </c>
      <c r="N247" t="n">
        <v>0</v>
      </c>
      <c r="O247" t="n">
        <v>0</v>
      </c>
      <c r="P247" t="n">
        <v>0</v>
      </c>
      <c r="Q247" t="n">
        <v>0</v>
      </c>
      <c r="R247" s="2" t="inlineStr"/>
    </row>
    <row r="248" ht="15" customHeight="1">
      <c r="A248" t="inlineStr">
        <is>
          <t>A 47227-2025</t>
        </is>
      </c>
      <c r="B248" s="1" t="n">
        <v>45930</v>
      </c>
      <c r="C248" s="1" t="n">
        <v>46196</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6321-2023</t>
        </is>
      </c>
      <c r="B249" s="1" t="n">
        <v>44965</v>
      </c>
      <c r="C249" s="1" t="n">
        <v>46196</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4624-2024</t>
        </is>
      </c>
      <c r="B250" s="1" t="n">
        <v>45328</v>
      </c>
      <c r="C250" s="1" t="n">
        <v>46196</v>
      </c>
      <c r="D250" t="inlineStr">
        <is>
          <t>KALMAR LÄN</t>
        </is>
      </c>
      <c r="E250" t="inlineStr">
        <is>
          <t>VIMMERBY</t>
        </is>
      </c>
      <c r="G250" t="n">
        <v>1.7</v>
      </c>
      <c r="H250" t="n">
        <v>0</v>
      </c>
      <c r="I250" t="n">
        <v>0</v>
      </c>
      <c r="J250" t="n">
        <v>0</v>
      </c>
      <c r="K250" t="n">
        <v>0</v>
      </c>
      <c r="L250" t="n">
        <v>0</v>
      </c>
      <c r="M250" t="n">
        <v>0</v>
      </c>
      <c r="N250" t="n">
        <v>0</v>
      </c>
      <c r="O250" t="n">
        <v>0</v>
      </c>
      <c r="P250" t="n">
        <v>0</v>
      </c>
      <c r="Q250" t="n">
        <v>0</v>
      </c>
      <c r="R250" s="2" t="inlineStr"/>
    </row>
    <row r="251" ht="15" customHeight="1">
      <c r="A251" t="inlineStr">
        <is>
          <t>A 40730-2024</t>
        </is>
      </c>
      <c r="B251" s="1" t="n">
        <v>45558</v>
      </c>
      <c r="C251" s="1" t="n">
        <v>46196</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61725-2025</t>
        </is>
      </c>
      <c r="B252" s="1" t="n">
        <v>46002</v>
      </c>
      <c r="C252" s="1" t="n">
        <v>46196</v>
      </c>
      <c r="D252" t="inlineStr">
        <is>
          <t>KALMAR LÄN</t>
        </is>
      </c>
      <c r="E252" t="inlineStr">
        <is>
          <t>VIMMERBY</t>
        </is>
      </c>
      <c r="F252" t="inlineStr">
        <is>
          <t>Sveaskog</t>
        </is>
      </c>
      <c r="G252" t="n">
        <v>2.4</v>
      </c>
      <c r="H252" t="n">
        <v>0</v>
      </c>
      <c r="I252" t="n">
        <v>0</v>
      </c>
      <c r="J252" t="n">
        <v>0</v>
      </c>
      <c r="K252" t="n">
        <v>0</v>
      </c>
      <c r="L252" t="n">
        <v>0</v>
      </c>
      <c r="M252" t="n">
        <v>0</v>
      </c>
      <c r="N252" t="n">
        <v>0</v>
      </c>
      <c r="O252" t="n">
        <v>0</v>
      </c>
      <c r="P252" t="n">
        <v>0</v>
      </c>
      <c r="Q252" t="n">
        <v>0</v>
      </c>
      <c r="R252" s="2" t="inlineStr"/>
    </row>
    <row r="253" ht="15" customHeight="1">
      <c r="A253" t="inlineStr">
        <is>
          <t>A 2157-2024</t>
        </is>
      </c>
      <c r="B253" s="1" t="n">
        <v>45309</v>
      </c>
      <c r="C253" s="1" t="n">
        <v>46196</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61790-2025</t>
        </is>
      </c>
      <c r="B254" s="1" t="n">
        <v>46002</v>
      </c>
      <c r="C254" s="1" t="n">
        <v>46196</v>
      </c>
      <c r="D254" t="inlineStr">
        <is>
          <t>KALMAR LÄN</t>
        </is>
      </c>
      <c r="E254" t="inlineStr">
        <is>
          <t>VIMMERBY</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49461-2022</t>
        </is>
      </c>
      <c r="B255" s="1" t="n">
        <v>44861</v>
      </c>
      <c r="C255" s="1" t="n">
        <v>46196</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694-2024</t>
        </is>
      </c>
      <c r="B256" s="1" t="n">
        <v>45300</v>
      </c>
      <c r="C256" s="1" t="n">
        <v>46196</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61726-2025</t>
        </is>
      </c>
      <c r="B257" s="1" t="n">
        <v>46002</v>
      </c>
      <c r="C257" s="1" t="n">
        <v>46196</v>
      </c>
      <c r="D257" t="inlineStr">
        <is>
          <t>KALMAR LÄN</t>
        </is>
      </c>
      <c r="E257" t="inlineStr">
        <is>
          <t>VIMMERBY</t>
        </is>
      </c>
      <c r="F257" t="inlineStr">
        <is>
          <t>Sveaskog</t>
        </is>
      </c>
      <c r="G257" t="n">
        <v>0.2</v>
      </c>
      <c r="H257" t="n">
        <v>0</v>
      </c>
      <c r="I257" t="n">
        <v>0</v>
      </c>
      <c r="J257" t="n">
        <v>0</v>
      </c>
      <c r="K257" t="n">
        <v>0</v>
      </c>
      <c r="L257" t="n">
        <v>0</v>
      </c>
      <c r="M257" t="n">
        <v>0</v>
      </c>
      <c r="N257" t="n">
        <v>0</v>
      </c>
      <c r="O257" t="n">
        <v>0</v>
      </c>
      <c r="P257" t="n">
        <v>0</v>
      </c>
      <c r="Q257" t="n">
        <v>0</v>
      </c>
      <c r="R257" s="2" t="inlineStr"/>
    </row>
    <row r="258" ht="15" customHeight="1">
      <c r="A258" t="inlineStr">
        <is>
          <t>A 28294-2025</t>
        </is>
      </c>
      <c r="B258" s="1" t="n">
        <v>45818</v>
      </c>
      <c r="C258" s="1" t="n">
        <v>46196</v>
      </c>
      <c r="D258" t="inlineStr">
        <is>
          <t>KALMAR LÄN</t>
        </is>
      </c>
      <c r="E258" t="inlineStr">
        <is>
          <t>VIMMERBY</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28290-2025</t>
        </is>
      </c>
      <c r="B259" s="1" t="n">
        <v>45818</v>
      </c>
      <c r="C259" s="1" t="n">
        <v>46196</v>
      </c>
      <c r="D259" t="inlineStr">
        <is>
          <t>KALMAR LÄN</t>
        </is>
      </c>
      <c r="E259" t="inlineStr">
        <is>
          <t>VIMMERBY</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48408-2025</t>
        </is>
      </c>
      <c r="B260" s="1" t="n">
        <v>45934</v>
      </c>
      <c r="C260" s="1" t="n">
        <v>46196</v>
      </c>
      <c r="D260" t="inlineStr">
        <is>
          <t>KALMAR LÄN</t>
        </is>
      </c>
      <c r="E260" t="inlineStr">
        <is>
          <t>VIMMERBY</t>
        </is>
      </c>
      <c r="G260" t="n">
        <v>2.4</v>
      </c>
      <c r="H260" t="n">
        <v>0</v>
      </c>
      <c r="I260" t="n">
        <v>0</v>
      </c>
      <c r="J260" t="n">
        <v>0</v>
      </c>
      <c r="K260" t="n">
        <v>0</v>
      </c>
      <c r="L260" t="n">
        <v>0</v>
      </c>
      <c r="M260" t="n">
        <v>0</v>
      </c>
      <c r="N260" t="n">
        <v>0</v>
      </c>
      <c r="O260" t="n">
        <v>0</v>
      </c>
      <c r="P260" t="n">
        <v>0</v>
      </c>
      <c r="Q260" t="n">
        <v>0</v>
      </c>
      <c r="R260" s="2" t="inlineStr"/>
    </row>
    <row r="261" ht="15" customHeight="1">
      <c r="A261" t="inlineStr">
        <is>
          <t>A 59598-2023</t>
        </is>
      </c>
      <c r="B261" s="1" t="n">
        <v>45254</v>
      </c>
      <c r="C261" s="1" t="n">
        <v>46196</v>
      </c>
      <c r="D261" t="inlineStr">
        <is>
          <t>KALMAR LÄN</t>
        </is>
      </c>
      <c r="E261" t="inlineStr">
        <is>
          <t>VIMMERBY</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7944-2024</t>
        </is>
      </c>
      <c r="B262" s="1" t="n">
        <v>45350</v>
      </c>
      <c r="C262" s="1" t="n">
        <v>46196</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21496-2023</t>
        </is>
      </c>
      <c r="B263" s="1" t="n">
        <v>45063</v>
      </c>
      <c r="C263" s="1" t="n">
        <v>46196</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28713-2025</t>
        </is>
      </c>
      <c r="B264" s="1" t="n">
        <v>45820</v>
      </c>
      <c r="C264" s="1" t="n">
        <v>46196</v>
      </c>
      <c r="D264" t="inlineStr">
        <is>
          <t>KALMAR LÄN</t>
        </is>
      </c>
      <c r="E264" t="inlineStr">
        <is>
          <t>VIMMERBY</t>
        </is>
      </c>
      <c r="G264" t="n">
        <v>2.3</v>
      </c>
      <c r="H264" t="n">
        <v>0</v>
      </c>
      <c r="I264" t="n">
        <v>0</v>
      </c>
      <c r="J264" t="n">
        <v>0</v>
      </c>
      <c r="K264" t="n">
        <v>0</v>
      </c>
      <c r="L264" t="n">
        <v>0</v>
      </c>
      <c r="M264" t="n">
        <v>0</v>
      </c>
      <c r="N264" t="n">
        <v>0</v>
      </c>
      <c r="O264" t="n">
        <v>0</v>
      </c>
      <c r="P264" t="n">
        <v>0</v>
      </c>
      <c r="Q264" t="n">
        <v>0</v>
      </c>
      <c r="R264" s="2" t="inlineStr"/>
    </row>
    <row r="265" ht="15" customHeight="1">
      <c r="A265" t="inlineStr">
        <is>
          <t>A 29737-2025</t>
        </is>
      </c>
      <c r="B265" s="1" t="n">
        <v>45825</v>
      </c>
      <c r="C265" s="1" t="n">
        <v>46196</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63758-2025</t>
        </is>
      </c>
      <c r="B266" s="1" t="n">
        <v>46018</v>
      </c>
      <c r="C266" s="1" t="n">
        <v>46196</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63848-2025</t>
        </is>
      </c>
      <c r="B267" s="1" t="n">
        <v>46020</v>
      </c>
      <c r="C267" s="1" t="n">
        <v>46196</v>
      </c>
      <c r="D267" t="inlineStr">
        <is>
          <t>KALMAR LÄN</t>
        </is>
      </c>
      <c r="E267" t="inlineStr">
        <is>
          <t>VIMMERBY</t>
        </is>
      </c>
      <c r="G267" t="n">
        <v>3.4</v>
      </c>
      <c r="H267" t="n">
        <v>0</v>
      </c>
      <c r="I267" t="n">
        <v>0</v>
      </c>
      <c r="J267" t="n">
        <v>0</v>
      </c>
      <c r="K267" t="n">
        <v>0</v>
      </c>
      <c r="L267" t="n">
        <v>0</v>
      </c>
      <c r="M267" t="n">
        <v>0</v>
      </c>
      <c r="N267" t="n">
        <v>0</v>
      </c>
      <c r="O267" t="n">
        <v>0</v>
      </c>
      <c r="P267" t="n">
        <v>0</v>
      </c>
      <c r="Q267" t="n">
        <v>0</v>
      </c>
      <c r="R267" s="2" t="inlineStr"/>
    </row>
    <row r="268" ht="15" customHeight="1">
      <c r="A268" t="inlineStr">
        <is>
          <t>A 30293-2025</t>
        </is>
      </c>
      <c r="B268" s="1" t="n">
        <v>45827</v>
      </c>
      <c r="C268" s="1" t="n">
        <v>46196</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579-2026</t>
        </is>
      </c>
      <c r="B269" s="1" t="n">
        <v>46029</v>
      </c>
      <c r="C269" s="1" t="n">
        <v>46196</v>
      </c>
      <c r="D269" t="inlineStr">
        <is>
          <t>KALMAR LÄN</t>
        </is>
      </c>
      <c r="E269" t="inlineStr">
        <is>
          <t>VIMMERBY</t>
        </is>
      </c>
      <c r="G269" t="n">
        <v>3</v>
      </c>
      <c r="H269" t="n">
        <v>0</v>
      </c>
      <c r="I269" t="n">
        <v>0</v>
      </c>
      <c r="J269" t="n">
        <v>0</v>
      </c>
      <c r="K269" t="n">
        <v>0</v>
      </c>
      <c r="L269" t="n">
        <v>0</v>
      </c>
      <c r="M269" t="n">
        <v>0</v>
      </c>
      <c r="N269" t="n">
        <v>0</v>
      </c>
      <c r="O269" t="n">
        <v>0</v>
      </c>
      <c r="P269" t="n">
        <v>0</v>
      </c>
      <c r="Q269" t="n">
        <v>0</v>
      </c>
      <c r="R269" s="2" t="inlineStr"/>
    </row>
    <row r="270" ht="15" customHeight="1">
      <c r="A270" t="inlineStr">
        <is>
          <t>A 409-2026</t>
        </is>
      </c>
      <c r="B270" s="1" t="n">
        <v>46028</v>
      </c>
      <c r="C270" s="1" t="n">
        <v>46196</v>
      </c>
      <c r="D270" t="inlineStr">
        <is>
          <t>KALMAR LÄN</t>
        </is>
      </c>
      <c r="E270" t="inlineStr">
        <is>
          <t>VIMMERBY</t>
        </is>
      </c>
      <c r="G270" t="n">
        <v>2.2</v>
      </c>
      <c r="H270" t="n">
        <v>0</v>
      </c>
      <c r="I270" t="n">
        <v>0</v>
      </c>
      <c r="J270" t="n">
        <v>0</v>
      </c>
      <c r="K270" t="n">
        <v>0</v>
      </c>
      <c r="L270" t="n">
        <v>0</v>
      </c>
      <c r="M270" t="n">
        <v>0</v>
      </c>
      <c r="N270" t="n">
        <v>0</v>
      </c>
      <c r="O270" t="n">
        <v>0</v>
      </c>
      <c r="P270" t="n">
        <v>0</v>
      </c>
      <c r="Q270" t="n">
        <v>0</v>
      </c>
      <c r="R270" s="2" t="inlineStr"/>
    </row>
    <row r="271" ht="15" customHeight="1">
      <c r="A271" t="inlineStr">
        <is>
          <t>A 406-2026</t>
        </is>
      </c>
      <c r="B271" s="1" t="n">
        <v>46028</v>
      </c>
      <c r="C271" s="1" t="n">
        <v>46196</v>
      </c>
      <c r="D271" t="inlineStr">
        <is>
          <t>KALMAR LÄN</t>
        </is>
      </c>
      <c r="E271" t="inlineStr">
        <is>
          <t>VIMMERBY</t>
        </is>
      </c>
      <c r="G271" t="n">
        <v>1.8</v>
      </c>
      <c r="H271" t="n">
        <v>0</v>
      </c>
      <c r="I271" t="n">
        <v>0</v>
      </c>
      <c r="J271" t="n">
        <v>0</v>
      </c>
      <c r="K271" t="n">
        <v>0</v>
      </c>
      <c r="L271" t="n">
        <v>0</v>
      </c>
      <c r="M271" t="n">
        <v>0</v>
      </c>
      <c r="N271" t="n">
        <v>0</v>
      </c>
      <c r="O271" t="n">
        <v>0</v>
      </c>
      <c r="P271" t="n">
        <v>0</v>
      </c>
      <c r="Q271" t="n">
        <v>0</v>
      </c>
      <c r="R271" s="2" t="inlineStr"/>
    </row>
    <row r="272" ht="15" customHeight="1">
      <c r="A272" t="inlineStr">
        <is>
          <t>A 35198-2023</t>
        </is>
      </c>
      <c r="B272" s="1" t="n">
        <v>45145</v>
      </c>
      <c r="C272" s="1" t="n">
        <v>46196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43853-2023</t>
        </is>
      </c>
      <c r="B273" s="1" t="n">
        <v>45187</v>
      </c>
      <c r="C273" s="1" t="n">
        <v>46196</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30971-2025</t>
        </is>
      </c>
      <c r="B274" s="1" t="n">
        <v>45832</v>
      </c>
      <c r="C274" s="1" t="n">
        <v>46196</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842-2026</t>
        </is>
      </c>
      <c r="B275" s="1" t="n">
        <v>46030</v>
      </c>
      <c r="C275" s="1" t="n">
        <v>46196</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31551-2025</t>
        </is>
      </c>
      <c r="B276" s="1" t="n">
        <v>45833</v>
      </c>
      <c r="C276" s="1" t="n">
        <v>46196</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30882-2025</t>
        </is>
      </c>
      <c r="B277" s="1" t="n">
        <v>45832</v>
      </c>
      <c r="C277" s="1" t="n">
        <v>46196</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1069-2026</t>
        </is>
      </c>
      <c r="B278" s="1" t="n">
        <v>46030</v>
      </c>
      <c r="C278" s="1" t="n">
        <v>46196</v>
      </c>
      <c r="D278" t="inlineStr">
        <is>
          <t>KALMAR LÄN</t>
        </is>
      </c>
      <c r="E278" t="inlineStr">
        <is>
          <t>VIMMERBY</t>
        </is>
      </c>
      <c r="G278" t="n">
        <v>3.3</v>
      </c>
      <c r="H278" t="n">
        <v>0</v>
      </c>
      <c r="I278" t="n">
        <v>0</v>
      </c>
      <c r="J278" t="n">
        <v>0</v>
      </c>
      <c r="K278" t="n">
        <v>0</v>
      </c>
      <c r="L278" t="n">
        <v>0</v>
      </c>
      <c r="M278" t="n">
        <v>0</v>
      </c>
      <c r="N278" t="n">
        <v>0</v>
      </c>
      <c r="O278" t="n">
        <v>0</v>
      </c>
      <c r="P278" t="n">
        <v>0</v>
      </c>
      <c r="Q278" t="n">
        <v>0</v>
      </c>
      <c r="R278" s="2" t="inlineStr"/>
    </row>
    <row r="279" ht="15" customHeight="1">
      <c r="A279" t="inlineStr">
        <is>
          <t>A 1743-2026</t>
        </is>
      </c>
      <c r="B279" s="1" t="n">
        <v>46034</v>
      </c>
      <c r="C279" s="1" t="n">
        <v>46196</v>
      </c>
      <c r="D279" t="inlineStr">
        <is>
          <t>KALMAR LÄN</t>
        </is>
      </c>
      <c r="E279" t="inlineStr">
        <is>
          <t>VIMMERBY</t>
        </is>
      </c>
      <c r="G279" t="n">
        <v>0.9</v>
      </c>
      <c r="H279" t="n">
        <v>0</v>
      </c>
      <c r="I279" t="n">
        <v>0</v>
      </c>
      <c r="J279" t="n">
        <v>0</v>
      </c>
      <c r="K279" t="n">
        <v>0</v>
      </c>
      <c r="L279" t="n">
        <v>0</v>
      </c>
      <c r="M279" t="n">
        <v>0</v>
      </c>
      <c r="N279" t="n">
        <v>0</v>
      </c>
      <c r="O279" t="n">
        <v>0</v>
      </c>
      <c r="P279" t="n">
        <v>0</v>
      </c>
      <c r="Q279" t="n">
        <v>0</v>
      </c>
      <c r="R279" s="2" t="inlineStr"/>
    </row>
    <row r="280" ht="15" customHeight="1">
      <c r="A280" t="inlineStr">
        <is>
          <t>A 8559-2025</t>
        </is>
      </c>
      <c r="B280" s="1" t="n">
        <v>45709</v>
      </c>
      <c r="C280" s="1" t="n">
        <v>46196</v>
      </c>
      <c r="D280" t="inlineStr">
        <is>
          <t>KALMAR LÄN</t>
        </is>
      </c>
      <c r="E280" t="inlineStr">
        <is>
          <t>VIMMERBY</t>
        </is>
      </c>
      <c r="G280" t="n">
        <v>8.9</v>
      </c>
      <c r="H280" t="n">
        <v>0</v>
      </c>
      <c r="I280" t="n">
        <v>0</v>
      </c>
      <c r="J280" t="n">
        <v>0</v>
      </c>
      <c r="K280" t="n">
        <v>0</v>
      </c>
      <c r="L280" t="n">
        <v>0</v>
      </c>
      <c r="M280" t="n">
        <v>0</v>
      </c>
      <c r="N280" t="n">
        <v>0</v>
      </c>
      <c r="O280" t="n">
        <v>0</v>
      </c>
      <c r="P280" t="n">
        <v>0</v>
      </c>
      <c r="Q280" t="n">
        <v>0</v>
      </c>
      <c r="R280" s="2" t="inlineStr"/>
    </row>
    <row r="281" ht="15" customHeight="1">
      <c r="A281" t="inlineStr">
        <is>
          <t>A 32116-2025</t>
        </is>
      </c>
      <c r="B281" s="1" t="n">
        <v>45835</v>
      </c>
      <c r="C281" s="1" t="n">
        <v>46196</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1748-2026</t>
        </is>
      </c>
      <c r="B282" s="1" t="n">
        <v>46034</v>
      </c>
      <c r="C282" s="1" t="n">
        <v>46196</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1862-2026</t>
        </is>
      </c>
      <c r="B283" s="1" t="n">
        <v>46035</v>
      </c>
      <c r="C283" s="1" t="n">
        <v>46196</v>
      </c>
      <c r="D283" t="inlineStr">
        <is>
          <t>KALMAR LÄN</t>
        </is>
      </c>
      <c r="E283" t="inlineStr">
        <is>
          <t>VIMMERBY</t>
        </is>
      </c>
      <c r="G283" t="n">
        <v>3.1</v>
      </c>
      <c r="H283" t="n">
        <v>0</v>
      </c>
      <c r="I283" t="n">
        <v>0</v>
      </c>
      <c r="J283" t="n">
        <v>0</v>
      </c>
      <c r="K283" t="n">
        <v>0</v>
      </c>
      <c r="L283" t="n">
        <v>0</v>
      </c>
      <c r="M283" t="n">
        <v>0</v>
      </c>
      <c r="N283" t="n">
        <v>0</v>
      </c>
      <c r="O283" t="n">
        <v>0</v>
      </c>
      <c r="P283" t="n">
        <v>0</v>
      </c>
      <c r="Q283" t="n">
        <v>0</v>
      </c>
      <c r="R283" s="2" t="inlineStr"/>
    </row>
    <row r="284" ht="15" customHeight="1">
      <c r="A284" t="inlineStr">
        <is>
          <t>A 32077-2025</t>
        </is>
      </c>
      <c r="B284" s="1" t="n">
        <v>45835</v>
      </c>
      <c r="C284" s="1" t="n">
        <v>46196</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2518-2026</t>
        </is>
      </c>
      <c r="B285" s="1" t="n">
        <v>46037</v>
      </c>
      <c r="C285" s="1" t="n">
        <v>46196</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2514-2026</t>
        </is>
      </c>
      <c r="B286" s="1" t="n">
        <v>46037</v>
      </c>
      <c r="C286" s="1" t="n">
        <v>46196</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9511-2023</t>
        </is>
      </c>
      <c r="B287" s="1" t="n">
        <v>44981</v>
      </c>
      <c r="C287" s="1" t="n">
        <v>46196</v>
      </c>
      <c r="D287" t="inlineStr">
        <is>
          <t>KALMAR LÄN</t>
        </is>
      </c>
      <c r="E287" t="inlineStr">
        <is>
          <t>VIMMERBY</t>
        </is>
      </c>
      <c r="G287" t="n">
        <v>3.5</v>
      </c>
      <c r="H287" t="n">
        <v>0</v>
      </c>
      <c r="I287" t="n">
        <v>0</v>
      </c>
      <c r="J287" t="n">
        <v>0</v>
      </c>
      <c r="K287" t="n">
        <v>0</v>
      </c>
      <c r="L287" t="n">
        <v>0</v>
      </c>
      <c r="M287" t="n">
        <v>0</v>
      </c>
      <c r="N287" t="n">
        <v>0</v>
      </c>
      <c r="O287" t="n">
        <v>0</v>
      </c>
      <c r="P287" t="n">
        <v>0</v>
      </c>
      <c r="Q287" t="n">
        <v>0</v>
      </c>
      <c r="R287" s="2" t="inlineStr"/>
    </row>
    <row r="288" ht="15" customHeight="1">
      <c r="A288" t="inlineStr">
        <is>
          <t>A 2523-2026</t>
        </is>
      </c>
      <c r="B288" s="1" t="n">
        <v>46037</v>
      </c>
      <c r="C288" s="1" t="n">
        <v>46196</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3266-2026</t>
        </is>
      </c>
      <c r="B289" s="1" t="n">
        <v>46041</v>
      </c>
      <c r="C289" s="1" t="n">
        <v>46196</v>
      </c>
      <c r="D289" t="inlineStr">
        <is>
          <t>KALMAR LÄN</t>
        </is>
      </c>
      <c r="E289" t="inlineStr">
        <is>
          <t>VIMMERBY</t>
        </is>
      </c>
      <c r="G289" t="n">
        <v>1.2</v>
      </c>
      <c r="H289" t="n">
        <v>0</v>
      </c>
      <c r="I289" t="n">
        <v>0</v>
      </c>
      <c r="J289" t="n">
        <v>0</v>
      </c>
      <c r="K289" t="n">
        <v>0</v>
      </c>
      <c r="L289" t="n">
        <v>0</v>
      </c>
      <c r="M289" t="n">
        <v>0</v>
      </c>
      <c r="N289" t="n">
        <v>0</v>
      </c>
      <c r="O289" t="n">
        <v>0</v>
      </c>
      <c r="P289" t="n">
        <v>0</v>
      </c>
      <c r="Q289" t="n">
        <v>0</v>
      </c>
      <c r="R289" s="2" t="inlineStr"/>
    </row>
    <row r="290" ht="15" customHeight="1">
      <c r="A290" t="inlineStr">
        <is>
          <t>A 38757-2023</t>
        </is>
      </c>
      <c r="B290" s="1" t="n">
        <v>45163</v>
      </c>
      <c r="C290" s="1" t="n">
        <v>46196</v>
      </c>
      <c r="D290" t="inlineStr">
        <is>
          <t>KALMAR LÄN</t>
        </is>
      </c>
      <c r="E290" t="inlineStr">
        <is>
          <t>VIMMERBY</t>
        </is>
      </c>
      <c r="G290" t="n">
        <v>2.5</v>
      </c>
      <c r="H290" t="n">
        <v>0</v>
      </c>
      <c r="I290" t="n">
        <v>0</v>
      </c>
      <c r="J290" t="n">
        <v>0</v>
      </c>
      <c r="K290" t="n">
        <v>0</v>
      </c>
      <c r="L290" t="n">
        <v>0</v>
      </c>
      <c r="M290" t="n">
        <v>0</v>
      </c>
      <c r="N290" t="n">
        <v>0</v>
      </c>
      <c r="O290" t="n">
        <v>0</v>
      </c>
      <c r="P290" t="n">
        <v>0</v>
      </c>
      <c r="Q290" t="n">
        <v>0</v>
      </c>
      <c r="R290" s="2" t="inlineStr"/>
    </row>
    <row r="291" ht="15" customHeight="1">
      <c r="A291" t="inlineStr">
        <is>
          <t>A 32380-2025</t>
        </is>
      </c>
      <c r="B291" s="1" t="n">
        <v>45837</v>
      </c>
      <c r="C291" s="1" t="n">
        <v>46196</v>
      </c>
      <c r="D291" t="inlineStr">
        <is>
          <t>KALMAR LÄN</t>
        </is>
      </c>
      <c r="E291" t="inlineStr">
        <is>
          <t>VIMMERBY</t>
        </is>
      </c>
      <c r="G291" t="n">
        <v>3.1</v>
      </c>
      <c r="H291" t="n">
        <v>0</v>
      </c>
      <c r="I291" t="n">
        <v>0</v>
      </c>
      <c r="J291" t="n">
        <v>0</v>
      </c>
      <c r="K291" t="n">
        <v>0</v>
      </c>
      <c r="L291" t="n">
        <v>0</v>
      </c>
      <c r="M291" t="n">
        <v>0</v>
      </c>
      <c r="N291" t="n">
        <v>0</v>
      </c>
      <c r="O291" t="n">
        <v>0</v>
      </c>
      <c r="P291" t="n">
        <v>0</v>
      </c>
      <c r="Q291" t="n">
        <v>0</v>
      </c>
      <c r="R291" s="2" t="inlineStr"/>
    </row>
    <row r="292" ht="15" customHeight="1">
      <c r="A292" t="inlineStr">
        <is>
          <t>A 64143-2021</t>
        </is>
      </c>
      <c r="B292" s="1" t="n">
        <v>44510</v>
      </c>
      <c r="C292" s="1" t="n">
        <v>46196</v>
      </c>
      <c r="D292" t="inlineStr">
        <is>
          <t>KALMAR LÄN</t>
        </is>
      </c>
      <c r="E292" t="inlineStr">
        <is>
          <t>VIMMERBY</t>
        </is>
      </c>
      <c r="G292" t="n">
        <v>1.6</v>
      </c>
      <c r="H292" t="n">
        <v>0</v>
      </c>
      <c r="I292" t="n">
        <v>0</v>
      </c>
      <c r="J292" t="n">
        <v>0</v>
      </c>
      <c r="K292" t="n">
        <v>0</v>
      </c>
      <c r="L292" t="n">
        <v>0</v>
      </c>
      <c r="M292" t="n">
        <v>0</v>
      </c>
      <c r="N292" t="n">
        <v>0</v>
      </c>
      <c r="O292" t="n">
        <v>0</v>
      </c>
      <c r="P292" t="n">
        <v>0</v>
      </c>
      <c r="Q292" t="n">
        <v>0</v>
      </c>
      <c r="R292" s="2" t="inlineStr"/>
    </row>
    <row r="293" ht="15" customHeight="1">
      <c r="A293" t="inlineStr">
        <is>
          <t>A 33186-2025</t>
        </is>
      </c>
      <c r="B293" s="1" t="n">
        <v>45840</v>
      </c>
      <c r="C293" s="1" t="n">
        <v>46196</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73938-2021</t>
        </is>
      </c>
      <c r="B294" s="1" t="n">
        <v>44553</v>
      </c>
      <c r="C294" s="1" t="n">
        <v>46196</v>
      </c>
      <c r="D294" t="inlineStr">
        <is>
          <t>KALMAR LÄN</t>
        </is>
      </c>
      <c r="E294" t="inlineStr">
        <is>
          <t>VIMMERBY</t>
        </is>
      </c>
      <c r="G294" t="n">
        <v>3.2</v>
      </c>
      <c r="H294" t="n">
        <v>0</v>
      </c>
      <c r="I294" t="n">
        <v>0</v>
      </c>
      <c r="J294" t="n">
        <v>0</v>
      </c>
      <c r="K294" t="n">
        <v>0</v>
      </c>
      <c r="L294" t="n">
        <v>0</v>
      </c>
      <c r="M294" t="n">
        <v>0</v>
      </c>
      <c r="N294" t="n">
        <v>0</v>
      </c>
      <c r="O294" t="n">
        <v>0</v>
      </c>
      <c r="P294" t="n">
        <v>0</v>
      </c>
      <c r="Q294" t="n">
        <v>0</v>
      </c>
      <c r="R294" s="2" t="inlineStr"/>
    </row>
    <row r="295" ht="15" customHeight="1">
      <c r="A295" t="inlineStr">
        <is>
          <t>A 3868-2026</t>
        </is>
      </c>
      <c r="B295" s="1" t="n">
        <v>46043</v>
      </c>
      <c r="C295" s="1" t="n">
        <v>46196</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30977-2025</t>
        </is>
      </c>
      <c r="B296" s="1" t="n">
        <v>45832</v>
      </c>
      <c r="C296" s="1" t="n">
        <v>46196</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3869-2026</t>
        </is>
      </c>
      <c r="B297" s="1" t="n">
        <v>46043</v>
      </c>
      <c r="C297" s="1" t="n">
        <v>46196</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26956-2025</t>
        </is>
      </c>
      <c r="B298" s="1" t="n">
        <v>45811</v>
      </c>
      <c r="C298" s="1" t="n">
        <v>46196</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3965-2026</t>
        </is>
      </c>
      <c r="B299" s="1" t="n">
        <v>46044</v>
      </c>
      <c r="C299" s="1" t="n">
        <v>46196</v>
      </c>
      <c r="D299" t="inlineStr">
        <is>
          <t>KALMAR LÄN</t>
        </is>
      </c>
      <c r="E299" t="inlineStr">
        <is>
          <t>VIMMERBY</t>
        </is>
      </c>
      <c r="G299" t="n">
        <v>2.6</v>
      </c>
      <c r="H299" t="n">
        <v>0</v>
      </c>
      <c r="I299" t="n">
        <v>0</v>
      </c>
      <c r="J299" t="n">
        <v>0</v>
      </c>
      <c r="K299" t="n">
        <v>0</v>
      </c>
      <c r="L299" t="n">
        <v>0</v>
      </c>
      <c r="M299" t="n">
        <v>0</v>
      </c>
      <c r="N299" t="n">
        <v>0</v>
      </c>
      <c r="O299" t="n">
        <v>0</v>
      </c>
      <c r="P299" t="n">
        <v>0</v>
      </c>
      <c r="Q299" t="n">
        <v>0</v>
      </c>
      <c r="R299" s="2" t="inlineStr"/>
    </row>
    <row r="300" ht="15" customHeight="1">
      <c r="A300" t="inlineStr">
        <is>
          <t>A 28702-2025</t>
        </is>
      </c>
      <c r="B300" s="1" t="n">
        <v>45820</v>
      </c>
      <c r="C300" s="1" t="n">
        <v>46196</v>
      </c>
      <c r="D300" t="inlineStr">
        <is>
          <t>KALMAR LÄN</t>
        </is>
      </c>
      <c r="E300" t="inlineStr">
        <is>
          <t>VIMMERBY</t>
        </is>
      </c>
      <c r="G300" t="n">
        <v>2.1</v>
      </c>
      <c r="H300" t="n">
        <v>0</v>
      </c>
      <c r="I300" t="n">
        <v>0</v>
      </c>
      <c r="J300" t="n">
        <v>0</v>
      </c>
      <c r="K300" t="n">
        <v>0</v>
      </c>
      <c r="L300" t="n">
        <v>0</v>
      </c>
      <c r="M300" t="n">
        <v>0</v>
      </c>
      <c r="N300" t="n">
        <v>0</v>
      </c>
      <c r="O300" t="n">
        <v>0</v>
      </c>
      <c r="P300" t="n">
        <v>0</v>
      </c>
      <c r="Q300" t="n">
        <v>0</v>
      </c>
      <c r="R300" s="2" t="inlineStr"/>
    </row>
    <row r="301" ht="15" customHeight="1">
      <c r="A301" t="inlineStr">
        <is>
          <t>A 34628-2025</t>
        </is>
      </c>
      <c r="B301" s="1" t="n">
        <v>45847</v>
      </c>
      <c r="C301" s="1" t="n">
        <v>46196</v>
      </c>
      <c r="D301" t="inlineStr">
        <is>
          <t>KALMAR LÄN</t>
        </is>
      </c>
      <c r="E301" t="inlineStr">
        <is>
          <t>VIMMERBY</t>
        </is>
      </c>
      <c r="G301" t="n">
        <v>4.2</v>
      </c>
      <c r="H301" t="n">
        <v>0</v>
      </c>
      <c r="I301" t="n">
        <v>0</v>
      </c>
      <c r="J301" t="n">
        <v>0</v>
      </c>
      <c r="K301" t="n">
        <v>0</v>
      </c>
      <c r="L301" t="n">
        <v>0</v>
      </c>
      <c r="M301" t="n">
        <v>0</v>
      </c>
      <c r="N301" t="n">
        <v>0</v>
      </c>
      <c r="O301" t="n">
        <v>0</v>
      </c>
      <c r="P301" t="n">
        <v>0</v>
      </c>
      <c r="Q301" t="n">
        <v>0</v>
      </c>
      <c r="R301" s="2" t="inlineStr"/>
    </row>
    <row r="302" ht="15" customHeight="1">
      <c r="A302" t="inlineStr">
        <is>
          <t>A 40076-2021</t>
        </is>
      </c>
      <c r="B302" s="1" t="n">
        <v>44418</v>
      </c>
      <c r="C302" s="1" t="n">
        <v>46196</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50648-2023</t>
        </is>
      </c>
      <c r="B303" s="1" t="n">
        <v>45217</v>
      </c>
      <c r="C303" s="1" t="n">
        <v>46196</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529-2022</t>
        </is>
      </c>
      <c r="B304" s="1" t="n">
        <v>44566</v>
      </c>
      <c r="C304" s="1" t="n">
        <v>46196</v>
      </c>
      <c r="D304" t="inlineStr">
        <is>
          <t>KALMAR LÄN</t>
        </is>
      </c>
      <c r="E304" t="inlineStr">
        <is>
          <t>VIMMERBY</t>
        </is>
      </c>
      <c r="G304" t="n">
        <v>1.5</v>
      </c>
      <c r="H304" t="n">
        <v>0</v>
      </c>
      <c r="I304" t="n">
        <v>0</v>
      </c>
      <c r="J304" t="n">
        <v>0</v>
      </c>
      <c r="K304" t="n">
        <v>0</v>
      </c>
      <c r="L304" t="n">
        <v>0</v>
      </c>
      <c r="M304" t="n">
        <v>0</v>
      </c>
      <c r="N304" t="n">
        <v>0</v>
      </c>
      <c r="O304" t="n">
        <v>0</v>
      </c>
      <c r="P304" t="n">
        <v>0</v>
      </c>
      <c r="Q304" t="n">
        <v>0</v>
      </c>
      <c r="R304" s="2" t="inlineStr"/>
    </row>
    <row r="305" ht="15" customHeight="1">
      <c r="A305" t="inlineStr">
        <is>
          <t>A 58318-2021</t>
        </is>
      </c>
      <c r="B305" s="1" t="n">
        <v>44488</v>
      </c>
      <c r="C305" s="1" t="n">
        <v>46196</v>
      </c>
      <c r="D305" t="inlineStr">
        <is>
          <t>KALMAR LÄN</t>
        </is>
      </c>
      <c r="E305" t="inlineStr">
        <is>
          <t>VIMMERBY</t>
        </is>
      </c>
      <c r="G305" t="n">
        <v>4</v>
      </c>
      <c r="H305" t="n">
        <v>0</v>
      </c>
      <c r="I305" t="n">
        <v>0</v>
      </c>
      <c r="J305" t="n">
        <v>0</v>
      </c>
      <c r="K305" t="n">
        <v>0</v>
      </c>
      <c r="L305" t="n">
        <v>0</v>
      </c>
      <c r="M305" t="n">
        <v>0</v>
      </c>
      <c r="N305" t="n">
        <v>0</v>
      </c>
      <c r="O305" t="n">
        <v>0</v>
      </c>
      <c r="P305" t="n">
        <v>0</v>
      </c>
      <c r="Q305" t="n">
        <v>0</v>
      </c>
      <c r="R305" s="2" t="inlineStr"/>
    </row>
    <row r="306" ht="15" customHeight="1">
      <c r="A306" t="inlineStr">
        <is>
          <t>A 89-2023</t>
        </is>
      </c>
      <c r="B306" s="1" t="n">
        <v>44918</v>
      </c>
      <c r="C306" s="1" t="n">
        <v>46196</v>
      </c>
      <c r="D306" t="inlineStr">
        <is>
          <t>KALMAR LÄN</t>
        </is>
      </c>
      <c r="E306" t="inlineStr">
        <is>
          <t>VIMMERBY</t>
        </is>
      </c>
      <c r="G306" t="n">
        <v>16.1</v>
      </c>
      <c r="H306" t="n">
        <v>0</v>
      </c>
      <c r="I306" t="n">
        <v>0</v>
      </c>
      <c r="J306" t="n">
        <v>0</v>
      </c>
      <c r="K306" t="n">
        <v>0</v>
      </c>
      <c r="L306" t="n">
        <v>0</v>
      </c>
      <c r="M306" t="n">
        <v>0</v>
      </c>
      <c r="N306" t="n">
        <v>0</v>
      </c>
      <c r="O306" t="n">
        <v>0</v>
      </c>
      <c r="P306" t="n">
        <v>0</v>
      </c>
      <c r="Q306" t="n">
        <v>0</v>
      </c>
      <c r="R306" s="2" t="inlineStr"/>
    </row>
    <row r="307" ht="15" customHeight="1">
      <c r="A307" t="inlineStr">
        <is>
          <t>A 23088-2024</t>
        </is>
      </c>
      <c r="B307" s="1" t="n">
        <v>45450</v>
      </c>
      <c r="C307" s="1" t="n">
        <v>46196</v>
      </c>
      <c r="D307" t="inlineStr">
        <is>
          <t>KALMAR LÄN</t>
        </is>
      </c>
      <c r="E307" t="inlineStr">
        <is>
          <t>VIMMERBY</t>
        </is>
      </c>
      <c r="G307" t="n">
        <v>1.9</v>
      </c>
      <c r="H307" t="n">
        <v>0</v>
      </c>
      <c r="I307" t="n">
        <v>0</v>
      </c>
      <c r="J307" t="n">
        <v>0</v>
      </c>
      <c r="K307" t="n">
        <v>0</v>
      </c>
      <c r="L307" t="n">
        <v>0</v>
      </c>
      <c r="M307" t="n">
        <v>0</v>
      </c>
      <c r="N307" t="n">
        <v>0</v>
      </c>
      <c r="O307" t="n">
        <v>0</v>
      </c>
      <c r="P307" t="n">
        <v>0</v>
      </c>
      <c r="Q307" t="n">
        <v>0</v>
      </c>
      <c r="R307" s="2" t="inlineStr"/>
    </row>
    <row r="308" ht="15" customHeight="1">
      <c r="A308" t="inlineStr">
        <is>
          <t>A 35271-2025</t>
        </is>
      </c>
      <c r="B308" s="1" t="n">
        <v>45853</v>
      </c>
      <c r="C308" s="1" t="n">
        <v>46196</v>
      </c>
      <c r="D308" t="inlineStr">
        <is>
          <t>KALMAR LÄN</t>
        </is>
      </c>
      <c r="E308" t="inlineStr">
        <is>
          <t>VIMMERBY</t>
        </is>
      </c>
      <c r="G308" t="n">
        <v>0.4</v>
      </c>
      <c r="H308" t="n">
        <v>0</v>
      </c>
      <c r="I308" t="n">
        <v>0</v>
      </c>
      <c r="J308" t="n">
        <v>0</v>
      </c>
      <c r="K308" t="n">
        <v>0</v>
      </c>
      <c r="L308" t="n">
        <v>0</v>
      </c>
      <c r="M308" t="n">
        <v>0</v>
      </c>
      <c r="N308" t="n">
        <v>0</v>
      </c>
      <c r="O308" t="n">
        <v>0</v>
      </c>
      <c r="P308" t="n">
        <v>0</v>
      </c>
      <c r="Q308" t="n">
        <v>0</v>
      </c>
      <c r="R308" s="2" t="inlineStr"/>
    </row>
    <row r="309" ht="15" customHeight="1">
      <c r="A309" t="inlineStr">
        <is>
          <t>A 16953-2025</t>
        </is>
      </c>
      <c r="B309" s="1" t="n">
        <v>45755</v>
      </c>
      <c r="C309" s="1" t="n">
        <v>46196</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38851-2023</t>
        </is>
      </c>
      <c r="B310" s="1" t="n">
        <v>45163</v>
      </c>
      <c r="C310" s="1" t="n">
        <v>46196</v>
      </c>
      <c r="D310" t="inlineStr">
        <is>
          <t>KALMAR LÄN</t>
        </is>
      </c>
      <c r="E310" t="inlineStr">
        <is>
          <t>VIMMERBY</t>
        </is>
      </c>
      <c r="G310" t="n">
        <v>4.3</v>
      </c>
      <c r="H310" t="n">
        <v>0</v>
      </c>
      <c r="I310" t="n">
        <v>0</v>
      </c>
      <c r="J310" t="n">
        <v>0</v>
      </c>
      <c r="K310" t="n">
        <v>0</v>
      </c>
      <c r="L310" t="n">
        <v>0</v>
      </c>
      <c r="M310" t="n">
        <v>0</v>
      </c>
      <c r="N310" t="n">
        <v>0</v>
      </c>
      <c r="O310" t="n">
        <v>0</v>
      </c>
      <c r="P310" t="n">
        <v>0</v>
      </c>
      <c r="Q310" t="n">
        <v>0</v>
      </c>
      <c r="R310" s="2" t="inlineStr"/>
    </row>
    <row r="311" ht="15" customHeight="1">
      <c r="A311" t="inlineStr">
        <is>
          <t>A 10759-2023</t>
        </is>
      </c>
      <c r="B311" s="1" t="n">
        <v>44988</v>
      </c>
      <c r="C311" s="1" t="n">
        <v>46196</v>
      </c>
      <c r="D311" t="inlineStr">
        <is>
          <t>KALMAR LÄN</t>
        </is>
      </c>
      <c r="E311" t="inlineStr">
        <is>
          <t>VIMMERBY</t>
        </is>
      </c>
      <c r="G311" t="n">
        <v>0.4</v>
      </c>
      <c r="H311" t="n">
        <v>0</v>
      </c>
      <c r="I311" t="n">
        <v>0</v>
      </c>
      <c r="J311" t="n">
        <v>0</v>
      </c>
      <c r="K311" t="n">
        <v>0</v>
      </c>
      <c r="L311" t="n">
        <v>0</v>
      </c>
      <c r="M311" t="n">
        <v>0</v>
      </c>
      <c r="N311" t="n">
        <v>0</v>
      </c>
      <c r="O311" t="n">
        <v>0</v>
      </c>
      <c r="P311" t="n">
        <v>0</v>
      </c>
      <c r="Q311" t="n">
        <v>0</v>
      </c>
      <c r="R311" s="2" t="inlineStr"/>
    </row>
    <row r="312" ht="15" customHeight="1">
      <c r="A312" t="inlineStr">
        <is>
          <t>A 63583-2023</t>
        </is>
      </c>
      <c r="B312" s="1" t="n">
        <v>45275</v>
      </c>
      <c r="C312" s="1" t="n">
        <v>46196</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40079-2023</t>
        </is>
      </c>
      <c r="B313" s="1" t="n">
        <v>45168</v>
      </c>
      <c r="C313" s="1" t="n">
        <v>46196</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43774-2023</t>
        </is>
      </c>
      <c r="B314" s="1" t="n">
        <v>45187</v>
      </c>
      <c r="C314" s="1" t="n">
        <v>46196</v>
      </c>
      <c r="D314" t="inlineStr">
        <is>
          <t>KALMAR LÄN</t>
        </is>
      </c>
      <c r="E314" t="inlineStr">
        <is>
          <t>VIMMERBY</t>
        </is>
      </c>
      <c r="G314" t="n">
        <v>3.4</v>
      </c>
      <c r="H314" t="n">
        <v>0</v>
      </c>
      <c r="I314" t="n">
        <v>0</v>
      </c>
      <c r="J314" t="n">
        <v>0</v>
      </c>
      <c r="K314" t="n">
        <v>0</v>
      </c>
      <c r="L314" t="n">
        <v>0</v>
      </c>
      <c r="M314" t="n">
        <v>0</v>
      </c>
      <c r="N314" t="n">
        <v>0</v>
      </c>
      <c r="O314" t="n">
        <v>0</v>
      </c>
      <c r="P314" t="n">
        <v>0</v>
      </c>
      <c r="Q314" t="n">
        <v>0</v>
      </c>
      <c r="R314" s="2" t="inlineStr"/>
    </row>
    <row r="315" ht="15" customHeight="1">
      <c r="A315" t="inlineStr">
        <is>
          <t>A 36246-2025</t>
        </is>
      </c>
      <c r="B315" s="1" t="n">
        <v>45867</v>
      </c>
      <c r="C315" s="1" t="n">
        <v>46196</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29616-2022</t>
        </is>
      </c>
      <c r="B316" s="1" t="n">
        <v>44754</v>
      </c>
      <c r="C316" s="1" t="n">
        <v>46196</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36297-2025</t>
        </is>
      </c>
      <c r="B317" s="1" t="n">
        <v>45867</v>
      </c>
      <c r="C317" s="1" t="n">
        <v>46196</v>
      </c>
      <c r="D317" t="inlineStr">
        <is>
          <t>KALMAR LÄN</t>
        </is>
      </c>
      <c r="E317" t="inlineStr">
        <is>
          <t>VIMMERBY</t>
        </is>
      </c>
      <c r="G317" t="n">
        <v>4.9</v>
      </c>
      <c r="H317" t="n">
        <v>0</v>
      </c>
      <c r="I317" t="n">
        <v>0</v>
      </c>
      <c r="J317" t="n">
        <v>0</v>
      </c>
      <c r="K317" t="n">
        <v>0</v>
      </c>
      <c r="L317" t="n">
        <v>0</v>
      </c>
      <c r="M317" t="n">
        <v>0</v>
      </c>
      <c r="N317" t="n">
        <v>0</v>
      </c>
      <c r="O317" t="n">
        <v>0</v>
      </c>
      <c r="P317" t="n">
        <v>0</v>
      </c>
      <c r="Q317" t="n">
        <v>0</v>
      </c>
      <c r="R317" s="2" t="inlineStr"/>
    </row>
    <row r="318" ht="15" customHeight="1">
      <c r="A318" t="inlineStr">
        <is>
          <t>A 19502-2025</t>
        </is>
      </c>
      <c r="B318" s="1" t="n">
        <v>45769</v>
      </c>
      <c r="C318" s="1" t="n">
        <v>46196</v>
      </c>
      <c r="D318" t="inlineStr">
        <is>
          <t>KALMAR LÄN</t>
        </is>
      </c>
      <c r="E318" t="inlineStr">
        <is>
          <t>VIMMERBY</t>
        </is>
      </c>
      <c r="G318" t="n">
        <v>1.9</v>
      </c>
      <c r="H318" t="n">
        <v>0</v>
      </c>
      <c r="I318" t="n">
        <v>0</v>
      </c>
      <c r="J318" t="n">
        <v>0</v>
      </c>
      <c r="K318" t="n">
        <v>0</v>
      </c>
      <c r="L318" t="n">
        <v>0</v>
      </c>
      <c r="M318" t="n">
        <v>0</v>
      </c>
      <c r="N318" t="n">
        <v>0</v>
      </c>
      <c r="O318" t="n">
        <v>0</v>
      </c>
      <c r="P318" t="n">
        <v>0</v>
      </c>
      <c r="Q318" t="n">
        <v>0</v>
      </c>
      <c r="R318" s="2" t="inlineStr"/>
    </row>
    <row r="319" ht="15" customHeight="1">
      <c r="A319" t="inlineStr">
        <is>
          <t>A 39578-2024</t>
        </is>
      </c>
      <c r="B319" s="1" t="n">
        <v>45552</v>
      </c>
      <c r="C319" s="1" t="n">
        <v>46196</v>
      </c>
      <c r="D319" t="inlineStr">
        <is>
          <t>KALMAR LÄN</t>
        </is>
      </c>
      <c r="E319" t="inlineStr">
        <is>
          <t>VIMMERBY</t>
        </is>
      </c>
      <c r="G319" t="n">
        <v>1.5</v>
      </c>
      <c r="H319" t="n">
        <v>0</v>
      </c>
      <c r="I319" t="n">
        <v>0</v>
      </c>
      <c r="J319" t="n">
        <v>0</v>
      </c>
      <c r="K319" t="n">
        <v>0</v>
      </c>
      <c r="L319" t="n">
        <v>0</v>
      </c>
      <c r="M319" t="n">
        <v>0</v>
      </c>
      <c r="N319" t="n">
        <v>0</v>
      </c>
      <c r="O319" t="n">
        <v>0</v>
      </c>
      <c r="P319" t="n">
        <v>0</v>
      </c>
      <c r="Q319" t="n">
        <v>0</v>
      </c>
      <c r="R319" s="2" t="inlineStr"/>
    </row>
    <row r="320" ht="15" customHeight="1">
      <c r="A320" t="inlineStr">
        <is>
          <t>A 24707-2024</t>
        </is>
      </c>
      <c r="B320" s="1" t="n">
        <v>45460</v>
      </c>
      <c r="C320" s="1" t="n">
        <v>46196</v>
      </c>
      <c r="D320" t="inlineStr">
        <is>
          <t>KALMAR LÄN</t>
        </is>
      </c>
      <c r="E320" t="inlineStr">
        <is>
          <t>VIMMERBY</t>
        </is>
      </c>
      <c r="G320" t="n">
        <v>1.7</v>
      </c>
      <c r="H320" t="n">
        <v>0</v>
      </c>
      <c r="I320" t="n">
        <v>0</v>
      </c>
      <c r="J320" t="n">
        <v>0</v>
      </c>
      <c r="K320" t="n">
        <v>0</v>
      </c>
      <c r="L320" t="n">
        <v>0</v>
      </c>
      <c r="M320" t="n">
        <v>0</v>
      </c>
      <c r="N320" t="n">
        <v>0</v>
      </c>
      <c r="O320" t="n">
        <v>0</v>
      </c>
      <c r="P320" t="n">
        <v>0</v>
      </c>
      <c r="Q320" t="n">
        <v>0</v>
      </c>
      <c r="R320" s="2" t="inlineStr"/>
    </row>
    <row r="321" ht="15" customHeight="1">
      <c r="A321" t="inlineStr">
        <is>
          <t>A 36299-2025</t>
        </is>
      </c>
      <c r="B321" s="1" t="n">
        <v>45867</v>
      </c>
      <c r="C321" s="1" t="n">
        <v>46196</v>
      </c>
      <c r="D321" t="inlineStr">
        <is>
          <t>KALMAR LÄN</t>
        </is>
      </c>
      <c r="E321" t="inlineStr">
        <is>
          <t>VIMMERBY</t>
        </is>
      </c>
      <c r="G321" t="n">
        <v>7.6</v>
      </c>
      <c r="H321" t="n">
        <v>0</v>
      </c>
      <c r="I321" t="n">
        <v>0</v>
      </c>
      <c r="J321" t="n">
        <v>0</v>
      </c>
      <c r="K321" t="n">
        <v>0</v>
      </c>
      <c r="L321" t="n">
        <v>0</v>
      </c>
      <c r="M321" t="n">
        <v>0</v>
      </c>
      <c r="N321" t="n">
        <v>0</v>
      </c>
      <c r="O321" t="n">
        <v>0</v>
      </c>
      <c r="P321" t="n">
        <v>0</v>
      </c>
      <c r="Q321" t="n">
        <v>0</v>
      </c>
      <c r="R321" s="2" t="inlineStr"/>
    </row>
    <row r="322" ht="15" customHeight="1">
      <c r="A322" t="inlineStr">
        <is>
          <t>A 36538-2025</t>
        </is>
      </c>
      <c r="B322" s="1" t="n">
        <v>45869</v>
      </c>
      <c r="C322" s="1" t="n">
        <v>46196</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6817-2026</t>
        </is>
      </c>
      <c r="B323" s="1" t="n">
        <v>46057</v>
      </c>
      <c r="C323" s="1" t="n">
        <v>46196</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31056-2022</t>
        </is>
      </c>
      <c r="B324" s="1" t="n">
        <v>44769</v>
      </c>
      <c r="C324" s="1" t="n">
        <v>46196</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33383-2023</t>
        </is>
      </c>
      <c r="B325" s="1" t="n">
        <v>45128</v>
      </c>
      <c r="C325" s="1" t="n">
        <v>46196</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40828-2023</t>
        </is>
      </c>
      <c r="B326" s="1" t="n">
        <v>45171</v>
      </c>
      <c r="C326" s="1" t="n">
        <v>46196</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36603-2025</t>
        </is>
      </c>
      <c r="B327" s="1" t="n">
        <v>45870</v>
      </c>
      <c r="C327" s="1" t="n">
        <v>46196</v>
      </c>
      <c r="D327" t="inlineStr">
        <is>
          <t>KALMAR LÄN</t>
        </is>
      </c>
      <c r="E327" t="inlineStr">
        <is>
          <t>VIMMERBY</t>
        </is>
      </c>
      <c r="G327" t="n">
        <v>1.6</v>
      </c>
      <c r="H327" t="n">
        <v>0</v>
      </c>
      <c r="I327" t="n">
        <v>0</v>
      </c>
      <c r="J327" t="n">
        <v>0</v>
      </c>
      <c r="K327" t="n">
        <v>0</v>
      </c>
      <c r="L327" t="n">
        <v>0</v>
      </c>
      <c r="M327" t="n">
        <v>0</v>
      </c>
      <c r="N327" t="n">
        <v>0</v>
      </c>
      <c r="O327" t="n">
        <v>0</v>
      </c>
      <c r="P327" t="n">
        <v>0</v>
      </c>
      <c r="Q327" t="n">
        <v>0</v>
      </c>
      <c r="R327" s="2" t="inlineStr"/>
    </row>
    <row r="328" ht="15" customHeight="1">
      <c r="A328" t="inlineStr">
        <is>
          <t>A 36601-2025</t>
        </is>
      </c>
      <c r="B328" s="1" t="n">
        <v>45870</v>
      </c>
      <c r="C328" s="1" t="n">
        <v>46196</v>
      </c>
      <c r="D328" t="inlineStr">
        <is>
          <t>KALMAR LÄN</t>
        </is>
      </c>
      <c r="E328" t="inlineStr">
        <is>
          <t>VIMMERBY</t>
        </is>
      </c>
      <c r="G328" t="n">
        <v>0.5</v>
      </c>
      <c r="H328" t="n">
        <v>0</v>
      </c>
      <c r="I328" t="n">
        <v>0</v>
      </c>
      <c r="J328" t="n">
        <v>0</v>
      </c>
      <c r="K328" t="n">
        <v>0</v>
      </c>
      <c r="L328" t="n">
        <v>0</v>
      </c>
      <c r="M328" t="n">
        <v>0</v>
      </c>
      <c r="N328" t="n">
        <v>0</v>
      </c>
      <c r="O328" t="n">
        <v>0</v>
      </c>
      <c r="P328" t="n">
        <v>0</v>
      </c>
      <c r="Q328" t="n">
        <v>0</v>
      </c>
      <c r="R328" s="2" t="inlineStr"/>
    </row>
    <row r="329" ht="15" customHeight="1">
      <c r="A329" t="inlineStr">
        <is>
          <t>A 61861-2024</t>
        </is>
      </c>
      <c r="B329" s="1" t="n">
        <v>45650</v>
      </c>
      <c r="C329" s="1" t="n">
        <v>46196</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8650-2022</t>
        </is>
      </c>
      <c r="B330" s="1" t="n">
        <v>44613</v>
      </c>
      <c r="C330" s="1" t="n">
        <v>46196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33340-2023</t>
        </is>
      </c>
      <c r="B331" s="1" t="n">
        <v>45128</v>
      </c>
      <c r="C331" s="1" t="n">
        <v>46196</v>
      </c>
      <c r="D331" t="inlineStr">
        <is>
          <t>KALMAR LÄN</t>
        </is>
      </c>
      <c r="E331" t="inlineStr">
        <is>
          <t>VIMMERBY</t>
        </is>
      </c>
      <c r="G331" t="n">
        <v>1.5</v>
      </c>
      <c r="H331" t="n">
        <v>0</v>
      </c>
      <c r="I331" t="n">
        <v>0</v>
      </c>
      <c r="J331" t="n">
        <v>0</v>
      </c>
      <c r="K331" t="n">
        <v>0</v>
      </c>
      <c r="L331" t="n">
        <v>0</v>
      </c>
      <c r="M331" t="n">
        <v>0</v>
      </c>
      <c r="N331" t="n">
        <v>0</v>
      </c>
      <c r="O331" t="n">
        <v>0</v>
      </c>
      <c r="P331" t="n">
        <v>0</v>
      </c>
      <c r="Q331" t="n">
        <v>0</v>
      </c>
      <c r="R331" s="2" t="inlineStr"/>
    </row>
    <row r="332" ht="15" customHeight="1">
      <c r="A332" t="inlineStr">
        <is>
          <t>A 44423-2023</t>
        </is>
      </c>
      <c r="B332" s="1" t="n">
        <v>45189</v>
      </c>
      <c r="C332" s="1" t="n">
        <v>46196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37323-2024</t>
        </is>
      </c>
      <c r="B333" s="1" t="n">
        <v>45540</v>
      </c>
      <c r="C333" s="1" t="n">
        <v>46196</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37578-2025</t>
        </is>
      </c>
      <c r="B334" s="1" t="n">
        <v>45880</v>
      </c>
      <c r="C334" s="1" t="n">
        <v>46196</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37668-2025</t>
        </is>
      </c>
      <c r="B335" s="1" t="n">
        <v>45880</v>
      </c>
      <c r="C335" s="1" t="n">
        <v>46196</v>
      </c>
      <c r="D335" t="inlineStr">
        <is>
          <t>KALMAR LÄN</t>
        </is>
      </c>
      <c r="E335" t="inlineStr">
        <is>
          <t>VIMMERBY</t>
        </is>
      </c>
      <c r="F335" t="inlineStr">
        <is>
          <t>Sveaskog</t>
        </is>
      </c>
      <c r="G335" t="n">
        <v>0.6</v>
      </c>
      <c r="H335" t="n">
        <v>0</v>
      </c>
      <c r="I335" t="n">
        <v>0</v>
      </c>
      <c r="J335" t="n">
        <v>0</v>
      </c>
      <c r="K335" t="n">
        <v>0</v>
      </c>
      <c r="L335" t="n">
        <v>0</v>
      </c>
      <c r="M335" t="n">
        <v>0</v>
      </c>
      <c r="N335" t="n">
        <v>0</v>
      </c>
      <c r="O335" t="n">
        <v>0</v>
      </c>
      <c r="P335" t="n">
        <v>0</v>
      </c>
      <c r="Q335" t="n">
        <v>0</v>
      </c>
      <c r="R335" s="2" t="inlineStr"/>
    </row>
    <row r="336" ht="15" customHeight="1">
      <c r="A336" t="inlineStr">
        <is>
          <t>A 18501-2024</t>
        </is>
      </c>
      <c r="B336" s="1" t="n">
        <v>45425</v>
      </c>
      <c r="C336" s="1" t="n">
        <v>46196</v>
      </c>
      <c r="D336" t="inlineStr">
        <is>
          <t>KALMAR LÄN</t>
        </is>
      </c>
      <c r="E336" t="inlineStr">
        <is>
          <t>VIMMERBY</t>
        </is>
      </c>
      <c r="G336" t="n">
        <v>2</v>
      </c>
      <c r="H336" t="n">
        <v>0</v>
      </c>
      <c r="I336" t="n">
        <v>0</v>
      </c>
      <c r="J336" t="n">
        <v>0</v>
      </c>
      <c r="K336" t="n">
        <v>0</v>
      </c>
      <c r="L336" t="n">
        <v>0</v>
      </c>
      <c r="M336" t="n">
        <v>0</v>
      </c>
      <c r="N336" t="n">
        <v>0</v>
      </c>
      <c r="O336" t="n">
        <v>0</v>
      </c>
      <c r="P336" t="n">
        <v>0</v>
      </c>
      <c r="Q336" t="n">
        <v>0</v>
      </c>
      <c r="R336" s="2" t="inlineStr"/>
    </row>
    <row r="337" ht="15" customHeight="1">
      <c r="A337" t="inlineStr">
        <is>
          <t>A 8595-2026</t>
        </is>
      </c>
      <c r="B337" s="1" t="n">
        <v>46065</v>
      </c>
      <c r="C337" s="1" t="n">
        <v>46196</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27758-2024</t>
        </is>
      </c>
      <c r="B338" s="1" t="n">
        <v>45475</v>
      </c>
      <c r="C338" s="1" t="n">
        <v>46196</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55716-2023</t>
        </is>
      </c>
      <c r="B339" s="1" t="n">
        <v>45232</v>
      </c>
      <c r="C339" s="1" t="n">
        <v>46196</v>
      </c>
      <c r="D339" t="inlineStr">
        <is>
          <t>KALMAR LÄN</t>
        </is>
      </c>
      <c r="E339" t="inlineStr">
        <is>
          <t>VIMMERBY</t>
        </is>
      </c>
      <c r="G339" t="n">
        <v>2.3</v>
      </c>
      <c r="H339" t="n">
        <v>0</v>
      </c>
      <c r="I339" t="n">
        <v>0</v>
      </c>
      <c r="J339" t="n">
        <v>0</v>
      </c>
      <c r="K339" t="n">
        <v>0</v>
      </c>
      <c r="L339" t="n">
        <v>0</v>
      </c>
      <c r="M339" t="n">
        <v>0</v>
      </c>
      <c r="N339" t="n">
        <v>0</v>
      </c>
      <c r="O339" t="n">
        <v>0</v>
      </c>
      <c r="P339" t="n">
        <v>0</v>
      </c>
      <c r="Q339" t="n">
        <v>0</v>
      </c>
      <c r="R339" s="2" t="inlineStr"/>
    </row>
    <row r="340" ht="15" customHeight="1">
      <c r="A340" t="inlineStr">
        <is>
          <t>A 18329-2023</t>
        </is>
      </c>
      <c r="B340" s="1" t="n">
        <v>45041</v>
      </c>
      <c r="C340" s="1" t="n">
        <v>46196</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29186-2024</t>
        </is>
      </c>
      <c r="B341" s="1" t="n">
        <v>45482</v>
      </c>
      <c r="C341" s="1" t="n">
        <v>46196</v>
      </c>
      <c r="D341" t="inlineStr">
        <is>
          <t>KALMAR LÄN</t>
        </is>
      </c>
      <c r="E341" t="inlineStr">
        <is>
          <t>VIMMERBY</t>
        </is>
      </c>
      <c r="G341" t="n">
        <v>2.6</v>
      </c>
      <c r="H341" t="n">
        <v>0</v>
      </c>
      <c r="I341" t="n">
        <v>0</v>
      </c>
      <c r="J341" t="n">
        <v>0</v>
      </c>
      <c r="K341" t="n">
        <v>0</v>
      </c>
      <c r="L341" t="n">
        <v>0</v>
      </c>
      <c r="M341" t="n">
        <v>0</v>
      </c>
      <c r="N341" t="n">
        <v>0</v>
      </c>
      <c r="O341" t="n">
        <v>0</v>
      </c>
      <c r="P341" t="n">
        <v>0</v>
      </c>
      <c r="Q341" t="n">
        <v>0</v>
      </c>
      <c r="R341" s="2" t="inlineStr"/>
    </row>
    <row r="342" ht="15" customHeight="1">
      <c r="A342" t="inlineStr">
        <is>
          <t>A 50993-2022</t>
        </is>
      </c>
      <c r="B342" s="1" t="n">
        <v>44867</v>
      </c>
      <c r="C342" s="1" t="n">
        <v>46196</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11415-2026</t>
        </is>
      </c>
      <c r="B343" s="1" t="n">
        <v>46083</v>
      </c>
      <c r="C343" s="1" t="n">
        <v>46196</v>
      </c>
      <c r="D343" t="inlineStr">
        <is>
          <t>KALMAR LÄN</t>
        </is>
      </c>
      <c r="E343" t="inlineStr">
        <is>
          <t>VIMMERBY</t>
        </is>
      </c>
      <c r="G343" t="n">
        <v>1.1</v>
      </c>
      <c r="H343" t="n">
        <v>0</v>
      </c>
      <c r="I343" t="n">
        <v>0</v>
      </c>
      <c r="J343" t="n">
        <v>0</v>
      </c>
      <c r="K343" t="n">
        <v>0</v>
      </c>
      <c r="L343" t="n">
        <v>0</v>
      </c>
      <c r="M343" t="n">
        <v>0</v>
      </c>
      <c r="N343" t="n">
        <v>0</v>
      </c>
      <c r="O343" t="n">
        <v>0</v>
      </c>
      <c r="P343" t="n">
        <v>0</v>
      </c>
      <c r="Q343" t="n">
        <v>0</v>
      </c>
      <c r="R343" s="2" t="inlineStr"/>
    </row>
    <row r="344" ht="15" customHeight="1">
      <c r="A344" t="inlineStr">
        <is>
          <t>A 11407-2026</t>
        </is>
      </c>
      <c r="B344" s="1" t="n">
        <v>46083</v>
      </c>
      <c r="C344" s="1" t="n">
        <v>46196</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54787-2023</t>
        </is>
      </c>
      <c r="B345" s="1" t="n">
        <v>45236</v>
      </c>
      <c r="C345" s="1" t="n">
        <v>46196</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32614-2023</t>
        </is>
      </c>
      <c r="B346" s="1" t="n">
        <v>45121</v>
      </c>
      <c r="C346" s="1" t="n">
        <v>46196</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6850-2023</t>
        </is>
      </c>
      <c r="B347" s="1" t="n">
        <v>44967</v>
      </c>
      <c r="C347" s="1" t="n">
        <v>46196</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58750-2022</t>
        </is>
      </c>
      <c r="B348" s="1" t="n">
        <v>44903</v>
      </c>
      <c r="C348" s="1" t="n">
        <v>46196</v>
      </c>
      <c r="D348" t="inlineStr">
        <is>
          <t>KALMAR LÄN</t>
        </is>
      </c>
      <c r="E348" t="inlineStr">
        <is>
          <t>VIMMERBY</t>
        </is>
      </c>
      <c r="G348" t="n">
        <v>3.3</v>
      </c>
      <c r="H348" t="n">
        <v>0</v>
      </c>
      <c r="I348" t="n">
        <v>0</v>
      </c>
      <c r="J348" t="n">
        <v>0</v>
      </c>
      <c r="K348" t="n">
        <v>0</v>
      </c>
      <c r="L348" t="n">
        <v>0</v>
      </c>
      <c r="M348" t="n">
        <v>0</v>
      </c>
      <c r="N348" t="n">
        <v>0</v>
      </c>
      <c r="O348" t="n">
        <v>0</v>
      </c>
      <c r="P348" t="n">
        <v>0</v>
      </c>
      <c r="Q348" t="n">
        <v>0</v>
      </c>
      <c r="R348" s="2" t="inlineStr"/>
    </row>
    <row r="349" ht="15" customHeight="1">
      <c r="A349" t="inlineStr">
        <is>
          <t>A 41158-2023</t>
        </is>
      </c>
      <c r="B349" s="1" t="n">
        <v>45174</v>
      </c>
      <c r="C349" s="1" t="n">
        <v>46196</v>
      </c>
      <c r="D349" t="inlineStr">
        <is>
          <t>KALMAR LÄN</t>
        </is>
      </c>
      <c r="E349" t="inlineStr">
        <is>
          <t>VIMMERBY</t>
        </is>
      </c>
      <c r="G349" t="n">
        <v>1.4</v>
      </c>
      <c r="H349" t="n">
        <v>0</v>
      </c>
      <c r="I349" t="n">
        <v>0</v>
      </c>
      <c r="J349" t="n">
        <v>0</v>
      </c>
      <c r="K349" t="n">
        <v>0</v>
      </c>
      <c r="L349" t="n">
        <v>0</v>
      </c>
      <c r="M349" t="n">
        <v>0</v>
      </c>
      <c r="N349" t="n">
        <v>0</v>
      </c>
      <c r="O349" t="n">
        <v>0</v>
      </c>
      <c r="P349" t="n">
        <v>0</v>
      </c>
      <c r="Q349" t="n">
        <v>0</v>
      </c>
      <c r="R349" s="2" t="inlineStr"/>
    </row>
    <row r="350" ht="15" customHeight="1">
      <c r="A350" t="inlineStr">
        <is>
          <t>A 3269-2024</t>
        </is>
      </c>
      <c r="B350" s="1" t="n">
        <v>45317</v>
      </c>
      <c r="C350" s="1" t="n">
        <v>46196</v>
      </c>
      <c r="D350" t="inlineStr">
        <is>
          <t>KALMAR LÄN</t>
        </is>
      </c>
      <c r="E350" t="inlineStr">
        <is>
          <t>VIMMERBY</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48120-2022</t>
        </is>
      </c>
      <c r="B351" s="1" t="n">
        <v>44857</v>
      </c>
      <c r="C351" s="1" t="n">
        <v>46196</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6368-2023</t>
        </is>
      </c>
      <c r="B352" s="1" t="n">
        <v>44965</v>
      </c>
      <c r="C352" s="1" t="n">
        <v>46196</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9416-2024</t>
        </is>
      </c>
      <c r="B353" s="1" t="n">
        <v>45359</v>
      </c>
      <c r="C353" s="1" t="n">
        <v>46196</v>
      </c>
      <c r="D353" t="inlineStr">
        <is>
          <t>KALMAR LÄN</t>
        </is>
      </c>
      <c r="E353" t="inlineStr">
        <is>
          <t>VIMMERBY</t>
        </is>
      </c>
      <c r="G353" t="n">
        <v>3.2</v>
      </c>
      <c r="H353" t="n">
        <v>0</v>
      </c>
      <c r="I353" t="n">
        <v>0</v>
      </c>
      <c r="J353" t="n">
        <v>0</v>
      </c>
      <c r="K353" t="n">
        <v>0</v>
      </c>
      <c r="L353" t="n">
        <v>0</v>
      </c>
      <c r="M353" t="n">
        <v>0</v>
      </c>
      <c r="N353" t="n">
        <v>0</v>
      </c>
      <c r="O353" t="n">
        <v>0</v>
      </c>
      <c r="P353" t="n">
        <v>0</v>
      </c>
      <c r="Q353" t="n">
        <v>0</v>
      </c>
      <c r="R353" s="2" t="inlineStr"/>
    </row>
    <row r="354" ht="15" customHeight="1">
      <c r="A354" t="inlineStr">
        <is>
          <t>A 2797-2023</t>
        </is>
      </c>
      <c r="B354" s="1" t="n">
        <v>44944</v>
      </c>
      <c r="C354" s="1" t="n">
        <v>46196</v>
      </c>
      <c r="D354" t="inlineStr">
        <is>
          <t>KALMAR LÄN</t>
        </is>
      </c>
      <c r="E354" t="inlineStr">
        <is>
          <t>VIMMERBY</t>
        </is>
      </c>
      <c r="G354" t="n">
        <v>3.4</v>
      </c>
      <c r="H354" t="n">
        <v>0</v>
      </c>
      <c r="I354" t="n">
        <v>0</v>
      </c>
      <c r="J354" t="n">
        <v>0</v>
      </c>
      <c r="K354" t="n">
        <v>0</v>
      </c>
      <c r="L354" t="n">
        <v>0</v>
      </c>
      <c r="M354" t="n">
        <v>0</v>
      </c>
      <c r="N354" t="n">
        <v>0</v>
      </c>
      <c r="O354" t="n">
        <v>0</v>
      </c>
      <c r="P354" t="n">
        <v>0</v>
      </c>
      <c r="Q354" t="n">
        <v>0</v>
      </c>
      <c r="R354" s="2" t="inlineStr"/>
    </row>
    <row r="355" ht="15" customHeight="1">
      <c r="A355" t="inlineStr">
        <is>
          <t>A 2799-2023</t>
        </is>
      </c>
      <c r="B355" s="1" t="n">
        <v>44944</v>
      </c>
      <c r="C355" s="1" t="n">
        <v>46196</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25987-2024</t>
        </is>
      </c>
      <c r="B356" s="1" t="n">
        <v>45467</v>
      </c>
      <c r="C356" s="1" t="n">
        <v>46196</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12730-2026</t>
        </is>
      </c>
      <c r="B357" s="1" t="n">
        <v>46091</v>
      </c>
      <c r="C357" s="1" t="n">
        <v>46196</v>
      </c>
      <c r="D357" t="inlineStr">
        <is>
          <t>KALMAR LÄN</t>
        </is>
      </c>
      <c r="E357" t="inlineStr">
        <is>
          <t>VIMMERBY</t>
        </is>
      </c>
      <c r="G357" t="n">
        <v>1</v>
      </c>
      <c r="H357" t="n">
        <v>0</v>
      </c>
      <c r="I357" t="n">
        <v>0</v>
      </c>
      <c r="J357" t="n">
        <v>0</v>
      </c>
      <c r="K357" t="n">
        <v>0</v>
      </c>
      <c r="L357" t="n">
        <v>0</v>
      </c>
      <c r="M357" t="n">
        <v>0</v>
      </c>
      <c r="N357" t="n">
        <v>0</v>
      </c>
      <c r="O357" t="n">
        <v>0</v>
      </c>
      <c r="P357" t="n">
        <v>0</v>
      </c>
      <c r="Q357" t="n">
        <v>0</v>
      </c>
      <c r="R357" s="2" t="inlineStr"/>
    </row>
    <row r="358" ht="15" customHeight="1">
      <c r="A358" t="inlineStr">
        <is>
          <t>A 12820-2026</t>
        </is>
      </c>
      <c r="B358" s="1" t="n">
        <v>46092</v>
      </c>
      <c r="C358" s="1" t="n">
        <v>46196</v>
      </c>
      <c r="D358" t="inlineStr">
        <is>
          <t>KALMAR LÄN</t>
        </is>
      </c>
      <c r="E358" t="inlineStr">
        <is>
          <t>VIMMERBY</t>
        </is>
      </c>
      <c r="G358" t="n">
        <v>4.3</v>
      </c>
      <c r="H358" t="n">
        <v>0</v>
      </c>
      <c r="I358" t="n">
        <v>0</v>
      </c>
      <c r="J358" t="n">
        <v>0</v>
      </c>
      <c r="K358" t="n">
        <v>0</v>
      </c>
      <c r="L358" t="n">
        <v>0</v>
      </c>
      <c r="M358" t="n">
        <v>0</v>
      </c>
      <c r="N358" t="n">
        <v>0</v>
      </c>
      <c r="O358" t="n">
        <v>0</v>
      </c>
      <c r="P358" t="n">
        <v>0</v>
      </c>
      <c r="Q358" t="n">
        <v>0</v>
      </c>
      <c r="R358" s="2" t="inlineStr"/>
    </row>
    <row r="359" ht="15" customHeight="1">
      <c r="A359" t="inlineStr">
        <is>
          <t>A 12821-2026</t>
        </is>
      </c>
      <c r="B359" s="1" t="n">
        <v>46092</v>
      </c>
      <c r="C359" s="1" t="n">
        <v>46196</v>
      </c>
      <c r="D359" t="inlineStr">
        <is>
          <t>KALMAR LÄN</t>
        </is>
      </c>
      <c r="E359" t="inlineStr">
        <is>
          <t>VIMMERBY</t>
        </is>
      </c>
      <c r="G359" t="n">
        <v>2.5</v>
      </c>
      <c r="H359" t="n">
        <v>0</v>
      </c>
      <c r="I359" t="n">
        <v>0</v>
      </c>
      <c r="J359" t="n">
        <v>0</v>
      </c>
      <c r="K359" t="n">
        <v>0</v>
      </c>
      <c r="L359" t="n">
        <v>0</v>
      </c>
      <c r="M359" t="n">
        <v>0</v>
      </c>
      <c r="N359" t="n">
        <v>0</v>
      </c>
      <c r="O359" t="n">
        <v>0</v>
      </c>
      <c r="P359" t="n">
        <v>0</v>
      </c>
      <c r="Q359" t="n">
        <v>0</v>
      </c>
      <c r="R359" s="2" t="inlineStr"/>
    </row>
    <row r="360" ht="15" customHeight="1">
      <c r="A360" t="inlineStr">
        <is>
          <t>A 12825-2026</t>
        </is>
      </c>
      <c r="B360" s="1" t="n">
        <v>46092</v>
      </c>
      <c r="C360" s="1" t="n">
        <v>46196</v>
      </c>
      <c r="D360" t="inlineStr">
        <is>
          <t>KALMAR LÄN</t>
        </is>
      </c>
      <c r="E360" t="inlineStr">
        <is>
          <t>VIMMERBY</t>
        </is>
      </c>
      <c r="G360" t="n">
        <v>2.6</v>
      </c>
      <c r="H360" t="n">
        <v>0</v>
      </c>
      <c r="I360" t="n">
        <v>0</v>
      </c>
      <c r="J360" t="n">
        <v>0</v>
      </c>
      <c r="K360" t="n">
        <v>0</v>
      </c>
      <c r="L360" t="n">
        <v>0</v>
      </c>
      <c r="M360" t="n">
        <v>0</v>
      </c>
      <c r="N360" t="n">
        <v>0</v>
      </c>
      <c r="O360" t="n">
        <v>0</v>
      </c>
      <c r="P360" t="n">
        <v>0</v>
      </c>
      <c r="Q360" t="n">
        <v>0</v>
      </c>
      <c r="R360" s="2" t="inlineStr"/>
    </row>
    <row r="361" ht="15" customHeight="1">
      <c r="A361" t="inlineStr">
        <is>
          <t>A 12630-2023</t>
        </is>
      </c>
      <c r="B361" s="1" t="n">
        <v>45000</v>
      </c>
      <c r="C361" s="1" t="n">
        <v>46196</v>
      </c>
      <c r="D361" t="inlineStr">
        <is>
          <t>KALMAR LÄN</t>
        </is>
      </c>
      <c r="E361" t="inlineStr">
        <is>
          <t>VIMMERBY</t>
        </is>
      </c>
      <c r="G361" t="n">
        <v>2.1</v>
      </c>
      <c r="H361" t="n">
        <v>0</v>
      </c>
      <c r="I361" t="n">
        <v>0</v>
      </c>
      <c r="J361" t="n">
        <v>0</v>
      </c>
      <c r="K361" t="n">
        <v>0</v>
      </c>
      <c r="L361" t="n">
        <v>0</v>
      </c>
      <c r="M361" t="n">
        <v>0</v>
      </c>
      <c r="N361" t="n">
        <v>0</v>
      </c>
      <c r="O361" t="n">
        <v>0</v>
      </c>
      <c r="P361" t="n">
        <v>0</v>
      </c>
      <c r="Q361" t="n">
        <v>0</v>
      </c>
      <c r="R361" s="2" t="inlineStr"/>
    </row>
    <row r="362" ht="15" customHeight="1">
      <c r="A362" t="inlineStr">
        <is>
          <t>A 21109-2024</t>
        </is>
      </c>
      <c r="B362" s="1" t="n">
        <v>45440</v>
      </c>
      <c r="C362" s="1" t="n">
        <v>46196</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30634-2024</t>
        </is>
      </c>
      <c r="B363" s="1" t="n">
        <v>45495</v>
      </c>
      <c r="C363" s="1" t="n">
        <v>46196</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40260-2024</t>
        </is>
      </c>
      <c r="B364" s="1" t="n">
        <v>45554</v>
      </c>
      <c r="C364" s="1" t="n">
        <v>46196</v>
      </c>
      <c r="D364" t="inlineStr">
        <is>
          <t>KALMAR LÄN</t>
        </is>
      </c>
      <c r="E364" t="inlineStr">
        <is>
          <t>VIMMERBY</t>
        </is>
      </c>
      <c r="G364" t="n">
        <v>1.2</v>
      </c>
      <c r="H364" t="n">
        <v>0</v>
      </c>
      <c r="I364" t="n">
        <v>0</v>
      </c>
      <c r="J364" t="n">
        <v>0</v>
      </c>
      <c r="K364" t="n">
        <v>0</v>
      </c>
      <c r="L364" t="n">
        <v>0</v>
      </c>
      <c r="M364" t="n">
        <v>0</v>
      </c>
      <c r="N364" t="n">
        <v>0</v>
      </c>
      <c r="O364" t="n">
        <v>0</v>
      </c>
      <c r="P364" t="n">
        <v>0</v>
      </c>
      <c r="Q364" t="n">
        <v>0</v>
      </c>
      <c r="R364" s="2" t="inlineStr"/>
    </row>
    <row r="365" ht="15" customHeight="1">
      <c r="A365" t="inlineStr">
        <is>
          <t>A 13667-2026</t>
        </is>
      </c>
      <c r="B365" s="1" t="n">
        <v>46097</v>
      </c>
      <c r="C365" s="1" t="n">
        <v>46196</v>
      </c>
      <c r="D365" t="inlineStr">
        <is>
          <t>KALMAR LÄN</t>
        </is>
      </c>
      <c r="E365" t="inlineStr">
        <is>
          <t>VIMMERBY</t>
        </is>
      </c>
      <c r="G365" t="n">
        <v>6.8</v>
      </c>
      <c r="H365" t="n">
        <v>0</v>
      </c>
      <c r="I365" t="n">
        <v>0</v>
      </c>
      <c r="J365" t="n">
        <v>0</v>
      </c>
      <c r="K365" t="n">
        <v>0</v>
      </c>
      <c r="L365" t="n">
        <v>0</v>
      </c>
      <c r="M365" t="n">
        <v>0</v>
      </c>
      <c r="N365" t="n">
        <v>0</v>
      </c>
      <c r="O365" t="n">
        <v>0</v>
      </c>
      <c r="P365" t="n">
        <v>0</v>
      </c>
      <c r="Q365" t="n">
        <v>0</v>
      </c>
      <c r="R365" s="2" t="inlineStr"/>
    </row>
    <row r="366" ht="15" customHeight="1">
      <c r="A366" t="inlineStr">
        <is>
          <t>A 13793-2026</t>
        </is>
      </c>
      <c r="B366" s="1" t="n">
        <v>46097</v>
      </c>
      <c r="C366" s="1" t="n">
        <v>46196</v>
      </c>
      <c r="D366" t="inlineStr">
        <is>
          <t>KALMAR LÄN</t>
        </is>
      </c>
      <c r="E366" t="inlineStr">
        <is>
          <t>VIMMERBY</t>
        </is>
      </c>
      <c r="G366" t="n">
        <v>2.9</v>
      </c>
      <c r="H366" t="n">
        <v>0</v>
      </c>
      <c r="I366" t="n">
        <v>0</v>
      </c>
      <c r="J366" t="n">
        <v>0</v>
      </c>
      <c r="K366" t="n">
        <v>0</v>
      </c>
      <c r="L366" t="n">
        <v>0</v>
      </c>
      <c r="M366" t="n">
        <v>0</v>
      </c>
      <c r="N366" t="n">
        <v>0</v>
      </c>
      <c r="O366" t="n">
        <v>0</v>
      </c>
      <c r="P366" t="n">
        <v>0</v>
      </c>
      <c r="Q366" t="n">
        <v>0</v>
      </c>
      <c r="R366" s="2" t="inlineStr"/>
    </row>
    <row r="367" ht="15" customHeight="1">
      <c r="A367" t="inlineStr">
        <is>
          <t>A 59943-2023</t>
        </is>
      </c>
      <c r="B367" s="1" t="n">
        <v>45257</v>
      </c>
      <c r="C367" s="1" t="n">
        <v>46196</v>
      </c>
      <c r="D367" t="inlineStr">
        <is>
          <t>KALMAR LÄN</t>
        </is>
      </c>
      <c r="E367" t="inlineStr">
        <is>
          <t>VIMMERBY</t>
        </is>
      </c>
      <c r="G367" t="n">
        <v>6.4</v>
      </c>
      <c r="H367" t="n">
        <v>0</v>
      </c>
      <c r="I367" t="n">
        <v>0</v>
      </c>
      <c r="J367" t="n">
        <v>0</v>
      </c>
      <c r="K367" t="n">
        <v>0</v>
      </c>
      <c r="L367" t="n">
        <v>0</v>
      </c>
      <c r="M367" t="n">
        <v>0</v>
      </c>
      <c r="N367" t="n">
        <v>0</v>
      </c>
      <c r="O367" t="n">
        <v>0</v>
      </c>
      <c r="P367" t="n">
        <v>0</v>
      </c>
      <c r="Q367" t="n">
        <v>0</v>
      </c>
      <c r="R367" s="2" t="inlineStr"/>
    </row>
    <row r="368" ht="15" customHeight="1">
      <c r="A368" t="inlineStr">
        <is>
          <t>A 12325-2023</t>
        </is>
      </c>
      <c r="B368" s="1" t="n">
        <v>44999</v>
      </c>
      <c r="C368" s="1" t="n">
        <v>46196</v>
      </c>
      <c r="D368" t="inlineStr">
        <is>
          <t>KALMAR LÄN</t>
        </is>
      </c>
      <c r="E368" t="inlineStr">
        <is>
          <t>VIMMERBY</t>
        </is>
      </c>
      <c r="G368" t="n">
        <v>3.4</v>
      </c>
      <c r="H368" t="n">
        <v>0</v>
      </c>
      <c r="I368" t="n">
        <v>0</v>
      </c>
      <c r="J368" t="n">
        <v>0</v>
      </c>
      <c r="K368" t="n">
        <v>0</v>
      </c>
      <c r="L368" t="n">
        <v>0</v>
      </c>
      <c r="M368" t="n">
        <v>0</v>
      </c>
      <c r="N368" t="n">
        <v>0</v>
      </c>
      <c r="O368" t="n">
        <v>0</v>
      </c>
      <c r="P368" t="n">
        <v>0</v>
      </c>
      <c r="Q368" t="n">
        <v>0</v>
      </c>
      <c r="R368" s="2" t="inlineStr"/>
    </row>
    <row r="369" ht="15" customHeight="1">
      <c r="A369" t="inlineStr">
        <is>
          <t>A 14318-2026</t>
        </is>
      </c>
      <c r="B369" s="1" t="n">
        <v>46099</v>
      </c>
      <c r="C369" s="1" t="n">
        <v>46196</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14279-2026</t>
        </is>
      </c>
      <c r="B370" s="1" t="n">
        <v>46099</v>
      </c>
      <c r="C370" s="1" t="n">
        <v>46196</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1016-2024</t>
        </is>
      </c>
      <c r="B371" s="1" t="n">
        <v>45301</v>
      </c>
      <c r="C371" s="1" t="n">
        <v>46196</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14320-2026</t>
        </is>
      </c>
      <c r="B372" s="1" t="n">
        <v>46099</v>
      </c>
      <c r="C372" s="1" t="n">
        <v>46196</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14793-2026</t>
        </is>
      </c>
      <c r="B373" s="1" t="n">
        <v>46101</v>
      </c>
      <c r="C373" s="1" t="n">
        <v>46196</v>
      </c>
      <c r="D373" t="inlineStr">
        <is>
          <t>KALMAR LÄN</t>
        </is>
      </c>
      <c r="E373" t="inlineStr">
        <is>
          <t>VIMMERBY</t>
        </is>
      </c>
      <c r="G373" t="n">
        <v>5.7</v>
      </c>
      <c r="H373" t="n">
        <v>0</v>
      </c>
      <c r="I373" t="n">
        <v>0</v>
      </c>
      <c r="J373" t="n">
        <v>0</v>
      </c>
      <c r="K373" t="n">
        <v>0</v>
      </c>
      <c r="L373" t="n">
        <v>0</v>
      </c>
      <c r="M373" t="n">
        <v>0</v>
      </c>
      <c r="N373" t="n">
        <v>0</v>
      </c>
      <c r="O373" t="n">
        <v>0</v>
      </c>
      <c r="P373" t="n">
        <v>0</v>
      </c>
      <c r="Q373" t="n">
        <v>0</v>
      </c>
      <c r="R373" s="2" t="inlineStr"/>
    </row>
    <row r="374" ht="15" customHeight="1">
      <c r="A374" t="inlineStr">
        <is>
          <t>A 14792-2026</t>
        </is>
      </c>
      <c r="B374" s="1" t="n">
        <v>46101</v>
      </c>
      <c r="C374" s="1" t="n">
        <v>46196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15054-2026</t>
        </is>
      </c>
      <c r="B375" s="1" t="n">
        <v>46104</v>
      </c>
      <c r="C375" s="1" t="n">
        <v>46196</v>
      </c>
      <c r="D375" t="inlineStr">
        <is>
          <t>KALMAR LÄN</t>
        </is>
      </c>
      <c r="E375" t="inlineStr">
        <is>
          <t>VIMMERBY</t>
        </is>
      </c>
      <c r="G375" t="n">
        <v>1.4</v>
      </c>
      <c r="H375" t="n">
        <v>0</v>
      </c>
      <c r="I375" t="n">
        <v>0</v>
      </c>
      <c r="J375" t="n">
        <v>0</v>
      </c>
      <c r="K375" t="n">
        <v>0</v>
      </c>
      <c r="L375" t="n">
        <v>0</v>
      </c>
      <c r="M375" t="n">
        <v>0</v>
      </c>
      <c r="N375" t="n">
        <v>0</v>
      </c>
      <c r="O375" t="n">
        <v>0</v>
      </c>
      <c r="P375" t="n">
        <v>0</v>
      </c>
      <c r="Q375" t="n">
        <v>0</v>
      </c>
      <c r="R375" s="2" t="inlineStr"/>
    </row>
    <row r="376" ht="15" customHeight="1">
      <c r="A376" t="inlineStr">
        <is>
          <t>A 15205-2026</t>
        </is>
      </c>
      <c r="B376" s="1" t="n">
        <v>46105</v>
      </c>
      <c r="C376" s="1" t="n">
        <v>46196</v>
      </c>
      <c r="D376" t="inlineStr">
        <is>
          <t>KALMAR LÄN</t>
        </is>
      </c>
      <c r="E376" t="inlineStr">
        <is>
          <t>VIMMERBY</t>
        </is>
      </c>
      <c r="G376" t="n">
        <v>2.1</v>
      </c>
      <c r="H376" t="n">
        <v>0</v>
      </c>
      <c r="I376" t="n">
        <v>0</v>
      </c>
      <c r="J376" t="n">
        <v>0</v>
      </c>
      <c r="K376" t="n">
        <v>0</v>
      </c>
      <c r="L376" t="n">
        <v>0</v>
      </c>
      <c r="M376" t="n">
        <v>0</v>
      </c>
      <c r="N376" t="n">
        <v>0</v>
      </c>
      <c r="O376" t="n">
        <v>0</v>
      </c>
      <c r="P376" t="n">
        <v>0</v>
      </c>
      <c r="Q376" t="n">
        <v>0</v>
      </c>
      <c r="R376" s="2" t="inlineStr"/>
    </row>
    <row r="377" ht="15" customHeight="1">
      <c r="A377" t="inlineStr">
        <is>
          <t>A 33681-2022</t>
        </is>
      </c>
      <c r="B377" s="1" t="n">
        <v>44789</v>
      </c>
      <c r="C377" s="1" t="n">
        <v>46196</v>
      </c>
      <c r="D377" t="inlineStr">
        <is>
          <t>KALMAR LÄN</t>
        </is>
      </c>
      <c r="E377" t="inlineStr">
        <is>
          <t>VIMMERBY</t>
        </is>
      </c>
      <c r="G377" t="n">
        <v>3.2</v>
      </c>
      <c r="H377" t="n">
        <v>0</v>
      </c>
      <c r="I377" t="n">
        <v>0</v>
      </c>
      <c r="J377" t="n">
        <v>0</v>
      </c>
      <c r="K377" t="n">
        <v>0</v>
      </c>
      <c r="L377" t="n">
        <v>0</v>
      </c>
      <c r="M377" t="n">
        <v>0</v>
      </c>
      <c r="N377" t="n">
        <v>0</v>
      </c>
      <c r="O377" t="n">
        <v>0</v>
      </c>
      <c r="P377" t="n">
        <v>0</v>
      </c>
      <c r="Q377" t="n">
        <v>0</v>
      </c>
      <c r="R377" s="2" t="inlineStr"/>
    </row>
    <row r="378" ht="15" customHeight="1">
      <c r="A378" t="inlineStr">
        <is>
          <t>A 16183-2026</t>
        </is>
      </c>
      <c r="B378" s="1" t="n">
        <v>46111</v>
      </c>
      <c r="C378" s="1" t="n">
        <v>46196</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16648-2026</t>
        </is>
      </c>
      <c r="B379" s="1" t="n">
        <v>46112</v>
      </c>
      <c r="C379" s="1" t="n">
        <v>46196</v>
      </c>
      <c r="D379" t="inlineStr">
        <is>
          <t>KALMAR LÄN</t>
        </is>
      </c>
      <c r="E379" t="inlineStr">
        <is>
          <t>VIMMERBY</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16656-2026</t>
        </is>
      </c>
      <c r="B380" s="1" t="n">
        <v>46112</v>
      </c>
      <c r="C380" s="1" t="n">
        <v>46196</v>
      </c>
      <c r="D380" t="inlineStr">
        <is>
          <t>KALMAR LÄN</t>
        </is>
      </c>
      <c r="E380" t="inlineStr">
        <is>
          <t>VIMMERBY</t>
        </is>
      </c>
      <c r="F380" t="inlineStr">
        <is>
          <t>Kommuner</t>
        </is>
      </c>
      <c r="G380" t="n">
        <v>5.5</v>
      </c>
      <c r="H380" t="n">
        <v>0</v>
      </c>
      <c r="I380" t="n">
        <v>0</v>
      </c>
      <c r="J380" t="n">
        <v>0</v>
      </c>
      <c r="K380" t="n">
        <v>0</v>
      </c>
      <c r="L380" t="n">
        <v>0</v>
      </c>
      <c r="M380" t="n">
        <v>0</v>
      </c>
      <c r="N380" t="n">
        <v>0</v>
      </c>
      <c r="O380" t="n">
        <v>0</v>
      </c>
      <c r="P380" t="n">
        <v>0</v>
      </c>
      <c r="Q380" t="n">
        <v>0</v>
      </c>
      <c r="R380" s="2" t="inlineStr"/>
    </row>
    <row r="381" ht="15" customHeight="1">
      <c r="A381" t="inlineStr">
        <is>
          <t>A 16617-2026</t>
        </is>
      </c>
      <c r="B381" s="1" t="n">
        <v>46112</v>
      </c>
      <c r="C381" s="1" t="n">
        <v>46196</v>
      </c>
      <c r="D381" t="inlineStr">
        <is>
          <t>KALMAR LÄN</t>
        </is>
      </c>
      <c r="E381" t="inlineStr">
        <is>
          <t>VIMMERBY</t>
        </is>
      </c>
      <c r="F381" t="inlineStr">
        <is>
          <t>Kommuner</t>
        </is>
      </c>
      <c r="G381" t="n">
        <v>0.6</v>
      </c>
      <c r="H381" t="n">
        <v>0</v>
      </c>
      <c r="I381" t="n">
        <v>0</v>
      </c>
      <c r="J381" t="n">
        <v>0</v>
      </c>
      <c r="K381" t="n">
        <v>0</v>
      </c>
      <c r="L381" t="n">
        <v>0</v>
      </c>
      <c r="M381" t="n">
        <v>0</v>
      </c>
      <c r="N381" t="n">
        <v>0</v>
      </c>
      <c r="O381" t="n">
        <v>0</v>
      </c>
      <c r="P381" t="n">
        <v>0</v>
      </c>
      <c r="Q381" t="n">
        <v>0</v>
      </c>
      <c r="R381" s="2" t="inlineStr"/>
    </row>
    <row r="382" ht="15" customHeight="1">
      <c r="A382" t="inlineStr">
        <is>
          <t>A 16672-2026</t>
        </is>
      </c>
      <c r="B382" s="1" t="n">
        <v>46112</v>
      </c>
      <c r="C382" s="1" t="n">
        <v>46196</v>
      </c>
      <c r="D382" t="inlineStr">
        <is>
          <t>KALMAR LÄN</t>
        </is>
      </c>
      <c r="E382" t="inlineStr">
        <is>
          <t>VIMMERBY</t>
        </is>
      </c>
      <c r="F382" t="inlineStr">
        <is>
          <t>Kommuner</t>
        </is>
      </c>
      <c r="G382" t="n">
        <v>1.4</v>
      </c>
      <c r="H382" t="n">
        <v>0</v>
      </c>
      <c r="I382" t="n">
        <v>0</v>
      </c>
      <c r="J382" t="n">
        <v>0</v>
      </c>
      <c r="K382" t="n">
        <v>0</v>
      </c>
      <c r="L382" t="n">
        <v>0</v>
      </c>
      <c r="M382" t="n">
        <v>0</v>
      </c>
      <c r="N382" t="n">
        <v>0</v>
      </c>
      <c r="O382" t="n">
        <v>0</v>
      </c>
      <c r="P382" t="n">
        <v>0</v>
      </c>
      <c r="Q382" t="n">
        <v>0</v>
      </c>
      <c r="R382" s="2" t="inlineStr"/>
    </row>
    <row r="383" ht="15" customHeight="1">
      <c r="A383" t="inlineStr">
        <is>
          <t>A 16653-2026</t>
        </is>
      </c>
      <c r="B383" s="1" t="n">
        <v>46112</v>
      </c>
      <c r="C383" s="1" t="n">
        <v>46196</v>
      </c>
      <c r="D383" t="inlineStr">
        <is>
          <t>KALMAR LÄN</t>
        </is>
      </c>
      <c r="E383" t="inlineStr">
        <is>
          <t>VIMMERBY</t>
        </is>
      </c>
      <c r="F383" t="inlineStr">
        <is>
          <t>Kommuner</t>
        </is>
      </c>
      <c r="G383" t="n">
        <v>4.4</v>
      </c>
      <c r="H383" t="n">
        <v>0</v>
      </c>
      <c r="I383" t="n">
        <v>0</v>
      </c>
      <c r="J383" t="n">
        <v>0</v>
      </c>
      <c r="K383" t="n">
        <v>0</v>
      </c>
      <c r="L383" t="n">
        <v>0</v>
      </c>
      <c r="M383" t="n">
        <v>0</v>
      </c>
      <c r="N383" t="n">
        <v>0</v>
      </c>
      <c r="O383" t="n">
        <v>0</v>
      </c>
      <c r="P383" t="n">
        <v>0</v>
      </c>
      <c r="Q383" t="n">
        <v>0</v>
      </c>
      <c r="R383" s="2" t="inlineStr"/>
    </row>
    <row r="384" ht="15" customHeight="1">
      <c r="A384" t="inlineStr">
        <is>
          <t>A 16675-2026</t>
        </is>
      </c>
      <c r="B384" s="1" t="n">
        <v>46112</v>
      </c>
      <c r="C384" s="1" t="n">
        <v>46196</v>
      </c>
      <c r="D384" t="inlineStr">
        <is>
          <t>KALMAR LÄN</t>
        </is>
      </c>
      <c r="E384" t="inlineStr">
        <is>
          <t>VIMMERBY</t>
        </is>
      </c>
      <c r="F384" t="inlineStr">
        <is>
          <t>Kommuner</t>
        </is>
      </c>
      <c r="G384" t="n">
        <v>0.8</v>
      </c>
      <c r="H384" t="n">
        <v>0</v>
      </c>
      <c r="I384" t="n">
        <v>0</v>
      </c>
      <c r="J384" t="n">
        <v>0</v>
      </c>
      <c r="K384" t="n">
        <v>0</v>
      </c>
      <c r="L384" t="n">
        <v>0</v>
      </c>
      <c r="M384" t="n">
        <v>0</v>
      </c>
      <c r="N384" t="n">
        <v>0</v>
      </c>
      <c r="O384" t="n">
        <v>0</v>
      </c>
      <c r="P384" t="n">
        <v>0</v>
      </c>
      <c r="Q384" t="n">
        <v>0</v>
      </c>
      <c r="R384" s="2" t="inlineStr"/>
    </row>
    <row r="385" ht="15" customHeight="1">
      <c r="A385" t="inlineStr">
        <is>
          <t>A 16632-2026</t>
        </is>
      </c>
      <c r="B385" s="1" t="n">
        <v>46112</v>
      </c>
      <c r="C385" s="1" t="n">
        <v>46196</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16678-2026</t>
        </is>
      </c>
      <c r="B386" s="1" t="n">
        <v>46112</v>
      </c>
      <c r="C386" s="1" t="n">
        <v>46196</v>
      </c>
      <c r="D386" t="inlineStr">
        <is>
          <t>KALMAR LÄN</t>
        </is>
      </c>
      <c r="E386" t="inlineStr">
        <is>
          <t>VIMMERBY</t>
        </is>
      </c>
      <c r="F386" t="inlineStr">
        <is>
          <t>Kommuner</t>
        </is>
      </c>
      <c r="G386" t="n">
        <v>1.6</v>
      </c>
      <c r="H386" t="n">
        <v>0</v>
      </c>
      <c r="I386" t="n">
        <v>0</v>
      </c>
      <c r="J386" t="n">
        <v>0</v>
      </c>
      <c r="K386" t="n">
        <v>0</v>
      </c>
      <c r="L386" t="n">
        <v>0</v>
      </c>
      <c r="M386" t="n">
        <v>0</v>
      </c>
      <c r="N386" t="n">
        <v>0</v>
      </c>
      <c r="O386" t="n">
        <v>0</v>
      </c>
      <c r="P386" t="n">
        <v>0</v>
      </c>
      <c r="Q386" t="n">
        <v>0</v>
      </c>
      <c r="R386" s="2" t="inlineStr"/>
    </row>
    <row r="387" ht="15" customHeight="1">
      <c r="A387" t="inlineStr">
        <is>
          <t>A 16799-2026</t>
        </is>
      </c>
      <c r="B387" s="1" t="n">
        <v>46113</v>
      </c>
      <c r="C387" s="1" t="n">
        <v>46196</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5074-2023</t>
        </is>
      </c>
      <c r="B388" s="1" t="n">
        <v>44958</v>
      </c>
      <c r="C388" s="1" t="n">
        <v>46196</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51187-2023</t>
        </is>
      </c>
      <c r="B389" s="1" t="n">
        <v>45219</v>
      </c>
      <c r="C389" s="1" t="n">
        <v>46196</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16823-2026</t>
        </is>
      </c>
      <c r="B390" s="1" t="n">
        <v>46113</v>
      </c>
      <c r="C390" s="1" t="n">
        <v>46196</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16870-2026</t>
        </is>
      </c>
      <c r="B391" s="1" t="n">
        <v>46113</v>
      </c>
      <c r="C391" s="1" t="n">
        <v>46196</v>
      </c>
      <c r="D391" t="inlineStr">
        <is>
          <t>KALMAR LÄN</t>
        </is>
      </c>
      <c r="E391" t="inlineStr">
        <is>
          <t>VIMMERBY</t>
        </is>
      </c>
      <c r="G391" t="n">
        <v>2</v>
      </c>
      <c r="H391" t="n">
        <v>0</v>
      </c>
      <c r="I391" t="n">
        <v>0</v>
      </c>
      <c r="J391" t="n">
        <v>0</v>
      </c>
      <c r="K391" t="n">
        <v>0</v>
      </c>
      <c r="L391" t="n">
        <v>0</v>
      </c>
      <c r="M391" t="n">
        <v>0</v>
      </c>
      <c r="N391" t="n">
        <v>0</v>
      </c>
      <c r="O391" t="n">
        <v>0</v>
      </c>
      <c r="P391" t="n">
        <v>0</v>
      </c>
      <c r="Q391" t="n">
        <v>0</v>
      </c>
      <c r="R391" s="2" t="inlineStr"/>
    </row>
    <row r="392" ht="15" customHeight="1">
      <c r="A392" t="inlineStr">
        <is>
          <t>A 15715-2022</t>
        </is>
      </c>
      <c r="B392" s="1" t="n">
        <v>44663</v>
      </c>
      <c r="C392" s="1" t="n">
        <v>46196</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43093-2024</t>
        </is>
      </c>
      <c r="B393" s="1" t="n">
        <v>45567</v>
      </c>
      <c r="C393" s="1" t="n">
        <v>46196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16801-2026</t>
        </is>
      </c>
      <c r="B394" s="1" t="n">
        <v>46113</v>
      </c>
      <c r="C394" s="1" t="n">
        <v>46196</v>
      </c>
      <c r="D394" t="inlineStr">
        <is>
          <t>KALMAR LÄN</t>
        </is>
      </c>
      <c r="E394" t="inlineStr">
        <is>
          <t>VIMMERBY</t>
        </is>
      </c>
      <c r="G394" t="n">
        <v>0.7</v>
      </c>
      <c r="H394" t="n">
        <v>0</v>
      </c>
      <c r="I394" t="n">
        <v>0</v>
      </c>
      <c r="J394" t="n">
        <v>0</v>
      </c>
      <c r="K394" t="n">
        <v>0</v>
      </c>
      <c r="L394" t="n">
        <v>0</v>
      </c>
      <c r="M394" t="n">
        <v>0</v>
      </c>
      <c r="N394" t="n">
        <v>0</v>
      </c>
      <c r="O394" t="n">
        <v>0</v>
      </c>
      <c r="P394" t="n">
        <v>0</v>
      </c>
      <c r="Q394" t="n">
        <v>0</v>
      </c>
      <c r="R394" s="2" t="inlineStr"/>
    </row>
    <row r="395" ht="15" customHeight="1">
      <c r="A395" t="inlineStr">
        <is>
          <t>A 56022-2024</t>
        </is>
      </c>
      <c r="B395" s="1" t="n">
        <v>45623</v>
      </c>
      <c r="C395" s="1" t="n">
        <v>46196</v>
      </c>
      <c r="D395" t="inlineStr">
        <is>
          <t>KALMAR LÄN</t>
        </is>
      </c>
      <c r="E395" t="inlineStr">
        <is>
          <t>VIMMERBY</t>
        </is>
      </c>
      <c r="G395" t="n">
        <v>0.3</v>
      </c>
      <c r="H395" t="n">
        <v>0</v>
      </c>
      <c r="I395" t="n">
        <v>0</v>
      </c>
      <c r="J395" t="n">
        <v>0</v>
      </c>
      <c r="K395" t="n">
        <v>0</v>
      </c>
      <c r="L395" t="n">
        <v>0</v>
      </c>
      <c r="M395" t="n">
        <v>0</v>
      </c>
      <c r="N395" t="n">
        <v>0</v>
      </c>
      <c r="O395" t="n">
        <v>0</v>
      </c>
      <c r="P395" t="n">
        <v>0</v>
      </c>
      <c r="Q395" t="n">
        <v>0</v>
      </c>
      <c r="R395" s="2" t="inlineStr"/>
    </row>
    <row r="396" ht="15" customHeight="1">
      <c r="A396" t="inlineStr">
        <is>
          <t>A 16795-2026</t>
        </is>
      </c>
      <c r="B396" s="1" t="n">
        <v>46113</v>
      </c>
      <c r="C396" s="1" t="n">
        <v>46196</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17713-2026</t>
        </is>
      </c>
      <c r="B397" s="1" t="n">
        <v>46121</v>
      </c>
      <c r="C397" s="1" t="n">
        <v>46196</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18330-2023</t>
        </is>
      </c>
      <c r="B398" s="1" t="n">
        <v>45041</v>
      </c>
      <c r="C398" s="1" t="n">
        <v>46196</v>
      </c>
      <c r="D398" t="inlineStr">
        <is>
          <t>KALMAR LÄN</t>
        </is>
      </c>
      <c r="E398" t="inlineStr">
        <is>
          <t>VIMMERBY</t>
        </is>
      </c>
      <c r="G398" t="n">
        <v>1.7</v>
      </c>
      <c r="H398" t="n">
        <v>0</v>
      </c>
      <c r="I398" t="n">
        <v>0</v>
      </c>
      <c r="J398" t="n">
        <v>0</v>
      </c>
      <c r="K398" t="n">
        <v>0</v>
      </c>
      <c r="L398" t="n">
        <v>0</v>
      </c>
      <c r="M398" t="n">
        <v>0</v>
      </c>
      <c r="N398" t="n">
        <v>0</v>
      </c>
      <c r="O398" t="n">
        <v>0</v>
      </c>
      <c r="P398" t="n">
        <v>0</v>
      </c>
      <c r="Q398" t="n">
        <v>0</v>
      </c>
      <c r="R398" s="2" t="inlineStr"/>
    </row>
    <row r="399" ht="15" customHeight="1">
      <c r="A399" t="inlineStr">
        <is>
          <t>A 18122-2026</t>
        </is>
      </c>
      <c r="B399" s="1" t="n">
        <v>46125</v>
      </c>
      <c r="C399" s="1" t="n">
        <v>46196</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18633-2026</t>
        </is>
      </c>
      <c r="B400" s="1" t="n">
        <v>46128</v>
      </c>
      <c r="C400" s="1" t="n">
        <v>46196</v>
      </c>
      <c r="D400" t="inlineStr">
        <is>
          <t>KALMAR LÄN</t>
        </is>
      </c>
      <c r="E400" t="inlineStr">
        <is>
          <t>VIMMERBY</t>
        </is>
      </c>
      <c r="G400" t="n">
        <v>2</v>
      </c>
      <c r="H400" t="n">
        <v>0</v>
      </c>
      <c r="I400" t="n">
        <v>0</v>
      </c>
      <c r="J400" t="n">
        <v>0</v>
      </c>
      <c r="K400" t="n">
        <v>0</v>
      </c>
      <c r="L400" t="n">
        <v>0</v>
      </c>
      <c r="M400" t="n">
        <v>0</v>
      </c>
      <c r="N400" t="n">
        <v>0</v>
      </c>
      <c r="O400" t="n">
        <v>0</v>
      </c>
      <c r="P400" t="n">
        <v>0</v>
      </c>
      <c r="Q400" t="n">
        <v>0</v>
      </c>
      <c r="R400" s="2" t="inlineStr"/>
    </row>
    <row r="401" ht="15" customHeight="1">
      <c r="A401" t="inlineStr">
        <is>
          <t>A 24932-2026</t>
        </is>
      </c>
      <c r="B401" s="1" t="n">
        <v>46174</v>
      </c>
      <c r="C401" s="1" t="n">
        <v>46196</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25106-2026</t>
        </is>
      </c>
      <c r="B402" s="1" t="n">
        <v>46175</v>
      </c>
      <c r="C402" s="1" t="n">
        <v>46196</v>
      </c>
      <c r="D402" t="inlineStr">
        <is>
          <t>KALMAR LÄN</t>
        </is>
      </c>
      <c r="E402" t="inlineStr">
        <is>
          <t>VIMMERBY</t>
        </is>
      </c>
      <c r="G402" t="n">
        <v>1.2</v>
      </c>
      <c r="H402" t="n">
        <v>0</v>
      </c>
      <c r="I402" t="n">
        <v>0</v>
      </c>
      <c r="J402" t="n">
        <v>0</v>
      </c>
      <c r="K402" t="n">
        <v>0</v>
      </c>
      <c r="L402" t="n">
        <v>0</v>
      </c>
      <c r="M402" t="n">
        <v>0</v>
      </c>
      <c r="N402" t="n">
        <v>0</v>
      </c>
      <c r="O402" t="n">
        <v>0</v>
      </c>
      <c r="P402" t="n">
        <v>0</v>
      </c>
      <c r="Q402" t="n">
        <v>0</v>
      </c>
      <c r="R402" s="2" t="inlineStr"/>
    </row>
    <row r="403" ht="15" customHeight="1">
      <c r="A403" t="inlineStr">
        <is>
          <t>A 25105-2026</t>
        </is>
      </c>
      <c r="B403" s="1" t="n">
        <v>46175</v>
      </c>
      <c r="C403" s="1" t="n">
        <v>46196</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25158-2026</t>
        </is>
      </c>
      <c r="B404" s="1" t="n">
        <v>46175</v>
      </c>
      <c r="C404" s="1" t="n">
        <v>46196</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25194-2026</t>
        </is>
      </c>
      <c r="B405" s="1" t="n">
        <v>46175</v>
      </c>
      <c r="C405" s="1" t="n">
        <v>46196</v>
      </c>
      <c r="D405" t="inlineStr">
        <is>
          <t>KALMAR LÄN</t>
        </is>
      </c>
      <c r="E405" t="inlineStr">
        <is>
          <t>VIMMERBY</t>
        </is>
      </c>
      <c r="G405" t="n">
        <v>3.4</v>
      </c>
      <c r="H405" t="n">
        <v>0</v>
      </c>
      <c r="I405" t="n">
        <v>0</v>
      </c>
      <c r="J405" t="n">
        <v>0</v>
      </c>
      <c r="K405" t="n">
        <v>0</v>
      </c>
      <c r="L405" t="n">
        <v>0</v>
      </c>
      <c r="M405" t="n">
        <v>0</v>
      </c>
      <c r="N405" t="n">
        <v>0</v>
      </c>
      <c r="O405" t="n">
        <v>0</v>
      </c>
      <c r="P405" t="n">
        <v>0</v>
      </c>
      <c r="Q405" t="n">
        <v>0</v>
      </c>
      <c r="R405" s="2" t="inlineStr"/>
    </row>
    <row r="406" ht="15" customHeight="1">
      <c r="A406" t="inlineStr">
        <is>
          <t>A 24930-2026</t>
        </is>
      </c>
      <c r="B406" s="1" t="n">
        <v>46174</v>
      </c>
      <c r="C406" s="1" t="n">
        <v>46196</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25192-2026</t>
        </is>
      </c>
      <c r="B407" s="1" t="n">
        <v>46175</v>
      </c>
      <c r="C407" s="1" t="n">
        <v>46196</v>
      </c>
      <c r="D407" t="inlineStr">
        <is>
          <t>KALMAR LÄN</t>
        </is>
      </c>
      <c r="E407" t="inlineStr">
        <is>
          <t>VIMMERBY</t>
        </is>
      </c>
      <c r="G407" t="n">
        <v>3.2</v>
      </c>
      <c r="H407" t="n">
        <v>0</v>
      </c>
      <c r="I407" t="n">
        <v>0</v>
      </c>
      <c r="J407" t="n">
        <v>0</v>
      </c>
      <c r="K407" t="n">
        <v>0</v>
      </c>
      <c r="L407" t="n">
        <v>0</v>
      </c>
      <c r="M407" t="n">
        <v>0</v>
      </c>
      <c r="N407" t="n">
        <v>0</v>
      </c>
      <c r="O407" t="n">
        <v>0</v>
      </c>
      <c r="P407" t="n">
        <v>0</v>
      </c>
      <c r="Q407" t="n">
        <v>0</v>
      </c>
      <c r="R407" s="2" t="inlineStr"/>
    </row>
    <row r="408" ht="15" customHeight="1">
      <c r="A408" t="inlineStr">
        <is>
          <t>A 60215-2022</t>
        </is>
      </c>
      <c r="B408" s="1" t="n">
        <v>44910</v>
      </c>
      <c r="C408" s="1" t="n">
        <v>46196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25395-2026</t>
        </is>
      </c>
      <c r="B409" s="1" t="n">
        <v>46176</v>
      </c>
      <c r="C409" s="1" t="n">
        <v>46196</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25830-2025</t>
        </is>
      </c>
      <c r="B410" s="1" t="n">
        <v>45804</v>
      </c>
      <c r="C410" s="1" t="n">
        <v>46196</v>
      </c>
      <c r="D410" t="inlineStr">
        <is>
          <t>KALMAR LÄN</t>
        </is>
      </c>
      <c r="E410" t="inlineStr">
        <is>
          <t>VIMMERBY</t>
        </is>
      </c>
      <c r="G410" t="n">
        <v>4.9</v>
      </c>
      <c r="H410" t="n">
        <v>0</v>
      </c>
      <c r="I410" t="n">
        <v>0</v>
      </c>
      <c r="J410" t="n">
        <v>0</v>
      </c>
      <c r="K410" t="n">
        <v>0</v>
      </c>
      <c r="L410" t="n">
        <v>0</v>
      </c>
      <c r="M410" t="n">
        <v>0</v>
      </c>
      <c r="N410" t="n">
        <v>0</v>
      </c>
      <c r="O410" t="n">
        <v>0</v>
      </c>
      <c r="P410" t="n">
        <v>0</v>
      </c>
      <c r="Q410" t="n">
        <v>0</v>
      </c>
      <c r="R410" s="2" t="inlineStr"/>
    </row>
    <row r="411" ht="15" customHeight="1">
      <c r="A411" t="inlineStr">
        <is>
          <t>A 25345-2026</t>
        </is>
      </c>
      <c r="B411" s="1" t="n">
        <v>46176</v>
      </c>
      <c r="C411" s="1" t="n">
        <v>46196</v>
      </c>
      <c r="D411" t="inlineStr">
        <is>
          <t>KALMAR LÄN</t>
        </is>
      </c>
      <c r="E411" t="inlineStr">
        <is>
          <t>VIMMERBY</t>
        </is>
      </c>
      <c r="G411" t="n">
        <v>1.9</v>
      </c>
      <c r="H411" t="n">
        <v>0</v>
      </c>
      <c r="I411" t="n">
        <v>0</v>
      </c>
      <c r="J411" t="n">
        <v>0</v>
      </c>
      <c r="K411" t="n">
        <v>0</v>
      </c>
      <c r="L411" t="n">
        <v>0</v>
      </c>
      <c r="M411" t="n">
        <v>0</v>
      </c>
      <c r="N411" t="n">
        <v>0</v>
      </c>
      <c r="O411" t="n">
        <v>0</v>
      </c>
      <c r="P411" t="n">
        <v>0</v>
      </c>
      <c r="Q411" t="n">
        <v>0</v>
      </c>
      <c r="R411" s="2" t="inlineStr"/>
    </row>
    <row r="412" ht="15" customHeight="1">
      <c r="A412" t="inlineStr">
        <is>
          <t>A 25284-2026</t>
        </is>
      </c>
      <c r="B412" s="1" t="n">
        <v>46176</v>
      </c>
      <c r="C412" s="1" t="n">
        <v>46196</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46921-2023</t>
        </is>
      </c>
      <c r="B413" s="1" t="n">
        <v>45201</v>
      </c>
      <c r="C413" s="1" t="n">
        <v>46196</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59579-2025</t>
        </is>
      </c>
      <c r="B414" s="1" t="n">
        <v>45992</v>
      </c>
      <c r="C414" s="1" t="n">
        <v>46196</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52294-2023</t>
        </is>
      </c>
      <c r="B415" s="1" t="n">
        <v>45224</v>
      </c>
      <c r="C415" s="1" t="n">
        <v>46196</v>
      </c>
      <c r="D415" t="inlineStr">
        <is>
          <t>KALMAR LÄN</t>
        </is>
      </c>
      <c r="E415" t="inlineStr">
        <is>
          <t>VIMMERBY</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36273-2025</t>
        </is>
      </c>
      <c r="B416" s="1" t="n">
        <v>45867</v>
      </c>
      <c r="C416" s="1" t="n">
        <v>46196</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36282-2025</t>
        </is>
      </c>
      <c r="B417" s="1" t="n">
        <v>45867</v>
      </c>
      <c r="C417" s="1" t="n">
        <v>46196</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29783-2024</t>
        </is>
      </c>
      <c r="B418" s="1" t="n">
        <v>45485</v>
      </c>
      <c r="C418" s="1" t="n">
        <v>46196</v>
      </c>
      <c r="D418" t="inlineStr">
        <is>
          <t>KALMAR LÄN</t>
        </is>
      </c>
      <c r="E418" t="inlineStr">
        <is>
          <t>VIMMERBY</t>
        </is>
      </c>
      <c r="G418" t="n">
        <v>3.1</v>
      </c>
      <c r="H418" t="n">
        <v>0</v>
      </c>
      <c r="I418" t="n">
        <v>0</v>
      </c>
      <c r="J418" t="n">
        <v>0</v>
      </c>
      <c r="K418" t="n">
        <v>0</v>
      </c>
      <c r="L418" t="n">
        <v>0</v>
      </c>
      <c r="M418" t="n">
        <v>0</v>
      </c>
      <c r="N418" t="n">
        <v>0</v>
      </c>
      <c r="O418" t="n">
        <v>0</v>
      </c>
      <c r="P418" t="n">
        <v>0</v>
      </c>
      <c r="Q418" t="n">
        <v>0</v>
      </c>
      <c r="R418" s="2" t="inlineStr"/>
    </row>
    <row r="419" ht="15" customHeight="1">
      <c r="A419" t="inlineStr">
        <is>
          <t>A 52465-2025</t>
        </is>
      </c>
      <c r="B419" s="1" t="n">
        <v>45954</v>
      </c>
      <c r="C419" s="1" t="n">
        <v>46196</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37866-2025</t>
        </is>
      </c>
      <c r="B420" s="1" t="n">
        <v>45881</v>
      </c>
      <c r="C420" s="1" t="n">
        <v>46196</v>
      </c>
      <c r="D420" t="inlineStr">
        <is>
          <t>KALMAR LÄN</t>
        </is>
      </c>
      <c r="E420" t="inlineStr">
        <is>
          <t>VIMMERBY</t>
        </is>
      </c>
      <c r="G420" t="n">
        <v>3.4</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v>
      </c>
      <c r="C421" s="1" t="n">
        <v>46196</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20-2025</t>
        </is>
      </c>
      <c r="B422" s="1" t="n">
        <v>45658</v>
      </c>
      <c r="C422" s="1" t="n">
        <v>46196</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20018-2026</t>
        </is>
      </c>
      <c r="B423" s="1" t="n">
        <v>46136</v>
      </c>
      <c r="C423" s="1" t="n">
        <v>46196</v>
      </c>
      <c r="D423" t="inlineStr">
        <is>
          <t>KALMAR LÄN</t>
        </is>
      </c>
      <c r="E423" t="inlineStr">
        <is>
          <t>VIMMERBY</t>
        </is>
      </c>
      <c r="G423" t="n">
        <v>0.5</v>
      </c>
      <c r="H423" t="n">
        <v>0</v>
      </c>
      <c r="I423" t="n">
        <v>0</v>
      </c>
      <c r="J423" t="n">
        <v>0</v>
      </c>
      <c r="K423" t="n">
        <v>0</v>
      </c>
      <c r="L423" t="n">
        <v>0</v>
      </c>
      <c r="M423" t="n">
        <v>0</v>
      </c>
      <c r="N423" t="n">
        <v>0</v>
      </c>
      <c r="O423" t="n">
        <v>0</v>
      </c>
      <c r="P423" t="n">
        <v>0</v>
      </c>
      <c r="Q423" t="n">
        <v>0</v>
      </c>
      <c r="R423" s="2" t="inlineStr"/>
    </row>
    <row r="424" ht="15" customHeight="1">
      <c r="A424" t="inlineStr">
        <is>
          <t>A 29727-2025</t>
        </is>
      </c>
      <c r="B424" s="1" t="n">
        <v>45825</v>
      </c>
      <c r="C424" s="1" t="n">
        <v>46196</v>
      </c>
      <c r="D424" t="inlineStr">
        <is>
          <t>KALMAR LÄN</t>
        </is>
      </c>
      <c r="E424" t="inlineStr">
        <is>
          <t>VIMMERBY</t>
        </is>
      </c>
      <c r="G424" t="n">
        <v>1.3</v>
      </c>
      <c r="H424" t="n">
        <v>0</v>
      </c>
      <c r="I424" t="n">
        <v>0</v>
      </c>
      <c r="J424" t="n">
        <v>0</v>
      </c>
      <c r="K424" t="n">
        <v>0</v>
      </c>
      <c r="L424" t="n">
        <v>0</v>
      </c>
      <c r="M424" t="n">
        <v>0</v>
      </c>
      <c r="N424" t="n">
        <v>0</v>
      </c>
      <c r="O424" t="n">
        <v>0</v>
      </c>
      <c r="P424" t="n">
        <v>0</v>
      </c>
      <c r="Q424" t="n">
        <v>0</v>
      </c>
      <c r="R424" s="2" t="inlineStr"/>
    </row>
    <row r="425" ht="15" customHeight="1">
      <c r="A425" t="inlineStr">
        <is>
          <t>A 26029-2026</t>
        </is>
      </c>
      <c r="B425" s="1" t="n">
        <v>46181</v>
      </c>
      <c r="C425" s="1" t="n">
        <v>46196</v>
      </c>
      <c r="D425" t="inlineStr">
        <is>
          <t>KALMAR LÄN</t>
        </is>
      </c>
      <c r="E425" t="inlineStr">
        <is>
          <t>VIMMERBY</t>
        </is>
      </c>
      <c r="G425" t="n">
        <v>0.8</v>
      </c>
      <c r="H425" t="n">
        <v>0</v>
      </c>
      <c r="I425" t="n">
        <v>0</v>
      </c>
      <c r="J425" t="n">
        <v>0</v>
      </c>
      <c r="K425" t="n">
        <v>0</v>
      </c>
      <c r="L425" t="n">
        <v>0</v>
      </c>
      <c r="M425" t="n">
        <v>0</v>
      </c>
      <c r="N425" t="n">
        <v>0</v>
      </c>
      <c r="O425" t="n">
        <v>0</v>
      </c>
      <c r="P425" t="n">
        <v>0</v>
      </c>
      <c r="Q425" t="n">
        <v>0</v>
      </c>
      <c r="R425" s="2" t="inlineStr"/>
    </row>
    <row r="426" ht="15" customHeight="1">
      <c r="A426" t="inlineStr">
        <is>
          <t>A 16015-2025</t>
        </is>
      </c>
      <c r="B426" s="1" t="n">
        <v>45749</v>
      </c>
      <c r="C426" s="1" t="n">
        <v>46196</v>
      </c>
      <c r="D426" t="inlineStr">
        <is>
          <t>KALMAR LÄN</t>
        </is>
      </c>
      <c r="E426" t="inlineStr">
        <is>
          <t>VIMMERBY</t>
        </is>
      </c>
      <c r="F426" t="inlineStr">
        <is>
          <t>Kyrkan</t>
        </is>
      </c>
      <c r="G426" t="n">
        <v>2.7</v>
      </c>
      <c r="H426" t="n">
        <v>0</v>
      </c>
      <c r="I426" t="n">
        <v>0</v>
      </c>
      <c r="J426" t="n">
        <v>0</v>
      </c>
      <c r="K426" t="n">
        <v>0</v>
      </c>
      <c r="L426" t="n">
        <v>0</v>
      </c>
      <c r="M426" t="n">
        <v>0</v>
      </c>
      <c r="N426" t="n">
        <v>0</v>
      </c>
      <c r="O426" t="n">
        <v>0</v>
      </c>
      <c r="P426" t="n">
        <v>0</v>
      </c>
      <c r="Q426" t="n">
        <v>0</v>
      </c>
      <c r="R426" s="2" t="inlineStr"/>
    </row>
    <row r="427" ht="15" customHeight="1">
      <c r="A427" t="inlineStr">
        <is>
          <t>A 37088-2025</t>
        </is>
      </c>
      <c r="B427" s="1" t="n">
        <v>45875</v>
      </c>
      <c r="C427" s="1" t="n">
        <v>46196</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37102-2025</t>
        </is>
      </c>
      <c r="B428" s="1" t="n">
        <v>45875</v>
      </c>
      <c r="C428" s="1" t="n">
        <v>46196</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6082-2022</t>
        </is>
      </c>
      <c r="B429" s="1" t="n">
        <v>44599</v>
      </c>
      <c r="C429" s="1" t="n">
        <v>46196</v>
      </c>
      <c r="D429" t="inlineStr">
        <is>
          <t>KALMAR LÄN</t>
        </is>
      </c>
      <c r="E429" t="inlineStr">
        <is>
          <t>VIMMERBY</t>
        </is>
      </c>
      <c r="G429" t="n">
        <v>0.6</v>
      </c>
      <c r="H429" t="n">
        <v>0</v>
      </c>
      <c r="I429" t="n">
        <v>0</v>
      </c>
      <c r="J429" t="n">
        <v>0</v>
      </c>
      <c r="K429" t="n">
        <v>0</v>
      </c>
      <c r="L429" t="n">
        <v>0</v>
      </c>
      <c r="M429" t="n">
        <v>0</v>
      </c>
      <c r="N429" t="n">
        <v>0</v>
      </c>
      <c r="O429" t="n">
        <v>0</v>
      </c>
      <c r="P429" t="n">
        <v>0</v>
      </c>
      <c r="Q429" t="n">
        <v>0</v>
      </c>
      <c r="R429" s="2" t="inlineStr"/>
    </row>
    <row r="430" ht="15" customHeight="1">
      <c r="A430" t="inlineStr">
        <is>
          <t>A 20017-2026</t>
        </is>
      </c>
      <c r="B430" s="1" t="n">
        <v>46136</v>
      </c>
      <c r="C430" s="1" t="n">
        <v>46196</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28282-2025</t>
        </is>
      </c>
      <c r="B431" s="1" t="n">
        <v>45818</v>
      </c>
      <c r="C431" s="1" t="n">
        <v>46196</v>
      </c>
      <c r="D431" t="inlineStr">
        <is>
          <t>KALMAR LÄN</t>
        </is>
      </c>
      <c r="E431" t="inlineStr">
        <is>
          <t>VIMMERBY</t>
        </is>
      </c>
      <c r="F431" t="inlineStr">
        <is>
          <t>Sveaskog</t>
        </is>
      </c>
      <c r="G431" t="n">
        <v>0.7</v>
      </c>
      <c r="H431" t="n">
        <v>0</v>
      </c>
      <c r="I431" t="n">
        <v>0</v>
      </c>
      <c r="J431" t="n">
        <v>0</v>
      </c>
      <c r="K431" t="n">
        <v>0</v>
      </c>
      <c r="L431" t="n">
        <v>0</v>
      </c>
      <c r="M431" t="n">
        <v>0</v>
      </c>
      <c r="N431" t="n">
        <v>0</v>
      </c>
      <c r="O431" t="n">
        <v>0</v>
      </c>
      <c r="P431" t="n">
        <v>0</v>
      </c>
      <c r="Q431" t="n">
        <v>0</v>
      </c>
      <c r="R431" s="2" t="inlineStr"/>
    </row>
    <row r="432" ht="15" customHeight="1">
      <c r="A432" t="inlineStr">
        <is>
          <t>A 45854-2025</t>
        </is>
      </c>
      <c r="B432" s="1" t="n">
        <v>45923</v>
      </c>
      <c r="C432" s="1" t="n">
        <v>46196</v>
      </c>
      <c r="D432" t="inlineStr">
        <is>
          <t>KALMAR LÄN</t>
        </is>
      </c>
      <c r="E432" t="inlineStr">
        <is>
          <t>VIMMERBY</t>
        </is>
      </c>
      <c r="G432" t="n">
        <v>2.2</v>
      </c>
      <c r="H432" t="n">
        <v>0</v>
      </c>
      <c r="I432" t="n">
        <v>0</v>
      </c>
      <c r="J432" t="n">
        <v>0</v>
      </c>
      <c r="K432" t="n">
        <v>0</v>
      </c>
      <c r="L432" t="n">
        <v>0</v>
      </c>
      <c r="M432" t="n">
        <v>0</v>
      </c>
      <c r="N432" t="n">
        <v>0</v>
      </c>
      <c r="O432" t="n">
        <v>0</v>
      </c>
      <c r="P432" t="n">
        <v>0</v>
      </c>
      <c r="Q432" t="n">
        <v>0</v>
      </c>
      <c r="R432" s="2" t="inlineStr"/>
    </row>
    <row r="433" ht="15" customHeight="1">
      <c r="A433" t="inlineStr">
        <is>
          <t>A 2801-2023</t>
        </is>
      </c>
      <c r="B433" s="1" t="n">
        <v>44944</v>
      </c>
      <c r="C433" s="1" t="n">
        <v>46196</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46118-2025</t>
        </is>
      </c>
      <c r="B434" s="1" t="n">
        <v>45924</v>
      </c>
      <c r="C434" s="1" t="n">
        <v>46196</v>
      </c>
      <c r="D434" t="inlineStr">
        <is>
          <t>KALMAR LÄN</t>
        </is>
      </c>
      <c r="E434" t="inlineStr">
        <is>
          <t>VIMMERBY</t>
        </is>
      </c>
      <c r="G434" t="n">
        <v>2.9</v>
      </c>
      <c r="H434" t="n">
        <v>0</v>
      </c>
      <c r="I434" t="n">
        <v>0</v>
      </c>
      <c r="J434" t="n">
        <v>0</v>
      </c>
      <c r="K434" t="n">
        <v>0</v>
      </c>
      <c r="L434" t="n">
        <v>0</v>
      </c>
      <c r="M434" t="n">
        <v>0</v>
      </c>
      <c r="N434" t="n">
        <v>0</v>
      </c>
      <c r="O434" t="n">
        <v>0</v>
      </c>
      <c r="P434" t="n">
        <v>0</v>
      </c>
      <c r="Q434" t="n">
        <v>0</v>
      </c>
      <c r="R434" s="2" t="inlineStr"/>
    </row>
    <row r="435" ht="15" customHeight="1">
      <c r="A435" t="inlineStr">
        <is>
          <t>A 5146-2024</t>
        </is>
      </c>
      <c r="B435" s="1" t="n">
        <v>45330</v>
      </c>
      <c r="C435" s="1" t="n">
        <v>46196</v>
      </c>
      <c r="D435" t="inlineStr">
        <is>
          <t>KALMAR LÄN</t>
        </is>
      </c>
      <c r="E435" t="inlineStr">
        <is>
          <t>VIMMERBY</t>
        </is>
      </c>
      <c r="G435" t="n">
        <v>5.3</v>
      </c>
      <c r="H435" t="n">
        <v>0</v>
      </c>
      <c r="I435" t="n">
        <v>0</v>
      </c>
      <c r="J435" t="n">
        <v>0</v>
      </c>
      <c r="K435" t="n">
        <v>0</v>
      </c>
      <c r="L435" t="n">
        <v>0</v>
      </c>
      <c r="M435" t="n">
        <v>0</v>
      </c>
      <c r="N435" t="n">
        <v>0</v>
      </c>
      <c r="O435" t="n">
        <v>0</v>
      </c>
      <c r="P435" t="n">
        <v>0</v>
      </c>
      <c r="Q435" t="n">
        <v>0</v>
      </c>
      <c r="R435" s="2" t="inlineStr"/>
    </row>
    <row r="436" ht="15" customHeight="1">
      <c r="A436" t="inlineStr">
        <is>
          <t>A 5148-2024</t>
        </is>
      </c>
      <c r="B436" s="1" t="n">
        <v>45330</v>
      </c>
      <c r="C436" s="1" t="n">
        <v>46196</v>
      </c>
      <c r="D436" t="inlineStr">
        <is>
          <t>KALMAR LÄN</t>
        </is>
      </c>
      <c r="E436" t="inlineStr">
        <is>
          <t>VIMMERBY</t>
        </is>
      </c>
      <c r="G436" t="n">
        <v>5.6</v>
      </c>
      <c r="H436" t="n">
        <v>0</v>
      </c>
      <c r="I436" t="n">
        <v>0</v>
      </c>
      <c r="J436" t="n">
        <v>0</v>
      </c>
      <c r="K436" t="n">
        <v>0</v>
      </c>
      <c r="L436" t="n">
        <v>0</v>
      </c>
      <c r="M436" t="n">
        <v>0</v>
      </c>
      <c r="N436" t="n">
        <v>0</v>
      </c>
      <c r="O436" t="n">
        <v>0</v>
      </c>
      <c r="P436" t="n">
        <v>0</v>
      </c>
      <c r="Q436" t="n">
        <v>0</v>
      </c>
      <c r="R436" s="2" t="inlineStr"/>
    </row>
    <row r="437" ht="15" customHeight="1">
      <c r="A437" t="inlineStr">
        <is>
          <t>A 38969-2023</t>
        </is>
      </c>
      <c r="B437" s="1" t="n">
        <v>45163</v>
      </c>
      <c r="C437" s="1" t="n">
        <v>46196</v>
      </c>
      <c r="D437" t="inlineStr">
        <is>
          <t>KALMAR LÄN</t>
        </is>
      </c>
      <c r="E437" t="inlineStr">
        <is>
          <t>VIMMERBY</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45114-2025</t>
        </is>
      </c>
      <c r="B438" s="1" t="n">
        <v>45919</v>
      </c>
      <c r="C438" s="1" t="n">
        <v>46196</v>
      </c>
      <c r="D438" t="inlineStr">
        <is>
          <t>KALMAR LÄN</t>
        </is>
      </c>
      <c r="E438" t="inlineStr">
        <is>
          <t>VIMMERBY</t>
        </is>
      </c>
      <c r="G438" t="n">
        <v>2.7</v>
      </c>
      <c r="H438" t="n">
        <v>0</v>
      </c>
      <c r="I438" t="n">
        <v>0</v>
      </c>
      <c r="J438" t="n">
        <v>0</v>
      </c>
      <c r="K438" t="n">
        <v>0</v>
      </c>
      <c r="L438" t="n">
        <v>0</v>
      </c>
      <c r="M438" t="n">
        <v>0</v>
      </c>
      <c r="N438" t="n">
        <v>0</v>
      </c>
      <c r="O438" t="n">
        <v>0</v>
      </c>
      <c r="P438" t="n">
        <v>0</v>
      </c>
      <c r="Q438" t="n">
        <v>0</v>
      </c>
      <c r="R438" s="2" t="inlineStr"/>
    </row>
    <row r="439" ht="15" customHeight="1">
      <c r="A439" t="inlineStr">
        <is>
          <t>A 26254-2025</t>
        </is>
      </c>
      <c r="B439" s="1" t="n">
        <v>45805</v>
      </c>
      <c r="C439" s="1" t="n">
        <v>46196</v>
      </c>
      <c r="D439" t="inlineStr">
        <is>
          <t>KALMAR LÄN</t>
        </is>
      </c>
      <c r="E439" t="inlineStr">
        <is>
          <t>VIMMERBY</t>
        </is>
      </c>
      <c r="G439" t="n">
        <v>2</v>
      </c>
      <c r="H439" t="n">
        <v>0</v>
      </c>
      <c r="I439" t="n">
        <v>0</v>
      </c>
      <c r="J439" t="n">
        <v>0</v>
      </c>
      <c r="K439" t="n">
        <v>0</v>
      </c>
      <c r="L439" t="n">
        <v>0</v>
      </c>
      <c r="M439" t="n">
        <v>0</v>
      </c>
      <c r="N439" t="n">
        <v>0</v>
      </c>
      <c r="O439" t="n">
        <v>0</v>
      </c>
      <c r="P439" t="n">
        <v>0</v>
      </c>
      <c r="Q439" t="n">
        <v>0</v>
      </c>
      <c r="R439" s="2" t="inlineStr"/>
    </row>
    <row r="440" ht="15" customHeight="1">
      <c r="A440" t="inlineStr">
        <is>
          <t>A 31876-2025</t>
        </is>
      </c>
      <c r="B440" s="1" t="n">
        <v>45834</v>
      </c>
      <c r="C440" s="1" t="n">
        <v>46196</v>
      </c>
      <c r="D440" t="inlineStr">
        <is>
          <t>KALMAR LÄN</t>
        </is>
      </c>
      <c r="E440" t="inlineStr">
        <is>
          <t>VIMMERBY</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58159-2024</t>
        </is>
      </c>
      <c r="B441" s="1" t="n">
        <v>45632</v>
      </c>
      <c r="C441" s="1" t="n">
        <v>46196</v>
      </c>
      <c r="D441" t="inlineStr">
        <is>
          <t>KALMAR LÄN</t>
        </is>
      </c>
      <c r="E441" t="inlineStr">
        <is>
          <t>VIMMERBY</t>
        </is>
      </c>
      <c r="G441" t="n">
        <v>7.5</v>
      </c>
      <c r="H441" t="n">
        <v>0</v>
      </c>
      <c r="I441" t="n">
        <v>0</v>
      </c>
      <c r="J441" t="n">
        <v>0</v>
      </c>
      <c r="K441" t="n">
        <v>0</v>
      </c>
      <c r="L441" t="n">
        <v>0</v>
      </c>
      <c r="M441" t="n">
        <v>0</v>
      </c>
      <c r="N441" t="n">
        <v>0</v>
      </c>
      <c r="O441" t="n">
        <v>0</v>
      </c>
      <c r="P441" t="n">
        <v>0</v>
      </c>
      <c r="Q441" t="n">
        <v>0</v>
      </c>
      <c r="R441" s="2" t="inlineStr"/>
    </row>
    <row r="442" ht="15" customHeight="1">
      <c r="A442" t="inlineStr">
        <is>
          <t>A 6028-2023</t>
        </is>
      </c>
      <c r="B442" s="1" t="n">
        <v>44964</v>
      </c>
      <c r="C442" s="1" t="n">
        <v>46196</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42850-2022</t>
        </is>
      </c>
      <c r="B443" s="1" t="n">
        <v>44832</v>
      </c>
      <c r="C443" s="1" t="n">
        <v>46196</v>
      </c>
      <c r="D443" t="inlineStr">
        <is>
          <t>KALMAR LÄN</t>
        </is>
      </c>
      <c r="E443" t="inlineStr">
        <is>
          <t>VIMMERBY</t>
        </is>
      </c>
      <c r="G443" t="n">
        <v>5.9</v>
      </c>
      <c r="H443" t="n">
        <v>0</v>
      </c>
      <c r="I443" t="n">
        <v>0</v>
      </c>
      <c r="J443" t="n">
        <v>0</v>
      </c>
      <c r="K443" t="n">
        <v>0</v>
      </c>
      <c r="L443" t="n">
        <v>0</v>
      </c>
      <c r="M443" t="n">
        <v>0</v>
      </c>
      <c r="N443" t="n">
        <v>0</v>
      </c>
      <c r="O443" t="n">
        <v>0</v>
      </c>
      <c r="P443" t="n">
        <v>0</v>
      </c>
      <c r="Q443" t="n">
        <v>0</v>
      </c>
      <c r="R443" s="2" t="inlineStr"/>
    </row>
    <row r="444" ht="15" customHeight="1">
      <c r="A444" t="inlineStr">
        <is>
          <t>A 23394-2025</t>
        </is>
      </c>
      <c r="B444" s="1" t="n">
        <v>45791</v>
      </c>
      <c r="C444" s="1" t="n">
        <v>46196</v>
      </c>
      <c r="D444" t="inlineStr">
        <is>
          <t>KALMAR LÄN</t>
        </is>
      </c>
      <c r="E444" t="inlineStr">
        <is>
          <t>VIMMERBY</t>
        </is>
      </c>
      <c r="G444" t="n">
        <v>3.1</v>
      </c>
      <c r="H444" t="n">
        <v>0</v>
      </c>
      <c r="I444" t="n">
        <v>0</v>
      </c>
      <c r="J444" t="n">
        <v>0</v>
      </c>
      <c r="K444" t="n">
        <v>0</v>
      </c>
      <c r="L444" t="n">
        <v>0</v>
      </c>
      <c r="M444" t="n">
        <v>0</v>
      </c>
      <c r="N444" t="n">
        <v>0</v>
      </c>
      <c r="O444" t="n">
        <v>0</v>
      </c>
      <c r="P444" t="n">
        <v>0</v>
      </c>
      <c r="Q444" t="n">
        <v>0</v>
      </c>
      <c r="R444" s="2" t="inlineStr"/>
    </row>
    <row r="445" ht="15" customHeight="1">
      <c r="A445" t="inlineStr">
        <is>
          <t>A 58278-2023</t>
        </is>
      </c>
      <c r="B445" s="1" t="n">
        <v>45250</v>
      </c>
      <c r="C445" s="1" t="n">
        <v>46196</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26462-2026</t>
        </is>
      </c>
      <c r="B446" s="1" t="n">
        <v>46183</v>
      </c>
      <c r="C446" s="1" t="n">
        <v>46196</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19111-2025</t>
        </is>
      </c>
      <c r="B447" s="1" t="n">
        <v>45768</v>
      </c>
      <c r="C447" s="1" t="n">
        <v>46196</v>
      </c>
      <c r="D447" t="inlineStr">
        <is>
          <t>KALMAR LÄN</t>
        </is>
      </c>
      <c r="E447" t="inlineStr">
        <is>
          <t>VIMMERBY</t>
        </is>
      </c>
      <c r="G447" t="n">
        <v>6.2</v>
      </c>
      <c r="H447" t="n">
        <v>0</v>
      </c>
      <c r="I447" t="n">
        <v>0</v>
      </c>
      <c r="J447" t="n">
        <v>0</v>
      </c>
      <c r="K447" t="n">
        <v>0</v>
      </c>
      <c r="L447" t="n">
        <v>0</v>
      </c>
      <c r="M447" t="n">
        <v>0</v>
      </c>
      <c r="N447" t="n">
        <v>0</v>
      </c>
      <c r="O447" t="n">
        <v>0</v>
      </c>
      <c r="P447" t="n">
        <v>0</v>
      </c>
      <c r="Q447" t="n">
        <v>0</v>
      </c>
      <c r="R447" s="2" t="inlineStr"/>
    </row>
    <row r="448" ht="15" customHeight="1">
      <c r="A448" t="inlineStr">
        <is>
          <t>A 52588-2023</t>
        </is>
      </c>
      <c r="B448" s="1" t="n">
        <v>45225</v>
      </c>
      <c r="C448" s="1" t="n">
        <v>46196</v>
      </c>
      <c r="D448" t="inlineStr">
        <is>
          <t>KALMAR LÄN</t>
        </is>
      </c>
      <c r="E448" t="inlineStr">
        <is>
          <t>VIMMERBY</t>
        </is>
      </c>
      <c r="G448" t="n">
        <v>2.9</v>
      </c>
      <c r="H448" t="n">
        <v>0</v>
      </c>
      <c r="I448" t="n">
        <v>0</v>
      </c>
      <c r="J448" t="n">
        <v>0</v>
      </c>
      <c r="K448" t="n">
        <v>0</v>
      </c>
      <c r="L448" t="n">
        <v>0</v>
      </c>
      <c r="M448" t="n">
        <v>0</v>
      </c>
      <c r="N448" t="n">
        <v>0</v>
      </c>
      <c r="O448" t="n">
        <v>0</v>
      </c>
      <c r="P448" t="n">
        <v>0</v>
      </c>
      <c r="Q448" t="n">
        <v>0</v>
      </c>
      <c r="R448" s="2" t="inlineStr"/>
    </row>
    <row r="449" ht="15" customHeight="1">
      <c r="A449" t="inlineStr">
        <is>
          <t>A 26768-2026</t>
        </is>
      </c>
      <c r="B449" s="1" t="n">
        <v>46184</v>
      </c>
      <c r="C449" s="1" t="n">
        <v>46196</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26722-2026</t>
        </is>
      </c>
      <c r="B450" s="1" t="n">
        <v>46184</v>
      </c>
      <c r="C450" s="1" t="n">
        <v>46196</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26704-2026</t>
        </is>
      </c>
      <c r="B451" s="1" t="n">
        <v>46184</v>
      </c>
      <c r="C451" s="1" t="n">
        <v>46196</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26762-2026</t>
        </is>
      </c>
      <c r="B452" s="1" t="n">
        <v>46184</v>
      </c>
      <c r="C452" s="1" t="n">
        <v>46196</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26734-2026</t>
        </is>
      </c>
      <c r="B453" s="1" t="n">
        <v>46184</v>
      </c>
      <c r="C453" s="1" t="n">
        <v>46196</v>
      </c>
      <c r="D453" t="inlineStr">
        <is>
          <t>KALMAR LÄN</t>
        </is>
      </c>
      <c r="E453" t="inlineStr">
        <is>
          <t>VIMMERBY</t>
        </is>
      </c>
      <c r="G453" t="n">
        <v>2.6</v>
      </c>
      <c r="H453" t="n">
        <v>0</v>
      </c>
      <c r="I453" t="n">
        <v>0</v>
      </c>
      <c r="J453" t="n">
        <v>0</v>
      </c>
      <c r="K453" t="n">
        <v>0</v>
      </c>
      <c r="L453" t="n">
        <v>0</v>
      </c>
      <c r="M453" t="n">
        <v>0</v>
      </c>
      <c r="N453" t="n">
        <v>0</v>
      </c>
      <c r="O453" t="n">
        <v>0</v>
      </c>
      <c r="P453" t="n">
        <v>0</v>
      </c>
      <c r="Q453" t="n">
        <v>0</v>
      </c>
      <c r="R453" s="2" t="inlineStr"/>
    </row>
    <row r="454" ht="15" customHeight="1">
      <c r="A454" t="inlineStr">
        <is>
          <t>A 27074-2026</t>
        </is>
      </c>
      <c r="B454" s="1" t="n">
        <v>46186</v>
      </c>
      <c r="C454" s="1" t="n">
        <v>46196</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6802-2025</t>
        </is>
      </c>
      <c r="B455" s="1" t="n">
        <v>45700</v>
      </c>
      <c r="C455" s="1" t="n">
        <v>46196</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71793-2021</t>
        </is>
      </c>
      <c r="B456" s="1" t="n">
        <v>44539</v>
      </c>
      <c r="C456" s="1" t="n">
        <v>46196</v>
      </c>
      <c r="D456" t="inlineStr">
        <is>
          <t>KALMAR LÄN</t>
        </is>
      </c>
      <c r="E456" t="inlineStr">
        <is>
          <t>VIMMERBY</t>
        </is>
      </c>
      <c r="G456" t="n">
        <v>2.7</v>
      </c>
      <c r="H456" t="n">
        <v>0</v>
      </c>
      <c r="I456" t="n">
        <v>0</v>
      </c>
      <c r="J456" t="n">
        <v>0</v>
      </c>
      <c r="K456" t="n">
        <v>0</v>
      </c>
      <c r="L456" t="n">
        <v>0</v>
      </c>
      <c r="M456" t="n">
        <v>0</v>
      </c>
      <c r="N456" t="n">
        <v>0</v>
      </c>
      <c r="O456" t="n">
        <v>0</v>
      </c>
      <c r="P456" t="n">
        <v>0</v>
      </c>
      <c r="Q456" t="n">
        <v>0</v>
      </c>
      <c r="R456" s="2" t="inlineStr"/>
    </row>
    <row r="457" ht="15" customHeight="1">
      <c r="A457" t="inlineStr">
        <is>
          <t>A 527-2024</t>
        </is>
      </c>
      <c r="B457" s="1" t="n">
        <v>45299</v>
      </c>
      <c r="C457" s="1" t="n">
        <v>46196</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60230-2022</t>
        </is>
      </c>
      <c r="B458" s="1" t="n">
        <v>44910</v>
      </c>
      <c r="C458" s="1" t="n">
        <v>46196</v>
      </c>
      <c r="D458" t="inlineStr">
        <is>
          <t>KALMAR LÄN</t>
        </is>
      </c>
      <c r="E458" t="inlineStr">
        <is>
          <t>VIMMERBY</t>
        </is>
      </c>
      <c r="G458" t="n">
        <v>11.3</v>
      </c>
      <c r="H458" t="n">
        <v>0</v>
      </c>
      <c r="I458" t="n">
        <v>0</v>
      </c>
      <c r="J458" t="n">
        <v>0</v>
      </c>
      <c r="K458" t="n">
        <v>0</v>
      </c>
      <c r="L458" t="n">
        <v>0</v>
      </c>
      <c r="M458" t="n">
        <v>0</v>
      </c>
      <c r="N458" t="n">
        <v>0</v>
      </c>
      <c r="O458" t="n">
        <v>0</v>
      </c>
      <c r="P458" t="n">
        <v>0</v>
      </c>
      <c r="Q458" t="n">
        <v>0</v>
      </c>
      <c r="R458" s="2" t="inlineStr"/>
    </row>
    <row r="459" ht="15" customHeight="1">
      <c r="A459" t="inlineStr">
        <is>
          <t>A 5925-2022</t>
        </is>
      </c>
      <c r="B459" s="1" t="n">
        <v>44598</v>
      </c>
      <c r="C459" s="1" t="n">
        <v>46196</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21882-2026</t>
        </is>
      </c>
      <c r="B460" s="1" t="n">
        <v>46150</v>
      </c>
      <c r="C460" s="1" t="n">
        <v>46196</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46522-2022</t>
        </is>
      </c>
      <c r="B461" s="1" t="n">
        <v>44848</v>
      </c>
      <c r="C461" s="1" t="n">
        <v>46196</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41066-2024</t>
        </is>
      </c>
      <c r="B462" s="1" t="n">
        <v>45559</v>
      </c>
      <c r="C462" s="1" t="n">
        <v>46196</v>
      </c>
      <c r="D462" t="inlineStr">
        <is>
          <t>KALMAR LÄN</t>
        </is>
      </c>
      <c r="E462" t="inlineStr">
        <is>
          <t>VIMMERBY</t>
        </is>
      </c>
      <c r="G462" t="n">
        <v>2.4</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46196</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17486-2024</t>
        </is>
      </c>
      <c r="B464" s="1" t="n">
        <v>45415</v>
      </c>
      <c r="C464" s="1" t="n">
        <v>46196</v>
      </c>
      <c r="D464" t="inlineStr">
        <is>
          <t>KALMAR LÄN</t>
        </is>
      </c>
      <c r="E464" t="inlineStr">
        <is>
          <t>VIMMERBY</t>
        </is>
      </c>
      <c r="G464" t="n">
        <v>2.6</v>
      </c>
      <c r="H464" t="n">
        <v>0</v>
      </c>
      <c r="I464" t="n">
        <v>0</v>
      </c>
      <c r="J464" t="n">
        <v>0</v>
      </c>
      <c r="K464" t="n">
        <v>0</v>
      </c>
      <c r="L464" t="n">
        <v>0</v>
      </c>
      <c r="M464" t="n">
        <v>0</v>
      </c>
      <c r="N464" t="n">
        <v>0</v>
      </c>
      <c r="O464" t="n">
        <v>0</v>
      </c>
      <c r="P464" t="n">
        <v>0</v>
      </c>
      <c r="Q464" t="n">
        <v>0</v>
      </c>
      <c r="R464" s="2" t="inlineStr"/>
    </row>
    <row r="465" ht="15" customHeight="1">
      <c r="A465" t="inlineStr">
        <is>
          <t>A 71631-2021</t>
        </is>
      </c>
      <c r="B465" s="1" t="n">
        <v>44542</v>
      </c>
      <c r="C465" s="1" t="n">
        <v>46196</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9694-2023</t>
        </is>
      </c>
      <c r="B466" s="1" t="n">
        <v>44984</v>
      </c>
      <c r="C466" s="1" t="n">
        <v>46196</v>
      </c>
      <c r="D466" t="inlineStr">
        <is>
          <t>KALMAR LÄN</t>
        </is>
      </c>
      <c r="E466" t="inlineStr">
        <is>
          <t>VIMMERBY</t>
        </is>
      </c>
      <c r="G466" t="n">
        <v>2.1</v>
      </c>
      <c r="H466" t="n">
        <v>0</v>
      </c>
      <c r="I466" t="n">
        <v>0</v>
      </c>
      <c r="J466" t="n">
        <v>0</v>
      </c>
      <c r="K466" t="n">
        <v>0</v>
      </c>
      <c r="L466" t="n">
        <v>0</v>
      </c>
      <c r="M466" t="n">
        <v>0</v>
      </c>
      <c r="N466" t="n">
        <v>0</v>
      </c>
      <c r="O466" t="n">
        <v>0</v>
      </c>
      <c r="P466" t="n">
        <v>0</v>
      </c>
      <c r="Q466" t="n">
        <v>0</v>
      </c>
      <c r="R466" s="2" t="inlineStr"/>
    </row>
    <row r="467" ht="15" customHeight="1">
      <c r="A467" t="inlineStr">
        <is>
          <t>A 57311-2023</t>
        </is>
      </c>
      <c r="B467" s="1" t="n">
        <v>45245</v>
      </c>
      <c r="C467" s="1" t="n">
        <v>46196</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12588-2025</t>
        </is>
      </c>
      <c r="B468" s="1" t="n">
        <v>45732</v>
      </c>
      <c r="C468" s="1" t="n">
        <v>46196</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v>
      </c>
      <c r="C469" s="1" t="n">
        <v>46196</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2121-2022</t>
        </is>
      </c>
      <c r="B470" s="1" t="n">
        <v>44578</v>
      </c>
      <c r="C470" s="1" t="n">
        <v>46196</v>
      </c>
      <c r="D470" t="inlineStr">
        <is>
          <t>KALMAR LÄN</t>
        </is>
      </c>
      <c r="E470" t="inlineStr">
        <is>
          <t>VIMMERBY</t>
        </is>
      </c>
      <c r="G470" t="n">
        <v>2</v>
      </c>
      <c r="H470" t="n">
        <v>0</v>
      </c>
      <c r="I470" t="n">
        <v>0</v>
      </c>
      <c r="J470" t="n">
        <v>0</v>
      </c>
      <c r="K470" t="n">
        <v>0</v>
      </c>
      <c r="L470" t="n">
        <v>0</v>
      </c>
      <c r="M470" t="n">
        <v>0</v>
      </c>
      <c r="N470" t="n">
        <v>0</v>
      </c>
      <c r="O470" t="n">
        <v>0</v>
      </c>
      <c r="P470" t="n">
        <v>0</v>
      </c>
      <c r="Q470" t="n">
        <v>0</v>
      </c>
      <c r="R470" s="2" t="inlineStr"/>
    </row>
    <row r="471" ht="15" customHeight="1">
      <c r="A471" t="inlineStr">
        <is>
          <t>A 34386-2024</t>
        </is>
      </c>
      <c r="B471" s="1" t="n">
        <v>45525</v>
      </c>
      <c r="C471" s="1" t="n">
        <v>46196</v>
      </c>
      <c r="D471" t="inlineStr">
        <is>
          <t>KALMAR LÄN</t>
        </is>
      </c>
      <c r="E471" t="inlineStr">
        <is>
          <t>VIMMERBY</t>
        </is>
      </c>
      <c r="G471" t="n">
        <v>0.3</v>
      </c>
      <c r="H471" t="n">
        <v>0</v>
      </c>
      <c r="I471" t="n">
        <v>0</v>
      </c>
      <c r="J471" t="n">
        <v>0</v>
      </c>
      <c r="K471" t="n">
        <v>0</v>
      </c>
      <c r="L471" t="n">
        <v>0</v>
      </c>
      <c r="M471" t="n">
        <v>0</v>
      </c>
      <c r="N471" t="n">
        <v>0</v>
      </c>
      <c r="O471" t="n">
        <v>0</v>
      </c>
      <c r="P471" t="n">
        <v>0</v>
      </c>
      <c r="Q471" t="n">
        <v>0</v>
      </c>
      <c r="R471" s="2" t="inlineStr"/>
    </row>
    <row r="472" ht="15" customHeight="1">
      <c r="A472" t="inlineStr">
        <is>
          <t>A 6069-2023</t>
        </is>
      </c>
      <c r="B472" s="1" t="n">
        <v>44964</v>
      </c>
      <c r="C472" s="1" t="n">
        <v>46196</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32633-2023</t>
        </is>
      </c>
      <c r="B473" s="1" t="n">
        <v>45121</v>
      </c>
      <c r="C473" s="1" t="n">
        <v>46196</v>
      </c>
      <c r="D473" t="inlineStr">
        <is>
          <t>KALMAR LÄN</t>
        </is>
      </c>
      <c r="E473" t="inlineStr">
        <is>
          <t>VIMMERBY</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49461-2023</t>
        </is>
      </c>
      <c r="B474" s="1" t="n">
        <v>45211</v>
      </c>
      <c r="C474" s="1" t="n">
        <v>46196</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23095-2023</t>
        </is>
      </c>
      <c r="B475" s="1" t="n">
        <v>45075</v>
      </c>
      <c r="C475" s="1" t="n">
        <v>46196</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11429-2022</t>
        </is>
      </c>
      <c r="B476" s="1" t="n">
        <v>44630</v>
      </c>
      <c r="C476" s="1" t="n">
        <v>46196</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11141-2024</t>
        </is>
      </c>
      <c r="B477" s="1" t="n">
        <v>45371</v>
      </c>
      <c r="C477" s="1" t="n">
        <v>46196</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28395-2023</t>
        </is>
      </c>
      <c r="B478" s="1" t="n">
        <v>45100</v>
      </c>
      <c r="C478" s="1" t="n">
        <v>46196</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34597-2022</t>
        </is>
      </c>
      <c r="B479" s="1" t="n">
        <v>44795</v>
      </c>
      <c r="C479" s="1" t="n">
        <v>46196</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64428-2023</t>
        </is>
      </c>
      <c r="B480" s="1" t="n">
        <v>45280</v>
      </c>
      <c r="C480" s="1" t="n">
        <v>46196</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30588-2023</t>
        </is>
      </c>
      <c r="B481" s="1" t="n">
        <v>45112</v>
      </c>
      <c r="C481" s="1" t="n">
        <v>46196</v>
      </c>
      <c r="D481" t="inlineStr">
        <is>
          <t>KALMAR LÄN</t>
        </is>
      </c>
      <c r="E481" t="inlineStr">
        <is>
          <t>VIMMERBY</t>
        </is>
      </c>
      <c r="G481" t="n">
        <v>2.7</v>
      </c>
      <c r="H481" t="n">
        <v>0</v>
      </c>
      <c r="I481" t="n">
        <v>0</v>
      </c>
      <c r="J481" t="n">
        <v>0</v>
      </c>
      <c r="K481" t="n">
        <v>0</v>
      </c>
      <c r="L481" t="n">
        <v>0</v>
      </c>
      <c r="M481" t="n">
        <v>0</v>
      </c>
      <c r="N481" t="n">
        <v>0</v>
      </c>
      <c r="O481" t="n">
        <v>0</v>
      </c>
      <c r="P481" t="n">
        <v>0</v>
      </c>
      <c r="Q481" t="n">
        <v>0</v>
      </c>
      <c r="R481" s="2" t="inlineStr"/>
    </row>
    <row r="482" ht="15" customHeight="1">
      <c r="A482" t="inlineStr">
        <is>
          <t>A 30503-2023</t>
        </is>
      </c>
      <c r="B482" s="1" t="n">
        <v>45111</v>
      </c>
      <c r="C482" s="1" t="n">
        <v>46196</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47263-2023</t>
        </is>
      </c>
      <c r="B483" s="1" t="n">
        <v>45202</v>
      </c>
      <c r="C483" s="1" t="n">
        <v>46196</v>
      </c>
      <c r="D483" t="inlineStr">
        <is>
          <t>KALMAR LÄN</t>
        </is>
      </c>
      <c r="E483" t="inlineStr">
        <is>
          <t>VIMMERBY</t>
        </is>
      </c>
      <c r="G483" t="n">
        <v>1.8</v>
      </c>
      <c r="H483" t="n">
        <v>0</v>
      </c>
      <c r="I483" t="n">
        <v>0</v>
      </c>
      <c r="J483" t="n">
        <v>0</v>
      </c>
      <c r="K483" t="n">
        <v>0</v>
      </c>
      <c r="L483" t="n">
        <v>0</v>
      </c>
      <c r="M483" t="n">
        <v>0</v>
      </c>
      <c r="N483" t="n">
        <v>0</v>
      </c>
      <c r="O483" t="n">
        <v>0</v>
      </c>
      <c r="P483" t="n">
        <v>0</v>
      </c>
      <c r="Q483" t="n">
        <v>0</v>
      </c>
      <c r="R483" s="2" t="inlineStr"/>
    </row>
    <row r="484" ht="15" customHeight="1">
      <c r="A484" t="inlineStr">
        <is>
          <t>A 58100-2024</t>
        </is>
      </c>
      <c r="B484" s="1" t="n">
        <v>45632</v>
      </c>
      <c r="C484" s="1" t="n">
        <v>46196</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57114-2023</t>
        </is>
      </c>
      <c r="B485" s="1" t="n">
        <v>45245</v>
      </c>
      <c r="C485" s="1" t="n">
        <v>46196</v>
      </c>
      <c r="D485" t="inlineStr">
        <is>
          <t>KALMAR LÄN</t>
        </is>
      </c>
      <c r="E485" t="inlineStr">
        <is>
          <t>VIMMERBY</t>
        </is>
      </c>
      <c r="G485" t="n">
        <v>1.5</v>
      </c>
      <c r="H485" t="n">
        <v>0</v>
      </c>
      <c r="I485" t="n">
        <v>0</v>
      </c>
      <c r="J485" t="n">
        <v>0</v>
      </c>
      <c r="K485" t="n">
        <v>0</v>
      </c>
      <c r="L485" t="n">
        <v>0</v>
      </c>
      <c r="M485" t="n">
        <v>0</v>
      </c>
      <c r="N485" t="n">
        <v>0</v>
      </c>
      <c r="O485" t="n">
        <v>0</v>
      </c>
      <c r="P485" t="n">
        <v>0</v>
      </c>
      <c r="Q485" t="n">
        <v>0</v>
      </c>
      <c r="R485" s="2" t="inlineStr"/>
    </row>
    <row r="486" ht="15" customHeight="1">
      <c r="A486" t="inlineStr">
        <is>
          <t>A 3423-2022</t>
        </is>
      </c>
      <c r="B486" s="1" t="n">
        <v>44585</v>
      </c>
      <c r="C486" s="1" t="n">
        <v>46196</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40665-2023</t>
        </is>
      </c>
      <c r="B487" s="1" t="n">
        <v>45170</v>
      </c>
      <c r="C487" s="1" t="n">
        <v>46196</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50860-2022</t>
        </is>
      </c>
      <c r="B488" s="1" t="n">
        <v>44867</v>
      </c>
      <c r="C488" s="1" t="n">
        <v>46196</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25370-2022</t>
        </is>
      </c>
      <c r="B489" s="1" t="n">
        <v>44732</v>
      </c>
      <c r="C489" s="1" t="n">
        <v>46196</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58577-2024</t>
        </is>
      </c>
      <c r="B490" s="1" t="n">
        <v>45635</v>
      </c>
      <c r="C490" s="1" t="n">
        <v>46196</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29440-2024</t>
        </is>
      </c>
      <c r="B491" s="1" t="n">
        <v>45483</v>
      </c>
      <c r="C491" s="1" t="n">
        <v>46196</v>
      </c>
      <c r="D491" t="inlineStr">
        <is>
          <t>KALMAR LÄN</t>
        </is>
      </c>
      <c r="E491" t="inlineStr">
        <is>
          <t>VIMMERBY</t>
        </is>
      </c>
      <c r="G491" t="n">
        <v>4.5</v>
      </c>
      <c r="H491" t="n">
        <v>0</v>
      </c>
      <c r="I491" t="n">
        <v>0</v>
      </c>
      <c r="J491" t="n">
        <v>0</v>
      </c>
      <c r="K491" t="n">
        <v>0</v>
      </c>
      <c r="L491" t="n">
        <v>0</v>
      </c>
      <c r="M491" t="n">
        <v>0</v>
      </c>
      <c r="N491" t="n">
        <v>0</v>
      </c>
      <c r="O491" t="n">
        <v>0</v>
      </c>
      <c r="P491" t="n">
        <v>0</v>
      </c>
      <c r="Q491" t="n">
        <v>0</v>
      </c>
      <c r="R491" s="2" t="inlineStr"/>
    </row>
    <row r="492" ht="15" customHeight="1">
      <c r="A492" t="inlineStr">
        <is>
          <t>A 9129-2025</t>
        </is>
      </c>
      <c r="B492" s="1" t="n">
        <v>45713</v>
      </c>
      <c r="C492" s="1" t="n">
        <v>46196</v>
      </c>
      <c r="D492" t="inlineStr">
        <is>
          <t>KALMAR LÄN</t>
        </is>
      </c>
      <c r="E492" t="inlineStr">
        <is>
          <t>VIMMERBY</t>
        </is>
      </c>
      <c r="G492" t="n">
        <v>2.8</v>
      </c>
      <c r="H492" t="n">
        <v>0</v>
      </c>
      <c r="I492" t="n">
        <v>0</v>
      </c>
      <c r="J492" t="n">
        <v>0</v>
      </c>
      <c r="K492" t="n">
        <v>0</v>
      </c>
      <c r="L492" t="n">
        <v>0</v>
      </c>
      <c r="M492" t="n">
        <v>0</v>
      </c>
      <c r="N492" t="n">
        <v>0</v>
      </c>
      <c r="O492" t="n">
        <v>0</v>
      </c>
      <c r="P492" t="n">
        <v>0</v>
      </c>
      <c r="Q492" t="n">
        <v>0</v>
      </c>
      <c r="R492" s="2" t="inlineStr"/>
    </row>
    <row r="493" ht="15" customHeight="1">
      <c r="A493" t="inlineStr">
        <is>
          <t>A 53752-2024</t>
        </is>
      </c>
      <c r="B493" s="1" t="n">
        <v>45615</v>
      </c>
      <c r="C493" s="1" t="n">
        <v>46196</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9710-2023</t>
        </is>
      </c>
      <c r="B494" s="1" t="n">
        <v>44984</v>
      </c>
      <c r="C494" s="1" t="n">
        <v>46196</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9720-2023</t>
        </is>
      </c>
      <c r="B495" s="1" t="n">
        <v>44984</v>
      </c>
      <c r="C495" s="1" t="n">
        <v>46196</v>
      </c>
      <c r="D495" t="inlineStr">
        <is>
          <t>KALMAR LÄN</t>
        </is>
      </c>
      <c r="E495" t="inlineStr">
        <is>
          <t>VIMMERBY</t>
        </is>
      </c>
      <c r="G495" t="n">
        <v>4.4</v>
      </c>
      <c r="H495" t="n">
        <v>0</v>
      </c>
      <c r="I495" t="n">
        <v>0</v>
      </c>
      <c r="J495" t="n">
        <v>0</v>
      </c>
      <c r="K495" t="n">
        <v>0</v>
      </c>
      <c r="L495" t="n">
        <v>0</v>
      </c>
      <c r="M495" t="n">
        <v>0</v>
      </c>
      <c r="N495" t="n">
        <v>0</v>
      </c>
      <c r="O495" t="n">
        <v>0</v>
      </c>
      <c r="P495" t="n">
        <v>0</v>
      </c>
      <c r="Q495" t="n">
        <v>0</v>
      </c>
      <c r="R495" s="2" t="inlineStr"/>
    </row>
    <row r="496" ht="15" customHeight="1">
      <c r="A496" t="inlineStr">
        <is>
          <t>A 15493-2023</t>
        </is>
      </c>
      <c r="B496" s="1" t="n">
        <v>45018</v>
      </c>
      <c r="C496" s="1" t="n">
        <v>46196</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29093-2023</t>
        </is>
      </c>
      <c r="B497" s="1" t="n">
        <v>45105</v>
      </c>
      <c r="C497" s="1" t="n">
        <v>46196</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33352-2022</t>
        </is>
      </c>
      <c r="B498" s="1" t="n">
        <v>44788</v>
      </c>
      <c r="C498" s="1" t="n">
        <v>46196</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22264-2023</t>
        </is>
      </c>
      <c r="B499" s="1" t="n">
        <v>45070</v>
      </c>
      <c r="C499" s="1" t="n">
        <v>46196</v>
      </c>
      <c r="D499" t="inlineStr">
        <is>
          <t>KALMAR LÄN</t>
        </is>
      </c>
      <c r="E499" t="inlineStr">
        <is>
          <t>VIMMERBY</t>
        </is>
      </c>
      <c r="G499" t="n">
        <v>1</v>
      </c>
      <c r="H499" t="n">
        <v>0</v>
      </c>
      <c r="I499" t="n">
        <v>0</v>
      </c>
      <c r="J499" t="n">
        <v>0</v>
      </c>
      <c r="K499" t="n">
        <v>0</v>
      </c>
      <c r="L499" t="n">
        <v>0</v>
      </c>
      <c r="M499" t="n">
        <v>0</v>
      </c>
      <c r="N499" t="n">
        <v>0</v>
      </c>
      <c r="O499" t="n">
        <v>0</v>
      </c>
      <c r="P499" t="n">
        <v>0</v>
      </c>
      <c r="Q499" t="n">
        <v>0</v>
      </c>
      <c r="R499" s="2" t="inlineStr"/>
    </row>
    <row r="500" ht="15" customHeight="1">
      <c r="A500" t="inlineStr">
        <is>
          <t>A 16676-2023</t>
        </is>
      </c>
      <c r="B500" s="1" t="n">
        <v>45028</v>
      </c>
      <c r="C500" s="1" t="n">
        <v>46196</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24096-2024</t>
        </is>
      </c>
      <c r="B501" s="1" t="n">
        <v>45456</v>
      </c>
      <c r="C501" s="1" t="n">
        <v>46196</v>
      </c>
      <c r="D501" t="inlineStr">
        <is>
          <t>KALMAR LÄN</t>
        </is>
      </c>
      <c r="E501" t="inlineStr">
        <is>
          <t>VIMMERBY</t>
        </is>
      </c>
      <c r="G501" t="n">
        <v>2.3</v>
      </c>
      <c r="H501" t="n">
        <v>0</v>
      </c>
      <c r="I501" t="n">
        <v>0</v>
      </c>
      <c r="J501" t="n">
        <v>0</v>
      </c>
      <c r="K501" t="n">
        <v>0</v>
      </c>
      <c r="L501" t="n">
        <v>0</v>
      </c>
      <c r="M501" t="n">
        <v>0</v>
      </c>
      <c r="N501" t="n">
        <v>0</v>
      </c>
      <c r="O501" t="n">
        <v>0</v>
      </c>
      <c r="P501" t="n">
        <v>0</v>
      </c>
      <c r="Q501" t="n">
        <v>0</v>
      </c>
      <c r="R501" s="2" t="inlineStr"/>
    </row>
    <row r="502" ht="15" customHeight="1">
      <c r="A502" t="inlineStr">
        <is>
          <t>A 29013-2024</t>
        </is>
      </c>
      <c r="B502" s="1" t="n">
        <v>45481</v>
      </c>
      <c r="C502" s="1" t="n">
        <v>46196</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6066-2023</t>
        </is>
      </c>
      <c r="B503" s="1" t="n">
        <v>44964</v>
      </c>
      <c r="C503" s="1" t="n">
        <v>46196</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59955-2023</t>
        </is>
      </c>
      <c r="B504" s="1" t="n">
        <v>45257</v>
      </c>
      <c r="C504" s="1" t="n">
        <v>46196</v>
      </c>
      <c r="D504" t="inlineStr">
        <is>
          <t>KALMAR LÄN</t>
        </is>
      </c>
      <c r="E504" t="inlineStr">
        <is>
          <t>VIMMERBY</t>
        </is>
      </c>
      <c r="G504" t="n">
        <v>13.8</v>
      </c>
      <c r="H504" t="n">
        <v>0</v>
      </c>
      <c r="I504" t="n">
        <v>0</v>
      </c>
      <c r="J504" t="n">
        <v>0</v>
      </c>
      <c r="K504" t="n">
        <v>0</v>
      </c>
      <c r="L504" t="n">
        <v>0</v>
      </c>
      <c r="M504" t="n">
        <v>0</v>
      </c>
      <c r="N504" t="n">
        <v>0</v>
      </c>
      <c r="O504" t="n">
        <v>0</v>
      </c>
      <c r="P504" t="n">
        <v>0</v>
      </c>
      <c r="Q504" t="n">
        <v>0</v>
      </c>
      <c r="R504" s="2" t="inlineStr"/>
    </row>
    <row r="505" ht="15" customHeight="1">
      <c r="A505" t="inlineStr">
        <is>
          <t>A 36040-2024</t>
        </is>
      </c>
      <c r="B505" s="1" t="n">
        <v>45533</v>
      </c>
      <c r="C505" s="1" t="n">
        <v>46196</v>
      </c>
      <c r="D505" t="inlineStr">
        <is>
          <t>KALMAR LÄN</t>
        </is>
      </c>
      <c r="E505" t="inlineStr">
        <is>
          <t>VIMMERBY</t>
        </is>
      </c>
      <c r="F505" t="inlineStr">
        <is>
          <t>Kommuner</t>
        </is>
      </c>
      <c r="G505" t="n">
        <v>3.6</v>
      </c>
      <c r="H505" t="n">
        <v>0</v>
      </c>
      <c r="I505" t="n">
        <v>0</v>
      </c>
      <c r="J505" t="n">
        <v>0</v>
      </c>
      <c r="K505" t="n">
        <v>0</v>
      </c>
      <c r="L505" t="n">
        <v>0</v>
      </c>
      <c r="M505" t="n">
        <v>0</v>
      </c>
      <c r="N505" t="n">
        <v>0</v>
      </c>
      <c r="O505" t="n">
        <v>0</v>
      </c>
      <c r="P505" t="n">
        <v>0</v>
      </c>
      <c r="Q505" t="n">
        <v>0</v>
      </c>
      <c r="R505" s="2" t="inlineStr"/>
    </row>
    <row r="506" ht="15" customHeight="1">
      <c r="A506" t="inlineStr">
        <is>
          <t>A 36043-2024</t>
        </is>
      </c>
      <c r="B506" s="1" t="n">
        <v>45533</v>
      </c>
      <c r="C506" s="1" t="n">
        <v>46196</v>
      </c>
      <c r="D506" t="inlineStr">
        <is>
          <t>KALMAR LÄN</t>
        </is>
      </c>
      <c r="E506" t="inlineStr">
        <is>
          <t>VIMMERBY</t>
        </is>
      </c>
      <c r="F506" t="inlineStr">
        <is>
          <t>Kommuner</t>
        </is>
      </c>
      <c r="G506" t="n">
        <v>1.5</v>
      </c>
      <c r="H506" t="n">
        <v>0</v>
      </c>
      <c r="I506" t="n">
        <v>0</v>
      </c>
      <c r="J506" t="n">
        <v>0</v>
      </c>
      <c r="K506" t="n">
        <v>0</v>
      </c>
      <c r="L506" t="n">
        <v>0</v>
      </c>
      <c r="M506" t="n">
        <v>0</v>
      </c>
      <c r="N506" t="n">
        <v>0</v>
      </c>
      <c r="O506" t="n">
        <v>0</v>
      </c>
      <c r="P506" t="n">
        <v>0</v>
      </c>
      <c r="Q506" t="n">
        <v>0</v>
      </c>
      <c r="R506" s="2" t="inlineStr"/>
    </row>
    <row r="507" ht="15" customHeight="1">
      <c r="A507" t="inlineStr">
        <is>
          <t>A 12890-2023</t>
        </is>
      </c>
      <c r="B507" s="1" t="n">
        <v>45001</v>
      </c>
      <c r="C507" s="1" t="n">
        <v>46196</v>
      </c>
      <c r="D507" t="inlineStr">
        <is>
          <t>KALMAR LÄN</t>
        </is>
      </c>
      <c r="E507" t="inlineStr">
        <is>
          <t>VIMMERBY</t>
        </is>
      </c>
      <c r="G507" t="n">
        <v>2.8</v>
      </c>
      <c r="H507" t="n">
        <v>0</v>
      </c>
      <c r="I507" t="n">
        <v>0</v>
      </c>
      <c r="J507" t="n">
        <v>0</v>
      </c>
      <c r="K507" t="n">
        <v>0</v>
      </c>
      <c r="L507" t="n">
        <v>0</v>
      </c>
      <c r="M507" t="n">
        <v>0</v>
      </c>
      <c r="N507" t="n">
        <v>0</v>
      </c>
      <c r="O507" t="n">
        <v>0</v>
      </c>
      <c r="P507" t="n">
        <v>0</v>
      </c>
      <c r="Q507" t="n">
        <v>0</v>
      </c>
      <c r="R507" s="2" t="inlineStr"/>
    </row>
    <row r="508" ht="15" customHeight="1">
      <c r="A508" t="inlineStr">
        <is>
          <t>A 43594-2024</t>
        </is>
      </c>
      <c r="B508" s="1" t="n">
        <v>45569</v>
      </c>
      <c r="C508" s="1" t="n">
        <v>46196</v>
      </c>
      <c r="D508" t="inlineStr">
        <is>
          <t>KALMAR LÄN</t>
        </is>
      </c>
      <c r="E508" t="inlineStr">
        <is>
          <t>VIMMERBY</t>
        </is>
      </c>
      <c r="G508" t="n">
        <v>3.9</v>
      </c>
      <c r="H508" t="n">
        <v>0</v>
      </c>
      <c r="I508" t="n">
        <v>0</v>
      </c>
      <c r="J508" t="n">
        <v>0</v>
      </c>
      <c r="K508" t="n">
        <v>0</v>
      </c>
      <c r="L508" t="n">
        <v>0</v>
      </c>
      <c r="M508" t="n">
        <v>0</v>
      </c>
      <c r="N508" t="n">
        <v>0</v>
      </c>
      <c r="O508" t="n">
        <v>0</v>
      </c>
      <c r="P508" t="n">
        <v>0</v>
      </c>
      <c r="Q508" t="n">
        <v>0</v>
      </c>
      <c r="R508" s="2" t="inlineStr"/>
    </row>
    <row r="509" ht="15" customHeight="1">
      <c r="A509" t="inlineStr">
        <is>
          <t>A 53482-2022</t>
        </is>
      </c>
      <c r="B509" s="1" t="n">
        <v>44879</v>
      </c>
      <c r="C509" s="1" t="n">
        <v>46196</v>
      </c>
      <c r="D509" t="inlineStr">
        <is>
          <t>KALMAR LÄN</t>
        </is>
      </c>
      <c r="E509" t="inlineStr">
        <is>
          <t>VIMMERBY</t>
        </is>
      </c>
      <c r="G509" t="n">
        <v>10.1</v>
      </c>
      <c r="H509" t="n">
        <v>0</v>
      </c>
      <c r="I509" t="n">
        <v>0</v>
      </c>
      <c r="J509" t="n">
        <v>0</v>
      </c>
      <c r="K509" t="n">
        <v>0</v>
      </c>
      <c r="L509" t="n">
        <v>0</v>
      </c>
      <c r="M509" t="n">
        <v>0</v>
      </c>
      <c r="N509" t="n">
        <v>0</v>
      </c>
      <c r="O509" t="n">
        <v>0</v>
      </c>
      <c r="P509" t="n">
        <v>0</v>
      </c>
      <c r="Q509" t="n">
        <v>0</v>
      </c>
      <c r="R509" s="2" t="inlineStr"/>
    </row>
    <row r="510" ht="15" customHeight="1">
      <c r="A510" t="inlineStr">
        <is>
          <t>A 27761-2024</t>
        </is>
      </c>
      <c r="B510" s="1" t="n">
        <v>45475</v>
      </c>
      <c r="C510" s="1" t="n">
        <v>46196</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64203-2021</t>
        </is>
      </c>
      <c r="B511" s="1" t="n">
        <v>44510</v>
      </c>
      <c r="C511" s="1" t="n">
        <v>46196</v>
      </c>
      <c r="D511" t="inlineStr">
        <is>
          <t>KALMAR LÄN</t>
        </is>
      </c>
      <c r="E511" t="inlineStr">
        <is>
          <t>VIMMERBY</t>
        </is>
      </c>
      <c r="F511" t="inlineStr">
        <is>
          <t>Övriga Aktiebolag</t>
        </is>
      </c>
      <c r="G511" t="n">
        <v>5.4</v>
      </c>
      <c r="H511" t="n">
        <v>0</v>
      </c>
      <c r="I511" t="n">
        <v>0</v>
      </c>
      <c r="J511" t="n">
        <v>0</v>
      </c>
      <c r="K511" t="n">
        <v>0</v>
      </c>
      <c r="L511" t="n">
        <v>0</v>
      </c>
      <c r="M511" t="n">
        <v>0</v>
      </c>
      <c r="N511" t="n">
        <v>0</v>
      </c>
      <c r="O511" t="n">
        <v>0</v>
      </c>
      <c r="P511" t="n">
        <v>0</v>
      </c>
      <c r="Q511" t="n">
        <v>0</v>
      </c>
      <c r="R511" s="2" t="inlineStr"/>
    </row>
    <row r="512" ht="15" customHeight="1">
      <c r="A512" t="inlineStr">
        <is>
          <t>A 5720-2023</t>
        </is>
      </c>
      <c r="B512" s="1" t="n">
        <v>44961</v>
      </c>
      <c r="C512" s="1" t="n">
        <v>46196</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9643-2023</t>
        </is>
      </c>
      <c r="B513" s="1" t="n">
        <v>44984</v>
      </c>
      <c r="C513" s="1" t="n">
        <v>46196</v>
      </c>
      <c r="D513" t="inlineStr">
        <is>
          <t>KALMAR LÄN</t>
        </is>
      </c>
      <c r="E513" t="inlineStr">
        <is>
          <t>VIMMERBY</t>
        </is>
      </c>
      <c r="G513" t="n">
        <v>2</v>
      </c>
      <c r="H513" t="n">
        <v>0</v>
      </c>
      <c r="I513" t="n">
        <v>0</v>
      </c>
      <c r="J513" t="n">
        <v>0</v>
      </c>
      <c r="K513" t="n">
        <v>0</v>
      </c>
      <c r="L513" t="n">
        <v>0</v>
      </c>
      <c r="M513" t="n">
        <v>0</v>
      </c>
      <c r="N513" t="n">
        <v>0</v>
      </c>
      <c r="O513" t="n">
        <v>0</v>
      </c>
      <c r="P513" t="n">
        <v>0</v>
      </c>
      <c r="Q513" t="n">
        <v>0</v>
      </c>
      <c r="R513" s="2" t="inlineStr"/>
    </row>
    <row r="514" ht="15" customHeight="1">
      <c r="A514" t="inlineStr">
        <is>
          <t>A 25728-2023</t>
        </is>
      </c>
      <c r="B514" s="1" t="n">
        <v>45090</v>
      </c>
      <c r="C514" s="1" t="n">
        <v>46196</v>
      </c>
      <c r="D514" t="inlineStr">
        <is>
          <t>KALMAR LÄN</t>
        </is>
      </c>
      <c r="E514" t="inlineStr">
        <is>
          <t>VIMMERBY</t>
        </is>
      </c>
      <c r="G514" t="n">
        <v>1.1</v>
      </c>
      <c r="H514" t="n">
        <v>0</v>
      </c>
      <c r="I514" t="n">
        <v>0</v>
      </c>
      <c r="J514" t="n">
        <v>0</v>
      </c>
      <c r="K514" t="n">
        <v>0</v>
      </c>
      <c r="L514" t="n">
        <v>0</v>
      </c>
      <c r="M514" t="n">
        <v>0</v>
      </c>
      <c r="N514" t="n">
        <v>0</v>
      </c>
      <c r="O514" t="n">
        <v>0</v>
      </c>
      <c r="P514" t="n">
        <v>0</v>
      </c>
      <c r="Q514" t="n">
        <v>0</v>
      </c>
      <c r="R514" s="2" t="inlineStr"/>
    </row>
    <row r="515" ht="15" customHeight="1">
      <c r="A515" t="inlineStr">
        <is>
          <t>A 41311-2023</t>
        </is>
      </c>
      <c r="B515" s="1" t="n">
        <v>45174</v>
      </c>
      <c r="C515" s="1" t="n">
        <v>46196</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26318-2023</t>
        </is>
      </c>
      <c r="B516" s="1" t="n">
        <v>45091</v>
      </c>
      <c r="C516" s="1" t="n">
        <v>46196</v>
      </c>
      <c r="D516" t="inlineStr">
        <is>
          <t>KALMAR LÄN</t>
        </is>
      </c>
      <c r="E516" t="inlineStr">
        <is>
          <t>VIMMERBY</t>
        </is>
      </c>
      <c r="G516" t="n">
        <v>3.8</v>
      </c>
      <c r="H516" t="n">
        <v>0</v>
      </c>
      <c r="I516" t="n">
        <v>0</v>
      </c>
      <c r="J516" t="n">
        <v>0</v>
      </c>
      <c r="K516" t="n">
        <v>0</v>
      </c>
      <c r="L516" t="n">
        <v>0</v>
      </c>
      <c r="M516" t="n">
        <v>0</v>
      </c>
      <c r="N516" t="n">
        <v>0</v>
      </c>
      <c r="O516" t="n">
        <v>0</v>
      </c>
      <c r="P516" t="n">
        <v>0</v>
      </c>
      <c r="Q516" t="n">
        <v>0</v>
      </c>
      <c r="R516" s="2" t="inlineStr"/>
    </row>
    <row r="517" ht="15" customHeight="1">
      <c r="A517" t="inlineStr">
        <is>
          <t>A 61355-2024</t>
        </is>
      </c>
      <c r="B517" s="1" t="n">
        <v>45646</v>
      </c>
      <c r="C517" s="1" t="n">
        <v>46196</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36802-2021</t>
        </is>
      </c>
      <c r="B518" s="1" t="n">
        <v>44392</v>
      </c>
      <c r="C518" s="1" t="n">
        <v>46196</v>
      </c>
      <c r="D518" t="inlineStr">
        <is>
          <t>KALMAR LÄN</t>
        </is>
      </c>
      <c r="E518" t="inlineStr">
        <is>
          <t>VIMMERBY</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38198-2024</t>
        </is>
      </c>
      <c r="B519" s="1" t="n">
        <v>45545</v>
      </c>
      <c r="C519" s="1" t="n">
        <v>46196</v>
      </c>
      <c r="D519" t="inlineStr">
        <is>
          <t>KALMAR LÄN</t>
        </is>
      </c>
      <c r="E519" t="inlineStr">
        <is>
          <t>VIMMERBY</t>
        </is>
      </c>
      <c r="G519" t="n">
        <v>7.9</v>
      </c>
      <c r="H519" t="n">
        <v>0</v>
      </c>
      <c r="I519" t="n">
        <v>0</v>
      </c>
      <c r="J519" t="n">
        <v>0</v>
      </c>
      <c r="K519" t="n">
        <v>0</v>
      </c>
      <c r="L519" t="n">
        <v>0</v>
      </c>
      <c r="M519" t="n">
        <v>0</v>
      </c>
      <c r="N519" t="n">
        <v>0</v>
      </c>
      <c r="O519" t="n">
        <v>0</v>
      </c>
      <c r="P519" t="n">
        <v>0</v>
      </c>
      <c r="Q519" t="n">
        <v>0</v>
      </c>
      <c r="R519" s="2" t="inlineStr"/>
    </row>
    <row r="520" ht="15" customHeight="1">
      <c r="A520" t="inlineStr">
        <is>
          <t>A 9623-2024</t>
        </is>
      </c>
      <c r="B520" s="1" t="n">
        <v>45361</v>
      </c>
      <c r="C520" s="1" t="n">
        <v>46196</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58967-2022</t>
        </is>
      </c>
      <c r="B521" s="1" t="n">
        <v>44896</v>
      </c>
      <c r="C521" s="1" t="n">
        <v>46196</v>
      </c>
      <c r="D521" t="inlineStr">
        <is>
          <t>KALMAR LÄN</t>
        </is>
      </c>
      <c r="E521" t="inlineStr">
        <is>
          <t>VIMMERBY</t>
        </is>
      </c>
      <c r="G521" t="n">
        <v>5</v>
      </c>
      <c r="H521" t="n">
        <v>0</v>
      </c>
      <c r="I521" t="n">
        <v>0</v>
      </c>
      <c r="J521" t="n">
        <v>0</v>
      </c>
      <c r="K521" t="n">
        <v>0</v>
      </c>
      <c r="L521" t="n">
        <v>0</v>
      </c>
      <c r="M521" t="n">
        <v>0</v>
      </c>
      <c r="N521" t="n">
        <v>0</v>
      </c>
      <c r="O521" t="n">
        <v>0</v>
      </c>
      <c r="P521" t="n">
        <v>0</v>
      </c>
      <c r="Q521" t="n">
        <v>0</v>
      </c>
      <c r="R521" s="2" t="inlineStr"/>
    </row>
    <row r="522" ht="15" customHeight="1">
      <c r="A522" t="inlineStr">
        <is>
          <t>A 6399-2025</t>
        </is>
      </c>
      <c r="B522" s="1" t="n">
        <v>45699</v>
      </c>
      <c r="C522" s="1" t="n">
        <v>46196</v>
      </c>
      <c r="D522" t="inlineStr">
        <is>
          <t>KALMAR LÄN</t>
        </is>
      </c>
      <c r="E522" t="inlineStr">
        <is>
          <t>VIMMERBY</t>
        </is>
      </c>
      <c r="G522" t="n">
        <v>3.1</v>
      </c>
      <c r="H522" t="n">
        <v>0</v>
      </c>
      <c r="I522" t="n">
        <v>0</v>
      </c>
      <c r="J522" t="n">
        <v>0</v>
      </c>
      <c r="K522" t="n">
        <v>0</v>
      </c>
      <c r="L522" t="n">
        <v>0</v>
      </c>
      <c r="M522" t="n">
        <v>0</v>
      </c>
      <c r="N522" t="n">
        <v>0</v>
      </c>
      <c r="O522" t="n">
        <v>0</v>
      </c>
      <c r="P522" t="n">
        <v>0</v>
      </c>
      <c r="Q522" t="n">
        <v>0</v>
      </c>
      <c r="R522" s="2" t="inlineStr"/>
    </row>
    <row r="523" ht="15" customHeight="1">
      <c r="A523" t="inlineStr">
        <is>
          <t>A 31355-2023</t>
        </is>
      </c>
      <c r="B523" s="1" t="n">
        <v>45114</v>
      </c>
      <c r="C523" s="1" t="n">
        <v>46196</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30400-2023</t>
        </is>
      </c>
      <c r="B524" s="1" t="n">
        <v>45111</v>
      </c>
      <c r="C524" s="1" t="n">
        <v>46196</v>
      </c>
      <c r="D524" t="inlineStr">
        <is>
          <t>KALMAR LÄN</t>
        </is>
      </c>
      <c r="E524" t="inlineStr">
        <is>
          <t>VIMMERBY</t>
        </is>
      </c>
      <c r="G524" t="n">
        <v>2.7</v>
      </c>
      <c r="H524" t="n">
        <v>0</v>
      </c>
      <c r="I524" t="n">
        <v>0</v>
      </c>
      <c r="J524" t="n">
        <v>0</v>
      </c>
      <c r="K524" t="n">
        <v>0</v>
      </c>
      <c r="L524" t="n">
        <v>0</v>
      </c>
      <c r="M524" t="n">
        <v>0</v>
      </c>
      <c r="N524" t="n">
        <v>0</v>
      </c>
      <c r="O524" t="n">
        <v>0</v>
      </c>
      <c r="P524" t="n">
        <v>0</v>
      </c>
      <c r="Q524" t="n">
        <v>0</v>
      </c>
      <c r="R524" s="2" t="inlineStr"/>
    </row>
    <row r="525" ht="15" customHeight="1">
      <c r="A525" t="inlineStr">
        <is>
          <t>A 30404-2023</t>
        </is>
      </c>
      <c r="B525" s="1" t="n">
        <v>45111</v>
      </c>
      <c r="C525" s="1" t="n">
        <v>46196</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27705-2023</t>
        </is>
      </c>
      <c r="B526" s="1" t="n">
        <v>45098</v>
      </c>
      <c r="C526" s="1" t="n">
        <v>46196</v>
      </c>
      <c r="D526" t="inlineStr">
        <is>
          <t>KALMAR LÄN</t>
        </is>
      </c>
      <c r="E526" t="inlineStr">
        <is>
          <t>VIMMERBY</t>
        </is>
      </c>
      <c r="G526" t="n">
        <v>1</v>
      </c>
      <c r="H526" t="n">
        <v>0</v>
      </c>
      <c r="I526" t="n">
        <v>0</v>
      </c>
      <c r="J526" t="n">
        <v>0</v>
      </c>
      <c r="K526" t="n">
        <v>0</v>
      </c>
      <c r="L526" t="n">
        <v>0</v>
      </c>
      <c r="M526" t="n">
        <v>0</v>
      </c>
      <c r="N526" t="n">
        <v>0</v>
      </c>
      <c r="O526" t="n">
        <v>0</v>
      </c>
      <c r="P526" t="n">
        <v>0</v>
      </c>
      <c r="Q526" t="n">
        <v>0</v>
      </c>
      <c r="R526" s="2" t="inlineStr"/>
    </row>
    <row r="527" ht="15" customHeight="1">
      <c r="A527" t="inlineStr">
        <is>
          <t>A 36843-2023</t>
        </is>
      </c>
      <c r="B527" s="1" t="n">
        <v>45154</v>
      </c>
      <c r="C527" s="1" t="n">
        <v>46196</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10785-2025</t>
        </is>
      </c>
      <c r="B528" s="1" t="n">
        <v>45722</v>
      </c>
      <c r="C528" s="1" t="n">
        <v>46196</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29017-2024</t>
        </is>
      </c>
      <c r="B529" s="1" t="n">
        <v>45481</v>
      </c>
      <c r="C529" s="1" t="n">
        <v>46196</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23263-2024</t>
        </is>
      </c>
      <c r="B530" s="1" t="n">
        <v>45453</v>
      </c>
      <c r="C530" s="1" t="n">
        <v>46196</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11074-2023</t>
        </is>
      </c>
      <c r="B531" s="1" t="n">
        <v>44992</v>
      </c>
      <c r="C531" s="1" t="n">
        <v>46196</v>
      </c>
      <c r="D531" t="inlineStr">
        <is>
          <t>KALMAR LÄN</t>
        </is>
      </c>
      <c r="E531" t="inlineStr">
        <is>
          <t>VIMMERBY</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46196</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12215-2024</t>
        </is>
      </c>
      <c r="B533" s="1" t="n">
        <v>45378</v>
      </c>
      <c r="C533" s="1" t="n">
        <v>46196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12033-2024</t>
        </is>
      </c>
      <c r="B534" s="1" t="n">
        <v>45377</v>
      </c>
      <c r="C534" s="1" t="n">
        <v>46196</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51408-2023</t>
        </is>
      </c>
      <c r="B535" s="1" t="n">
        <v>45219</v>
      </c>
      <c r="C535" s="1" t="n">
        <v>46196</v>
      </c>
      <c r="D535" t="inlineStr">
        <is>
          <t>KALMAR LÄN</t>
        </is>
      </c>
      <c r="E535" t="inlineStr">
        <is>
          <t>VIMMERBY</t>
        </is>
      </c>
      <c r="G535" t="n">
        <v>0.7</v>
      </c>
      <c r="H535" t="n">
        <v>0</v>
      </c>
      <c r="I535" t="n">
        <v>0</v>
      </c>
      <c r="J535" t="n">
        <v>0</v>
      </c>
      <c r="K535" t="n">
        <v>0</v>
      </c>
      <c r="L535" t="n">
        <v>0</v>
      </c>
      <c r="M535" t="n">
        <v>0</v>
      </c>
      <c r="N535" t="n">
        <v>0</v>
      </c>
      <c r="O535" t="n">
        <v>0</v>
      </c>
      <c r="P535" t="n">
        <v>0</v>
      </c>
      <c r="Q535" t="n">
        <v>0</v>
      </c>
      <c r="R535" s="2" t="inlineStr"/>
    </row>
    <row r="536" ht="15" customHeight="1">
      <c r="A536" t="inlineStr">
        <is>
          <t>A 49488-2023</t>
        </is>
      </c>
      <c r="B536" s="1" t="n">
        <v>45211</v>
      </c>
      <c r="C536" s="1" t="n">
        <v>46196</v>
      </c>
      <c r="D536" t="inlineStr">
        <is>
          <t>KALMAR LÄN</t>
        </is>
      </c>
      <c r="E536" t="inlineStr">
        <is>
          <t>VIMMERBY</t>
        </is>
      </c>
      <c r="F536" t="inlineStr">
        <is>
          <t>Sveaskog</t>
        </is>
      </c>
      <c r="G536" t="n">
        <v>6.2</v>
      </c>
      <c r="H536" t="n">
        <v>0</v>
      </c>
      <c r="I536" t="n">
        <v>0</v>
      </c>
      <c r="J536" t="n">
        <v>0</v>
      </c>
      <c r="K536" t="n">
        <v>0</v>
      </c>
      <c r="L536" t="n">
        <v>0</v>
      </c>
      <c r="M536" t="n">
        <v>0</v>
      </c>
      <c r="N536" t="n">
        <v>0</v>
      </c>
      <c r="O536" t="n">
        <v>0</v>
      </c>
      <c r="P536" t="n">
        <v>0</v>
      </c>
      <c r="Q536" t="n">
        <v>0</v>
      </c>
      <c r="R536" s="2" t="inlineStr"/>
    </row>
    <row r="537" ht="15" customHeight="1">
      <c r="A537" t="inlineStr">
        <is>
          <t>A 8410-2023</t>
        </is>
      </c>
      <c r="B537" s="1" t="n">
        <v>44977</v>
      </c>
      <c r="C537" s="1" t="n">
        <v>46196</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30920-2024</t>
        </is>
      </c>
      <c r="B538" s="1" t="n">
        <v>45498</v>
      </c>
      <c r="C538" s="1" t="n">
        <v>46196</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40929-2022</t>
        </is>
      </c>
      <c r="B539" s="1" t="n">
        <v>44825</v>
      </c>
      <c r="C539" s="1" t="n">
        <v>46196</v>
      </c>
      <c r="D539" t="inlineStr">
        <is>
          <t>KALMAR LÄN</t>
        </is>
      </c>
      <c r="E539" t="inlineStr">
        <is>
          <t>VIMMERBY</t>
        </is>
      </c>
      <c r="G539" t="n">
        <v>2.5</v>
      </c>
      <c r="H539" t="n">
        <v>0</v>
      </c>
      <c r="I539" t="n">
        <v>0</v>
      </c>
      <c r="J539" t="n">
        <v>0</v>
      </c>
      <c r="K539" t="n">
        <v>0</v>
      </c>
      <c r="L539" t="n">
        <v>0</v>
      </c>
      <c r="M539" t="n">
        <v>0</v>
      </c>
      <c r="N539" t="n">
        <v>0</v>
      </c>
      <c r="O539" t="n">
        <v>0</v>
      </c>
      <c r="P539" t="n">
        <v>0</v>
      </c>
      <c r="Q539" t="n">
        <v>0</v>
      </c>
      <c r="R539" s="2" t="inlineStr"/>
    </row>
    <row r="540" ht="15" customHeight="1">
      <c r="A540" t="inlineStr">
        <is>
          <t>A 50091-2023</t>
        </is>
      </c>
      <c r="B540" s="1" t="n">
        <v>45215</v>
      </c>
      <c r="C540" s="1" t="n">
        <v>46196</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36008-2024</t>
        </is>
      </c>
      <c r="B541" s="1" t="n">
        <v>45533</v>
      </c>
      <c r="C541" s="1" t="n">
        <v>46196</v>
      </c>
      <c r="D541" t="inlineStr">
        <is>
          <t>KALMAR LÄN</t>
        </is>
      </c>
      <c r="E541" t="inlineStr">
        <is>
          <t>VIMMERBY</t>
        </is>
      </c>
      <c r="G541" t="n">
        <v>3.7</v>
      </c>
      <c r="H541" t="n">
        <v>0</v>
      </c>
      <c r="I541" t="n">
        <v>0</v>
      </c>
      <c r="J541" t="n">
        <v>0</v>
      </c>
      <c r="K541" t="n">
        <v>0</v>
      </c>
      <c r="L541" t="n">
        <v>0</v>
      </c>
      <c r="M541" t="n">
        <v>0</v>
      </c>
      <c r="N541" t="n">
        <v>0</v>
      </c>
      <c r="O541" t="n">
        <v>0</v>
      </c>
      <c r="P541" t="n">
        <v>0</v>
      </c>
      <c r="Q541" t="n">
        <v>0</v>
      </c>
      <c r="R541" s="2" t="inlineStr"/>
    </row>
    <row r="542" ht="15" customHeight="1">
      <c r="A542" t="inlineStr">
        <is>
          <t>A 16622-2025</t>
        </is>
      </c>
      <c r="B542" s="1" t="n">
        <v>45754</v>
      </c>
      <c r="C542" s="1" t="n">
        <v>46196</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43705-2023</t>
        </is>
      </c>
      <c r="B543" s="1" t="n">
        <v>45187</v>
      </c>
      <c r="C543" s="1" t="n">
        <v>46196</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55300-2021</t>
        </is>
      </c>
      <c r="B544" s="1" t="n">
        <v>44475</v>
      </c>
      <c r="C544" s="1" t="n">
        <v>46196</v>
      </c>
      <c r="D544" t="inlineStr">
        <is>
          <t>KALMAR LÄN</t>
        </is>
      </c>
      <c r="E544" t="inlineStr">
        <is>
          <t>VIMMERBY</t>
        </is>
      </c>
      <c r="G544" t="n">
        <v>3.4</v>
      </c>
      <c r="H544" t="n">
        <v>0</v>
      </c>
      <c r="I544" t="n">
        <v>0</v>
      </c>
      <c r="J544" t="n">
        <v>0</v>
      </c>
      <c r="K544" t="n">
        <v>0</v>
      </c>
      <c r="L544" t="n">
        <v>0</v>
      </c>
      <c r="M544" t="n">
        <v>0</v>
      </c>
      <c r="N544" t="n">
        <v>0</v>
      </c>
      <c r="O544" t="n">
        <v>0</v>
      </c>
      <c r="P544" t="n">
        <v>0</v>
      </c>
      <c r="Q544" t="n">
        <v>0</v>
      </c>
      <c r="R544" s="2" t="inlineStr"/>
    </row>
    <row r="545" ht="15" customHeight="1">
      <c r="A545" t="inlineStr">
        <is>
          <t>A 44179-2022</t>
        </is>
      </c>
      <c r="B545" s="1" t="n">
        <v>44839</v>
      </c>
      <c r="C545" s="1" t="n">
        <v>46196</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52755-2022</t>
        </is>
      </c>
      <c r="B546" s="1" t="n">
        <v>44875</v>
      </c>
      <c r="C546" s="1" t="n">
        <v>46196</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35998-2024</t>
        </is>
      </c>
      <c r="B547" s="1" t="n">
        <v>45533</v>
      </c>
      <c r="C547" s="1" t="n">
        <v>46196</v>
      </c>
      <c r="D547" t="inlineStr">
        <is>
          <t>KALMAR LÄN</t>
        </is>
      </c>
      <c r="E547" t="inlineStr">
        <is>
          <t>VIMMERBY</t>
        </is>
      </c>
      <c r="G547" t="n">
        <v>8.6</v>
      </c>
      <c r="H547" t="n">
        <v>0</v>
      </c>
      <c r="I547" t="n">
        <v>0</v>
      </c>
      <c r="J547" t="n">
        <v>0</v>
      </c>
      <c r="K547" t="n">
        <v>0</v>
      </c>
      <c r="L547" t="n">
        <v>0</v>
      </c>
      <c r="M547" t="n">
        <v>0</v>
      </c>
      <c r="N547" t="n">
        <v>0</v>
      </c>
      <c r="O547" t="n">
        <v>0</v>
      </c>
      <c r="P547" t="n">
        <v>0</v>
      </c>
      <c r="Q547" t="n">
        <v>0</v>
      </c>
      <c r="R547" s="2" t="inlineStr"/>
    </row>
    <row r="548" ht="15" customHeight="1">
      <c r="A548" t="inlineStr">
        <is>
          <t>A 7797-2023</t>
        </is>
      </c>
      <c r="B548" s="1" t="n">
        <v>44973</v>
      </c>
      <c r="C548" s="1" t="n">
        <v>46196</v>
      </c>
      <c r="D548" t="inlineStr">
        <is>
          <t>KALMAR LÄN</t>
        </is>
      </c>
      <c r="E548" t="inlineStr">
        <is>
          <t>VIMMERBY</t>
        </is>
      </c>
      <c r="G548" t="n">
        <v>0.6</v>
      </c>
      <c r="H548" t="n">
        <v>0</v>
      </c>
      <c r="I548" t="n">
        <v>0</v>
      </c>
      <c r="J548" t="n">
        <v>0</v>
      </c>
      <c r="K548" t="n">
        <v>0</v>
      </c>
      <c r="L548" t="n">
        <v>0</v>
      </c>
      <c r="M548" t="n">
        <v>0</v>
      </c>
      <c r="N548" t="n">
        <v>0</v>
      </c>
      <c r="O548" t="n">
        <v>0</v>
      </c>
      <c r="P548" t="n">
        <v>0</v>
      </c>
      <c r="Q548" t="n">
        <v>0</v>
      </c>
      <c r="R548" s="2" t="inlineStr"/>
    </row>
    <row r="549" ht="15" customHeight="1">
      <c r="A549" t="inlineStr">
        <is>
          <t>A 29351-2023</t>
        </is>
      </c>
      <c r="B549" s="1" t="n">
        <v>45106</v>
      </c>
      <c r="C549" s="1" t="n">
        <v>46196</v>
      </c>
      <c r="D549" t="inlineStr">
        <is>
          <t>KALMAR LÄN</t>
        </is>
      </c>
      <c r="E549" t="inlineStr">
        <is>
          <t>VIMMERBY</t>
        </is>
      </c>
      <c r="G549" t="n">
        <v>0.4</v>
      </c>
      <c r="H549" t="n">
        <v>0</v>
      </c>
      <c r="I549" t="n">
        <v>0</v>
      </c>
      <c r="J549" t="n">
        <v>0</v>
      </c>
      <c r="K549" t="n">
        <v>0</v>
      </c>
      <c r="L549" t="n">
        <v>0</v>
      </c>
      <c r="M549" t="n">
        <v>0</v>
      </c>
      <c r="N549" t="n">
        <v>0</v>
      </c>
      <c r="O549" t="n">
        <v>0</v>
      </c>
      <c r="P549" t="n">
        <v>0</v>
      </c>
      <c r="Q549" t="n">
        <v>0</v>
      </c>
      <c r="R549" s="2" t="inlineStr"/>
    </row>
    <row r="550" ht="15" customHeight="1">
      <c r="A550" t="inlineStr">
        <is>
          <t>A 1024-2024</t>
        </is>
      </c>
      <c r="B550" s="1" t="n">
        <v>45301</v>
      </c>
      <c r="C550" s="1" t="n">
        <v>46196</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10787-2025</t>
        </is>
      </c>
      <c r="B551" s="1" t="n">
        <v>45722</v>
      </c>
      <c r="C551" s="1" t="n">
        <v>46196</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29350-2023</t>
        </is>
      </c>
      <c r="B552" s="1" t="n">
        <v>45106</v>
      </c>
      <c r="C552" s="1" t="n">
        <v>46196</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14855-2025</t>
        </is>
      </c>
      <c r="B553" s="1" t="n">
        <v>45743</v>
      </c>
      <c r="C553" s="1" t="n">
        <v>46196</v>
      </c>
      <c r="D553" t="inlineStr">
        <is>
          <t>KALMAR LÄN</t>
        </is>
      </c>
      <c r="E553" t="inlineStr">
        <is>
          <t>VIMMERBY</t>
        </is>
      </c>
      <c r="G553" t="n">
        <v>1.2</v>
      </c>
      <c r="H553" t="n">
        <v>0</v>
      </c>
      <c r="I553" t="n">
        <v>0</v>
      </c>
      <c r="J553" t="n">
        <v>0</v>
      </c>
      <c r="K553" t="n">
        <v>0</v>
      </c>
      <c r="L553" t="n">
        <v>0</v>
      </c>
      <c r="M553" t="n">
        <v>0</v>
      </c>
      <c r="N553" t="n">
        <v>0</v>
      </c>
      <c r="O553" t="n">
        <v>0</v>
      </c>
      <c r="P553" t="n">
        <v>0</v>
      </c>
      <c r="Q553" t="n">
        <v>0</v>
      </c>
      <c r="R553" s="2" t="inlineStr"/>
    </row>
    <row r="554" ht="15" customHeight="1">
      <c r="A554" t="inlineStr">
        <is>
          <t>A 43601-2024</t>
        </is>
      </c>
      <c r="B554" s="1" t="n">
        <v>45569</v>
      </c>
      <c r="C554" s="1" t="n">
        <v>46196</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35913-2023</t>
        </is>
      </c>
      <c r="B555" s="1" t="n">
        <v>45148</v>
      </c>
      <c r="C555" s="1" t="n">
        <v>46196</v>
      </c>
      <c r="D555" t="inlineStr">
        <is>
          <t>KALMAR LÄN</t>
        </is>
      </c>
      <c r="E555" t="inlineStr">
        <is>
          <t>VIMMERBY</t>
        </is>
      </c>
      <c r="G555" t="n">
        <v>6.9</v>
      </c>
      <c r="H555" t="n">
        <v>0</v>
      </c>
      <c r="I555" t="n">
        <v>0</v>
      </c>
      <c r="J555" t="n">
        <v>0</v>
      </c>
      <c r="K555" t="n">
        <v>0</v>
      </c>
      <c r="L555" t="n">
        <v>0</v>
      </c>
      <c r="M555" t="n">
        <v>0</v>
      </c>
      <c r="N555" t="n">
        <v>0</v>
      </c>
      <c r="O555" t="n">
        <v>0</v>
      </c>
      <c r="P555" t="n">
        <v>0</v>
      </c>
      <c r="Q555" t="n">
        <v>0</v>
      </c>
      <c r="R555" s="2" t="inlineStr"/>
    </row>
    <row r="556" ht="15" customHeight="1">
      <c r="A556" t="inlineStr">
        <is>
          <t>A 9624-2024</t>
        </is>
      </c>
      <c r="B556" s="1" t="n">
        <v>45361</v>
      </c>
      <c r="C556" s="1" t="n">
        <v>46196</v>
      </c>
      <c r="D556" t="inlineStr">
        <is>
          <t>KALMAR LÄN</t>
        </is>
      </c>
      <c r="E556" t="inlineStr">
        <is>
          <t>VIMMERBY</t>
        </is>
      </c>
      <c r="G556" t="n">
        <v>3.8</v>
      </c>
      <c r="H556" t="n">
        <v>0</v>
      </c>
      <c r="I556" t="n">
        <v>0</v>
      </c>
      <c r="J556" t="n">
        <v>0</v>
      </c>
      <c r="K556" t="n">
        <v>0</v>
      </c>
      <c r="L556" t="n">
        <v>0</v>
      </c>
      <c r="M556" t="n">
        <v>0</v>
      </c>
      <c r="N556" t="n">
        <v>0</v>
      </c>
      <c r="O556" t="n">
        <v>0</v>
      </c>
      <c r="P556" t="n">
        <v>0</v>
      </c>
      <c r="Q556" t="n">
        <v>0</v>
      </c>
      <c r="R556" s="2" t="inlineStr"/>
    </row>
    <row r="557" ht="15" customHeight="1">
      <c r="A557" t="inlineStr">
        <is>
          <t>A 3938-2023</t>
        </is>
      </c>
      <c r="B557" s="1" t="n">
        <v>44952</v>
      </c>
      <c r="C557" s="1" t="n">
        <v>46196</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39053-2024</t>
        </is>
      </c>
      <c r="B558" s="1" t="n">
        <v>45548</v>
      </c>
      <c r="C558" s="1" t="n">
        <v>46196</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14451-2024</t>
        </is>
      </c>
      <c r="B559" s="1" t="n">
        <v>45394</v>
      </c>
      <c r="C559" s="1" t="n">
        <v>46196</v>
      </c>
      <c r="D559" t="inlineStr">
        <is>
          <t>KALMAR LÄN</t>
        </is>
      </c>
      <c r="E559" t="inlineStr">
        <is>
          <t>VIMMERBY</t>
        </is>
      </c>
      <c r="G559" t="n">
        <v>1.9</v>
      </c>
      <c r="H559" t="n">
        <v>0</v>
      </c>
      <c r="I559" t="n">
        <v>0</v>
      </c>
      <c r="J559" t="n">
        <v>0</v>
      </c>
      <c r="K559" t="n">
        <v>0</v>
      </c>
      <c r="L559" t="n">
        <v>0</v>
      </c>
      <c r="M559" t="n">
        <v>0</v>
      </c>
      <c r="N559" t="n">
        <v>0</v>
      </c>
      <c r="O559" t="n">
        <v>0</v>
      </c>
      <c r="P559" t="n">
        <v>0</v>
      </c>
      <c r="Q559" t="n">
        <v>0</v>
      </c>
      <c r="R559" s="2" t="inlineStr"/>
    </row>
    <row r="560" ht="15" customHeight="1">
      <c r="A560" t="inlineStr">
        <is>
          <t>A 34205-2023</t>
        </is>
      </c>
      <c r="B560" s="1" t="n">
        <v>45138</v>
      </c>
      <c r="C560" s="1" t="n">
        <v>46196</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3268-2024</t>
        </is>
      </c>
      <c r="B561" s="1" t="n">
        <v>45317</v>
      </c>
      <c r="C561" s="1" t="n">
        <v>46196</v>
      </c>
      <c r="D561" t="inlineStr">
        <is>
          <t>KALMAR LÄN</t>
        </is>
      </c>
      <c r="E561" t="inlineStr">
        <is>
          <t>VIMMERBY</t>
        </is>
      </c>
      <c r="F561" t="inlineStr">
        <is>
          <t>Övriga Aktiebolag</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12819-2024</t>
        </is>
      </c>
      <c r="B562" s="1" t="n">
        <v>45384</v>
      </c>
      <c r="C562" s="1" t="n">
        <v>46196</v>
      </c>
      <c r="D562" t="inlineStr">
        <is>
          <t>KALMAR LÄN</t>
        </is>
      </c>
      <c r="E562" t="inlineStr">
        <is>
          <t>VIMMERBY</t>
        </is>
      </c>
      <c r="G562" t="n">
        <v>5.1</v>
      </c>
      <c r="H562" t="n">
        <v>0</v>
      </c>
      <c r="I562" t="n">
        <v>0</v>
      </c>
      <c r="J562" t="n">
        <v>0</v>
      </c>
      <c r="K562" t="n">
        <v>0</v>
      </c>
      <c r="L562" t="n">
        <v>0</v>
      </c>
      <c r="M562" t="n">
        <v>0</v>
      </c>
      <c r="N562" t="n">
        <v>0</v>
      </c>
      <c r="O562" t="n">
        <v>0</v>
      </c>
      <c r="P562" t="n">
        <v>0</v>
      </c>
      <c r="Q562" t="n">
        <v>0</v>
      </c>
      <c r="R562" s="2" t="inlineStr"/>
    </row>
    <row r="563" ht="15" customHeight="1">
      <c r="A563" t="inlineStr">
        <is>
          <t>A 32569-2024</t>
        </is>
      </c>
      <c r="B563" s="1" t="n">
        <v>45513</v>
      </c>
      <c r="C563" s="1" t="n">
        <v>46196</v>
      </c>
      <c r="D563" t="inlineStr">
        <is>
          <t>KALMAR LÄN</t>
        </is>
      </c>
      <c r="E563" t="inlineStr">
        <is>
          <t>VIMMERBY</t>
        </is>
      </c>
      <c r="G563" t="n">
        <v>3.7</v>
      </c>
      <c r="H563" t="n">
        <v>0</v>
      </c>
      <c r="I563" t="n">
        <v>0</v>
      </c>
      <c r="J563" t="n">
        <v>0</v>
      </c>
      <c r="K563" t="n">
        <v>0</v>
      </c>
      <c r="L563" t="n">
        <v>0</v>
      </c>
      <c r="M563" t="n">
        <v>0</v>
      </c>
      <c r="N563" t="n">
        <v>0</v>
      </c>
      <c r="O563" t="n">
        <v>0</v>
      </c>
      <c r="P563" t="n">
        <v>0</v>
      </c>
      <c r="Q563" t="n">
        <v>0</v>
      </c>
      <c r="R563" s="2" t="inlineStr"/>
    </row>
    <row r="564" ht="15" customHeight="1">
      <c r="A564" t="inlineStr">
        <is>
          <t>A 32575-2024</t>
        </is>
      </c>
      <c r="B564" s="1" t="n">
        <v>45513</v>
      </c>
      <c r="C564" s="1" t="n">
        <v>46196</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59300-2024</t>
        </is>
      </c>
      <c r="B565" s="1" t="n">
        <v>45637</v>
      </c>
      <c r="C565" s="1" t="n">
        <v>46196</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36526-2023</t>
        </is>
      </c>
      <c r="B566" s="1" t="n">
        <v>45153</v>
      </c>
      <c r="C566" s="1" t="n">
        <v>46196</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58728-2024</t>
        </is>
      </c>
      <c r="B567" s="1" t="n">
        <v>45635</v>
      </c>
      <c r="C567" s="1" t="n">
        <v>46196</v>
      </c>
      <c r="D567" t="inlineStr">
        <is>
          <t>KALMAR LÄN</t>
        </is>
      </c>
      <c r="E567" t="inlineStr">
        <is>
          <t>VIMMERBY</t>
        </is>
      </c>
      <c r="G567" t="n">
        <v>0.4</v>
      </c>
      <c r="H567" t="n">
        <v>0</v>
      </c>
      <c r="I567" t="n">
        <v>0</v>
      </c>
      <c r="J567" t="n">
        <v>0</v>
      </c>
      <c r="K567" t="n">
        <v>0</v>
      </c>
      <c r="L567" t="n">
        <v>0</v>
      </c>
      <c r="M567" t="n">
        <v>0</v>
      </c>
      <c r="N567" t="n">
        <v>0</v>
      </c>
      <c r="O567" t="n">
        <v>0</v>
      </c>
      <c r="P567" t="n">
        <v>0</v>
      </c>
      <c r="Q567" t="n">
        <v>0</v>
      </c>
      <c r="R567" s="2" t="inlineStr"/>
    </row>
    <row r="568" ht="15" customHeight="1">
      <c r="A568" t="inlineStr">
        <is>
          <t>A 49474-2023</t>
        </is>
      </c>
      <c r="B568" s="1" t="n">
        <v>45211</v>
      </c>
      <c r="C568" s="1" t="n">
        <v>46196</v>
      </c>
      <c r="D568" t="inlineStr">
        <is>
          <t>KALMAR LÄN</t>
        </is>
      </c>
      <c r="E568" t="inlineStr">
        <is>
          <t>VIMMERBY</t>
        </is>
      </c>
      <c r="G568" t="n">
        <v>3.6</v>
      </c>
      <c r="H568" t="n">
        <v>0</v>
      </c>
      <c r="I568" t="n">
        <v>0</v>
      </c>
      <c r="J568" t="n">
        <v>0</v>
      </c>
      <c r="K568" t="n">
        <v>0</v>
      </c>
      <c r="L568" t="n">
        <v>0</v>
      </c>
      <c r="M568" t="n">
        <v>0</v>
      </c>
      <c r="N568" t="n">
        <v>0</v>
      </c>
      <c r="O568" t="n">
        <v>0</v>
      </c>
      <c r="P568" t="n">
        <v>0</v>
      </c>
      <c r="Q568" t="n">
        <v>0</v>
      </c>
      <c r="R568" s="2" t="inlineStr"/>
    </row>
    <row r="569" ht="15" customHeight="1">
      <c r="A569" t="inlineStr">
        <is>
          <t>A 57682-2022</t>
        </is>
      </c>
      <c r="B569" s="1" t="n">
        <v>44890</v>
      </c>
      <c r="C569" s="1" t="n">
        <v>46196</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63950-2023</t>
        </is>
      </c>
      <c r="B570" s="1" t="n">
        <v>45278</v>
      </c>
      <c r="C570" s="1" t="n">
        <v>46196</v>
      </c>
      <c r="D570" t="inlineStr">
        <is>
          <t>KALMAR LÄN</t>
        </is>
      </c>
      <c r="E570" t="inlineStr">
        <is>
          <t>VIMMERBY</t>
        </is>
      </c>
      <c r="F570" t="inlineStr">
        <is>
          <t>Kyrkan</t>
        </is>
      </c>
      <c r="G570" t="n">
        <v>2.7</v>
      </c>
      <c r="H570" t="n">
        <v>0</v>
      </c>
      <c r="I570" t="n">
        <v>0</v>
      </c>
      <c r="J570" t="n">
        <v>0</v>
      </c>
      <c r="K570" t="n">
        <v>0</v>
      </c>
      <c r="L570" t="n">
        <v>0</v>
      </c>
      <c r="M570" t="n">
        <v>0</v>
      </c>
      <c r="N570" t="n">
        <v>0</v>
      </c>
      <c r="O570" t="n">
        <v>0</v>
      </c>
      <c r="P570" t="n">
        <v>0</v>
      </c>
      <c r="Q570" t="n">
        <v>0</v>
      </c>
      <c r="R570" s="2" t="inlineStr"/>
    </row>
    <row r="571" ht="15" customHeight="1">
      <c r="A571" t="inlineStr">
        <is>
          <t>A 16516-2023</t>
        </is>
      </c>
      <c r="B571" s="1" t="n">
        <v>45029</v>
      </c>
      <c r="C571" s="1" t="n">
        <v>46196</v>
      </c>
      <c r="D571" t="inlineStr">
        <is>
          <t>KALMAR LÄN</t>
        </is>
      </c>
      <c r="E571" t="inlineStr">
        <is>
          <t>VIMMERBY</t>
        </is>
      </c>
      <c r="G571" t="n">
        <v>4.3</v>
      </c>
      <c r="H571" t="n">
        <v>0</v>
      </c>
      <c r="I571" t="n">
        <v>0</v>
      </c>
      <c r="J571" t="n">
        <v>0</v>
      </c>
      <c r="K571" t="n">
        <v>0</v>
      </c>
      <c r="L571" t="n">
        <v>0</v>
      </c>
      <c r="M571" t="n">
        <v>0</v>
      </c>
      <c r="N571" t="n">
        <v>0</v>
      </c>
      <c r="O571" t="n">
        <v>0</v>
      </c>
      <c r="P571" t="n">
        <v>0</v>
      </c>
      <c r="Q571" t="n">
        <v>0</v>
      </c>
      <c r="R571" s="2" t="inlineStr"/>
    </row>
    <row r="572" ht="15" customHeight="1">
      <c r="A572" t="inlineStr">
        <is>
          <t>A 47842-2024</t>
        </is>
      </c>
      <c r="B572" s="1" t="n">
        <v>45588</v>
      </c>
      <c r="C572" s="1" t="n">
        <v>46196</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6408-2025</t>
        </is>
      </c>
      <c r="B573" s="1" t="n">
        <v>45699</v>
      </c>
      <c r="C573" s="1" t="n">
        <v>46196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25109-2023</t>
        </is>
      </c>
      <c r="B574" s="1" t="n">
        <v>45086</v>
      </c>
      <c r="C574" s="1" t="n">
        <v>46196</v>
      </c>
      <c r="D574" t="inlineStr">
        <is>
          <t>KALMAR LÄN</t>
        </is>
      </c>
      <c r="E574" t="inlineStr">
        <is>
          <t>VIMMERBY</t>
        </is>
      </c>
      <c r="G574" t="n">
        <v>1.5</v>
      </c>
      <c r="H574" t="n">
        <v>0</v>
      </c>
      <c r="I574" t="n">
        <v>0</v>
      </c>
      <c r="J574" t="n">
        <v>0</v>
      </c>
      <c r="K574" t="n">
        <v>0</v>
      </c>
      <c r="L574" t="n">
        <v>0</v>
      </c>
      <c r="M574" t="n">
        <v>0</v>
      </c>
      <c r="N574" t="n">
        <v>0</v>
      </c>
      <c r="O574" t="n">
        <v>0</v>
      </c>
      <c r="P574" t="n">
        <v>0</v>
      </c>
      <c r="Q574" t="n">
        <v>0</v>
      </c>
      <c r="R574" s="2" t="inlineStr"/>
    </row>
    <row r="575" ht="15" customHeight="1">
      <c r="A575" t="inlineStr">
        <is>
          <t>A 33380-2023</t>
        </is>
      </c>
      <c r="B575" s="1" t="n">
        <v>45128</v>
      </c>
      <c r="C575" s="1" t="n">
        <v>46196</v>
      </c>
      <c r="D575" t="inlineStr">
        <is>
          <t>KALMAR LÄN</t>
        </is>
      </c>
      <c r="E575" t="inlineStr">
        <is>
          <t>VIMMERBY</t>
        </is>
      </c>
      <c r="G575" t="n">
        <v>5.2</v>
      </c>
      <c r="H575" t="n">
        <v>0</v>
      </c>
      <c r="I575" t="n">
        <v>0</v>
      </c>
      <c r="J575" t="n">
        <v>0</v>
      </c>
      <c r="K575" t="n">
        <v>0</v>
      </c>
      <c r="L575" t="n">
        <v>0</v>
      </c>
      <c r="M575" t="n">
        <v>0</v>
      </c>
      <c r="N575" t="n">
        <v>0</v>
      </c>
      <c r="O575" t="n">
        <v>0</v>
      </c>
      <c r="P575" t="n">
        <v>0</v>
      </c>
      <c r="Q575" t="n">
        <v>0</v>
      </c>
      <c r="R575" s="2" t="inlineStr"/>
    </row>
    <row r="576" ht="15" customHeight="1">
      <c r="A576" t="inlineStr">
        <is>
          <t>A 11928-2022</t>
        </is>
      </c>
      <c r="B576" s="1" t="n">
        <v>44635</v>
      </c>
      <c r="C576" s="1" t="n">
        <v>46196</v>
      </c>
      <c r="D576" t="inlineStr">
        <is>
          <t>KALMAR LÄN</t>
        </is>
      </c>
      <c r="E576" t="inlineStr">
        <is>
          <t>VIMMERBY</t>
        </is>
      </c>
      <c r="G576" t="n">
        <v>2.8</v>
      </c>
      <c r="H576" t="n">
        <v>0</v>
      </c>
      <c r="I576" t="n">
        <v>0</v>
      </c>
      <c r="J576" t="n">
        <v>0</v>
      </c>
      <c r="K576" t="n">
        <v>0</v>
      </c>
      <c r="L576" t="n">
        <v>0</v>
      </c>
      <c r="M576" t="n">
        <v>0</v>
      </c>
      <c r="N576" t="n">
        <v>0</v>
      </c>
      <c r="O576" t="n">
        <v>0</v>
      </c>
      <c r="P576" t="n">
        <v>0</v>
      </c>
      <c r="Q576" t="n">
        <v>0</v>
      </c>
      <c r="R576" s="2" t="inlineStr"/>
    </row>
    <row r="577" ht="15" customHeight="1">
      <c r="A577" t="inlineStr">
        <is>
          <t>A 7068-2024</t>
        </is>
      </c>
      <c r="B577" s="1" t="n">
        <v>45343</v>
      </c>
      <c r="C577" s="1" t="n">
        <v>46196</v>
      </c>
      <c r="D577" t="inlineStr">
        <is>
          <t>KALMAR LÄN</t>
        </is>
      </c>
      <c r="E577" t="inlineStr">
        <is>
          <t>VIMMERBY</t>
        </is>
      </c>
      <c r="G577" t="n">
        <v>2.5</v>
      </c>
      <c r="H577" t="n">
        <v>0</v>
      </c>
      <c r="I577" t="n">
        <v>0</v>
      </c>
      <c r="J577" t="n">
        <v>0</v>
      </c>
      <c r="K577" t="n">
        <v>0</v>
      </c>
      <c r="L577" t="n">
        <v>0</v>
      </c>
      <c r="M577" t="n">
        <v>0</v>
      </c>
      <c r="N577" t="n">
        <v>0</v>
      </c>
      <c r="O577" t="n">
        <v>0</v>
      </c>
      <c r="P577" t="n">
        <v>0</v>
      </c>
      <c r="Q577" t="n">
        <v>0</v>
      </c>
      <c r="R577" s="2" t="inlineStr"/>
    </row>
    <row r="578" ht="15" customHeight="1">
      <c r="A578" t="inlineStr">
        <is>
          <t>A 46234-2024</t>
        </is>
      </c>
      <c r="B578" s="1" t="n">
        <v>45581</v>
      </c>
      <c r="C578" s="1" t="n">
        <v>46196</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37187-2024</t>
        </is>
      </c>
      <c r="B579" s="1" t="n">
        <v>45539</v>
      </c>
      <c r="C579" s="1" t="n">
        <v>46196</v>
      </c>
      <c r="D579" t="inlineStr">
        <is>
          <t>KALMAR LÄN</t>
        </is>
      </c>
      <c r="E579" t="inlineStr">
        <is>
          <t>VIMMERBY</t>
        </is>
      </c>
      <c r="G579" t="n">
        <v>2.7</v>
      </c>
      <c r="H579" t="n">
        <v>0</v>
      </c>
      <c r="I579" t="n">
        <v>0</v>
      </c>
      <c r="J579" t="n">
        <v>0</v>
      </c>
      <c r="K579" t="n">
        <v>0</v>
      </c>
      <c r="L579" t="n">
        <v>0</v>
      </c>
      <c r="M579" t="n">
        <v>0</v>
      </c>
      <c r="N579" t="n">
        <v>0</v>
      </c>
      <c r="O579" t="n">
        <v>0</v>
      </c>
      <c r="P579" t="n">
        <v>0</v>
      </c>
      <c r="Q579" t="n">
        <v>0</v>
      </c>
      <c r="R579" s="2" t="inlineStr"/>
    </row>
    <row r="580" ht="15" customHeight="1">
      <c r="A580" t="inlineStr">
        <is>
          <t>A 1021-2024</t>
        </is>
      </c>
      <c r="B580" s="1" t="n">
        <v>45301</v>
      </c>
      <c r="C580" s="1" t="n">
        <v>46196</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72701-2021</t>
        </is>
      </c>
      <c r="B581" s="1" t="n">
        <v>44546</v>
      </c>
      <c r="C581" s="1" t="n">
        <v>46196</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33374-2021</t>
        </is>
      </c>
      <c r="B582" s="1" t="n">
        <v>44377</v>
      </c>
      <c r="C582" s="1" t="n">
        <v>46196</v>
      </c>
      <c r="D582" t="inlineStr">
        <is>
          <t>KALMAR LÄN</t>
        </is>
      </c>
      <c r="E582" t="inlineStr">
        <is>
          <t>VIMMERBY</t>
        </is>
      </c>
      <c r="G582" t="n">
        <v>3.3</v>
      </c>
      <c r="H582" t="n">
        <v>0</v>
      </c>
      <c r="I582" t="n">
        <v>0</v>
      </c>
      <c r="J582" t="n">
        <v>0</v>
      </c>
      <c r="K582" t="n">
        <v>0</v>
      </c>
      <c r="L582" t="n">
        <v>0</v>
      </c>
      <c r="M582" t="n">
        <v>0</v>
      </c>
      <c r="N582" t="n">
        <v>0</v>
      </c>
      <c r="O582" t="n">
        <v>0</v>
      </c>
      <c r="P582" t="n">
        <v>0</v>
      </c>
      <c r="Q582" t="n">
        <v>0</v>
      </c>
      <c r="R582" s="2" t="inlineStr"/>
    </row>
    <row r="583" ht="15" customHeight="1">
      <c r="A583" t="inlineStr">
        <is>
          <t>A 10807-2024</t>
        </is>
      </c>
      <c r="B583" s="1" t="n">
        <v>45369</v>
      </c>
      <c r="C583" s="1" t="n">
        <v>46196</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33359-2021</t>
        </is>
      </c>
      <c r="B584" s="1" t="n">
        <v>44377</v>
      </c>
      <c r="C584" s="1" t="n">
        <v>46196</v>
      </c>
      <c r="D584" t="inlineStr">
        <is>
          <t>KALMAR LÄN</t>
        </is>
      </c>
      <c r="E584" t="inlineStr">
        <is>
          <t>VIMMERBY</t>
        </is>
      </c>
      <c r="F584" t="inlineStr">
        <is>
          <t>Kommuner</t>
        </is>
      </c>
      <c r="G584" t="n">
        <v>8</v>
      </c>
      <c r="H584" t="n">
        <v>0</v>
      </c>
      <c r="I584" t="n">
        <v>0</v>
      </c>
      <c r="J584" t="n">
        <v>0</v>
      </c>
      <c r="K584" t="n">
        <v>0</v>
      </c>
      <c r="L584" t="n">
        <v>0</v>
      </c>
      <c r="M584" t="n">
        <v>0</v>
      </c>
      <c r="N584" t="n">
        <v>0</v>
      </c>
      <c r="O584" t="n">
        <v>0</v>
      </c>
      <c r="P584" t="n">
        <v>0</v>
      </c>
      <c r="Q584" t="n">
        <v>0</v>
      </c>
      <c r="R584" s="2" t="inlineStr"/>
    </row>
    <row r="585" ht="15" customHeight="1">
      <c r="A585" t="inlineStr">
        <is>
          <t>A 34588-2024</t>
        </is>
      </c>
      <c r="B585" s="1" t="n">
        <v>45526</v>
      </c>
      <c r="C585" s="1" t="n">
        <v>46196</v>
      </c>
      <c r="D585" t="inlineStr">
        <is>
          <t>KALMAR LÄN</t>
        </is>
      </c>
      <c r="E585" t="inlineStr">
        <is>
          <t>VIMMERBY</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17084-2025</t>
        </is>
      </c>
      <c r="B586" s="1" t="n">
        <v>45755</v>
      </c>
      <c r="C586" s="1" t="n">
        <v>46196</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14359-2025</t>
        </is>
      </c>
      <c r="B587" s="1" t="n">
        <v>45741</v>
      </c>
      <c r="C587" s="1" t="n">
        <v>46196</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55605-2024</t>
        </is>
      </c>
      <c r="B588" s="1" t="n">
        <v>45622</v>
      </c>
      <c r="C588" s="1" t="n">
        <v>46196</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44464-2024</t>
        </is>
      </c>
      <c r="B589" s="1" t="n">
        <v>45574</v>
      </c>
      <c r="C589" s="1" t="n">
        <v>46196</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36049-2024</t>
        </is>
      </c>
      <c r="B590" s="1" t="n">
        <v>45533</v>
      </c>
      <c r="C590" s="1" t="n">
        <v>46196</v>
      </c>
      <c r="D590" t="inlineStr">
        <is>
          <t>KALMAR LÄN</t>
        </is>
      </c>
      <c r="E590" t="inlineStr">
        <is>
          <t>VIMMERBY</t>
        </is>
      </c>
      <c r="F590" t="inlineStr">
        <is>
          <t>Kommuner</t>
        </is>
      </c>
      <c r="G590" t="n">
        <v>2.6</v>
      </c>
      <c r="H590" t="n">
        <v>0</v>
      </c>
      <c r="I590" t="n">
        <v>0</v>
      </c>
      <c r="J590" t="n">
        <v>0</v>
      </c>
      <c r="K590" t="n">
        <v>0</v>
      </c>
      <c r="L590" t="n">
        <v>0</v>
      </c>
      <c r="M590" t="n">
        <v>0</v>
      </c>
      <c r="N590" t="n">
        <v>0</v>
      </c>
      <c r="O590" t="n">
        <v>0</v>
      </c>
      <c r="P590" t="n">
        <v>0</v>
      </c>
      <c r="Q590" t="n">
        <v>0</v>
      </c>
      <c r="R590" s="2" t="inlineStr"/>
    </row>
    <row r="591" ht="15" customHeight="1">
      <c r="A591" t="inlineStr">
        <is>
          <t>A 43038-2022</t>
        </is>
      </c>
      <c r="B591" s="1" t="n">
        <v>44833</v>
      </c>
      <c r="C591" s="1" t="n">
        <v>46196</v>
      </c>
      <c r="D591" t="inlineStr">
        <is>
          <t>KALMAR LÄN</t>
        </is>
      </c>
      <c r="E591" t="inlineStr">
        <is>
          <t>VIMMERBY</t>
        </is>
      </c>
      <c r="G591" t="n">
        <v>4.2</v>
      </c>
      <c r="H591" t="n">
        <v>0</v>
      </c>
      <c r="I591" t="n">
        <v>0</v>
      </c>
      <c r="J591" t="n">
        <v>0</v>
      </c>
      <c r="K591" t="n">
        <v>0</v>
      </c>
      <c r="L591" t="n">
        <v>0</v>
      </c>
      <c r="M591" t="n">
        <v>0</v>
      </c>
      <c r="N591" t="n">
        <v>0</v>
      </c>
      <c r="O591" t="n">
        <v>0</v>
      </c>
      <c r="P591" t="n">
        <v>0</v>
      </c>
      <c r="Q591" t="n">
        <v>0</v>
      </c>
      <c r="R591" s="2" t="inlineStr"/>
    </row>
    <row r="592" ht="15" customHeight="1">
      <c r="A592" t="inlineStr">
        <is>
          <t>A 57799-2022</t>
        </is>
      </c>
      <c r="B592" s="1" t="n">
        <v>44897</v>
      </c>
      <c r="C592" s="1" t="n">
        <v>46196</v>
      </c>
      <c r="D592" t="inlineStr">
        <is>
          <t>KALMAR LÄN</t>
        </is>
      </c>
      <c r="E592" t="inlineStr">
        <is>
          <t>VIMMERBY</t>
        </is>
      </c>
      <c r="G592" t="n">
        <v>1.4</v>
      </c>
      <c r="H592" t="n">
        <v>0</v>
      </c>
      <c r="I592" t="n">
        <v>0</v>
      </c>
      <c r="J592" t="n">
        <v>0</v>
      </c>
      <c r="K592" t="n">
        <v>0</v>
      </c>
      <c r="L592" t="n">
        <v>0</v>
      </c>
      <c r="M592" t="n">
        <v>0</v>
      </c>
      <c r="N592" t="n">
        <v>0</v>
      </c>
      <c r="O592" t="n">
        <v>0</v>
      </c>
      <c r="P592" t="n">
        <v>0</v>
      </c>
      <c r="Q592" t="n">
        <v>0</v>
      </c>
      <c r="R592" s="2" t="inlineStr"/>
    </row>
    <row r="593" ht="15" customHeight="1">
      <c r="A593" t="inlineStr">
        <is>
          <t>A 30921-2024</t>
        </is>
      </c>
      <c r="B593" s="1" t="n">
        <v>45498</v>
      </c>
      <c r="C593" s="1" t="n">
        <v>46196</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14137-2023</t>
        </is>
      </c>
      <c r="B594" s="1" t="n">
        <v>45009</v>
      </c>
      <c r="C594" s="1" t="n">
        <v>46196</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46196</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12499-2023</t>
        </is>
      </c>
      <c r="B596" s="1" t="n">
        <v>44999</v>
      </c>
      <c r="C596" s="1" t="n">
        <v>46196</v>
      </c>
      <c r="D596" t="inlineStr">
        <is>
          <t>KALMAR LÄN</t>
        </is>
      </c>
      <c r="E596" t="inlineStr">
        <is>
          <t>VIMMERBY</t>
        </is>
      </c>
      <c r="G596" t="n">
        <v>0.8</v>
      </c>
      <c r="H596" t="n">
        <v>0</v>
      </c>
      <c r="I596" t="n">
        <v>0</v>
      </c>
      <c r="J596" t="n">
        <v>0</v>
      </c>
      <c r="K596" t="n">
        <v>0</v>
      </c>
      <c r="L596" t="n">
        <v>0</v>
      </c>
      <c r="M596" t="n">
        <v>0</v>
      </c>
      <c r="N596" t="n">
        <v>0</v>
      </c>
      <c r="O596" t="n">
        <v>0</v>
      </c>
      <c r="P596" t="n">
        <v>0</v>
      </c>
      <c r="Q596" t="n">
        <v>0</v>
      </c>
      <c r="R596" s="2" t="inlineStr"/>
    </row>
    <row r="597" ht="15" customHeight="1">
      <c r="A597" t="inlineStr">
        <is>
          <t>A 12500-2023</t>
        </is>
      </c>
      <c r="B597" s="1" t="n">
        <v>44999</v>
      </c>
      <c r="C597" s="1" t="n">
        <v>46196</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35846-2023</t>
        </is>
      </c>
      <c r="B598" s="1" t="n">
        <v>45148</v>
      </c>
      <c r="C598" s="1" t="n">
        <v>46196</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49039-2021</t>
        </is>
      </c>
      <c r="B599" s="1" t="n">
        <v>44453</v>
      </c>
      <c r="C599" s="1" t="n">
        <v>46196</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46224-2024</t>
        </is>
      </c>
      <c r="B600" s="1" t="n">
        <v>45581</v>
      </c>
      <c r="C600" s="1" t="n">
        <v>46196</v>
      </c>
      <c r="D600" t="inlineStr">
        <is>
          <t>KALMAR LÄN</t>
        </is>
      </c>
      <c r="E600" t="inlineStr">
        <is>
          <t>VIMMERBY</t>
        </is>
      </c>
      <c r="G600" t="n">
        <v>3.1</v>
      </c>
      <c r="H600" t="n">
        <v>0</v>
      </c>
      <c r="I600" t="n">
        <v>0</v>
      </c>
      <c r="J600" t="n">
        <v>0</v>
      </c>
      <c r="K600" t="n">
        <v>0</v>
      </c>
      <c r="L600" t="n">
        <v>0</v>
      </c>
      <c r="M600" t="n">
        <v>0</v>
      </c>
      <c r="N600" t="n">
        <v>0</v>
      </c>
      <c r="O600" t="n">
        <v>0</v>
      </c>
      <c r="P600" t="n">
        <v>0</v>
      </c>
      <c r="Q600" t="n">
        <v>0</v>
      </c>
      <c r="R600" s="2" t="inlineStr"/>
    </row>
    <row r="601" ht="15" customHeight="1">
      <c r="A601" t="inlineStr">
        <is>
          <t>A 30633-2024</t>
        </is>
      </c>
      <c r="B601" s="1" t="n">
        <v>45495</v>
      </c>
      <c r="C601" s="1" t="n">
        <v>46196</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54838-2024</t>
        </is>
      </c>
      <c r="B602" s="1" t="n">
        <v>45618</v>
      </c>
      <c r="C602" s="1" t="n">
        <v>46196</v>
      </c>
      <c r="D602" t="inlineStr">
        <is>
          <t>KALMAR LÄN</t>
        </is>
      </c>
      <c r="E602" t="inlineStr">
        <is>
          <t>VIMMERBY</t>
        </is>
      </c>
      <c r="G602" t="n">
        <v>3.3</v>
      </c>
      <c r="H602" t="n">
        <v>0</v>
      </c>
      <c r="I602" t="n">
        <v>0</v>
      </c>
      <c r="J602" t="n">
        <v>0</v>
      </c>
      <c r="K602" t="n">
        <v>0</v>
      </c>
      <c r="L602" t="n">
        <v>0</v>
      </c>
      <c r="M602" t="n">
        <v>0</v>
      </c>
      <c r="N602" t="n">
        <v>0</v>
      </c>
      <c r="O602" t="n">
        <v>0</v>
      </c>
      <c r="P602" t="n">
        <v>0</v>
      </c>
      <c r="Q602" t="n">
        <v>0</v>
      </c>
      <c r="R602" s="2" t="inlineStr"/>
    </row>
    <row r="603" ht="15" customHeight="1">
      <c r="A603" t="inlineStr">
        <is>
          <t>A 6405-2025</t>
        </is>
      </c>
      <c r="B603" s="1" t="n">
        <v>45699</v>
      </c>
      <c r="C603" s="1" t="n">
        <v>46196</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60437-2023</t>
        </is>
      </c>
      <c r="B604" s="1" t="n">
        <v>45259</v>
      </c>
      <c r="C604" s="1" t="n">
        <v>46196</v>
      </c>
      <c r="D604" t="inlineStr">
        <is>
          <t>KALMAR LÄN</t>
        </is>
      </c>
      <c r="E604" t="inlineStr">
        <is>
          <t>VIMMERBY</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60438-2023</t>
        </is>
      </c>
      <c r="B605" s="1" t="n">
        <v>45259</v>
      </c>
      <c r="C605" s="1" t="n">
        <v>46196</v>
      </c>
      <c r="D605" t="inlineStr">
        <is>
          <t>KALMAR LÄN</t>
        </is>
      </c>
      <c r="E605" t="inlineStr">
        <is>
          <t>VIMMERBY</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42165-2024</t>
        </is>
      </c>
      <c r="B606" s="1" t="n">
        <v>45562</v>
      </c>
      <c r="C606" s="1" t="n">
        <v>46196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25244-2023</t>
        </is>
      </c>
      <c r="B607" s="1" t="n">
        <v>45086</v>
      </c>
      <c r="C607" s="1" t="n">
        <v>46196</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66022-2021</t>
        </is>
      </c>
      <c r="B608" s="1" t="n">
        <v>44517</v>
      </c>
      <c r="C608" s="1" t="n">
        <v>46196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35895-2024</t>
        </is>
      </c>
      <c r="B609" s="1" t="n">
        <v>45533</v>
      </c>
      <c r="C609" s="1" t="n">
        <v>46196</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11073-2023</t>
        </is>
      </c>
      <c r="B610" s="1" t="n">
        <v>44992</v>
      </c>
      <c r="C610" s="1" t="n">
        <v>46196</v>
      </c>
      <c r="D610" t="inlineStr">
        <is>
          <t>KALMAR LÄN</t>
        </is>
      </c>
      <c r="E610" t="inlineStr">
        <is>
          <t>VIMMERBY</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32655-2023</t>
        </is>
      </c>
      <c r="B611" s="1" t="n">
        <v>45121</v>
      </c>
      <c r="C611" s="1" t="n">
        <v>46196</v>
      </c>
      <c r="D611" t="inlineStr">
        <is>
          <t>KALMAR LÄN</t>
        </is>
      </c>
      <c r="E611" t="inlineStr">
        <is>
          <t>VIMMERBY</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63541-2023</t>
        </is>
      </c>
      <c r="B612" s="1" t="n">
        <v>45275</v>
      </c>
      <c r="C612" s="1" t="n">
        <v>46196</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28034-2022</t>
        </is>
      </c>
      <c r="B613" s="1" t="n">
        <v>44746</v>
      </c>
      <c r="C613" s="1" t="n">
        <v>46196</v>
      </c>
      <c r="D613" t="inlineStr">
        <is>
          <t>KALMAR LÄN</t>
        </is>
      </c>
      <c r="E613" t="inlineStr">
        <is>
          <t>VIMMERBY</t>
        </is>
      </c>
      <c r="G613" t="n">
        <v>2</v>
      </c>
      <c r="H613" t="n">
        <v>0</v>
      </c>
      <c r="I613" t="n">
        <v>0</v>
      </c>
      <c r="J613" t="n">
        <v>0</v>
      </c>
      <c r="K613" t="n">
        <v>0</v>
      </c>
      <c r="L613" t="n">
        <v>0</v>
      </c>
      <c r="M613" t="n">
        <v>0</v>
      </c>
      <c r="N613" t="n">
        <v>0</v>
      </c>
      <c r="O613" t="n">
        <v>0</v>
      </c>
      <c r="P613" t="n">
        <v>0</v>
      </c>
      <c r="Q613" t="n">
        <v>0</v>
      </c>
      <c r="R613" s="2" t="inlineStr"/>
    </row>
    <row r="614" ht="15" customHeight="1">
      <c r="A614" t="inlineStr">
        <is>
          <t>A 5938-2022</t>
        </is>
      </c>
      <c r="B614" s="1" t="n">
        <v>44598</v>
      </c>
      <c r="C614" s="1" t="n">
        <v>46196</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24283-2023</t>
        </is>
      </c>
      <c r="B615" s="1" t="n">
        <v>45079</v>
      </c>
      <c r="C615" s="1" t="n">
        <v>46196</v>
      </c>
      <c r="D615" t="inlineStr">
        <is>
          <t>KALMAR LÄN</t>
        </is>
      </c>
      <c r="E615" t="inlineStr">
        <is>
          <t>VIMMERBY</t>
        </is>
      </c>
      <c r="G615" t="n">
        <v>2</v>
      </c>
      <c r="H615" t="n">
        <v>0</v>
      </c>
      <c r="I615" t="n">
        <v>0</v>
      </c>
      <c r="J615" t="n">
        <v>0</v>
      </c>
      <c r="K615" t="n">
        <v>0</v>
      </c>
      <c r="L615" t="n">
        <v>0</v>
      </c>
      <c r="M615" t="n">
        <v>0</v>
      </c>
      <c r="N615" t="n">
        <v>0</v>
      </c>
      <c r="O615" t="n">
        <v>0</v>
      </c>
      <c r="P615" t="n">
        <v>0</v>
      </c>
      <c r="Q615" t="n">
        <v>0</v>
      </c>
      <c r="R615" s="2" t="inlineStr"/>
    </row>
    <row r="616" ht="15" customHeight="1">
      <c r="A616" t="inlineStr">
        <is>
          <t>A 2462-2022</t>
        </is>
      </c>
      <c r="B616" s="1" t="n">
        <v>44579</v>
      </c>
      <c r="C616" s="1" t="n">
        <v>46196</v>
      </c>
      <c r="D616" t="inlineStr">
        <is>
          <t>KALMAR LÄN</t>
        </is>
      </c>
      <c r="E616" t="inlineStr">
        <is>
          <t>VIMMERBY</t>
        </is>
      </c>
      <c r="G616" t="n">
        <v>1.1</v>
      </c>
      <c r="H616" t="n">
        <v>0</v>
      </c>
      <c r="I616" t="n">
        <v>0</v>
      </c>
      <c r="J616" t="n">
        <v>0</v>
      </c>
      <c r="K616" t="n">
        <v>0</v>
      </c>
      <c r="L616" t="n">
        <v>0</v>
      </c>
      <c r="M616" t="n">
        <v>0</v>
      </c>
      <c r="N616" t="n">
        <v>0</v>
      </c>
      <c r="O616" t="n">
        <v>0</v>
      </c>
      <c r="P616" t="n">
        <v>0</v>
      </c>
      <c r="Q616" t="n">
        <v>0</v>
      </c>
      <c r="R616" s="2" t="inlineStr"/>
    </row>
    <row r="617" ht="15" customHeight="1">
      <c r="A617" t="inlineStr">
        <is>
          <t>A 60228-2021</t>
        </is>
      </c>
      <c r="B617" s="1" t="n">
        <v>44495</v>
      </c>
      <c r="C617" s="1" t="n">
        <v>46196</v>
      </c>
      <c r="D617" t="inlineStr">
        <is>
          <t>KALMAR LÄN</t>
        </is>
      </c>
      <c r="E617" t="inlineStr">
        <is>
          <t>VIMMERBY</t>
        </is>
      </c>
      <c r="G617" t="n">
        <v>4.1</v>
      </c>
      <c r="H617" t="n">
        <v>0</v>
      </c>
      <c r="I617" t="n">
        <v>0</v>
      </c>
      <c r="J617" t="n">
        <v>0</v>
      </c>
      <c r="K617" t="n">
        <v>0</v>
      </c>
      <c r="L617" t="n">
        <v>0</v>
      </c>
      <c r="M617" t="n">
        <v>0</v>
      </c>
      <c r="N617" t="n">
        <v>0</v>
      </c>
      <c r="O617" t="n">
        <v>0</v>
      </c>
      <c r="P617" t="n">
        <v>0</v>
      </c>
      <c r="Q617" t="n">
        <v>0</v>
      </c>
      <c r="R617" s="2" t="inlineStr"/>
    </row>
    <row r="618" ht="15" customHeight="1">
      <c r="A618" t="inlineStr">
        <is>
          <t>A 25979-2023</t>
        </is>
      </c>
      <c r="B618" s="1" t="n">
        <v>45090</v>
      </c>
      <c r="C618" s="1" t="n">
        <v>46196</v>
      </c>
      <c r="D618" t="inlineStr">
        <is>
          <t>KALMAR LÄN</t>
        </is>
      </c>
      <c r="E618" t="inlineStr">
        <is>
          <t>VIMMERBY</t>
        </is>
      </c>
      <c r="G618" t="n">
        <v>2</v>
      </c>
      <c r="H618" t="n">
        <v>0</v>
      </c>
      <c r="I618" t="n">
        <v>0</v>
      </c>
      <c r="J618" t="n">
        <v>0</v>
      </c>
      <c r="K618" t="n">
        <v>0</v>
      </c>
      <c r="L618" t="n">
        <v>0</v>
      </c>
      <c r="M618" t="n">
        <v>0</v>
      </c>
      <c r="N618" t="n">
        <v>0</v>
      </c>
      <c r="O618" t="n">
        <v>0</v>
      </c>
      <c r="P618" t="n">
        <v>0</v>
      </c>
      <c r="Q618" t="n">
        <v>0</v>
      </c>
      <c r="R618" s="2" t="inlineStr"/>
    </row>
    <row r="619" ht="15" customHeight="1">
      <c r="A619" t="inlineStr">
        <is>
          <t>A 25980-2023</t>
        </is>
      </c>
      <c r="B619" s="1" t="n">
        <v>45090</v>
      </c>
      <c r="C619" s="1" t="n">
        <v>46196</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46196</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48373-2021</t>
        </is>
      </c>
      <c r="B621" s="1" t="n">
        <v>44451</v>
      </c>
      <c r="C621" s="1" t="n">
        <v>46196</v>
      </c>
      <c r="D621" t="inlineStr">
        <is>
          <t>KALMAR LÄN</t>
        </is>
      </c>
      <c r="E621" t="inlineStr">
        <is>
          <t>VIMMERBY</t>
        </is>
      </c>
      <c r="G621" t="n">
        <v>2.2</v>
      </c>
      <c r="H621" t="n">
        <v>0</v>
      </c>
      <c r="I621" t="n">
        <v>0</v>
      </c>
      <c r="J621" t="n">
        <v>0</v>
      </c>
      <c r="K621" t="n">
        <v>0</v>
      </c>
      <c r="L621" t="n">
        <v>0</v>
      </c>
      <c r="M621" t="n">
        <v>0</v>
      </c>
      <c r="N621" t="n">
        <v>0</v>
      </c>
      <c r="O621" t="n">
        <v>0</v>
      </c>
      <c r="P621" t="n">
        <v>0</v>
      </c>
      <c r="Q621" t="n">
        <v>0</v>
      </c>
      <c r="R621" s="2" t="inlineStr"/>
    </row>
    <row r="622" ht="15" customHeight="1">
      <c r="A622" t="inlineStr">
        <is>
          <t>A 57256-2023</t>
        </is>
      </c>
      <c r="B622" s="1" t="n">
        <v>45245</v>
      </c>
      <c r="C622" s="1" t="n">
        <v>46196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17482-2024</t>
        </is>
      </c>
      <c r="B623" s="1" t="n">
        <v>45415</v>
      </c>
      <c r="C623" s="1" t="n">
        <v>46196</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55123-2024</t>
        </is>
      </c>
      <c r="B624" s="1" t="n">
        <v>45621</v>
      </c>
      <c r="C624" s="1" t="n">
        <v>46196</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49313-2022</t>
        </is>
      </c>
      <c r="B625" s="1" t="n">
        <v>44861</v>
      </c>
      <c r="C625" s="1" t="n">
        <v>46196</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1987-2024</t>
        </is>
      </c>
      <c r="B626" s="1" t="n">
        <v>45308</v>
      </c>
      <c r="C626" s="1" t="n">
        <v>46196</v>
      </c>
      <c r="D626" t="inlineStr">
        <is>
          <t>KALMAR LÄN</t>
        </is>
      </c>
      <c r="E626" t="inlineStr">
        <is>
          <t>VIMMERBY</t>
        </is>
      </c>
      <c r="G626" t="n">
        <v>3</v>
      </c>
      <c r="H626" t="n">
        <v>0</v>
      </c>
      <c r="I626" t="n">
        <v>0</v>
      </c>
      <c r="J626" t="n">
        <v>0</v>
      </c>
      <c r="K626" t="n">
        <v>0</v>
      </c>
      <c r="L626" t="n">
        <v>0</v>
      </c>
      <c r="M626" t="n">
        <v>0</v>
      </c>
      <c r="N626" t="n">
        <v>0</v>
      </c>
      <c r="O626" t="n">
        <v>0</v>
      </c>
      <c r="P626" t="n">
        <v>0</v>
      </c>
      <c r="Q626" t="n">
        <v>0</v>
      </c>
      <c r="R626" s="2" t="inlineStr"/>
    </row>
    <row r="627" ht="15" customHeight="1">
      <c r="A627" t="inlineStr">
        <is>
          <t>A 21507-2023</t>
        </is>
      </c>
      <c r="B627" s="1" t="n">
        <v>45063</v>
      </c>
      <c r="C627" s="1" t="n">
        <v>46196</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57189-2022</t>
        </is>
      </c>
      <c r="B628" s="1" t="n">
        <v>44895</v>
      </c>
      <c r="C628" s="1" t="n">
        <v>46196</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48673-2021</t>
        </is>
      </c>
      <c r="B629" s="1" t="n">
        <v>44452</v>
      </c>
      <c r="C629" s="1" t="n">
        <v>46196</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14248-2023</t>
        </is>
      </c>
      <c r="B630" s="1" t="n">
        <v>45009</v>
      </c>
      <c r="C630" s="1" t="n">
        <v>46196</v>
      </c>
      <c r="D630" t="inlineStr">
        <is>
          <t>KALMAR LÄN</t>
        </is>
      </c>
      <c r="E630" t="inlineStr">
        <is>
          <t>VIMMERBY</t>
        </is>
      </c>
      <c r="G630" t="n">
        <v>2.6</v>
      </c>
      <c r="H630" t="n">
        <v>0</v>
      </c>
      <c r="I630" t="n">
        <v>0</v>
      </c>
      <c r="J630" t="n">
        <v>0</v>
      </c>
      <c r="K630" t="n">
        <v>0</v>
      </c>
      <c r="L630" t="n">
        <v>0</v>
      </c>
      <c r="M630" t="n">
        <v>0</v>
      </c>
      <c r="N630" t="n">
        <v>0</v>
      </c>
      <c r="O630" t="n">
        <v>0</v>
      </c>
      <c r="P630" t="n">
        <v>0</v>
      </c>
      <c r="Q630" t="n">
        <v>0</v>
      </c>
      <c r="R630" s="2" t="inlineStr"/>
    </row>
    <row r="631" ht="15" customHeight="1">
      <c r="A631" t="inlineStr">
        <is>
          <t>A 40095-2022</t>
        </is>
      </c>
      <c r="B631" s="1" t="n">
        <v>44820</v>
      </c>
      <c r="C631" s="1" t="n">
        <v>46196</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50085-2023</t>
        </is>
      </c>
      <c r="B632" s="1" t="n">
        <v>45215</v>
      </c>
      <c r="C632" s="1" t="n">
        <v>46196</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50087-2023</t>
        </is>
      </c>
      <c r="B633" s="1" t="n">
        <v>45215</v>
      </c>
      <c r="C633" s="1" t="n">
        <v>46196</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8167-2024</t>
        </is>
      </c>
      <c r="B634" s="1" t="n">
        <v>45351</v>
      </c>
      <c r="C634" s="1" t="n">
        <v>46196</v>
      </c>
      <c r="D634" t="inlineStr">
        <is>
          <t>KALMAR LÄN</t>
        </is>
      </c>
      <c r="E634" t="inlineStr">
        <is>
          <t>VIMMERBY</t>
        </is>
      </c>
      <c r="G634" t="n">
        <v>3.8</v>
      </c>
      <c r="H634" t="n">
        <v>0</v>
      </c>
      <c r="I634" t="n">
        <v>0</v>
      </c>
      <c r="J634" t="n">
        <v>0</v>
      </c>
      <c r="K634" t="n">
        <v>0</v>
      </c>
      <c r="L634" t="n">
        <v>0</v>
      </c>
      <c r="M634" t="n">
        <v>0</v>
      </c>
      <c r="N634" t="n">
        <v>0</v>
      </c>
      <c r="O634" t="n">
        <v>0</v>
      </c>
      <c r="P634" t="n">
        <v>0</v>
      </c>
      <c r="Q634" t="n">
        <v>0</v>
      </c>
      <c r="R634" s="2" t="inlineStr"/>
    </row>
    <row r="635" ht="15" customHeight="1">
      <c r="A635" t="inlineStr">
        <is>
          <t>A 37192-2024</t>
        </is>
      </c>
      <c r="B635" s="1" t="n">
        <v>45539</v>
      </c>
      <c r="C635" s="1" t="n">
        <v>46196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42429-2024</t>
        </is>
      </c>
      <c r="B636" s="1" t="n">
        <v>45565</v>
      </c>
      <c r="C636" s="1" t="n">
        <v>46196</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29180-2024</t>
        </is>
      </c>
      <c r="B637" s="1" t="n">
        <v>45482</v>
      </c>
      <c r="C637" s="1" t="n">
        <v>46196</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45846-2023</t>
        </is>
      </c>
      <c r="B638" s="1" t="n">
        <v>45195</v>
      </c>
      <c r="C638" s="1" t="n">
        <v>46196</v>
      </c>
      <c r="D638" t="inlineStr">
        <is>
          <t>KALMAR LÄN</t>
        </is>
      </c>
      <c r="E638" t="inlineStr">
        <is>
          <t>VIMMERBY</t>
        </is>
      </c>
      <c r="G638" t="n">
        <v>0.7</v>
      </c>
      <c r="H638" t="n">
        <v>0</v>
      </c>
      <c r="I638" t="n">
        <v>0</v>
      </c>
      <c r="J638" t="n">
        <v>0</v>
      </c>
      <c r="K638" t="n">
        <v>0</v>
      </c>
      <c r="L638" t="n">
        <v>0</v>
      </c>
      <c r="M638" t="n">
        <v>0</v>
      </c>
      <c r="N638" t="n">
        <v>0</v>
      </c>
      <c r="O638" t="n">
        <v>0</v>
      </c>
      <c r="P638" t="n">
        <v>0</v>
      </c>
      <c r="Q638" t="n">
        <v>0</v>
      </c>
      <c r="R638" s="2" t="inlineStr"/>
    </row>
    <row r="639" ht="15" customHeight="1">
      <c r="A639" t="inlineStr">
        <is>
          <t>A 16020-2023</t>
        </is>
      </c>
      <c r="B639" s="1" t="n">
        <v>45026</v>
      </c>
      <c r="C639" s="1" t="n">
        <v>46196</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61820-2023</t>
        </is>
      </c>
      <c r="B640" s="1" t="n">
        <v>45266</v>
      </c>
      <c r="C640" s="1" t="n">
        <v>46196</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45560-2021</t>
        </is>
      </c>
      <c r="B641" s="1" t="n">
        <v>44440</v>
      </c>
      <c r="C641" s="1" t="n">
        <v>46196</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40256-2024</t>
        </is>
      </c>
      <c r="B642" s="1" t="n">
        <v>45554</v>
      </c>
      <c r="C642" s="1" t="n">
        <v>46196</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58104-2024</t>
        </is>
      </c>
      <c r="B643" s="1" t="n">
        <v>45632</v>
      </c>
      <c r="C643" s="1" t="n">
        <v>46196</v>
      </c>
      <c r="D643" t="inlineStr">
        <is>
          <t>KALMAR LÄN</t>
        </is>
      </c>
      <c r="E643" t="inlineStr">
        <is>
          <t>VIMMERBY</t>
        </is>
      </c>
      <c r="G643" t="n">
        <v>5</v>
      </c>
      <c r="H643" t="n">
        <v>0</v>
      </c>
      <c r="I643" t="n">
        <v>0</v>
      </c>
      <c r="J643" t="n">
        <v>0</v>
      </c>
      <c r="K643" t="n">
        <v>0</v>
      </c>
      <c r="L643" t="n">
        <v>0</v>
      </c>
      <c r="M643" t="n">
        <v>0</v>
      </c>
      <c r="N643" t="n">
        <v>0</v>
      </c>
      <c r="O643" t="n">
        <v>0</v>
      </c>
      <c r="P643" t="n">
        <v>0</v>
      </c>
      <c r="Q643" t="n">
        <v>0</v>
      </c>
      <c r="R643" s="2" t="inlineStr"/>
    </row>
    <row r="644" ht="15" customHeight="1">
      <c r="A644" t="inlineStr">
        <is>
          <t>A 36259-2022</t>
        </is>
      </c>
      <c r="B644" s="1" t="n">
        <v>44803</v>
      </c>
      <c r="C644" s="1" t="n">
        <v>46196</v>
      </c>
      <c r="D644" t="inlineStr">
        <is>
          <t>KALMAR LÄN</t>
        </is>
      </c>
      <c r="E644" t="inlineStr">
        <is>
          <t>VIMMERBY</t>
        </is>
      </c>
      <c r="G644" t="n">
        <v>3.9</v>
      </c>
      <c r="H644" t="n">
        <v>0</v>
      </c>
      <c r="I644" t="n">
        <v>0</v>
      </c>
      <c r="J644" t="n">
        <v>0</v>
      </c>
      <c r="K644" t="n">
        <v>0</v>
      </c>
      <c r="L644" t="n">
        <v>0</v>
      </c>
      <c r="M644" t="n">
        <v>0</v>
      </c>
      <c r="N644" t="n">
        <v>0</v>
      </c>
      <c r="O644" t="n">
        <v>0</v>
      </c>
      <c r="P644" t="n">
        <v>0</v>
      </c>
      <c r="Q644" t="n">
        <v>0</v>
      </c>
      <c r="R644" s="2" t="inlineStr"/>
    </row>
    <row r="645" ht="15" customHeight="1">
      <c r="A645" t="inlineStr">
        <is>
          <t>A 43034-2024</t>
        </is>
      </c>
      <c r="B645" s="1" t="n">
        <v>45567</v>
      </c>
      <c r="C645" s="1" t="n">
        <v>46196</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3902-2022</t>
        </is>
      </c>
      <c r="B646" s="1" t="n">
        <v>44587</v>
      </c>
      <c r="C646" s="1" t="n">
        <v>46196</v>
      </c>
      <c r="D646" t="inlineStr">
        <is>
          <t>KALMAR LÄN</t>
        </is>
      </c>
      <c r="E646" t="inlineStr">
        <is>
          <t>VIMMERBY</t>
        </is>
      </c>
      <c r="G646" t="n">
        <v>2.6</v>
      </c>
      <c r="H646" t="n">
        <v>0</v>
      </c>
      <c r="I646" t="n">
        <v>0</v>
      </c>
      <c r="J646" t="n">
        <v>0</v>
      </c>
      <c r="K646" t="n">
        <v>0</v>
      </c>
      <c r="L646" t="n">
        <v>0</v>
      </c>
      <c r="M646" t="n">
        <v>0</v>
      </c>
      <c r="N646" t="n">
        <v>0</v>
      </c>
      <c r="O646" t="n">
        <v>0</v>
      </c>
      <c r="P646" t="n">
        <v>0</v>
      </c>
      <c r="Q646" t="n">
        <v>0</v>
      </c>
      <c r="R646" s="2" t="inlineStr"/>
    </row>
    <row r="647" ht="15" customHeight="1">
      <c r="A647" t="inlineStr">
        <is>
          <t>A 30070-2023</t>
        </is>
      </c>
      <c r="B647" s="1" t="n">
        <v>45110</v>
      </c>
      <c r="C647" s="1" t="n">
        <v>46196</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31209-2024</t>
        </is>
      </c>
      <c r="B648" s="1" t="n">
        <v>45503</v>
      </c>
      <c r="C648" s="1" t="n">
        <v>46196</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4527-2023</t>
        </is>
      </c>
      <c r="B649" s="1" t="n">
        <v>44956</v>
      </c>
      <c r="C649" s="1" t="n">
        <v>46196</v>
      </c>
      <c r="D649" t="inlineStr">
        <is>
          <t>KALMAR LÄN</t>
        </is>
      </c>
      <c r="E649" t="inlineStr">
        <is>
          <t>VIMMERBY</t>
        </is>
      </c>
      <c r="F649" t="inlineStr">
        <is>
          <t>Kommuner</t>
        </is>
      </c>
      <c r="G649" t="n">
        <v>8.5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46196</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30912-2023</t>
        </is>
      </c>
      <c r="B651" s="1" t="n">
        <v>45113</v>
      </c>
      <c r="C651" s="1" t="n">
        <v>46196</v>
      </c>
      <c r="D651" t="inlineStr">
        <is>
          <t>KALMAR LÄN</t>
        </is>
      </c>
      <c r="E651" t="inlineStr">
        <is>
          <t>VIMMERBY</t>
        </is>
      </c>
      <c r="G651" t="n">
        <v>5</v>
      </c>
      <c r="H651" t="n">
        <v>0</v>
      </c>
      <c r="I651" t="n">
        <v>0</v>
      </c>
      <c r="J651" t="n">
        <v>0</v>
      </c>
      <c r="K651" t="n">
        <v>0</v>
      </c>
      <c r="L651" t="n">
        <v>0</v>
      </c>
      <c r="M651" t="n">
        <v>0</v>
      </c>
      <c r="N651" t="n">
        <v>0</v>
      </c>
      <c r="O651" t="n">
        <v>0</v>
      </c>
      <c r="P651" t="n">
        <v>0</v>
      </c>
      <c r="Q651" t="n">
        <v>0</v>
      </c>
      <c r="R651" s="2" t="inlineStr"/>
    </row>
    <row r="652" ht="15" customHeight="1">
      <c r="A652" t="inlineStr">
        <is>
          <t>A 1146-2025</t>
        </is>
      </c>
      <c r="B652" s="1" t="n">
        <v>45666</v>
      </c>
      <c r="C652" s="1" t="n">
        <v>46196</v>
      </c>
      <c r="D652" t="inlineStr">
        <is>
          <t>KALMAR LÄN</t>
        </is>
      </c>
      <c r="E652" t="inlineStr">
        <is>
          <t>VIMMERBY</t>
        </is>
      </c>
      <c r="G652" t="n">
        <v>4</v>
      </c>
      <c r="H652" t="n">
        <v>0</v>
      </c>
      <c r="I652" t="n">
        <v>0</v>
      </c>
      <c r="J652" t="n">
        <v>0</v>
      </c>
      <c r="K652" t="n">
        <v>0</v>
      </c>
      <c r="L652" t="n">
        <v>0</v>
      </c>
      <c r="M652" t="n">
        <v>0</v>
      </c>
      <c r="N652" t="n">
        <v>0</v>
      </c>
      <c r="O652" t="n">
        <v>0</v>
      </c>
      <c r="P652" t="n">
        <v>0</v>
      </c>
      <c r="Q652" t="n">
        <v>0</v>
      </c>
      <c r="R652" s="2" t="inlineStr"/>
    </row>
    <row r="653" ht="15" customHeight="1">
      <c r="A653" t="inlineStr">
        <is>
          <t>A 62023-2022</t>
        </is>
      </c>
      <c r="B653" s="1" t="n">
        <v>44918</v>
      </c>
      <c r="C653" s="1" t="n">
        <v>46196</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16119-2023</t>
        </is>
      </c>
      <c r="B654" s="1" t="n">
        <v>45027</v>
      </c>
      <c r="C654" s="1" t="n">
        <v>46196</v>
      </c>
      <c r="D654" t="inlineStr">
        <is>
          <t>KALMAR LÄN</t>
        </is>
      </c>
      <c r="E654" t="inlineStr">
        <is>
          <t>VIMMERBY</t>
        </is>
      </c>
      <c r="F654" t="inlineStr">
        <is>
          <t>Kommuner</t>
        </is>
      </c>
      <c r="G654" t="n">
        <v>4.4</v>
      </c>
      <c r="H654" t="n">
        <v>0</v>
      </c>
      <c r="I654" t="n">
        <v>0</v>
      </c>
      <c r="J654" t="n">
        <v>0</v>
      </c>
      <c r="K654" t="n">
        <v>0</v>
      </c>
      <c r="L654" t="n">
        <v>0</v>
      </c>
      <c r="M654" t="n">
        <v>0</v>
      </c>
      <c r="N654" t="n">
        <v>0</v>
      </c>
      <c r="O654" t="n">
        <v>0</v>
      </c>
      <c r="P654" t="n">
        <v>0</v>
      </c>
      <c r="Q654" t="n">
        <v>0</v>
      </c>
      <c r="R654" s="2" t="inlineStr"/>
    </row>
    <row r="655" ht="15" customHeight="1">
      <c r="A655" t="inlineStr">
        <is>
          <t>A 52327-2023</t>
        </is>
      </c>
      <c r="B655" s="1" t="n">
        <v>45224</v>
      </c>
      <c r="C655" s="1" t="n">
        <v>46196</v>
      </c>
      <c r="D655" t="inlineStr">
        <is>
          <t>KALMAR LÄN</t>
        </is>
      </c>
      <c r="E655" t="inlineStr">
        <is>
          <t>VIMMERBY</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12075-2024</t>
        </is>
      </c>
      <c r="B656" s="1" t="n">
        <v>45377</v>
      </c>
      <c r="C656" s="1" t="n">
        <v>46196</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31340-2023</t>
        </is>
      </c>
      <c r="B657" s="1" t="n">
        <v>45114</v>
      </c>
      <c r="C657" s="1" t="n">
        <v>46196</v>
      </c>
      <c r="D657" t="inlineStr">
        <is>
          <t>KALMAR LÄN</t>
        </is>
      </c>
      <c r="E657" t="inlineStr">
        <is>
          <t>VIMMERBY</t>
        </is>
      </c>
      <c r="G657" t="n">
        <v>1.8</v>
      </c>
      <c r="H657" t="n">
        <v>0</v>
      </c>
      <c r="I657" t="n">
        <v>0</v>
      </c>
      <c r="J657" t="n">
        <v>0</v>
      </c>
      <c r="K657" t="n">
        <v>0</v>
      </c>
      <c r="L657" t="n">
        <v>0</v>
      </c>
      <c r="M657" t="n">
        <v>0</v>
      </c>
      <c r="N657" t="n">
        <v>0</v>
      </c>
      <c r="O657" t="n">
        <v>0</v>
      </c>
      <c r="P657" t="n">
        <v>0</v>
      </c>
      <c r="Q657" t="n">
        <v>0</v>
      </c>
      <c r="R657" s="2" t="inlineStr"/>
    </row>
    <row r="658" ht="15" customHeight="1">
      <c r="A658" t="inlineStr">
        <is>
          <t>A 7758-2024</t>
        </is>
      </c>
      <c r="B658" s="1" t="n">
        <v>45349</v>
      </c>
      <c r="C658" s="1" t="n">
        <v>46196</v>
      </c>
      <c r="D658" t="inlineStr">
        <is>
          <t>KALMAR LÄN</t>
        </is>
      </c>
      <c r="E658" t="inlineStr">
        <is>
          <t>VIMMERBY</t>
        </is>
      </c>
      <c r="G658" t="n">
        <v>3.5</v>
      </c>
      <c r="H658" t="n">
        <v>0</v>
      </c>
      <c r="I658" t="n">
        <v>0</v>
      </c>
      <c r="J658" t="n">
        <v>0</v>
      </c>
      <c r="K658" t="n">
        <v>0</v>
      </c>
      <c r="L658" t="n">
        <v>0</v>
      </c>
      <c r="M658" t="n">
        <v>0</v>
      </c>
      <c r="N658" t="n">
        <v>0</v>
      </c>
      <c r="O658" t="n">
        <v>0</v>
      </c>
      <c r="P658" t="n">
        <v>0</v>
      </c>
      <c r="Q658" t="n">
        <v>0</v>
      </c>
      <c r="R658" s="2" t="inlineStr"/>
    </row>
    <row r="659" ht="15" customHeight="1">
      <c r="A659" t="inlineStr">
        <is>
          <t>A 5701-2024</t>
        </is>
      </c>
      <c r="B659" s="1" t="n">
        <v>45334</v>
      </c>
      <c r="C659" s="1" t="n">
        <v>46196</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31405-2023</t>
        </is>
      </c>
      <c r="B660" s="1" t="n">
        <v>45114</v>
      </c>
      <c r="C660" s="1" t="n">
        <v>46196</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6355-2022</t>
        </is>
      </c>
      <c r="B661" s="1" t="n">
        <v>44600</v>
      </c>
      <c r="C661" s="1" t="n">
        <v>46196</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46225-2024</t>
        </is>
      </c>
      <c r="B662" s="1" t="n">
        <v>45581</v>
      </c>
      <c r="C662" s="1" t="n">
        <v>46196</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9418-2024</t>
        </is>
      </c>
      <c r="B663" s="1" t="n">
        <v>45359</v>
      </c>
      <c r="C663" s="1" t="n">
        <v>46196</v>
      </c>
      <c r="D663" t="inlineStr">
        <is>
          <t>KALMAR LÄN</t>
        </is>
      </c>
      <c r="E663" t="inlineStr">
        <is>
          <t>VIMMERBY</t>
        </is>
      </c>
      <c r="G663" t="n">
        <v>1.9</v>
      </c>
      <c r="H663" t="n">
        <v>0</v>
      </c>
      <c r="I663" t="n">
        <v>0</v>
      </c>
      <c r="J663" t="n">
        <v>0</v>
      </c>
      <c r="K663" t="n">
        <v>0</v>
      </c>
      <c r="L663" t="n">
        <v>0</v>
      </c>
      <c r="M663" t="n">
        <v>0</v>
      </c>
      <c r="N663" t="n">
        <v>0</v>
      </c>
      <c r="O663" t="n">
        <v>0</v>
      </c>
      <c r="P663" t="n">
        <v>0</v>
      </c>
      <c r="Q663" t="n">
        <v>0</v>
      </c>
      <c r="R663" s="2" t="inlineStr"/>
    </row>
    <row r="664" ht="15" customHeight="1">
      <c r="A664" t="inlineStr">
        <is>
          <t>A 57091-2022</t>
        </is>
      </c>
      <c r="B664" s="1" t="n">
        <v>44895</v>
      </c>
      <c r="C664" s="1" t="n">
        <v>46196</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3816-2022</t>
        </is>
      </c>
      <c r="B665" s="1" t="n">
        <v>44587</v>
      </c>
      <c r="C665" s="1" t="n">
        <v>46196</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43606-2024</t>
        </is>
      </c>
      <c r="B666" s="1" t="n">
        <v>45569</v>
      </c>
      <c r="C666" s="1" t="n">
        <v>46196</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47859-2024</t>
        </is>
      </c>
      <c r="B667" s="1" t="n">
        <v>45588</v>
      </c>
      <c r="C667" s="1" t="n">
        <v>46196</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8540-2024</t>
        </is>
      </c>
      <c r="B668" s="1" t="n">
        <v>45355</v>
      </c>
      <c r="C668" s="1" t="n">
        <v>46196</v>
      </c>
      <c r="D668" t="inlineStr">
        <is>
          <t>KALMAR LÄN</t>
        </is>
      </c>
      <c r="E668" t="inlineStr">
        <is>
          <t>VIMMERBY</t>
        </is>
      </c>
      <c r="G668" t="n">
        <v>1.9</v>
      </c>
      <c r="H668" t="n">
        <v>0</v>
      </c>
      <c r="I668" t="n">
        <v>0</v>
      </c>
      <c r="J668" t="n">
        <v>0</v>
      </c>
      <c r="K668" t="n">
        <v>0</v>
      </c>
      <c r="L668" t="n">
        <v>0</v>
      </c>
      <c r="M668" t="n">
        <v>0</v>
      </c>
      <c r="N668" t="n">
        <v>0</v>
      </c>
      <c r="O668" t="n">
        <v>0</v>
      </c>
      <c r="P668" t="n">
        <v>0</v>
      </c>
      <c r="Q668" t="n">
        <v>0</v>
      </c>
      <c r="R668" s="2" t="inlineStr"/>
    </row>
    <row r="669" ht="15" customHeight="1">
      <c r="A669" t="inlineStr">
        <is>
          <t>A 3331-2023</t>
        </is>
      </c>
      <c r="B669" s="1" t="n">
        <v>44949</v>
      </c>
      <c r="C669" s="1" t="n">
        <v>46196</v>
      </c>
      <c r="D669" t="inlineStr">
        <is>
          <t>KALMAR LÄN</t>
        </is>
      </c>
      <c r="E669" t="inlineStr">
        <is>
          <t>VIMMERBY</t>
        </is>
      </c>
      <c r="G669" t="n">
        <v>6.2</v>
      </c>
      <c r="H669" t="n">
        <v>0</v>
      </c>
      <c r="I669" t="n">
        <v>0</v>
      </c>
      <c r="J669" t="n">
        <v>0</v>
      </c>
      <c r="K669" t="n">
        <v>0</v>
      </c>
      <c r="L669" t="n">
        <v>0</v>
      </c>
      <c r="M669" t="n">
        <v>0</v>
      </c>
      <c r="N669" t="n">
        <v>0</v>
      </c>
      <c r="O669" t="n">
        <v>0</v>
      </c>
      <c r="P669" t="n">
        <v>0</v>
      </c>
      <c r="Q669" t="n">
        <v>0</v>
      </c>
      <c r="R669" s="2" t="inlineStr"/>
    </row>
    <row r="670" ht="15" customHeight="1">
      <c r="A670" t="inlineStr">
        <is>
          <t>A 25799-2023</t>
        </is>
      </c>
      <c r="B670" s="1" t="n">
        <v>45090</v>
      </c>
      <c r="C670" s="1" t="n">
        <v>46196</v>
      </c>
      <c r="D670" t="inlineStr">
        <is>
          <t>KALMAR LÄN</t>
        </is>
      </c>
      <c r="E670" t="inlineStr">
        <is>
          <t>VIMMERBY</t>
        </is>
      </c>
      <c r="G670" t="n">
        <v>7.7</v>
      </c>
      <c r="H670" t="n">
        <v>0</v>
      </c>
      <c r="I670" t="n">
        <v>0</v>
      </c>
      <c r="J670" t="n">
        <v>0</v>
      </c>
      <c r="K670" t="n">
        <v>0</v>
      </c>
      <c r="L670" t="n">
        <v>0</v>
      </c>
      <c r="M670" t="n">
        <v>0</v>
      </c>
      <c r="N670" t="n">
        <v>0</v>
      </c>
      <c r="O670" t="n">
        <v>0</v>
      </c>
      <c r="P670" t="n">
        <v>0</v>
      </c>
      <c r="Q670" t="n">
        <v>0</v>
      </c>
      <c r="R670" s="2" t="inlineStr"/>
    </row>
    <row r="671" ht="15" customHeight="1">
      <c r="A671" t="inlineStr">
        <is>
          <t>A 53083-2021</t>
        </is>
      </c>
      <c r="B671" s="1" t="n">
        <v>44467</v>
      </c>
      <c r="C671" s="1" t="n">
        <v>46196</v>
      </c>
      <c r="D671" t="inlineStr">
        <is>
          <t>KALMAR LÄN</t>
        </is>
      </c>
      <c r="E671" t="inlineStr">
        <is>
          <t>VIMMERBY</t>
        </is>
      </c>
      <c r="G671" t="n">
        <v>6.8</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46196</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32835-2022</t>
        </is>
      </c>
      <c r="B673" s="1" t="n">
        <v>44784</v>
      </c>
      <c r="C673" s="1" t="n">
        <v>46196</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1081-2023</t>
        </is>
      </c>
      <c r="B674" s="1" t="n">
        <v>44935</v>
      </c>
      <c r="C674" s="1" t="n">
        <v>46196</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47063-2022</t>
        </is>
      </c>
      <c r="B675" s="1" t="n">
        <v>44852</v>
      </c>
      <c r="C675" s="1" t="n">
        <v>46196</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28403-2023</t>
        </is>
      </c>
      <c r="B676" s="1" t="n">
        <v>45100</v>
      </c>
      <c r="C676" s="1" t="n">
        <v>46196</v>
      </c>
      <c r="D676" t="inlineStr">
        <is>
          <t>KALMAR LÄN</t>
        </is>
      </c>
      <c r="E676" t="inlineStr">
        <is>
          <t>VIMMERBY</t>
        </is>
      </c>
      <c r="G676" t="n">
        <v>1.8</v>
      </c>
      <c r="H676" t="n">
        <v>0</v>
      </c>
      <c r="I676" t="n">
        <v>0</v>
      </c>
      <c r="J676" t="n">
        <v>0</v>
      </c>
      <c r="K676" t="n">
        <v>0</v>
      </c>
      <c r="L676" t="n">
        <v>0</v>
      </c>
      <c r="M676" t="n">
        <v>0</v>
      </c>
      <c r="N676" t="n">
        <v>0</v>
      </c>
      <c r="O676" t="n">
        <v>0</v>
      </c>
      <c r="P676" t="n">
        <v>0</v>
      </c>
      <c r="Q676" t="n">
        <v>0</v>
      </c>
      <c r="R676" s="2" t="inlineStr"/>
    </row>
    <row r="677" ht="15" customHeight="1">
      <c r="A677" t="inlineStr">
        <is>
          <t>A 33103-2024</t>
        </is>
      </c>
      <c r="B677" s="1" t="n">
        <v>45517</v>
      </c>
      <c r="C677" s="1" t="n">
        <v>46196</v>
      </c>
      <c r="D677" t="inlineStr">
        <is>
          <t>KALMAR LÄN</t>
        </is>
      </c>
      <c r="E677" t="inlineStr">
        <is>
          <t>VIMMERBY</t>
        </is>
      </c>
      <c r="G677" t="n">
        <v>1.6</v>
      </c>
      <c r="H677" t="n">
        <v>0</v>
      </c>
      <c r="I677" t="n">
        <v>0</v>
      </c>
      <c r="J677" t="n">
        <v>0</v>
      </c>
      <c r="K677" t="n">
        <v>0</v>
      </c>
      <c r="L677" t="n">
        <v>0</v>
      </c>
      <c r="M677" t="n">
        <v>0</v>
      </c>
      <c r="N677" t="n">
        <v>0</v>
      </c>
      <c r="O677" t="n">
        <v>0</v>
      </c>
      <c r="P677" t="n">
        <v>0</v>
      </c>
      <c r="Q677" t="n">
        <v>0</v>
      </c>
      <c r="R677" s="2" t="inlineStr"/>
    </row>
    <row r="678" ht="15" customHeight="1">
      <c r="A678" t="inlineStr">
        <is>
          <t>A 2260-2022</t>
        </is>
      </c>
      <c r="B678" s="1" t="n">
        <v>44578</v>
      </c>
      <c r="C678" s="1" t="n">
        <v>46196</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11661-2023</t>
        </is>
      </c>
      <c r="B679" s="1" t="n">
        <v>44994</v>
      </c>
      <c r="C679" s="1" t="n">
        <v>46196</v>
      </c>
      <c r="D679" t="inlineStr">
        <is>
          <t>KALMAR LÄN</t>
        </is>
      </c>
      <c r="E679" t="inlineStr">
        <is>
          <t>VIMMERBY</t>
        </is>
      </c>
      <c r="G679" t="n">
        <v>2.7</v>
      </c>
      <c r="H679" t="n">
        <v>0</v>
      </c>
      <c r="I679" t="n">
        <v>0</v>
      </c>
      <c r="J679" t="n">
        <v>0</v>
      </c>
      <c r="K679" t="n">
        <v>0</v>
      </c>
      <c r="L679" t="n">
        <v>0</v>
      </c>
      <c r="M679" t="n">
        <v>0</v>
      </c>
      <c r="N679" t="n">
        <v>0</v>
      </c>
      <c r="O679" t="n">
        <v>0</v>
      </c>
      <c r="P679" t="n">
        <v>0</v>
      </c>
      <c r="Q679" t="n">
        <v>0</v>
      </c>
      <c r="R679" s="2" t="inlineStr"/>
    </row>
    <row r="680" ht="15" customHeight="1">
      <c r="A680" t="inlineStr">
        <is>
          <t>A 58046-2022</t>
        </is>
      </c>
      <c r="B680" s="1" t="n">
        <v>44900</v>
      </c>
      <c r="C680" s="1" t="n">
        <v>46196</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45528-2021</t>
        </is>
      </c>
      <c r="B681" s="1" t="n">
        <v>44440</v>
      </c>
      <c r="C681" s="1" t="n">
        <v>46196</v>
      </c>
      <c r="D681" t="inlineStr">
        <is>
          <t>KALMAR LÄN</t>
        </is>
      </c>
      <c r="E681" t="inlineStr">
        <is>
          <t>VIMMERBY</t>
        </is>
      </c>
      <c r="G681" t="n">
        <v>2.2</v>
      </c>
      <c r="H681" t="n">
        <v>0</v>
      </c>
      <c r="I681" t="n">
        <v>0</v>
      </c>
      <c r="J681" t="n">
        <v>0</v>
      </c>
      <c r="K681" t="n">
        <v>0</v>
      </c>
      <c r="L681" t="n">
        <v>0</v>
      </c>
      <c r="M681" t="n">
        <v>0</v>
      </c>
      <c r="N681" t="n">
        <v>0</v>
      </c>
      <c r="O681" t="n">
        <v>0</v>
      </c>
      <c r="P681" t="n">
        <v>0</v>
      </c>
      <c r="Q681" t="n">
        <v>0</v>
      </c>
      <c r="R681" s="2" t="inlineStr"/>
    </row>
    <row r="682" ht="15" customHeight="1">
      <c r="A682" t="inlineStr">
        <is>
          <t>A 46979-2023</t>
        </is>
      </c>
      <c r="B682" s="1" t="n">
        <v>45201</v>
      </c>
      <c r="C682" s="1" t="n">
        <v>46196</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6574-2023</t>
        </is>
      </c>
      <c r="B683" s="1" t="n">
        <v>44966</v>
      </c>
      <c r="C683" s="1" t="n">
        <v>46196</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4058-2024</t>
        </is>
      </c>
      <c r="B684" s="1" t="n">
        <v>45323</v>
      </c>
      <c r="C684" s="1" t="n">
        <v>46196</v>
      </c>
      <c r="D684" t="inlineStr">
        <is>
          <t>KALMAR LÄN</t>
        </is>
      </c>
      <c r="E684" t="inlineStr">
        <is>
          <t>VIMMERBY</t>
        </is>
      </c>
      <c r="G684" t="n">
        <v>6.5</v>
      </c>
      <c r="H684" t="n">
        <v>0</v>
      </c>
      <c r="I684" t="n">
        <v>0</v>
      </c>
      <c r="J684" t="n">
        <v>0</v>
      </c>
      <c r="K684" t="n">
        <v>0</v>
      </c>
      <c r="L684" t="n">
        <v>0</v>
      </c>
      <c r="M684" t="n">
        <v>0</v>
      </c>
      <c r="N684" t="n">
        <v>0</v>
      </c>
      <c r="O684" t="n">
        <v>0</v>
      </c>
      <c r="P684" t="n">
        <v>0</v>
      </c>
      <c r="Q684" t="n">
        <v>0</v>
      </c>
      <c r="R684" s="2" t="inlineStr"/>
    </row>
    <row r="685" ht="15" customHeight="1">
      <c r="A685" t="inlineStr">
        <is>
          <t>A 1978-2024</t>
        </is>
      </c>
      <c r="B685" s="1" t="n">
        <v>45308</v>
      </c>
      <c r="C685" s="1" t="n">
        <v>46196</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30318-2023</t>
        </is>
      </c>
      <c r="B686" s="1" t="n">
        <v>45111</v>
      </c>
      <c r="C686" s="1" t="n">
        <v>46196</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25234-2023</t>
        </is>
      </c>
      <c r="B687" s="1" t="n">
        <v>45086</v>
      </c>
      <c r="C687" s="1" t="n">
        <v>46196</v>
      </c>
      <c r="D687" t="inlineStr">
        <is>
          <t>KALMAR LÄN</t>
        </is>
      </c>
      <c r="E687" t="inlineStr">
        <is>
          <t>VIMMERBY</t>
        </is>
      </c>
      <c r="G687" t="n">
        <v>2.1</v>
      </c>
      <c r="H687" t="n">
        <v>0</v>
      </c>
      <c r="I687" t="n">
        <v>0</v>
      </c>
      <c r="J687" t="n">
        <v>0</v>
      </c>
      <c r="K687" t="n">
        <v>0</v>
      </c>
      <c r="L687" t="n">
        <v>0</v>
      </c>
      <c r="M687" t="n">
        <v>0</v>
      </c>
      <c r="N687" t="n">
        <v>0</v>
      </c>
      <c r="O687" t="n">
        <v>0</v>
      </c>
      <c r="P687" t="n">
        <v>0</v>
      </c>
      <c r="Q687" t="n">
        <v>0</v>
      </c>
      <c r="R687" s="2" t="inlineStr"/>
    </row>
    <row r="688" ht="15" customHeight="1">
      <c r="A688" t="inlineStr">
        <is>
          <t>A 46078-2023</t>
        </is>
      </c>
      <c r="B688" s="1" t="n">
        <v>45196</v>
      </c>
      <c r="C688" s="1" t="n">
        <v>46196</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3609-2024</t>
        </is>
      </c>
      <c r="B689" s="1" t="n">
        <v>45320</v>
      </c>
      <c r="C689" s="1" t="n">
        <v>46196</v>
      </c>
      <c r="D689" t="inlineStr">
        <is>
          <t>KALMAR LÄN</t>
        </is>
      </c>
      <c r="E689" t="inlineStr">
        <is>
          <t>VIMMERBY</t>
        </is>
      </c>
      <c r="G689" t="n">
        <v>1.7</v>
      </c>
      <c r="H689" t="n">
        <v>0</v>
      </c>
      <c r="I689" t="n">
        <v>0</v>
      </c>
      <c r="J689" t="n">
        <v>0</v>
      </c>
      <c r="K689" t="n">
        <v>0</v>
      </c>
      <c r="L689" t="n">
        <v>0</v>
      </c>
      <c r="M689" t="n">
        <v>0</v>
      </c>
      <c r="N689" t="n">
        <v>0</v>
      </c>
      <c r="O689" t="n">
        <v>0</v>
      </c>
      <c r="P689" t="n">
        <v>0</v>
      </c>
      <c r="Q689" t="n">
        <v>0</v>
      </c>
      <c r="R689" s="2" t="inlineStr"/>
    </row>
    <row r="690" ht="15" customHeight="1">
      <c r="A690" t="inlineStr">
        <is>
          <t>A 10424-2023</t>
        </is>
      </c>
      <c r="B690" s="1" t="n">
        <v>44987</v>
      </c>
      <c r="C690" s="1" t="n">
        <v>46196</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49382-2023</t>
        </is>
      </c>
      <c r="B691" s="1" t="n">
        <v>45208</v>
      </c>
      <c r="C691" s="1" t="n">
        <v>46196</v>
      </c>
      <c r="D691" t="inlineStr">
        <is>
          <t>KALMAR LÄN</t>
        </is>
      </c>
      <c r="E691" t="inlineStr">
        <is>
          <t>VIMMERBY</t>
        </is>
      </c>
      <c r="G691" t="n">
        <v>2.2</v>
      </c>
      <c r="H691" t="n">
        <v>0</v>
      </c>
      <c r="I691" t="n">
        <v>0</v>
      </c>
      <c r="J691" t="n">
        <v>0</v>
      </c>
      <c r="K691" t="n">
        <v>0</v>
      </c>
      <c r="L691" t="n">
        <v>0</v>
      </c>
      <c r="M691" t="n">
        <v>0</v>
      </c>
      <c r="N691" t="n">
        <v>0</v>
      </c>
      <c r="O691" t="n">
        <v>0</v>
      </c>
      <c r="P691" t="n">
        <v>0</v>
      </c>
      <c r="Q691" t="n">
        <v>0</v>
      </c>
      <c r="R691" s="2" t="inlineStr"/>
    </row>
    <row r="692" ht="15" customHeight="1">
      <c r="A692" t="inlineStr">
        <is>
          <t>A 12810-2023</t>
        </is>
      </c>
      <c r="B692" s="1" t="n">
        <v>45001</v>
      </c>
      <c r="C692" s="1" t="n">
        <v>46196</v>
      </c>
      <c r="D692" t="inlineStr">
        <is>
          <t>KALMAR LÄN</t>
        </is>
      </c>
      <c r="E692" t="inlineStr">
        <is>
          <t>VIMMERBY</t>
        </is>
      </c>
      <c r="G692" t="n">
        <v>1.5</v>
      </c>
      <c r="H692" t="n">
        <v>0</v>
      </c>
      <c r="I692" t="n">
        <v>0</v>
      </c>
      <c r="J692" t="n">
        <v>0</v>
      </c>
      <c r="K692" t="n">
        <v>0</v>
      </c>
      <c r="L692" t="n">
        <v>0</v>
      </c>
      <c r="M692" t="n">
        <v>0</v>
      </c>
      <c r="N692" t="n">
        <v>0</v>
      </c>
      <c r="O692" t="n">
        <v>0</v>
      </c>
      <c r="P692" t="n">
        <v>0</v>
      </c>
      <c r="Q692" t="n">
        <v>0</v>
      </c>
      <c r="R692" s="2" t="inlineStr"/>
    </row>
    <row r="693" ht="15" customHeight="1">
      <c r="A693" t="inlineStr">
        <is>
          <t>A 3425-2022</t>
        </is>
      </c>
      <c r="B693" s="1" t="n">
        <v>44585</v>
      </c>
      <c r="C693" s="1" t="n">
        <v>46196</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60675-2023</t>
        </is>
      </c>
      <c r="B694" s="1" t="n">
        <v>45260</v>
      </c>
      <c r="C694" s="1" t="n">
        <v>46196</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2536-2023</t>
        </is>
      </c>
      <c r="B695" s="1" t="n">
        <v>44943</v>
      </c>
      <c r="C695" s="1" t="n">
        <v>46196</v>
      </c>
      <c r="D695" t="inlineStr">
        <is>
          <t>KALMAR LÄN</t>
        </is>
      </c>
      <c r="E695" t="inlineStr">
        <is>
          <t>VIMMERBY</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11111-2024</t>
        </is>
      </c>
      <c r="B696" s="1" t="n">
        <v>45371</v>
      </c>
      <c r="C696" s="1" t="n">
        <v>46196</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1687-2023</t>
        </is>
      </c>
      <c r="B697" s="1" t="n">
        <v>44938</v>
      </c>
      <c r="C697" s="1" t="n">
        <v>46196</v>
      </c>
      <c r="D697" t="inlineStr">
        <is>
          <t>KALMAR LÄN</t>
        </is>
      </c>
      <c r="E697" t="inlineStr">
        <is>
          <t>VIMMERBY</t>
        </is>
      </c>
      <c r="F697" t="inlineStr">
        <is>
          <t>Kommuner</t>
        </is>
      </c>
      <c r="G697" t="n">
        <v>2.5</v>
      </c>
      <c r="H697" t="n">
        <v>0</v>
      </c>
      <c r="I697" t="n">
        <v>0</v>
      </c>
      <c r="J697" t="n">
        <v>0</v>
      </c>
      <c r="K697" t="n">
        <v>0</v>
      </c>
      <c r="L697" t="n">
        <v>0</v>
      </c>
      <c r="M697" t="n">
        <v>0</v>
      </c>
      <c r="N697" t="n">
        <v>0</v>
      </c>
      <c r="O697" t="n">
        <v>0</v>
      </c>
      <c r="P697" t="n">
        <v>0</v>
      </c>
      <c r="Q697" t="n">
        <v>0</v>
      </c>
      <c r="R697" s="2" t="inlineStr"/>
    </row>
    <row r="698" ht="15" customHeight="1">
      <c r="A698" t="inlineStr">
        <is>
          <t>A 3494-2023</t>
        </is>
      </c>
      <c r="B698" s="1" t="n">
        <v>44949</v>
      </c>
      <c r="C698" s="1" t="n">
        <v>46196</v>
      </c>
      <c r="D698" t="inlineStr">
        <is>
          <t>KALMAR LÄN</t>
        </is>
      </c>
      <c r="E698" t="inlineStr">
        <is>
          <t>VIMMERBY</t>
        </is>
      </c>
      <c r="F698" t="inlineStr">
        <is>
          <t>Kyrkan</t>
        </is>
      </c>
      <c r="G698" t="n">
        <v>0.8</v>
      </c>
      <c r="H698" t="n">
        <v>0</v>
      </c>
      <c r="I698" t="n">
        <v>0</v>
      </c>
      <c r="J698" t="n">
        <v>0</v>
      </c>
      <c r="K698" t="n">
        <v>0</v>
      </c>
      <c r="L698" t="n">
        <v>0</v>
      </c>
      <c r="M698" t="n">
        <v>0</v>
      </c>
      <c r="N698" t="n">
        <v>0</v>
      </c>
      <c r="O698" t="n">
        <v>0</v>
      </c>
      <c r="P698" t="n">
        <v>0</v>
      </c>
      <c r="Q698" t="n">
        <v>0</v>
      </c>
      <c r="R698" s="2" t="inlineStr"/>
    </row>
    <row r="699" ht="15" customHeight="1">
      <c r="A699" t="inlineStr">
        <is>
          <t>A 15449-2023</t>
        </is>
      </c>
      <c r="B699" s="1" t="n">
        <v>45020</v>
      </c>
      <c r="C699" s="1" t="n">
        <v>46196</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43242-2024</t>
        </is>
      </c>
      <c r="B700" s="1" t="n">
        <v>45568</v>
      </c>
      <c r="C700" s="1" t="n">
        <v>46196</v>
      </c>
      <c r="D700" t="inlineStr">
        <is>
          <t>KALMAR LÄN</t>
        </is>
      </c>
      <c r="E700" t="inlineStr">
        <is>
          <t>VIMMERBY</t>
        </is>
      </c>
      <c r="G700" t="n">
        <v>2.6</v>
      </c>
      <c r="H700" t="n">
        <v>0</v>
      </c>
      <c r="I700" t="n">
        <v>0</v>
      </c>
      <c r="J700" t="n">
        <v>0</v>
      </c>
      <c r="K700" t="n">
        <v>0</v>
      </c>
      <c r="L700" t="n">
        <v>0</v>
      </c>
      <c r="M700" t="n">
        <v>0</v>
      </c>
      <c r="N700" t="n">
        <v>0</v>
      </c>
      <c r="O700" t="n">
        <v>0</v>
      </c>
      <c r="P700" t="n">
        <v>0</v>
      </c>
      <c r="Q700" t="n">
        <v>0</v>
      </c>
      <c r="R700" s="2" t="inlineStr"/>
    </row>
    <row r="701" ht="15" customHeight="1">
      <c r="A701" t="inlineStr">
        <is>
          <t>A 56853-2022</t>
        </is>
      </c>
      <c r="B701" s="1" t="n">
        <v>44894</v>
      </c>
      <c r="C701" s="1" t="n">
        <v>46196</v>
      </c>
      <c r="D701" t="inlineStr">
        <is>
          <t>KALMAR LÄN</t>
        </is>
      </c>
      <c r="E701" t="inlineStr">
        <is>
          <t>VIMMERBY</t>
        </is>
      </c>
      <c r="G701" t="n">
        <v>4.3</v>
      </c>
      <c r="H701" t="n">
        <v>0</v>
      </c>
      <c r="I701" t="n">
        <v>0</v>
      </c>
      <c r="J701" t="n">
        <v>0</v>
      </c>
      <c r="K701" t="n">
        <v>0</v>
      </c>
      <c r="L701" t="n">
        <v>0</v>
      </c>
      <c r="M701" t="n">
        <v>0</v>
      </c>
      <c r="N701" t="n">
        <v>0</v>
      </c>
      <c r="O701" t="n">
        <v>0</v>
      </c>
      <c r="P701" t="n">
        <v>0</v>
      </c>
      <c r="Q701" t="n">
        <v>0</v>
      </c>
      <c r="R701" s="2" t="inlineStr"/>
    </row>
    <row r="702" ht="15" customHeight="1">
      <c r="A702" t="inlineStr">
        <is>
          <t>A 33815-2022</t>
        </is>
      </c>
      <c r="B702" s="1" t="n">
        <v>44790</v>
      </c>
      <c r="C702" s="1" t="n">
        <v>46196</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33842-2022</t>
        </is>
      </c>
      <c r="B703" s="1" t="n">
        <v>44790</v>
      </c>
      <c r="C703" s="1" t="n">
        <v>46196</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49408-2023</t>
        </is>
      </c>
      <c r="B704" s="1" t="n">
        <v>45211</v>
      </c>
      <c r="C704" s="1" t="n">
        <v>46196</v>
      </c>
      <c r="D704" t="inlineStr">
        <is>
          <t>KALMAR LÄN</t>
        </is>
      </c>
      <c r="E704" t="inlineStr">
        <is>
          <t>VIMMERBY</t>
        </is>
      </c>
      <c r="G704" t="n">
        <v>13.1</v>
      </c>
      <c r="H704" t="n">
        <v>0</v>
      </c>
      <c r="I704" t="n">
        <v>0</v>
      </c>
      <c r="J704" t="n">
        <v>0</v>
      </c>
      <c r="K704" t="n">
        <v>0</v>
      </c>
      <c r="L704" t="n">
        <v>0</v>
      </c>
      <c r="M704" t="n">
        <v>0</v>
      </c>
      <c r="N704" t="n">
        <v>0</v>
      </c>
      <c r="O704" t="n">
        <v>0</v>
      </c>
      <c r="P704" t="n">
        <v>0</v>
      </c>
      <c r="Q704" t="n">
        <v>0</v>
      </c>
      <c r="R704" s="2" t="inlineStr"/>
    </row>
    <row r="705" ht="15" customHeight="1">
      <c r="A705" t="inlineStr">
        <is>
          <t>A 56536-2022</t>
        </is>
      </c>
      <c r="B705" s="1" t="n">
        <v>44893</v>
      </c>
      <c r="C705" s="1" t="n">
        <v>46196</v>
      </c>
      <c r="D705" t="inlineStr">
        <is>
          <t>KALMAR LÄN</t>
        </is>
      </c>
      <c r="E705" t="inlineStr">
        <is>
          <t>VIMMERBY</t>
        </is>
      </c>
      <c r="G705" t="n">
        <v>3.2</v>
      </c>
      <c r="H705" t="n">
        <v>0</v>
      </c>
      <c r="I705" t="n">
        <v>0</v>
      </c>
      <c r="J705" t="n">
        <v>0</v>
      </c>
      <c r="K705" t="n">
        <v>0</v>
      </c>
      <c r="L705" t="n">
        <v>0</v>
      </c>
      <c r="M705" t="n">
        <v>0</v>
      </c>
      <c r="N705" t="n">
        <v>0</v>
      </c>
      <c r="O705" t="n">
        <v>0</v>
      </c>
      <c r="P705" t="n">
        <v>0</v>
      </c>
      <c r="Q705" t="n">
        <v>0</v>
      </c>
      <c r="R705" s="2" t="inlineStr"/>
    </row>
    <row r="706" ht="15" customHeight="1">
      <c r="A706" t="inlineStr">
        <is>
          <t>A 41199-2023</t>
        </is>
      </c>
      <c r="B706" s="1" t="n">
        <v>45174</v>
      </c>
      <c r="C706" s="1" t="n">
        <v>46196</v>
      </c>
      <c r="D706" t="inlineStr">
        <is>
          <t>KALMAR LÄN</t>
        </is>
      </c>
      <c r="E706" t="inlineStr">
        <is>
          <t>VIMMERBY</t>
        </is>
      </c>
      <c r="G706" t="n">
        <v>1.3</v>
      </c>
      <c r="H706" t="n">
        <v>0</v>
      </c>
      <c r="I706" t="n">
        <v>0</v>
      </c>
      <c r="J706" t="n">
        <v>0</v>
      </c>
      <c r="K706" t="n">
        <v>0</v>
      </c>
      <c r="L706" t="n">
        <v>0</v>
      </c>
      <c r="M706" t="n">
        <v>0</v>
      </c>
      <c r="N706" t="n">
        <v>0</v>
      </c>
      <c r="O706" t="n">
        <v>0</v>
      </c>
      <c r="P706" t="n">
        <v>0</v>
      </c>
      <c r="Q706" t="n">
        <v>0</v>
      </c>
      <c r="R706" s="2" t="inlineStr"/>
    </row>
    <row r="707" ht="15" customHeight="1">
      <c r="A707" t="inlineStr">
        <is>
          <t>A 11619-2023</t>
        </is>
      </c>
      <c r="B707" s="1" t="n">
        <v>44994</v>
      </c>
      <c r="C707" s="1" t="n">
        <v>46196</v>
      </c>
      <c r="D707" t="inlineStr">
        <is>
          <t>KALMAR LÄN</t>
        </is>
      </c>
      <c r="E707" t="inlineStr">
        <is>
          <t>VIMMERBY</t>
        </is>
      </c>
      <c r="G707" t="n">
        <v>2.5</v>
      </c>
      <c r="H707" t="n">
        <v>0</v>
      </c>
      <c r="I707" t="n">
        <v>0</v>
      </c>
      <c r="J707" t="n">
        <v>0</v>
      </c>
      <c r="K707" t="n">
        <v>0</v>
      </c>
      <c r="L707" t="n">
        <v>0</v>
      </c>
      <c r="M707" t="n">
        <v>0</v>
      </c>
      <c r="N707" t="n">
        <v>0</v>
      </c>
      <c r="O707" t="n">
        <v>0</v>
      </c>
      <c r="P707" t="n">
        <v>0</v>
      </c>
      <c r="Q707" t="n">
        <v>0</v>
      </c>
      <c r="R707" s="2" t="inlineStr"/>
    </row>
    <row r="708" ht="15" customHeight="1">
      <c r="A708" t="inlineStr">
        <is>
          <t>A 41896-2023</t>
        </is>
      </c>
      <c r="B708" s="1" t="n">
        <v>45176</v>
      </c>
      <c r="C708" s="1" t="n">
        <v>46196</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17926-2025</t>
        </is>
      </c>
      <c r="B709" s="1" t="n">
        <v>45759</v>
      </c>
      <c r="C709" s="1" t="n">
        <v>46196</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21028-2023</t>
        </is>
      </c>
      <c r="B710" s="1" t="n">
        <v>45061</v>
      </c>
      <c r="C710" s="1" t="n">
        <v>46196</v>
      </c>
      <c r="D710" t="inlineStr">
        <is>
          <t>KALMAR LÄN</t>
        </is>
      </c>
      <c r="E710" t="inlineStr">
        <is>
          <t>VIMMERBY</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27122-2023</t>
        </is>
      </c>
      <c r="B711" s="1" t="n">
        <v>45096</v>
      </c>
      <c r="C711" s="1" t="n">
        <v>46196</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13813-2024</t>
        </is>
      </c>
      <c r="B712" s="1" t="n">
        <v>45391</v>
      </c>
      <c r="C712" s="1" t="n">
        <v>46196</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57486-2024</t>
        </is>
      </c>
      <c r="B713" s="1" t="n">
        <v>45630</v>
      </c>
      <c r="C713" s="1" t="n">
        <v>46196</v>
      </c>
      <c r="D713" t="inlineStr">
        <is>
          <t>KALMAR LÄN</t>
        </is>
      </c>
      <c r="E713" t="inlineStr">
        <is>
          <t>VIMMERBY</t>
        </is>
      </c>
      <c r="G713" t="n">
        <v>0.4</v>
      </c>
      <c r="H713" t="n">
        <v>0</v>
      </c>
      <c r="I713" t="n">
        <v>0</v>
      </c>
      <c r="J713" t="n">
        <v>0</v>
      </c>
      <c r="K713" t="n">
        <v>0</v>
      </c>
      <c r="L713" t="n">
        <v>0</v>
      </c>
      <c r="M713" t="n">
        <v>0</v>
      </c>
      <c r="N713" t="n">
        <v>0</v>
      </c>
      <c r="O713" t="n">
        <v>0</v>
      </c>
      <c r="P713" t="n">
        <v>0</v>
      </c>
      <c r="Q713" t="n">
        <v>0</v>
      </c>
      <c r="R713" s="2" t="inlineStr"/>
    </row>
    <row r="714" ht="15" customHeight="1">
      <c r="A714" t="inlineStr">
        <is>
          <t>A 43186-2021</t>
        </is>
      </c>
      <c r="B714" s="1" t="n">
        <v>44431</v>
      </c>
      <c r="C714" s="1" t="n">
        <v>46196</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30063-2023</t>
        </is>
      </c>
      <c r="B715" s="1" t="n">
        <v>45110</v>
      </c>
      <c r="C715" s="1" t="n">
        <v>46196</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43068-2023</t>
        </is>
      </c>
      <c r="B716" s="1" t="n">
        <v>45182</v>
      </c>
      <c r="C716" s="1" t="n">
        <v>46196</v>
      </c>
      <c r="D716" t="inlineStr">
        <is>
          <t>KALMAR LÄN</t>
        </is>
      </c>
      <c r="E716" t="inlineStr">
        <is>
          <t>VIMMERBY</t>
        </is>
      </c>
      <c r="G716" t="n">
        <v>1.5</v>
      </c>
      <c r="H716" t="n">
        <v>0</v>
      </c>
      <c r="I716" t="n">
        <v>0</v>
      </c>
      <c r="J716" t="n">
        <v>0</v>
      </c>
      <c r="K716" t="n">
        <v>0</v>
      </c>
      <c r="L716" t="n">
        <v>0</v>
      </c>
      <c r="M716" t="n">
        <v>0</v>
      </c>
      <c r="N716" t="n">
        <v>0</v>
      </c>
      <c r="O716" t="n">
        <v>0</v>
      </c>
      <c r="P716" t="n">
        <v>0</v>
      </c>
      <c r="Q716" t="n">
        <v>0</v>
      </c>
      <c r="R716" s="2" t="inlineStr"/>
    </row>
    <row r="717" ht="15" customHeight="1">
      <c r="A717" t="inlineStr">
        <is>
          <t>A 18020-2025</t>
        </is>
      </c>
      <c r="B717" s="1" t="n">
        <v>45761</v>
      </c>
      <c r="C717" s="1" t="n">
        <v>46196</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33424-2023</t>
        </is>
      </c>
      <c r="B718" s="1" t="n">
        <v>45128</v>
      </c>
      <c r="C718" s="1" t="n">
        <v>46196</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33425-2023</t>
        </is>
      </c>
      <c r="B719" s="1" t="n">
        <v>45128</v>
      </c>
      <c r="C719" s="1" t="n">
        <v>46196</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12327-2023</t>
        </is>
      </c>
      <c r="B720" s="1" t="n">
        <v>44999</v>
      </c>
      <c r="C720" s="1" t="n">
        <v>46196</v>
      </c>
      <c r="D720" t="inlineStr">
        <is>
          <t>KALMAR LÄN</t>
        </is>
      </c>
      <c r="E720" t="inlineStr">
        <is>
          <t>VIMMERBY</t>
        </is>
      </c>
      <c r="G720" t="n">
        <v>1.2</v>
      </c>
      <c r="H720" t="n">
        <v>0</v>
      </c>
      <c r="I720" t="n">
        <v>0</v>
      </c>
      <c r="J720" t="n">
        <v>0</v>
      </c>
      <c r="K720" t="n">
        <v>0</v>
      </c>
      <c r="L720" t="n">
        <v>0</v>
      </c>
      <c r="M720" t="n">
        <v>0</v>
      </c>
      <c r="N720" t="n">
        <v>0</v>
      </c>
      <c r="O720" t="n">
        <v>0</v>
      </c>
      <c r="P720" t="n">
        <v>0</v>
      </c>
      <c r="Q720" t="n">
        <v>0</v>
      </c>
      <c r="R720" s="2" t="inlineStr"/>
    </row>
    <row r="721" ht="15" customHeight="1">
      <c r="A721" t="inlineStr">
        <is>
          <t>A 52435-2021</t>
        </is>
      </c>
      <c r="B721" s="1" t="n">
        <v>44466</v>
      </c>
      <c r="C721" s="1" t="n">
        <v>46196</v>
      </c>
      <c r="D721" t="inlineStr">
        <is>
          <t>KALMAR LÄN</t>
        </is>
      </c>
      <c r="E721" t="inlineStr">
        <is>
          <t>VIMMERBY</t>
        </is>
      </c>
      <c r="G721" t="n">
        <v>2.8</v>
      </c>
      <c r="H721" t="n">
        <v>0</v>
      </c>
      <c r="I721" t="n">
        <v>0</v>
      </c>
      <c r="J721" t="n">
        <v>0</v>
      </c>
      <c r="K721" t="n">
        <v>0</v>
      </c>
      <c r="L721" t="n">
        <v>0</v>
      </c>
      <c r="M721" t="n">
        <v>0</v>
      </c>
      <c r="N721" t="n">
        <v>0</v>
      </c>
      <c r="O721" t="n">
        <v>0</v>
      </c>
      <c r="P721" t="n">
        <v>0</v>
      </c>
      <c r="Q721" t="n">
        <v>0</v>
      </c>
      <c r="R721" s="2" t="inlineStr"/>
    </row>
    <row r="722" ht="15" customHeight="1">
      <c r="A722" t="inlineStr">
        <is>
          <t>A 35127-2024</t>
        </is>
      </c>
      <c r="B722" s="1" t="n">
        <v>45530</v>
      </c>
      <c r="C722" s="1" t="n">
        <v>46196</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29441-2024</t>
        </is>
      </c>
      <c r="B723" s="1" t="n">
        <v>45483</v>
      </c>
      <c r="C723" s="1" t="n">
        <v>46196</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62779-2023</t>
        </is>
      </c>
      <c r="B724" s="1" t="n">
        <v>45271</v>
      </c>
      <c r="C724" s="1" t="n">
        <v>46196</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31013-2023</t>
        </is>
      </c>
      <c r="B725" s="1" t="n">
        <v>45113</v>
      </c>
      <c r="C725" s="1" t="n">
        <v>46196</v>
      </c>
      <c r="D725" t="inlineStr">
        <is>
          <t>KALMAR LÄN</t>
        </is>
      </c>
      <c r="E725" t="inlineStr">
        <is>
          <t>VIMMERBY</t>
        </is>
      </c>
      <c r="G725" t="n">
        <v>1</v>
      </c>
      <c r="H725" t="n">
        <v>0</v>
      </c>
      <c r="I725" t="n">
        <v>0</v>
      </c>
      <c r="J725" t="n">
        <v>0</v>
      </c>
      <c r="K725" t="n">
        <v>0</v>
      </c>
      <c r="L725" t="n">
        <v>0</v>
      </c>
      <c r="M725" t="n">
        <v>0</v>
      </c>
      <c r="N725" t="n">
        <v>0</v>
      </c>
      <c r="O725" t="n">
        <v>0</v>
      </c>
      <c r="P725" t="n">
        <v>0</v>
      </c>
      <c r="Q725" t="n">
        <v>0</v>
      </c>
      <c r="R725" s="2" t="inlineStr"/>
    </row>
    <row r="726" ht="15" customHeight="1">
      <c r="A726" t="inlineStr">
        <is>
          <t>A 72067-2021</t>
        </is>
      </c>
      <c r="B726" s="1" t="n">
        <v>44540</v>
      </c>
      <c r="C726" s="1" t="n">
        <v>46196</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61538-2022</t>
        </is>
      </c>
      <c r="B727" s="1" t="n">
        <v>44916</v>
      </c>
      <c r="C727" s="1" t="n">
        <v>46196</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36155-2023</t>
        </is>
      </c>
      <c r="B728" s="1" t="n">
        <v>45149</v>
      </c>
      <c r="C728" s="1" t="n">
        <v>46196</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29173-2024</t>
        </is>
      </c>
      <c r="B729" s="1" t="n">
        <v>45482</v>
      </c>
      <c r="C729" s="1" t="n">
        <v>46196</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46196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6807-2025</t>
        </is>
      </c>
      <c r="B731" s="1" t="n">
        <v>45700</v>
      </c>
      <c r="C731" s="1" t="n">
        <v>46196</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7047-2022</t>
        </is>
      </c>
      <c r="B732" s="1" t="n">
        <v>44603</v>
      </c>
      <c r="C732" s="1" t="n">
        <v>46196</v>
      </c>
      <c r="D732" t="inlineStr">
        <is>
          <t>KALMAR LÄN</t>
        </is>
      </c>
      <c r="E732" t="inlineStr">
        <is>
          <t>VIMMERBY</t>
        </is>
      </c>
      <c r="G732" t="n">
        <v>0.6</v>
      </c>
      <c r="H732" t="n">
        <v>0</v>
      </c>
      <c r="I732" t="n">
        <v>0</v>
      </c>
      <c r="J732" t="n">
        <v>0</v>
      </c>
      <c r="K732" t="n">
        <v>0</v>
      </c>
      <c r="L732" t="n">
        <v>0</v>
      </c>
      <c r="M732" t="n">
        <v>0</v>
      </c>
      <c r="N732" t="n">
        <v>0</v>
      </c>
      <c r="O732" t="n">
        <v>0</v>
      </c>
      <c r="P732" t="n">
        <v>0</v>
      </c>
      <c r="Q732" t="n">
        <v>0</v>
      </c>
      <c r="R732" s="2" t="inlineStr"/>
    </row>
    <row r="733" ht="15" customHeight="1">
      <c r="A733" t="inlineStr">
        <is>
          <t>A 35711-2023</t>
        </is>
      </c>
      <c r="B733" s="1" t="n">
        <v>45147</v>
      </c>
      <c r="C733" s="1" t="n">
        <v>46196</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5382-2023</t>
        </is>
      </c>
      <c r="B734" s="1" t="n">
        <v>44959</v>
      </c>
      <c r="C734" s="1" t="n">
        <v>46196</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40823-2023</t>
        </is>
      </c>
      <c r="B735" s="1" t="n">
        <v>45171</v>
      </c>
      <c r="C735" s="1" t="n">
        <v>46196</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30920-2023</t>
        </is>
      </c>
      <c r="B736" s="1" t="n">
        <v>45113</v>
      </c>
      <c r="C736" s="1" t="n">
        <v>46196</v>
      </c>
      <c r="D736" t="inlineStr">
        <is>
          <t>KALMAR LÄN</t>
        </is>
      </c>
      <c r="E736" t="inlineStr">
        <is>
          <t>VIMMERBY</t>
        </is>
      </c>
      <c r="G736" t="n">
        <v>3.1</v>
      </c>
      <c r="H736" t="n">
        <v>0</v>
      </c>
      <c r="I736" t="n">
        <v>0</v>
      </c>
      <c r="J736" t="n">
        <v>0</v>
      </c>
      <c r="K736" t="n">
        <v>0</v>
      </c>
      <c r="L736" t="n">
        <v>0</v>
      </c>
      <c r="M736" t="n">
        <v>0</v>
      </c>
      <c r="N736" t="n">
        <v>0</v>
      </c>
      <c r="O736" t="n">
        <v>0</v>
      </c>
      <c r="P736" t="n">
        <v>0</v>
      </c>
      <c r="Q736" t="n">
        <v>0</v>
      </c>
      <c r="R736" s="2" t="inlineStr"/>
    </row>
    <row r="737" ht="15" customHeight="1">
      <c r="A737" t="inlineStr">
        <is>
          <t>A 6857-2023</t>
        </is>
      </c>
      <c r="B737" s="1" t="n">
        <v>44967</v>
      </c>
      <c r="C737" s="1" t="n">
        <v>46196</v>
      </c>
      <c r="D737" t="inlineStr">
        <is>
          <t>KALMAR LÄN</t>
        </is>
      </c>
      <c r="E737" t="inlineStr">
        <is>
          <t>VIMMERBY</t>
        </is>
      </c>
      <c r="G737" t="n">
        <v>2.1</v>
      </c>
      <c r="H737" t="n">
        <v>0</v>
      </c>
      <c r="I737" t="n">
        <v>0</v>
      </c>
      <c r="J737" t="n">
        <v>0</v>
      </c>
      <c r="K737" t="n">
        <v>0</v>
      </c>
      <c r="L737" t="n">
        <v>0</v>
      </c>
      <c r="M737" t="n">
        <v>0</v>
      </c>
      <c r="N737" t="n">
        <v>0</v>
      </c>
      <c r="O737" t="n">
        <v>0</v>
      </c>
      <c r="P737" t="n">
        <v>0</v>
      </c>
      <c r="Q737" t="n">
        <v>0</v>
      </c>
      <c r="R737" s="2" t="inlineStr"/>
    </row>
    <row r="738" ht="15" customHeight="1">
      <c r="A738" t="inlineStr">
        <is>
          <t>A 5792-2023</t>
        </is>
      </c>
      <c r="B738" s="1" t="n">
        <v>44963</v>
      </c>
      <c r="C738" s="1" t="n">
        <v>46196</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10303-2025</t>
        </is>
      </c>
      <c r="B739" s="1" t="n">
        <v>45720</v>
      </c>
      <c r="C739" s="1" t="n">
        <v>46196</v>
      </c>
      <c r="D739" t="inlineStr">
        <is>
          <t>KALMAR LÄN</t>
        </is>
      </c>
      <c r="E739" t="inlineStr">
        <is>
          <t>VIMMERBY</t>
        </is>
      </c>
      <c r="G739" t="n">
        <v>0.9</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46196</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6474-2025</t>
        </is>
      </c>
      <c r="B741" s="1" t="n">
        <v>45699</v>
      </c>
      <c r="C741" s="1" t="n">
        <v>46196</v>
      </c>
      <c r="D741" t="inlineStr">
        <is>
          <t>KALMAR LÄN</t>
        </is>
      </c>
      <c r="E741" t="inlineStr">
        <is>
          <t>VIMMERBY</t>
        </is>
      </c>
      <c r="G741" t="n">
        <v>1.6</v>
      </c>
      <c r="H741" t="n">
        <v>0</v>
      </c>
      <c r="I741" t="n">
        <v>0</v>
      </c>
      <c r="J741" t="n">
        <v>0</v>
      </c>
      <c r="K741" t="n">
        <v>0</v>
      </c>
      <c r="L741" t="n">
        <v>0</v>
      </c>
      <c r="M741" t="n">
        <v>0</v>
      </c>
      <c r="N741" t="n">
        <v>0</v>
      </c>
      <c r="O741" t="n">
        <v>0</v>
      </c>
      <c r="P741" t="n">
        <v>0</v>
      </c>
      <c r="Q741" t="n">
        <v>0</v>
      </c>
      <c r="R741" s="2" t="inlineStr"/>
    </row>
    <row r="742" ht="15" customHeight="1">
      <c r="A742" t="inlineStr">
        <is>
          <t>A 32919-2022</t>
        </is>
      </c>
      <c r="B742" s="1" t="n">
        <v>44784</v>
      </c>
      <c r="C742" s="1" t="n">
        <v>46196</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56659-2023</t>
        </is>
      </c>
      <c r="B743" s="1" t="n">
        <v>45243</v>
      </c>
      <c r="C743" s="1" t="n">
        <v>46196</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13015-2022</t>
        </is>
      </c>
      <c r="B744" s="1" t="n">
        <v>44643</v>
      </c>
      <c r="C744" s="1" t="n">
        <v>46196</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55436-2023</t>
        </is>
      </c>
      <c r="B745" s="1" t="n">
        <v>45238</v>
      </c>
      <c r="C745" s="1" t="n">
        <v>46196</v>
      </c>
      <c r="D745" t="inlineStr">
        <is>
          <t>KALMAR LÄN</t>
        </is>
      </c>
      <c r="E745" t="inlineStr">
        <is>
          <t>VIMMERBY</t>
        </is>
      </c>
      <c r="G745" t="n">
        <v>5.6</v>
      </c>
      <c r="H745" t="n">
        <v>0</v>
      </c>
      <c r="I745" t="n">
        <v>0</v>
      </c>
      <c r="J745" t="n">
        <v>0</v>
      </c>
      <c r="K745" t="n">
        <v>0</v>
      </c>
      <c r="L745" t="n">
        <v>0</v>
      </c>
      <c r="M745" t="n">
        <v>0</v>
      </c>
      <c r="N745" t="n">
        <v>0</v>
      </c>
      <c r="O745" t="n">
        <v>0</v>
      </c>
      <c r="P745" t="n">
        <v>0</v>
      </c>
      <c r="Q745" t="n">
        <v>0</v>
      </c>
      <c r="R745" s="2" t="inlineStr"/>
    </row>
    <row r="746" ht="15" customHeight="1">
      <c r="A746" t="inlineStr">
        <is>
          <t>A 56582-2022</t>
        </is>
      </c>
      <c r="B746" s="1" t="n">
        <v>44893</v>
      </c>
      <c r="C746" s="1" t="n">
        <v>46196</v>
      </c>
      <c r="D746" t="inlineStr">
        <is>
          <t>KALMAR LÄN</t>
        </is>
      </c>
      <c r="E746" t="inlineStr">
        <is>
          <t>VIMMERBY</t>
        </is>
      </c>
      <c r="G746" t="n">
        <v>2.2</v>
      </c>
      <c r="H746" t="n">
        <v>0</v>
      </c>
      <c r="I746" t="n">
        <v>0</v>
      </c>
      <c r="J746" t="n">
        <v>0</v>
      </c>
      <c r="K746" t="n">
        <v>0</v>
      </c>
      <c r="L746" t="n">
        <v>0</v>
      </c>
      <c r="M746" t="n">
        <v>0</v>
      </c>
      <c r="N746" t="n">
        <v>0</v>
      </c>
      <c r="O746" t="n">
        <v>0</v>
      </c>
      <c r="P746" t="n">
        <v>0</v>
      </c>
      <c r="Q746" t="n">
        <v>0</v>
      </c>
      <c r="R746" s="2" t="inlineStr"/>
    </row>
    <row r="747" ht="15" customHeight="1">
      <c r="A747" t="inlineStr">
        <is>
          <t>A 43962-2024</t>
        </is>
      </c>
      <c r="B747" s="1" t="n">
        <v>45572</v>
      </c>
      <c r="C747" s="1" t="n">
        <v>46196</v>
      </c>
      <c r="D747" t="inlineStr">
        <is>
          <t>KALMAR LÄN</t>
        </is>
      </c>
      <c r="E747" t="inlineStr">
        <is>
          <t>VIMMERBY</t>
        </is>
      </c>
      <c r="G747" t="n">
        <v>0.6</v>
      </c>
      <c r="H747" t="n">
        <v>0</v>
      </c>
      <c r="I747" t="n">
        <v>0</v>
      </c>
      <c r="J747" t="n">
        <v>0</v>
      </c>
      <c r="K747" t="n">
        <v>0</v>
      </c>
      <c r="L747" t="n">
        <v>0</v>
      </c>
      <c r="M747" t="n">
        <v>0</v>
      </c>
      <c r="N747" t="n">
        <v>0</v>
      </c>
      <c r="O747" t="n">
        <v>0</v>
      </c>
      <c r="P747" t="n">
        <v>0</v>
      </c>
      <c r="Q747" t="n">
        <v>0</v>
      </c>
      <c r="R747" s="2" t="inlineStr"/>
    </row>
    <row r="748" ht="15" customHeight="1">
      <c r="A748" t="inlineStr">
        <is>
          <t>A 35713-2023</t>
        </is>
      </c>
      <c r="B748" s="1" t="n">
        <v>45147</v>
      </c>
      <c r="C748" s="1" t="n">
        <v>46196</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40147-2023</t>
        </is>
      </c>
      <c r="B749" s="1" t="n">
        <v>45169</v>
      </c>
      <c r="C749" s="1" t="n">
        <v>46196</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50995-2022</t>
        </is>
      </c>
      <c r="B750" s="1" t="n">
        <v>44867</v>
      </c>
      <c r="C750" s="1" t="n">
        <v>46196</v>
      </c>
      <c r="D750" t="inlineStr">
        <is>
          <t>KALMAR LÄN</t>
        </is>
      </c>
      <c r="E750" t="inlineStr">
        <is>
          <t>VIMMERBY</t>
        </is>
      </c>
      <c r="G750" t="n">
        <v>2.4</v>
      </c>
      <c r="H750" t="n">
        <v>0</v>
      </c>
      <c r="I750" t="n">
        <v>0</v>
      </c>
      <c r="J750" t="n">
        <v>0</v>
      </c>
      <c r="K750" t="n">
        <v>0</v>
      </c>
      <c r="L750" t="n">
        <v>0</v>
      </c>
      <c r="M750" t="n">
        <v>0</v>
      </c>
      <c r="N750" t="n">
        <v>0</v>
      </c>
      <c r="O750" t="n">
        <v>0</v>
      </c>
      <c r="P750" t="n">
        <v>0</v>
      </c>
      <c r="Q750" t="n">
        <v>0</v>
      </c>
      <c r="R750" s="2" t="inlineStr"/>
    </row>
    <row r="751" ht="15" customHeight="1">
      <c r="A751" t="inlineStr">
        <is>
          <t>A 27993-2022</t>
        </is>
      </c>
      <c r="B751" s="1" t="n">
        <v>44745</v>
      </c>
      <c r="C751" s="1" t="n">
        <v>46196</v>
      </c>
      <c r="D751" t="inlineStr">
        <is>
          <t>KALMAR LÄN</t>
        </is>
      </c>
      <c r="E751" t="inlineStr">
        <is>
          <t>VIMMERBY</t>
        </is>
      </c>
      <c r="G751" t="n">
        <v>2.8</v>
      </c>
      <c r="H751" t="n">
        <v>0</v>
      </c>
      <c r="I751" t="n">
        <v>0</v>
      </c>
      <c r="J751" t="n">
        <v>0</v>
      </c>
      <c r="K751" t="n">
        <v>0</v>
      </c>
      <c r="L751" t="n">
        <v>0</v>
      </c>
      <c r="M751" t="n">
        <v>0</v>
      </c>
      <c r="N751" t="n">
        <v>0</v>
      </c>
      <c r="O751" t="n">
        <v>0</v>
      </c>
      <c r="P751" t="n">
        <v>0</v>
      </c>
      <c r="Q751" t="n">
        <v>0</v>
      </c>
      <c r="R751" s="2" t="inlineStr"/>
    </row>
    <row r="752" ht="15" customHeight="1">
      <c r="A752" t="inlineStr">
        <is>
          <t>A 57555-2024</t>
        </is>
      </c>
      <c r="B752" s="1" t="n">
        <v>45630</v>
      </c>
      <c r="C752" s="1" t="n">
        <v>46196</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36014-2024</t>
        </is>
      </c>
      <c r="B753" s="1" t="n">
        <v>45533</v>
      </c>
      <c r="C753" s="1" t="n">
        <v>46196</v>
      </c>
      <c r="D753" t="inlineStr">
        <is>
          <t>KALMAR LÄN</t>
        </is>
      </c>
      <c r="E753" t="inlineStr">
        <is>
          <t>VIMMERBY</t>
        </is>
      </c>
      <c r="G753" t="n">
        <v>2.3</v>
      </c>
      <c r="H753" t="n">
        <v>0</v>
      </c>
      <c r="I753" t="n">
        <v>0</v>
      </c>
      <c r="J753" t="n">
        <v>0</v>
      </c>
      <c r="K753" t="n">
        <v>0</v>
      </c>
      <c r="L753" t="n">
        <v>0</v>
      </c>
      <c r="M753" t="n">
        <v>0</v>
      </c>
      <c r="N753" t="n">
        <v>0</v>
      </c>
      <c r="O753" t="n">
        <v>0</v>
      </c>
      <c r="P753" t="n">
        <v>0</v>
      </c>
      <c r="Q753" t="n">
        <v>0</v>
      </c>
      <c r="R753" s="2" t="inlineStr"/>
    </row>
    <row r="754" ht="15" customHeight="1">
      <c r="A754" t="inlineStr">
        <is>
          <t>A 36030-2024</t>
        </is>
      </c>
      <c r="B754" s="1" t="n">
        <v>45533</v>
      </c>
      <c r="C754" s="1" t="n">
        <v>46196</v>
      </c>
      <c r="D754" t="inlineStr">
        <is>
          <t>KALMAR LÄN</t>
        </is>
      </c>
      <c r="E754" t="inlineStr">
        <is>
          <t>VIMMERBY</t>
        </is>
      </c>
      <c r="F754" t="inlineStr">
        <is>
          <t>Kommuner</t>
        </is>
      </c>
      <c r="G754" t="n">
        <v>4</v>
      </c>
      <c r="H754" t="n">
        <v>0</v>
      </c>
      <c r="I754" t="n">
        <v>0</v>
      </c>
      <c r="J754" t="n">
        <v>0</v>
      </c>
      <c r="K754" t="n">
        <v>0</v>
      </c>
      <c r="L754" t="n">
        <v>0</v>
      </c>
      <c r="M754" t="n">
        <v>0</v>
      </c>
      <c r="N754" t="n">
        <v>0</v>
      </c>
      <c r="O754" t="n">
        <v>0</v>
      </c>
      <c r="P754" t="n">
        <v>0</v>
      </c>
      <c r="Q754" t="n">
        <v>0</v>
      </c>
      <c r="R754" s="2" t="inlineStr"/>
    </row>
    <row r="755" ht="15" customHeight="1">
      <c r="A755" t="inlineStr">
        <is>
          <t>A 32865-2023</t>
        </is>
      </c>
      <c r="B755" s="1" t="n">
        <v>45124</v>
      </c>
      <c r="C755" s="1" t="n">
        <v>46196</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42918-2021</t>
        </is>
      </c>
      <c r="B756" s="1" t="n">
        <v>44431</v>
      </c>
      <c r="C756" s="1" t="n">
        <v>46196</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22643-2023</t>
        </is>
      </c>
      <c r="B757" s="1" t="n">
        <v>45071</v>
      </c>
      <c r="C757" s="1" t="n">
        <v>46196</v>
      </c>
      <c r="D757" t="inlineStr">
        <is>
          <t>KALMAR LÄN</t>
        </is>
      </c>
      <c r="E757" t="inlineStr">
        <is>
          <t>VIMMERBY</t>
        </is>
      </c>
      <c r="G757" t="n">
        <v>3.9</v>
      </c>
      <c r="H757" t="n">
        <v>0</v>
      </c>
      <c r="I757" t="n">
        <v>0</v>
      </c>
      <c r="J757" t="n">
        <v>0</v>
      </c>
      <c r="K757" t="n">
        <v>0</v>
      </c>
      <c r="L757" t="n">
        <v>0</v>
      </c>
      <c r="M757" t="n">
        <v>0</v>
      </c>
      <c r="N757" t="n">
        <v>0</v>
      </c>
      <c r="O757" t="n">
        <v>0</v>
      </c>
      <c r="P757" t="n">
        <v>0</v>
      </c>
      <c r="Q757" t="n">
        <v>0</v>
      </c>
      <c r="R757" s="2" t="inlineStr"/>
    </row>
    <row r="758" ht="15" customHeight="1">
      <c r="A758" t="inlineStr">
        <is>
          <t>A 38780-2021</t>
        </is>
      </c>
      <c r="B758" s="1" t="n">
        <v>44410</v>
      </c>
      <c r="C758" s="1" t="n">
        <v>46196</v>
      </c>
      <c r="D758" t="inlineStr">
        <is>
          <t>KALMAR LÄN</t>
        </is>
      </c>
      <c r="E758" t="inlineStr">
        <is>
          <t>VIMMERBY</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29020-2024</t>
        </is>
      </c>
      <c r="B759" s="1" t="n">
        <v>45481</v>
      </c>
      <c r="C759" s="1" t="n">
        <v>46196</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30406-2023</t>
        </is>
      </c>
      <c r="B760" s="1" t="n">
        <v>45111</v>
      </c>
      <c r="C760" s="1" t="n">
        <v>46196</v>
      </c>
      <c r="D760" t="inlineStr">
        <is>
          <t>KALMAR LÄN</t>
        </is>
      </c>
      <c r="E760" t="inlineStr">
        <is>
          <t>VIMMERBY</t>
        </is>
      </c>
      <c r="G760" t="n">
        <v>2.4</v>
      </c>
      <c r="H760" t="n">
        <v>0</v>
      </c>
      <c r="I760" t="n">
        <v>0</v>
      </c>
      <c r="J760" t="n">
        <v>0</v>
      </c>
      <c r="K760" t="n">
        <v>0</v>
      </c>
      <c r="L760" t="n">
        <v>0</v>
      </c>
      <c r="M760" t="n">
        <v>0</v>
      </c>
      <c r="N760" t="n">
        <v>0</v>
      </c>
      <c r="O760" t="n">
        <v>0</v>
      </c>
      <c r="P760" t="n">
        <v>0</v>
      </c>
      <c r="Q760" t="n">
        <v>0</v>
      </c>
      <c r="R760" s="2" t="inlineStr"/>
    </row>
    <row r="761">
      <c r="A761" t="inlineStr">
        <is>
          <t>A 13817-2024</t>
        </is>
      </c>
      <c r="B761" s="1" t="n">
        <v>45391</v>
      </c>
      <c r="C761" s="1" t="n">
        <v>46196</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2026-06-23T04:31:17Z</dcterms:created>
  <dcterms:modified xmlns:dcterms="http://purl.org/dc/terms/" xmlns:xsi="http://www.w3.org/2001/XMLSchema-instance" xsi:type="dcterms:W3CDTF">2026-06-23T04:31:18Z</dcterms:modified>
</cp:coreProperties>
</file>