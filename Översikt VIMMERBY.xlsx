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46184</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1023-2024</t>
        </is>
      </c>
      <c r="B7" s="1" t="n">
        <v>45301.67922453704</v>
      </c>
      <c r="C7" s="1" t="n">
        <v>46184</v>
      </c>
      <c r="D7" t="inlineStr">
        <is>
          <t>KALMAR LÄN</t>
        </is>
      </c>
      <c r="E7" t="inlineStr">
        <is>
          <t>VIMMERBY</t>
        </is>
      </c>
      <c r="G7" t="n">
        <v>4.4</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1023-2024 artfynd.xlsx", "A 1023-2024")</f>
        <v/>
      </c>
      <c r="T7">
        <f>HYPERLINK("https://klasma.github.io/Logging_0884/kartor/A 1023-2024 karta.png", "A 1023-2024")</f>
        <v/>
      </c>
      <c r="U7">
        <f>HYPERLINK("https://klasma.github.io/Logging_0884/knärot/A 1023-2024 karta knärot.png", "A 1023-2024")</f>
        <v/>
      </c>
      <c r="V7">
        <f>HYPERLINK("https://klasma.github.io/Logging_0884/klagomål/A 1023-2024 FSC-klagomål.docx", "A 1023-2024")</f>
        <v/>
      </c>
      <c r="W7">
        <f>HYPERLINK("https://klasma.github.io/Logging_0884/klagomålsmail/A 1023-2024 FSC-klagomål mail.docx", "A 1023-2024")</f>
        <v/>
      </c>
      <c r="X7">
        <f>HYPERLINK("https://klasma.github.io/Logging_0884/tillsyn/A 1023-2024 tillsynsbegäran.docx", "A 1023-2024")</f>
        <v/>
      </c>
      <c r="Y7">
        <f>HYPERLINK("https://klasma.github.io/Logging_0884/tillsynsmail/A 1023-2024 tillsynsbegäran mail.docx", "A 1023-2024")</f>
        <v/>
      </c>
      <c r="Z7">
        <f>HYPERLINK("https://klasma.github.io/Logging_0884/fåglar/A 1023-2024 prioriterade fågelarter.docx", "A 1023-2024")</f>
        <v/>
      </c>
    </row>
    <row r="8" ht="15" customHeight="1">
      <c r="A8" t="inlineStr">
        <is>
          <t>A 16954-2025</t>
        </is>
      </c>
      <c r="B8" s="1" t="n">
        <v>45755</v>
      </c>
      <c r="C8" s="1" t="n">
        <v>46184</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46184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3075-2025</t>
        </is>
      </c>
      <c r="B10" s="1" t="n">
        <v>45678</v>
      </c>
      <c r="C10" s="1" t="n">
        <v>46184</v>
      </c>
      <c r="D10" t="inlineStr">
        <is>
          <t>KALMAR LÄN</t>
        </is>
      </c>
      <c r="E10" t="inlineStr">
        <is>
          <t>VIMMERBY</t>
        </is>
      </c>
      <c r="G10" t="n">
        <v>4.5</v>
      </c>
      <c r="H10" t="n">
        <v>4</v>
      </c>
      <c r="I10" t="n">
        <v>0</v>
      </c>
      <c r="J10" t="n">
        <v>2</v>
      </c>
      <c r="K10" t="n">
        <v>1</v>
      </c>
      <c r="L10" t="n">
        <v>0</v>
      </c>
      <c r="M10" t="n">
        <v>0</v>
      </c>
      <c r="N10" t="n">
        <v>0</v>
      </c>
      <c r="O10" t="n">
        <v>3</v>
      </c>
      <c r="P10" t="n">
        <v>1</v>
      </c>
      <c r="Q10" t="n">
        <v>4</v>
      </c>
      <c r="R10" s="2" t="inlineStr">
        <is>
          <t>Knärot
Spillkråka
Talltita
Kungsfågel</t>
        </is>
      </c>
      <c r="S10">
        <f>HYPERLINK("https://klasma.github.io/Logging_0884/artfynd/A 3075-2025 artfynd.xlsx", "A 3075-2025")</f>
        <v/>
      </c>
      <c r="T10">
        <f>HYPERLINK("https://klasma.github.io/Logging_0884/kartor/A 3075-2025 karta.png", "A 3075-2025")</f>
        <v/>
      </c>
      <c r="U10">
        <f>HYPERLINK("https://klasma.github.io/Logging_0884/knärot/A 3075-2025 karta knärot.png", "A 3075-2025")</f>
        <v/>
      </c>
      <c r="V10">
        <f>HYPERLINK("https://klasma.github.io/Logging_0884/klagomål/A 3075-2025 FSC-klagomål.docx", "A 3075-2025")</f>
        <v/>
      </c>
      <c r="W10">
        <f>HYPERLINK("https://klasma.github.io/Logging_0884/klagomålsmail/A 3075-2025 FSC-klagomål mail.docx", "A 3075-2025")</f>
        <v/>
      </c>
      <c r="X10">
        <f>HYPERLINK("https://klasma.github.io/Logging_0884/tillsyn/A 3075-2025 tillsynsbegäran.docx", "A 3075-2025")</f>
        <v/>
      </c>
      <c r="Y10">
        <f>HYPERLINK("https://klasma.github.io/Logging_0884/tillsynsmail/A 3075-2025 tillsynsbegäran mail.docx", "A 3075-2025")</f>
        <v/>
      </c>
      <c r="Z10">
        <f>HYPERLINK("https://klasma.github.io/Logging_0884/fåglar/A 3075-2025 prioriterade fågelarter.docx", "A 3075-2025")</f>
        <v/>
      </c>
    </row>
    <row r="11" ht="15" customHeight="1">
      <c r="A11" t="inlineStr">
        <is>
          <t>A 32645-2023</t>
        </is>
      </c>
      <c r="B11" s="1" t="n">
        <v>45121.60543981481</v>
      </c>
      <c r="C11" s="1" t="n">
        <v>46184</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46824-2025</t>
        </is>
      </c>
      <c r="B12" s="1" t="n">
        <v>45926.90006944445</v>
      </c>
      <c r="C12" s="1" t="n">
        <v>46184</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46184</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46184</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46184</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46184</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46184</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46184</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46184</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2518-2023</t>
        </is>
      </c>
      <c r="B20" s="1" t="n">
        <v>44943</v>
      </c>
      <c r="C20" s="1" t="n">
        <v>46184</v>
      </c>
      <c r="D20" t="inlineStr">
        <is>
          <t>KALMAR LÄN</t>
        </is>
      </c>
      <c r="E20" t="inlineStr">
        <is>
          <t>VIMMERBY</t>
        </is>
      </c>
      <c r="G20" t="n">
        <v>6.1</v>
      </c>
      <c r="H20" t="n">
        <v>1</v>
      </c>
      <c r="I20" t="n">
        <v>1</v>
      </c>
      <c r="J20" t="n">
        <v>0</v>
      </c>
      <c r="K20" t="n">
        <v>1</v>
      </c>
      <c r="L20" t="n">
        <v>0</v>
      </c>
      <c r="M20" t="n">
        <v>0</v>
      </c>
      <c r="N20" t="n">
        <v>0</v>
      </c>
      <c r="O20" t="n">
        <v>1</v>
      </c>
      <c r="P20" t="n">
        <v>1</v>
      </c>
      <c r="Q20" t="n">
        <v>2</v>
      </c>
      <c r="R20" s="2" t="inlineStr">
        <is>
          <t>Knärot
Grönpyrola</t>
        </is>
      </c>
      <c r="S20">
        <f>HYPERLINK("https://klasma.github.io/Logging_0884/artfynd/A 2518-2023 artfynd.xlsx", "A 2518-2023")</f>
        <v/>
      </c>
      <c r="T20">
        <f>HYPERLINK("https://klasma.github.io/Logging_0884/kartor/A 2518-2023 karta.png", "A 2518-2023")</f>
        <v/>
      </c>
      <c r="U20">
        <f>HYPERLINK("https://klasma.github.io/Logging_0884/knärot/A 2518-2023 karta knärot.png", "A 2518-2023")</f>
        <v/>
      </c>
      <c r="V20">
        <f>HYPERLINK("https://klasma.github.io/Logging_0884/klagomål/A 2518-2023 FSC-klagomål.docx", "A 2518-2023")</f>
        <v/>
      </c>
      <c r="W20">
        <f>HYPERLINK("https://klasma.github.io/Logging_0884/klagomålsmail/A 2518-2023 FSC-klagomål mail.docx", "A 2518-2023")</f>
        <v/>
      </c>
      <c r="X20">
        <f>HYPERLINK("https://klasma.github.io/Logging_0884/tillsyn/A 2518-2023 tillsynsbegäran.docx", "A 2518-2023")</f>
        <v/>
      </c>
      <c r="Y20">
        <f>HYPERLINK("https://klasma.github.io/Logging_0884/tillsynsmail/A 2518-2023 tillsynsbegäran mail.docx", "A 2518-2023")</f>
        <v/>
      </c>
    </row>
    <row r="21" ht="15" customHeight="1">
      <c r="A21" t="inlineStr">
        <is>
          <t>A 42802-2025</t>
        </is>
      </c>
      <c r="B21" s="1" t="n">
        <v>45908</v>
      </c>
      <c r="C21" s="1" t="n">
        <v>46184</v>
      </c>
      <c r="D21" t="inlineStr">
        <is>
          <t>KALMAR LÄN</t>
        </is>
      </c>
      <c r="E21" t="inlineStr">
        <is>
          <t>VIMMERBY</t>
        </is>
      </c>
      <c r="G21" t="n">
        <v>2.8</v>
      </c>
      <c r="H21" t="n">
        <v>1</v>
      </c>
      <c r="I21" t="n">
        <v>1</v>
      </c>
      <c r="J21" t="n">
        <v>0</v>
      </c>
      <c r="K21" t="n">
        <v>0</v>
      </c>
      <c r="L21" t="n">
        <v>0</v>
      </c>
      <c r="M21" t="n">
        <v>0</v>
      </c>
      <c r="N21" t="n">
        <v>0</v>
      </c>
      <c r="O21" t="n">
        <v>0</v>
      </c>
      <c r="P21" t="n">
        <v>0</v>
      </c>
      <c r="Q21" t="n">
        <v>2</v>
      </c>
      <c r="R21" s="2" t="inlineStr">
        <is>
          <t>Tibast
Fläcknycklar</t>
        </is>
      </c>
      <c r="S21">
        <f>HYPERLINK("https://klasma.github.io/Logging_0884/artfynd/A 42802-2025 artfynd.xlsx", "A 42802-2025")</f>
        <v/>
      </c>
      <c r="T21">
        <f>HYPERLINK("https://klasma.github.io/Logging_0884/kartor/A 42802-2025 karta.png", "A 42802-2025")</f>
        <v/>
      </c>
      <c r="V21">
        <f>HYPERLINK("https://klasma.github.io/Logging_0884/klagomål/A 42802-2025 FSC-klagomål.docx", "A 42802-2025")</f>
        <v/>
      </c>
      <c r="W21">
        <f>HYPERLINK("https://klasma.github.io/Logging_0884/klagomålsmail/A 42802-2025 FSC-klagomål mail.docx", "A 42802-2025")</f>
        <v/>
      </c>
      <c r="X21">
        <f>HYPERLINK("https://klasma.github.io/Logging_0884/tillsyn/A 42802-2025 tillsynsbegäran.docx", "A 42802-2025")</f>
        <v/>
      </c>
      <c r="Y21">
        <f>HYPERLINK("https://klasma.github.io/Logging_0884/tillsynsmail/A 42802-2025 tillsynsbegäran mail.docx", "A 42802-2025")</f>
        <v/>
      </c>
    </row>
    <row r="22" ht="15" customHeight="1">
      <c r="A22" t="inlineStr">
        <is>
          <t>A 22825-2023</t>
        </is>
      </c>
      <c r="B22" s="1" t="n">
        <v>45072</v>
      </c>
      <c r="C22" s="1" t="n">
        <v>46184</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14426-2026</t>
        </is>
      </c>
      <c r="B23" s="1" t="n">
        <v>46100.46956018519</v>
      </c>
      <c r="C23" s="1" t="n">
        <v>46184</v>
      </c>
      <c r="D23" t="inlineStr">
        <is>
          <t>KALMAR LÄN</t>
        </is>
      </c>
      <c r="E23" t="inlineStr">
        <is>
          <t>VIMMERBY</t>
        </is>
      </c>
      <c r="F23" t="inlineStr">
        <is>
          <t>Kyrkan</t>
        </is>
      </c>
      <c r="G23" t="n">
        <v>8.6</v>
      </c>
      <c r="H23" t="n">
        <v>1</v>
      </c>
      <c r="I23" t="n">
        <v>0</v>
      </c>
      <c r="J23" t="n">
        <v>1</v>
      </c>
      <c r="K23" t="n">
        <v>1</v>
      </c>
      <c r="L23" t="n">
        <v>0</v>
      </c>
      <c r="M23" t="n">
        <v>0</v>
      </c>
      <c r="N23" t="n">
        <v>0</v>
      </c>
      <c r="O23" t="n">
        <v>2</v>
      </c>
      <c r="P23" t="n">
        <v>1</v>
      </c>
      <c r="Q23" t="n">
        <v>2</v>
      </c>
      <c r="R23" s="2" t="inlineStr">
        <is>
          <t>Knärot
Tallticka</t>
        </is>
      </c>
      <c r="S23">
        <f>HYPERLINK("https://klasma.github.io/Logging_0884/artfynd/A 14426-2026 artfynd.xlsx", "A 14426-2026")</f>
        <v/>
      </c>
      <c r="T23">
        <f>HYPERLINK("https://klasma.github.io/Logging_0884/kartor/A 14426-2026 karta.png", "A 14426-2026")</f>
        <v/>
      </c>
      <c r="U23">
        <f>HYPERLINK("https://klasma.github.io/Logging_0884/knärot/A 14426-2026 karta knärot.png", "A 14426-2026")</f>
        <v/>
      </c>
      <c r="V23">
        <f>HYPERLINK("https://klasma.github.io/Logging_0884/klagomål/A 14426-2026 FSC-klagomål.docx", "A 14426-2026")</f>
        <v/>
      </c>
      <c r="W23">
        <f>HYPERLINK("https://klasma.github.io/Logging_0884/klagomålsmail/A 14426-2026 FSC-klagomål mail.docx", "A 14426-2026")</f>
        <v/>
      </c>
      <c r="X23">
        <f>HYPERLINK("https://klasma.github.io/Logging_0884/tillsyn/A 14426-2026 tillsynsbegäran.docx", "A 14426-2026")</f>
        <v/>
      </c>
      <c r="Y23">
        <f>HYPERLINK("https://klasma.github.io/Logging_0884/tillsynsmail/A 14426-2026 tillsynsbegäran mail.docx", "A 14426-2026")</f>
        <v/>
      </c>
    </row>
    <row r="24" ht="15" customHeight="1">
      <c r="A24" t="inlineStr">
        <is>
          <t>A 25155-2026</t>
        </is>
      </c>
      <c r="B24" s="1" t="n">
        <v>46175.44809027778</v>
      </c>
      <c r="C24" s="1" t="n">
        <v>46184</v>
      </c>
      <c r="D24" t="inlineStr">
        <is>
          <t>KALMAR LÄN</t>
        </is>
      </c>
      <c r="E24" t="inlineStr">
        <is>
          <t>VIMMERBY</t>
        </is>
      </c>
      <c r="G24" t="n">
        <v>2.9</v>
      </c>
      <c r="H24" t="n">
        <v>0</v>
      </c>
      <c r="I24" t="n">
        <v>1</v>
      </c>
      <c r="J24" t="n">
        <v>0</v>
      </c>
      <c r="K24" t="n">
        <v>0</v>
      </c>
      <c r="L24" t="n">
        <v>1</v>
      </c>
      <c r="M24" t="n">
        <v>0</v>
      </c>
      <c r="N24" t="n">
        <v>0</v>
      </c>
      <c r="O24" t="n">
        <v>1</v>
      </c>
      <c r="P24" t="n">
        <v>1</v>
      </c>
      <c r="Q24" t="n">
        <v>2</v>
      </c>
      <c r="R24" s="2" t="inlineStr">
        <is>
          <t>Ryl
Grönpyrola</t>
        </is>
      </c>
      <c r="S24">
        <f>HYPERLINK("https://klasma.github.io/Logging_0884/artfynd/A 25155-2026 artfynd.xlsx", "A 25155-2026")</f>
        <v/>
      </c>
      <c r="T24">
        <f>HYPERLINK("https://klasma.github.io/Logging_0884/kartor/A 25155-2026 karta.png", "A 25155-2026")</f>
        <v/>
      </c>
      <c r="V24">
        <f>HYPERLINK("https://klasma.github.io/Logging_0884/klagomål/A 25155-2026 FSC-klagomål.docx", "A 25155-2026")</f>
        <v/>
      </c>
      <c r="W24">
        <f>HYPERLINK("https://klasma.github.io/Logging_0884/klagomålsmail/A 25155-2026 FSC-klagomål mail.docx", "A 25155-2026")</f>
        <v/>
      </c>
      <c r="X24">
        <f>HYPERLINK("https://klasma.github.io/Logging_0884/tillsyn/A 25155-2026 tillsynsbegäran.docx", "A 25155-2026")</f>
        <v/>
      </c>
      <c r="Y24">
        <f>HYPERLINK("https://klasma.github.io/Logging_0884/tillsynsmail/A 25155-2026 tillsynsbegäran mail.docx", "A 25155-2026")</f>
        <v/>
      </c>
    </row>
    <row r="25" ht="15" customHeight="1">
      <c r="A25" t="inlineStr">
        <is>
          <t>A 22396-2025</t>
        </is>
      </c>
      <c r="B25" s="1" t="n">
        <v>45786.52827546297</v>
      </c>
      <c r="C25" s="1" t="n">
        <v>46184</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46184</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46184</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46184</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46184</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28852-2023</t>
        </is>
      </c>
      <c r="B30" s="1" t="n">
        <v>45104</v>
      </c>
      <c r="C30" s="1" t="n">
        <v>46184</v>
      </c>
      <c r="D30" t="inlineStr">
        <is>
          <t>KALMAR LÄN</t>
        </is>
      </c>
      <c r="E30" t="inlineStr">
        <is>
          <t>VIMMERBY</t>
        </is>
      </c>
      <c r="G30" t="n">
        <v>0.7</v>
      </c>
      <c r="H30" t="n">
        <v>0</v>
      </c>
      <c r="I30" t="n">
        <v>1</v>
      </c>
      <c r="J30" t="n">
        <v>0</v>
      </c>
      <c r="K30" t="n">
        <v>0</v>
      </c>
      <c r="L30" t="n">
        <v>0</v>
      </c>
      <c r="M30" t="n">
        <v>0</v>
      </c>
      <c r="N30" t="n">
        <v>0</v>
      </c>
      <c r="O30" t="n">
        <v>0</v>
      </c>
      <c r="P30" t="n">
        <v>0</v>
      </c>
      <c r="Q30" t="n">
        <v>1</v>
      </c>
      <c r="R30" s="2" t="inlineStr">
        <is>
          <t>Tibast</t>
        </is>
      </c>
      <c r="S30">
        <f>HYPERLINK("https://klasma.github.io/Logging_0884/artfynd/A 28852-2023 artfynd.xlsx", "A 28852-2023")</f>
        <v/>
      </c>
      <c r="T30">
        <f>HYPERLINK("https://klasma.github.io/Logging_0884/kartor/A 28852-2023 karta.png", "A 28852-2023")</f>
        <v/>
      </c>
      <c r="V30">
        <f>HYPERLINK("https://klasma.github.io/Logging_0884/klagomål/A 28852-2023 FSC-klagomål.docx", "A 28852-2023")</f>
        <v/>
      </c>
      <c r="W30">
        <f>HYPERLINK("https://klasma.github.io/Logging_0884/klagomålsmail/A 28852-2023 FSC-klagomål mail.docx", "A 28852-2023")</f>
        <v/>
      </c>
      <c r="X30">
        <f>HYPERLINK("https://klasma.github.io/Logging_0884/tillsyn/A 28852-2023 tillsynsbegäran.docx", "A 28852-2023")</f>
        <v/>
      </c>
      <c r="Y30">
        <f>HYPERLINK("https://klasma.github.io/Logging_0884/tillsynsmail/A 28852-2023 tillsynsbegäran mail.docx", "A 28852-2023")</f>
        <v/>
      </c>
    </row>
    <row r="31" ht="15" customHeight="1">
      <c r="A31" t="inlineStr">
        <is>
          <t>A 29183-2025</t>
        </is>
      </c>
      <c r="B31" s="1" t="n">
        <v>45821</v>
      </c>
      <c r="C31" s="1" t="n">
        <v>46184</v>
      </c>
      <c r="D31" t="inlineStr">
        <is>
          <t>KALMAR LÄN</t>
        </is>
      </c>
      <c r="E31" t="inlineStr">
        <is>
          <t>VIMMERBY</t>
        </is>
      </c>
      <c r="G31" t="n">
        <v>2.7</v>
      </c>
      <c r="H31" t="n">
        <v>0</v>
      </c>
      <c r="I31" t="n">
        <v>1</v>
      </c>
      <c r="J31" t="n">
        <v>0</v>
      </c>
      <c r="K31" t="n">
        <v>0</v>
      </c>
      <c r="L31" t="n">
        <v>0</v>
      </c>
      <c r="M31" t="n">
        <v>0</v>
      </c>
      <c r="N31" t="n">
        <v>0</v>
      </c>
      <c r="O31" t="n">
        <v>0</v>
      </c>
      <c r="P31" t="n">
        <v>0</v>
      </c>
      <c r="Q31" t="n">
        <v>1</v>
      </c>
      <c r="R31" s="2" t="inlineStr">
        <is>
          <t>Sårläka</t>
        </is>
      </c>
      <c r="S31">
        <f>HYPERLINK("https://klasma.github.io/Logging_0884/artfynd/A 29183-2025 artfynd.xlsx", "A 29183-2025")</f>
        <v/>
      </c>
      <c r="T31">
        <f>HYPERLINK("https://klasma.github.io/Logging_0884/kartor/A 29183-2025 karta.png", "A 29183-2025")</f>
        <v/>
      </c>
      <c r="V31">
        <f>HYPERLINK("https://klasma.github.io/Logging_0884/klagomål/A 29183-2025 FSC-klagomål.docx", "A 29183-2025")</f>
        <v/>
      </c>
      <c r="W31">
        <f>HYPERLINK("https://klasma.github.io/Logging_0884/klagomålsmail/A 29183-2025 FSC-klagomål mail.docx", "A 29183-2025")</f>
        <v/>
      </c>
      <c r="X31">
        <f>HYPERLINK("https://klasma.github.io/Logging_0884/tillsyn/A 29183-2025 tillsynsbegäran.docx", "A 29183-2025")</f>
        <v/>
      </c>
      <c r="Y31">
        <f>HYPERLINK("https://klasma.github.io/Logging_0884/tillsynsmail/A 29183-2025 tillsynsbegäran mail.docx", "A 29183-2025")</f>
        <v/>
      </c>
    </row>
    <row r="32" ht="15" customHeight="1">
      <c r="A32" t="inlineStr">
        <is>
          <t>A 52301-2023</t>
        </is>
      </c>
      <c r="B32" s="1" t="n">
        <v>45224</v>
      </c>
      <c r="C32" s="1" t="n">
        <v>46184</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53404-2025</t>
        </is>
      </c>
      <c r="B33" s="1" t="n">
        <v>45959.57126157408</v>
      </c>
      <c r="C33" s="1" t="n">
        <v>46184</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53404-2025 artfynd.xlsx", "A 53404-2025")</f>
        <v/>
      </c>
      <c r="T33">
        <f>HYPERLINK("https://klasma.github.io/Logging_0884/kartor/A 53404-2025 karta.png", "A 53404-2025")</f>
        <v/>
      </c>
      <c r="U33">
        <f>HYPERLINK("https://klasma.github.io/Logging_0884/knärot/A 53404-2025 karta knärot.png", "A 53404-2025")</f>
        <v/>
      </c>
      <c r="V33">
        <f>HYPERLINK("https://klasma.github.io/Logging_0884/klagomål/A 53404-2025 FSC-klagomål.docx", "A 53404-2025")</f>
        <v/>
      </c>
      <c r="W33">
        <f>HYPERLINK("https://klasma.github.io/Logging_0884/klagomålsmail/A 53404-2025 FSC-klagomål mail.docx", "A 53404-2025")</f>
        <v/>
      </c>
      <c r="X33">
        <f>HYPERLINK("https://klasma.github.io/Logging_0884/tillsyn/A 53404-2025 tillsynsbegäran.docx", "A 53404-2025")</f>
        <v/>
      </c>
      <c r="Y33">
        <f>HYPERLINK("https://klasma.github.io/Logging_0884/tillsynsmail/A 53404-2025 tillsynsbegäran mail.docx", "A 53404-2025")</f>
        <v/>
      </c>
    </row>
    <row r="34" ht="15" customHeight="1">
      <c r="A34" t="inlineStr">
        <is>
          <t>A 40083-2023</t>
        </is>
      </c>
      <c r="B34" s="1" t="n">
        <v>45168</v>
      </c>
      <c r="C34" s="1" t="n">
        <v>46184</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46184</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57062-2025</t>
        </is>
      </c>
      <c r="B36" s="1" t="n">
        <v>45979.37598379629</v>
      </c>
      <c r="C36" s="1" t="n">
        <v>46184</v>
      </c>
      <c r="D36" t="inlineStr">
        <is>
          <t>KALMAR LÄN</t>
        </is>
      </c>
      <c r="E36" t="inlineStr">
        <is>
          <t>VIMMERBY</t>
        </is>
      </c>
      <c r="F36" t="inlineStr">
        <is>
          <t>Sveaskog</t>
        </is>
      </c>
      <c r="G36" t="n">
        <v>4.9</v>
      </c>
      <c r="H36" t="n">
        <v>1</v>
      </c>
      <c r="I36" t="n">
        <v>0</v>
      </c>
      <c r="J36" t="n">
        <v>0</v>
      </c>
      <c r="K36" t="n">
        <v>1</v>
      </c>
      <c r="L36" t="n">
        <v>0</v>
      </c>
      <c r="M36" t="n">
        <v>0</v>
      </c>
      <c r="N36" t="n">
        <v>0</v>
      </c>
      <c r="O36" t="n">
        <v>1</v>
      </c>
      <c r="P36" t="n">
        <v>1</v>
      </c>
      <c r="Q36" t="n">
        <v>1</v>
      </c>
      <c r="R36" s="2" t="inlineStr">
        <is>
          <t>Knärot</t>
        </is>
      </c>
      <c r="S36">
        <f>HYPERLINK("https://klasma.github.io/Logging_0884/artfynd/A 57062-2025 artfynd.xlsx", "A 57062-2025")</f>
        <v/>
      </c>
      <c r="T36">
        <f>HYPERLINK("https://klasma.github.io/Logging_0884/kartor/A 57062-2025 karta.png", "A 57062-2025")</f>
        <v/>
      </c>
      <c r="U36">
        <f>HYPERLINK("https://klasma.github.io/Logging_0884/knärot/A 57062-2025 karta knärot.png", "A 57062-2025")</f>
        <v/>
      </c>
      <c r="V36">
        <f>HYPERLINK("https://klasma.github.io/Logging_0884/klagomål/A 57062-2025 FSC-klagomål.docx", "A 57062-2025")</f>
        <v/>
      </c>
      <c r="W36">
        <f>HYPERLINK("https://klasma.github.io/Logging_0884/klagomålsmail/A 57062-2025 FSC-klagomål mail.docx", "A 57062-2025")</f>
        <v/>
      </c>
      <c r="X36">
        <f>HYPERLINK("https://klasma.github.io/Logging_0884/tillsyn/A 57062-2025 tillsynsbegäran.docx", "A 57062-2025")</f>
        <v/>
      </c>
      <c r="Y36">
        <f>HYPERLINK("https://klasma.github.io/Logging_0884/tillsynsmail/A 57062-2025 tillsynsbegäran mail.docx", "A 57062-2025")</f>
        <v/>
      </c>
    </row>
    <row r="37" ht="15" customHeight="1">
      <c r="A37" t="inlineStr">
        <is>
          <t>A 23602-2023</t>
        </is>
      </c>
      <c r="B37" s="1" t="n">
        <v>45077</v>
      </c>
      <c r="C37" s="1" t="n">
        <v>46184</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32985-2023</t>
        </is>
      </c>
      <c r="B38" s="1" t="n">
        <v>45125</v>
      </c>
      <c r="C38" s="1" t="n">
        <v>46184</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15122-2024</t>
        </is>
      </c>
      <c r="B39" s="1" t="n">
        <v>45399.71412037037</v>
      </c>
      <c r="C39" s="1" t="n">
        <v>46184</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61860-2024</t>
        </is>
      </c>
      <c r="B40" s="1" t="n">
        <v>45649</v>
      </c>
      <c r="C40" s="1" t="n">
        <v>46184</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37930-2021</t>
        </is>
      </c>
      <c r="B41" s="1" t="n">
        <v>44403</v>
      </c>
      <c r="C41" s="1" t="n">
        <v>46184</v>
      </c>
      <c r="D41" t="inlineStr">
        <is>
          <t>KALMAR LÄN</t>
        </is>
      </c>
      <c r="E41" t="inlineStr">
        <is>
          <t>VIMMERBY</t>
        </is>
      </c>
      <c r="G41" t="n">
        <v>4.4</v>
      </c>
      <c r="H41" t="n">
        <v>0</v>
      </c>
      <c r="I41" t="n">
        <v>0</v>
      </c>
      <c r="J41" t="n">
        <v>1</v>
      </c>
      <c r="K41" t="n">
        <v>0</v>
      </c>
      <c r="L41" t="n">
        <v>0</v>
      </c>
      <c r="M41" t="n">
        <v>0</v>
      </c>
      <c r="N41" t="n">
        <v>0</v>
      </c>
      <c r="O41" t="n">
        <v>1</v>
      </c>
      <c r="P41" t="n">
        <v>0</v>
      </c>
      <c r="Q41" t="n">
        <v>1</v>
      </c>
      <c r="R41" s="2" t="inlineStr">
        <is>
          <t>Spindelört</t>
        </is>
      </c>
      <c r="S41">
        <f>HYPERLINK("https://klasma.github.io/Logging_0884/artfynd/A 37930-2021 artfynd.xlsx", "A 37930-2021")</f>
        <v/>
      </c>
      <c r="T41">
        <f>HYPERLINK("https://klasma.github.io/Logging_0884/kartor/A 37930-2021 karta.png", "A 37930-2021")</f>
        <v/>
      </c>
      <c r="V41">
        <f>HYPERLINK("https://klasma.github.io/Logging_0884/klagomål/A 37930-2021 FSC-klagomål.docx", "A 37930-2021")</f>
        <v/>
      </c>
      <c r="W41">
        <f>HYPERLINK("https://klasma.github.io/Logging_0884/klagomålsmail/A 37930-2021 FSC-klagomål mail.docx", "A 37930-2021")</f>
        <v/>
      </c>
      <c r="X41">
        <f>HYPERLINK("https://klasma.github.io/Logging_0884/tillsyn/A 37930-2021 tillsynsbegäran.docx", "A 37930-2021")</f>
        <v/>
      </c>
      <c r="Y41">
        <f>HYPERLINK("https://klasma.github.io/Logging_0884/tillsynsmail/A 37930-2021 tillsynsbegäran mail.docx", "A 37930-2021")</f>
        <v/>
      </c>
    </row>
    <row r="42" ht="15" customHeight="1">
      <c r="A42" t="inlineStr">
        <is>
          <t>A 33436-2021</t>
        </is>
      </c>
      <c r="B42" s="1" t="n">
        <v>44377.61104166666</v>
      </c>
      <c r="C42" s="1" t="n">
        <v>46184</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1201-2025</t>
        </is>
      </c>
      <c r="B43" s="1" t="n">
        <v>45667</v>
      </c>
      <c r="C43" s="1" t="n">
        <v>46184</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44515-2024</t>
        </is>
      </c>
      <c r="B44" s="1" t="n">
        <v>45574.42767361111</v>
      </c>
      <c r="C44" s="1" t="n">
        <v>46184</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59070-2021</t>
        </is>
      </c>
      <c r="B45" s="1" t="n">
        <v>44490.38613425926</v>
      </c>
      <c r="C45" s="1" t="n">
        <v>46184</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46184</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32607-2021</t>
        </is>
      </c>
      <c r="B47" s="1" t="n">
        <v>44375.39033564815</v>
      </c>
      <c r="C47" s="1" t="n">
        <v>46184</v>
      </c>
      <c r="D47" t="inlineStr">
        <is>
          <t>KALMAR LÄN</t>
        </is>
      </c>
      <c r="E47" t="inlineStr">
        <is>
          <t>VIMMERBY</t>
        </is>
      </c>
      <c r="G47" t="n">
        <v>0.4</v>
      </c>
      <c r="H47" t="n">
        <v>0</v>
      </c>
      <c r="I47" t="n">
        <v>0</v>
      </c>
      <c r="J47" t="n">
        <v>0</v>
      </c>
      <c r="K47" t="n">
        <v>0</v>
      </c>
      <c r="L47" t="n">
        <v>0</v>
      </c>
      <c r="M47" t="n">
        <v>0</v>
      </c>
      <c r="N47" t="n">
        <v>0</v>
      </c>
      <c r="O47" t="n">
        <v>0</v>
      </c>
      <c r="P47" t="n">
        <v>0</v>
      </c>
      <c r="Q47" t="n">
        <v>0</v>
      </c>
      <c r="R47" s="2" t="inlineStr"/>
    </row>
    <row r="48" ht="15" customHeight="1">
      <c r="A48" t="inlineStr">
        <is>
          <t>A 8908-2022</t>
        </is>
      </c>
      <c r="B48" s="1" t="n">
        <v>44614</v>
      </c>
      <c r="C48" s="1" t="n">
        <v>46184</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16283-2022</t>
        </is>
      </c>
      <c r="B49" s="1" t="n">
        <v>44670</v>
      </c>
      <c r="C49" s="1" t="n">
        <v>46184</v>
      </c>
      <c r="D49" t="inlineStr">
        <is>
          <t>KALMAR LÄN</t>
        </is>
      </c>
      <c r="E49" t="inlineStr">
        <is>
          <t>VIMMERBY</t>
        </is>
      </c>
      <c r="G49" t="n">
        <v>1.4</v>
      </c>
      <c r="H49" t="n">
        <v>0</v>
      </c>
      <c r="I49" t="n">
        <v>0</v>
      </c>
      <c r="J49" t="n">
        <v>0</v>
      </c>
      <c r="K49" t="n">
        <v>0</v>
      </c>
      <c r="L49" t="n">
        <v>0</v>
      </c>
      <c r="M49" t="n">
        <v>0</v>
      </c>
      <c r="N49" t="n">
        <v>0</v>
      </c>
      <c r="O49" t="n">
        <v>0</v>
      </c>
      <c r="P49" t="n">
        <v>0</v>
      </c>
      <c r="Q49" t="n">
        <v>0</v>
      </c>
      <c r="R49" s="2" t="inlineStr"/>
    </row>
    <row r="50" ht="15" customHeight="1">
      <c r="A50" t="inlineStr">
        <is>
          <t>A 16288-2022</t>
        </is>
      </c>
      <c r="B50" s="1" t="n">
        <v>44670</v>
      </c>
      <c r="C50" s="1" t="n">
        <v>46184</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56754-2021</t>
        </is>
      </c>
      <c r="B51" s="1" t="n">
        <v>44481.47483796296</v>
      </c>
      <c r="C51" s="1" t="n">
        <v>46184</v>
      </c>
      <c r="D51" t="inlineStr">
        <is>
          <t>KALMAR LÄN</t>
        </is>
      </c>
      <c r="E51" t="inlineStr">
        <is>
          <t>VIMMERBY</t>
        </is>
      </c>
      <c r="G51" t="n">
        <v>1.4</v>
      </c>
      <c r="H51" t="n">
        <v>0</v>
      </c>
      <c r="I51" t="n">
        <v>0</v>
      </c>
      <c r="J51" t="n">
        <v>0</v>
      </c>
      <c r="K51" t="n">
        <v>0</v>
      </c>
      <c r="L51" t="n">
        <v>0</v>
      </c>
      <c r="M51" t="n">
        <v>0</v>
      </c>
      <c r="N51" t="n">
        <v>0</v>
      </c>
      <c r="O51" t="n">
        <v>0</v>
      </c>
      <c r="P51" t="n">
        <v>0</v>
      </c>
      <c r="Q51" t="n">
        <v>0</v>
      </c>
      <c r="R51" s="2" t="inlineStr"/>
    </row>
    <row r="52" ht="15" customHeight="1">
      <c r="A52" t="inlineStr">
        <is>
          <t>A 63926-2021</t>
        </is>
      </c>
      <c r="B52" s="1" t="n">
        <v>44509</v>
      </c>
      <c r="C52" s="1" t="n">
        <v>46184</v>
      </c>
      <c r="D52" t="inlineStr">
        <is>
          <t>KALMAR LÄN</t>
        </is>
      </c>
      <c r="E52" t="inlineStr">
        <is>
          <t>VIMMERBY</t>
        </is>
      </c>
      <c r="G52" t="n">
        <v>0.7</v>
      </c>
      <c r="H52" t="n">
        <v>0</v>
      </c>
      <c r="I52" t="n">
        <v>0</v>
      </c>
      <c r="J52" t="n">
        <v>0</v>
      </c>
      <c r="K52" t="n">
        <v>0</v>
      </c>
      <c r="L52" t="n">
        <v>0</v>
      </c>
      <c r="M52" t="n">
        <v>0</v>
      </c>
      <c r="N52" t="n">
        <v>0</v>
      </c>
      <c r="O52" t="n">
        <v>0</v>
      </c>
      <c r="P52" t="n">
        <v>0</v>
      </c>
      <c r="Q52" t="n">
        <v>0</v>
      </c>
      <c r="R52" s="2" t="inlineStr"/>
    </row>
    <row r="53" ht="15" customHeight="1">
      <c r="A53" t="inlineStr">
        <is>
          <t>A 38348-2021</t>
        </is>
      </c>
      <c r="B53" s="1" t="n">
        <v>44406</v>
      </c>
      <c r="C53" s="1" t="n">
        <v>46184</v>
      </c>
      <c r="D53" t="inlineStr">
        <is>
          <t>KALMAR LÄN</t>
        </is>
      </c>
      <c r="E53" t="inlineStr">
        <is>
          <t>VIMMERBY</t>
        </is>
      </c>
      <c r="G53" t="n">
        <v>2.2</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46184</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46184</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46184</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46184</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46184</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41438-2022</t>
        </is>
      </c>
      <c r="B59" s="1" t="n">
        <v>44826.68010416667</v>
      </c>
      <c r="C59" s="1" t="n">
        <v>46184</v>
      </c>
      <c r="D59" t="inlineStr">
        <is>
          <t>KALMAR LÄN</t>
        </is>
      </c>
      <c r="E59" t="inlineStr">
        <is>
          <t>VIMMERBY</t>
        </is>
      </c>
      <c r="G59" t="n">
        <v>3.1</v>
      </c>
      <c r="H59" t="n">
        <v>0</v>
      </c>
      <c r="I59" t="n">
        <v>0</v>
      </c>
      <c r="J59" t="n">
        <v>0</v>
      </c>
      <c r="K59" t="n">
        <v>0</v>
      </c>
      <c r="L59" t="n">
        <v>0</v>
      </c>
      <c r="M59" t="n">
        <v>0</v>
      </c>
      <c r="N59" t="n">
        <v>0</v>
      </c>
      <c r="O59" t="n">
        <v>0</v>
      </c>
      <c r="P59" t="n">
        <v>0</v>
      </c>
      <c r="Q59" t="n">
        <v>0</v>
      </c>
      <c r="R59" s="2" t="inlineStr"/>
    </row>
    <row r="60" ht="15" customHeight="1">
      <c r="A60" t="inlineStr">
        <is>
          <t>A 2183-2022</t>
        </is>
      </c>
      <c r="B60" s="1" t="n">
        <v>44578.47597222222</v>
      </c>
      <c r="C60" s="1" t="n">
        <v>46184</v>
      </c>
      <c r="D60" t="inlineStr">
        <is>
          <t>KALMAR LÄN</t>
        </is>
      </c>
      <c r="E60" t="inlineStr">
        <is>
          <t>VIMMERBY</t>
        </is>
      </c>
      <c r="G60" t="n">
        <v>4.8</v>
      </c>
      <c r="H60" t="n">
        <v>0</v>
      </c>
      <c r="I60" t="n">
        <v>0</v>
      </c>
      <c r="J60" t="n">
        <v>0</v>
      </c>
      <c r="K60" t="n">
        <v>0</v>
      </c>
      <c r="L60" t="n">
        <v>0</v>
      </c>
      <c r="M60" t="n">
        <v>0</v>
      </c>
      <c r="N60" t="n">
        <v>0</v>
      </c>
      <c r="O60" t="n">
        <v>0</v>
      </c>
      <c r="P60" t="n">
        <v>0</v>
      </c>
      <c r="Q60" t="n">
        <v>0</v>
      </c>
      <c r="R60" s="2" t="inlineStr"/>
    </row>
    <row r="61" ht="15" customHeight="1">
      <c r="A61" t="inlineStr">
        <is>
          <t>A 65670-2021</t>
        </is>
      </c>
      <c r="B61" s="1" t="n">
        <v>44516.59703703703</v>
      </c>
      <c r="C61" s="1" t="n">
        <v>46184</v>
      </c>
      <c r="D61" t="inlineStr">
        <is>
          <t>KALMAR LÄN</t>
        </is>
      </c>
      <c r="E61" t="inlineStr">
        <is>
          <t>VIMMERBY</t>
        </is>
      </c>
      <c r="G61" t="n">
        <v>1.9</v>
      </c>
      <c r="H61" t="n">
        <v>0</v>
      </c>
      <c r="I61" t="n">
        <v>0</v>
      </c>
      <c r="J61" t="n">
        <v>0</v>
      </c>
      <c r="K61" t="n">
        <v>0</v>
      </c>
      <c r="L61" t="n">
        <v>0</v>
      </c>
      <c r="M61" t="n">
        <v>0</v>
      </c>
      <c r="N61" t="n">
        <v>0</v>
      </c>
      <c r="O61" t="n">
        <v>0</v>
      </c>
      <c r="P61" t="n">
        <v>0</v>
      </c>
      <c r="Q61" t="n">
        <v>0</v>
      </c>
      <c r="R61" s="2" t="inlineStr"/>
    </row>
    <row r="62" ht="15" customHeight="1">
      <c r="A62" t="inlineStr">
        <is>
          <t>A 7049-2022</t>
        </is>
      </c>
      <c r="B62" s="1" t="n">
        <v>44603</v>
      </c>
      <c r="C62" s="1" t="n">
        <v>46184</v>
      </c>
      <c r="D62" t="inlineStr">
        <is>
          <t>KALMAR LÄN</t>
        </is>
      </c>
      <c r="E62" t="inlineStr">
        <is>
          <t>VIMMERBY</t>
        </is>
      </c>
      <c r="G62" t="n">
        <v>2.3</v>
      </c>
      <c r="H62" t="n">
        <v>0</v>
      </c>
      <c r="I62" t="n">
        <v>0</v>
      </c>
      <c r="J62" t="n">
        <v>0</v>
      </c>
      <c r="K62" t="n">
        <v>0</v>
      </c>
      <c r="L62" t="n">
        <v>0</v>
      </c>
      <c r="M62" t="n">
        <v>0</v>
      </c>
      <c r="N62" t="n">
        <v>0</v>
      </c>
      <c r="O62" t="n">
        <v>0</v>
      </c>
      <c r="P62" t="n">
        <v>0</v>
      </c>
      <c r="Q62" t="n">
        <v>0</v>
      </c>
      <c r="R62" s="2" t="inlineStr"/>
    </row>
    <row r="63" ht="15" customHeight="1">
      <c r="A63" t="inlineStr">
        <is>
          <t>A 50809-2022</t>
        </is>
      </c>
      <c r="B63" s="1" t="n">
        <v>44862</v>
      </c>
      <c r="C63" s="1" t="n">
        <v>46184</v>
      </c>
      <c r="D63" t="inlineStr">
        <is>
          <t>KALMAR LÄN</t>
        </is>
      </c>
      <c r="E63" t="inlineStr">
        <is>
          <t>VIMMERBY</t>
        </is>
      </c>
      <c r="G63" t="n">
        <v>3.7</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46184</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46184</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59791-2021</t>
        </is>
      </c>
      <c r="B66" s="1" t="n">
        <v>44494</v>
      </c>
      <c r="C66" s="1" t="n">
        <v>46184</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57416-2021</t>
        </is>
      </c>
      <c r="B67" s="1" t="n">
        <v>44483.58295138889</v>
      </c>
      <c r="C67" s="1" t="n">
        <v>46184</v>
      </c>
      <c r="D67" t="inlineStr">
        <is>
          <t>KALMAR LÄN</t>
        </is>
      </c>
      <c r="E67" t="inlineStr">
        <is>
          <t>VIMMERBY</t>
        </is>
      </c>
      <c r="G67" t="n">
        <v>2.9</v>
      </c>
      <c r="H67" t="n">
        <v>0</v>
      </c>
      <c r="I67" t="n">
        <v>0</v>
      </c>
      <c r="J67" t="n">
        <v>0</v>
      </c>
      <c r="K67" t="n">
        <v>0</v>
      </c>
      <c r="L67" t="n">
        <v>0</v>
      </c>
      <c r="M67" t="n">
        <v>0</v>
      </c>
      <c r="N67" t="n">
        <v>0</v>
      </c>
      <c r="O67" t="n">
        <v>0</v>
      </c>
      <c r="P67" t="n">
        <v>0</v>
      </c>
      <c r="Q67" t="n">
        <v>0</v>
      </c>
      <c r="R67" s="2" t="inlineStr"/>
    </row>
    <row r="68" ht="15" customHeight="1">
      <c r="A68" t="inlineStr">
        <is>
          <t>A 71626-2021</t>
        </is>
      </c>
      <c r="B68" s="1" t="n">
        <v>44542.8859375</v>
      </c>
      <c r="C68" s="1" t="n">
        <v>46184</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46184</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46184</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46184</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46184</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46184</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46184</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46184</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46184</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46184</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46184</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46184</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46184</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46184</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46184</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46184</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46184</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46184</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46184</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46184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46184</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46184</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11814-2022</t>
        </is>
      </c>
      <c r="B93" s="1" t="n">
        <v>44634.69703703704</v>
      </c>
      <c r="C93" s="1" t="n">
        <v>46184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56385-2021</t>
        </is>
      </c>
      <c r="B94" s="1" t="n">
        <v>44480</v>
      </c>
      <c r="C94" s="1" t="n">
        <v>46184</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31053-2022</t>
        </is>
      </c>
      <c r="B95" s="1" t="n">
        <v>44769.45422453704</v>
      </c>
      <c r="C95" s="1" t="n">
        <v>46184</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46184</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46184</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46184</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46184</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46184</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46184</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46184</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46184</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46184</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46184</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46184</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46184</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46184</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46184</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46184</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40077-2021</t>
        </is>
      </c>
      <c r="B112" s="1" t="n">
        <v>44418</v>
      </c>
      <c r="C112" s="1" t="n">
        <v>46184</v>
      </c>
      <c r="D112" t="inlineStr">
        <is>
          <t>KALMAR LÄN</t>
        </is>
      </c>
      <c r="E112" t="inlineStr">
        <is>
          <t>VIMMERBY</t>
        </is>
      </c>
      <c r="G112" t="n">
        <v>2.9</v>
      </c>
      <c r="H112" t="n">
        <v>0</v>
      </c>
      <c r="I112" t="n">
        <v>0</v>
      </c>
      <c r="J112" t="n">
        <v>0</v>
      </c>
      <c r="K112" t="n">
        <v>0</v>
      </c>
      <c r="L112" t="n">
        <v>0</v>
      </c>
      <c r="M112" t="n">
        <v>0</v>
      </c>
      <c r="N112" t="n">
        <v>0</v>
      </c>
      <c r="O112" t="n">
        <v>0</v>
      </c>
      <c r="P112" t="n">
        <v>0</v>
      </c>
      <c r="Q112" t="n">
        <v>0</v>
      </c>
      <c r="R112" s="2" t="inlineStr"/>
    </row>
    <row r="113" ht="15" customHeight="1">
      <c r="A113" t="inlineStr">
        <is>
          <t>A 47769-2022</t>
        </is>
      </c>
      <c r="B113" s="1" t="n">
        <v>44854</v>
      </c>
      <c r="C113" s="1" t="n">
        <v>46184</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46184</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46184</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35316-2021</t>
        </is>
      </c>
      <c r="B116" s="1" t="n">
        <v>44384</v>
      </c>
      <c r="C116" s="1" t="n">
        <v>46184</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33831-2022</t>
        </is>
      </c>
      <c r="B117" s="1" t="n">
        <v>44790.48503472222</v>
      </c>
      <c r="C117" s="1" t="n">
        <v>46184</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47708-2022</t>
        </is>
      </c>
      <c r="B118" s="1" t="n">
        <v>44854.59157407407</v>
      </c>
      <c r="C118" s="1" t="n">
        <v>46184</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9918-2022</t>
        </is>
      </c>
      <c r="B119" s="1" t="n">
        <v>44620</v>
      </c>
      <c r="C119" s="1" t="n">
        <v>46184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23825-2022</t>
        </is>
      </c>
      <c r="B120" s="1" t="n">
        <v>44722.48768518519</v>
      </c>
      <c r="C120" s="1" t="n">
        <v>46184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47473-2021</t>
        </is>
      </c>
      <c r="B121" s="1" t="n">
        <v>44447</v>
      </c>
      <c r="C121" s="1" t="n">
        <v>46184</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41056-2022</t>
        </is>
      </c>
      <c r="B122" s="1" t="n">
        <v>44824</v>
      </c>
      <c r="C122" s="1" t="n">
        <v>46184</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31660-2021</t>
        </is>
      </c>
      <c r="B123" s="1" t="n">
        <v>44369</v>
      </c>
      <c r="C123" s="1" t="n">
        <v>46184</v>
      </c>
      <c r="D123" t="inlineStr">
        <is>
          <t>KALMAR LÄN</t>
        </is>
      </c>
      <c r="E123" t="inlineStr">
        <is>
          <t>VIMMERBY</t>
        </is>
      </c>
      <c r="G123" t="n">
        <v>4.2</v>
      </c>
      <c r="H123" t="n">
        <v>0</v>
      </c>
      <c r="I123" t="n">
        <v>0</v>
      </c>
      <c r="J123" t="n">
        <v>0</v>
      </c>
      <c r="K123" t="n">
        <v>0</v>
      </c>
      <c r="L123" t="n">
        <v>0</v>
      </c>
      <c r="M123" t="n">
        <v>0</v>
      </c>
      <c r="N123" t="n">
        <v>0</v>
      </c>
      <c r="O123" t="n">
        <v>0</v>
      </c>
      <c r="P123" t="n">
        <v>0</v>
      </c>
      <c r="Q123" t="n">
        <v>0</v>
      </c>
      <c r="R123" s="2" t="inlineStr"/>
    </row>
    <row r="124" ht="15" customHeight="1">
      <c r="A124" t="inlineStr">
        <is>
          <t>A 27455-2022</t>
        </is>
      </c>
      <c r="B124" s="1" t="n">
        <v>44742</v>
      </c>
      <c r="C124" s="1" t="n">
        <v>46184</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32603-2021</t>
        </is>
      </c>
      <c r="B125" s="1" t="n">
        <v>44375.38789351852</v>
      </c>
      <c r="C125" s="1" t="n">
        <v>46184</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36117-2021</t>
        </is>
      </c>
      <c r="B126" s="1" t="n">
        <v>44386</v>
      </c>
      <c r="C126" s="1" t="n">
        <v>46184</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42521-2021</t>
        </is>
      </c>
      <c r="B127" s="1" t="n">
        <v>44427</v>
      </c>
      <c r="C127" s="1" t="n">
        <v>46184</v>
      </c>
      <c r="D127" t="inlineStr">
        <is>
          <t>KALMAR LÄN</t>
        </is>
      </c>
      <c r="E127" t="inlineStr">
        <is>
          <t>VIMMERBY</t>
        </is>
      </c>
      <c r="G127" t="n">
        <v>5.4</v>
      </c>
      <c r="H127" t="n">
        <v>0</v>
      </c>
      <c r="I127" t="n">
        <v>0</v>
      </c>
      <c r="J127" t="n">
        <v>0</v>
      </c>
      <c r="K127" t="n">
        <v>0</v>
      </c>
      <c r="L127" t="n">
        <v>0</v>
      </c>
      <c r="M127" t="n">
        <v>0</v>
      </c>
      <c r="N127" t="n">
        <v>0</v>
      </c>
      <c r="O127" t="n">
        <v>0</v>
      </c>
      <c r="P127" t="n">
        <v>0</v>
      </c>
      <c r="Q127" t="n">
        <v>0</v>
      </c>
      <c r="R127" s="2" t="inlineStr"/>
    </row>
    <row r="128" ht="15" customHeight="1">
      <c r="A128" t="inlineStr">
        <is>
          <t>A 46964-2022</t>
        </is>
      </c>
      <c r="B128" s="1" t="n">
        <v>44851.95016203704</v>
      </c>
      <c r="C128" s="1" t="n">
        <v>46184</v>
      </c>
      <c r="D128" t="inlineStr">
        <is>
          <t>KALMAR LÄN</t>
        </is>
      </c>
      <c r="E128" t="inlineStr">
        <is>
          <t>VIMMERBY</t>
        </is>
      </c>
      <c r="G128" t="n">
        <v>0.2</v>
      </c>
      <c r="H128" t="n">
        <v>0</v>
      </c>
      <c r="I128" t="n">
        <v>0</v>
      </c>
      <c r="J128" t="n">
        <v>0</v>
      </c>
      <c r="K128" t="n">
        <v>0</v>
      </c>
      <c r="L128" t="n">
        <v>0</v>
      </c>
      <c r="M128" t="n">
        <v>0</v>
      </c>
      <c r="N128" t="n">
        <v>0</v>
      </c>
      <c r="O128" t="n">
        <v>0</v>
      </c>
      <c r="P128" t="n">
        <v>0</v>
      </c>
      <c r="Q128" t="n">
        <v>0</v>
      </c>
      <c r="R128" s="2" t="inlineStr"/>
    </row>
    <row r="129" ht="15" customHeight="1">
      <c r="A129" t="inlineStr">
        <is>
          <t>A 13180-2022</t>
        </is>
      </c>
      <c r="B129" s="1" t="n">
        <v>44644</v>
      </c>
      <c r="C129" s="1" t="n">
        <v>46184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46184</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46184</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46184</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46184</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46184</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46184</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52433-2021</t>
        </is>
      </c>
      <c r="B136" s="1" t="n">
        <v>44466.34726851852</v>
      </c>
      <c r="C136" s="1" t="n">
        <v>46184</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44866.81100694444</v>
      </c>
      <c r="C137" s="1" t="n">
        <v>46184</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54065-2021</t>
        </is>
      </c>
      <c r="B138" s="1" t="n">
        <v>44470.44232638889</v>
      </c>
      <c r="C138" s="1" t="n">
        <v>46184</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31824-2022</t>
        </is>
      </c>
      <c r="B139" s="1" t="n">
        <v>44776</v>
      </c>
      <c r="C139" s="1" t="n">
        <v>46184</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11733-2022</t>
        </is>
      </c>
      <c r="B140" s="1" t="n">
        <v>44634</v>
      </c>
      <c r="C140" s="1" t="n">
        <v>46184</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44608.50458333334</v>
      </c>
      <c r="C141" s="1" t="n">
        <v>46184</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46184</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4076-2022</t>
        </is>
      </c>
      <c r="B143" s="1" t="n">
        <v>44588.37998842593</v>
      </c>
      <c r="C143" s="1" t="n">
        <v>46184</v>
      </c>
      <c r="D143" t="inlineStr">
        <is>
          <t>KALMAR LÄN</t>
        </is>
      </c>
      <c r="E143" t="inlineStr">
        <is>
          <t>VIMMERBY</t>
        </is>
      </c>
      <c r="G143" t="n">
        <v>3</v>
      </c>
      <c r="H143" t="n">
        <v>0</v>
      </c>
      <c r="I143" t="n">
        <v>0</v>
      </c>
      <c r="J143" t="n">
        <v>0</v>
      </c>
      <c r="K143" t="n">
        <v>0</v>
      </c>
      <c r="L143" t="n">
        <v>0</v>
      </c>
      <c r="M143" t="n">
        <v>0</v>
      </c>
      <c r="N143" t="n">
        <v>0</v>
      </c>
      <c r="O143" t="n">
        <v>0</v>
      </c>
      <c r="P143" t="n">
        <v>0</v>
      </c>
      <c r="Q143" t="n">
        <v>0</v>
      </c>
      <c r="R143" s="2" t="inlineStr"/>
    </row>
    <row r="144" ht="15" customHeight="1">
      <c r="A144" t="inlineStr">
        <is>
          <t>A 4122-2022</t>
        </is>
      </c>
      <c r="B144" s="1" t="n">
        <v>44588</v>
      </c>
      <c r="C144" s="1" t="n">
        <v>46184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16983-2023</t>
        </is>
      </c>
      <c r="B145" s="1" t="n">
        <v>45033.76043981482</v>
      </c>
      <c r="C145" s="1" t="n">
        <v>46184</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46144-2023</t>
        </is>
      </c>
      <c r="B146" s="1" t="n">
        <v>45196.57247685185</v>
      </c>
      <c r="C146" s="1" t="n">
        <v>46184</v>
      </c>
      <c r="D146" t="inlineStr">
        <is>
          <t>KALMAR LÄN</t>
        </is>
      </c>
      <c r="E146" t="inlineStr">
        <is>
          <t>VIMMERBY</t>
        </is>
      </c>
      <c r="G146" t="n">
        <v>6.5</v>
      </c>
      <c r="H146" t="n">
        <v>0</v>
      </c>
      <c r="I146" t="n">
        <v>0</v>
      </c>
      <c r="J146" t="n">
        <v>0</v>
      </c>
      <c r="K146" t="n">
        <v>0</v>
      </c>
      <c r="L146" t="n">
        <v>0</v>
      </c>
      <c r="M146" t="n">
        <v>0</v>
      </c>
      <c r="N146" t="n">
        <v>0</v>
      </c>
      <c r="O146" t="n">
        <v>0</v>
      </c>
      <c r="P146" t="n">
        <v>0</v>
      </c>
      <c r="Q146" t="n">
        <v>0</v>
      </c>
      <c r="R146" s="2" t="inlineStr"/>
    </row>
    <row r="147" ht="15" customHeight="1">
      <c r="A147" t="inlineStr">
        <is>
          <t>A 30402-2023</t>
        </is>
      </c>
      <c r="B147" s="1" t="n">
        <v>45111.48395833333</v>
      </c>
      <c r="C147" s="1" t="n">
        <v>46184</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7643-2022</t>
        </is>
      </c>
      <c r="B148" s="1" t="n">
        <v>44607</v>
      </c>
      <c r="C148" s="1" t="n">
        <v>46184</v>
      </c>
      <c r="D148" t="inlineStr">
        <is>
          <t>KALMAR LÄN</t>
        </is>
      </c>
      <c r="E148" t="inlineStr">
        <is>
          <t>VIMMERBY</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11609-2023</t>
        </is>
      </c>
      <c r="B149" s="1" t="n">
        <v>44994.40635416667</v>
      </c>
      <c r="C149" s="1" t="n">
        <v>46184</v>
      </c>
      <c r="D149" t="inlineStr">
        <is>
          <t>KALMAR LÄN</t>
        </is>
      </c>
      <c r="E149" t="inlineStr">
        <is>
          <t>VIMMERBY</t>
        </is>
      </c>
      <c r="G149" t="n">
        <v>4.9</v>
      </c>
      <c r="H149" t="n">
        <v>0</v>
      </c>
      <c r="I149" t="n">
        <v>0</v>
      </c>
      <c r="J149" t="n">
        <v>0</v>
      </c>
      <c r="K149" t="n">
        <v>0</v>
      </c>
      <c r="L149" t="n">
        <v>0</v>
      </c>
      <c r="M149" t="n">
        <v>0</v>
      </c>
      <c r="N149" t="n">
        <v>0</v>
      </c>
      <c r="O149" t="n">
        <v>0</v>
      </c>
      <c r="P149" t="n">
        <v>0</v>
      </c>
      <c r="Q149" t="n">
        <v>0</v>
      </c>
      <c r="R149" s="2" t="inlineStr"/>
    </row>
    <row r="150" ht="15" customHeight="1">
      <c r="A150" t="inlineStr">
        <is>
          <t>A 58962-2022</t>
        </is>
      </c>
      <c r="B150" s="1" t="n">
        <v>44903</v>
      </c>
      <c r="C150" s="1" t="n">
        <v>46184</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56213-2024</t>
        </is>
      </c>
      <c r="B151" s="1" t="n">
        <v>45624.60141203704</v>
      </c>
      <c r="C151" s="1" t="n">
        <v>46184</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54409-2024</t>
        </is>
      </c>
      <c r="B152" s="1" t="n">
        <v>45617.47570601852</v>
      </c>
      <c r="C152" s="1" t="n">
        <v>46184</v>
      </c>
      <c r="D152" t="inlineStr">
        <is>
          <t>KALMAR LÄN</t>
        </is>
      </c>
      <c r="E152" t="inlineStr">
        <is>
          <t>VIMMERBY</t>
        </is>
      </c>
      <c r="G152" t="n">
        <v>4.3</v>
      </c>
      <c r="H152" t="n">
        <v>0</v>
      </c>
      <c r="I152" t="n">
        <v>0</v>
      </c>
      <c r="J152" t="n">
        <v>0</v>
      </c>
      <c r="K152" t="n">
        <v>0</v>
      </c>
      <c r="L152" t="n">
        <v>0</v>
      </c>
      <c r="M152" t="n">
        <v>0</v>
      </c>
      <c r="N152" t="n">
        <v>0</v>
      </c>
      <c r="O152" t="n">
        <v>0</v>
      </c>
      <c r="P152" t="n">
        <v>0</v>
      </c>
      <c r="Q152" t="n">
        <v>0</v>
      </c>
      <c r="R152" s="2" t="inlineStr"/>
    </row>
    <row r="153" ht="15" customHeight="1">
      <c r="A153" t="inlineStr">
        <is>
          <t>A 11027-2023</t>
        </is>
      </c>
      <c r="B153" s="1" t="n">
        <v>44991.89657407408</v>
      </c>
      <c r="C153" s="1" t="n">
        <v>46184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16825-2024</t>
        </is>
      </c>
      <c r="B154" s="1" t="n">
        <v>45411.47335648148</v>
      </c>
      <c r="C154" s="1" t="n">
        <v>46184</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10837-2023</t>
        </is>
      </c>
      <c r="B155" s="1" t="n">
        <v>44991.30547453704</v>
      </c>
      <c r="C155" s="1" t="n">
        <v>46184</v>
      </c>
      <c r="D155" t="inlineStr">
        <is>
          <t>KALMAR LÄN</t>
        </is>
      </c>
      <c r="E155" t="inlineStr">
        <is>
          <t>VIMMERBY</t>
        </is>
      </c>
      <c r="G155" t="n">
        <v>7.3</v>
      </c>
      <c r="H155" t="n">
        <v>0</v>
      </c>
      <c r="I155" t="n">
        <v>0</v>
      </c>
      <c r="J155" t="n">
        <v>0</v>
      </c>
      <c r="K155" t="n">
        <v>0</v>
      </c>
      <c r="L155" t="n">
        <v>0</v>
      </c>
      <c r="M155" t="n">
        <v>0</v>
      </c>
      <c r="N155" t="n">
        <v>0</v>
      </c>
      <c r="O155" t="n">
        <v>0</v>
      </c>
      <c r="P155" t="n">
        <v>0</v>
      </c>
      <c r="Q155" t="n">
        <v>0</v>
      </c>
      <c r="R155" s="2" t="inlineStr"/>
    </row>
    <row r="156" ht="15" customHeight="1">
      <c r="A156" t="inlineStr">
        <is>
          <t>A 10838-2023</t>
        </is>
      </c>
      <c r="B156" s="1" t="n">
        <v>44991</v>
      </c>
      <c r="C156" s="1" t="n">
        <v>46184</v>
      </c>
      <c r="D156" t="inlineStr">
        <is>
          <t>KALMAR LÄN</t>
        </is>
      </c>
      <c r="E156" t="inlineStr">
        <is>
          <t>VIMMERBY</t>
        </is>
      </c>
      <c r="G156" t="n">
        <v>5.1</v>
      </c>
      <c r="H156" t="n">
        <v>0</v>
      </c>
      <c r="I156" t="n">
        <v>0</v>
      </c>
      <c r="J156" t="n">
        <v>0</v>
      </c>
      <c r="K156" t="n">
        <v>0</v>
      </c>
      <c r="L156" t="n">
        <v>0</v>
      </c>
      <c r="M156" t="n">
        <v>0</v>
      </c>
      <c r="N156" t="n">
        <v>0</v>
      </c>
      <c r="O156" t="n">
        <v>0</v>
      </c>
      <c r="P156" t="n">
        <v>0</v>
      </c>
      <c r="Q156" t="n">
        <v>0</v>
      </c>
      <c r="R156" s="2" t="inlineStr"/>
    </row>
    <row r="157" ht="15" customHeight="1">
      <c r="A157" t="inlineStr">
        <is>
          <t>A 53483-2022</t>
        </is>
      </c>
      <c r="B157" s="1" t="n">
        <v>44879.55940972222</v>
      </c>
      <c r="C157" s="1" t="n">
        <v>46184</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42918-2021</t>
        </is>
      </c>
      <c r="B158" s="1" t="n">
        <v>44431</v>
      </c>
      <c r="C158" s="1" t="n">
        <v>46184</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31382-2023</t>
        </is>
      </c>
      <c r="B159" s="1" t="n">
        <v>45114.55136574074</v>
      </c>
      <c r="C159" s="1" t="n">
        <v>46184</v>
      </c>
      <c r="D159" t="inlineStr">
        <is>
          <t>KALMAR LÄN</t>
        </is>
      </c>
      <c r="E159" t="inlineStr">
        <is>
          <t>VIMMERBY</t>
        </is>
      </c>
      <c r="G159" t="n">
        <v>3.7</v>
      </c>
      <c r="H159" t="n">
        <v>0</v>
      </c>
      <c r="I159" t="n">
        <v>0</v>
      </c>
      <c r="J159" t="n">
        <v>0</v>
      </c>
      <c r="K159" t="n">
        <v>0</v>
      </c>
      <c r="L159" t="n">
        <v>0</v>
      </c>
      <c r="M159" t="n">
        <v>0</v>
      </c>
      <c r="N159" t="n">
        <v>0</v>
      </c>
      <c r="O159" t="n">
        <v>0</v>
      </c>
      <c r="P159" t="n">
        <v>0</v>
      </c>
      <c r="Q159" t="n">
        <v>0</v>
      </c>
      <c r="R159" s="2" t="inlineStr"/>
    </row>
    <row r="160" ht="15" customHeight="1">
      <c r="A160" t="inlineStr">
        <is>
          <t>A 22643-2023</t>
        </is>
      </c>
      <c r="B160" s="1" t="n">
        <v>45071</v>
      </c>
      <c r="C160" s="1" t="n">
        <v>46184</v>
      </c>
      <c r="D160" t="inlineStr">
        <is>
          <t>KALMAR LÄN</t>
        </is>
      </c>
      <c r="E160" t="inlineStr">
        <is>
          <t>VIMMERBY</t>
        </is>
      </c>
      <c r="G160" t="n">
        <v>3.9</v>
      </c>
      <c r="H160" t="n">
        <v>0</v>
      </c>
      <c r="I160" t="n">
        <v>0</v>
      </c>
      <c r="J160" t="n">
        <v>0</v>
      </c>
      <c r="K160" t="n">
        <v>0</v>
      </c>
      <c r="L160" t="n">
        <v>0</v>
      </c>
      <c r="M160" t="n">
        <v>0</v>
      </c>
      <c r="N160" t="n">
        <v>0</v>
      </c>
      <c r="O160" t="n">
        <v>0</v>
      </c>
      <c r="P160" t="n">
        <v>0</v>
      </c>
      <c r="Q160" t="n">
        <v>0</v>
      </c>
      <c r="R160" s="2" t="inlineStr"/>
    </row>
    <row r="161" ht="15" customHeight="1">
      <c r="A161" t="inlineStr">
        <is>
          <t>A 38780-2021</t>
        </is>
      </c>
      <c r="B161" s="1" t="n">
        <v>44410</v>
      </c>
      <c r="C161" s="1" t="n">
        <v>46184</v>
      </c>
      <c r="D161" t="inlineStr">
        <is>
          <t>KALMAR LÄN</t>
        </is>
      </c>
      <c r="E161" t="inlineStr">
        <is>
          <t>VIMMERBY</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19162-2023</t>
        </is>
      </c>
      <c r="B162" s="1" t="n">
        <v>45048.59699074074</v>
      </c>
      <c r="C162" s="1" t="n">
        <v>46184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9475-2023</t>
        </is>
      </c>
      <c r="B163" s="1" t="n">
        <v>44981.58834490741</v>
      </c>
      <c r="C163" s="1" t="n">
        <v>46184</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29020-2024</t>
        </is>
      </c>
      <c r="B164" s="1" t="n">
        <v>45481.58048611111</v>
      </c>
      <c r="C164" s="1" t="n">
        <v>46184</v>
      </c>
      <c r="D164" t="inlineStr">
        <is>
          <t>KALMAR LÄN</t>
        </is>
      </c>
      <c r="E164" t="inlineStr">
        <is>
          <t>VIMMERBY</t>
        </is>
      </c>
      <c r="G164" t="n">
        <v>2.3</v>
      </c>
      <c r="H164" t="n">
        <v>0</v>
      </c>
      <c r="I164" t="n">
        <v>0</v>
      </c>
      <c r="J164" t="n">
        <v>0</v>
      </c>
      <c r="K164" t="n">
        <v>0</v>
      </c>
      <c r="L164" t="n">
        <v>0</v>
      </c>
      <c r="M164" t="n">
        <v>0</v>
      </c>
      <c r="N164" t="n">
        <v>0</v>
      </c>
      <c r="O164" t="n">
        <v>0</v>
      </c>
      <c r="P164" t="n">
        <v>0</v>
      </c>
      <c r="Q164" t="n">
        <v>0</v>
      </c>
      <c r="R164" s="2" t="inlineStr"/>
    </row>
    <row r="165" ht="15" customHeight="1">
      <c r="A165" t="inlineStr">
        <is>
          <t>A 30406-2023</t>
        </is>
      </c>
      <c r="B165" s="1" t="n">
        <v>45111.48787037037</v>
      </c>
      <c r="C165" s="1" t="n">
        <v>46184</v>
      </c>
      <c r="D165" t="inlineStr">
        <is>
          <t>KALMAR LÄN</t>
        </is>
      </c>
      <c r="E165" t="inlineStr">
        <is>
          <t>VIMMERBY</t>
        </is>
      </c>
      <c r="G165" t="n">
        <v>2.4</v>
      </c>
      <c r="H165" t="n">
        <v>0</v>
      </c>
      <c r="I165" t="n">
        <v>0</v>
      </c>
      <c r="J165" t="n">
        <v>0</v>
      </c>
      <c r="K165" t="n">
        <v>0</v>
      </c>
      <c r="L165" t="n">
        <v>0</v>
      </c>
      <c r="M165" t="n">
        <v>0</v>
      </c>
      <c r="N165" t="n">
        <v>0</v>
      </c>
      <c r="O165" t="n">
        <v>0</v>
      </c>
      <c r="P165" t="n">
        <v>0</v>
      </c>
      <c r="Q165" t="n">
        <v>0</v>
      </c>
      <c r="R165" s="2" t="inlineStr"/>
    </row>
    <row r="166" ht="15" customHeight="1">
      <c r="A166" t="inlineStr">
        <is>
          <t>A 13817-2024</t>
        </is>
      </c>
      <c r="B166" s="1" t="n">
        <v>45391.41976851852</v>
      </c>
      <c r="C166" s="1" t="n">
        <v>46184</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19537-2022</t>
        </is>
      </c>
      <c r="B167" s="1" t="n">
        <v>44693.62822916666</v>
      </c>
      <c r="C167" s="1" t="n">
        <v>46184</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60951-2023</t>
        </is>
      </c>
      <c r="B168" s="1" t="n">
        <v>45261.44914351852</v>
      </c>
      <c r="C168" s="1" t="n">
        <v>46184</v>
      </c>
      <c r="D168" t="inlineStr">
        <is>
          <t>KALMAR LÄN</t>
        </is>
      </c>
      <c r="E168" t="inlineStr">
        <is>
          <t>VIMMERBY</t>
        </is>
      </c>
      <c r="G168" t="n">
        <v>4.3</v>
      </c>
      <c r="H168" t="n">
        <v>0</v>
      </c>
      <c r="I168" t="n">
        <v>0</v>
      </c>
      <c r="J168" t="n">
        <v>0</v>
      </c>
      <c r="K168" t="n">
        <v>0</v>
      </c>
      <c r="L168" t="n">
        <v>0</v>
      </c>
      <c r="M168" t="n">
        <v>0</v>
      </c>
      <c r="N168" t="n">
        <v>0</v>
      </c>
      <c r="O168" t="n">
        <v>0</v>
      </c>
      <c r="P168" t="n">
        <v>0</v>
      </c>
      <c r="Q168" t="n">
        <v>0</v>
      </c>
      <c r="R168" s="2" t="inlineStr"/>
    </row>
    <row r="169" ht="15" customHeight="1">
      <c r="A169" t="inlineStr">
        <is>
          <t>A 60292-2022</t>
        </is>
      </c>
      <c r="B169" s="1" t="n">
        <v>44910.54231481482</v>
      </c>
      <c r="C169" s="1" t="n">
        <v>46184</v>
      </c>
      <c r="D169" t="inlineStr">
        <is>
          <t>KALMAR LÄN</t>
        </is>
      </c>
      <c r="E169" t="inlineStr">
        <is>
          <t>VIMMERBY</t>
        </is>
      </c>
      <c r="G169" t="n">
        <v>4.4</v>
      </c>
      <c r="H169" t="n">
        <v>0</v>
      </c>
      <c r="I169" t="n">
        <v>0</v>
      </c>
      <c r="J169" t="n">
        <v>0</v>
      </c>
      <c r="K169" t="n">
        <v>0</v>
      </c>
      <c r="L169" t="n">
        <v>0</v>
      </c>
      <c r="M169" t="n">
        <v>0</v>
      </c>
      <c r="N169" t="n">
        <v>0</v>
      </c>
      <c r="O169" t="n">
        <v>0</v>
      </c>
      <c r="P169" t="n">
        <v>0</v>
      </c>
      <c r="Q169" t="n">
        <v>0</v>
      </c>
      <c r="R169" s="2" t="inlineStr"/>
    </row>
    <row r="170" ht="15" customHeight="1">
      <c r="A170" t="inlineStr">
        <is>
          <t>A 48408-2025</t>
        </is>
      </c>
      <c r="B170" s="1" t="n">
        <v>45934.40527777778</v>
      </c>
      <c r="C170" s="1" t="n">
        <v>46184</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7485-2024</t>
        </is>
      </c>
      <c r="B171" s="1" t="n">
        <v>45346.67184027778</v>
      </c>
      <c r="C171" s="1" t="n">
        <v>46184</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12590-2025</t>
        </is>
      </c>
      <c r="B172" s="1" t="n">
        <v>45732.79925925926</v>
      </c>
      <c r="C172" s="1" t="n">
        <v>46184</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38604-2025</t>
        </is>
      </c>
      <c r="B173" s="1" t="n">
        <v>45884.50613425926</v>
      </c>
      <c r="C173" s="1" t="n">
        <v>46184</v>
      </c>
      <c r="D173" t="inlineStr">
        <is>
          <t>KALMAR LÄN</t>
        </is>
      </c>
      <c r="E173" t="inlineStr">
        <is>
          <t>VIMMERBY</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35710-2023</t>
        </is>
      </c>
      <c r="B174" s="1" t="n">
        <v>45147.67096064815</v>
      </c>
      <c r="C174" s="1" t="n">
        <v>46184</v>
      </c>
      <c r="D174" t="inlineStr">
        <is>
          <t>KALMAR LÄN</t>
        </is>
      </c>
      <c r="E174" t="inlineStr">
        <is>
          <t>VIMMERBY</t>
        </is>
      </c>
      <c r="G174" t="n">
        <v>3.1</v>
      </c>
      <c r="H174" t="n">
        <v>0</v>
      </c>
      <c r="I174" t="n">
        <v>0</v>
      </c>
      <c r="J174" t="n">
        <v>0</v>
      </c>
      <c r="K174" t="n">
        <v>0</v>
      </c>
      <c r="L174" t="n">
        <v>0</v>
      </c>
      <c r="M174" t="n">
        <v>0</v>
      </c>
      <c r="N174" t="n">
        <v>0</v>
      </c>
      <c r="O174" t="n">
        <v>0</v>
      </c>
      <c r="P174" t="n">
        <v>0</v>
      </c>
      <c r="Q174" t="n">
        <v>0</v>
      </c>
      <c r="R174" s="2" t="inlineStr"/>
    </row>
    <row r="175" ht="15" customHeight="1">
      <c r="A175" t="inlineStr">
        <is>
          <t>A 52823-2024</t>
        </is>
      </c>
      <c r="B175" s="1" t="n">
        <v>45610.59094907407</v>
      </c>
      <c r="C175" s="1" t="n">
        <v>46184</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11147-2023</t>
        </is>
      </c>
      <c r="B176" s="1" t="n">
        <v>44992</v>
      </c>
      <c r="C176" s="1" t="n">
        <v>46184</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19833-2023</t>
        </is>
      </c>
      <c r="B177" s="1" t="n">
        <v>45052</v>
      </c>
      <c r="C177" s="1" t="n">
        <v>46184</v>
      </c>
      <c r="D177" t="inlineStr">
        <is>
          <t>KALMAR LÄN</t>
        </is>
      </c>
      <c r="E177" t="inlineStr">
        <is>
          <t>VIMMERBY</t>
        </is>
      </c>
      <c r="G177" t="n">
        <v>6.7</v>
      </c>
      <c r="H177" t="n">
        <v>0</v>
      </c>
      <c r="I177" t="n">
        <v>0</v>
      </c>
      <c r="J177" t="n">
        <v>0</v>
      </c>
      <c r="K177" t="n">
        <v>0</v>
      </c>
      <c r="L177" t="n">
        <v>0</v>
      </c>
      <c r="M177" t="n">
        <v>0</v>
      </c>
      <c r="N177" t="n">
        <v>0</v>
      </c>
      <c r="O177" t="n">
        <v>0</v>
      </c>
      <c r="P177" t="n">
        <v>0</v>
      </c>
      <c r="Q177" t="n">
        <v>0</v>
      </c>
      <c r="R177" s="2" t="inlineStr"/>
    </row>
    <row r="178" ht="15" customHeight="1">
      <c r="A178" t="inlineStr">
        <is>
          <t>A 25582-2024</t>
        </is>
      </c>
      <c r="B178" s="1" t="n">
        <v>45463</v>
      </c>
      <c r="C178" s="1" t="n">
        <v>46184</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14548-2024</t>
        </is>
      </c>
      <c r="B179" s="1" t="n">
        <v>45394.66887731481</v>
      </c>
      <c r="C179" s="1" t="n">
        <v>46184</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585-2024</t>
        </is>
      </c>
      <c r="B180" s="1" t="n">
        <v>45299.62576388889</v>
      </c>
      <c r="C180" s="1" t="n">
        <v>46184</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56020-2024</t>
        </is>
      </c>
      <c r="B181" s="1" t="n">
        <v>45623.9525462963</v>
      </c>
      <c r="C181" s="1" t="n">
        <v>46184</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57578-2024</t>
        </is>
      </c>
      <c r="B182" s="1" t="n">
        <v>45630.47564814815</v>
      </c>
      <c r="C182" s="1" t="n">
        <v>46184</v>
      </c>
      <c r="D182" t="inlineStr">
        <is>
          <t>KALMAR LÄN</t>
        </is>
      </c>
      <c r="E182" t="inlineStr">
        <is>
          <t>VIMMERBY</t>
        </is>
      </c>
      <c r="G182" t="n">
        <v>2.6</v>
      </c>
      <c r="H182" t="n">
        <v>0</v>
      </c>
      <c r="I182" t="n">
        <v>0</v>
      </c>
      <c r="J182" t="n">
        <v>0</v>
      </c>
      <c r="K182" t="n">
        <v>0</v>
      </c>
      <c r="L182" t="n">
        <v>0</v>
      </c>
      <c r="M182" t="n">
        <v>0</v>
      </c>
      <c r="N182" t="n">
        <v>0</v>
      </c>
      <c r="O182" t="n">
        <v>0</v>
      </c>
      <c r="P182" t="n">
        <v>0</v>
      </c>
      <c r="Q182" t="n">
        <v>0</v>
      </c>
      <c r="R182" s="2" t="inlineStr"/>
    </row>
    <row r="183" ht="15" customHeight="1">
      <c r="A183" t="inlineStr">
        <is>
          <t>A 23252-2024</t>
        </is>
      </c>
      <c r="B183" s="1" t="n">
        <v>45453.36067129629</v>
      </c>
      <c r="C183" s="1" t="n">
        <v>46184</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15550-2023</t>
        </is>
      </c>
      <c r="B184" s="1" t="n">
        <v>45020</v>
      </c>
      <c r="C184" s="1" t="n">
        <v>46184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39807-2025</t>
        </is>
      </c>
      <c r="B185" s="1" t="n">
        <v>45891.50986111111</v>
      </c>
      <c r="C185" s="1" t="n">
        <v>46184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39736-2025</t>
        </is>
      </c>
      <c r="B186" s="1" t="n">
        <v>45891</v>
      </c>
      <c r="C186" s="1" t="n">
        <v>46184</v>
      </c>
      <c r="D186" t="inlineStr">
        <is>
          <t>KALMAR LÄN</t>
        </is>
      </c>
      <c r="E186" t="inlineStr">
        <is>
          <t>VIMMERBY</t>
        </is>
      </c>
      <c r="G186" t="n">
        <v>12.8</v>
      </c>
      <c r="H186" t="n">
        <v>0</v>
      </c>
      <c r="I186" t="n">
        <v>0</v>
      </c>
      <c r="J186" t="n">
        <v>0</v>
      </c>
      <c r="K186" t="n">
        <v>0</v>
      </c>
      <c r="L186" t="n">
        <v>0</v>
      </c>
      <c r="M186" t="n">
        <v>0</v>
      </c>
      <c r="N186" t="n">
        <v>0</v>
      </c>
      <c r="O186" t="n">
        <v>0</v>
      </c>
      <c r="P186" t="n">
        <v>0</v>
      </c>
      <c r="Q186" t="n">
        <v>0</v>
      </c>
      <c r="R186" s="2" t="inlineStr"/>
    </row>
    <row r="187" ht="15" customHeight="1">
      <c r="A187" t="inlineStr">
        <is>
          <t>A 6307-2025</t>
        </is>
      </c>
      <c r="B187" s="1" t="n">
        <v>45698.69016203703</v>
      </c>
      <c r="C187" s="1" t="n">
        <v>46184</v>
      </c>
      <c r="D187" t="inlineStr">
        <is>
          <t>KALMAR LÄN</t>
        </is>
      </c>
      <c r="E187" t="inlineStr">
        <is>
          <t>VIMMERBY</t>
        </is>
      </c>
      <c r="G187" t="n">
        <v>3</v>
      </c>
      <c r="H187" t="n">
        <v>0</v>
      </c>
      <c r="I187" t="n">
        <v>0</v>
      </c>
      <c r="J187" t="n">
        <v>0</v>
      </c>
      <c r="K187" t="n">
        <v>0</v>
      </c>
      <c r="L187" t="n">
        <v>0</v>
      </c>
      <c r="M187" t="n">
        <v>0</v>
      </c>
      <c r="N187" t="n">
        <v>0</v>
      </c>
      <c r="O187" t="n">
        <v>0</v>
      </c>
      <c r="P187" t="n">
        <v>0</v>
      </c>
      <c r="Q187" t="n">
        <v>0</v>
      </c>
      <c r="R187" s="2" t="inlineStr"/>
    </row>
    <row r="188" ht="15" customHeight="1">
      <c r="A188" t="inlineStr">
        <is>
          <t>A 11219-2023</t>
        </is>
      </c>
      <c r="B188" s="1" t="n">
        <v>44992.62498842592</v>
      </c>
      <c r="C188" s="1" t="n">
        <v>46184</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11442-2025</t>
        </is>
      </c>
      <c r="B189" s="1" t="n">
        <v>45726.62721064815</v>
      </c>
      <c r="C189" s="1" t="n">
        <v>46184</v>
      </c>
      <c r="D189" t="inlineStr">
        <is>
          <t>KALMAR LÄN</t>
        </is>
      </c>
      <c r="E189" t="inlineStr">
        <is>
          <t>VIMMERBY</t>
        </is>
      </c>
      <c r="G189" t="n">
        <v>2.6</v>
      </c>
      <c r="H189" t="n">
        <v>0</v>
      </c>
      <c r="I189" t="n">
        <v>0</v>
      </c>
      <c r="J189" t="n">
        <v>0</v>
      </c>
      <c r="K189" t="n">
        <v>0</v>
      </c>
      <c r="L189" t="n">
        <v>0</v>
      </c>
      <c r="M189" t="n">
        <v>0</v>
      </c>
      <c r="N189" t="n">
        <v>0</v>
      </c>
      <c r="O189" t="n">
        <v>0</v>
      </c>
      <c r="P189" t="n">
        <v>0</v>
      </c>
      <c r="Q189" t="n">
        <v>0</v>
      </c>
      <c r="R189" s="2" t="inlineStr"/>
    </row>
    <row r="190" ht="15" customHeight="1">
      <c r="A190" t="inlineStr">
        <is>
          <t>A 47855-2024</t>
        </is>
      </c>
      <c r="B190" s="1" t="n">
        <v>45588.66457175926</v>
      </c>
      <c r="C190" s="1" t="n">
        <v>46184</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39803-2025</t>
        </is>
      </c>
      <c r="B191" s="1" t="n">
        <v>45891.50525462963</v>
      </c>
      <c r="C191" s="1" t="n">
        <v>46184</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39584-2024</t>
        </is>
      </c>
      <c r="B192" s="1" t="n">
        <v>45552.36759259259</v>
      </c>
      <c r="C192" s="1" t="n">
        <v>46184</v>
      </c>
      <c r="D192" t="inlineStr">
        <is>
          <t>KALMAR LÄN</t>
        </is>
      </c>
      <c r="E192" t="inlineStr">
        <is>
          <t>VIMMERBY</t>
        </is>
      </c>
      <c r="G192" t="n">
        <v>1.9</v>
      </c>
      <c r="H192" t="n">
        <v>0</v>
      </c>
      <c r="I192" t="n">
        <v>0</v>
      </c>
      <c r="J192" t="n">
        <v>0</v>
      </c>
      <c r="K192" t="n">
        <v>0</v>
      </c>
      <c r="L192" t="n">
        <v>0</v>
      </c>
      <c r="M192" t="n">
        <v>0</v>
      </c>
      <c r="N192" t="n">
        <v>0</v>
      </c>
      <c r="O192" t="n">
        <v>0</v>
      </c>
      <c r="P192" t="n">
        <v>0</v>
      </c>
      <c r="Q192" t="n">
        <v>0</v>
      </c>
      <c r="R192" s="2" t="inlineStr"/>
    </row>
    <row r="193" ht="15" customHeight="1">
      <c r="A193" t="inlineStr">
        <is>
          <t>A 51881-2024</t>
        </is>
      </c>
      <c r="B193" s="1" t="n">
        <v>45607.56773148148</v>
      </c>
      <c r="C193" s="1" t="n">
        <v>46184</v>
      </c>
      <c r="D193" t="inlineStr">
        <is>
          <t>KALMAR LÄN</t>
        </is>
      </c>
      <c r="E193" t="inlineStr">
        <is>
          <t>VIMMERBY</t>
        </is>
      </c>
      <c r="G193" t="n">
        <v>3.4</v>
      </c>
      <c r="H193" t="n">
        <v>0</v>
      </c>
      <c r="I193" t="n">
        <v>0</v>
      </c>
      <c r="J193" t="n">
        <v>0</v>
      </c>
      <c r="K193" t="n">
        <v>0</v>
      </c>
      <c r="L193" t="n">
        <v>0</v>
      </c>
      <c r="M193" t="n">
        <v>0</v>
      </c>
      <c r="N193" t="n">
        <v>0</v>
      </c>
      <c r="O193" t="n">
        <v>0</v>
      </c>
      <c r="P193" t="n">
        <v>0</v>
      </c>
      <c r="Q193" t="n">
        <v>0</v>
      </c>
      <c r="R193" s="2" t="inlineStr"/>
    </row>
    <row r="194" ht="15" customHeight="1">
      <c r="A194" t="inlineStr">
        <is>
          <t>A 2596-2025</t>
        </is>
      </c>
      <c r="B194" s="1" t="n">
        <v>45674.71810185185</v>
      </c>
      <c r="C194" s="1" t="n">
        <v>46184</v>
      </c>
      <c r="D194" t="inlineStr">
        <is>
          <t>KALMAR LÄN</t>
        </is>
      </c>
      <c r="E194" t="inlineStr">
        <is>
          <t>VIMMERBY</t>
        </is>
      </c>
      <c r="G194" t="n">
        <v>9</v>
      </c>
      <c r="H194" t="n">
        <v>0</v>
      </c>
      <c r="I194" t="n">
        <v>0</v>
      </c>
      <c r="J194" t="n">
        <v>0</v>
      </c>
      <c r="K194" t="n">
        <v>0</v>
      </c>
      <c r="L194" t="n">
        <v>0</v>
      </c>
      <c r="M194" t="n">
        <v>0</v>
      </c>
      <c r="N194" t="n">
        <v>0</v>
      </c>
      <c r="O194" t="n">
        <v>0</v>
      </c>
      <c r="P194" t="n">
        <v>0</v>
      </c>
      <c r="Q194" t="n">
        <v>0</v>
      </c>
      <c r="R194" s="2" t="inlineStr"/>
    </row>
    <row r="195" ht="15" customHeight="1">
      <c r="A195" t="inlineStr">
        <is>
          <t>A 16734-2023</t>
        </is>
      </c>
      <c r="B195" s="1" t="n">
        <v>45030.71012731481</v>
      </c>
      <c r="C195" s="1" t="n">
        <v>46184</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41591-2025</t>
        </is>
      </c>
      <c r="B196" s="1" t="n">
        <v>45901.6327662037</v>
      </c>
      <c r="C196" s="1" t="n">
        <v>46184</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40971-2025</t>
        </is>
      </c>
      <c r="B197" s="1" t="n">
        <v>45897.88836805556</v>
      </c>
      <c r="C197" s="1" t="n">
        <v>46184</v>
      </c>
      <c r="D197" t="inlineStr">
        <is>
          <t>KALMAR LÄN</t>
        </is>
      </c>
      <c r="E197" t="inlineStr">
        <is>
          <t>VIMMERBY</t>
        </is>
      </c>
      <c r="G197" t="n">
        <v>1.5</v>
      </c>
      <c r="H197" t="n">
        <v>0</v>
      </c>
      <c r="I197" t="n">
        <v>0</v>
      </c>
      <c r="J197" t="n">
        <v>0</v>
      </c>
      <c r="K197" t="n">
        <v>0</v>
      </c>
      <c r="L197" t="n">
        <v>0</v>
      </c>
      <c r="M197" t="n">
        <v>0</v>
      </c>
      <c r="N197" t="n">
        <v>0</v>
      </c>
      <c r="O197" t="n">
        <v>0</v>
      </c>
      <c r="P197" t="n">
        <v>0</v>
      </c>
      <c r="Q197" t="n">
        <v>0</v>
      </c>
      <c r="R197" s="2" t="inlineStr"/>
    </row>
    <row r="198" ht="15" customHeight="1">
      <c r="A198" t="inlineStr">
        <is>
          <t>A 41589-2025</t>
        </is>
      </c>
      <c r="B198" s="1" t="n">
        <v>45901.63219907408</v>
      </c>
      <c r="C198" s="1" t="n">
        <v>46184</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52324-2023</t>
        </is>
      </c>
      <c r="B199" s="1" t="n">
        <v>45224.64659722222</v>
      </c>
      <c r="C199" s="1" t="n">
        <v>46184</v>
      </c>
      <c r="D199" t="inlineStr">
        <is>
          <t>KALMAR LÄN</t>
        </is>
      </c>
      <c r="E199" t="inlineStr">
        <is>
          <t>VIMMERBY</t>
        </is>
      </c>
      <c r="F199" t="inlineStr">
        <is>
          <t>Sveaskog</t>
        </is>
      </c>
      <c r="G199" t="n">
        <v>2.9</v>
      </c>
      <c r="H199" t="n">
        <v>0</v>
      </c>
      <c r="I199" t="n">
        <v>0</v>
      </c>
      <c r="J199" t="n">
        <v>0</v>
      </c>
      <c r="K199" t="n">
        <v>0</v>
      </c>
      <c r="L199" t="n">
        <v>0</v>
      </c>
      <c r="M199" t="n">
        <v>0</v>
      </c>
      <c r="N199" t="n">
        <v>0</v>
      </c>
      <c r="O199" t="n">
        <v>0</v>
      </c>
      <c r="P199" t="n">
        <v>0</v>
      </c>
      <c r="Q199" t="n">
        <v>0</v>
      </c>
      <c r="R199" s="2" t="inlineStr"/>
    </row>
    <row r="200" ht="15" customHeight="1">
      <c r="A200" t="inlineStr">
        <is>
          <t>A 40970-2025</t>
        </is>
      </c>
      <c r="B200" s="1" t="n">
        <v>45897.88706018519</v>
      </c>
      <c r="C200" s="1" t="n">
        <v>46184</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40973-2025</t>
        </is>
      </c>
      <c r="B201" s="1" t="n">
        <v>45897.89737268518</v>
      </c>
      <c r="C201" s="1" t="n">
        <v>46184</v>
      </c>
      <c r="D201" t="inlineStr">
        <is>
          <t>KALMAR LÄN</t>
        </is>
      </c>
      <c r="E201" t="inlineStr">
        <is>
          <t>VIMMERBY</t>
        </is>
      </c>
      <c r="G201" t="n">
        <v>1.8</v>
      </c>
      <c r="H201" t="n">
        <v>0</v>
      </c>
      <c r="I201" t="n">
        <v>0</v>
      </c>
      <c r="J201" t="n">
        <v>0</v>
      </c>
      <c r="K201" t="n">
        <v>0</v>
      </c>
      <c r="L201" t="n">
        <v>0</v>
      </c>
      <c r="M201" t="n">
        <v>0</v>
      </c>
      <c r="N201" t="n">
        <v>0</v>
      </c>
      <c r="O201" t="n">
        <v>0</v>
      </c>
      <c r="P201" t="n">
        <v>0</v>
      </c>
      <c r="Q201" t="n">
        <v>0</v>
      </c>
      <c r="R201" s="2" t="inlineStr"/>
    </row>
    <row r="202" ht="15" customHeight="1">
      <c r="A202" t="inlineStr">
        <is>
          <t>A 23984-2025</t>
        </is>
      </c>
      <c r="B202" s="1" t="n">
        <v>45796</v>
      </c>
      <c r="C202" s="1" t="n">
        <v>46184</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34090-2025</t>
        </is>
      </c>
      <c r="B203" s="1" t="n">
        <v>45845</v>
      </c>
      <c r="C203" s="1" t="n">
        <v>46184</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23341-2022</t>
        </is>
      </c>
      <c r="B204" s="1" t="n">
        <v>44720.53898148148</v>
      </c>
      <c r="C204" s="1" t="n">
        <v>46184</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37028-2024</t>
        </is>
      </c>
      <c r="B205" s="1" t="n">
        <v>45539.38744212963</v>
      </c>
      <c r="C205" s="1" t="n">
        <v>46184</v>
      </c>
      <c r="D205" t="inlineStr">
        <is>
          <t>KALMAR LÄN</t>
        </is>
      </c>
      <c r="E205" t="inlineStr">
        <is>
          <t>VIMMERBY</t>
        </is>
      </c>
      <c r="G205" t="n">
        <v>5.2</v>
      </c>
      <c r="H205" t="n">
        <v>0</v>
      </c>
      <c r="I205" t="n">
        <v>0</v>
      </c>
      <c r="J205" t="n">
        <v>0</v>
      </c>
      <c r="K205" t="n">
        <v>0</v>
      </c>
      <c r="L205" t="n">
        <v>0</v>
      </c>
      <c r="M205" t="n">
        <v>0</v>
      </c>
      <c r="N205" t="n">
        <v>0</v>
      </c>
      <c r="O205" t="n">
        <v>0</v>
      </c>
      <c r="P205" t="n">
        <v>0</v>
      </c>
      <c r="Q205" t="n">
        <v>0</v>
      </c>
      <c r="R205" s="2" t="inlineStr"/>
    </row>
    <row r="206" ht="15" customHeight="1">
      <c r="A206" t="inlineStr">
        <is>
          <t>A 35082-2024</t>
        </is>
      </c>
      <c r="B206" s="1" t="n">
        <v>45527.68784722222</v>
      </c>
      <c r="C206" s="1" t="n">
        <v>46184</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6668-2023</t>
        </is>
      </c>
      <c r="B207" s="1" t="n">
        <v>44966</v>
      </c>
      <c r="C207" s="1" t="n">
        <v>46184</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29168-2024</t>
        </is>
      </c>
      <c r="B208" s="1" t="n">
        <v>45482.49870370371</v>
      </c>
      <c r="C208" s="1" t="n">
        <v>46184</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55236-2023</t>
        </is>
      </c>
      <c r="B209" s="1" t="n">
        <v>45237.63225694445</v>
      </c>
      <c r="C209" s="1" t="n">
        <v>46184</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55245-2023</t>
        </is>
      </c>
      <c r="B210" s="1" t="n">
        <v>45237.64408564815</v>
      </c>
      <c r="C210" s="1" t="n">
        <v>46184</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36055-2024</t>
        </is>
      </c>
      <c r="B211" s="1" t="n">
        <v>45533.63056712963</v>
      </c>
      <c r="C211" s="1" t="n">
        <v>46184</v>
      </c>
      <c r="D211" t="inlineStr">
        <is>
          <t>KALMAR LÄN</t>
        </is>
      </c>
      <c r="E211" t="inlineStr">
        <is>
          <t>VIMMERBY</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51278-2024</t>
        </is>
      </c>
      <c r="B212" s="1" t="n">
        <v>45603.74959490741</v>
      </c>
      <c r="C212" s="1" t="n">
        <v>46184</v>
      </c>
      <c r="D212" t="inlineStr">
        <is>
          <t>KALMAR LÄN</t>
        </is>
      </c>
      <c r="E212" t="inlineStr">
        <is>
          <t>VIMMERBY</t>
        </is>
      </c>
      <c r="G212" t="n">
        <v>3.4</v>
      </c>
      <c r="H212" t="n">
        <v>0</v>
      </c>
      <c r="I212" t="n">
        <v>0</v>
      </c>
      <c r="J212" t="n">
        <v>0</v>
      </c>
      <c r="K212" t="n">
        <v>0</v>
      </c>
      <c r="L212" t="n">
        <v>0</v>
      </c>
      <c r="M212" t="n">
        <v>0</v>
      </c>
      <c r="N212" t="n">
        <v>0</v>
      </c>
      <c r="O212" t="n">
        <v>0</v>
      </c>
      <c r="P212" t="n">
        <v>0</v>
      </c>
      <c r="Q212" t="n">
        <v>0</v>
      </c>
      <c r="R212" s="2" t="inlineStr"/>
    </row>
    <row r="213" ht="15" customHeight="1">
      <c r="A213" t="inlineStr">
        <is>
          <t>A 9456-2025</t>
        </is>
      </c>
      <c r="B213" s="1" t="n">
        <v>45715.44159722222</v>
      </c>
      <c r="C213" s="1" t="n">
        <v>46184</v>
      </c>
      <c r="D213" t="inlineStr">
        <is>
          <t>KALMAR LÄN</t>
        </is>
      </c>
      <c r="E213" t="inlineStr">
        <is>
          <t>VIMMERBY</t>
        </is>
      </c>
      <c r="G213" t="n">
        <v>1.5</v>
      </c>
      <c r="H213" t="n">
        <v>0</v>
      </c>
      <c r="I213" t="n">
        <v>0</v>
      </c>
      <c r="J213" t="n">
        <v>0</v>
      </c>
      <c r="K213" t="n">
        <v>0</v>
      </c>
      <c r="L213" t="n">
        <v>0</v>
      </c>
      <c r="M213" t="n">
        <v>0</v>
      </c>
      <c r="N213" t="n">
        <v>0</v>
      </c>
      <c r="O213" t="n">
        <v>0</v>
      </c>
      <c r="P213" t="n">
        <v>0</v>
      </c>
      <c r="Q213" t="n">
        <v>0</v>
      </c>
      <c r="R213" s="2" t="inlineStr"/>
    </row>
    <row r="214" ht="15" customHeight="1">
      <c r="A214" t="inlineStr">
        <is>
          <t>A 11111-2023</t>
        </is>
      </c>
      <c r="B214" s="1" t="n">
        <v>44992.4255787037</v>
      </c>
      <c r="C214" s="1" t="n">
        <v>46184</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51062-2025</t>
        </is>
      </c>
      <c r="B215" s="1" t="n">
        <v>45947.44685185186</v>
      </c>
      <c r="C215" s="1" t="n">
        <v>46184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44582-2024</t>
        </is>
      </c>
      <c r="B216" s="1" t="n">
        <v>45574.49298611111</v>
      </c>
      <c r="C216" s="1" t="n">
        <v>46184</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46184</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15494-2024</t>
        </is>
      </c>
      <c r="B218" s="1" t="n">
        <v>45401.53033564815</v>
      </c>
      <c r="C218" s="1" t="n">
        <v>46184</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845-2023</t>
        </is>
      </c>
      <c r="B219" s="1" t="n">
        <v>44931</v>
      </c>
      <c r="C219" s="1" t="n">
        <v>46184</v>
      </c>
      <c r="D219" t="inlineStr">
        <is>
          <t>KALMAR LÄN</t>
        </is>
      </c>
      <c r="E219" t="inlineStr">
        <is>
          <t>VIMMERBY</t>
        </is>
      </c>
      <c r="F219" t="inlineStr">
        <is>
          <t>Övriga Aktiebolag</t>
        </is>
      </c>
      <c r="G219" t="n">
        <v>19</v>
      </c>
      <c r="H219" t="n">
        <v>0</v>
      </c>
      <c r="I219" t="n">
        <v>0</v>
      </c>
      <c r="J219" t="n">
        <v>0</v>
      </c>
      <c r="K219" t="n">
        <v>0</v>
      </c>
      <c r="L219" t="n">
        <v>0</v>
      </c>
      <c r="M219" t="n">
        <v>0</v>
      </c>
      <c r="N219" t="n">
        <v>0</v>
      </c>
      <c r="O219" t="n">
        <v>0</v>
      </c>
      <c r="P219" t="n">
        <v>0</v>
      </c>
      <c r="Q219" t="n">
        <v>0</v>
      </c>
      <c r="R219" s="2" t="inlineStr"/>
    </row>
    <row r="220" ht="15" customHeight="1">
      <c r="A220" t="inlineStr">
        <is>
          <t>A 58724-2024</t>
        </is>
      </c>
      <c r="B220" s="1" t="n">
        <v>45635.66409722222</v>
      </c>
      <c r="C220" s="1" t="n">
        <v>46184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25792-2025</t>
        </is>
      </c>
      <c r="B221" s="1" t="n">
        <v>45804.39141203704</v>
      </c>
      <c r="C221" s="1" t="n">
        <v>46184</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44095-2025</t>
        </is>
      </c>
      <c r="B222" s="1" t="n">
        <v>45915.56430555556</v>
      </c>
      <c r="C222" s="1" t="n">
        <v>46184</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26046-2025</t>
        </is>
      </c>
      <c r="B223" s="1" t="n">
        <v>45804.708125</v>
      </c>
      <c r="C223" s="1" t="n">
        <v>46184</v>
      </c>
      <c r="D223" t="inlineStr">
        <is>
          <t>KALMAR LÄN</t>
        </is>
      </c>
      <c r="E223" t="inlineStr">
        <is>
          <t>VIMMERBY</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6321-2023</t>
        </is>
      </c>
      <c r="B224" s="1" t="n">
        <v>44965.4815162037</v>
      </c>
      <c r="C224" s="1" t="n">
        <v>46184</v>
      </c>
      <c r="D224" t="inlineStr">
        <is>
          <t>KALMAR LÄN</t>
        </is>
      </c>
      <c r="E224" t="inlineStr">
        <is>
          <t>VIMMERBY</t>
        </is>
      </c>
      <c r="G224" t="n">
        <v>1.8</v>
      </c>
      <c r="H224" t="n">
        <v>0</v>
      </c>
      <c r="I224" t="n">
        <v>0</v>
      </c>
      <c r="J224" t="n">
        <v>0</v>
      </c>
      <c r="K224" t="n">
        <v>0</v>
      </c>
      <c r="L224" t="n">
        <v>0</v>
      </c>
      <c r="M224" t="n">
        <v>0</v>
      </c>
      <c r="N224" t="n">
        <v>0</v>
      </c>
      <c r="O224" t="n">
        <v>0</v>
      </c>
      <c r="P224" t="n">
        <v>0</v>
      </c>
      <c r="Q224" t="n">
        <v>0</v>
      </c>
      <c r="R224" s="2" t="inlineStr"/>
    </row>
    <row r="225" ht="15" customHeight="1">
      <c r="A225" t="inlineStr">
        <is>
          <t>A 4624-2024</t>
        </is>
      </c>
      <c r="B225" s="1" t="n">
        <v>45328.38755787037</v>
      </c>
      <c r="C225" s="1" t="n">
        <v>46184</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51990-2025</t>
        </is>
      </c>
      <c r="B226" s="1" t="n">
        <v>45952.58061342593</v>
      </c>
      <c r="C226" s="1" t="n">
        <v>46184</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44091-2025</t>
        </is>
      </c>
      <c r="B227" s="1" t="n">
        <v>45915.55950231481</v>
      </c>
      <c r="C227" s="1" t="n">
        <v>46184</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26207-2025</t>
        </is>
      </c>
      <c r="B228" s="1" t="n">
        <v>45805.52983796296</v>
      </c>
      <c r="C228" s="1" t="n">
        <v>46184</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40730-2024</t>
        </is>
      </c>
      <c r="B229" s="1" t="n">
        <v>45558.44914351852</v>
      </c>
      <c r="C229" s="1" t="n">
        <v>46184</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46184</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49461-2022</t>
        </is>
      </c>
      <c r="B231" s="1" t="n">
        <v>44861</v>
      </c>
      <c r="C231" s="1" t="n">
        <v>46184</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694-2024</t>
        </is>
      </c>
      <c r="B232" s="1" t="n">
        <v>45300.3794212963</v>
      </c>
      <c r="C232" s="1" t="n">
        <v>46184</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59598-2023</t>
        </is>
      </c>
      <c r="B233" s="1" t="n">
        <v>45254.62489583333</v>
      </c>
      <c r="C233" s="1" t="n">
        <v>46184</v>
      </c>
      <c r="D233" t="inlineStr">
        <is>
          <t>KALMAR LÄN</t>
        </is>
      </c>
      <c r="E233" t="inlineStr">
        <is>
          <t>VIMMERBY</t>
        </is>
      </c>
      <c r="F233" t="inlineStr">
        <is>
          <t>Övriga Aktiebolag</t>
        </is>
      </c>
      <c r="G233" t="n">
        <v>4</v>
      </c>
      <c r="H233" t="n">
        <v>0</v>
      </c>
      <c r="I233" t="n">
        <v>0</v>
      </c>
      <c r="J233" t="n">
        <v>0</v>
      </c>
      <c r="K233" t="n">
        <v>0</v>
      </c>
      <c r="L233" t="n">
        <v>0</v>
      </c>
      <c r="M233" t="n">
        <v>0</v>
      </c>
      <c r="N233" t="n">
        <v>0</v>
      </c>
      <c r="O233" t="n">
        <v>0</v>
      </c>
      <c r="P233" t="n">
        <v>0</v>
      </c>
      <c r="Q233" t="n">
        <v>0</v>
      </c>
      <c r="R233" s="2" t="inlineStr"/>
    </row>
    <row r="234" ht="15" customHeight="1">
      <c r="A234" t="inlineStr">
        <is>
          <t>A 7944-2024</t>
        </is>
      </c>
      <c r="B234" s="1" t="n">
        <v>45350.53306712963</v>
      </c>
      <c r="C234" s="1" t="n">
        <v>46184</v>
      </c>
      <c r="D234" t="inlineStr">
        <is>
          <t>KALMAR LÄN</t>
        </is>
      </c>
      <c r="E234" t="inlineStr">
        <is>
          <t>VIMMERBY</t>
        </is>
      </c>
      <c r="G234" t="n">
        <v>1.2</v>
      </c>
      <c r="H234" t="n">
        <v>0</v>
      </c>
      <c r="I234" t="n">
        <v>0</v>
      </c>
      <c r="J234" t="n">
        <v>0</v>
      </c>
      <c r="K234" t="n">
        <v>0</v>
      </c>
      <c r="L234" t="n">
        <v>0</v>
      </c>
      <c r="M234" t="n">
        <v>0</v>
      </c>
      <c r="N234" t="n">
        <v>0</v>
      </c>
      <c r="O234" t="n">
        <v>0</v>
      </c>
      <c r="P234" t="n">
        <v>0</v>
      </c>
      <c r="Q234" t="n">
        <v>0</v>
      </c>
      <c r="R234" s="2" t="inlineStr"/>
    </row>
    <row r="235" ht="15" customHeight="1">
      <c r="A235" t="inlineStr">
        <is>
          <t>A 21496-2023</t>
        </is>
      </c>
      <c r="B235" s="1" t="n">
        <v>45063.49936342592</v>
      </c>
      <c r="C235" s="1" t="n">
        <v>46184</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35198-2023</t>
        </is>
      </c>
      <c r="B236" s="1" t="n">
        <v>45145</v>
      </c>
      <c r="C236" s="1" t="n">
        <v>46184</v>
      </c>
      <c r="D236" t="inlineStr">
        <is>
          <t>KALMAR LÄN</t>
        </is>
      </c>
      <c r="E236" t="inlineStr">
        <is>
          <t>VIMMERBY</t>
        </is>
      </c>
      <c r="G236" t="n">
        <v>1.6</v>
      </c>
      <c r="H236" t="n">
        <v>0</v>
      </c>
      <c r="I236" t="n">
        <v>0</v>
      </c>
      <c r="J236" t="n">
        <v>0</v>
      </c>
      <c r="K236" t="n">
        <v>0</v>
      </c>
      <c r="L236" t="n">
        <v>0</v>
      </c>
      <c r="M236" t="n">
        <v>0</v>
      </c>
      <c r="N236" t="n">
        <v>0</v>
      </c>
      <c r="O236" t="n">
        <v>0</v>
      </c>
      <c r="P236" t="n">
        <v>0</v>
      </c>
      <c r="Q236" t="n">
        <v>0</v>
      </c>
      <c r="R236" s="2" t="inlineStr"/>
    </row>
    <row r="237" ht="15" customHeight="1">
      <c r="A237" t="inlineStr">
        <is>
          <t>A 28294-2025</t>
        </is>
      </c>
      <c r="B237" s="1" t="n">
        <v>45818.595625</v>
      </c>
      <c r="C237" s="1" t="n">
        <v>46184</v>
      </c>
      <c r="D237" t="inlineStr">
        <is>
          <t>KALMAR LÄN</t>
        </is>
      </c>
      <c r="E237" t="inlineStr">
        <is>
          <t>VIMMERBY</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28290-2025</t>
        </is>
      </c>
      <c r="B238" s="1" t="n">
        <v>45818.59261574074</v>
      </c>
      <c r="C238" s="1" t="n">
        <v>46184</v>
      </c>
      <c r="D238" t="inlineStr">
        <is>
          <t>KALMAR LÄN</t>
        </is>
      </c>
      <c r="E238" t="inlineStr">
        <is>
          <t>VIMMERBY</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43853-2023</t>
        </is>
      </c>
      <c r="B239" s="1" t="n">
        <v>45187.60813657408</v>
      </c>
      <c r="C239" s="1" t="n">
        <v>46184</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9511-2023</t>
        </is>
      </c>
      <c r="B240" s="1" t="n">
        <v>44981.64725694444</v>
      </c>
      <c r="C240" s="1" t="n">
        <v>46184</v>
      </c>
      <c r="D240" t="inlineStr">
        <is>
          <t>KALMAR LÄN</t>
        </is>
      </c>
      <c r="E240" t="inlineStr">
        <is>
          <t>VIMMERBY</t>
        </is>
      </c>
      <c r="G240" t="n">
        <v>3.5</v>
      </c>
      <c r="H240" t="n">
        <v>0</v>
      </c>
      <c r="I240" t="n">
        <v>0</v>
      </c>
      <c r="J240" t="n">
        <v>0</v>
      </c>
      <c r="K240" t="n">
        <v>0</v>
      </c>
      <c r="L240" t="n">
        <v>0</v>
      </c>
      <c r="M240" t="n">
        <v>0</v>
      </c>
      <c r="N240" t="n">
        <v>0</v>
      </c>
      <c r="O240" t="n">
        <v>0</v>
      </c>
      <c r="P240" t="n">
        <v>0</v>
      </c>
      <c r="Q240" t="n">
        <v>0</v>
      </c>
      <c r="R240" s="2" t="inlineStr"/>
    </row>
    <row r="241" ht="15" customHeight="1">
      <c r="A241" t="inlineStr">
        <is>
          <t>A 38757-2023</t>
        </is>
      </c>
      <c r="B241" s="1" t="n">
        <v>45163.41376157408</v>
      </c>
      <c r="C241" s="1" t="n">
        <v>46184</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28713-2025</t>
        </is>
      </c>
      <c r="B242" s="1" t="n">
        <v>45820.33930555556</v>
      </c>
      <c r="C242" s="1" t="n">
        <v>46184</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52466-2025</t>
        </is>
      </c>
      <c r="B243" s="1" t="n">
        <v>45954.44707175926</v>
      </c>
      <c r="C243" s="1" t="n">
        <v>46184</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29737-2025</t>
        </is>
      </c>
      <c r="B244" s="1" t="n">
        <v>45825.58672453704</v>
      </c>
      <c r="C244" s="1" t="n">
        <v>46184</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64143-2021</t>
        </is>
      </c>
      <c r="B245" s="1" t="n">
        <v>44510.52157407408</v>
      </c>
      <c r="C245" s="1" t="n">
        <v>46184</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73938-2021</t>
        </is>
      </c>
      <c r="B246" s="1" t="n">
        <v>44553</v>
      </c>
      <c r="C246" s="1" t="n">
        <v>46184</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47227-2025</t>
        </is>
      </c>
      <c r="B247" s="1" t="n">
        <v>45930.39769675926</v>
      </c>
      <c r="C247" s="1" t="n">
        <v>46184</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40076-2021</t>
        </is>
      </c>
      <c r="B248" s="1" t="n">
        <v>44418</v>
      </c>
      <c r="C248" s="1" t="n">
        <v>46184</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30293-2025</t>
        </is>
      </c>
      <c r="B249" s="1" t="n">
        <v>45827</v>
      </c>
      <c r="C249" s="1" t="n">
        <v>46184</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52475-2025</t>
        </is>
      </c>
      <c r="B250" s="1" t="n">
        <v>45954.468125</v>
      </c>
      <c r="C250" s="1" t="n">
        <v>46184</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50648-2023</t>
        </is>
      </c>
      <c r="B251" s="1" t="n">
        <v>45217.47834490741</v>
      </c>
      <c r="C251" s="1" t="n">
        <v>46184</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529-2022</t>
        </is>
      </c>
      <c r="B252" s="1" t="n">
        <v>44566</v>
      </c>
      <c r="C252" s="1" t="n">
        <v>46184</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58318-2021</t>
        </is>
      </c>
      <c r="B253" s="1" t="n">
        <v>44488.35878472222</v>
      </c>
      <c r="C253" s="1" t="n">
        <v>46184</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89-2023</t>
        </is>
      </c>
      <c r="B254" s="1" t="n">
        <v>44918</v>
      </c>
      <c r="C254" s="1" t="n">
        <v>46184</v>
      </c>
      <c r="D254" t="inlineStr">
        <is>
          <t>KALMAR LÄN</t>
        </is>
      </c>
      <c r="E254" t="inlineStr">
        <is>
          <t>VIMMERBY</t>
        </is>
      </c>
      <c r="G254" t="n">
        <v>16.1</v>
      </c>
      <c r="H254" t="n">
        <v>0</v>
      </c>
      <c r="I254" t="n">
        <v>0</v>
      </c>
      <c r="J254" t="n">
        <v>0</v>
      </c>
      <c r="K254" t="n">
        <v>0</v>
      </c>
      <c r="L254" t="n">
        <v>0</v>
      </c>
      <c r="M254" t="n">
        <v>0</v>
      </c>
      <c r="N254" t="n">
        <v>0</v>
      </c>
      <c r="O254" t="n">
        <v>0</v>
      </c>
      <c r="P254" t="n">
        <v>0</v>
      </c>
      <c r="Q254" t="n">
        <v>0</v>
      </c>
      <c r="R254" s="2" t="inlineStr"/>
    </row>
    <row r="255" ht="15" customHeight="1">
      <c r="A255" t="inlineStr">
        <is>
          <t>A 53396-2025</t>
        </is>
      </c>
      <c r="B255" s="1" t="n">
        <v>45959.55577546296</v>
      </c>
      <c r="C255" s="1" t="n">
        <v>46184</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53398-2025</t>
        </is>
      </c>
      <c r="B256" s="1" t="n">
        <v>45959.56247685185</v>
      </c>
      <c r="C256" s="1" t="n">
        <v>46184</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23088-2024</t>
        </is>
      </c>
      <c r="B257" s="1" t="n">
        <v>45450.51092592593</v>
      </c>
      <c r="C257" s="1" t="n">
        <v>46184</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38851-2023</t>
        </is>
      </c>
      <c r="B258" s="1" t="n">
        <v>45163</v>
      </c>
      <c r="C258" s="1" t="n">
        <v>46184</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53397-2025</t>
        </is>
      </c>
      <c r="B259" s="1" t="n">
        <v>45959.55918981481</v>
      </c>
      <c r="C259" s="1" t="n">
        <v>46184</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10759-2023</t>
        </is>
      </c>
      <c r="B260" s="1" t="n">
        <v>44988</v>
      </c>
      <c r="C260" s="1" t="n">
        <v>46184</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63583-2023</t>
        </is>
      </c>
      <c r="B261" s="1" t="n">
        <v>45275.41833333333</v>
      </c>
      <c r="C261" s="1" t="n">
        <v>46184</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30971-2025</t>
        </is>
      </c>
      <c r="B262" s="1" t="n">
        <v>45832.46146990741</v>
      </c>
      <c r="C262" s="1" t="n">
        <v>46184</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31551-2025</t>
        </is>
      </c>
      <c r="B263" s="1" t="n">
        <v>45833.64237268519</v>
      </c>
      <c r="C263" s="1" t="n">
        <v>46184</v>
      </c>
      <c r="D263" t="inlineStr">
        <is>
          <t>KALMAR LÄN</t>
        </is>
      </c>
      <c r="E263" t="inlineStr">
        <is>
          <t>VIMMERBY</t>
        </is>
      </c>
      <c r="G263" t="n">
        <v>1.9</v>
      </c>
      <c r="H263" t="n">
        <v>0</v>
      </c>
      <c r="I263" t="n">
        <v>0</v>
      </c>
      <c r="J263" t="n">
        <v>0</v>
      </c>
      <c r="K263" t="n">
        <v>0</v>
      </c>
      <c r="L263" t="n">
        <v>0</v>
      </c>
      <c r="M263" t="n">
        <v>0</v>
      </c>
      <c r="N263" t="n">
        <v>0</v>
      </c>
      <c r="O263" t="n">
        <v>0</v>
      </c>
      <c r="P263" t="n">
        <v>0</v>
      </c>
      <c r="Q263" t="n">
        <v>0</v>
      </c>
      <c r="R263" s="2" t="inlineStr"/>
    </row>
    <row r="264" ht="15" customHeight="1">
      <c r="A264" t="inlineStr">
        <is>
          <t>A 40079-2023</t>
        </is>
      </c>
      <c r="B264" s="1" t="n">
        <v>45168.89298611111</v>
      </c>
      <c r="C264" s="1" t="n">
        <v>46184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43774-2023</t>
        </is>
      </c>
      <c r="B265" s="1" t="n">
        <v>45187</v>
      </c>
      <c r="C265" s="1" t="n">
        <v>46184</v>
      </c>
      <c r="D265" t="inlineStr">
        <is>
          <t>KALMAR LÄN</t>
        </is>
      </c>
      <c r="E265" t="inlineStr">
        <is>
          <t>VIMMERBY</t>
        </is>
      </c>
      <c r="G265" t="n">
        <v>3.4</v>
      </c>
      <c r="H265" t="n">
        <v>0</v>
      </c>
      <c r="I265" t="n">
        <v>0</v>
      </c>
      <c r="J265" t="n">
        <v>0</v>
      </c>
      <c r="K265" t="n">
        <v>0</v>
      </c>
      <c r="L265" t="n">
        <v>0</v>
      </c>
      <c r="M265" t="n">
        <v>0</v>
      </c>
      <c r="N265" t="n">
        <v>0</v>
      </c>
      <c r="O265" t="n">
        <v>0</v>
      </c>
      <c r="P265" t="n">
        <v>0</v>
      </c>
      <c r="Q265" t="n">
        <v>0</v>
      </c>
      <c r="R265" s="2" t="inlineStr"/>
    </row>
    <row r="266" ht="15" customHeight="1">
      <c r="A266" t="inlineStr">
        <is>
          <t>A 30882-2025</t>
        </is>
      </c>
      <c r="B266" s="1" t="n">
        <v>45832.34540509259</v>
      </c>
      <c r="C266" s="1" t="n">
        <v>46184</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29616-2022</t>
        </is>
      </c>
      <c r="B267" s="1" t="n">
        <v>44754</v>
      </c>
      <c r="C267" s="1" t="n">
        <v>46184</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39578-2024</t>
        </is>
      </c>
      <c r="B268" s="1" t="n">
        <v>45552.36484953704</v>
      </c>
      <c r="C268" s="1" t="n">
        <v>46184</v>
      </c>
      <c r="D268" t="inlineStr">
        <is>
          <t>KALMAR LÄN</t>
        </is>
      </c>
      <c r="E268" t="inlineStr">
        <is>
          <t>VIMMERBY</t>
        </is>
      </c>
      <c r="G268" t="n">
        <v>1.5</v>
      </c>
      <c r="H268" t="n">
        <v>0</v>
      </c>
      <c r="I268" t="n">
        <v>0</v>
      </c>
      <c r="J268" t="n">
        <v>0</v>
      </c>
      <c r="K268" t="n">
        <v>0</v>
      </c>
      <c r="L268" t="n">
        <v>0</v>
      </c>
      <c r="M268" t="n">
        <v>0</v>
      </c>
      <c r="N268" t="n">
        <v>0</v>
      </c>
      <c r="O268" t="n">
        <v>0</v>
      </c>
      <c r="P268" t="n">
        <v>0</v>
      </c>
      <c r="Q268" t="n">
        <v>0</v>
      </c>
      <c r="R268" s="2" t="inlineStr"/>
    </row>
    <row r="269" ht="15" customHeight="1">
      <c r="A269" t="inlineStr">
        <is>
          <t>A 53920-2025</t>
        </is>
      </c>
      <c r="B269" s="1" t="n">
        <v>45961.44951388889</v>
      </c>
      <c r="C269" s="1" t="n">
        <v>46184</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24707-2024</t>
        </is>
      </c>
      <c r="B270" s="1" t="n">
        <v>45460.62172453704</v>
      </c>
      <c r="C270" s="1" t="n">
        <v>46184</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8559-2025</t>
        </is>
      </c>
      <c r="B271" s="1" t="n">
        <v>45709.62280092593</v>
      </c>
      <c r="C271" s="1" t="n">
        <v>46184</v>
      </c>
      <c r="D271" t="inlineStr">
        <is>
          <t>KALMAR LÄN</t>
        </is>
      </c>
      <c r="E271" t="inlineStr">
        <is>
          <t>VIMMERBY</t>
        </is>
      </c>
      <c r="G271" t="n">
        <v>8.9</v>
      </c>
      <c r="H271" t="n">
        <v>0</v>
      </c>
      <c r="I271" t="n">
        <v>0</v>
      </c>
      <c r="J271" t="n">
        <v>0</v>
      </c>
      <c r="K271" t="n">
        <v>0</v>
      </c>
      <c r="L271" t="n">
        <v>0</v>
      </c>
      <c r="M271" t="n">
        <v>0</v>
      </c>
      <c r="N271" t="n">
        <v>0</v>
      </c>
      <c r="O271" t="n">
        <v>0</v>
      </c>
      <c r="P271" t="n">
        <v>0</v>
      </c>
      <c r="Q271" t="n">
        <v>0</v>
      </c>
      <c r="R271" s="2" t="inlineStr"/>
    </row>
    <row r="272" ht="15" customHeight="1">
      <c r="A272" t="inlineStr">
        <is>
          <t>A 32116-2025</t>
        </is>
      </c>
      <c r="B272" s="1" t="n">
        <v>45835.48862268519</v>
      </c>
      <c r="C272" s="1" t="n">
        <v>46184</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32077-2025</t>
        </is>
      </c>
      <c r="B273" s="1" t="n">
        <v>45835.45099537037</v>
      </c>
      <c r="C273" s="1" t="n">
        <v>46184</v>
      </c>
      <c r="D273" t="inlineStr">
        <is>
          <t>KALMAR LÄN</t>
        </is>
      </c>
      <c r="E273" t="inlineStr">
        <is>
          <t>VIMMERBY</t>
        </is>
      </c>
      <c r="G273" t="n">
        <v>1.8</v>
      </c>
      <c r="H273" t="n">
        <v>0</v>
      </c>
      <c r="I273" t="n">
        <v>0</v>
      </c>
      <c r="J273" t="n">
        <v>0</v>
      </c>
      <c r="K273" t="n">
        <v>0</v>
      </c>
      <c r="L273" t="n">
        <v>0</v>
      </c>
      <c r="M273" t="n">
        <v>0</v>
      </c>
      <c r="N273" t="n">
        <v>0</v>
      </c>
      <c r="O273" t="n">
        <v>0</v>
      </c>
      <c r="P273" t="n">
        <v>0</v>
      </c>
      <c r="Q273" t="n">
        <v>0</v>
      </c>
      <c r="R273" s="2" t="inlineStr"/>
    </row>
    <row r="274" ht="15" customHeight="1">
      <c r="A274" t="inlineStr">
        <is>
          <t>A 31056-2022</t>
        </is>
      </c>
      <c r="B274" s="1" t="n">
        <v>44769.45805555556</v>
      </c>
      <c r="C274" s="1" t="n">
        <v>46184</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33383-2023</t>
        </is>
      </c>
      <c r="B275" s="1" t="n">
        <v>45128.58414351852</v>
      </c>
      <c r="C275" s="1" t="n">
        <v>46184</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53933-2025</t>
        </is>
      </c>
      <c r="B276" s="1" t="n">
        <v>45961.47650462963</v>
      </c>
      <c r="C276" s="1" t="n">
        <v>46184</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40828-2023</t>
        </is>
      </c>
      <c r="B277" s="1" t="n">
        <v>45171.96248842592</v>
      </c>
      <c r="C277" s="1" t="n">
        <v>46184</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61861-2024</t>
        </is>
      </c>
      <c r="B278" s="1" t="n">
        <v>45650.37370370371</v>
      </c>
      <c r="C278" s="1" t="n">
        <v>46184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54236-2025</t>
        </is>
      </c>
      <c r="B279" s="1" t="n">
        <v>45964.62671296296</v>
      </c>
      <c r="C279" s="1" t="n">
        <v>46184</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8650-2022</t>
        </is>
      </c>
      <c r="B280" s="1" t="n">
        <v>44613</v>
      </c>
      <c r="C280" s="1" t="n">
        <v>46184</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33340-2023</t>
        </is>
      </c>
      <c r="B281" s="1" t="n">
        <v>45128.37305555555</v>
      </c>
      <c r="C281" s="1" t="n">
        <v>46184</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44423-2023</t>
        </is>
      </c>
      <c r="B282" s="1" t="n">
        <v>45189</v>
      </c>
      <c r="C282" s="1" t="n">
        <v>46184</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32380-2025</t>
        </is>
      </c>
      <c r="B283" s="1" t="n">
        <v>45837.77701388889</v>
      </c>
      <c r="C283" s="1" t="n">
        <v>46184</v>
      </c>
      <c r="D283" t="inlineStr">
        <is>
          <t>KALMAR LÄN</t>
        </is>
      </c>
      <c r="E283" t="inlineStr">
        <is>
          <t>VIMMERBY</t>
        </is>
      </c>
      <c r="G283" t="n">
        <v>3.1</v>
      </c>
      <c r="H283" t="n">
        <v>0</v>
      </c>
      <c r="I283" t="n">
        <v>0</v>
      </c>
      <c r="J283" t="n">
        <v>0</v>
      </c>
      <c r="K283" t="n">
        <v>0</v>
      </c>
      <c r="L283" t="n">
        <v>0</v>
      </c>
      <c r="M283" t="n">
        <v>0</v>
      </c>
      <c r="N283" t="n">
        <v>0</v>
      </c>
      <c r="O283" t="n">
        <v>0</v>
      </c>
      <c r="P283" t="n">
        <v>0</v>
      </c>
      <c r="Q283" t="n">
        <v>0</v>
      </c>
      <c r="R283" s="2" t="inlineStr"/>
    </row>
    <row r="284" ht="15" customHeight="1">
      <c r="A284" t="inlineStr">
        <is>
          <t>A 33186-2025</t>
        </is>
      </c>
      <c r="B284" s="1" t="n">
        <v>45840.59474537037</v>
      </c>
      <c r="C284" s="1" t="n">
        <v>46184</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37323-2024</t>
        </is>
      </c>
      <c r="B285" s="1" t="n">
        <v>45540.50098379629</v>
      </c>
      <c r="C285" s="1" t="n">
        <v>46184</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30977-2025</t>
        </is>
      </c>
      <c r="B286" s="1" t="n">
        <v>45832.46649305556</v>
      </c>
      <c r="C286" s="1" t="n">
        <v>46184</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26956-2025</t>
        </is>
      </c>
      <c r="B287" s="1" t="n">
        <v>45811.45460648148</v>
      </c>
      <c r="C287" s="1" t="n">
        <v>46184</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54234-2025</t>
        </is>
      </c>
      <c r="B288" s="1" t="n">
        <v>45964.62486111111</v>
      </c>
      <c r="C288" s="1" t="n">
        <v>46184</v>
      </c>
      <c r="D288" t="inlineStr">
        <is>
          <t>KALMAR LÄN</t>
        </is>
      </c>
      <c r="E288" t="inlineStr">
        <is>
          <t>VIMMERBY</t>
        </is>
      </c>
      <c r="G288" t="n">
        <v>4.1</v>
      </c>
      <c r="H288" t="n">
        <v>0</v>
      </c>
      <c r="I288" t="n">
        <v>0</v>
      </c>
      <c r="J288" t="n">
        <v>0</v>
      </c>
      <c r="K288" t="n">
        <v>0</v>
      </c>
      <c r="L288" t="n">
        <v>0</v>
      </c>
      <c r="M288" t="n">
        <v>0</v>
      </c>
      <c r="N288" t="n">
        <v>0</v>
      </c>
      <c r="O288" t="n">
        <v>0</v>
      </c>
      <c r="P288" t="n">
        <v>0</v>
      </c>
      <c r="Q288" t="n">
        <v>0</v>
      </c>
      <c r="R288" s="2" t="inlineStr"/>
    </row>
    <row r="289" ht="15" customHeight="1">
      <c r="A289" t="inlineStr">
        <is>
          <t>A 28702-2025</t>
        </is>
      </c>
      <c r="B289" s="1" t="n">
        <v>45820.03976851852</v>
      </c>
      <c r="C289" s="1" t="n">
        <v>46184</v>
      </c>
      <c r="D289" t="inlineStr">
        <is>
          <t>KALMAR LÄN</t>
        </is>
      </c>
      <c r="E289" t="inlineStr">
        <is>
          <t>VIMMERBY</t>
        </is>
      </c>
      <c r="G289" t="n">
        <v>2.1</v>
      </c>
      <c r="H289" t="n">
        <v>0</v>
      </c>
      <c r="I289" t="n">
        <v>0</v>
      </c>
      <c r="J289" t="n">
        <v>0</v>
      </c>
      <c r="K289" t="n">
        <v>0</v>
      </c>
      <c r="L289" t="n">
        <v>0</v>
      </c>
      <c r="M289" t="n">
        <v>0</v>
      </c>
      <c r="N289" t="n">
        <v>0</v>
      </c>
      <c r="O289" t="n">
        <v>0</v>
      </c>
      <c r="P289" t="n">
        <v>0</v>
      </c>
      <c r="Q289" t="n">
        <v>0</v>
      </c>
      <c r="R289" s="2" t="inlineStr"/>
    </row>
    <row r="290" ht="15" customHeight="1">
      <c r="A290" t="inlineStr">
        <is>
          <t>A 18501-2024</t>
        </is>
      </c>
      <c r="B290" s="1" t="n">
        <v>45425.57538194444</v>
      </c>
      <c r="C290" s="1" t="n">
        <v>46184</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34628-2025</t>
        </is>
      </c>
      <c r="B291" s="1" t="n">
        <v>45847.91280092593</v>
      </c>
      <c r="C291" s="1" t="n">
        <v>46184</v>
      </c>
      <c r="D291" t="inlineStr">
        <is>
          <t>KALMAR LÄN</t>
        </is>
      </c>
      <c r="E291" t="inlineStr">
        <is>
          <t>VIMMERBY</t>
        </is>
      </c>
      <c r="G291" t="n">
        <v>4.2</v>
      </c>
      <c r="H291" t="n">
        <v>0</v>
      </c>
      <c r="I291" t="n">
        <v>0</v>
      </c>
      <c r="J291" t="n">
        <v>0</v>
      </c>
      <c r="K291" t="n">
        <v>0</v>
      </c>
      <c r="L291" t="n">
        <v>0</v>
      </c>
      <c r="M291" t="n">
        <v>0</v>
      </c>
      <c r="N291" t="n">
        <v>0</v>
      </c>
      <c r="O291" t="n">
        <v>0</v>
      </c>
      <c r="P291" t="n">
        <v>0</v>
      </c>
      <c r="Q291" t="n">
        <v>0</v>
      </c>
      <c r="R291" s="2" t="inlineStr"/>
    </row>
    <row r="292" ht="15" customHeight="1">
      <c r="A292" t="inlineStr">
        <is>
          <t>A 27758-2024</t>
        </is>
      </c>
      <c r="B292" s="1" t="n">
        <v>45475.48303240741</v>
      </c>
      <c r="C292" s="1" t="n">
        <v>46184</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55716-2023</t>
        </is>
      </c>
      <c r="B293" s="1" t="n">
        <v>45232</v>
      </c>
      <c r="C293" s="1" t="n">
        <v>46184</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35271-2025</t>
        </is>
      </c>
      <c r="B294" s="1" t="n">
        <v>45853.87599537037</v>
      </c>
      <c r="C294" s="1" t="n">
        <v>46184</v>
      </c>
      <c r="D294" t="inlineStr">
        <is>
          <t>KALMAR LÄN</t>
        </is>
      </c>
      <c r="E294" t="inlineStr">
        <is>
          <t>VIMMERBY</t>
        </is>
      </c>
      <c r="G294" t="n">
        <v>0.4</v>
      </c>
      <c r="H294" t="n">
        <v>0</v>
      </c>
      <c r="I294" t="n">
        <v>0</v>
      </c>
      <c r="J294" t="n">
        <v>0</v>
      </c>
      <c r="K294" t="n">
        <v>0</v>
      </c>
      <c r="L294" t="n">
        <v>0</v>
      </c>
      <c r="M294" t="n">
        <v>0</v>
      </c>
      <c r="N294" t="n">
        <v>0</v>
      </c>
      <c r="O294" t="n">
        <v>0</v>
      </c>
      <c r="P294" t="n">
        <v>0</v>
      </c>
      <c r="Q294" t="n">
        <v>0</v>
      </c>
      <c r="R294" s="2" t="inlineStr"/>
    </row>
    <row r="295" ht="15" customHeight="1">
      <c r="A295" t="inlineStr">
        <is>
          <t>A 55603-2025</t>
        </is>
      </c>
      <c r="B295" s="1" t="n">
        <v>45971</v>
      </c>
      <c r="C295" s="1" t="n">
        <v>46184</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18329-2023</t>
        </is>
      </c>
      <c r="B296" s="1" t="n">
        <v>45041.63380787037</v>
      </c>
      <c r="C296" s="1" t="n">
        <v>46184</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16953-2025</t>
        </is>
      </c>
      <c r="B297" s="1" t="n">
        <v>45755.44333333334</v>
      </c>
      <c r="C297" s="1" t="n">
        <v>46184</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55385-2025</t>
        </is>
      </c>
      <c r="B298" s="1" t="n">
        <v>45971.43350694444</v>
      </c>
      <c r="C298" s="1" t="n">
        <v>46184</v>
      </c>
      <c r="D298" t="inlineStr">
        <is>
          <t>KALMAR LÄN</t>
        </is>
      </c>
      <c r="E298" t="inlineStr">
        <is>
          <t>VIMMERBY</t>
        </is>
      </c>
      <c r="G298" t="n">
        <v>5</v>
      </c>
      <c r="H298" t="n">
        <v>0</v>
      </c>
      <c r="I298" t="n">
        <v>0</v>
      </c>
      <c r="J298" t="n">
        <v>0</v>
      </c>
      <c r="K298" t="n">
        <v>0</v>
      </c>
      <c r="L298" t="n">
        <v>0</v>
      </c>
      <c r="M298" t="n">
        <v>0</v>
      </c>
      <c r="N298" t="n">
        <v>0</v>
      </c>
      <c r="O298" t="n">
        <v>0</v>
      </c>
      <c r="P298" t="n">
        <v>0</v>
      </c>
      <c r="Q298" t="n">
        <v>0</v>
      </c>
      <c r="R298" s="2" t="inlineStr"/>
    </row>
    <row r="299" ht="15" customHeight="1">
      <c r="A299" t="inlineStr">
        <is>
          <t>A 13015-2023</t>
        </is>
      </c>
      <c r="B299" s="1" t="n">
        <v>45002</v>
      </c>
      <c r="C299" s="1" t="n">
        <v>46184</v>
      </c>
      <c r="D299" t="inlineStr">
        <is>
          <t>KALMAR LÄN</t>
        </is>
      </c>
      <c r="E299" t="inlineStr">
        <is>
          <t>VIMMERBY</t>
        </is>
      </c>
      <c r="G299" t="n">
        <v>3.2</v>
      </c>
      <c r="H299" t="n">
        <v>0</v>
      </c>
      <c r="I299" t="n">
        <v>0</v>
      </c>
      <c r="J299" t="n">
        <v>0</v>
      </c>
      <c r="K299" t="n">
        <v>0</v>
      </c>
      <c r="L299" t="n">
        <v>0</v>
      </c>
      <c r="M299" t="n">
        <v>0</v>
      </c>
      <c r="N299" t="n">
        <v>0</v>
      </c>
      <c r="O299" t="n">
        <v>0</v>
      </c>
      <c r="P299" t="n">
        <v>0</v>
      </c>
      <c r="Q299" t="n">
        <v>0</v>
      </c>
      <c r="R299" s="2" t="inlineStr"/>
    </row>
    <row r="300" ht="15" customHeight="1">
      <c r="A300" t="inlineStr">
        <is>
          <t>A 29186-2024</t>
        </is>
      </c>
      <c r="B300" s="1" t="n">
        <v>45482.54844907407</v>
      </c>
      <c r="C300" s="1" t="n">
        <v>46184</v>
      </c>
      <c r="D300" t="inlineStr">
        <is>
          <t>KALMAR LÄN</t>
        </is>
      </c>
      <c r="E300" t="inlineStr">
        <is>
          <t>VIMMERBY</t>
        </is>
      </c>
      <c r="G300" t="n">
        <v>2.6</v>
      </c>
      <c r="H300" t="n">
        <v>0</v>
      </c>
      <c r="I300" t="n">
        <v>0</v>
      </c>
      <c r="J300" t="n">
        <v>0</v>
      </c>
      <c r="K300" t="n">
        <v>0</v>
      </c>
      <c r="L300" t="n">
        <v>0</v>
      </c>
      <c r="M300" t="n">
        <v>0</v>
      </c>
      <c r="N300" t="n">
        <v>0</v>
      </c>
      <c r="O300" t="n">
        <v>0</v>
      </c>
      <c r="P300" t="n">
        <v>0</v>
      </c>
      <c r="Q300" t="n">
        <v>0</v>
      </c>
      <c r="R300" s="2" t="inlineStr"/>
    </row>
    <row r="301" ht="15" customHeight="1">
      <c r="A301" t="inlineStr">
        <is>
          <t>A 36246-2025</t>
        </is>
      </c>
      <c r="B301" s="1" t="n">
        <v>45867.56320601852</v>
      </c>
      <c r="C301" s="1" t="n">
        <v>46184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36297-2025</t>
        </is>
      </c>
      <c r="B302" s="1" t="n">
        <v>45867.68625</v>
      </c>
      <c r="C302" s="1" t="n">
        <v>46184</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50993-2022</t>
        </is>
      </c>
      <c r="B303" s="1" t="n">
        <v>44867</v>
      </c>
      <c r="C303" s="1" t="n">
        <v>46184</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19502-2025</t>
        </is>
      </c>
      <c r="B304" s="1" t="n">
        <v>45769</v>
      </c>
      <c r="C304" s="1" t="n">
        <v>46184</v>
      </c>
      <c r="D304" t="inlineStr">
        <is>
          <t>KALMAR LÄN</t>
        </is>
      </c>
      <c r="E304" t="inlineStr">
        <is>
          <t>VIMMERBY</t>
        </is>
      </c>
      <c r="G304" t="n">
        <v>1.9</v>
      </c>
      <c r="H304" t="n">
        <v>0</v>
      </c>
      <c r="I304" t="n">
        <v>0</v>
      </c>
      <c r="J304" t="n">
        <v>0</v>
      </c>
      <c r="K304" t="n">
        <v>0</v>
      </c>
      <c r="L304" t="n">
        <v>0</v>
      </c>
      <c r="M304" t="n">
        <v>0</v>
      </c>
      <c r="N304" t="n">
        <v>0</v>
      </c>
      <c r="O304" t="n">
        <v>0</v>
      </c>
      <c r="P304" t="n">
        <v>0</v>
      </c>
      <c r="Q304" t="n">
        <v>0</v>
      </c>
      <c r="R304" s="2" t="inlineStr"/>
    </row>
    <row r="305" ht="15" customHeight="1">
      <c r="A305" t="inlineStr">
        <is>
          <t>A 36299-2025</t>
        </is>
      </c>
      <c r="B305" s="1" t="n">
        <v>45867.69346064814</v>
      </c>
      <c r="C305" s="1" t="n">
        <v>46184</v>
      </c>
      <c r="D305" t="inlineStr">
        <is>
          <t>KALMAR LÄN</t>
        </is>
      </c>
      <c r="E305" t="inlineStr">
        <is>
          <t>VIMMERBY</t>
        </is>
      </c>
      <c r="G305" t="n">
        <v>7.6</v>
      </c>
      <c r="H305" t="n">
        <v>0</v>
      </c>
      <c r="I305" t="n">
        <v>0</v>
      </c>
      <c r="J305" t="n">
        <v>0</v>
      </c>
      <c r="K305" t="n">
        <v>0</v>
      </c>
      <c r="L305" t="n">
        <v>0</v>
      </c>
      <c r="M305" t="n">
        <v>0</v>
      </c>
      <c r="N305" t="n">
        <v>0</v>
      </c>
      <c r="O305" t="n">
        <v>0</v>
      </c>
      <c r="P305" t="n">
        <v>0</v>
      </c>
      <c r="Q305" t="n">
        <v>0</v>
      </c>
      <c r="R305" s="2" t="inlineStr"/>
    </row>
    <row r="306" ht="15" customHeight="1">
      <c r="A306" t="inlineStr">
        <is>
          <t>A 36538-2025</t>
        </is>
      </c>
      <c r="B306" s="1" t="n">
        <v>45869.62276620371</v>
      </c>
      <c r="C306" s="1" t="n">
        <v>46184</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54787-2023</t>
        </is>
      </c>
      <c r="B307" s="1" t="n">
        <v>45236</v>
      </c>
      <c r="C307" s="1" t="n">
        <v>46184</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32614-2023</t>
        </is>
      </c>
      <c r="B308" s="1" t="n">
        <v>45121</v>
      </c>
      <c r="C308" s="1" t="n">
        <v>46184</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6850-2023</t>
        </is>
      </c>
      <c r="B309" s="1" t="n">
        <v>44967.44255787037</v>
      </c>
      <c r="C309" s="1" t="n">
        <v>46184</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58750-2022</t>
        </is>
      </c>
      <c r="B310" s="1" t="n">
        <v>44903.33363425926</v>
      </c>
      <c r="C310" s="1" t="n">
        <v>46184</v>
      </c>
      <c r="D310" t="inlineStr">
        <is>
          <t>KALMAR LÄN</t>
        </is>
      </c>
      <c r="E310" t="inlineStr">
        <is>
          <t>VIMMERBY</t>
        </is>
      </c>
      <c r="G310" t="n">
        <v>3.3</v>
      </c>
      <c r="H310" t="n">
        <v>0</v>
      </c>
      <c r="I310" t="n">
        <v>0</v>
      </c>
      <c r="J310" t="n">
        <v>0</v>
      </c>
      <c r="K310" t="n">
        <v>0</v>
      </c>
      <c r="L310" t="n">
        <v>0</v>
      </c>
      <c r="M310" t="n">
        <v>0</v>
      </c>
      <c r="N310" t="n">
        <v>0</v>
      </c>
      <c r="O310" t="n">
        <v>0</v>
      </c>
      <c r="P310" t="n">
        <v>0</v>
      </c>
      <c r="Q310" t="n">
        <v>0</v>
      </c>
      <c r="R310" s="2" t="inlineStr"/>
    </row>
    <row r="311" ht="15" customHeight="1">
      <c r="A311" t="inlineStr">
        <is>
          <t>A 41158-2023</t>
        </is>
      </c>
      <c r="B311" s="1" t="n">
        <v>45174.31395833333</v>
      </c>
      <c r="C311" s="1" t="n">
        <v>46184</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36603-2025</t>
        </is>
      </c>
      <c r="B312" s="1" t="n">
        <v>45870.52142361111</v>
      </c>
      <c r="C312" s="1" t="n">
        <v>46184</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36601-2025</t>
        </is>
      </c>
      <c r="B313" s="1" t="n">
        <v>45870.52005787037</v>
      </c>
      <c r="C313" s="1" t="n">
        <v>46184</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3269-2024</t>
        </is>
      </c>
      <c r="B314" s="1" t="n">
        <v>45317.40372685185</v>
      </c>
      <c r="C314" s="1" t="n">
        <v>46184</v>
      </c>
      <c r="D314" t="inlineStr">
        <is>
          <t>KALMAR LÄN</t>
        </is>
      </c>
      <c r="E314" t="inlineStr">
        <is>
          <t>VIMMERBY</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48120-2022</t>
        </is>
      </c>
      <c r="B315" s="1" t="n">
        <v>44857.65989583333</v>
      </c>
      <c r="C315" s="1" t="n">
        <v>46184</v>
      </c>
      <c r="D315" t="inlineStr">
        <is>
          <t>KALMAR LÄN</t>
        </is>
      </c>
      <c r="E315" t="inlineStr">
        <is>
          <t>VIMMERBY</t>
        </is>
      </c>
      <c r="G315" t="n">
        <v>1.7</v>
      </c>
      <c r="H315" t="n">
        <v>0</v>
      </c>
      <c r="I315" t="n">
        <v>0</v>
      </c>
      <c r="J315" t="n">
        <v>0</v>
      </c>
      <c r="K315" t="n">
        <v>0</v>
      </c>
      <c r="L315" t="n">
        <v>0</v>
      </c>
      <c r="M315" t="n">
        <v>0</v>
      </c>
      <c r="N315" t="n">
        <v>0</v>
      </c>
      <c r="O315" t="n">
        <v>0</v>
      </c>
      <c r="P315" t="n">
        <v>0</v>
      </c>
      <c r="Q315" t="n">
        <v>0</v>
      </c>
      <c r="R315" s="2" t="inlineStr"/>
    </row>
    <row r="316" ht="15" customHeight="1">
      <c r="A316" t="inlineStr">
        <is>
          <t>A 6368-2023</t>
        </is>
      </c>
      <c r="B316" s="1" t="n">
        <v>44965</v>
      </c>
      <c r="C316" s="1" t="n">
        <v>46184</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9416-2024</t>
        </is>
      </c>
      <c r="B317" s="1" t="n">
        <v>45359.44837962963</v>
      </c>
      <c r="C317" s="1" t="n">
        <v>46184</v>
      </c>
      <c r="D317" t="inlineStr">
        <is>
          <t>KALMAR LÄN</t>
        </is>
      </c>
      <c r="E317" t="inlineStr">
        <is>
          <t>VIMMERBY</t>
        </is>
      </c>
      <c r="G317" t="n">
        <v>3.2</v>
      </c>
      <c r="H317" t="n">
        <v>0</v>
      </c>
      <c r="I317" t="n">
        <v>0</v>
      </c>
      <c r="J317" t="n">
        <v>0</v>
      </c>
      <c r="K317" t="n">
        <v>0</v>
      </c>
      <c r="L317" t="n">
        <v>0</v>
      </c>
      <c r="M317" t="n">
        <v>0</v>
      </c>
      <c r="N317" t="n">
        <v>0</v>
      </c>
      <c r="O317" t="n">
        <v>0</v>
      </c>
      <c r="P317" t="n">
        <v>0</v>
      </c>
      <c r="Q317" t="n">
        <v>0</v>
      </c>
      <c r="R317" s="2" t="inlineStr"/>
    </row>
    <row r="318" ht="15" customHeight="1">
      <c r="A318" t="inlineStr">
        <is>
          <t>A 2797-2023</t>
        </is>
      </c>
      <c r="B318" s="1" t="n">
        <v>44944.71386574074</v>
      </c>
      <c r="C318" s="1" t="n">
        <v>46184</v>
      </c>
      <c r="D318" t="inlineStr">
        <is>
          <t>KALMAR LÄN</t>
        </is>
      </c>
      <c r="E318" t="inlineStr">
        <is>
          <t>VIMMERBY</t>
        </is>
      </c>
      <c r="G318" t="n">
        <v>3.4</v>
      </c>
      <c r="H318" t="n">
        <v>0</v>
      </c>
      <c r="I318" t="n">
        <v>0</v>
      </c>
      <c r="J318" t="n">
        <v>0</v>
      </c>
      <c r="K318" t="n">
        <v>0</v>
      </c>
      <c r="L318" t="n">
        <v>0</v>
      </c>
      <c r="M318" t="n">
        <v>0</v>
      </c>
      <c r="N318" t="n">
        <v>0</v>
      </c>
      <c r="O318" t="n">
        <v>0</v>
      </c>
      <c r="P318" t="n">
        <v>0</v>
      </c>
      <c r="Q318" t="n">
        <v>0</v>
      </c>
      <c r="R318" s="2" t="inlineStr"/>
    </row>
    <row r="319" ht="15" customHeight="1">
      <c r="A319" t="inlineStr">
        <is>
          <t>A 2799-2023</t>
        </is>
      </c>
      <c r="B319" s="1" t="n">
        <v>44944.72100694444</v>
      </c>
      <c r="C319" s="1" t="n">
        <v>46184</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25987-2024</t>
        </is>
      </c>
      <c r="B320" s="1" t="n">
        <v>45467.74417824074</v>
      </c>
      <c r="C320" s="1" t="n">
        <v>46184</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12630-2023</t>
        </is>
      </c>
      <c r="B321" s="1" t="n">
        <v>45000.47998842593</v>
      </c>
      <c r="C321" s="1" t="n">
        <v>46184</v>
      </c>
      <c r="D321" t="inlineStr">
        <is>
          <t>KALMAR LÄN</t>
        </is>
      </c>
      <c r="E321" t="inlineStr">
        <is>
          <t>VIMMERBY</t>
        </is>
      </c>
      <c r="G321" t="n">
        <v>2.1</v>
      </c>
      <c r="H321" t="n">
        <v>0</v>
      </c>
      <c r="I321" t="n">
        <v>0</v>
      </c>
      <c r="J321" t="n">
        <v>0</v>
      </c>
      <c r="K321" t="n">
        <v>0</v>
      </c>
      <c r="L321" t="n">
        <v>0</v>
      </c>
      <c r="M321" t="n">
        <v>0</v>
      </c>
      <c r="N321" t="n">
        <v>0</v>
      </c>
      <c r="O321" t="n">
        <v>0</v>
      </c>
      <c r="P321" t="n">
        <v>0</v>
      </c>
      <c r="Q321" t="n">
        <v>0</v>
      </c>
      <c r="R321" s="2" t="inlineStr"/>
    </row>
    <row r="322" ht="15" customHeight="1">
      <c r="A322" t="inlineStr">
        <is>
          <t>A 37578-2025</t>
        </is>
      </c>
      <c r="B322" s="1" t="n">
        <v>45880.38380787037</v>
      </c>
      <c r="C322" s="1" t="n">
        <v>46184</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21109-2024</t>
        </is>
      </c>
      <c r="B323" s="1" t="n">
        <v>45440.28329861111</v>
      </c>
      <c r="C323" s="1" t="n">
        <v>46184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30634-2024</t>
        </is>
      </c>
      <c r="B324" s="1" t="n">
        <v>45495</v>
      </c>
      <c r="C324" s="1" t="n">
        <v>46184</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40260-2024</t>
        </is>
      </c>
      <c r="B325" s="1" t="n">
        <v>45554.63225694445</v>
      </c>
      <c r="C325" s="1" t="n">
        <v>46184</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37668-2025</t>
        </is>
      </c>
      <c r="B326" s="1" t="n">
        <v>45880.51550925926</v>
      </c>
      <c r="C326" s="1" t="n">
        <v>46184</v>
      </c>
      <c r="D326" t="inlineStr">
        <is>
          <t>KALMAR LÄN</t>
        </is>
      </c>
      <c r="E326" t="inlineStr">
        <is>
          <t>VIMMERBY</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59943-2023</t>
        </is>
      </c>
      <c r="B327" s="1" t="n">
        <v>45257.67958333333</v>
      </c>
      <c r="C327" s="1" t="n">
        <v>46184</v>
      </c>
      <c r="D327" t="inlineStr">
        <is>
          <t>KALMAR LÄN</t>
        </is>
      </c>
      <c r="E327" t="inlineStr">
        <is>
          <t>VIMMERBY</t>
        </is>
      </c>
      <c r="G327" t="n">
        <v>6.4</v>
      </c>
      <c r="H327" t="n">
        <v>0</v>
      </c>
      <c r="I327" t="n">
        <v>0</v>
      </c>
      <c r="J327" t="n">
        <v>0</v>
      </c>
      <c r="K327" t="n">
        <v>0</v>
      </c>
      <c r="L327" t="n">
        <v>0</v>
      </c>
      <c r="M327" t="n">
        <v>0</v>
      </c>
      <c r="N327" t="n">
        <v>0</v>
      </c>
      <c r="O327" t="n">
        <v>0</v>
      </c>
      <c r="P327" t="n">
        <v>0</v>
      </c>
      <c r="Q327" t="n">
        <v>0</v>
      </c>
      <c r="R327" s="2" t="inlineStr"/>
    </row>
    <row r="328" ht="15" customHeight="1">
      <c r="A328" t="inlineStr">
        <is>
          <t>A 5527-2022</t>
        </is>
      </c>
      <c r="B328" s="1" t="n">
        <v>44595.583125</v>
      </c>
      <c r="C328" s="1" t="n">
        <v>46184</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12325-2023</t>
        </is>
      </c>
      <c r="B329" s="1" t="n">
        <v>44999.35858796296</v>
      </c>
      <c r="C329" s="1" t="n">
        <v>46184</v>
      </c>
      <c r="D329" t="inlineStr">
        <is>
          <t>KALMAR LÄN</t>
        </is>
      </c>
      <c r="E329" t="inlineStr">
        <is>
          <t>VIMMERBY</t>
        </is>
      </c>
      <c r="G329" t="n">
        <v>3.4</v>
      </c>
      <c r="H329" t="n">
        <v>0</v>
      </c>
      <c r="I329" t="n">
        <v>0</v>
      </c>
      <c r="J329" t="n">
        <v>0</v>
      </c>
      <c r="K329" t="n">
        <v>0</v>
      </c>
      <c r="L329" t="n">
        <v>0</v>
      </c>
      <c r="M329" t="n">
        <v>0</v>
      </c>
      <c r="N329" t="n">
        <v>0</v>
      </c>
      <c r="O329" t="n">
        <v>0</v>
      </c>
      <c r="P329" t="n">
        <v>0</v>
      </c>
      <c r="Q329" t="n">
        <v>0</v>
      </c>
      <c r="R329" s="2" t="inlineStr"/>
    </row>
    <row r="330" ht="15" customHeight="1">
      <c r="A330" t="inlineStr">
        <is>
          <t>A 1016-2024</t>
        </is>
      </c>
      <c r="B330" s="1" t="n">
        <v>45301</v>
      </c>
      <c r="C330" s="1" t="n">
        <v>46184</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57728-2025</t>
        </is>
      </c>
      <c r="B331" s="1" t="n">
        <v>45981</v>
      </c>
      <c r="C331" s="1" t="n">
        <v>46184</v>
      </c>
      <c r="D331" t="inlineStr">
        <is>
          <t>KALMAR LÄN</t>
        </is>
      </c>
      <c r="E331" t="inlineStr">
        <is>
          <t>VIMMERBY</t>
        </is>
      </c>
      <c r="G331" t="n">
        <v>0.8</v>
      </c>
      <c r="H331" t="n">
        <v>0</v>
      </c>
      <c r="I331" t="n">
        <v>0</v>
      </c>
      <c r="J331" t="n">
        <v>0</v>
      </c>
      <c r="K331" t="n">
        <v>0</v>
      </c>
      <c r="L331" t="n">
        <v>0</v>
      </c>
      <c r="M331" t="n">
        <v>0</v>
      </c>
      <c r="N331" t="n">
        <v>0</v>
      </c>
      <c r="O331" t="n">
        <v>0</v>
      </c>
      <c r="P331" t="n">
        <v>0</v>
      </c>
      <c r="Q331" t="n">
        <v>0</v>
      </c>
      <c r="R331" s="2" t="inlineStr"/>
    </row>
    <row r="332" ht="15" customHeight="1">
      <c r="A332" t="inlineStr">
        <is>
          <t>A 33681-2022</t>
        </is>
      </c>
      <c r="B332" s="1" t="n">
        <v>44789</v>
      </c>
      <c r="C332" s="1" t="n">
        <v>46184</v>
      </c>
      <c r="D332" t="inlineStr">
        <is>
          <t>KALMAR LÄN</t>
        </is>
      </c>
      <c r="E332" t="inlineStr">
        <is>
          <t>VIMMERBY</t>
        </is>
      </c>
      <c r="G332" t="n">
        <v>3.2</v>
      </c>
      <c r="H332" t="n">
        <v>0</v>
      </c>
      <c r="I332" t="n">
        <v>0</v>
      </c>
      <c r="J332" t="n">
        <v>0</v>
      </c>
      <c r="K332" t="n">
        <v>0</v>
      </c>
      <c r="L332" t="n">
        <v>0</v>
      </c>
      <c r="M332" t="n">
        <v>0</v>
      </c>
      <c r="N332" t="n">
        <v>0</v>
      </c>
      <c r="O332" t="n">
        <v>0</v>
      </c>
      <c r="P332" t="n">
        <v>0</v>
      </c>
      <c r="Q332" t="n">
        <v>0</v>
      </c>
      <c r="R332" s="2" t="inlineStr"/>
    </row>
    <row r="333" ht="15" customHeight="1">
      <c r="A333" t="inlineStr">
        <is>
          <t>A 58503-2025</t>
        </is>
      </c>
      <c r="B333" s="1" t="n">
        <v>45985.69509259259</v>
      </c>
      <c r="C333" s="1" t="n">
        <v>46184</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58498-2025</t>
        </is>
      </c>
      <c r="B334" s="1" t="n">
        <v>45985.68671296296</v>
      </c>
      <c r="C334" s="1" t="n">
        <v>46184</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58501-2025</t>
        </is>
      </c>
      <c r="B335" s="1" t="n">
        <v>45985.69153935185</v>
      </c>
      <c r="C335" s="1" t="n">
        <v>46184</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58446-2025</t>
        </is>
      </c>
      <c r="B336" s="1" t="n">
        <v>45985.62168981481</v>
      </c>
      <c r="C336" s="1" t="n">
        <v>46184</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58500-2025</t>
        </is>
      </c>
      <c r="B337" s="1" t="n">
        <v>45985.69008101852</v>
      </c>
      <c r="C337" s="1" t="n">
        <v>46184</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58841-2025</t>
        </is>
      </c>
      <c r="B338" s="1" t="n">
        <v>45987.36275462963</v>
      </c>
      <c r="C338" s="1" t="n">
        <v>46184</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58858-2025</t>
        </is>
      </c>
      <c r="B339" s="1" t="n">
        <v>45987.4243287037</v>
      </c>
      <c r="C339" s="1" t="n">
        <v>46184</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5074-2023</t>
        </is>
      </c>
      <c r="B340" s="1" t="n">
        <v>44958.61047453704</v>
      </c>
      <c r="C340" s="1" t="n">
        <v>46184</v>
      </c>
      <c r="D340" t="inlineStr">
        <is>
          <t>KALMAR LÄN</t>
        </is>
      </c>
      <c r="E340" t="inlineStr">
        <is>
          <t>VIMMERBY</t>
        </is>
      </c>
      <c r="G340" t="n">
        <v>1.6</v>
      </c>
      <c r="H340" t="n">
        <v>0</v>
      </c>
      <c r="I340" t="n">
        <v>0</v>
      </c>
      <c r="J340" t="n">
        <v>0</v>
      </c>
      <c r="K340" t="n">
        <v>0</v>
      </c>
      <c r="L340" t="n">
        <v>0</v>
      </c>
      <c r="M340" t="n">
        <v>0</v>
      </c>
      <c r="N340" t="n">
        <v>0</v>
      </c>
      <c r="O340" t="n">
        <v>0</v>
      </c>
      <c r="P340" t="n">
        <v>0</v>
      </c>
      <c r="Q340" t="n">
        <v>0</v>
      </c>
      <c r="R340" s="2" t="inlineStr"/>
    </row>
    <row r="341" ht="15" customHeight="1">
      <c r="A341" t="inlineStr">
        <is>
          <t>A 51187-2023</t>
        </is>
      </c>
      <c r="B341" s="1" t="n">
        <v>45219.40528935185</v>
      </c>
      <c r="C341" s="1" t="n">
        <v>46184</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15715-2022</t>
        </is>
      </c>
      <c r="B342" s="1" t="n">
        <v>44663</v>
      </c>
      <c r="C342" s="1" t="n">
        <v>46184</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59039-2025</t>
        </is>
      </c>
      <c r="B343" s="1" t="n">
        <v>45988.36790509259</v>
      </c>
      <c r="C343" s="1" t="n">
        <v>46184</v>
      </c>
      <c r="D343" t="inlineStr">
        <is>
          <t>KALMAR LÄN</t>
        </is>
      </c>
      <c r="E343" t="inlineStr">
        <is>
          <t>VIMMERBY</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43093-2024</t>
        </is>
      </c>
      <c r="B344" s="1" t="n">
        <v>45567</v>
      </c>
      <c r="C344" s="1" t="n">
        <v>46184</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56022-2024</t>
        </is>
      </c>
      <c r="B345" s="1" t="n">
        <v>45623.95947916667</v>
      </c>
      <c r="C345" s="1" t="n">
        <v>46184</v>
      </c>
      <c r="D345" t="inlineStr">
        <is>
          <t>KALMAR LÄN</t>
        </is>
      </c>
      <c r="E345" t="inlineStr">
        <is>
          <t>VIMMERBY</t>
        </is>
      </c>
      <c r="G345" t="n">
        <v>0.3</v>
      </c>
      <c r="H345" t="n">
        <v>0</v>
      </c>
      <c r="I345" t="n">
        <v>0</v>
      </c>
      <c r="J345" t="n">
        <v>0</v>
      </c>
      <c r="K345" t="n">
        <v>0</v>
      </c>
      <c r="L345" t="n">
        <v>0</v>
      </c>
      <c r="M345" t="n">
        <v>0</v>
      </c>
      <c r="N345" t="n">
        <v>0</v>
      </c>
      <c r="O345" t="n">
        <v>0</v>
      </c>
      <c r="P345" t="n">
        <v>0</v>
      </c>
      <c r="Q345" t="n">
        <v>0</v>
      </c>
      <c r="R345" s="2" t="inlineStr"/>
    </row>
    <row r="346" ht="15" customHeight="1">
      <c r="A346" t="inlineStr">
        <is>
          <t>A 59034-2025</t>
        </is>
      </c>
      <c r="B346" s="1" t="n">
        <v>45988.36243055556</v>
      </c>
      <c r="C346" s="1" t="n">
        <v>46184</v>
      </c>
      <c r="D346" t="inlineStr">
        <is>
          <t>KALMAR LÄN</t>
        </is>
      </c>
      <c r="E346" t="inlineStr">
        <is>
          <t>VIMMERBY</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18330-2023</t>
        </is>
      </c>
      <c r="B347" s="1" t="n">
        <v>45041</v>
      </c>
      <c r="C347" s="1" t="n">
        <v>46184</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59037-2025</t>
        </is>
      </c>
      <c r="B348" s="1" t="n">
        <v>45988.36508101852</v>
      </c>
      <c r="C348" s="1" t="n">
        <v>46184</v>
      </c>
      <c r="D348" t="inlineStr">
        <is>
          <t>KALMAR LÄN</t>
        </is>
      </c>
      <c r="E348" t="inlineStr">
        <is>
          <t>VIMMERBY</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46921-2023</t>
        </is>
      </c>
      <c r="B349" s="1" t="n">
        <v>45201.39996527778</v>
      </c>
      <c r="C349" s="1" t="n">
        <v>46184</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25236-2023</t>
        </is>
      </c>
      <c r="B350" s="1" t="n">
        <v>45086.63334490741</v>
      </c>
      <c r="C350" s="1" t="n">
        <v>46184</v>
      </c>
      <c r="D350" t="inlineStr">
        <is>
          <t>KALMAR LÄN</t>
        </is>
      </c>
      <c r="E350" t="inlineStr">
        <is>
          <t>VIMMERBY</t>
        </is>
      </c>
      <c r="G350" t="n">
        <v>0.9</v>
      </c>
      <c r="H350" t="n">
        <v>0</v>
      </c>
      <c r="I350" t="n">
        <v>0</v>
      </c>
      <c r="J350" t="n">
        <v>0</v>
      </c>
      <c r="K350" t="n">
        <v>0</v>
      </c>
      <c r="L350" t="n">
        <v>0</v>
      </c>
      <c r="M350" t="n">
        <v>0</v>
      </c>
      <c r="N350" t="n">
        <v>0</v>
      </c>
      <c r="O350" t="n">
        <v>0</v>
      </c>
      <c r="P350" t="n">
        <v>0</v>
      </c>
      <c r="Q350" t="n">
        <v>0</v>
      </c>
      <c r="R350" s="2" t="inlineStr"/>
    </row>
    <row r="351" ht="15" customHeight="1">
      <c r="A351" t="inlineStr">
        <is>
          <t>A 6082-2022</t>
        </is>
      </c>
      <c r="B351" s="1" t="n">
        <v>44599</v>
      </c>
      <c r="C351" s="1" t="n">
        <v>46184</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60180-2025</t>
        </is>
      </c>
      <c r="B352" s="1" t="n">
        <v>45994.46428240741</v>
      </c>
      <c r="C352" s="1" t="n">
        <v>46184</v>
      </c>
      <c r="D352" t="inlineStr">
        <is>
          <t>KALMAR LÄN</t>
        </is>
      </c>
      <c r="E352" t="inlineStr">
        <is>
          <t>VIMMERBY</t>
        </is>
      </c>
      <c r="G352" t="n">
        <v>6.8</v>
      </c>
      <c r="H352" t="n">
        <v>0</v>
      </c>
      <c r="I352" t="n">
        <v>0</v>
      </c>
      <c r="J352" t="n">
        <v>0</v>
      </c>
      <c r="K352" t="n">
        <v>0</v>
      </c>
      <c r="L352" t="n">
        <v>0</v>
      </c>
      <c r="M352" t="n">
        <v>0</v>
      </c>
      <c r="N352" t="n">
        <v>0</v>
      </c>
      <c r="O352" t="n">
        <v>0</v>
      </c>
      <c r="P352" t="n">
        <v>0</v>
      </c>
      <c r="Q352" t="n">
        <v>0</v>
      </c>
      <c r="R352" s="2" t="inlineStr"/>
    </row>
    <row r="353" ht="15" customHeight="1">
      <c r="A353" t="inlineStr">
        <is>
          <t>A 60297-2025</t>
        </is>
      </c>
      <c r="B353" s="1" t="n">
        <v>45994</v>
      </c>
      <c r="C353" s="1" t="n">
        <v>46184</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2801-2023</t>
        </is>
      </c>
      <c r="B354" s="1" t="n">
        <v>44944.73487268519</v>
      </c>
      <c r="C354" s="1" t="n">
        <v>46184</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5146-2024</t>
        </is>
      </c>
      <c r="B355" s="1" t="n">
        <v>45330</v>
      </c>
      <c r="C355" s="1" t="n">
        <v>46184</v>
      </c>
      <c r="D355" t="inlineStr">
        <is>
          <t>KALMAR LÄN</t>
        </is>
      </c>
      <c r="E355" t="inlineStr">
        <is>
          <t>VIMMERBY</t>
        </is>
      </c>
      <c r="G355" t="n">
        <v>5.3</v>
      </c>
      <c r="H355" t="n">
        <v>0</v>
      </c>
      <c r="I355" t="n">
        <v>0</v>
      </c>
      <c r="J355" t="n">
        <v>0</v>
      </c>
      <c r="K355" t="n">
        <v>0</v>
      </c>
      <c r="L355" t="n">
        <v>0</v>
      </c>
      <c r="M355" t="n">
        <v>0</v>
      </c>
      <c r="N355" t="n">
        <v>0</v>
      </c>
      <c r="O355" t="n">
        <v>0</v>
      </c>
      <c r="P355" t="n">
        <v>0</v>
      </c>
      <c r="Q355" t="n">
        <v>0</v>
      </c>
      <c r="R355" s="2" t="inlineStr"/>
    </row>
    <row r="356" ht="15" customHeight="1">
      <c r="A356" t="inlineStr">
        <is>
          <t>A 5148-2024</t>
        </is>
      </c>
      <c r="B356" s="1" t="n">
        <v>45330</v>
      </c>
      <c r="C356" s="1" t="n">
        <v>46184</v>
      </c>
      <c r="D356" t="inlineStr">
        <is>
          <t>KALMAR LÄN</t>
        </is>
      </c>
      <c r="E356" t="inlineStr">
        <is>
          <t>VIMMERBY</t>
        </is>
      </c>
      <c r="G356" t="n">
        <v>5.6</v>
      </c>
      <c r="H356" t="n">
        <v>0</v>
      </c>
      <c r="I356" t="n">
        <v>0</v>
      </c>
      <c r="J356" t="n">
        <v>0</v>
      </c>
      <c r="K356" t="n">
        <v>0</v>
      </c>
      <c r="L356" t="n">
        <v>0</v>
      </c>
      <c r="M356" t="n">
        <v>0</v>
      </c>
      <c r="N356" t="n">
        <v>0</v>
      </c>
      <c r="O356" t="n">
        <v>0</v>
      </c>
      <c r="P356" t="n">
        <v>0</v>
      </c>
      <c r="Q356" t="n">
        <v>0</v>
      </c>
      <c r="R356" s="2" t="inlineStr"/>
    </row>
    <row r="357" ht="15" customHeight="1">
      <c r="A357" t="inlineStr">
        <is>
          <t>A 58278-2023</t>
        </is>
      </c>
      <c r="B357" s="1" t="n">
        <v>45250.5278587963</v>
      </c>
      <c r="C357" s="1" t="n">
        <v>46184</v>
      </c>
      <c r="D357" t="inlineStr">
        <is>
          <t>KALMAR LÄN</t>
        </is>
      </c>
      <c r="E357" t="inlineStr">
        <is>
          <t>VIMMERBY</t>
        </is>
      </c>
      <c r="G357" t="n">
        <v>1.8</v>
      </c>
      <c r="H357" t="n">
        <v>0</v>
      </c>
      <c r="I357" t="n">
        <v>0</v>
      </c>
      <c r="J357" t="n">
        <v>0</v>
      </c>
      <c r="K357" t="n">
        <v>0</v>
      </c>
      <c r="L357" t="n">
        <v>0</v>
      </c>
      <c r="M357" t="n">
        <v>0</v>
      </c>
      <c r="N357" t="n">
        <v>0</v>
      </c>
      <c r="O357" t="n">
        <v>0</v>
      </c>
      <c r="P357" t="n">
        <v>0</v>
      </c>
      <c r="Q357" t="n">
        <v>0</v>
      </c>
      <c r="R357" s="2" t="inlineStr"/>
    </row>
    <row r="358" ht="15" customHeight="1">
      <c r="A358" t="inlineStr">
        <is>
          <t>A 22266-2023</t>
        </is>
      </c>
      <c r="B358" s="1" t="n">
        <v>45070</v>
      </c>
      <c r="C358" s="1" t="n">
        <v>46184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52588-2023</t>
        </is>
      </c>
      <c r="B359" s="1" t="n">
        <v>45225.60192129629</v>
      </c>
      <c r="C359" s="1" t="n">
        <v>46184</v>
      </c>
      <c r="D359" t="inlineStr">
        <is>
          <t>KALMAR LÄN</t>
        </is>
      </c>
      <c r="E359" t="inlineStr">
        <is>
          <t>VIMMERBY</t>
        </is>
      </c>
      <c r="G359" t="n">
        <v>2.9</v>
      </c>
      <c r="H359" t="n">
        <v>0</v>
      </c>
      <c r="I359" t="n">
        <v>0</v>
      </c>
      <c r="J359" t="n">
        <v>0</v>
      </c>
      <c r="K359" t="n">
        <v>0</v>
      </c>
      <c r="L359" t="n">
        <v>0</v>
      </c>
      <c r="M359" t="n">
        <v>0</v>
      </c>
      <c r="N359" t="n">
        <v>0</v>
      </c>
      <c r="O359" t="n">
        <v>0</v>
      </c>
      <c r="P359" t="n">
        <v>0</v>
      </c>
      <c r="Q359" t="n">
        <v>0</v>
      </c>
      <c r="R359" s="2" t="inlineStr"/>
    </row>
    <row r="360" ht="15" customHeight="1">
      <c r="A360" t="inlineStr">
        <is>
          <t>A 61725-2025</t>
        </is>
      </c>
      <c r="B360" s="1" t="n">
        <v>46002.58680555555</v>
      </c>
      <c r="C360" s="1" t="n">
        <v>46184</v>
      </c>
      <c r="D360" t="inlineStr">
        <is>
          <t>KALMAR LÄN</t>
        </is>
      </c>
      <c r="E360" t="inlineStr">
        <is>
          <t>VIMMERBY</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6802-2025</t>
        </is>
      </c>
      <c r="B361" s="1" t="n">
        <v>45700.68289351852</v>
      </c>
      <c r="C361" s="1" t="n">
        <v>46184</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71793-2021</t>
        </is>
      </c>
      <c r="B362" s="1" t="n">
        <v>44539</v>
      </c>
      <c r="C362" s="1" t="n">
        <v>46184</v>
      </c>
      <c r="D362" t="inlineStr">
        <is>
          <t>KALMAR LÄN</t>
        </is>
      </c>
      <c r="E362" t="inlineStr">
        <is>
          <t>VIMMERBY</t>
        </is>
      </c>
      <c r="G362" t="n">
        <v>2.7</v>
      </c>
      <c r="H362" t="n">
        <v>0</v>
      </c>
      <c r="I362" t="n">
        <v>0</v>
      </c>
      <c r="J362" t="n">
        <v>0</v>
      </c>
      <c r="K362" t="n">
        <v>0</v>
      </c>
      <c r="L362" t="n">
        <v>0</v>
      </c>
      <c r="M362" t="n">
        <v>0</v>
      </c>
      <c r="N362" t="n">
        <v>0</v>
      </c>
      <c r="O362" t="n">
        <v>0</v>
      </c>
      <c r="P362" t="n">
        <v>0</v>
      </c>
      <c r="Q362" t="n">
        <v>0</v>
      </c>
      <c r="R362" s="2" t="inlineStr"/>
    </row>
    <row r="363" ht="15" customHeight="1">
      <c r="A363" t="inlineStr">
        <is>
          <t>A 61790-2025</t>
        </is>
      </c>
      <c r="B363" s="1" t="n">
        <v>46002.68768518518</v>
      </c>
      <c r="C363" s="1" t="n">
        <v>46184</v>
      </c>
      <c r="D363" t="inlineStr">
        <is>
          <t>KALMAR LÄN</t>
        </is>
      </c>
      <c r="E363" t="inlineStr">
        <is>
          <t>VIMMERBY</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527-2024</t>
        </is>
      </c>
      <c r="B364" s="1" t="n">
        <v>45299.47513888889</v>
      </c>
      <c r="C364" s="1" t="n">
        <v>46184</v>
      </c>
      <c r="D364" t="inlineStr">
        <is>
          <t>KALMAR LÄN</t>
        </is>
      </c>
      <c r="E364" t="inlineStr">
        <is>
          <t>VIMMERBY</t>
        </is>
      </c>
      <c r="G364" t="n">
        <v>2.2</v>
      </c>
      <c r="H364" t="n">
        <v>0</v>
      </c>
      <c r="I364" t="n">
        <v>0</v>
      </c>
      <c r="J364" t="n">
        <v>0</v>
      </c>
      <c r="K364" t="n">
        <v>0</v>
      </c>
      <c r="L364" t="n">
        <v>0</v>
      </c>
      <c r="M364" t="n">
        <v>0</v>
      </c>
      <c r="N364" t="n">
        <v>0</v>
      </c>
      <c r="O364" t="n">
        <v>0</v>
      </c>
      <c r="P364" t="n">
        <v>0</v>
      </c>
      <c r="Q364" t="n">
        <v>0</v>
      </c>
      <c r="R364" s="2" t="inlineStr"/>
    </row>
    <row r="365" ht="15" customHeight="1">
      <c r="A365" t="inlineStr">
        <is>
          <t>A 60230-2022</t>
        </is>
      </c>
      <c r="B365" s="1" t="n">
        <v>44910</v>
      </c>
      <c r="C365" s="1" t="n">
        <v>46184</v>
      </c>
      <c r="D365" t="inlineStr">
        <is>
          <t>KALMAR LÄN</t>
        </is>
      </c>
      <c r="E365" t="inlineStr">
        <is>
          <t>VIMMERBY</t>
        </is>
      </c>
      <c r="G365" t="n">
        <v>11.3</v>
      </c>
      <c r="H365" t="n">
        <v>0</v>
      </c>
      <c r="I365" t="n">
        <v>0</v>
      </c>
      <c r="J365" t="n">
        <v>0</v>
      </c>
      <c r="K365" t="n">
        <v>0</v>
      </c>
      <c r="L365" t="n">
        <v>0</v>
      </c>
      <c r="M365" t="n">
        <v>0</v>
      </c>
      <c r="N365" t="n">
        <v>0</v>
      </c>
      <c r="O365" t="n">
        <v>0</v>
      </c>
      <c r="P365" t="n">
        <v>0</v>
      </c>
      <c r="Q365" t="n">
        <v>0</v>
      </c>
      <c r="R365" s="2" t="inlineStr"/>
    </row>
    <row r="366" ht="15" customHeight="1">
      <c r="A366" t="inlineStr">
        <is>
          <t>A 61726-2025</t>
        </is>
      </c>
      <c r="B366" s="1" t="n">
        <v>46002.58822916666</v>
      </c>
      <c r="C366" s="1" t="n">
        <v>46184</v>
      </c>
      <c r="D366" t="inlineStr">
        <is>
          <t>KALMAR LÄN</t>
        </is>
      </c>
      <c r="E366" t="inlineStr">
        <is>
          <t>VIMMERBY</t>
        </is>
      </c>
      <c r="F366" t="inlineStr">
        <is>
          <t>Sveaskog</t>
        </is>
      </c>
      <c r="G366" t="n">
        <v>0.2</v>
      </c>
      <c r="H366" t="n">
        <v>0</v>
      </c>
      <c r="I366" t="n">
        <v>0</v>
      </c>
      <c r="J366" t="n">
        <v>0</v>
      </c>
      <c r="K366" t="n">
        <v>0</v>
      </c>
      <c r="L366" t="n">
        <v>0</v>
      </c>
      <c r="M366" t="n">
        <v>0</v>
      </c>
      <c r="N366" t="n">
        <v>0</v>
      </c>
      <c r="O366" t="n">
        <v>0</v>
      </c>
      <c r="P366" t="n">
        <v>0</v>
      </c>
      <c r="Q366" t="n">
        <v>0</v>
      </c>
      <c r="R366" s="2" t="inlineStr"/>
    </row>
    <row r="367" ht="15" customHeight="1">
      <c r="A367" t="inlineStr">
        <is>
          <t>A 5925-2022</t>
        </is>
      </c>
      <c r="B367" s="1" t="n">
        <v>44598.7384837963</v>
      </c>
      <c r="C367" s="1" t="n">
        <v>46184</v>
      </c>
      <c r="D367" t="inlineStr">
        <is>
          <t>KALMAR LÄN</t>
        </is>
      </c>
      <c r="E367" t="inlineStr">
        <is>
          <t>VIMMERBY</t>
        </is>
      </c>
      <c r="G367" t="n">
        <v>2.1</v>
      </c>
      <c r="H367" t="n">
        <v>0</v>
      </c>
      <c r="I367" t="n">
        <v>0</v>
      </c>
      <c r="J367" t="n">
        <v>0</v>
      </c>
      <c r="K367" t="n">
        <v>0</v>
      </c>
      <c r="L367" t="n">
        <v>0</v>
      </c>
      <c r="M367" t="n">
        <v>0</v>
      </c>
      <c r="N367" t="n">
        <v>0</v>
      </c>
      <c r="O367" t="n">
        <v>0</v>
      </c>
      <c r="P367" t="n">
        <v>0</v>
      </c>
      <c r="Q367" t="n">
        <v>0</v>
      </c>
      <c r="R367" s="2" t="inlineStr"/>
    </row>
    <row r="368" ht="15" customHeight="1">
      <c r="A368" t="inlineStr">
        <is>
          <t>A 46522-2022</t>
        </is>
      </c>
      <c r="B368" s="1" t="n">
        <v>44848.59133101852</v>
      </c>
      <c r="C368" s="1" t="n">
        <v>46184</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41066-2024</t>
        </is>
      </c>
      <c r="B369" s="1" t="n">
        <v>45559.38876157408</v>
      </c>
      <c r="C369" s="1" t="n">
        <v>46184</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52279-2023</t>
        </is>
      </c>
      <c r="B370" s="1" t="n">
        <v>45224</v>
      </c>
      <c r="C370" s="1" t="n">
        <v>46184</v>
      </c>
      <c r="D370" t="inlineStr">
        <is>
          <t>KALMAR LÄN</t>
        </is>
      </c>
      <c r="E370" t="inlineStr">
        <is>
          <t>VIMMERBY</t>
        </is>
      </c>
      <c r="G370" t="n">
        <v>1.8</v>
      </c>
      <c r="H370" t="n">
        <v>0</v>
      </c>
      <c r="I370" t="n">
        <v>0</v>
      </c>
      <c r="J370" t="n">
        <v>0</v>
      </c>
      <c r="K370" t="n">
        <v>0</v>
      </c>
      <c r="L370" t="n">
        <v>0</v>
      </c>
      <c r="M370" t="n">
        <v>0</v>
      </c>
      <c r="N370" t="n">
        <v>0</v>
      </c>
      <c r="O370" t="n">
        <v>0</v>
      </c>
      <c r="P370" t="n">
        <v>0</v>
      </c>
      <c r="Q370" t="n">
        <v>0</v>
      </c>
      <c r="R370" s="2" t="inlineStr"/>
    </row>
    <row r="371" ht="15" customHeight="1">
      <c r="A371" t="inlineStr">
        <is>
          <t>A 17486-2024</t>
        </is>
      </c>
      <c r="B371" s="1" t="n">
        <v>45415.48979166667</v>
      </c>
      <c r="C371" s="1" t="n">
        <v>46184</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71631-2021</t>
        </is>
      </c>
      <c r="B372" s="1" t="n">
        <v>44542.90072916666</v>
      </c>
      <c r="C372" s="1" t="n">
        <v>46184</v>
      </c>
      <c r="D372" t="inlineStr">
        <is>
          <t>KALMAR LÄN</t>
        </is>
      </c>
      <c r="E372" t="inlineStr">
        <is>
          <t>VIMMERBY</t>
        </is>
      </c>
      <c r="G372" t="n">
        <v>0.9</v>
      </c>
      <c r="H372" t="n">
        <v>0</v>
      </c>
      <c r="I372" t="n">
        <v>0</v>
      </c>
      <c r="J372" t="n">
        <v>0</v>
      </c>
      <c r="K372" t="n">
        <v>0</v>
      </c>
      <c r="L372" t="n">
        <v>0</v>
      </c>
      <c r="M372" t="n">
        <v>0</v>
      </c>
      <c r="N372" t="n">
        <v>0</v>
      </c>
      <c r="O372" t="n">
        <v>0</v>
      </c>
      <c r="P372" t="n">
        <v>0</v>
      </c>
      <c r="Q372" t="n">
        <v>0</v>
      </c>
      <c r="R372" s="2" t="inlineStr"/>
    </row>
    <row r="373" ht="15" customHeight="1">
      <c r="A373" t="inlineStr">
        <is>
          <t>A 9694-2023</t>
        </is>
      </c>
      <c r="B373" s="1" t="n">
        <v>44984.45895833334</v>
      </c>
      <c r="C373" s="1" t="n">
        <v>46184</v>
      </c>
      <c r="D373" t="inlineStr">
        <is>
          <t>KALMAR LÄN</t>
        </is>
      </c>
      <c r="E373" t="inlineStr">
        <is>
          <t>VIMMERBY</t>
        </is>
      </c>
      <c r="G373" t="n">
        <v>2.1</v>
      </c>
      <c r="H373" t="n">
        <v>0</v>
      </c>
      <c r="I373" t="n">
        <v>0</v>
      </c>
      <c r="J373" t="n">
        <v>0</v>
      </c>
      <c r="K373" t="n">
        <v>0</v>
      </c>
      <c r="L373" t="n">
        <v>0</v>
      </c>
      <c r="M373" t="n">
        <v>0</v>
      </c>
      <c r="N373" t="n">
        <v>0</v>
      </c>
      <c r="O373" t="n">
        <v>0</v>
      </c>
      <c r="P373" t="n">
        <v>0</v>
      </c>
      <c r="Q373" t="n">
        <v>0</v>
      </c>
      <c r="R373" s="2" t="inlineStr"/>
    </row>
    <row r="374" ht="15" customHeight="1">
      <c r="A374" t="inlineStr">
        <is>
          <t>A 57311-2023</t>
        </is>
      </c>
      <c r="B374" s="1" t="n">
        <v>45245.63574074074</v>
      </c>
      <c r="C374" s="1" t="n">
        <v>46184</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12588-2025</t>
        </is>
      </c>
      <c r="B375" s="1" t="n">
        <v>45732.76936342593</v>
      </c>
      <c r="C375" s="1" t="n">
        <v>46184</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7932-2025</t>
        </is>
      </c>
      <c r="B376" s="1" t="n">
        <v>45707.3793287037</v>
      </c>
      <c r="C376" s="1" t="n">
        <v>46184</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2121-2022</t>
        </is>
      </c>
      <c r="B377" s="1" t="n">
        <v>44578.32717592592</v>
      </c>
      <c r="C377" s="1" t="n">
        <v>46184</v>
      </c>
      <c r="D377" t="inlineStr">
        <is>
          <t>KALMAR LÄN</t>
        </is>
      </c>
      <c r="E377" t="inlineStr">
        <is>
          <t>VIMMERBY</t>
        </is>
      </c>
      <c r="G377" t="n">
        <v>2</v>
      </c>
      <c r="H377" t="n">
        <v>0</v>
      </c>
      <c r="I377" t="n">
        <v>0</v>
      </c>
      <c r="J377" t="n">
        <v>0</v>
      </c>
      <c r="K377" t="n">
        <v>0</v>
      </c>
      <c r="L377" t="n">
        <v>0</v>
      </c>
      <c r="M377" t="n">
        <v>0</v>
      </c>
      <c r="N377" t="n">
        <v>0</v>
      </c>
      <c r="O377" t="n">
        <v>0</v>
      </c>
      <c r="P377" t="n">
        <v>0</v>
      </c>
      <c r="Q377" t="n">
        <v>0</v>
      </c>
      <c r="R377" s="2" t="inlineStr"/>
    </row>
    <row r="378" ht="15" customHeight="1">
      <c r="A378" t="inlineStr">
        <is>
          <t>A 34386-2024</t>
        </is>
      </c>
      <c r="B378" s="1" t="n">
        <v>45525.41762731481</v>
      </c>
      <c r="C378" s="1" t="n">
        <v>46184</v>
      </c>
      <c r="D378" t="inlineStr">
        <is>
          <t>KALMAR LÄN</t>
        </is>
      </c>
      <c r="E378" t="inlineStr">
        <is>
          <t>VIMMERBY</t>
        </is>
      </c>
      <c r="G378" t="n">
        <v>0.3</v>
      </c>
      <c r="H378" t="n">
        <v>0</v>
      </c>
      <c r="I378" t="n">
        <v>0</v>
      </c>
      <c r="J378" t="n">
        <v>0</v>
      </c>
      <c r="K378" t="n">
        <v>0</v>
      </c>
      <c r="L378" t="n">
        <v>0</v>
      </c>
      <c r="M378" t="n">
        <v>0</v>
      </c>
      <c r="N378" t="n">
        <v>0</v>
      </c>
      <c r="O378" t="n">
        <v>0</v>
      </c>
      <c r="P378" t="n">
        <v>0</v>
      </c>
      <c r="Q378" t="n">
        <v>0</v>
      </c>
      <c r="R378" s="2" t="inlineStr"/>
    </row>
    <row r="379" ht="15" customHeight="1">
      <c r="A379" t="inlineStr">
        <is>
          <t>A 6069-2023</t>
        </is>
      </c>
      <c r="B379" s="1" t="n">
        <v>44964.5115162037</v>
      </c>
      <c r="C379" s="1" t="n">
        <v>46184</v>
      </c>
      <c r="D379" t="inlineStr">
        <is>
          <t>KALMAR LÄN</t>
        </is>
      </c>
      <c r="E379" t="inlineStr">
        <is>
          <t>VIMMERBY</t>
        </is>
      </c>
      <c r="G379" t="n">
        <v>1.1</v>
      </c>
      <c r="H379" t="n">
        <v>0</v>
      </c>
      <c r="I379" t="n">
        <v>0</v>
      </c>
      <c r="J379" t="n">
        <v>0</v>
      </c>
      <c r="K379" t="n">
        <v>0</v>
      </c>
      <c r="L379" t="n">
        <v>0</v>
      </c>
      <c r="M379" t="n">
        <v>0</v>
      </c>
      <c r="N379" t="n">
        <v>0</v>
      </c>
      <c r="O379" t="n">
        <v>0</v>
      </c>
      <c r="P379" t="n">
        <v>0</v>
      </c>
      <c r="Q379" t="n">
        <v>0</v>
      </c>
      <c r="R379" s="2" t="inlineStr"/>
    </row>
    <row r="380" ht="15" customHeight="1">
      <c r="A380" t="inlineStr">
        <is>
          <t>A 63758-2025</t>
        </is>
      </c>
      <c r="B380" s="1" t="n">
        <v>46018.46483796297</v>
      </c>
      <c r="C380" s="1" t="n">
        <v>46184</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63848-2025</t>
        </is>
      </c>
      <c r="B381" s="1" t="n">
        <v>46020.44902777778</v>
      </c>
      <c r="C381" s="1" t="n">
        <v>46184</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32633-2023</t>
        </is>
      </c>
      <c r="B382" s="1" t="n">
        <v>45121.58699074074</v>
      </c>
      <c r="C382" s="1" t="n">
        <v>46184</v>
      </c>
      <c r="D382" t="inlineStr">
        <is>
          <t>KALMAR LÄN</t>
        </is>
      </c>
      <c r="E382" t="inlineStr">
        <is>
          <t>VIMMERBY</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49461-2023</t>
        </is>
      </c>
      <c r="B383" s="1" t="n">
        <v>45211.52642361111</v>
      </c>
      <c r="C383" s="1" t="n">
        <v>46184</v>
      </c>
      <c r="D383" t="inlineStr">
        <is>
          <t>KALMAR LÄN</t>
        </is>
      </c>
      <c r="E383" t="inlineStr">
        <is>
          <t>VIMMERBY</t>
        </is>
      </c>
      <c r="G383" t="n">
        <v>1.5</v>
      </c>
      <c r="H383" t="n">
        <v>0</v>
      </c>
      <c r="I383" t="n">
        <v>0</v>
      </c>
      <c r="J383" t="n">
        <v>0</v>
      </c>
      <c r="K383" t="n">
        <v>0</v>
      </c>
      <c r="L383" t="n">
        <v>0</v>
      </c>
      <c r="M383" t="n">
        <v>0</v>
      </c>
      <c r="N383" t="n">
        <v>0</v>
      </c>
      <c r="O383" t="n">
        <v>0</v>
      </c>
      <c r="P383" t="n">
        <v>0</v>
      </c>
      <c r="Q383" t="n">
        <v>0</v>
      </c>
      <c r="R383" s="2" t="inlineStr"/>
    </row>
    <row r="384" ht="15" customHeight="1">
      <c r="A384" t="inlineStr">
        <is>
          <t>A 23095-2023</t>
        </is>
      </c>
      <c r="B384" s="1" t="n">
        <v>45075.43059027778</v>
      </c>
      <c r="C384" s="1" t="n">
        <v>46184</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11429-2022</t>
        </is>
      </c>
      <c r="B385" s="1" t="n">
        <v>44630</v>
      </c>
      <c r="C385" s="1" t="n">
        <v>46184</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579-2026</t>
        </is>
      </c>
      <c r="B386" s="1" t="n">
        <v>46029.47912037037</v>
      </c>
      <c r="C386" s="1" t="n">
        <v>46184</v>
      </c>
      <c r="D386" t="inlineStr">
        <is>
          <t>KALMAR LÄN</t>
        </is>
      </c>
      <c r="E386" t="inlineStr">
        <is>
          <t>VIMMERBY</t>
        </is>
      </c>
      <c r="G386" t="n">
        <v>3</v>
      </c>
      <c r="H386" t="n">
        <v>0</v>
      </c>
      <c r="I386" t="n">
        <v>0</v>
      </c>
      <c r="J386" t="n">
        <v>0</v>
      </c>
      <c r="K386" t="n">
        <v>0</v>
      </c>
      <c r="L386" t="n">
        <v>0</v>
      </c>
      <c r="M386" t="n">
        <v>0</v>
      </c>
      <c r="N386" t="n">
        <v>0</v>
      </c>
      <c r="O386" t="n">
        <v>0</v>
      </c>
      <c r="P386" t="n">
        <v>0</v>
      </c>
      <c r="Q386" t="n">
        <v>0</v>
      </c>
      <c r="R386" s="2" t="inlineStr"/>
    </row>
    <row r="387" ht="15" customHeight="1">
      <c r="A387" t="inlineStr">
        <is>
          <t>A 409-2026</t>
        </is>
      </c>
      <c r="B387" s="1" t="n">
        <v>46028.69432870371</v>
      </c>
      <c r="C387" s="1" t="n">
        <v>46184</v>
      </c>
      <c r="D387" t="inlineStr">
        <is>
          <t>KALMAR LÄN</t>
        </is>
      </c>
      <c r="E387" t="inlineStr">
        <is>
          <t>VIMMERBY</t>
        </is>
      </c>
      <c r="G387" t="n">
        <v>2.2</v>
      </c>
      <c r="H387" t="n">
        <v>0</v>
      </c>
      <c r="I387" t="n">
        <v>0</v>
      </c>
      <c r="J387" t="n">
        <v>0</v>
      </c>
      <c r="K387" t="n">
        <v>0</v>
      </c>
      <c r="L387" t="n">
        <v>0</v>
      </c>
      <c r="M387" t="n">
        <v>0</v>
      </c>
      <c r="N387" t="n">
        <v>0</v>
      </c>
      <c r="O387" t="n">
        <v>0</v>
      </c>
      <c r="P387" t="n">
        <v>0</v>
      </c>
      <c r="Q387" t="n">
        <v>0</v>
      </c>
      <c r="R387" s="2" t="inlineStr"/>
    </row>
    <row r="388" ht="15" customHeight="1">
      <c r="A388" t="inlineStr">
        <is>
          <t>A 406-2026</t>
        </is>
      </c>
      <c r="B388" s="1" t="n">
        <v>46028.68663194445</v>
      </c>
      <c r="C388" s="1" t="n">
        <v>46184</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11141-2024</t>
        </is>
      </c>
      <c r="B389" s="1" t="n">
        <v>45371.45865740741</v>
      </c>
      <c r="C389" s="1" t="n">
        <v>46184</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28395-2023</t>
        </is>
      </c>
      <c r="B390" s="1" t="n">
        <v>45100.4062962963</v>
      </c>
      <c r="C390" s="1" t="n">
        <v>46184</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34597-2022</t>
        </is>
      </c>
      <c r="B391" s="1" t="n">
        <v>44795</v>
      </c>
      <c r="C391" s="1" t="n">
        <v>46184</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64428-2023</t>
        </is>
      </c>
      <c r="B392" s="1" t="n">
        <v>45280.66769675926</v>
      </c>
      <c r="C392" s="1" t="n">
        <v>46184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842-2026</t>
        </is>
      </c>
      <c r="B393" s="1" t="n">
        <v>46030.380625</v>
      </c>
      <c r="C393" s="1" t="n">
        <v>46184</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30588-2023</t>
        </is>
      </c>
      <c r="B394" s="1" t="n">
        <v>45112.33599537037</v>
      </c>
      <c r="C394" s="1" t="n">
        <v>46184</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30503-2023</t>
        </is>
      </c>
      <c r="B395" s="1" t="n">
        <v>45111</v>
      </c>
      <c r="C395" s="1" t="n">
        <v>46184</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1069-2026</t>
        </is>
      </c>
      <c r="B396" s="1" t="n">
        <v>46030</v>
      </c>
      <c r="C396" s="1" t="n">
        <v>46184</v>
      </c>
      <c r="D396" t="inlineStr">
        <is>
          <t>KALMAR LÄN</t>
        </is>
      </c>
      <c r="E396" t="inlineStr">
        <is>
          <t>VIMMERBY</t>
        </is>
      </c>
      <c r="G396" t="n">
        <v>3.3</v>
      </c>
      <c r="H396" t="n">
        <v>0</v>
      </c>
      <c r="I396" t="n">
        <v>0</v>
      </c>
      <c r="J396" t="n">
        <v>0</v>
      </c>
      <c r="K396" t="n">
        <v>0</v>
      </c>
      <c r="L396" t="n">
        <v>0</v>
      </c>
      <c r="M396" t="n">
        <v>0</v>
      </c>
      <c r="N396" t="n">
        <v>0</v>
      </c>
      <c r="O396" t="n">
        <v>0</v>
      </c>
      <c r="P396" t="n">
        <v>0</v>
      </c>
      <c r="Q396" t="n">
        <v>0</v>
      </c>
      <c r="R396" s="2" t="inlineStr"/>
    </row>
    <row r="397" ht="15" customHeight="1">
      <c r="A397" t="inlineStr">
        <is>
          <t>A 1743-2026</t>
        </is>
      </c>
      <c r="B397" s="1" t="n">
        <v>46034</v>
      </c>
      <c r="C397" s="1" t="n">
        <v>46184</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1748-2026</t>
        </is>
      </c>
      <c r="B398" s="1" t="n">
        <v>46034.65589120371</v>
      </c>
      <c r="C398" s="1" t="n">
        <v>46184</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47263-2023</t>
        </is>
      </c>
      <c r="B399" s="1" t="n">
        <v>45202.4209837963</v>
      </c>
      <c r="C399" s="1" t="n">
        <v>46184</v>
      </c>
      <c r="D399" t="inlineStr">
        <is>
          <t>KALMAR LÄN</t>
        </is>
      </c>
      <c r="E399" t="inlineStr">
        <is>
          <t>VIMMERBY</t>
        </is>
      </c>
      <c r="G399" t="n">
        <v>1.8</v>
      </c>
      <c r="H399" t="n">
        <v>0</v>
      </c>
      <c r="I399" t="n">
        <v>0</v>
      </c>
      <c r="J399" t="n">
        <v>0</v>
      </c>
      <c r="K399" t="n">
        <v>0</v>
      </c>
      <c r="L399" t="n">
        <v>0</v>
      </c>
      <c r="M399" t="n">
        <v>0</v>
      </c>
      <c r="N399" t="n">
        <v>0</v>
      </c>
      <c r="O399" t="n">
        <v>0</v>
      </c>
      <c r="P399" t="n">
        <v>0</v>
      </c>
      <c r="Q399" t="n">
        <v>0</v>
      </c>
      <c r="R399" s="2" t="inlineStr"/>
    </row>
    <row r="400" ht="15" customHeight="1">
      <c r="A400" t="inlineStr">
        <is>
          <t>A 1862-2026</t>
        </is>
      </c>
      <c r="B400" s="1" t="n">
        <v>46035.44689814815</v>
      </c>
      <c r="C400" s="1" t="n">
        <v>46184</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58100-2024</t>
        </is>
      </c>
      <c r="B401" s="1" t="n">
        <v>45632.36706018518</v>
      </c>
      <c r="C401" s="1" t="n">
        <v>46184</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57114-2023</t>
        </is>
      </c>
      <c r="B402" s="1" t="n">
        <v>45245.36174768519</v>
      </c>
      <c r="C402" s="1" t="n">
        <v>46184</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3423-2022</t>
        </is>
      </c>
      <c r="B403" s="1" t="n">
        <v>44585.50431712963</v>
      </c>
      <c r="C403" s="1" t="n">
        <v>46184</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2518-2026</t>
        </is>
      </c>
      <c r="B404" s="1" t="n">
        <v>46037.42511574074</v>
      </c>
      <c r="C404" s="1" t="n">
        <v>46184</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40665-2023</t>
        </is>
      </c>
      <c r="B405" s="1" t="n">
        <v>45170</v>
      </c>
      <c r="C405" s="1" t="n">
        <v>46184</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2514-2026</t>
        </is>
      </c>
      <c r="B406" s="1" t="n">
        <v>46037.42219907408</v>
      </c>
      <c r="C406" s="1" t="n">
        <v>46184</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2523-2026</t>
        </is>
      </c>
      <c r="B407" s="1" t="n">
        <v>46037.42825231481</v>
      </c>
      <c r="C407" s="1" t="n">
        <v>46184</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3266-2026</t>
        </is>
      </c>
      <c r="B408" s="1" t="n">
        <v>46041</v>
      </c>
      <c r="C408" s="1" t="n">
        <v>46184</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50860-2022</t>
        </is>
      </c>
      <c r="B409" s="1" t="n">
        <v>44867</v>
      </c>
      <c r="C409" s="1" t="n">
        <v>46184</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25370-2022</t>
        </is>
      </c>
      <c r="B410" s="1" t="n">
        <v>44732.3659837963</v>
      </c>
      <c r="C410" s="1" t="n">
        <v>46184</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58577-2024</t>
        </is>
      </c>
      <c r="B411" s="1" t="n">
        <v>45635.4874537037</v>
      </c>
      <c r="C411" s="1" t="n">
        <v>46184</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29440-2024</t>
        </is>
      </c>
      <c r="B412" s="1" t="n">
        <v>45483.82479166667</v>
      </c>
      <c r="C412" s="1" t="n">
        <v>46184</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3868-2026</t>
        </is>
      </c>
      <c r="B413" s="1" t="n">
        <v>46043.6360300926</v>
      </c>
      <c r="C413" s="1" t="n">
        <v>46184</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3869-2026</t>
        </is>
      </c>
      <c r="B414" s="1" t="n">
        <v>46043.63940972222</v>
      </c>
      <c r="C414" s="1" t="n">
        <v>46184</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9129-2025</t>
        </is>
      </c>
      <c r="B415" s="1" t="n">
        <v>45713.92412037037</v>
      </c>
      <c r="C415" s="1" t="n">
        <v>46184</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53752-2024</t>
        </is>
      </c>
      <c r="B416" s="1" t="n">
        <v>45615.48927083334</v>
      </c>
      <c r="C416" s="1" t="n">
        <v>46184</v>
      </c>
      <c r="D416" t="inlineStr">
        <is>
          <t>KALMAR LÄN</t>
        </is>
      </c>
      <c r="E416" t="inlineStr">
        <is>
          <t>VIMMERBY</t>
        </is>
      </c>
      <c r="G416" t="n">
        <v>2.4</v>
      </c>
      <c r="H416" t="n">
        <v>0</v>
      </c>
      <c r="I416" t="n">
        <v>0</v>
      </c>
      <c r="J416" t="n">
        <v>0</v>
      </c>
      <c r="K416" t="n">
        <v>0</v>
      </c>
      <c r="L416" t="n">
        <v>0</v>
      </c>
      <c r="M416" t="n">
        <v>0</v>
      </c>
      <c r="N416" t="n">
        <v>0</v>
      </c>
      <c r="O416" t="n">
        <v>0</v>
      </c>
      <c r="P416" t="n">
        <v>0</v>
      </c>
      <c r="Q416" t="n">
        <v>0</v>
      </c>
      <c r="R416" s="2" t="inlineStr"/>
    </row>
    <row r="417" ht="15" customHeight="1">
      <c r="A417" t="inlineStr">
        <is>
          <t>A 3965-2026</t>
        </is>
      </c>
      <c r="B417" s="1" t="n">
        <v>46044.34563657407</v>
      </c>
      <c r="C417" s="1" t="n">
        <v>46184</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9710-2023</t>
        </is>
      </c>
      <c r="B418" s="1" t="n">
        <v>44984</v>
      </c>
      <c r="C418" s="1" t="n">
        <v>46184</v>
      </c>
      <c r="D418" t="inlineStr">
        <is>
          <t>KALMAR LÄN</t>
        </is>
      </c>
      <c r="E418" t="inlineStr">
        <is>
          <t>VIMMERBY</t>
        </is>
      </c>
      <c r="G418" t="n">
        <v>3.7</v>
      </c>
      <c r="H418" t="n">
        <v>0</v>
      </c>
      <c r="I418" t="n">
        <v>0</v>
      </c>
      <c r="J418" t="n">
        <v>0</v>
      </c>
      <c r="K418" t="n">
        <v>0</v>
      </c>
      <c r="L418" t="n">
        <v>0</v>
      </c>
      <c r="M418" t="n">
        <v>0</v>
      </c>
      <c r="N418" t="n">
        <v>0</v>
      </c>
      <c r="O418" t="n">
        <v>0</v>
      </c>
      <c r="P418" t="n">
        <v>0</v>
      </c>
      <c r="Q418" t="n">
        <v>0</v>
      </c>
      <c r="R418" s="2" t="inlineStr"/>
    </row>
    <row r="419" ht="15" customHeight="1">
      <c r="A419" t="inlineStr">
        <is>
          <t>A 9720-2023</t>
        </is>
      </c>
      <c r="B419" s="1" t="n">
        <v>44984</v>
      </c>
      <c r="C419" s="1" t="n">
        <v>46184</v>
      </c>
      <c r="D419" t="inlineStr">
        <is>
          <t>KALMAR LÄN</t>
        </is>
      </c>
      <c r="E419" t="inlineStr">
        <is>
          <t>VIMMERBY</t>
        </is>
      </c>
      <c r="G419" t="n">
        <v>4.4</v>
      </c>
      <c r="H419" t="n">
        <v>0</v>
      </c>
      <c r="I419" t="n">
        <v>0</v>
      </c>
      <c r="J419" t="n">
        <v>0</v>
      </c>
      <c r="K419" t="n">
        <v>0</v>
      </c>
      <c r="L419" t="n">
        <v>0</v>
      </c>
      <c r="M419" t="n">
        <v>0</v>
      </c>
      <c r="N419" t="n">
        <v>0</v>
      </c>
      <c r="O419" t="n">
        <v>0</v>
      </c>
      <c r="P419" t="n">
        <v>0</v>
      </c>
      <c r="Q419" t="n">
        <v>0</v>
      </c>
      <c r="R419" s="2" t="inlineStr"/>
    </row>
    <row r="420" ht="15" customHeight="1">
      <c r="A420" t="inlineStr">
        <is>
          <t>A 15493-2023</t>
        </is>
      </c>
      <c r="B420" s="1" t="n">
        <v>45018</v>
      </c>
      <c r="C420" s="1" t="n">
        <v>46184</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29093-2023</t>
        </is>
      </c>
      <c r="B421" s="1" t="n">
        <v>45105</v>
      </c>
      <c r="C421" s="1" t="n">
        <v>46184</v>
      </c>
      <c r="D421" t="inlineStr">
        <is>
          <t>KALMAR LÄN</t>
        </is>
      </c>
      <c r="E421" t="inlineStr">
        <is>
          <t>VIMMERBY</t>
        </is>
      </c>
      <c r="G421" t="n">
        <v>2.9</v>
      </c>
      <c r="H421" t="n">
        <v>0</v>
      </c>
      <c r="I421" t="n">
        <v>0</v>
      </c>
      <c r="J421" t="n">
        <v>0</v>
      </c>
      <c r="K421" t="n">
        <v>0</v>
      </c>
      <c r="L421" t="n">
        <v>0</v>
      </c>
      <c r="M421" t="n">
        <v>0</v>
      </c>
      <c r="N421" t="n">
        <v>0</v>
      </c>
      <c r="O421" t="n">
        <v>0</v>
      </c>
      <c r="P421" t="n">
        <v>0</v>
      </c>
      <c r="Q421" t="n">
        <v>0</v>
      </c>
      <c r="R421" s="2" t="inlineStr"/>
    </row>
    <row r="422" ht="15" customHeight="1">
      <c r="A422" t="inlineStr">
        <is>
          <t>A 33352-2022</t>
        </is>
      </c>
      <c r="B422" s="1" t="n">
        <v>44788</v>
      </c>
      <c r="C422" s="1" t="n">
        <v>46184</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22264-2023</t>
        </is>
      </c>
      <c r="B423" s="1" t="n">
        <v>45070.3665625</v>
      </c>
      <c r="C423" s="1" t="n">
        <v>46184</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16676-2023</t>
        </is>
      </c>
      <c r="B424" s="1" t="n">
        <v>45028</v>
      </c>
      <c r="C424" s="1" t="n">
        <v>46184</v>
      </c>
      <c r="D424" t="inlineStr">
        <is>
          <t>KALMAR LÄN</t>
        </is>
      </c>
      <c r="E424" t="inlineStr">
        <is>
          <t>VIMMERBY</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24096-2024</t>
        </is>
      </c>
      <c r="B425" s="1" t="n">
        <v>45456.59289351852</v>
      </c>
      <c r="C425" s="1" t="n">
        <v>46184</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29013-2024</t>
        </is>
      </c>
      <c r="B426" s="1" t="n">
        <v>45481.55984953704</v>
      </c>
      <c r="C426" s="1" t="n">
        <v>46184</v>
      </c>
      <c r="D426" t="inlineStr">
        <is>
          <t>KALMAR LÄN</t>
        </is>
      </c>
      <c r="E426" t="inlineStr">
        <is>
          <t>VIMMERBY</t>
        </is>
      </c>
      <c r="G426" t="n">
        <v>3.4</v>
      </c>
      <c r="H426" t="n">
        <v>0</v>
      </c>
      <c r="I426" t="n">
        <v>0</v>
      </c>
      <c r="J426" t="n">
        <v>0</v>
      </c>
      <c r="K426" t="n">
        <v>0</v>
      </c>
      <c r="L426" t="n">
        <v>0</v>
      </c>
      <c r="M426" t="n">
        <v>0</v>
      </c>
      <c r="N426" t="n">
        <v>0</v>
      </c>
      <c r="O426" t="n">
        <v>0</v>
      </c>
      <c r="P426" t="n">
        <v>0</v>
      </c>
      <c r="Q426" t="n">
        <v>0</v>
      </c>
      <c r="R426" s="2" t="inlineStr"/>
    </row>
    <row r="427" ht="15" customHeight="1">
      <c r="A427" t="inlineStr">
        <is>
          <t>A 6066-2023</t>
        </is>
      </c>
      <c r="B427" s="1" t="n">
        <v>44964.50894675926</v>
      </c>
      <c r="C427" s="1" t="n">
        <v>46184</v>
      </c>
      <c r="D427" t="inlineStr">
        <is>
          <t>KALMAR LÄN</t>
        </is>
      </c>
      <c r="E427" t="inlineStr">
        <is>
          <t>VIMMERBY</t>
        </is>
      </c>
      <c r="G427" t="n">
        <v>2.8</v>
      </c>
      <c r="H427" t="n">
        <v>0</v>
      </c>
      <c r="I427" t="n">
        <v>0</v>
      </c>
      <c r="J427" t="n">
        <v>0</v>
      </c>
      <c r="K427" t="n">
        <v>0</v>
      </c>
      <c r="L427" t="n">
        <v>0</v>
      </c>
      <c r="M427" t="n">
        <v>0</v>
      </c>
      <c r="N427" t="n">
        <v>0</v>
      </c>
      <c r="O427" t="n">
        <v>0</v>
      </c>
      <c r="P427" t="n">
        <v>0</v>
      </c>
      <c r="Q427" t="n">
        <v>0</v>
      </c>
      <c r="R427" s="2" t="inlineStr"/>
    </row>
    <row r="428" ht="15" customHeight="1">
      <c r="A428" t="inlineStr">
        <is>
          <t>A 59955-2023</t>
        </is>
      </c>
      <c r="B428" s="1" t="n">
        <v>45257.70313657408</v>
      </c>
      <c r="C428" s="1" t="n">
        <v>46184</v>
      </c>
      <c r="D428" t="inlineStr">
        <is>
          <t>KALMAR LÄN</t>
        </is>
      </c>
      <c r="E428" t="inlineStr">
        <is>
          <t>VIMMERBY</t>
        </is>
      </c>
      <c r="G428" t="n">
        <v>13.8</v>
      </c>
      <c r="H428" t="n">
        <v>0</v>
      </c>
      <c r="I428" t="n">
        <v>0</v>
      </c>
      <c r="J428" t="n">
        <v>0</v>
      </c>
      <c r="K428" t="n">
        <v>0</v>
      </c>
      <c r="L428" t="n">
        <v>0</v>
      </c>
      <c r="M428" t="n">
        <v>0</v>
      </c>
      <c r="N428" t="n">
        <v>0</v>
      </c>
      <c r="O428" t="n">
        <v>0</v>
      </c>
      <c r="P428" t="n">
        <v>0</v>
      </c>
      <c r="Q428" t="n">
        <v>0</v>
      </c>
      <c r="R428" s="2" t="inlineStr"/>
    </row>
    <row r="429" ht="15" customHeight="1">
      <c r="A429" t="inlineStr">
        <is>
          <t>A 36040-2024</t>
        </is>
      </c>
      <c r="B429" s="1" t="n">
        <v>45533.60232638889</v>
      </c>
      <c r="C429" s="1" t="n">
        <v>46184</v>
      </c>
      <c r="D429" t="inlineStr">
        <is>
          <t>KALMAR LÄN</t>
        </is>
      </c>
      <c r="E429" t="inlineStr">
        <is>
          <t>VIMMERBY</t>
        </is>
      </c>
      <c r="F429" t="inlineStr">
        <is>
          <t>Kommuner</t>
        </is>
      </c>
      <c r="G429" t="n">
        <v>3.6</v>
      </c>
      <c r="H429" t="n">
        <v>0</v>
      </c>
      <c r="I429" t="n">
        <v>0</v>
      </c>
      <c r="J429" t="n">
        <v>0</v>
      </c>
      <c r="K429" t="n">
        <v>0</v>
      </c>
      <c r="L429" t="n">
        <v>0</v>
      </c>
      <c r="M429" t="n">
        <v>0</v>
      </c>
      <c r="N429" t="n">
        <v>0</v>
      </c>
      <c r="O429" t="n">
        <v>0</v>
      </c>
      <c r="P429" t="n">
        <v>0</v>
      </c>
      <c r="Q429" t="n">
        <v>0</v>
      </c>
      <c r="R429" s="2" t="inlineStr"/>
    </row>
    <row r="430" ht="15" customHeight="1">
      <c r="A430" t="inlineStr">
        <is>
          <t>A 36043-2024</t>
        </is>
      </c>
      <c r="B430" s="1" t="n">
        <v>45533.60770833334</v>
      </c>
      <c r="C430" s="1" t="n">
        <v>46184</v>
      </c>
      <c r="D430" t="inlineStr">
        <is>
          <t>KALMAR LÄN</t>
        </is>
      </c>
      <c r="E430" t="inlineStr">
        <is>
          <t>VIMMERBY</t>
        </is>
      </c>
      <c r="F430" t="inlineStr">
        <is>
          <t>Kommuner</t>
        </is>
      </c>
      <c r="G430" t="n">
        <v>1.5</v>
      </c>
      <c r="H430" t="n">
        <v>0</v>
      </c>
      <c r="I430" t="n">
        <v>0</v>
      </c>
      <c r="J430" t="n">
        <v>0</v>
      </c>
      <c r="K430" t="n">
        <v>0</v>
      </c>
      <c r="L430" t="n">
        <v>0</v>
      </c>
      <c r="M430" t="n">
        <v>0</v>
      </c>
      <c r="N430" t="n">
        <v>0</v>
      </c>
      <c r="O430" t="n">
        <v>0</v>
      </c>
      <c r="P430" t="n">
        <v>0</v>
      </c>
      <c r="Q430" t="n">
        <v>0</v>
      </c>
      <c r="R430" s="2" t="inlineStr"/>
    </row>
    <row r="431" ht="15" customHeight="1">
      <c r="A431" t="inlineStr">
        <is>
          <t>A 12890-2023</t>
        </is>
      </c>
      <c r="B431" s="1" t="n">
        <v>45001.59209490741</v>
      </c>
      <c r="C431" s="1" t="n">
        <v>46184</v>
      </c>
      <c r="D431" t="inlineStr">
        <is>
          <t>KALMAR LÄN</t>
        </is>
      </c>
      <c r="E431" t="inlineStr">
        <is>
          <t>VIMMERBY</t>
        </is>
      </c>
      <c r="G431" t="n">
        <v>2.8</v>
      </c>
      <c r="H431" t="n">
        <v>0</v>
      </c>
      <c r="I431" t="n">
        <v>0</v>
      </c>
      <c r="J431" t="n">
        <v>0</v>
      </c>
      <c r="K431" t="n">
        <v>0</v>
      </c>
      <c r="L431" t="n">
        <v>0</v>
      </c>
      <c r="M431" t="n">
        <v>0</v>
      </c>
      <c r="N431" t="n">
        <v>0</v>
      </c>
      <c r="O431" t="n">
        <v>0</v>
      </c>
      <c r="P431" t="n">
        <v>0</v>
      </c>
      <c r="Q431" t="n">
        <v>0</v>
      </c>
      <c r="R431" s="2" t="inlineStr"/>
    </row>
    <row r="432" ht="15" customHeight="1">
      <c r="A432" t="inlineStr">
        <is>
          <t>A 43594-2024</t>
        </is>
      </c>
      <c r="B432" s="1" t="n">
        <v>45569.44295138889</v>
      </c>
      <c r="C432" s="1" t="n">
        <v>46184</v>
      </c>
      <c r="D432" t="inlineStr">
        <is>
          <t>KALMAR LÄN</t>
        </is>
      </c>
      <c r="E432" t="inlineStr">
        <is>
          <t>VIMMERBY</t>
        </is>
      </c>
      <c r="G432" t="n">
        <v>3.9</v>
      </c>
      <c r="H432" t="n">
        <v>0</v>
      </c>
      <c r="I432" t="n">
        <v>0</v>
      </c>
      <c r="J432" t="n">
        <v>0</v>
      </c>
      <c r="K432" t="n">
        <v>0</v>
      </c>
      <c r="L432" t="n">
        <v>0</v>
      </c>
      <c r="M432" t="n">
        <v>0</v>
      </c>
      <c r="N432" t="n">
        <v>0</v>
      </c>
      <c r="O432" t="n">
        <v>0</v>
      </c>
      <c r="P432" t="n">
        <v>0</v>
      </c>
      <c r="Q432" t="n">
        <v>0</v>
      </c>
      <c r="R432" s="2" t="inlineStr"/>
    </row>
    <row r="433" ht="15" customHeight="1">
      <c r="A433" t="inlineStr">
        <is>
          <t>A 53482-2022</t>
        </is>
      </c>
      <c r="B433" s="1" t="n">
        <v>44879</v>
      </c>
      <c r="C433" s="1" t="n">
        <v>46184</v>
      </c>
      <c r="D433" t="inlineStr">
        <is>
          <t>KALMAR LÄN</t>
        </is>
      </c>
      <c r="E433" t="inlineStr">
        <is>
          <t>VIMMERBY</t>
        </is>
      </c>
      <c r="G433" t="n">
        <v>10.1</v>
      </c>
      <c r="H433" t="n">
        <v>0</v>
      </c>
      <c r="I433" t="n">
        <v>0</v>
      </c>
      <c r="J433" t="n">
        <v>0</v>
      </c>
      <c r="K433" t="n">
        <v>0</v>
      </c>
      <c r="L433" t="n">
        <v>0</v>
      </c>
      <c r="M433" t="n">
        <v>0</v>
      </c>
      <c r="N433" t="n">
        <v>0</v>
      </c>
      <c r="O433" t="n">
        <v>0</v>
      </c>
      <c r="P433" t="n">
        <v>0</v>
      </c>
      <c r="Q433" t="n">
        <v>0</v>
      </c>
      <c r="R433" s="2" t="inlineStr"/>
    </row>
    <row r="434" ht="15" customHeight="1">
      <c r="A434" t="inlineStr">
        <is>
          <t>A 27761-2024</t>
        </is>
      </c>
      <c r="B434" s="1" t="n">
        <v>45475.49018518518</v>
      </c>
      <c r="C434" s="1" t="n">
        <v>46184</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64203-2021</t>
        </is>
      </c>
      <c r="B435" s="1" t="n">
        <v>44510.60921296296</v>
      </c>
      <c r="C435" s="1" t="n">
        <v>46184</v>
      </c>
      <c r="D435" t="inlineStr">
        <is>
          <t>KALMAR LÄN</t>
        </is>
      </c>
      <c r="E435" t="inlineStr">
        <is>
          <t>VIMMERBY</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5720-2023</t>
        </is>
      </c>
      <c r="B436" s="1" t="n">
        <v>44961</v>
      </c>
      <c r="C436" s="1" t="n">
        <v>46184</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9643-2023</t>
        </is>
      </c>
      <c r="B437" s="1" t="n">
        <v>44984</v>
      </c>
      <c r="C437" s="1" t="n">
        <v>46184</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25728-2023</t>
        </is>
      </c>
      <c r="B438" s="1" t="n">
        <v>45090.38012731481</v>
      </c>
      <c r="C438" s="1" t="n">
        <v>46184</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6817-2026</t>
        </is>
      </c>
      <c r="B439" s="1" t="n">
        <v>46057.38412037037</v>
      </c>
      <c r="C439" s="1" t="n">
        <v>46184</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41311-2023</t>
        </is>
      </c>
      <c r="B440" s="1" t="n">
        <v>45174</v>
      </c>
      <c r="C440" s="1" t="n">
        <v>46184</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26318-2023</t>
        </is>
      </c>
      <c r="B441" s="1" t="n">
        <v>45091.67936342592</v>
      </c>
      <c r="C441" s="1" t="n">
        <v>46184</v>
      </c>
      <c r="D441" t="inlineStr">
        <is>
          <t>KALMAR LÄN</t>
        </is>
      </c>
      <c r="E441" t="inlineStr">
        <is>
          <t>VIMMERBY</t>
        </is>
      </c>
      <c r="G441" t="n">
        <v>3.8</v>
      </c>
      <c r="H441" t="n">
        <v>0</v>
      </c>
      <c r="I441" t="n">
        <v>0</v>
      </c>
      <c r="J441" t="n">
        <v>0</v>
      </c>
      <c r="K441" t="n">
        <v>0</v>
      </c>
      <c r="L441" t="n">
        <v>0</v>
      </c>
      <c r="M441" t="n">
        <v>0</v>
      </c>
      <c r="N441" t="n">
        <v>0</v>
      </c>
      <c r="O441" t="n">
        <v>0</v>
      </c>
      <c r="P441" t="n">
        <v>0</v>
      </c>
      <c r="Q441" t="n">
        <v>0</v>
      </c>
      <c r="R441" s="2" t="inlineStr"/>
    </row>
    <row r="442" ht="15" customHeight="1">
      <c r="A442" t="inlineStr">
        <is>
          <t>A 61355-2024</t>
        </is>
      </c>
      <c r="B442" s="1" t="n">
        <v>45646.38200231481</v>
      </c>
      <c r="C442" s="1" t="n">
        <v>46184</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36802-2021</t>
        </is>
      </c>
      <c r="B443" s="1" t="n">
        <v>44392</v>
      </c>
      <c r="C443" s="1" t="n">
        <v>46184</v>
      </c>
      <c r="D443" t="inlineStr">
        <is>
          <t>KALMAR LÄN</t>
        </is>
      </c>
      <c r="E443" t="inlineStr">
        <is>
          <t>VIMMERBY</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8595-2026</t>
        </is>
      </c>
      <c r="B444" s="1" t="n">
        <v>46065.7372337963</v>
      </c>
      <c r="C444" s="1" t="n">
        <v>46184</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38198-2024</t>
        </is>
      </c>
      <c r="B445" s="1" t="n">
        <v>45545.49508101852</v>
      </c>
      <c r="C445" s="1" t="n">
        <v>46184</v>
      </c>
      <c r="D445" t="inlineStr">
        <is>
          <t>KALMAR LÄN</t>
        </is>
      </c>
      <c r="E445" t="inlineStr">
        <is>
          <t>VIMMERBY</t>
        </is>
      </c>
      <c r="G445" t="n">
        <v>7.9</v>
      </c>
      <c r="H445" t="n">
        <v>0</v>
      </c>
      <c r="I445" t="n">
        <v>0</v>
      </c>
      <c r="J445" t="n">
        <v>0</v>
      </c>
      <c r="K445" t="n">
        <v>0</v>
      </c>
      <c r="L445" t="n">
        <v>0</v>
      </c>
      <c r="M445" t="n">
        <v>0</v>
      </c>
      <c r="N445" t="n">
        <v>0</v>
      </c>
      <c r="O445" t="n">
        <v>0</v>
      </c>
      <c r="P445" t="n">
        <v>0</v>
      </c>
      <c r="Q445" t="n">
        <v>0</v>
      </c>
      <c r="R445" s="2" t="inlineStr"/>
    </row>
    <row r="446" ht="15" customHeight="1">
      <c r="A446" t="inlineStr">
        <is>
          <t>A 9623-2024</t>
        </is>
      </c>
      <c r="B446" s="1" t="n">
        <v>45361.87975694444</v>
      </c>
      <c r="C446" s="1" t="n">
        <v>46184</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58967-2022</t>
        </is>
      </c>
      <c r="B447" s="1" t="n">
        <v>44896</v>
      </c>
      <c r="C447" s="1" t="n">
        <v>46184</v>
      </c>
      <c r="D447" t="inlineStr">
        <is>
          <t>KALMAR LÄN</t>
        </is>
      </c>
      <c r="E447" t="inlineStr">
        <is>
          <t>VIMMERBY</t>
        </is>
      </c>
      <c r="G447" t="n">
        <v>5</v>
      </c>
      <c r="H447" t="n">
        <v>0</v>
      </c>
      <c r="I447" t="n">
        <v>0</v>
      </c>
      <c r="J447" t="n">
        <v>0</v>
      </c>
      <c r="K447" t="n">
        <v>0</v>
      </c>
      <c r="L447" t="n">
        <v>0</v>
      </c>
      <c r="M447" t="n">
        <v>0</v>
      </c>
      <c r="N447" t="n">
        <v>0</v>
      </c>
      <c r="O447" t="n">
        <v>0</v>
      </c>
      <c r="P447" t="n">
        <v>0</v>
      </c>
      <c r="Q447" t="n">
        <v>0</v>
      </c>
      <c r="R447" s="2" t="inlineStr"/>
    </row>
    <row r="448" ht="15" customHeight="1">
      <c r="A448" t="inlineStr">
        <is>
          <t>A 6399-2025</t>
        </is>
      </c>
      <c r="B448" s="1" t="n">
        <v>45699.44291666667</v>
      </c>
      <c r="C448" s="1" t="n">
        <v>46184</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31355-2023</t>
        </is>
      </c>
      <c r="B449" s="1" t="n">
        <v>45114.49505787037</v>
      </c>
      <c r="C449" s="1" t="n">
        <v>46184</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30400-2023</t>
        </is>
      </c>
      <c r="B450" s="1" t="n">
        <v>45111.48225694444</v>
      </c>
      <c r="C450" s="1" t="n">
        <v>46184</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30404-2023</t>
        </is>
      </c>
      <c r="B451" s="1" t="n">
        <v>45111.48636574074</v>
      </c>
      <c r="C451" s="1" t="n">
        <v>46184</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27705-2023</t>
        </is>
      </c>
      <c r="B452" s="1" t="n">
        <v>45098.30535879629</v>
      </c>
      <c r="C452" s="1" t="n">
        <v>46184</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36843-2023</t>
        </is>
      </c>
      <c r="B453" s="1" t="n">
        <v>45154.49831018518</v>
      </c>
      <c r="C453" s="1" t="n">
        <v>46184</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10785-2025</t>
        </is>
      </c>
      <c r="B454" s="1" t="n">
        <v>45722.48634259259</v>
      </c>
      <c r="C454" s="1" t="n">
        <v>46184</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29017-2024</t>
        </is>
      </c>
      <c r="B455" s="1" t="n">
        <v>45481.56722222222</v>
      </c>
      <c r="C455" s="1" t="n">
        <v>46184</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23263-2024</t>
        </is>
      </c>
      <c r="B456" s="1" t="n">
        <v>45453.36854166666</v>
      </c>
      <c r="C456" s="1" t="n">
        <v>46184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11074-2023</t>
        </is>
      </c>
      <c r="B457" s="1" t="n">
        <v>44992.34151620371</v>
      </c>
      <c r="C457" s="1" t="n">
        <v>46184</v>
      </c>
      <c r="D457" t="inlineStr">
        <is>
          <t>KALMAR LÄN</t>
        </is>
      </c>
      <c r="E457" t="inlineStr">
        <is>
          <t>VIMMERBY</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61939-2021</t>
        </is>
      </c>
      <c r="B458" s="1" t="n">
        <v>44502</v>
      </c>
      <c r="C458" s="1" t="n">
        <v>46184</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12215-2024</t>
        </is>
      </c>
      <c r="B459" s="1" t="n">
        <v>45378.32185185186</v>
      </c>
      <c r="C459" s="1" t="n">
        <v>46184</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12033-2024</t>
        </is>
      </c>
      <c r="B460" s="1" t="n">
        <v>45377.40043981482</v>
      </c>
      <c r="C460" s="1" t="n">
        <v>46184</v>
      </c>
      <c r="D460" t="inlineStr">
        <is>
          <t>KALMAR LÄN</t>
        </is>
      </c>
      <c r="E460" t="inlineStr">
        <is>
          <t>VIMMERBY</t>
        </is>
      </c>
      <c r="G460" t="n">
        <v>1.6</v>
      </c>
      <c r="H460" t="n">
        <v>0</v>
      </c>
      <c r="I460" t="n">
        <v>0</v>
      </c>
      <c r="J460" t="n">
        <v>0</v>
      </c>
      <c r="K460" t="n">
        <v>0</v>
      </c>
      <c r="L460" t="n">
        <v>0</v>
      </c>
      <c r="M460" t="n">
        <v>0</v>
      </c>
      <c r="N460" t="n">
        <v>0</v>
      </c>
      <c r="O460" t="n">
        <v>0</v>
      </c>
      <c r="P460" t="n">
        <v>0</v>
      </c>
      <c r="Q460" t="n">
        <v>0</v>
      </c>
      <c r="R460" s="2" t="inlineStr"/>
    </row>
    <row r="461" ht="15" customHeight="1">
      <c r="A461" t="inlineStr">
        <is>
          <t>A 51408-2023</t>
        </is>
      </c>
      <c r="B461" s="1" t="n">
        <v>45219.69356481481</v>
      </c>
      <c r="C461" s="1" t="n">
        <v>46184</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49488-2023</t>
        </is>
      </c>
      <c r="B462" s="1" t="n">
        <v>45211.55472222222</v>
      </c>
      <c r="C462" s="1" t="n">
        <v>46184</v>
      </c>
      <c r="D462" t="inlineStr">
        <is>
          <t>KALMAR LÄN</t>
        </is>
      </c>
      <c r="E462" t="inlineStr">
        <is>
          <t>VIMMERBY</t>
        </is>
      </c>
      <c r="F462" t="inlineStr">
        <is>
          <t>Sveaskog</t>
        </is>
      </c>
      <c r="G462" t="n">
        <v>6.2</v>
      </c>
      <c r="H462" t="n">
        <v>0</v>
      </c>
      <c r="I462" t="n">
        <v>0</v>
      </c>
      <c r="J462" t="n">
        <v>0</v>
      </c>
      <c r="K462" t="n">
        <v>0</v>
      </c>
      <c r="L462" t="n">
        <v>0</v>
      </c>
      <c r="M462" t="n">
        <v>0</v>
      </c>
      <c r="N462" t="n">
        <v>0</v>
      </c>
      <c r="O462" t="n">
        <v>0</v>
      </c>
      <c r="P462" t="n">
        <v>0</v>
      </c>
      <c r="Q462" t="n">
        <v>0</v>
      </c>
      <c r="R462" s="2" t="inlineStr"/>
    </row>
    <row r="463" ht="15" customHeight="1">
      <c r="A463" t="inlineStr">
        <is>
          <t>A 8410-2023</t>
        </is>
      </c>
      <c r="B463" s="1" t="n">
        <v>44977</v>
      </c>
      <c r="C463" s="1" t="n">
        <v>46184</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46184</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40929-2022</t>
        </is>
      </c>
      <c r="B465" s="1" t="n">
        <v>44825.4336574074</v>
      </c>
      <c r="C465" s="1" t="n">
        <v>46184</v>
      </c>
      <c r="D465" t="inlineStr">
        <is>
          <t>KALMAR LÄN</t>
        </is>
      </c>
      <c r="E465" t="inlineStr">
        <is>
          <t>VIMMERBY</t>
        </is>
      </c>
      <c r="G465" t="n">
        <v>2.5</v>
      </c>
      <c r="H465" t="n">
        <v>0</v>
      </c>
      <c r="I465" t="n">
        <v>0</v>
      </c>
      <c r="J465" t="n">
        <v>0</v>
      </c>
      <c r="K465" t="n">
        <v>0</v>
      </c>
      <c r="L465" t="n">
        <v>0</v>
      </c>
      <c r="M465" t="n">
        <v>0</v>
      </c>
      <c r="N465" t="n">
        <v>0</v>
      </c>
      <c r="O465" t="n">
        <v>0</v>
      </c>
      <c r="P465" t="n">
        <v>0</v>
      </c>
      <c r="Q465" t="n">
        <v>0</v>
      </c>
      <c r="R465" s="2" t="inlineStr"/>
    </row>
    <row r="466" ht="15" customHeight="1">
      <c r="A466" t="inlineStr">
        <is>
          <t>A 11273-2026</t>
        </is>
      </c>
      <c r="B466" s="1" t="n">
        <v>46080.57634259259</v>
      </c>
      <c r="C466" s="1" t="n">
        <v>46184</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50091-2023</t>
        </is>
      </c>
      <c r="B467" s="1" t="n">
        <v>45215.60199074074</v>
      </c>
      <c r="C467" s="1" t="n">
        <v>46184</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36008-2024</t>
        </is>
      </c>
      <c r="B468" s="1" t="n">
        <v>45533.55362268518</v>
      </c>
      <c r="C468" s="1" t="n">
        <v>46184</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16622-2025</t>
        </is>
      </c>
      <c r="B469" s="1" t="n">
        <v>45754.33641203704</v>
      </c>
      <c r="C469" s="1" t="n">
        <v>46184</v>
      </c>
      <c r="D469" t="inlineStr">
        <is>
          <t>KALMAR LÄN</t>
        </is>
      </c>
      <c r="E469" t="inlineStr">
        <is>
          <t>VIMMERBY</t>
        </is>
      </c>
      <c r="G469" t="n">
        <v>1</v>
      </c>
      <c r="H469" t="n">
        <v>0</v>
      </c>
      <c r="I469" t="n">
        <v>0</v>
      </c>
      <c r="J469" t="n">
        <v>0</v>
      </c>
      <c r="K469" t="n">
        <v>0</v>
      </c>
      <c r="L469" t="n">
        <v>0</v>
      </c>
      <c r="M469" t="n">
        <v>0</v>
      </c>
      <c r="N469" t="n">
        <v>0</v>
      </c>
      <c r="O469" t="n">
        <v>0</v>
      </c>
      <c r="P469" t="n">
        <v>0</v>
      </c>
      <c r="Q469" t="n">
        <v>0</v>
      </c>
      <c r="R469" s="2" t="inlineStr"/>
    </row>
    <row r="470" ht="15" customHeight="1">
      <c r="A470" t="inlineStr">
        <is>
          <t>A 17511-2024</t>
        </is>
      </c>
      <c r="B470" s="1" t="n">
        <v>45415.57682870371</v>
      </c>
      <c r="C470" s="1" t="n">
        <v>46184</v>
      </c>
      <c r="D470" t="inlineStr">
        <is>
          <t>KALMAR LÄN</t>
        </is>
      </c>
      <c r="E470" t="inlineStr">
        <is>
          <t>VIMMERBY</t>
        </is>
      </c>
      <c r="G470" t="n">
        <v>5.3</v>
      </c>
      <c r="H470" t="n">
        <v>0</v>
      </c>
      <c r="I470" t="n">
        <v>0</v>
      </c>
      <c r="J470" t="n">
        <v>0</v>
      </c>
      <c r="K470" t="n">
        <v>0</v>
      </c>
      <c r="L470" t="n">
        <v>0</v>
      </c>
      <c r="M470" t="n">
        <v>0</v>
      </c>
      <c r="N470" t="n">
        <v>0</v>
      </c>
      <c r="O470" t="n">
        <v>0</v>
      </c>
      <c r="P470" t="n">
        <v>0</v>
      </c>
      <c r="Q470" t="n">
        <v>0</v>
      </c>
      <c r="R470" s="2" t="inlineStr"/>
    </row>
    <row r="471" ht="15" customHeight="1">
      <c r="A471" t="inlineStr">
        <is>
          <t>A 43705-2023</t>
        </is>
      </c>
      <c r="B471" s="1" t="n">
        <v>45187.42854166667</v>
      </c>
      <c r="C471" s="1" t="n">
        <v>46184</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11415-2026</t>
        </is>
      </c>
      <c r="B472" s="1" t="n">
        <v>46083</v>
      </c>
      <c r="C472" s="1" t="n">
        <v>46184</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11407-2026</t>
        </is>
      </c>
      <c r="B473" s="1" t="n">
        <v>46083</v>
      </c>
      <c r="C473" s="1" t="n">
        <v>46184</v>
      </c>
      <c r="D473" t="inlineStr">
        <is>
          <t>KALMAR LÄN</t>
        </is>
      </c>
      <c r="E473" t="inlineStr">
        <is>
          <t>VIMMERBY</t>
        </is>
      </c>
      <c r="G473" t="n">
        <v>2.3</v>
      </c>
      <c r="H473" t="n">
        <v>0</v>
      </c>
      <c r="I473" t="n">
        <v>0</v>
      </c>
      <c r="J473" t="n">
        <v>0</v>
      </c>
      <c r="K473" t="n">
        <v>0</v>
      </c>
      <c r="L473" t="n">
        <v>0</v>
      </c>
      <c r="M473" t="n">
        <v>0</v>
      </c>
      <c r="N473" t="n">
        <v>0</v>
      </c>
      <c r="O473" t="n">
        <v>0</v>
      </c>
      <c r="P473" t="n">
        <v>0</v>
      </c>
      <c r="Q473" t="n">
        <v>0</v>
      </c>
      <c r="R473" s="2" t="inlineStr"/>
    </row>
    <row r="474" ht="15" customHeight="1">
      <c r="A474" t="inlineStr">
        <is>
          <t>A 55300-2021</t>
        </is>
      </c>
      <c r="B474" s="1" t="n">
        <v>44475</v>
      </c>
      <c r="C474" s="1" t="n">
        <v>46184</v>
      </c>
      <c r="D474" t="inlineStr">
        <is>
          <t>KALMAR LÄN</t>
        </is>
      </c>
      <c r="E474" t="inlineStr">
        <is>
          <t>VIMMERBY</t>
        </is>
      </c>
      <c r="G474" t="n">
        <v>3.4</v>
      </c>
      <c r="H474" t="n">
        <v>0</v>
      </c>
      <c r="I474" t="n">
        <v>0</v>
      </c>
      <c r="J474" t="n">
        <v>0</v>
      </c>
      <c r="K474" t="n">
        <v>0</v>
      </c>
      <c r="L474" t="n">
        <v>0</v>
      </c>
      <c r="M474" t="n">
        <v>0</v>
      </c>
      <c r="N474" t="n">
        <v>0</v>
      </c>
      <c r="O474" t="n">
        <v>0</v>
      </c>
      <c r="P474" t="n">
        <v>0</v>
      </c>
      <c r="Q474" t="n">
        <v>0</v>
      </c>
      <c r="R474" s="2" t="inlineStr"/>
    </row>
    <row r="475" ht="15" customHeight="1">
      <c r="A475" t="inlineStr">
        <is>
          <t>A 44179-2022</t>
        </is>
      </c>
      <c r="B475" s="1" t="n">
        <v>44839.4528125</v>
      </c>
      <c r="C475" s="1" t="n">
        <v>46184</v>
      </c>
      <c r="D475" t="inlineStr">
        <is>
          <t>KALMAR LÄN</t>
        </is>
      </c>
      <c r="E475" t="inlineStr">
        <is>
          <t>VIMMERBY</t>
        </is>
      </c>
      <c r="G475" t="n">
        <v>2.8</v>
      </c>
      <c r="H475" t="n">
        <v>0</v>
      </c>
      <c r="I475" t="n">
        <v>0</v>
      </c>
      <c r="J475" t="n">
        <v>0</v>
      </c>
      <c r="K475" t="n">
        <v>0</v>
      </c>
      <c r="L475" t="n">
        <v>0</v>
      </c>
      <c r="M475" t="n">
        <v>0</v>
      </c>
      <c r="N475" t="n">
        <v>0</v>
      </c>
      <c r="O475" t="n">
        <v>0</v>
      </c>
      <c r="P475" t="n">
        <v>0</v>
      </c>
      <c r="Q475" t="n">
        <v>0</v>
      </c>
      <c r="R475" s="2" t="inlineStr"/>
    </row>
    <row r="476" ht="15" customHeight="1">
      <c r="A476" t="inlineStr">
        <is>
          <t>A 52755-2022</t>
        </is>
      </c>
      <c r="B476" s="1" t="n">
        <v>44875.27736111111</v>
      </c>
      <c r="C476" s="1" t="n">
        <v>46184</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35998-2024</t>
        </is>
      </c>
      <c r="B477" s="1" t="n">
        <v>45533.54429398148</v>
      </c>
      <c r="C477" s="1" t="n">
        <v>46184</v>
      </c>
      <c r="D477" t="inlineStr">
        <is>
          <t>KALMAR LÄN</t>
        </is>
      </c>
      <c r="E477" t="inlineStr">
        <is>
          <t>VIMMERBY</t>
        </is>
      </c>
      <c r="G477" t="n">
        <v>8.6</v>
      </c>
      <c r="H477" t="n">
        <v>0</v>
      </c>
      <c r="I477" t="n">
        <v>0</v>
      </c>
      <c r="J477" t="n">
        <v>0</v>
      </c>
      <c r="K477" t="n">
        <v>0</v>
      </c>
      <c r="L477" t="n">
        <v>0</v>
      </c>
      <c r="M477" t="n">
        <v>0</v>
      </c>
      <c r="N477" t="n">
        <v>0</v>
      </c>
      <c r="O477" t="n">
        <v>0</v>
      </c>
      <c r="P477" t="n">
        <v>0</v>
      </c>
      <c r="Q477" t="n">
        <v>0</v>
      </c>
      <c r="R477" s="2" t="inlineStr"/>
    </row>
    <row r="478" ht="15" customHeight="1">
      <c r="A478" t="inlineStr">
        <is>
          <t>A 12730-2026</t>
        </is>
      </c>
      <c r="B478" s="1" t="n">
        <v>46091</v>
      </c>
      <c r="C478" s="1" t="n">
        <v>46184</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7797-2023</t>
        </is>
      </c>
      <c r="B479" s="1" t="n">
        <v>44973.43075231482</v>
      </c>
      <c r="C479" s="1" t="n">
        <v>46184</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12820-2026</t>
        </is>
      </c>
      <c r="B480" s="1" t="n">
        <v>46092.40909722223</v>
      </c>
      <c r="C480" s="1" t="n">
        <v>46184</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12821-2026</t>
        </is>
      </c>
      <c r="B481" s="1" t="n">
        <v>46092.41256944444</v>
      </c>
      <c r="C481" s="1" t="n">
        <v>46184</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12825-2026</t>
        </is>
      </c>
      <c r="B482" s="1" t="n">
        <v>46092.41561342592</v>
      </c>
      <c r="C482" s="1" t="n">
        <v>46184</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29351-2023</t>
        </is>
      </c>
      <c r="B483" s="1" t="n">
        <v>45106.2610300926</v>
      </c>
      <c r="C483" s="1" t="n">
        <v>46184</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1024-2024</t>
        </is>
      </c>
      <c r="B484" s="1" t="n">
        <v>45301.68237268519</v>
      </c>
      <c r="C484" s="1" t="n">
        <v>46184</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10787-2025</t>
        </is>
      </c>
      <c r="B485" s="1" t="n">
        <v>45722.48915509259</v>
      </c>
      <c r="C485" s="1" t="n">
        <v>46184</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29350-2023</t>
        </is>
      </c>
      <c r="B486" s="1" t="n">
        <v>45106</v>
      </c>
      <c r="C486" s="1" t="n">
        <v>46184</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14855-2025</t>
        </is>
      </c>
      <c r="B487" s="1" t="n">
        <v>45743.41148148148</v>
      </c>
      <c r="C487" s="1" t="n">
        <v>46184</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43601-2024</t>
        </is>
      </c>
      <c r="B488" s="1" t="n">
        <v>45569.44684027778</v>
      </c>
      <c r="C488" s="1" t="n">
        <v>46184</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35913-2023</t>
        </is>
      </c>
      <c r="B489" s="1" t="n">
        <v>45148</v>
      </c>
      <c r="C489" s="1" t="n">
        <v>46184</v>
      </c>
      <c r="D489" t="inlineStr">
        <is>
          <t>KALMAR LÄN</t>
        </is>
      </c>
      <c r="E489" t="inlineStr">
        <is>
          <t>VIMMERBY</t>
        </is>
      </c>
      <c r="G489" t="n">
        <v>6.9</v>
      </c>
      <c r="H489" t="n">
        <v>0</v>
      </c>
      <c r="I489" t="n">
        <v>0</v>
      </c>
      <c r="J489" t="n">
        <v>0</v>
      </c>
      <c r="K489" t="n">
        <v>0</v>
      </c>
      <c r="L489" t="n">
        <v>0</v>
      </c>
      <c r="M489" t="n">
        <v>0</v>
      </c>
      <c r="N489" t="n">
        <v>0</v>
      </c>
      <c r="O489" t="n">
        <v>0</v>
      </c>
      <c r="P489" t="n">
        <v>0</v>
      </c>
      <c r="Q489" t="n">
        <v>0</v>
      </c>
      <c r="R489" s="2" t="inlineStr"/>
    </row>
    <row r="490" ht="15" customHeight="1">
      <c r="A490" t="inlineStr">
        <is>
          <t>A 13667-2026</t>
        </is>
      </c>
      <c r="B490" s="1" t="n">
        <v>46097</v>
      </c>
      <c r="C490" s="1" t="n">
        <v>46184</v>
      </c>
      <c r="D490" t="inlineStr">
        <is>
          <t>KALMAR LÄN</t>
        </is>
      </c>
      <c r="E490" t="inlineStr">
        <is>
          <t>VIMMERBY</t>
        </is>
      </c>
      <c r="G490" t="n">
        <v>6.8</v>
      </c>
      <c r="H490" t="n">
        <v>0</v>
      </c>
      <c r="I490" t="n">
        <v>0</v>
      </c>
      <c r="J490" t="n">
        <v>0</v>
      </c>
      <c r="K490" t="n">
        <v>0</v>
      </c>
      <c r="L490" t="n">
        <v>0</v>
      </c>
      <c r="M490" t="n">
        <v>0</v>
      </c>
      <c r="N490" t="n">
        <v>0</v>
      </c>
      <c r="O490" t="n">
        <v>0</v>
      </c>
      <c r="P490" t="n">
        <v>0</v>
      </c>
      <c r="Q490" t="n">
        <v>0</v>
      </c>
      <c r="R490" s="2" t="inlineStr"/>
    </row>
    <row r="491" ht="15" customHeight="1">
      <c r="A491" t="inlineStr">
        <is>
          <t>A 9624-2024</t>
        </is>
      </c>
      <c r="B491" s="1" t="n">
        <v>45361.90282407407</v>
      </c>
      <c r="C491" s="1" t="n">
        <v>46184</v>
      </c>
      <c r="D491" t="inlineStr">
        <is>
          <t>KALMAR LÄN</t>
        </is>
      </c>
      <c r="E491" t="inlineStr">
        <is>
          <t>VIMMERBY</t>
        </is>
      </c>
      <c r="G491" t="n">
        <v>3.8</v>
      </c>
      <c r="H491" t="n">
        <v>0</v>
      </c>
      <c r="I491" t="n">
        <v>0</v>
      </c>
      <c r="J491" t="n">
        <v>0</v>
      </c>
      <c r="K491" t="n">
        <v>0</v>
      </c>
      <c r="L491" t="n">
        <v>0</v>
      </c>
      <c r="M491" t="n">
        <v>0</v>
      </c>
      <c r="N491" t="n">
        <v>0</v>
      </c>
      <c r="O491" t="n">
        <v>0</v>
      </c>
      <c r="P491" t="n">
        <v>0</v>
      </c>
      <c r="Q491" t="n">
        <v>0</v>
      </c>
      <c r="R491" s="2" t="inlineStr"/>
    </row>
    <row r="492" ht="15" customHeight="1">
      <c r="A492" t="inlineStr">
        <is>
          <t>A 3938-2023</t>
        </is>
      </c>
      <c r="B492" s="1" t="n">
        <v>44952.35775462963</v>
      </c>
      <c r="C492" s="1" t="n">
        <v>46184</v>
      </c>
      <c r="D492" t="inlineStr">
        <is>
          <t>KALMAR LÄN</t>
        </is>
      </c>
      <c r="E492" t="inlineStr">
        <is>
          <t>VIMMERBY</t>
        </is>
      </c>
      <c r="G492" t="n">
        <v>0.9</v>
      </c>
      <c r="H492" t="n">
        <v>0</v>
      </c>
      <c r="I492" t="n">
        <v>0</v>
      </c>
      <c r="J492" t="n">
        <v>0</v>
      </c>
      <c r="K492" t="n">
        <v>0</v>
      </c>
      <c r="L492" t="n">
        <v>0</v>
      </c>
      <c r="M492" t="n">
        <v>0</v>
      </c>
      <c r="N492" t="n">
        <v>0</v>
      </c>
      <c r="O492" t="n">
        <v>0</v>
      </c>
      <c r="P492" t="n">
        <v>0</v>
      </c>
      <c r="Q492" t="n">
        <v>0</v>
      </c>
      <c r="R492" s="2" t="inlineStr"/>
    </row>
    <row r="493" ht="15" customHeight="1">
      <c r="A493" t="inlineStr">
        <is>
          <t>A 13793-2026</t>
        </is>
      </c>
      <c r="B493" s="1" t="n">
        <v>46097.79199074074</v>
      </c>
      <c r="C493" s="1" t="n">
        <v>46184</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39053-2024</t>
        </is>
      </c>
      <c r="B494" s="1" t="n">
        <v>45548</v>
      </c>
      <c r="C494" s="1" t="n">
        <v>46184</v>
      </c>
      <c r="D494" t="inlineStr">
        <is>
          <t>KALMAR LÄN</t>
        </is>
      </c>
      <c r="E494" t="inlineStr">
        <is>
          <t>VIMMERBY</t>
        </is>
      </c>
      <c r="G494" t="n">
        <v>5</v>
      </c>
      <c r="H494" t="n">
        <v>0</v>
      </c>
      <c r="I494" t="n">
        <v>0</v>
      </c>
      <c r="J494" t="n">
        <v>0</v>
      </c>
      <c r="K494" t="n">
        <v>0</v>
      </c>
      <c r="L494" t="n">
        <v>0</v>
      </c>
      <c r="M494" t="n">
        <v>0</v>
      </c>
      <c r="N494" t="n">
        <v>0</v>
      </c>
      <c r="O494" t="n">
        <v>0</v>
      </c>
      <c r="P494" t="n">
        <v>0</v>
      </c>
      <c r="Q494" t="n">
        <v>0</v>
      </c>
      <c r="R494" s="2" t="inlineStr"/>
    </row>
    <row r="495" ht="15" customHeight="1">
      <c r="A495" t="inlineStr">
        <is>
          <t>A 14451-2024</t>
        </is>
      </c>
      <c r="B495" s="1" t="n">
        <v>45394.50028935185</v>
      </c>
      <c r="C495" s="1" t="n">
        <v>46184</v>
      </c>
      <c r="D495" t="inlineStr">
        <is>
          <t>KALMAR LÄN</t>
        </is>
      </c>
      <c r="E495" t="inlineStr">
        <is>
          <t>VIMMERBY</t>
        </is>
      </c>
      <c r="G495" t="n">
        <v>1.9</v>
      </c>
      <c r="H495" t="n">
        <v>0</v>
      </c>
      <c r="I495" t="n">
        <v>0</v>
      </c>
      <c r="J495" t="n">
        <v>0</v>
      </c>
      <c r="K495" t="n">
        <v>0</v>
      </c>
      <c r="L495" t="n">
        <v>0</v>
      </c>
      <c r="M495" t="n">
        <v>0</v>
      </c>
      <c r="N495" t="n">
        <v>0</v>
      </c>
      <c r="O495" t="n">
        <v>0</v>
      </c>
      <c r="P495" t="n">
        <v>0</v>
      </c>
      <c r="Q495" t="n">
        <v>0</v>
      </c>
      <c r="R495" s="2" t="inlineStr"/>
    </row>
    <row r="496" ht="15" customHeight="1">
      <c r="A496" t="inlineStr">
        <is>
          <t>A 34205-2023</t>
        </is>
      </c>
      <c r="B496" s="1" t="n">
        <v>45138</v>
      </c>
      <c r="C496" s="1" t="n">
        <v>46184</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14318-2026</t>
        </is>
      </c>
      <c r="B497" s="1" t="n">
        <v>46099.87961805556</v>
      </c>
      <c r="C497" s="1" t="n">
        <v>46184</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14279-2026</t>
        </is>
      </c>
      <c r="B498" s="1" t="n">
        <v>46099.66826388889</v>
      </c>
      <c r="C498" s="1" t="n">
        <v>46184</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14320-2026</t>
        </is>
      </c>
      <c r="B499" s="1" t="n">
        <v>46099.88449074074</v>
      </c>
      <c r="C499" s="1" t="n">
        <v>46184</v>
      </c>
      <c r="D499" t="inlineStr">
        <is>
          <t>KALMAR LÄN</t>
        </is>
      </c>
      <c r="E499" t="inlineStr">
        <is>
          <t>VIMMERBY</t>
        </is>
      </c>
      <c r="G499" t="n">
        <v>2.3</v>
      </c>
      <c r="H499" t="n">
        <v>0</v>
      </c>
      <c r="I499" t="n">
        <v>0</v>
      </c>
      <c r="J499" t="n">
        <v>0</v>
      </c>
      <c r="K499" t="n">
        <v>0</v>
      </c>
      <c r="L499" t="n">
        <v>0</v>
      </c>
      <c r="M499" t="n">
        <v>0</v>
      </c>
      <c r="N499" t="n">
        <v>0</v>
      </c>
      <c r="O499" t="n">
        <v>0</v>
      </c>
      <c r="P499" t="n">
        <v>0</v>
      </c>
      <c r="Q499" t="n">
        <v>0</v>
      </c>
      <c r="R499" s="2" t="inlineStr"/>
    </row>
    <row r="500" ht="15" customHeight="1">
      <c r="A500" t="inlineStr">
        <is>
          <t>A 3268-2024</t>
        </is>
      </c>
      <c r="B500" s="1" t="n">
        <v>45317</v>
      </c>
      <c r="C500" s="1" t="n">
        <v>46184</v>
      </c>
      <c r="D500" t="inlineStr">
        <is>
          <t>KALMAR LÄN</t>
        </is>
      </c>
      <c r="E500" t="inlineStr">
        <is>
          <t>VIMMERBY</t>
        </is>
      </c>
      <c r="F500" t="inlineStr">
        <is>
          <t>Övriga Aktiebolag</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12819-2024</t>
        </is>
      </c>
      <c r="B501" s="1" t="n">
        <v>45384.66917824074</v>
      </c>
      <c r="C501" s="1" t="n">
        <v>46184</v>
      </c>
      <c r="D501" t="inlineStr">
        <is>
          <t>KALMAR LÄN</t>
        </is>
      </c>
      <c r="E501" t="inlineStr">
        <is>
          <t>VIMMERBY</t>
        </is>
      </c>
      <c r="G501" t="n">
        <v>5.1</v>
      </c>
      <c r="H501" t="n">
        <v>0</v>
      </c>
      <c r="I501" t="n">
        <v>0</v>
      </c>
      <c r="J501" t="n">
        <v>0</v>
      </c>
      <c r="K501" t="n">
        <v>0</v>
      </c>
      <c r="L501" t="n">
        <v>0</v>
      </c>
      <c r="M501" t="n">
        <v>0</v>
      </c>
      <c r="N501" t="n">
        <v>0</v>
      </c>
      <c r="O501" t="n">
        <v>0</v>
      </c>
      <c r="P501" t="n">
        <v>0</v>
      </c>
      <c r="Q501" t="n">
        <v>0</v>
      </c>
      <c r="R501" s="2" t="inlineStr"/>
    </row>
    <row r="502" ht="15" customHeight="1">
      <c r="A502" t="inlineStr">
        <is>
          <t>A 32569-2024</t>
        </is>
      </c>
      <c r="B502" s="1" t="n">
        <v>45513.55840277778</v>
      </c>
      <c r="C502" s="1" t="n">
        <v>46184</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32575-2024</t>
        </is>
      </c>
      <c r="B503" s="1" t="n">
        <v>45513.56527777778</v>
      </c>
      <c r="C503" s="1" t="n">
        <v>46184</v>
      </c>
      <c r="D503" t="inlineStr">
        <is>
          <t>KALMAR LÄN</t>
        </is>
      </c>
      <c r="E503" t="inlineStr">
        <is>
          <t>VIMMERBY</t>
        </is>
      </c>
      <c r="G503" t="n">
        <v>1.5</v>
      </c>
      <c r="H503" t="n">
        <v>0</v>
      </c>
      <c r="I503" t="n">
        <v>0</v>
      </c>
      <c r="J503" t="n">
        <v>0</v>
      </c>
      <c r="K503" t="n">
        <v>0</v>
      </c>
      <c r="L503" t="n">
        <v>0</v>
      </c>
      <c r="M503" t="n">
        <v>0</v>
      </c>
      <c r="N503" t="n">
        <v>0</v>
      </c>
      <c r="O503" t="n">
        <v>0</v>
      </c>
      <c r="P503" t="n">
        <v>0</v>
      </c>
      <c r="Q503" t="n">
        <v>0</v>
      </c>
      <c r="R503" s="2" t="inlineStr"/>
    </row>
    <row r="504" ht="15" customHeight="1">
      <c r="A504" t="inlineStr">
        <is>
          <t>A 14793-2026</t>
        </is>
      </c>
      <c r="B504" s="1" t="n">
        <v>46101.92108796296</v>
      </c>
      <c r="C504" s="1" t="n">
        <v>46184</v>
      </c>
      <c r="D504" t="inlineStr">
        <is>
          <t>KALMAR LÄN</t>
        </is>
      </c>
      <c r="E504" t="inlineStr">
        <is>
          <t>VIMMERBY</t>
        </is>
      </c>
      <c r="G504" t="n">
        <v>5.7</v>
      </c>
      <c r="H504" t="n">
        <v>0</v>
      </c>
      <c r="I504" t="n">
        <v>0</v>
      </c>
      <c r="J504" t="n">
        <v>0</v>
      </c>
      <c r="K504" t="n">
        <v>0</v>
      </c>
      <c r="L504" t="n">
        <v>0</v>
      </c>
      <c r="M504" t="n">
        <v>0</v>
      </c>
      <c r="N504" t="n">
        <v>0</v>
      </c>
      <c r="O504" t="n">
        <v>0</v>
      </c>
      <c r="P504" t="n">
        <v>0</v>
      </c>
      <c r="Q504" t="n">
        <v>0</v>
      </c>
      <c r="R504" s="2" t="inlineStr"/>
    </row>
    <row r="505" ht="15" customHeight="1">
      <c r="A505" t="inlineStr">
        <is>
          <t>A 14792-2026</t>
        </is>
      </c>
      <c r="B505" s="1" t="n">
        <v>46101.91993055555</v>
      </c>
      <c r="C505" s="1" t="n">
        <v>46184</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59300-2024</t>
        </is>
      </c>
      <c r="B506" s="1" t="n">
        <v>45637.66542824074</v>
      </c>
      <c r="C506" s="1" t="n">
        <v>46184</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15054-2026</t>
        </is>
      </c>
      <c r="B507" s="1" t="n">
        <v>46104.6815162037</v>
      </c>
      <c r="C507" s="1" t="n">
        <v>46184</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36526-2023</t>
        </is>
      </c>
      <c r="B508" s="1" t="n">
        <v>45153.32778935185</v>
      </c>
      <c r="C508" s="1" t="n">
        <v>46184</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58728-2024</t>
        </is>
      </c>
      <c r="B509" s="1" t="n">
        <v>45635.66695601852</v>
      </c>
      <c r="C509" s="1" t="n">
        <v>46184</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49474-2023</t>
        </is>
      </c>
      <c r="B510" s="1" t="n">
        <v>45211.541875</v>
      </c>
      <c r="C510" s="1" t="n">
        <v>46184</v>
      </c>
      <c r="D510" t="inlineStr">
        <is>
          <t>KALMAR LÄN</t>
        </is>
      </c>
      <c r="E510" t="inlineStr">
        <is>
          <t>VIMMERBY</t>
        </is>
      </c>
      <c r="G510" t="n">
        <v>3.6</v>
      </c>
      <c r="H510" t="n">
        <v>0</v>
      </c>
      <c r="I510" t="n">
        <v>0</v>
      </c>
      <c r="J510" t="n">
        <v>0</v>
      </c>
      <c r="K510" t="n">
        <v>0</v>
      </c>
      <c r="L510" t="n">
        <v>0</v>
      </c>
      <c r="M510" t="n">
        <v>0</v>
      </c>
      <c r="N510" t="n">
        <v>0</v>
      </c>
      <c r="O510" t="n">
        <v>0</v>
      </c>
      <c r="P510" t="n">
        <v>0</v>
      </c>
      <c r="Q510" t="n">
        <v>0</v>
      </c>
      <c r="R510" s="2" t="inlineStr"/>
    </row>
    <row r="511" ht="15" customHeight="1">
      <c r="A511" t="inlineStr">
        <is>
          <t>A 57682-2022</t>
        </is>
      </c>
      <c r="B511" s="1" t="n">
        <v>44890</v>
      </c>
      <c r="C511" s="1" t="n">
        <v>46184</v>
      </c>
      <c r="D511" t="inlineStr">
        <is>
          <t>KALMAR LÄN</t>
        </is>
      </c>
      <c r="E511" t="inlineStr">
        <is>
          <t>VIMMERBY</t>
        </is>
      </c>
      <c r="G511" t="n">
        <v>1.5</v>
      </c>
      <c r="H511" t="n">
        <v>0</v>
      </c>
      <c r="I511" t="n">
        <v>0</v>
      </c>
      <c r="J511" t="n">
        <v>0</v>
      </c>
      <c r="K511" t="n">
        <v>0</v>
      </c>
      <c r="L511" t="n">
        <v>0</v>
      </c>
      <c r="M511" t="n">
        <v>0</v>
      </c>
      <c r="N511" t="n">
        <v>0</v>
      </c>
      <c r="O511" t="n">
        <v>0</v>
      </c>
      <c r="P511" t="n">
        <v>0</v>
      </c>
      <c r="Q511" t="n">
        <v>0</v>
      </c>
      <c r="R511" s="2" t="inlineStr"/>
    </row>
    <row r="512" ht="15" customHeight="1">
      <c r="A512" t="inlineStr">
        <is>
          <t>A 63950-2023</t>
        </is>
      </c>
      <c r="B512" s="1" t="n">
        <v>45278</v>
      </c>
      <c r="C512" s="1" t="n">
        <v>46184</v>
      </c>
      <c r="D512" t="inlineStr">
        <is>
          <t>KALMAR LÄN</t>
        </is>
      </c>
      <c r="E512" t="inlineStr">
        <is>
          <t>VIMMERBY</t>
        </is>
      </c>
      <c r="F512" t="inlineStr">
        <is>
          <t>Kyrkan</t>
        </is>
      </c>
      <c r="G512" t="n">
        <v>2.7</v>
      </c>
      <c r="H512" t="n">
        <v>0</v>
      </c>
      <c r="I512" t="n">
        <v>0</v>
      </c>
      <c r="J512" t="n">
        <v>0</v>
      </c>
      <c r="K512" t="n">
        <v>0</v>
      </c>
      <c r="L512" t="n">
        <v>0</v>
      </c>
      <c r="M512" t="n">
        <v>0</v>
      </c>
      <c r="N512" t="n">
        <v>0</v>
      </c>
      <c r="O512" t="n">
        <v>0</v>
      </c>
      <c r="P512" t="n">
        <v>0</v>
      </c>
      <c r="Q512" t="n">
        <v>0</v>
      </c>
      <c r="R512" s="2" t="inlineStr"/>
    </row>
    <row r="513" ht="15" customHeight="1">
      <c r="A513" t="inlineStr">
        <is>
          <t>A 15205-2026</t>
        </is>
      </c>
      <c r="B513" s="1" t="n">
        <v>46105.48628472222</v>
      </c>
      <c r="C513" s="1" t="n">
        <v>46184</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16516-2023</t>
        </is>
      </c>
      <c r="B514" s="1" t="n">
        <v>45029</v>
      </c>
      <c r="C514" s="1" t="n">
        <v>46184</v>
      </c>
      <c r="D514" t="inlineStr">
        <is>
          <t>KALMAR LÄN</t>
        </is>
      </c>
      <c r="E514" t="inlineStr">
        <is>
          <t>VIMMERBY</t>
        </is>
      </c>
      <c r="G514" t="n">
        <v>4.3</v>
      </c>
      <c r="H514" t="n">
        <v>0</v>
      </c>
      <c r="I514" t="n">
        <v>0</v>
      </c>
      <c r="J514" t="n">
        <v>0</v>
      </c>
      <c r="K514" t="n">
        <v>0</v>
      </c>
      <c r="L514" t="n">
        <v>0</v>
      </c>
      <c r="M514" t="n">
        <v>0</v>
      </c>
      <c r="N514" t="n">
        <v>0</v>
      </c>
      <c r="O514" t="n">
        <v>0</v>
      </c>
      <c r="P514" t="n">
        <v>0</v>
      </c>
      <c r="Q514" t="n">
        <v>0</v>
      </c>
      <c r="R514" s="2" t="inlineStr"/>
    </row>
    <row r="515" ht="15" customHeight="1">
      <c r="A515" t="inlineStr">
        <is>
          <t>A 47842-2024</t>
        </is>
      </c>
      <c r="B515" s="1" t="n">
        <v>45588.65545138889</v>
      </c>
      <c r="C515" s="1" t="n">
        <v>46184</v>
      </c>
      <c r="D515" t="inlineStr">
        <is>
          <t>KALMAR LÄN</t>
        </is>
      </c>
      <c r="E515" t="inlineStr">
        <is>
          <t>VIMMERBY</t>
        </is>
      </c>
      <c r="G515" t="n">
        <v>2.4</v>
      </c>
      <c r="H515" t="n">
        <v>0</v>
      </c>
      <c r="I515" t="n">
        <v>0</v>
      </c>
      <c r="J515" t="n">
        <v>0</v>
      </c>
      <c r="K515" t="n">
        <v>0</v>
      </c>
      <c r="L515" t="n">
        <v>0</v>
      </c>
      <c r="M515" t="n">
        <v>0</v>
      </c>
      <c r="N515" t="n">
        <v>0</v>
      </c>
      <c r="O515" t="n">
        <v>0</v>
      </c>
      <c r="P515" t="n">
        <v>0</v>
      </c>
      <c r="Q515" t="n">
        <v>0</v>
      </c>
      <c r="R515" s="2" t="inlineStr"/>
    </row>
    <row r="516" ht="15" customHeight="1">
      <c r="A516" t="inlineStr">
        <is>
          <t>A 6408-2025</t>
        </is>
      </c>
      <c r="B516" s="1" t="n">
        <v>45699.45671296296</v>
      </c>
      <c r="C516" s="1" t="n">
        <v>46184</v>
      </c>
      <c r="D516" t="inlineStr">
        <is>
          <t>KALMAR LÄN</t>
        </is>
      </c>
      <c r="E516" t="inlineStr">
        <is>
          <t>VIMMERBY</t>
        </is>
      </c>
      <c r="G516" t="n">
        <v>1</v>
      </c>
      <c r="H516" t="n">
        <v>0</v>
      </c>
      <c r="I516" t="n">
        <v>0</v>
      </c>
      <c r="J516" t="n">
        <v>0</v>
      </c>
      <c r="K516" t="n">
        <v>0</v>
      </c>
      <c r="L516" t="n">
        <v>0</v>
      </c>
      <c r="M516" t="n">
        <v>0</v>
      </c>
      <c r="N516" t="n">
        <v>0</v>
      </c>
      <c r="O516" t="n">
        <v>0</v>
      </c>
      <c r="P516" t="n">
        <v>0</v>
      </c>
      <c r="Q516" t="n">
        <v>0</v>
      </c>
      <c r="R516" s="2" t="inlineStr"/>
    </row>
    <row r="517" ht="15" customHeight="1">
      <c r="A517" t="inlineStr">
        <is>
          <t>A 25109-2023</t>
        </is>
      </c>
      <c r="B517" s="1" t="n">
        <v>45086</v>
      </c>
      <c r="C517" s="1" t="n">
        <v>46184</v>
      </c>
      <c r="D517" t="inlineStr">
        <is>
          <t>KALMAR LÄN</t>
        </is>
      </c>
      <c r="E517" t="inlineStr">
        <is>
          <t>VIMMERBY</t>
        </is>
      </c>
      <c r="G517" t="n">
        <v>1.5</v>
      </c>
      <c r="H517" t="n">
        <v>0</v>
      </c>
      <c r="I517" t="n">
        <v>0</v>
      </c>
      <c r="J517" t="n">
        <v>0</v>
      </c>
      <c r="K517" t="n">
        <v>0</v>
      </c>
      <c r="L517" t="n">
        <v>0</v>
      </c>
      <c r="M517" t="n">
        <v>0</v>
      </c>
      <c r="N517" t="n">
        <v>0</v>
      </c>
      <c r="O517" t="n">
        <v>0</v>
      </c>
      <c r="P517" t="n">
        <v>0</v>
      </c>
      <c r="Q517" t="n">
        <v>0</v>
      </c>
      <c r="R517" s="2" t="inlineStr"/>
    </row>
    <row r="518" ht="15" customHeight="1">
      <c r="A518" t="inlineStr">
        <is>
          <t>A 33380-2023</t>
        </is>
      </c>
      <c r="B518" s="1" t="n">
        <v>45128</v>
      </c>
      <c r="C518" s="1" t="n">
        <v>46184</v>
      </c>
      <c r="D518" t="inlineStr">
        <is>
          <t>KALMAR LÄN</t>
        </is>
      </c>
      <c r="E518" t="inlineStr">
        <is>
          <t>VIMMERBY</t>
        </is>
      </c>
      <c r="G518" t="n">
        <v>5.2</v>
      </c>
      <c r="H518" t="n">
        <v>0</v>
      </c>
      <c r="I518" t="n">
        <v>0</v>
      </c>
      <c r="J518" t="n">
        <v>0</v>
      </c>
      <c r="K518" t="n">
        <v>0</v>
      </c>
      <c r="L518" t="n">
        <v>0</v>
      </c>
      <c r="M518" t="n">
        <v>0</v>
      </c>
      <c r="N518" t="n">
        <v>0</v>
      </c>
      <c r="O518" t="n">
        <v>0</v>
      </c>
      <c r="P518" t="n">
        <v>0</v>
      </c>
      <c r="Q518" t="n">
        <v>0</v>
      </c>
      <c r="R518" s="2" t="inlineStr"/>
    </row>
    <row r="519" ht="15" customHeight="1">
      <c r="A519" t="inlineStr">
        <is>
          <t>A 11928-2022</t>
        </is>
      </c>
      <c r="B519" s="1" t="n">
        <v>44635</v>
      </c>
      <c r="C519" s="1" t="n">
        <v>46184</v>
      </c>
      <c r="D519" t="inlineStr">
        <is>
          <t>KALMAR LÄN</t>
        </is>
      </c>
      <c r="E519" t="inlineStr">
        <is>
          <t>VIMMERBY</t>
        </is>
      </c>
      <c r="G519" t="n">
        <v>2.8</v>
      </c>
      <c r="H519" t="n">
        <v>0</v>
      </c>
      <c r="I519" t="n">
        <v>0</v>
      </c>
      <c r="J519" t="n">
        <v>0</v>
      </c>
      <c r="K519" t="n">
        <v>0</v>
      </c>
      <c r="L519" t="n">
        <v>0</v>
      </c>
      <c r="M519" t="n">
        <v>0</v>
      </c>
      <c r="N519" t="n">
        <v>0</v>
      </c>
      <c r="O519" t="n">
        <v>0</v>
      </c>
      <c r="P519" t="n">
        <v>0</v>
      </c>
      <c r="Q519" t="n">
        <v>0</v>
      </c>
      <c r="R519" s="2" t="inlineStr"/>
    </row>
    <row r="520" ht="15" customHeight="1">
      <c r="A520" t="inlineStr">
        <is>
          <t>A 21882-2026</t>
        </is>
      </c>
      <c r="B520" s="1" t="n">
        <v>46150.59287037037</v>
      </c>
      <c r="C520" s="1" t="n">
        <v>46184</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7068-2024</t>
        </is>
      </c>
      <c r="B521" s="1" t="n">
        <v>45343.68038194445</v>
      </c>
      <c r="C521" s="1" t="n">
        <v>46184</v>
      </c>
      <c r="D521" t="inlineStr">
        <is>
          <t>KALMAR LÄN</t>
        </is>
      </c>
      <c r="E521" t="inlineStr">
        <is>
          <t>VIMMERBY</t>
        </is>
      </c>
      <c r="G521" t="n">
        <v>2.5</v>
      </c>
      <c r="H521" t="n">
        <v>0</v>
      </c>
      <c r="I521" t="n">
        <v>0</v>
      </c>
      <c r="J521" t="n">
        <v>0</v>
      </c>
      <c r="K521" t="n">
        <v>0</v>
      </c>
      <c r="L521" t="n">
        <v>0</v>
      </c>
      <c r="M521" t="n">
        <v>0</v>
      </c>
      <c r="N521" t="n">
        <v>0</v>
      </c>
      <c r="O521" t="n">
        <v>0</v>
      </c>
      <c r="P521" t="n">
        <v>0</v>
      </c>
      <c r="Q521" t="n">
        <v>0</v>
      </c>
      <c r="R521" s="2" t="inlineStr"/>
    </row>
    <row r="522" ht="15" customHeight="1">
      <c r="A522" t="inlineStr">
        <is>
          <t>A 46234-2024</t>
        </is>
      </c>
      <c r="B522" s="1" t="n">
        <v>45581.57958333333</v>
      </c>
      <c r="C522" s="1" t="n">
        <v>46184</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37187-2024</t>
        </is>
      </c>
      <c r="B523" s="1" t="n">
        <v>45539.65212962963</v>
      </c>
      <c r="C523" s="1" t="n">
        <v>46184</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1021-2024</t>
        </is>
      </c>
      <c r="B524" s="1" t="n">
        <v>45301.67736111111</v>
      </c>
      <c r="C524" s="1" t="n">
        <v>46184</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72701-2021</t>
        </is>
      </c>
      <c r="B525" s="1" t="n">
        <v>44546</v>
      </c>
      <c r="C525" s="1" t="n">
        <v>46184</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33374-2021</t>
        </is>
      </c>
      <c r="B526" s="1" t="n">
        <v>44377</v>
      </c>
      <c r="C526" s="1" t="n">
        <v>46184</v>
      </c>
      <c r="D526" t="inlineStr">
        <is>
          <t>KALMAR LÄN</t>
        </is>
      </c>
      <c r="E526" t="inlineStr">
        <is>
          <t>VIMMERBY</t>
        </is>
      </c>
      <c r="G526" t="n">
        <v>3.3</v>
      </c>
      <c r="H526" t="n">
        <v>0</v>
      </c>
      <c r="I526" t="n">
        <v>0</v>
      </c>
      <c r="J526" t="n">
        <v>0</v>
      </c>
      <c r="K526" t="n">
        <v>0</v>
      </c>
      <c r="L526" t="n">
        <v>0</v>
      </c>
      <c r="M526" t="n">
        <v>0</v>
      </c>
      <c r="N526" t="n">
        <v>0</v>
      </c>
      <c r="O526" t="n">
        <v>0</v>
      </c>
      <c r="P526" t="n">
        <v>0</v>
      </c>
      <c r="Q526" t="n">
        <v>0</v>
      </c>
      <c r="R526" s="2" t="inlineStr"/>
    </row>
    <row r="527" ht="15" customHeight="1">
      <c r="A527" t="inlineStr">
        <is>
          <t>A 10807-2024</t>
        </is>
      </c>
      <c r="B527" s="1" t="n">
        <v>45369.62780092593</v>
      </c>
      <c r="C527" s="1" t="n">
        <v>46184</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33359-2021</t>
        </is>
      </c>
      <c r="B528" s="1" t="n">
        <v>44377.49684027778</v>
      </c>
      <c r="C528" s="1" t="n">
        <v>46184</v>
      </c>
      <c r="D528" t="inlineStr">
        <is>
          <t>KALMAR LÄN</t>
        </is>
      </c>
      <c r="E528" t="inlineStr">
        <is>
          <t>VIMMERBY</t>
        </is>
      </c>
      <c r="F528" t="inlineStr">
        <is>
          <t>Kommuner</t>
        </is>
      </c>
      <c r="G528" t="n">
        <v>8</v>
      </c>
      <c r="H528" t="n">
        <v>0</v>
      </c>
      <c r="I528" t="n">
        <v>0</v>
      </c>
      <c r="J528" t="n">
        <v>0</v>
      </c>
      <c r="K528" t="n">
        <v>0</v>
      </c>
      <c r="L528" t="n">
        <v>0</v>
      </c>
      <c r="M528" t="n">
        <v>0</v>
      </c>
      <c r="N528" t="n">
        <v>0</v>
      </c>
      <c r="O528" t="n">
        <v>0</v>
      </c>
      <c r="P528" t="n">
        <v>0</v>
      </c>
      <c r="Q528" t="n">
        <v>0</v>
      </c>
      <c r="R528" s="2" t="inlineStr"/>
    </row>
    <row r="529" ht="15" customHeight="1">
      <c r="A529" t="inlineStr">
        <is>
          <t>A 16183-2026</t>
        </is>
      </c>
      <c r="B529" s="1" t="n">
        <v>46111</v>
      </c>
      <c r="C529" s="1" t="n">
        <v>46184</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16648-2026</t>
        </is>
      </c>
      <c r="B530" s="1" t="n">
        <v>46112.64032407408</v>
      </c>
      <c r="C530" s="1" t="n">
        <v>46184</v>
      </c>
      <c r="D530" t="inlineStr">
        <is>
          <t>KALMAR LÄN</t>
        </is>
      </c>
      <c r="E530" t="inlineStr">
        <is>
          <t>VIMMERBY</t>
        </is>
      </c>
      <c r="F530" t="inlineStr">
        <is>
          <t>Kommuner</t>
        </is>
      </c>
      <c r="G530" t="n">
        <v>0.9</v>
      </c>
      <c r="H530" t="n">
        <v>0</v>
      </c>
      <c r="I530" t="n">
        <v>0</v>
      </c>
      <c r="J530" t="n">
        <v>0</v>
      </c>
      <c r="K530" t="n">
        <v>0</v>
      </c>
      <c r="L530" t="n">
        <v>0</v>
      </c>
      <c r="M530" t="n">
        <v>0</v>
      </c>
      <c r="N530" t="n">
        <v>0</v>
      </c>
      <c r="O530" t="n">
        <v>0</v>
      </c>
      <c r="P530" t="n">
        <v>0</v>
      </c>
      <c r="Q530" t="n">
        <v>0</v>
      </c>
      <c r="R530" s="2" t="inlineStr"/>
    </row>
    <row r="531" ht="15" customHeight="1">
      <c r="A531" t="inlineStr">
        <is>
          <t>A 16656-2026</t>
        </is>
      </c>
      <c r="B531" s="1" t="n">
        <v>46112.65111111111</v>
      </c>
      <c r="C531" s="1" t="n">
        <v>46184</v>
      </c>
      <c r="D531" t="inlineStr">
        <is>
          <t>KALMAR LÄN</t>
        </is>
      </c>
      <c r="E531" t="inlineStr">
        <is>
          <t>VIMMERBY</t>
        </is>
      </c>
      <c r="F531" t="inlineStr">
        <is>
          <t>Kommuner</t>
        </is>
      </c>
      <c r="G531" t="n">
        <v>5.5</v>
      </c>
      <c r="H531" t="n">
        <v>0</v>
      </c>
      <c r="I531" t="n">
        <v>0</v>
      </c>
      <c r="J531" t="n">
        <v>0</v>
      </c>
      <c r="K531" t="n">
        <v>0</v>
      </c>
      <c r="L531" t="n">
        <v>0</v>
      </c>
      <c r="M531" t="n">
        <v>0</v>
      </c>
      <c r="N531" t="n">
        <v>0</v>
      </c>
      <c r="O531" t="n">
        <v>0</v>
      </c>
      <c r="P531" t="n">
        <v>0</v>
      </c>
      <c r="Q531" t="n">
        <v>0</v>
      </c>
      <c r="R531" s="2" t="inlineStr"/>
    </row>
    <row r="532" ht="15" customHeight="1">
      <c r="A532" t="inlineStr">
        <is>
          <t>A 34588-2024</t>
        </is>
      </c>
      <c r="B532" s="1" t="n">
        <v>45526.3865625</v>
      </c>
      <c r="C532" s="1" t="n">
        <v>46184</v>
      </c>
      <c r="D532" t="inlineStr">
        <is>
          <t>KALMAR LÄN</t>
        </is>
      </c>
      <c r="E532" t="inlineStr">
        <is>
          <t>VIMMERBY</t>
        </is>
      </c>
      <c r="F532" t="inlineStr">
        <is>
          <t>Övriga Aktiebolag</t>
        </is>
      </c>
      <c r="G532" t="n">
        <v>3.3</v>
      </c>
      <c r="H532" t="n">
        <v>0</v>
      </c>
      <c r="I532" t="n">
        <v>0</v>
      </c>
      <c r="J532" t="n">
        <v>0</v>
      </c>
      <c r="K532" t="n">
        <v>0</v>
      </c>
      <c r="L532" t="n">
        <v>0</v>
      </c>
      <c r="M532" t="n">
        <v>0</v>
      </c>
      <c r="N532" t="n">
        <v>0</v>
      </c>
      <c r="O532" t="n">
        <v>0</v>
      </c>
      <c r="P532" t="n">
        <v>0</v>
      </c>
      <c r="Q532" t="n">
        <v>0</v>
      </c>
      <c r="R532" s="2" t="inlineStr"/>
    </row>
    <row r="533" ht="15" customHeight="1">
      <c r="A533" t="inlineStr">
        <is>
          <t>A 17084-2025</t>
        </is>
      </c>
      <c r="B533" s="1" t="n">
        <v>45755.64450231481</v>
      </c>
      <c r="C533" s="1" t="n">
        <v>46184</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16617-2026</t>
        </is>
      </c>
      <c r="B534" s="1" t="n">
        <v>46112.60607638889</v>
      </c>
      <c r="C534" s="1" t="n">
        <v>46184</v>
      </c>
      <c r="D534" t="inlineStr">
        <is>
          <t>KALMAR LÄN</t>
        </is>
      </c>
      <c r="E534" t="inlineStr">
        <is>
          <t>VIMMERBY</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16672-2026</t>
        </is>
      </c>
      <c r="B535" s="1" t="n">
        <v>46112.67336805556</v>
      </c>
      <c r="C535" s="1" t="n">
        <v>46184</v>
      </c>
      <c r="D535" t="inlineStr">
        <is>
          <t>KALMAR LÄN</t>
        </is>
      </c>
      <c r="E535" t="inlineStr">
        <is>
          <t>VIMMERBY</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16653-2026</t>
        </is>
      </c>
      <c r="B536" s="1" t="n">
        <v>46112.64597222222</v>
      </c>
      <c r="C536" s="1" t="n">
        <v>46184</v>
      </c>
      <c r="D536" t="inlineStr">
        <is>
          <t>KALMAR LÄN</t>
        </is>
      </c>
      <c r="E536" t="inlineStr">
        <is>
          <t>VIMMERBY</t>
        </is>
      </c>
      <c r="F536" t="inlineStr">
        <is>
          <t>Kommuner</t>
        </is>
      </c>
      <c r="G536" t="n">
        <v>4.4</v>
      </c>
      <c r="H536" t="n">
        <v>0</v>
      </c>
      <c r="I536" t="n">
        <v>0</v>
      </c>
      <c r="J536" t="n">
        <v>0</v>
      </c>
      <c r="K536" t="n">
        <v>0</v>
      </c>
      <c r="L536" t="n">
        <v>0</v>
      </c>
      <c r="M536" t="n">
        <v>0</v>
      </c>
      <c r="N536" t="n">
        <v>0</v>
      </c>
      <c r="O536" t="n">
        <v>0</v>
      </c>
      <c r="P536" t="n">
        <v>0</v>
      </c>
      <c r="Q536" t="n">
        <v>0</v>
      </c>
      <c r="R536" s="2" t="inlineStr"/>
    </row>
    <row r="537" ht="15" customHeight="1">
      <c r="A537" t="inlineStr">
        <is>
          <t>A 14359-2025</t>
        </is>
      </c>
      <c r="B537" s="1" t="n">
        <v>45741.37270833334</v>
      </c>
      <c r="C537" s="1" t="n">
        <v>46184</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16675-2026</t>
        </is>
      </c>
      <c r="B538" s="1" t="n">
        <v>46112.68202546296</v>
      </c>
      <c r="C538" s="1" t="n">
        <v>46184</v>
      </c>
      <c r="D538" t="inlineStr">
        <is>
          <t>KALMAR LÄN</t>
        </is>
      </c>
      <c r="E538" t="inlineStr">
        <is>
          <t>VIMMERBY</t>
        </is>
      </c>
      <c r="F538" t="inlineStr">
        <is>
          <t>Kommuner</t>
        </is>
      </c>
      <c r="G538" t="n">
        <v>0.8</v>
      </c>
      <c r="H538" t="n">
        <v>0</v>
      </c>
      <c r="I538" t="n">
        <v>0</v>
      </c>
      <c r="J538" t="n">
        <v>0</v>
      </c>
      <c r="K538" t="n">
        <v>0</v>
      </c>
      <c r="L538" t="n">
        <v>0</v>
      </c>
      <c r="M538" t="n">
        <v>0</v>
      </c>
      <c r="N538" t="n">
        <v>0</v>
      </c>
      <c r="O538" t="n">
        <v>0</v>
      </c>
      <c r="P538" t="n">
        <v>0</v>
      </c>
      <c r="Q538" t="n">
        <v>0</v>
      </c>
      <c r="R538" s="2" t="inlineStr"/>
    </row>
    <row r="539" ht="15" customHeight="1">
      <c r="A539" t="inlineStr">
        <is>
          <t>A 16632-2026</t>
        </is>
      </c>
      <c r="B539" s="1" t="n">
        <v>46112.62212962963</v>
      </c>
      <c r="C539" s="1" t="n">
        <v>46184</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16678-2026</t>
        </is>
      </c>
      <c r="B540" s="1" t="n">
        <v>46112.69435185185</v>
      </c>
      <c r="C540" s="1" t="n">
        <v>46184</v>
      </c>
      <c r="D540" t="inlineStr">
        <is>
          <t>KALMAR LÄN</t>
        </is>
      </c>
      <c r="E540" t="inlineStr">
        <is>
          <t>VIMMERBY</t>
        </is>
      </c>
      <c r="F540" t="inlineStr">
        <is>
          <t>Kommuner</t>
        </is>
      </c>
      <c r="G540" t="n">
        <v>1.6</v>
      </c>
      <c r="H540" t="n">
        <v>0</v>
      </c>
      <c r="I540" t="n">
        <v>0</v>
      </c>
      <c r="J540" t="n">
        <v>0</v>
      </c>
      <c r="K540" t="n">
        <v>0</v>
      </c>
      <c r="L540" t="n">
        <v>0</v>
      </c>
      <c r="M540" t="n">
        <v>0</v>
      </c>
      <c r="N540" t="n">
        <v>0</v>
      </c>
      <c r="O540" t="n">
        <v>0</v>
      </c>
      <c r="P540" t="n">
        <v>0</v>
      </c>
      <c r="Q540" t="n">
        <v>0</v>
      </c>
      <c r="R540" s="2" t="inlineStr"/>
    </row>
    <row r="541" ht="15" customHeight="1">
      <c r="A541" t="inlineStr">
        <is>
          <t>A 55605-2024</t>
        </is>
      </c>
      <c r="B541" s="1" t="n">
        <v>45622</v>
      </c>
      <c r="C541" s="1" t="n">
        <v>46184</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44464-2024</t>
        </is>
      </c>
      <c r="B542" s="1" t="n">
        <v>45574.35809027778</v>
      </c>
      <c r="C542" s="1" t="n">
        <v>46184</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36049-2024</t>
        </is>
      </c>
      <c r="B543" s="1" t="n">
        <v>45533.61996527778</v>
      </c>
      <c r="C543" s="1" t="n">
        <v>46184</v>
      </c>
      <c r="D543" t="inlineStr">
        <is>
          <t>KALMAR LÄN</t>
        </is>
      </c>
      <c r="E543" t="inlineStr">
        <is>
          <t>VIMMERBY</t>
        </is>
      </c>
      <c r="F543" t="inlineStr">
        <is>
          <t>Kommuner</t>
        </is>
      </c>
      <c r="G543" t="n">
        <v>2.6</v>
      </c>
      <c r="H543" t="n">
        <v>0</v>
      </c>
      <c r="I543" t="n">
        <v>0</v>
      </c>
      <c r="J543" t="n">
        <v>0</v>
      </c>
      <c r="K543" t="n">
        <v>0</v>
      </c>
      <c r="L543" t="n">
        <v>0</v>
      </c>
      <c r="M543" t="n">
        <v>0</v>
      </c>
      <c r="N543" t="n">
        <v>0</v>
      </c>
      <c r="O543" t="n">
        <v>0</v>
      </c>
      <c r="P543" t="n">
        <v>0</v>
      </c>
      <c r="Q543" t="n">
        <v>0</v>
      </c>
      <c r="R543" s="2" t="inlineStr"/>
    </row>
    <row r="544" ht="15" customHeight="1">
      <c r="A544" t="inlineStr">
        <is>
          <t>A 16799-2026</t>
        </is>
      </c>
      <c r="B544" s="1" t="n">
        <v>46113.47913194444</v>
      </c>
      <c r="C544" s="1" t="n">
        <v>46184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16823-2026</t>
        </is>
      </c>
      <c r="B545" s="1" t="n">
        <v>46113.51649305555</v>
      </c>
      <c r="C545" s="1" t="n">
        <v>46184</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16870-2026</t>
        </is>
      </c>
      <c r="B546" s="1" t="n">
        <v>46113.5822800926</v>
      </c>
      <c r="C546" s="1" t="n">
        <v>46184</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16801-2026</t>
        </is>
      </c>
      <c r="B547" s="1" t="n">
        <v>46113.48400462963</v>
      </c>
      <c r="C547" s="1" t="n">
        <v>46184</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43038-2022</t>
        </is>
      </c>
      <c r="B548" s="1" t="n">
        <v>44833.60123842592</v>
      </c>
      <c r="C548" s="1" t="n">
        <v>46184</v>
      </c>
      <c r="D548" t="inlineStr">
        <is>
          <t>KALMAR LÄN</t>
        </is>
      </c>
      <c r="E548" t="inlineStr">
        <is>
          <t>VIMMERBY</t>
        </is>
      </c>
      <c r="G548" t="n">
        <v>4.2</v>
      </c>
      <c r="H548" t="n">
        <v>0</v>
      </c>
      <c r="I548" t="n">
        <v>0</v>
      </c>
      <c r="J548" t="n">
        <v>0</v>
      </c>
      <c r="K548" t="n">
        <v>0</v>
      </c>
      <c r="L548" t="n">
        <v>0</v>
      </c>
      <c r="M548" t="n">
        <v>0</v>
      </c>
      <c r="N548" t="n">
        <v>0</v>
      </c>
      <c r="O548" t="n">
        <v>0</v>
      </c>
      <c r="P548" t="n">
        <v>0</v>
      </c>
      <c r="Q548" t="n">
        <v>0</v>
      </c>
      <c r="R548" s="2" t="inlineStr"/>
    </row>
    <row r="549" ht="15" customHeight="1">
      <c r="A549" t="inlineStr">
        <is>
          <t>A 16795-2026</t>
        </is>
      </c>
      <c r="B549" s="1" t="n">
        <v>46113.47216435185</v>
      </c>
      <c r="C549" s="1" t="n">
        <v>46184</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57799-2022</t>
        </is>
      </c>
      <c r="B550" s="1" t="n">
        <v>44897</v>
      </c>
      <c r="C550" s="1" t="n">
        <v>46184</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30921-2024</t>
        </is>
      </c>
      <c r="B551" s="1" t="n">
        <v>45498</v>
      </c>
      <c r="C551" s="1" t="n">
        <v>46184</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14137-2023</t>
        </is>
      </c>
      <c r="B552" s="1" t="n">
        <v>45009.4671875</v>
      </c>
      <c r="C552" s="1" t="n">
        <v>46184</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11152-2023</t>
        </is>
      </c>
      <c r="B553" s="1" t="n">
        <v>44992</v>
      </c>
      <c r="C553" s="1" t="n">
        <v>46184</v>
      </c>
      <c r="D553" t="inlineStr">
        <is>
          <t>KALMAR LÄN</t>
        </is>
      </c>
      <c r="E553" t="inlineStr">
        <is>
          <t>VIMMERBY</t>
        </is>
      </c>
      <c r="G553" t="n">
        <v>10.6</v>
      </c>
      <c r="H553" t="n">
        <v>0</v>
      </c>
      <c r="I553" t="n">
        <v>0</v>
      </c>
      <c r="J553" t="n">
        <v>0</v>
      </c>
      <c r="K553" t="n">
        <v>0</v>
      </c>
      <c r="L553" t="n">
        <v>0</v>
      </c>
      <c r="M553" t="n">
        <v>0</v>
      </c>
      <c r="N553" t="n">
        <v>0</v>
      </c>
      <c r="O553" t="n">
        <v>0</v>
      </c>
      <c r="P553" t="n">
        <v>0</v>
      </c>
      <c r="Q553" t="n">
        <v>0</v>
      </c>
      <c r="R553" s="2" t="inlineStr"/>
    </row>
    <row r="554" ht="15" customHeight="1">
      <c r="A554" t="inlineStr">
        <is>
          <t>A 12499-2023</t>
        </is>
      </c>
      <c r="B554" s="1" t="n">
        <v>44999.86172453704</v>
      </c>
      <c r="C554" s="1" t="n">
        <v>46184</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12500-2023</t>
        </is>
      </c>
      <c r="B555" s="1" t="n">
        <v>44999.8625</v>
      </c>
      <c r="C555" s="1" t="n">
        <v>46184</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35846-2023</t>
        </is>
      </c>
      <c r="B556" s="1" t="n">
        <v>45148</v>
      </c>
      <c r="C556" s="1" t="n">
        <v>46184</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49039-2021</t>
        </is>
      </c>
      <c r="B557" s="1" t="n">
        <v>44453.56578703703</v>
      </c>
      <c r="C557" s="1" t="n">
        <v>46184</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46224-2024</t>
        </is>
      </c>
      <c r="B558" s="1" t="n">
        <v>45581.57016203704</v>
      </c>
      <c r="C558" s="1" t="n">
        <v>46184</v>
      </c>
      <c r="D558" t="inlineStr">
        <is>
          <t>KALMAR LÄN</t>
        </is>
      </c>
      <c r="E558" t="inlineStr">
        <is>
          <t>VIMMERBY</t>
        </is>
      </c>
      <c r="G558" t="n">
        <v>3.1</v>
      </c>
      <c r="H558" t="n">
        <v>0</v>
      </c>
      <c r="I558" t="n">
        <v>0</v>
      </c>
      <c r="J558" t="n">
        <v>0</v>
      </c>
      <c r="K558" t="n">
        <v>0</v>
      </c>
      <c r="L558" t="n">
        <v>0</v>
      </c>
      <c r="M558" t="n">
        <v>0</v>
      </c>
      <c r="N558" t="n">
        <v>0</v>
      </c>
      <c r="O558" t="n">
        <v>0</v>
      </c>
      <c r="P558" t="n">
        <v>0</v>
      </c>
      <c r="Q558" t="n">
        <v>0</v>
      </c>
      <c r="R558" s="2" t="inlineStr"/>
    </row>
    <row r="559" ht="15" customHeight="1">
      <c r="A559" t="inlineStr">
        <is>
          <t>A 30633-2024</t>
        </is>
      </c>
      <c r="B559" s="1" t="n">
        <v>45495</v>
      </c>
      <c r="C559" s="1" t="n">
        <v>46184</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54838-2024</t>
        </is>
      </c>
      <c r="B560" s="1" t="n">
        <v>45618.56787037037</v>
      </c>
      <c r="C560" s="1" t="n">
        <v>46184</v>
      </c>
      <c r="D560" t="inlineStr">
        <is>
          <t>KALMAR LÄN</t>
        </is>
      </c>
      <c r="E560" t="inlineStr">
        <is>
          <t>VIMMERBY</t>
        </is>
      </c>
      <c r="G560" t="n">
        <v>3.3</v>
      </c>
      <c r="H560" t="n">
        <v>0</v>
      </c>
      <c r="I560" t="n">
        <v>0</v>
      </c>
      <c r="J560" t="n">
        <v>0</v>
      </c>
      <c r="K560" t="n">
        <v>0</v>
      </c>
      <c r="L560" t="n">
        <v>0</v>
      </c>
      <c r="M560" t="n">
        <v>0</v>
      </c>
      <c r="N560" t="n">
        <v>0</v>
      </c>
      <c r="O560" t="n">
        <v>0</v>
      </c>
      <c r="P560" t="n">
        <v>0</v>
      </c>
      <c r="Q560" t="n">
        <v>0</v>
      </c>
      <c r="R560" s="2" t="inlineStr"/>
    </row>
    <row r="561" ht="15" customHeight="1">
      <c r="A561" t="inlineStr">
        <is>
          <t>A 6405-2025</t>
        </is>
      </c>
      <c r="B561" s="1" t="n">
        <v>45699.45392361111</v>
      </c>
      <c r="C561" s="1" t="n">
        <v>46184</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60437-2023</t>
        </is>
      </c>
      <c r="B562" s="1" t="n">
        <v>45259.51916666667</v>
      </c>
      <c r="C562" s="1" t="n">
        <v>46184</v>
      </c>
      <c r="D562" t="inlineStr">
        <is>
          <t>KALMAR LÄN</t>
        </is>
      </c>
      <c r="E562" t="inlineStr">
        <is>
          <t>VIMMERBY</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60438-2023</t>
        </is>
      </c>
      <c r="B563" s="1" t="n">
        <v>45259.52020833334</v>
      </c>
      <c r="C563" s="1" t="n">
        <v>46184</v>
      </c>
      <c r="D563" t="inlineStr">
        <is>
          <t>KALMAR LÄN</t>
        </is>
      </c>
      <c r="E563" t="inlineStr">
        <is>
          <t>VIMMERBY</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42165-2024</t>
        </is>
      </c>
      <c r="B564" s="1" t="n">
        <v>45562.46342592593</v>
      </c>
      <c r="C564" s="1" t="n">
        <v>46184</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25244-2023</t>
        </is>
      </c>
      <c r="B565" s="1" t="n">
        <v>45086</v>
      </c>
      <c r="C565" s="1" t="n">
        <v>46184</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17713-2026</t>
        </is>
      </c>
      <c r="B566" s="1" t="n">
        <v>46121.72810185186</v>
      </c>
      <c r="C566" s="1" t="n">
        <v>46184</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66022-2021</t>
        </is>
      </c>
      <c r="B567" s="1" t="n">
        <v>44517</v>
      </c>
      <c r="C567" s="1" t="n">
        <v>46184</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35895-2024</t>
        </is>
      </c>
      <c r="B568" s="1" t="n">
        <v>45533.38870370371</v>
      </c>
      <c r="C568" s="1" t="n">
        <v>46184</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11073-2023</t>
        </is>
      </c>
      <c r="B569" s="1" t="n">
        <v>44992</v>
      </c>
      <c r="C569" s="1" t="n">
        <v>46184</v>
      </c>
      <c r="D569" t="inlineStr">
        <is>
          <t>KALMAR LÄN</t>
        </is>
      </c>
      <c r="E569" t="inlineStr">
        <is>
          <t>VIMMERBY</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32655-2023</t>
        </is>
      </c>
      <c r="B570" s="1" t="n">
        <v>45121.61318287037</v>
      </c>
      <c r="C570" s="1" t="n">
        <v>46184</v>
      </c>
      <c r="D570" t="inlineStr">
        <is>
          <t>KALMAR LÄN</t>
        </is>
      </c>
      <c r="E570" t="inlineStr">
        <is>
          <t>VIMMERBY</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63541-2023</t>
        </is>
      </c>
      <c r="B571" s="1" t="n">
        <v>45275.32266203704</v>
      </c>
      <c r="C571" s="1" t="n">
        <v>46184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28034-2022</t>
        </is>
      </c>
      <c r="B572" s="1" t="n">
        <v>44746.38834490741</v>
      </c>
      <c r="C572" s="1" t="n">
        <v>46184</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5938-2022</t>
        </is>
      </c>
      <c r="B573" s="1" t="n">
        <v>44598</v>
      </c>
      <c r="C573" s="1" t="n">
        <v>46184</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24283-2023</t>
        </is>
      </c>
      <c r="B574" s="1" t="n">
        <v>45079.87827546296</v>
      </c>
      <c r="C574" s="1" t="n">
        <v>46184</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2462-2022</t>
        </is>
      </c>
      <c r="B575" s="1" t="n">
        <v>44579.62225694444</v>
      </c>
      <c r="C575" s="1" t="n">
        <v>46184</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60228-2021</t>
        </is>
      </c>
      <c r="B576" s="1" t="n">
        <v>44495</v>
      </c>
      <c r="C576" s="1" t="n">
        <v>46184</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25979-2023</t>
        </is>
      </c>
      <c r="B577" s="1" t="n">
        <v>45090.89653935185</v>
      </c>
      <c r="C577" s="1" t="n">
        <v>46184</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25980-2023</t>
        </is>
      </c>
      <c r="B578" s="1" t="n">
        <v>45090.89880787037</v>
      </c>
      <c r="C578" s="1" t="n">
        <v>46184</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18122-2026</t>
        </is>
      </c>
      <c r="B579" s="1" t="n">
        <v>46125.58524305555</v>
      </c>
      <c r="C579" s="1" t="n">
        <v>46184</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12510-2022</t>
        </is>
      </c>
      <c r="B580" s="1" t="n">
        <v>44638.55256944444</v>
      </c>
      <c r="C580" s="1" t="n">
        <v>46184</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46184</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18633-2026</t>
        </is>
      </c>
      <c r="B582" s="1" t="n">
        <v>46128.26289351852</v>
      </c>
      <c r="C582" s="1" t="n">
        <v>46184</v>
      </c>
      <c r="D582" t="inlineStr">
        <is>
          <t>KALMAR LÄN</t>
        </is>
      </c>
      <c r="E582" t="inlineStr">
        <is>
          <t>VIMMERBY</t>
        </is>
      </c>
      <c r="G582" t="n">
        <v>2</v>
      </c>
      <c r="H582" t="n">
        <v>0</v>
      </c>
      <c r="I582" t="n">
        <v>0</v>
      </c>
      <c r="J582" t="n">
        <v>0</v>
      </c>
      <c r="K582" t="n">
        <v>0</v>
      </c>
      <c r="L582" t="n">
        <v>0</v>
      </c>
      <c r="M582" t="n">
        <v>0</v>
      </c>
      <c r="N582" t="n">
        <v>0</v>
      </c>
      <c r="O582" t="n">
        <v>0</v>
      </c>
      <c r="P582" t="n">
        <v>0</v>
      </c>
      <c r="Q582" t="n">
        <v>0</v>
      </c>
      <c r="R582" s="2" t="inlineStr"/>
    </row>
    <row r="583" ht="15" customHeight="1">
      <c r="A583" t="inlineStr">
        <is>
          <t>A 48373-2021</t>
        </is>
      </c>
      <c r="B583" s="1" t="n">
        <v>44451</v>
      </c>
      <c r="C583" s="1" t="n">
        <v>46184</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57256-2023</t>
        </is>
      </c>
      <c r="B584" s="1" t="n">
        <v>45245.5735300926</v>
      </c>
      <c r="C584" s="1" t="n">
        <v>46184</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17482-2024</t>
        </is>
      </c>
      <c r="B585" s="1" t="n">
        <v>45415.47848379629</v>
      </c>
      <c r="C585" s="1" t="n">
        <v>46184</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55123-2024</t>
        </is>
      </c>
      <c r="B586" s="1" t="n">
        <v>45621.46103009259</v>
      </c>
      <c r="C586" s="1" t="n">
        <v>46184</v>
      </c>
      <c r="D586" t="inlineStr">
        <is>
          <t>KALMAR LÄN</t>
        </is>
      </c>
      <c r="E586" t="inlineStr">
        <is>
          <t>VIMMERBY</t>
        </is>
      </c>
      <c r="G586" t="n">
        <v>3.1</v>
      </c>
      <c r="H586" t="n">
        <v>0</v>
      </c>
      <c r="I586" t="n">
        <v>0</v>
      </c>
      <c r="J586" t="n">
        <v>0</v>
      </c>
      <c r="K586" t="n">
        <v>0</v>
      </c>
      <c r="L586" t="n">
        <v>0</v>
      </c>
      <c r="M586" t="n">
        <v>0</v>
      </c>
      <c r="N586" t="n">
        <v>0</v>
      </c>
      <c r="O586" t="n">
        <v>0</v>
      </c>
      <c r="P586" t="n">
        <v>0</v>
      </c>
      <c r="Q586" t="n">
        <v>0</v>
      </c>
      <c r="R586" s="2" t="inlineStr"/>
    </row>
    <row r="587" ht="15" customHeight="1">
      <c r="A587" t="inlineStr">
        <is>
          <t>A 49313-2022</t>
        </is>
      </c>
      <c r="B587" s="1" t="n">
        <v>44861.52505787037</v>
      </c>
      <c r="C587" s="1" t="n">
        <v>46184</v>
      </c>
      <c r="D587" t="inlineStr">
        <is>
          <t>KALMAR LÄN</t>
        </is>
      </c>
      <c r="E587" t="inlineStr">
        <is>
          <t>VIMMERBY</t>
        </is>
      </c>
      <c r="G587" t="n">
        <v>1.9</v>
      </c>
      <c r="H587" t="n">
        <v>0</v>
      </c>
      <c r="I587" t="n">
        <v>0</v>
      </c>
      <c r="J587" t="n">
        <v>0</v>
      </c>
      <c r="K587" t="n">
        <v>0</v>
      </c>
      <c r="L587" t="n">
        <v>0</v>
      </c>
      <c r="M587" t="n">
        <v>0</v>
      </c>
      <c r="N587" t="n">
        <v>0</v>
      </c>
      <c r="O587" t="n">
        <v>0</v>
      </c>
      <c r="P587" t="n">
        <v>0</v>
      </c>
      <c r="Q587" t="n">
        <v>0</v>
      </c>
      <c r="R587" s="2" t="inlineStr"/>
    </row>
    <row r="588" ht="15" customHeight="1">
      <c r="A588" t="inlineStr">
        <is>
          <t>A 1987-2024</t>
        </is>
      </c>
      <c r="B588" s="1" t="n">
        <v>45308.61152777778</v>
      </c>
      <c r="C588" s="1" t="n">
        <v>46184</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21507-2023</t>
        </is>
      </c>
      <c r="B589" s="1" t="n">
        <v>45063.508125</v>
      </c>
      <c r="C589" s="1" t="n">
        <v>46184</v>
      </c>
      <c r="D589" t="inlineStr">
        <is>
          <t>KALMAR LÄN</t>
        </is>
      </c>
      <c r="E589" t="inlineStr">
        <is>
          <t>VIMMERBY</t>
        </is>
      </c>
      <c r="G589" t="n">
        <v>2.8</v>
      </c>
      <c r="H589" t="n">
        <v>0</v>
      </c>
      <c r="I589" t="n">
        <v>0</v>
      </c>
      <c r="J589" t="n">
        <v>0</v>
      </c>
      <c r="K589" t="n">
        <v>0</v>
      </c>
      <c r="L589" t="n">
        <v>0</v>
      </c>
      <c r="M589" t="n">
        <v>0</v>
      </c>
      <c r="N589" t="n">
        <v>0</v>
      </c>
      <c r="O589" t="n">
        <v>0</v>
      </c>
      <c r="P589" t="n">
        <v>0</v>
      </c>
      <c r="Q589" t="n">
        <v>0</v>
      </c>
      <c r="R589" s="2" t="inlineStr"/>
    </row>
    <row r="590" ht="15" customHeight="1">
      <c r="A590" t="inlineStr">
        <is>
          <t>A 57189-2022</t>
        </is>
      </c>
      <c r="B590" s="1" t="n">
        <v>44895.62296296296</v>
      </c>
      <c r="C590" s="1" t="n">
        <v>46184</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48673-2021</t>
        </is>
      </c>
      <c r="B591" s="1" t="n">
        <v>44452</v>
      </c>
      <c r="C591" s="1" t="n">
        <v>46184</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14248-2023</t>
        </is>
      </c>
      <c r="B592" s="1" t="n">
        <v>45009</v>
      </c>
      <c r="C592" s="1" t="n">
        <v>46184</v>
      </c>
      <c r="D592" t="inlineStr">
        <is>
          <t>KALMAR LÄN</t>
        </is>
      </c>
      <c r="E592" t="inlineStr">
        <is>
          <t>VIMMERBY</t>
        </is>
      </c>
      <c r="G592" t="n">
        <v>2.6</v>
      </c>
      <c r="H592" t="n">
        <v>0</v>
      </c>
      <c r="I592" t="n">
        <v>0</v>
      </c>
      <c r="J592" t="n">
        <v>0</v>
      </c>
      <c r="K592" t="n">
        <v>0</v>
      </c>
      <c r="L592" t="n">
        <v>0</v>
      </c>
      <c r="M592" t="n">
        <v>0</v>
      </c>
      <c r="N592" t="n">
        <v>0</v>
      </c>
      <c r="O592" t="n">
        <v>0</v>
      </c>
      <c r="P592" t="n">
        <v>0</v>
      </c>
      <c r="Q592" t="n">
        <v>0</v>
      </c>
      <c r="R592" s="2" t="inlineStr"/>
    </row>
    <row r="593" ht="15" customHeight="1">
      <c r="A593" t="inlineStr">
        <is>
          <t>A 24932-2026</t>
        </is>
      </c>
      <c r="B593" s="1" t="n">
        <v>46174.5197800926</v>
      </c>
      <c r="C593" s="1" t="n">
        <v>46184</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40095-2022</t>
        </is>
      </c>
      <c r="B594" s="1" t="n">
        <v>44820</v>
      </c>
      <c r="C594" s="1" t="n">
        <v>46184</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50085-2023</t>
        </is>
      </c>
      <c r="B595" s="1" t="n">
        <v>45215.5959375</v>
      </c>
      <c r="C595" s="1" t="n">
        <v>46184</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50087-2023</t>
        </is>
      </c>
      <c r="B596" s="1" t="n">
        <v>45215.59743055556</v>
      </c>
      <c r="C596" s="1" t="n">
        <v>46184</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8167-2024</t>
        </is>
      </c>
      <c r="B597" s="1" t="n">
        <v>45351.6062962963</v>
      </c>
      <c r="C597" s="1" t="n">
        <v>46184</v>
      </c>
      <c r="D597" t="inlineStr">
        <is>
          <t>KALMAR LÄN</t>
        </is>
      </c>
      <c r="E597" t="inlineStr">
        <is>
          <t>VIMMERBY</t>
        </is>
      </c>
      <c r="G597" t="n">
        <v>3.8</v>
      </c>
      <c r="H597" t="n">
        <v>0</v>
      </c>
      <c r="I597" t="n">
        <v>0</v>
      </c>
      <c r="J597" t="n">
        <v>0</v>
      </c>
      <c r="K597" t="n">
        <v>0</v>
      </c>
      <c r="L597" t="n">
        <v>0</v>
      </c>
      <c r="M597" t="n">
        <v>0</v>
      </c>
      <c r="N597" t="n">
        <v>0</v>
      </c>
      <c r="O597" t="n">
        <v>0</v>
      </c>
      <c r="P597" t="n">
        <v>0</v>
      </c>
      <c r="Q597" t="n">
        <v>0</v>
      </c>
      <c r="R597" s="2" t="inlineStr"/>
    </row>
    <row r="598" ht="15" customHeight="1">
      <c r="A598" t="inlineStr">
        <is>
          <t>A 25106-2026</t>
        </is>
      </c>
      <c r="B598" s="1" t="n">
        <v>46175.35026620371</v>
      </c>
      <c r="C598" s="1" t="n">
        <v>46184</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25105-2026</t>
        </is>
      </c>
      <c r="B599" s="1" t="n">
        <v>46175.34893518518</v>
      </c>
      <c r="C599" s="1" t="n">
        <v>46184</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25158-2026</t>
        </is>
      </c>
      <c r="B600" s="1" t="n">
        <v>46175.45645833333</v>
      </c>
      <c r="C600" s="1" t="n">
        <v>46184</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25194-2026</t>
        </is>
      </c>
      <c r="B601" s="1" t="n">
        <v>46175.58986111111</v>
      </c>
      <c r="C601" s="1" t="n">
        <v>46184</v>
      </c>
      <c r="D601" t="inlineStr">
        <is>
          <t>KALMAR LÄN</t>
        </is>
      </c>
      <c r="E601" t="inlineStr">
        <is>
          <t>VIMMERBY</t>
        </is>
      </c>
      <c r="G601" t="n">
        <v>3.4</v>
      </c>
      <c r="H601" t="n">
        <v>0</v>
      </c>
      <c r="I601" t="n">
        <v>0</v>
      </c>
      <c r="J601" t="n">
        <v>0</v>
      </c>
      <c r="K601" t="n">
        <v>0</v>
      </c>
      <c r="L601" t="n">
        <v>0</v>
      </c>
      <c r="M601" t="n">
        <v>0</v>
      </c>
      <c r="N601" t="n">
        <v>0</v>
      </c>
      <c r="O601" t="n">
        <v>0</v>
      </c>
      <c r="P601" t="n">
        <v>0</v>
      </c>
      <c r="Q601" t="n">
        <v>0</v>
      </c>
      <c r="R601" s="2" t="inlineStr"/>
    </row>
    <row r="602" ht="15" customHeight="1">
      <c r="A602" t="inlineStr">
        <is>
          <t>A 24930-2026</t>
        </is>
      </c>
      <c r="B602" s="1" t="n">
        <v>46174.51430555555</v>
      </c>
      <c r="C602" s="1" t="n">
        <v>46184</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2604-2025</t>
        </is>
      </c>
      <c r="B603" s="1" t="n">
        <v>45674.74094907408</v>
      </c>
      <c r="C603" s="1" t="n">
        <v>46184</v>
      </c>
      <c r="D603" t="inlineStr">
        <is>
          <t>KALMAR LÄN</t>
        </is>
      </c>
      <c r="E603" t="inlineStr">
        <is>
          <t>VIMMERBY</t>
        </is>
      </c>
      <c r="G603" t="n">
        <v>7.6</v>
      </c>
      <c r="H603" t="n">
        <v>0</v>
      </c>
      <c r="I603" t="n">
        <v>0</v>
      </c>
      <c r="J603" t="n">
        <v>0</v>
      </c>
      <c r="K603" t="n">
        <v>0</v>
      </c>
      <c r="L603" t="n">
        <v>0</v>
      </c>
      <c r="M603" t="n">
        <v>0</v>
      </c>
      <c r="N603" t="n">
        <v>0</v>
      </c>
      <c r="O603" t="n">
        <v>0</v>
      </c>
      <c r="P603" t="n">
        <v>0</v>
      </c>
      <c r="Q603" t="n">
        <v>0</v>
      </c>
      <c r="R603" s="2" t="inlineStr"/>
    </row>
    <row r="604" ht="15" customHeight="1">
      <c r="A604" t="inlineStr">
        <is>
          <t>A 37192-2024</t>
        </is>
      </c>
      <c r="B604" s="1" t="n">
        <v>45539.66027777778</v>
      </c>
      <c r="C604" s="1" t="n">
        <v>46184</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25192-2026</t>
        </is>
      </c>
      <c r="B605" s="1" t="n">
        <v>46175.5820949074</v>
      </c>
      <c r="C605" s="1" t="n">
        <v>46184</v>
      </c>
      <c r="D605" t="inlineStr">
        <is>
          <t>KALMAR LÄN</t>
        </is>
      </c>
      <c r="E605" t="inlineStr">
        <is>
          <t>VIMMERBY</t>
        </is>
      </c>
      <c r="G605" t="n">
        <v>3.2</v>
      </c>
      <c r="H605" t="n">
        <v>0</v>
      </c>
      <c r="I605" t="n">
        <v>0</v>
      </c>
      <c r="J605" t="n">
        <v>0</v>
      </c>
      <c r="K605" t="n">
        <v>0</v>
      </c>
      <c r="L605" t="n">
        <v>0</v>
      </c>
      <c r="M605" t="n">
        <v>0</v>
      </c>
      <c r="N605" t="n">
        <v>0</v>
      </c>
      <c r="O605" t="n">
        <v>0</v>
      </c>
      <c r="P605" t="n">
        <v>0</v>
      </c>
      <c r="Q605" t="n">
        <v>0</v>
      </c>
      <c r="R605" s="2" t="inlineStr"/>
    </row>
    <row r="606" ht="15" customHeight="1">
      <c r="A606" t="inlineStr">
        <is>
          <t>A 42429-2024</t>
        </is>
      </c>
      <c r="B606" s="1" t="n">
        <v>45565.40657407408</v>
      </c>
      <c r="C606" s="1" t="n">
        <v>46184</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29180-2024</t>
        </is>
      </c>
      <c r="B607" s="1" t="n">
        <v>45482.54108796296</v>
      </c>
      <c r="C607" s="1" t="n">
        <v>46184</v>
      </c>
      <c r="D607" t="inlineStr">
        <is>
          <t>KALMAR LÄN</t>
        </is>
      </c>
      <c r="E607" t="inlineStr">
        <is>
          <t>VIMMERBY</t>
        </is>
      </c>
      <c r="G607" t="n">
        <v>3.8</v>
      </c>
      <c r="H607" t="n">
        <v>0</v>
      </c>
      <c r="I607" t="n">
        <v>0</v>
      </c>
      <c r="J607" t="n">
        <v>0</v>
      </c>
      <c r="K607" t="n">
        <v>0</v>
      </c>
      <c r="L607" t="n">
        <v>0</v>
      </c>
      <c r="M607" t="n">
        <v>0</v>
      </c>
      <c r="N607" t="n">
        <v>0</v>
      </c>
      <c r="O607" t="n">
        <v>0</v>
      </c>
      <c r="P607" t="n">
        <v>0</v>
      </c>
      <c r="Q607" t="n">
        <v>0</v>
      </c>
      <c r="R607" s="2" t="inlineStr"/>
    </row>
    <row r="608" ht="15" customHeight="1">
      <c r="A608" t="inlineStr">
        <is>
          <t>A 60215-2022</t>
        </is>
      </c>
      <c r="B608" s="1" t="n">
        <v>44910.41346064815</v>
      </c>
      <c r="C608" s="1" t="n">
        <v>46184</v>
      </c>
      <c r="D608" t="inlineStr">
        <is>
          <t>KALMAR LÄN</t>
        </is>
      </c>
      <c r="E608" t="inlineStr">
        <is>
          <t>VIMMERBY</t>
        </is>
      </c>
      <c r="G608" t="n">
        <v>1.1</v>
      </c>
      <c r="H608" t="n">
        <v>0</v>
      </c>
      <c r="I608" t="n">
        <v>0</v>
      </c>
      <c r="J608" t="n">
        <v>0</v>
      </c>
      <c r="K608" t="n">
        <v>0</v>
      </c>
      <c r="L608" t="n">
        <v>0</v>
      </c>
      <c r="M608" t="n">
        <v>0</v>
      </c>
      <c r="N608" t="n">
        <v>0</v>
      </c>
      <c r="O608" t="n">
        <v>0</v>
      </c>
      <c r="P608" t="n">
        <v>0</v>
      </c>
      <c r="Q608" t="n">
        <v>0</v>
      </c>
      <c r="R608" s="2" t="inlineStr"/>
    </row>
    <row r="609" ht="15" customHeight="1">
      <c r="A609" t="inlineStr">
        <is>
          <t>A 25395-2026</t>
        </is>
      </c>
      <c r="B609" s="1" t="n">
        <v>46176.73450231482</v>
      </c>
      <c r="C609" s="1" t="n">
        <v>46184</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45846-2023</t>
        </is>
      </c>
      <c r="B610" s="1" t="n">
        <v>45195.58452546296</v>
      </c>
      <c r="C610" s="1" t="n">
        <v>46184</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25830-2025</t>
        </is>
      </c>
      <c r="B611" s="1" t="n">
        <v>45804.44519675926</v>
      </c>
      <c r="C611" s="1" t="n">
        <v>46184</v>
      </c>
      <c r="D611" t="inlineStr">
        <is>
          <t>KALMAR LÄN</t>
        </is>
      </c>
      <c r="E611" t="inlineStr">
        <is>
          <t>VIMMERBY</t>
        </is>
      </c>
      <c r="G611" t="n">
        <v>4.9</v>
      </c>
      <c r="H611" t="n">
        <v>0</v>
      </c>
      <c r="I611" t="n">
        <v>0</v>
      </c>
      <c r="J611" t="n">
        <v>0</v>
      </c>
      <c r="K611" t="n">
        <v>0</v>
      </c>
      <c r="L611" t="n">
        <v>0</v>
      </c>
      <c r="M611" t="n">
        <v>0</v>
      </c>
      <c r="N611" t="n">
        <v>0</v>
      </c>
      <c r="O611" t="n">
        <v>0</v>
      </c>
      <c r="P611" t="n">
        <v>0</v>
      </c>
      <c r="Q611" t="n">
        <v>0</v>
      </c>
      <c r="R611" s="2" t="inlineStr"/>
    </row>
    <row r="612" ht="15" customHeight="1">
      <c r="A612" t="inlineStr">
        <is>
          <t>A 16020-2023</t>
        </is>
      </c>
      <c r="B612" s="1" t="n">
        <v>45026.82216435186</v>
      </c>
      <c r="C612" s="1" t="n">
        <v>46184</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61820-2023</t>
        </is>
      </c>
      <c r="B613" s="1" t="n">
        <v>45266.32614583334</v>
      </c>
      <c r="C613" s="1" t="n">
        <v>46184</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25345-2026</t>
        </is>
      </c>
      <c r="B614" s="1" t="n">
        <v>46176.58015046296</v>
      </c>
      <c r="C614" s="1" t="n">
        <v>46184</v>
      </c>
      <c r="D614" t="inlineStr">
        <is>
          <t>KALMAR LÄN</t>
        </is>
      </c>
      <c r="E614" t="inlineStr">
        <is>
          <t>VIMMERBY</t>
        </is>
      </c>
      <c r="G614" t="n">
        <v>1.9</v>
      </c>
      <c r="H614" t="n">
        <v>0</v>
      </c>
      <c r="I614" t="n">
        <v>0</v>
      </c>
      <c r="J614" t="n">
        <v>0</v>
      </c>
      <c r="K614" t="n">
        <v>0</v>
      </c>
      <c r="L614" t="n">
        <v>0</v>
      </c>
      <c r="M614" t="n">
        <v>0</v>
      </c>
      <c r="N614" t="n">
        <v>0</v>
      </c>
      <c r="O614" t="n">
        <v>0</v>
      </c>
      <c r="P614" t="n">
        <v>0</v>
      </c>
      <c r="Q614" t="n">
        <v>0</v>
      </c>
      <c r="R614" s="2" t="inlineStr"/>
    </row>
    <row r="615" ht="15" customHeight="1">
      <c r="A615" t="inlineStr">
        <is>
          <t>A 25284-2026</t>
        </is>
      </c>
      <c r="B615" s="1" t="n">
        <v>46176.40210648148</v>
      </c>
      <c r="C615" s="1" t="n">
        <v>46184</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45560-2021</t>
        </is>
      </c>
      <c r="B616" s="1" t="n">
        <v>44440</v>
      </c>
      <c r="C616" s="1" t="n">
        <v>46184</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40256-2024</t>
        </is>
      </c>
      <c r="B617" s="1" t="n">
        <v>45554.62944444444</v>
      </c>
      <c r="C617" s="1" t="n">
        <v>46184</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58104-2024</t>
        </is>
      </c>
      <c r="B618" s="1" t="n">
        <v>45632.37459490741</v>
      </c>
      <c r="C618" s="1" t="n">
        <v>46184</v>
      </c>
      <c r="D618" t="inlineStr">
        <is>
          <t>KALMAR LÄN</t>
        </is>
      </c>
      <c r="E618" t="inlineStr">
        <is>
          <t>VIMMERBY</t>
        </is>
      </c>
      <c r="G618" t="n">
        <v>5</v>
      </c>
      <c r="H618" t="n">
        <v>0</v>
      </c>
      <c r="I618" t="n">
        <v>0</v>
      </c>
      <c r="J618" t="n">
        <v>0</v>
      </c>
      <c r="K618" t="n">
        <v>0</v>
      </c>
      <c r="L618" t="n">
        <v>0</v>
      </c>
      <c r="M618" t="n">
        <v>0</v>
      </c>
      <c r="N618" t="n">
        <v>0</v>
      </c>
      <c r="O618" t="n">
        <v>0</v>
      </c>
      <c r="P618" t="n">
        <v>0</v>
      </c>
      <c r="Q618" t="n">
        <v>0</v>
      </c>
      <c r="R618" s="2" t="inlineStr"/>
    </row>
    <row r="619" ht="15" customHeight="1">
      <c r="A619" t="inlineStr">
        <is>
          <t>A 59579-2025</t>
        </is>
      </c>
      <c r="B619" s="1" t="n">
        <v>45992.30569444445</v>
      </c>
      <c r="C619" s="1" t="n">
        <v>46184</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36259-2022</t>
        </is>
      </c>
      <c r="B620" s="1" t="n">
        <v>44803.59118055556</v>
      </c>
      <c r="C620" s="1" t="n">
        <v>46184</v>
      </c>
      <c r="D620" t="inlineStr">
        <is>
          <t>KALMAR LÄN</t>
        </is>
      </c>
      <c r="E620" t="inlineStr">
        <is>
          <t>VIMMERBY</t>
        </is>
      </c>
      <c r="G620" t="n">
        <v>3.9</v>
      </c>
      <c r="H620" t="n">
        <v>0</v>
      </c>
      <c r="I620" t="n">
        <v>0</v>
      </c>
      <c r="J620" t="n">
        <v>0</v>
      </c>
      <c r="K620" t="n">
        <v>0</v>
      </c>
      <c r="L620" t="n">
        <v>0</v>
      </c>
      <c r="M620" t="n">
        <v>0</v>
      </c>
      <c r="N620" t="n">
        <v>0</v>
      </c>
      <c r="O620" t="n">
        <v>0</v>
      </c>
      <c r="P620" t="n">
        <v>0</v>
      </c>
      <c r="Q620" t="n">
        <v>0</v>
      </c>
      <c r="R620" s="2" t="inlineStr"/>
    </row>
    <row r="621" ht="15" customHeight="1">
      <c r="A621" t="inlineStr">
        <is>
          <t>A 43034-2024</t>
        </is>
      </c>
      <c r="B621" s="1" t="n">
        <v>45567.42011574074</v>
      </c>
      <c r="C621" s="1" t="n">
        <v>46184</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3902-2022</t>
        </is>
      </c>
      <c r="B622" s="1" t="n">
        <v>44587.48847222222</v>
      </c>
      <c r="C622" s="1" t="n">
        <v>46184</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30070-2023</t>
        </is>
      </c>
      <c r="B623" s="1" t="n">
        <v>45110.4275</v>
      </c>
      <c r="C623" s="1" t="n">
        <v>46184</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52294-2023</t>
        </is>
      </c>
      <c r="B624" s="1" t="n">
        <v>45224.60075231481</v>
      </c>
      <c r="C624" s="1" t="n">
        <v>46184</v>
      </c>
      <c r="D624" t="inlineStr">
        <is>
          <t>KALMAR LÄN</t>
        </is>
      </c>
      <c r="E624" t="inlineStr">
        <is>
          <t>VIMMERBY</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36273-2025</t>
        </is>
      </c>
      <c r="B625" s="1" t="n">
        <v>45867.63094907408</v>
      </c>
      <c r="C625" s="1" t="n">
        <v>46184</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36282-2025</t>
        </is>
      </c>
      <c r="B626" s="1" t="n">
        <v>45867.64663194444</v>
      </c>
      <c r="C626" s="1" t="n">
        <v>46184</v>
      </c>
      <c r="D626" t="inlineStr">
        <is>
          <t>KALMAR LÄN</t>
        </is>
      </c>
      <c r="E626" t="inlineStr">
        <is>
          <t>VIMMERBY</t>
        </is>
      </c>
      <c r="G626" t="n">
        <v>1.4</v>
      </c>
      <c r="H626" t="n">
        <v>0</v>
      </c>
      <c r="I626" t="n">
        <v>0</v>
      </c>
      <c r="J626" t="n">
        <v>0</v>
      </c>
      <c r="K626" t="n">
        <v>0</v>
      </c>
      <c r="L626" t="n">
        <v>0</v>
      </c>
      <c r="M626" t="n">
        <v>0</v>
      </c>
      <c r="N626" t="n">
        <v>0</v>
      </c>
      <c r="O626" t="n">
        <v>0</v>
      </c>
      <c r="P626" t="n">
        <v>0</v>
      </c>
      <c r="Q626" t="n">
        <v>0</v>
      </c>
      <c r="R626" s="2" t="inlineStr"/>
    </row>
    <row r="627" ht="15" customHeight="1">
      <c r="A627" t="inlineStr">
        <is>
          <t>A 29783-2024</t>
        </is>
      </c>
      <c r="B627" s="1" t="n">
        <v>45485.45778935185</v>
      </c>
      <c r="C627" s="1" t="n">
        <v>46184</v>
      </c>
      <c r="D627" t="inlineStr">
        <is>
          <t>KALMAR LÄN</t>
        </is>
      </c>
      <c r="E627" t="inlineStr">
        <is>
          <t>VIMMERBY</t>
        </is>
      </c>
      <c r="G627" t="n">
        <v>3.1</v>
      </c>
      <c r="H627" t="n">
        <v>0</v>
      </c>
      <c r="I627" t="n">
        <v>0</v>
      </c>
      <c r="J627" t="n">
        <v>0</v>
      </c>
      <c r="K627" t="n">
        <v>0</v>
      </c>
      <c r="L627" t="n">
        <v>0</v>
      </c>
      <c r="M627" t="n">
        <v>0</v>
      </c>
      <c r="N627" t="n">
        <v>0</v>
      </c>
      <c r="O627" t="n">
        <v>0</v>
      </c>
      <c r="P627" t="n">
        <v>0</v>
      </c>
      <c r="Q627" t="n">
        <v>0</v>
      </c>
      <c r="R627" s="2" t="inlineStr"/>
    </row>
    <row r="628" ht="15" customHeight="1">
      <c r="A628" t="inlineStr">
        <is>
          <t>A 31209-2024</t>
        </is>
      </c>
      <c r="B628" s="1" t="n">
        <v>45503.5658912037</v>
      </c>
      <c r="C628" s="1" t="n">
        <v>46184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4527-2023</t>
        </is>
      </c>
      <c r="B629" s="1" t="n">
        <v>44956</v>
      </c>
      <c r="C629" s="1" t="n">
        <v>46184</v>
      </c>
      <c r="D629" t="inlineStr">
        <is>
          <t>KALMAR LÄN</t>
        </is>
      </c>
      <c r="E629" t="inlineStr">
        <is>
          <t>VIMMERBY</t>
        </is>
      </c>
      <c r="F629" t="inlineStr">
        <is>
          <t>Kommuner</t>
        </is>
      </c>
      <c r="G629" t="n">
        <v>8.5</v>
      </c>
      <c r="H629" t="n">
        <v>0</v>
      </c>
      <c r="I629" t="n">
        <v>0</v>
      </c>
      <c r="J629" t="n">
        <v>0</v>
      </c>
      <c r="K629" t="n">
        <v>0</v>
      </c>
      <c r="L629" t="n">
        <v>0</v>
      </c>
      <c r="M629" t="n">
        <v>0</v>
      </c>
      <c r="N629" t="n">
        <v>0</v>
      </c>
      <c r="O629" t="n">
        <v>0</v>
      </c>
      <c r="P629" t="n">
        <v>0</v>
      </c>
      <c r="Q629" t="n">
        <v>0</v>
      </c>
      <c r="R629" s="2" t="inlineStr"/>
    </row>
    <row r="630" ht="15" customHeight="1">
      <c r="A630" t="inlineStr">
        <is>
          <t>A 5864-2022</t>
        </is>
      </c>
      <c r="B630" s="1" t="n">
        <v>44596</v>
      </c>
      <c r="C630" s="1" t="n">
        <v>46184</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30912-2023</t>
        </is>
      </c>
      <c r="B631" s="1" t="n">
        <v>45113.41633101852</v>
      </c>
      <c r="C631" s="1" t="n">
        <v>46184</v>
      </c>
      <c r="D631" t="inlineStr">
        <is>
          <t>KALMAR LÄN</t>
        </is>
      </c>
      <c r="E631" t="inlineStr">
        <is>
          <t>VIMMERBY</t>
        </is>
      </c>
      <c r="G631" t="n">
        <v>5</v>
      </c>
      <c r="H631" t="n">
        <v>0</v>
      </c>
      <c r="I631" t="n">
        <v>0</v>
      </c>
      <c r="J631" t="n">
        <v>0</v>
      </c>
      <c r="K631" t="n">
        <v>0</v>
      </c>
      <c r="L631" t="n">
        <v>0</v>
      </c>
      <c r="M631" t="n">
        <v>0</v>
      </c>
      <c r="N631" t="n">
        <v>0</v>
      </c>
      <c r="O631" t="n">
        <v>0</v>
      </c>
      <c r="P631" t="n">
        <v>0</v>
      </c>
      <c r="Q631" t="n">
        <v>0</v>
      </c>
      <c r="R631" s="2" t="inlineStr"/>
    </row>
    <row r="632" ht="15" customHeight="1">
      <c r="A632" t="inlineStr">
        <is>
          <t>A 1146-2025</t>
        </is>
      </c>
      <c r="B632" s="1" t="n">
        <v>45666</v>
      </c>
      <c r="C632" s="1" t="n">
        <v>46184</v>
      </c>
      <c r="D632" t="inlineStr">
        <is>
          <t>KALMAR LÄN</t>
        </is>
      </c>
      <c r="E632" t="inlineStr">
        <is>
          <t>VIMMERBY</t>
        </is>
      </c>
      <c r="G632" t="n">
        <v>4</v>
      </c>
      <c r="H632" t="n">
        <v>0</v>
      </c>
      <c r="I632" t="n">
        <v>0</v>
      </c>
      <c r="J632" t="n">
        <v>0</v>
      </c>
      <c r="K632" t="n">
        <v>0</v>
      </c>
      <c r="L632" t="n">
        <v>0</v>
      </c>
      <c r="M632" t="n">
        <v>0</v>
      </c>
      <c r="N632" t="n">
        <v>0</v>
      </c>
      <c r="O632" t="n">
        <v>0</v>
      </c>
      <c r="P632" t="n">
        <v>0</v>
      </c>
      <c r="Q632" t="n">
        <v>0</v>
      </c>
      <c r="R632" s="2" t="inlineStr"/>
    </row>
    <row r="633" ht="15" customHeight="1">
      <c r="A633" t="inlineStr">
        <is>
          <t>A 52465-2025</t>
        </is>
      </c>
      <c r="B633" s="1" t="n">
        <v>45954.44543981482</v>
      </c>
      <c r="C633" s="1" t="n">
        <v>46184</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62023-2022</t>
        </is>
      </c>
      <c r="B634" s="1" t="n">
        <v>44918.50106481482</v>
      </c>
      <c r="C634" s="1" t="n">
        <v>46184</v>
      </c>
      <c r="D634" t="inlineStr">
        <is>
          <t>KALMAR LÄN</t>
        </is>
      </c>
      <c r="E634" t="inlineStr">
        <is>
          <t>VIMMERBY</t>
        </is>
      </c>
      <c r="G634" t="n">
        <v>0.3</v>
      </c>
      <c r="H634" t="n">
        <v>0</v>
      </c>
      <c r="I634" t="n">
        <v>0</v>
      </c>
      <c r="J634" t="n">
        <v>0</v>
      </c>
      <c r="K634" t="n">
        <v>0</v>
      </c>
      <c r="L634" t="n">
        <v>0</v>
      </c>
      <c r="M634" t="n">
        <v>0</v>
      </c>
      <c r="N634" t="n">
        <v>0</v>
      </c>
      <c r="O634" t="n">
        <v>0</v>
      </c>
      <c r="P634" t="n">
        <v>0</v>
      </c>
      <c r="Q634" t="n">
        <v>0</v>
      </c>
      <c r="R634" s="2" t="inlineStr"/>
    </row>
    <row r="635" ht="15" customHeight="1">
      <c r="A635" t="inlineStr">
        <is>
          <t>A 37866-2025</t>
        </is>
      </c>
      <c r="B635" s="1" t="n">
        <v>45881</v>
      </c>
      <c r="C635" s="1" t="n">
        <v>46184</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16119-2023</t>
        </is>
      </c>
      <c r="B636" s="1" t="n">
        <v>45027.59450231482</v>
      </c>
      <c r="C636" s="1" t="n">
        <v>46184</v>
      </c>
      <c r="D636" t="inlineStr">
        <is>
          <t>KALMAR LÄN</t>
        </is>
      </c>
      <c r="E636" t="inlineStr">
        <is>
          <t>VIMMERBY</t>
        </is>
      </c>
      <c r="F636" t="inlineStr">
        <is>
          <t>Kommuner</t>
        </is>
      </c>
      <c r="G636" t="n">
        <v>4.4</v>
      </c>
      <c r="H636" t="n">
        <v>0</v>
      </c>
      <c r="I636" t="n">
        <v>0</v>
      </c>
      <c r="J636" t="n">
        <v>0</v>
      </c>
      <c r="K636" t="n">
        <v>0</v>
      </c>
      <c r="L636" t="n">
        <v>0</v>
      </c>
      <c r="M636" t="n">
        <v>0</v>
      </c>
      <c r="N636" t="n">
        <v>0</v>
      </c>
      <c r="O636" t="n">
        <v>0</v>
      </c>
      <c r="P636" t="n">
        <v>0</v>
      </c>
      <c r="Q636" t="n">
        <v>0</v>
      </c>
      <c r="R636" s="2" t="inlineStr"/>
    </row>
    <row r="637" ht="15" customHeight="1">
      <c r="A637" t="inlineStr">
        <is>
          <t>A 20-2025</t>
        </is>
      </c>
      <c r="B637" s="1" t="n">
        <v>45658.80232638889</v>
      </c>
      <c r="C637" s="1" t="n">
        <v>46184</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52327-2023</t>
        </is>
      </c>
      <c r="B638" s="1" t="n">
        <v>45224.6515162037</v>
      </c>
      <c r="C638" s="1" t="n">
        <v>46184</v>
      </c>
      <c r="D638" t="inlineStr">
        <is>
          <t>KALMAR LÄN</t>
        </is>
      </c>
      <c r="E638" t="inlineStr">
        <is>
          <t>VIMMERBY</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12075-2024</t>
        </is>
      </c>
      <c r="B639" s="1" t="n">
        <v>45377</v>
      </c>
      <c r="C639" s="1" t="n">
        <v>46184</v>
      </c>
      <c r="D639" t="inlineStr">
        <is>
          <t>KALMAR LÄN</t>
        </is>
      </c>
      <c r="E639" t="inlineStr">
        <is>
          <t>VIMMERBY</t>
        </is>
      </c>
      <c r="G639" t="n">
        <v>3.7</v>
      </c>
      <c r="H639" t="n">
        <v>0</v>
      </c>
      <c r="I639" t="n">
        <v>0</v>
      </c>
      <c r="J639" t="n">
        <v>0</v>
      </c>
      <c r="K639" t="n">
        <v>0</v>
      </c>
      <c r="L639" t="n">
        <v>0</v>
      </c>
      <c r="M639" t="n">
        <v>0</v>
      </c>
      <c r="N639" t="n">
        <v>0</v>
      </c>
      <c r="O639" t="n">
        <v>0</v>
      </c>
      <c r="P639" t="n">
        <v>0</v>
      </c>
      <c r="Q639" t="n">
        <v>0</v>
      </c>
      <c r="R639" s="2" t="inlineStr"/>
    </row>
    <row r="640" ht="15" customHeight="1">
      <c r="A640" t="inlineStr">
        <is>
          <t>A 31340-2023</t>
        </is>
      </c>
      <c r="B640" s="1" t="n">
        <v>45114.47895833333</v>
      </c>
      <c r="C640" s="1" t="n">
        <v>46184</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20018-2026</t>
        </is>
      </c>
      <c r="B641" s="1" t="n">
        <v>46136.50282407407</v>
      </c>
      <c r="C641" s="1" t="n">
        <v>46184</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29727-2025</t>
        </is>
      </c>
      <c r="B642" s="1" t="n">
        <v>45825.5796875</v>
      </c>
      <c r="C642" s="1" t="n">
        <v>46184</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7758-2024</t>
        </is>
      </c>
      <c r="B643" s="1" t="n">
        <v>45349.54434027777</v>
      </c>
      <c r="C643" s="1" t="n">
        <v>46184</v>
      </c>
      <c r="D643" t="inlineStr">
        <is>
          <t>KALMAR LÄN</t>
        </is>
      </c>
      <c r="E643" t="inlineStr">
        <is>
          <t>VIMMERBY</t>
        </is>
      </c>
      <c r="G643" t="n">
        <v>3.5</v>
      </c>
      <c r="H643" t="n">
        <v>0</v>
      </c>
      <c r="I643" t="n">
        <v>0</v>
      </c>
      <c r="J643" t="n">
        <v>0</v>
      </c>
      <c r="K643" t="n">
        <v>0</v>
      </c>
      <c r="L643" t="n">
        <v>0</v>
      </c>
      <c r="M643" t="n">
        <v>0</v>
      </c>
      <c r="N643" t="n">
        <v>0</v>
      </c>
      <c r="O643" t="n">
        <v>0</v>
      </c>
      <c r="P643" t="n">
        <v>0</v>
      </c>
      <c r="Q643" t="n">
        <v>0</v>
      </c>
      <c r="R643" s="2" t="inlineStr"/>
    </row>
    <row r="644" ht="15" customHeight="1">
      <c r="A644" t="inlineStr">
        <is>
          <t>A 5701-2024</t>
        </is>
      </c>
      <c r="B644" s="1" t="n">
        <v>45334.78826388889</v>
      </c>
      <c r="C644" s="1" t="n">
        <v>46184</v>
      </c>
      <c r="D644" t="inlineStr">
        <is>
          <t>KALMAR LÄN</t>
        </is>
      </c>
      <c r="E644" t="inlineStr">
        <is>
          <t>VIMMERBY</t>
        </is>
      </c>
      <c r="G644" t="n">
        <v>2.3</v>
      </c>
      <c r="H644" t="n">
        <v>0</v>
      </c>
      <c r="I644" t="n">
        <v>0</v>
      </c>
      <c r="J644" t="n">
        <v>0</v>
      </c>
      <c r="K644" t="n">
        <v>0</v>
      </c>
      <c r="L644" t="n">
        <v>0</v>
      </c>
      <c r="M644" t="n">
        <v>0</v>
      </c>
      <c r="N644" t="n">
        <v>0</v>
      </c>
      <c r="O644" t="n">
        <v>0</v>
      </c>
      <c r="P644" t="n">
        <v>0</v>
      </c>
      <c r="Q644" t="n">
        <v>0</v>
      </c>
      <c r="R644" s="2" t="inlineStr"/>
    </row>
    <row r="645" ht="15" customHeight="1">
      <c r="A645" t="inlineStr">
        <is>
          <t>A 26029-2026</t>
        </is>
      </c>
      <c r="B645" s="1" t="n">
        <v>46181.50233796296</v>
      </c>
      <c r="C645" s="1" t="n">
        <v>46184</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31405-2023</t>
        </is>
      </c>
      <c r="B646" s="1" t="n">
        <v>45114.58148148148</v>
      </c>
      <c r="C646" s="1" t="n">
        <v>46184</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6355-2022</t>
        </is>
      </c>
      <c r="B647" s="1" t="n">
        <v>44600</v>
      </c>
      <c r="C647" s="1" t="n">
        <v>46184</v>
      </c>
      <c r="D647" t="inlineStr">
        <is>
          <t>KALMAR LÄN</t>
        </is>
      </c>
      <c r="E647" t="inlineStr">
        <is>
          <t>VIMMERBY</t>
        </is>
      </c>
      <c r="G647" t="n">
        <v>4.9</v>
      </c>
      <c r="H647" t="n">
        <v>0</v>
      </c>
      <c r="I647" t="n">
        <v>0</v>
      </c>
      <c r="J647" t="n">
        <v>0</v>
      </c>
      <c r="K647" t="n">
        <v>0</v>
      </c>
      <c r="L647" t="n">
        <v>0</v>
      </c>
      <c r="M647" t="n">
        <v>0</v>
      </c>
      <c r="N647" t="n">
        <v>0</v>
      </c>
      <c r="O647" t="n">
        <v>0</v>
      </c>
      <c r="P647" t="n">
        <v>0</v>
      </c>
      <c r="Q647" t="n">
        <v>0</v>
      </c>
      <c r="R647" s="2" t="inlineStr"/>
    </row>
    <row r="648" ht="15" customHeight="1">
      <c r="A648" t="inlineStr">
        <is>
          <t>A 46225-2024</t>
        </is>
      </c>
      <c r="B648" s="1" t="n">
        <v>45581.57333333333</v>
      </c>
      <c r="C648" s="1" t="n">
        <v>46184</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9418-2024</t>
        </is>
      </c>
      <c r="B649" s="1" t="n">
        <v>45359.45038194444</v>
      </c>
      <c r="C649" s="1" t="n">
        <v>46184</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57091-2022</t>
        </is>
      </c>
      <c r="B650" s="1" t="n">
        <v>44895.46524305556</v>
      </c>
      <c r="C650" s="1" t="n">
        <v>46184</v>
      </c>
      <c r="D650" t="inlineStr">
        <is>
          <t>KALMAR LÄN</t>
        </is>
      </c>
      <c r="E650" t="inlineStr">
        <is>
          <t>VIMMERBY</t>
        </is>
      </c>
      <c r="G650" t="n">
        <v>2.6</v>
      </c>
      <c r="H650" t="n">
        <v>0</v>
      </c>
      <c r="I650" t="n">
        <v>0</v>
      </c>
      <c r="J650" t="n">
        <v>0</v>
      </c>
      <c r="K650" t="n">
        <v>0</v>
      </c>
      <c r="L650" t="n">
        <v>0</v>
      </c>
      <c r="M650" t="n">
        <v>0</v>
      </c>
      <c r="N650" t="n">
        <v>0</v>
      </c>
      <c r="O650" t="n">
        <v>0</v>
      </c>
      <c r="P650" t="n">
        <v>0</v>
      </c>
      <c r="Q650" t="n">
        <v>0</v>
      </c>
      <c r="R650" s="2" t="inlineStr"/>
    </row>
    <row r="651" ht="15" customHeight="1">
      <c r="A651" t="inlineStr">
        <is>
          <t>A 3816-2022</t>
        </is>
      </c>
      <c r="B651" s="1" t="n">
        <v>44587</v>
      </c>
      <c r="C651" s="1" t="n">
        <v>46184</v>
      </c>
      <c r="D651" t="inlineStr">
        <is>
          <t>KALMAR LÄN</t>
        </is>
      </c>
      <c r="E651" t="inlineStr">
        <is>
          <t>VIMMERBY</t>
        </is>
      </c>
      <c r="G651" t="n">
        <v>1.2</v>
      </c>
      <c r="H651" t="n">
        <v>0</v>
      </c>
      <c r="I651" t="n">
        <v>0</v>
      </c>
      <c r="J651" t="n">
        <v>0</v>
      </c>
      <c r="K651" t="n">
        <v>0</v>
      </c>
      <c r="L651" t="n">
        <v>0</v>
      </c>
      <c r="M651" t="n">
        <v>0</v>
      </c>
      <c r="N651" t="n">
        <v>0</v>
      </c>
      <c r="O651" t="n">
        <v>0</v>
      </c>
      <c r="P651" t="n">
        <v>0</v>
      </c>
      <c r="Q651" t="n">
        <v>0</v>
      </c>
      <c r="R651" s="2" t="inlineStr"/>
    </row>
    <row r="652" ht="15" customHeight="1">
      <c r="A652" t="inlineStr">
        <is>
          <t>A 43606-2024</t>
        </is>
      </c>
      <c r="B652" s="1" t="n">
        <v>45569.45017361111</v>
      </c>
      <c r="C652" s="1" t="n">
        <v>46184</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47859-2024</t>
        </is>
      </c>
      <c r="B653" s="1" t="n">
        <v>45588.67070601852</v>
      </c>
      <c r="C653" s="1" t="n">
        <v>46184</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8540-2024</t>
        </is>
      </c>
      <c r="B654" s="1" t="n">
        <v>45355.54138888889</v>
      </c>
      <c r="C654" s="1" t="n">
        <v>46184</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16015-2025</t>
        </is>
      </c>
      <c r="B655" s="1" t="n">
        <v>45749.60487268519</v>
      </c>
      <c r="C655" s="1" t="n">
        <v>46184</v>
      </c>
      <c r="D655" t="inlineStr">
        <is>
          <t>KALMAR LÄN</t>
        </is>
      </c>
      <c r="E655" t="inlineStr">
        <is>
          <t>VIMMERBY</t>
        </is>
      </c>
      <c r="F655" t="inlineStr">
        <is>
          <t>Kyrkan</t>
        </is>
      </c>
      <c r="G655" t="n">
        <v>2.7</v>
      </c>
      <c r="H655" t="n">
        <v>0</v>
      </c>
      <c r="I655" t="n">
        <v>0</v>
      </c>
      <c r="J655" t="n">
        <v>0</v>
      </c>
      <c r="K655" t="n">
        <v>0</v>
      </c>
      <c r="L655" t="n">
        <v>0</v>
      </c>
      <c r="M655" t="n">
        <v>0</v>
      </c>
      <c r="N655" t="n">
        <v>0</v>
      </c>
      <c r="O655" t="n">
        <v>0</v>
      </c>
      <c r="P655" t="n">
        <v>0</v>
      </c>
      <c r="Q655" t="n">
        <v>0</v>
      </c>
      <c r="R655" s="2" t="inlineStr"/>
    </row>
    <row r="656" ht="15" customHeight="1">
      <c r="A656" t="inlineStr">
        <is>
          <t>A 3331-2023</t>
        </is>
      </c>
      <c r="B656" s="1" t="n">
        <v>44949</v>
      </c>
      <c r="C656" s="1" t="n">
        <v>46184</v>
      </c>
      <c r="D656" t="inlineStr">
        <is>
          <t>KALMAR LÄN</t>
        </is>
      </c>
      <c r="E656" t="inlineStr">
        <is>
          <t>VIMMERBY</t>
        </is>
      </c>
      <c r="G656" t="n">
        <v>6.2</v>
      </c>
      <c r="H656" t="n">
        <v>0</v>
      </c>
      <c r="I656" t="n">
        <v>0</v>
      </c>
      <c r="J656" t="n">
        <v>0</v>
      </c>
      <c r="K656" t="n">
        <v>0</v>
      </c>
      <c r="L656" t="n">
        <v>0</v>
      </c>
      <c r="M656" t="n">
        <v>0</v>
      </c>
      <c r="N656" t="n">
        <v>0</v>
      </c>
      <c r="O656" t="n">
        <v>0</v>
      </c>
      <c r="P656" t="n">
        <v>0</v>
      </c>
      <c r="Q656" t="n">
        <v>0</v>
      </c>
      <c r="R656" s="2" t="inlineStr"/>
    </row>
    <row r="657" ht="15" customHeight="1">
      <c r="A657" t="inlineStr">
        <is>
          <t>A 37088-2025</t>
        </is>
      </c>
      <c r="B657" s="1" t="n">
        <v>45875.45716435185</v>
      </c>
      <c r="C657" s="1" t="n">
        <v>46184</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37102-2025</t>
        </is>
      </c>
      <c r="B658" s="1" t="n">
        <v>45875.47454861111</v>
      </c>
      <c r="C658" s="1" t="n">
        <v>46184</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25799-2023</t>
        </is>
      </c>
      <c r="B659" s="1" t="n">
        <v>45090</v>
      </c>
      <c r="C659" s="1" t="n">
        <v>46184</v>
      </c>
      <c r="D659" t="inlineStr">
        <is>
          <t>KALMAR LÄN</t>
        </is>
      </c>
      <c r="E659" t="inlineStr">
        <is>
          <t>VIMMERBY</t>
        </is>
      </c>
      <c r="G659" t="n">
        <v>7.7</v>
      </c>
      <c r="H659" t="n">
        <v>0</v>
      </c>
      <c r="I659" t="n">
        <v>0</v>
      </c>
      <c r="J659" t="n">
        <v>0</v>
      </c>
      <c r="K659" t="n">
        <v>0</v>
      </c>
      <c r="L659" t="n">
        <v>0</v>
      </c>
      <c r="M659" t="n">
        <v>0</v>
      </c>
      <c r="N659" t="n">
        <v>0</v>
      </c>
      <c r="O659" t="n">
        <v>0</v>
      </c>
      <c r="P659" t="n">
        <v>0</v>
      </c>
      <c r="Q659" t="n">
        <v>0</v>
      </c>
      <c r="R659" s="2" t="inlineStr"/>
    </row>
    <row r="660" ht="15" customHeight="1">
      <c r="A660" t="inlineStr">
        <is>
          <t>A 53083-2021</t>
        </is>
      </c>
      <c r="B660" s="1" t="n">
        <v>44467.83386574074</v>
      </c>
      <c r="C660" s="1" t="n">
        <v>46184</v>
      </c>
      <c r="D660" t="inlineStr">
        <is>
          <t>KALMAR LÄN</t>
        </is>
      </c>
      <c r="E660" t="inlineStr">
        <is>
          <t>VIMMERBY</t>
        </is>
      </c>
      <c r="G660" t="n">
        <v>6.8</v>
      </c>
      <c r="H660" t="n">
        <v>0</v>
      </c>
      <c r="I660" t="n">
        <v>0</v>
      </c>
      <c r="J660" t="n">
        <v>0</v>
      </c>
      <c r="K660" t="n">
        <v>0</v>
      </c>
      <c r="L660" t="n">
        <v>0</v>
      </c>
      <c r="M660" t="n">
        <v>0</v>
      </c>
      <c r="N660" t="n">
        <v>0</v>
      </c>
      <c r="O660" t="n">
        <v>0</v>
      </c>
      <c r="P660" t="n">
        <v>0</v>
      </c>
      <c r="Q660" t="n">
        <v>0</v>
      </c>
      <c r="R660" s="2" t="inlineStr"/>
    </row>
    <row r="661" ht="15" customHeight="1">
      <c r="A661" t="inlineStr">
        <is>
          <t>A 20017-2026</t>
        </is>
      </c>
      <c r="B661" s="1" t="n">
        <v>46136.49986111111</v>
      </c>
      <c r="C661" s="1" t="n">
        <v>46184</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44790.49040509259</v>
      </c>
      <c r="C662" s="1" t="n">
        <v>46184</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44784.42528935185</v>
      </c>
      <c r="C663" s="1" t="n">
        <v>46184</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28282-2025</t>
        </is>
      </c>
      <c r="B664" s="1" t="n">
        <v>45818.58769675926</v>
      </c>
      <c r="C664" s="1" t="n">
        <v>46184</v>
      </c>
      <c r="D664" t="inlineStr">
        <is>
          <t>KALMAR LÄN</t>
        </is>
      </c>
      <c r="E664" t="inlineStr">
        <is>
          <t>VIMMERBY</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45854-2025</t>
        </is>
      </c>
      <c r="B665" s="1" t="n">
        <v>45923</v>
      </c>
      <c r="C665" s="1" t="n">
        <v>46184</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1081-2023</t>
        </is>
      </c>
      <c r="B666" s="1" t="n">
        <v>44935</v>
      </c>
      <c r="C666" s="1" t="n">
        <v>46184</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47063-2022</t>
        </is>
      </c>
      <c r="B667" s="1" t="n">
        <v>44852</v>
      </c>
      <c r="C667" s="1" t="n">
        <v>46184</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28403-2023</t>
        </is>
      </c>
      <c r="B668" s="1" t="n">
        <v>45100.85270833333</v>
      </c>
      <c r="C668" s="1" t="n">
        <v>46184</v>
      </c>
      <c r="D668" t="inlineStr">
        <is>
          <t>KALMAR LÄN</t>
        </is>
      </c>
      <c r="E668" t="inlineStr">
        <is>
          <t>VIMMERBY</t>
        </is>
      </c>
      <c r="G668" t="n">
        <v>1.8</v>
      </c>
      <c r="H668" t="n">
        <v>0</v>
      </c>
      <c r="I668" t="n">
        <v>0</v>
      </c>
      <c r="J668" t="n">
        <v>0</v>
      </c>
      <c r="K668" t="n">
        <v>0</v>
      </c>
      <c r="L668" t="n">
        <v>0</v>
      </c>
      <c r="M668" t="n">
        <v>0</v>
      </c>
      <c r="N668" t="n">
        <v>0</v>
      </c>
      <c r="O668" t="n">
        <v>0</v>
      </c>
      <c r="P668" t="n">
        <v>0</v>
      </c>
      <c r="Q668" t="n">
        <v>0</v>
      </c>
      <c r="R668" s="2" t="inlineStr"/>
    </row>
    <row r="669" ht="15" customHeight="1">
      <c r="A669" t="inlineStr">
        <is>
          <t>A 46118-2025</t>
        </is>
      </c>
      <c r="B669" s="1" t="n">
        <v>45924.57697916667</v>
      </c>
      <c r="C669" s="1" t="n">
        <v>46184</v>
      </c>
      <c r="D669" t="inlineStr">
        <is>
          <t>KALMAR LÄN</t>
        </is>
      </c>
      <c r="E669" t="inlineStr">
        <is>
          <t>VIMMERBY</t>
        </is>
      </c>
      <c r="G669" t="n">
        <v>2.9</v>
      </c>
      <c r="H669" t="n">
        <v>0</v>
      </c>
      <c r="I669" t="n">
        <v>0</v>
      </c>
      <c r="J669" t="n">
        <v>0</v>
      </c>
      <c r="K669" t="n">
        <v>0</v>
      </c>
      <c r="L669" t="n">
        <v>0</v>
      </c>
      <c r="M669" t="n">
        <v>0</v>
      </c>
      <c r="N669" t="n">
        <v>0</v>
      </c>
      <c r="O669" t="n">
        <v>0</v>
      </c>
      <c r="P669" t="n">
        <v>0</v>
      </c>
      <c r="Q669" t="n">
        <v>0</v>
      </c>
      <c r="R669" s="2" t="inlineStr"/>
    </row>
    <row r="670" ht="15" customHeight="1">
      <c r="A670" t="inlineStr">
        <is>
          <t>A 33103-2024</t>
        </is>
      </c>
      <c r="B670" s="1" t="n">
        <v>45517.8162037037</v>
      </c>
      <c r="C670" s="1" t="n">
        <v>46184</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38969-2023</t>
        </is>
      </c>
      <c r="B671" s="1" t="n">
        <v>45163.63621527778</v>
      </c>
      <c r="C671" s="1" t="n">
        <v>46184</v>
      </c>
      <c r="D671" t="inlineStr">
        <is>
          <t>KALMAR LÄN</t>
        </is>
      </c>
      <c r="E671" t="inlineStr">
        <is>
          <t>VIMMERBY</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45114-2025</t>
        </is>
      </c>
      <c r="B672" s="1" t="n">
        <v>45919.42387731482</v>
      </c>
      <c r="C672" s="1" t="n">
        <v>46184</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26254-2025</t>
        </is>
      </c>
      <c r="B673" s="1" t="n">
        <v>45805</v>
      </c>
      <c r="C673" s="1" t="n">
        <v>46184</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31876-2025</t>
        </is>
      </c>
      <c r="B674" s="1" t="n">
        <v>45834.65197916667</v>
      </c>
      <c r="C674" s="1" t="n">
        <v>46184</v>
      </c>
      <c r="D674" t="inlineStr">
        <is>
          <t>KALMAR LÄN</t>
        </is>
      </c>
      <c r="E674" t="inlineStr">
        <is>
          <t>VIMMERBY</t>
        </is>
      </c>
      <c r="F674" t="inlineStr">
        <is>
          <t>Sveaskog</t>
        </is>
      </c>
      <c r="G674" t="n">
        <v>3.3</v>
      </c>
      <c r="H674" t="n">
        <v>0</v>
      </c>
      <c r="I674" t="n">
        <v>0</v>
      </c>
      <c r="J674" t="n">
        <v>0</v>
      </c>
      <c r="K674" t="n">
        <v>0</v>
      </c>
      <c r="L674" t="n">
        <v>0</v>
      </c>
      <c r="M674" t="n">
        <v>0</v>
      </c>
      <c r="N674" t="n">
        <v>0</v>
      </c>
      <c r="O674" t="n">
        <v>0</v>
      </c>
      <c r="P674" t="n">
        <v>0</v>
      </c>
      <c r="Q674" t="n">
        <v>0</v>
      </c>
      <c r="R674" s="2" t="inlineStr"/>
    </row>
    <row r="675" ht="15" customHeight="1">
      <c r="A675" t="inlineStr">
        <is>
          <t>A 2260-2022</t>
        </is>
      </c>
      <c r="B675" s="1" t="n">
        <v>44578.62943287037</v>
      </c>
      <c r="C675" s="1" t="n">
        <v>46184</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58159-2024</t>
        </is>
      </c>
      <c r="B676" s="1" t="n">
        <v>45632.44886574074</v>
      </c>
      <c r="C676" s="1" t="n">
        <v>46184</v>
      </c>
      <c r="D676" t="inlineStr">
        <is>
          <t>KALMAR LÄN</t>
        </is>
      </c>
      <c r="E676" t="inlineStr">
        <is>
          <t>VIMMERBY</t>
        </is>
      </c>
      <c r="G676" t="n">
        <v>7.5</v>
      </c>
      <c r="H676" t="n">
        <v>0</v>
      </c>
      <c r="I676" t="n">
        <v>0</v>
      </c>
      <c r="J676" t="n">
        <v>0</v>
      </c>
      <c r="K676" t="n">
        <v>0</v>
      </c>
      <c r="L676" t="n">
        <v>0</v>
      </c>
      <c r="M676" t="n">
        <v>0</v>
      </c>
      <c r="N676" t="n">
        <v>0</v>
      </c>
      <c r="O676" t="n">
        <v>0</v>
      </c>
      <c r="P676" t="n">
        <v>0</v>
      </c>
      <c r="Q676" t="n">
        <v>0</v>
      </c>
      <c r="R676" s="2" t="inlineStr"/>
    </row>
    <row r="677" ht="15" customHeight="1">
      <c r="A677" t="inlineStr">
        <is>
          <t>A 11661-2023</t>
        </is>
      </c>
      <c r="B677" s="1" t="n">
        <v>44994.46908564815</v>
      </c>
      <c r="C677" s="1" t="n">
        <v>46184</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58046-2022</t>
        </is>
      </c>
      <c r="B678" s="1" t="n">
        <v>44900.57393518519</v>
      </c>
      <c r="C678" s="1" t="n">
        <v>46184</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45528-2021</t>
        </is>
      </c>
      <c r="B679" s="1" t="n">
        <v>44440.60415509259</v>
      </c>
      <c r="C679" s="1" t="n">
        <v>46184</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46979-2023</t>
        </is>
      </c>
      <c r="B680" s="1" t="n">
        <v>45201</v>
      </c>
      <c r="C680" s="1" t="n">
        <v>46184</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6574-2023</t>
        </is>
      </c>
      <c r="B681" s="1" t="n">
        <v>44966</v>
      </c>
      <c r="C681" s="1" t="n">
        <v>46184</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6028-2023</t>
        </is>
      </c>
      <c r="B682" s="1" t="n">
        <v>44964.44356481481</v>
      </c>
      <c r="C682" s="1" t="n">
        <v>46184</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4058-2024</t>
        </is>
      </c>
      <c r="B683" s="1" t="n">
        <v>45323.53744212963</v>
      </c>
      <c r="C683" s="1" t="n">
        <v>46184</v>
      </c>
      <c r="D683" t="inlineStr">
        <is>
          <t>KALMAR LÄN</t>
        </is>
      </c>
      <c r="E683" t="inlineStr">
        <is>
          <t>VIMMERBY</t>
        </is>
      </c>
      <c r="G683" t="n">
        <v>6.5</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44832.67608796297</v>
      </c>
      <c r="C684" s="1" t="n">
        <v>46184</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1978-2024</t>
        </is>
      </c>
      <c r="B685" s="1" t="n">
        <v>45308.59001157407</v>
      </c>
      <c r="C685" s="1" t="n">
        <v>46184</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30318-2023</t>
        </is>
      </c>
      <c r="B686" s="1" t="n">
        <v>45111.30824074074</v>
      </c>
      <c r="C686" s="1" t="n">
        <v>46184</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25234-2023</t>
        </is>
      </c>
      <c r="B687" s="1" t="n">
        <v>45086.63194444445</v>
      </c>
      <c r="C687" s="1" t="n">
        <v>46184</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46078-2023</t>
        </is>
      </c>
      <c r="B688" s="1" t="n">
        <v>45196</v>
      </c>
      <c r="C688" s="1" t="n">
        <v>46184</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3609-2024</t>
        </is>
      </c>
      <c r="B689" s="1" t="n">
        <v>45320.89128472222</v>
      </c>
      <c r="C689" s="1" t="n">
        <v>46184</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10424-2023</t>
        </is>
      </c>
      <c r="B690" s="1" t="n">
        <v>44987.54104166666</v>
      </c>
      <c r="C690" s="1" t="n">
        <v>46184</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49382-2023</t>
        </is>
      </c>
      <c r="B691" s="1" t="n">
        <v>45208</v>
      </c>
      <c r="C691" s="1" t="n">
        <v>46184</v>
      </c>
      <c r="D691" t="inlineStr">
        <is>
          <t>KALMAR LÄN</t>
        </is>
      </c>
      <c r="E691" t="inlineStr">
        <is>
          <t>VIMMERBY</t>
        </is>
      </c>
      <c r="G691" t="n">
        <v>2.2</v>
      </c>
      <c r="H691" t="n">
        <v>0</v>
      </c>
      <c r="I691" t="n">
        <v>0</v>
      </c>
      <c r="J691" t="n">
        <v>0</v>
      </c>
      <c r="K691" t="n">
        <v>0</v>
      </c>
      <c r="L691" t="n">
        <v>0</v>
      </c>
      <c r="M691" t="n">
        <v>0</v>
      </c>
      <c r="N691" t="n">
        <v>0</v>
      </c>
      <c r="O691" t="n">
        <v>0</v>
      </c>
      <c r="P691" t="n">
        <v>0</v>
      </c>
      <c r="Q691" t="n">
        <v>0</v>
      </c>
      <c r="R691" s="2" t="inlineStr"/>
    </row>
    <row r="692" ht="15" customHeight="1">
      <c r="A692" t="inlineStr">
        <is>
          <t>A 12810-2023</t>
        </is>
      </c>
      <c r="B692" s="1" t="n">
        <v>45001.43854166667</v>
      </c>
      <c r="C692" s="1" t="n">
        <v>46184</v>
      </c>
      <c r="D692" t="inlineStr">
        <is>
          <t>KALMAR LÄN</t>
        </is>
      </c>
      <c r="E692" t="inlineStr">
        <is>
          <t>VIMMERBY</t>
        </is>
      </c>
      <c r="G692" t="n">
        <v>1.5</v>
      </c>
      <c r="H692" t="n">
        <v>0</v>
      </c>
      <c r="I692" t="n">
        <v>0</v>
      </c>
      <c r="J692" t="n">
        <v>0</v>
      </c>
      <c r="K692" t="n">
        <v>0</v>
      </c>
      <c r="L692" t="n">
        <v>0</v>
      </c>
      <c r="M692" t="n">
        <v>0</v>
      </c>
      <c r="N692" t="n">
        <v>0</v>
      </c>
      <c r="O692" t="n">
        <v>0</v>
      </c>
      <c r="P692" t="n">
        <v>0</v>
      </c>
      <c r="Q692" t="n">
        <v>0</v>
      </c>
      <c r="R692" s="2" t="inlineStr"/>
    </row>
    <row r="693" ht="15" customHeight="1">
      <c r="A693" t="inlineStr">
        <is>
          <t>A 23394-2025</t>
        </is>
      </c>
      <c r="B693" s="1" t="n">
        <v>45791.89865740741</v>
      </c>
      <c r="C693" s="1" t="n">
        <v>46184</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3425-2022</t>
        </is>
      </c>
      <c r="B694" s="1" t="n">
        <v>44585.51060185185</v>
      </c>
      <c r="C694" s="1" t="n">
        <v>46184</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60675-2023</t>
        </is>
      </c>
      <c r="B695" s="1" t="n">
        <v>45260.4716550926</v>
      </c>
      <c r="C695" s="1" t="n">
        <v>46184</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2536-2023</t>
        </is>
      </c>
      <c r="B696" s="1" t="n">
        <v>44943.62954861111</v>
      </c>
      <c r="C696" s="1" t="n">
        <v>46184</v>
      </c>
      <c r="D696" t="inlineStr">
        <is>
          <t>KALMAR LÄN</t>
        </is>
      </c>
      <c r="E696" t="inlineStr">
        <is>
          <t>VIMMERBY</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11111-2024</t>
        </is>
      </c>
      <c r="B697" s="1" t="n">
        <v>45371.36359953704</v>
      </c>
      <c r="C697" s="1" t="n">
        <v>46184</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1687-2023</t>
        </is>
      </c>
      <c r="B698" s="1" t="n">
        <v>44938</v>
      </c>
      <c r="C698" s="1" t="n">
        <v>46184</v>
      </c>
      <c r="D698" t="inlineStr">
        <is>
          <t>KALMAR LÄN</t>
        </is>
      </c>
      <c r="E698" t="inlineStr">
        <is>
          <t>VIMMERBY</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3494-2023</t>
        </is>
      </c>
      <c r="B699" s="1" t="n">
        <v>44949</v>
      </c>
      <c r="C699" s="1" t="n">
        <v>46184</v>
      </c>
      <c r="D699" t="inlineStr">
        <is>
          <t>KALMAR LÄN</t>
        </is>
      </c>
      <c r="E699" t="inlineStr">
        <is>
          <t>VIMMERBY</t>
        </is>
      </c>
      <c r="F699" t="inlineStr">
        <is>
          <t>Kyrkan</t>
        </is>
      </c>
      <c r="G699" t="n">
        <v>0.8</v>
      </c>
      <c r="H699" t="n">
        <v>0</v>
      </c>
      <c r="I699" t="n">
        <v>0</v>
      </c>
      <c r="J699" t="n">
        <v>0</v>
      </c>
      <c r="K699" t="n">
        <v>0</v>
      </c>
      <c r="L699" t="n">
        <v>0</v>
      </c>
      <c r="M699" t="n">
        <v>0</v>
      </c>
      <c r="N699" t="n">
        <v>0</v>
      </c>
      <c r="O699" t="n">
        <v>0</v>
      </c>
      <c r="P699" t="n">
        <v>0</v>
      </c>
      <c r="Q699" t="n">
        <v>0</v>
      </c>
      <c r="R699" s="2" t="inlineStr"/>
    </row>
    <row r="700" ht="15" customHeight="1">
      <c r="A700" t="inlineStr">
        <is>
          <t>A 26462-2026</t>
        </is>
      </c>
      <c r="B700" s="1" t="n">
        <v>46183.49494212963</v>
      </c>
      <c r="C700" s="1" t="n">
        <v>46184</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15449-2023</t>
        </is>
      </c>
      <c r="B701" s="1" t="n">
        <v>45020</v>
      </c>
      <c r="C701" s="1" t="n">
        <v>46184</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19111-2025</t>
        </is>
      </c>
      <c r="B702" s="1" t="n">
        <v>45768.65611111111</v>
      </c>
      <c r="C702" s="1" t="n">
        <v>46184</v>
      </c>
      <c r="D702" t="inlineStr">
        <is>
          <t>KALMAR LÄN</t>
        </is>
      </c>
      <c r="E702" t="inlineStr">
        <is>
          <t>VIMMERBY</t>
        </is>
      </c>
      <c r="G702" t="n">
        <v>6.2</v>
      </c>
      <c r="H702" t="n">
        <v>0</v>
      </c>
      <c r="I702" t="n">
        <v>0</v>
      </c>
      <c r="J702" t="n">
        <v>0</v>
      </c>
      <c r="K702" t="n">
        <v>0</v>
      </c>
      <c r="L702" t="n">
        <v>0</v>
      </c>
      <c r="M702" t="n">
        <v>0</v>
      </c>
      <c r="N702" t="n">
        <v>0</v>
      </c>
      <c r="O702" t="n">
        <v>0</v>
      </c>
      <c r="P702" t="n">
        <v>0</v>
      </c>
      <c r="Q702" t="n">
        <v>0</v>
      </c>
      <c r="R702" s="2" t="inlineStr"/>
    </row>
    <row r="703" ht="15" customHeight="1">
      <c r="A703" t="inlineStr">
        <is>
          <t>A 43242-2024</t>
        </is>
      </c>
      <c r="B703" s="1" t="n">
        <v>45568.30189814815</v>
      </c>
      <c r="C703" s="1" t="n">
        <v>46184</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56853-2022</t>
        </is>
      </c>
      <c r="B704" s="1" t="n">
        <v>44894.49538194444</v>
      </c>
      <c r="C704" s="1" t="n">
        <v>46184</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33815-2022</t>
        </is>
      </c>
      <c r="B705" s="1" t="n">
        <v>44790.45876157407</v>
      </c>
      <c r="C705" s="1" t="n">
        <v>46184</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33842-2022</t>
        </is>
      </c>
      <c r="B706" s="1" t="n">
        <v>44790.49523148148</v>
      </c>
      <c r="C706" s="1" t="n">
        <v>46184</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49408-2023</t>
        </is>
      </c>
      <c r="B707" s="1" t="n">
        <v>45211.43555555555</v>
      </c>
      <c r="C707" s="1" t="n">
        <v>46184</v>
      </c>
      <c r="D707" t="inlineStr">
        <is>
          <t>KALMAR LÄN</t>
        </is>
      </c>
      <c r="E707" t="inlineStr">
        <is>
          <t>VIMMERBY</t>
        </is>
      </c>
      <c r="G707" t="n">
        <v>13.1</v>
      </c>
      <c r="H707" t="n">
        <v>0</v>
      </c>
      <c r="I707" t="n">
        <v>0</v>
      </c>
      <c r="J707" t="n">
        <v>0</v>
      </c>
      <c r="K707" t="n">
        <v>0</v>
      </c>
      <c r="L707" t="n">
        <v>0</v>
      </c>
      <c r="M707" t="n">
        <v>0</v>
      </c>
      <c r="N707" t="n">
        <v>0</v>
      </c>
      <c r="O707" t="n">
        <v>0</v>
      </c>
      <c r="P707" t="n">
        <v>0</v>
      </c>
      <c r="Q707" t="n">
        <v>0</v>
      </c>
      <c r="R707" s="2" t="inlineStr"/>
    </row>
    <row r="708" ht="15" customHeight="1">
      <c r="A708" t="inlineStr">
        <is>
          <t>A 56536-2022</t>
        </is>
      </c>
      <c r="B708" s="1" t="n">
        <v>44893</v>
      </c>
      <c r="C708" s="1" t="n">
        <v>46184</v>
      </c>
      <c r="D708" t="inlineStr">
        <is>
          <t>KALMAR LÄN</t>
        </is>
      </c>
      <c r="E708" t="inlineStr">
        <is>
          <t>VIMMERBY</t>
        </is>
      </c>
      <c r="G708" t="n">
        <v>3.2</v>
      </c>
      <c r="H708" t="n">
        <v>0</v>
      </c>
      <c r="I708" t="n">
        <v>0</v>
      </c>
      <c r="J708" t="n">
        <v>0</v>
      </c>
      <c r="K708" t="n">
        <v>0</v>
      </c>
      <c r="L708" t="n">
        <v>0</v>
      </c>
      <c r="M708" t="n">
        <v>0</v>
      </c>
      <c r="N708" t="n">
        <v>0</v>
      </c>
      <c r="O708" t="n">
        <v>0</v>
      </c>
      <c r="P708" t="n">
        <v>0</v>
      </c>
      <c r="Q708" t="n">
        <v>0</v>
      </c>
      <c r="R708" s="2" t="inlineStr"/>
    </row>
    <row r="709" ht="15" customHeight="1">
      <c r="A709" t="inlineStr">
        <is>
          <t>A 41199-2023</t>
        </is>
      </c>
      <c r="B709" s="1" t="n">
        <v>45174.40454861111</v>
      </c>
      <c r="C709" s="1" t="n">
        <v>46184</v>
      </c>
      <c r="D709" t="inlineStr">
        <is>
          <t>KALMAR LÄN</t>
        </is>
      </c>
      <c r="E709" t="inlineStr">
        <is>
          <t>VIMMERBY</t>
        </is>
      </c>
      <c r="G709" t="n">
        <v>1.3</v>
      </c>
      <c r="H709" t="n">
        <v>0</v>
      </c>
      <c r="I709" t="n">
        <v>0</v>
      </c>
      <c r="J709" t="n">
        <v>0</v>
      </c>
      <c r="K709" t="n">
        <v>0</v>
      </c>
      <c r="L709" t="n">
        <v>0</v>
      </c>
      <c r="M709" t="n">
        <v>0</v>
      </c>
      <c r="N709" t="n">
        <v>0</v>
      </c>
      <c r="O709" t="n">
        <v>0</v>
      </c>
      <c r="P709" t="n">
        <v>0</v>
      </c>
      <c r="Q709" t="n">
        <v>0</v>
      </c>
      <c r="R709" s="2" t="inlineStr"/>
    </row>
    <row r="710" ht="15" customHeight="1">
      <c r="A710" t="inlineStr">
        <is>
          <t>A 11619-2023</t>
        </is>
      </c>
      <c r="B710" s="1" t="n">
        <v>44994.42113425926</v>
      </c>
      <c r="C710" s="1" t="n">
        <v>46184</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41896-2023</t>
        </is>
      </c>
      <c r="B711" s="1" t="n">
        <v>45176.72427083334</v>
      </c>
      <c r="C711" s="1" t="n">
        <v>46184</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17926-2025</t>
        </is>
      </c>
      <c r="B712" s="1" t="n">
        <v>45759.38987268518</v>
      </c>
      <c r="C712" s="1" t="n">
        <v>46184</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21028-2023</t>
        </is>
      </c>
      <c r="B713" s="1" t="n">
        <v>45061</v>
      </c>
      <c r="C713" s="1" t="n">
        <v>46184</v>
      </c>
      <c r="D713" t="inlineStr">
        <is>
          <t>KALMAR LÄN</t>
        </is>
      </c>
      <c r="E713" t="inlineStr">
        <is>
          <t>VIMMERBY</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27122-2023</t>
        </is>
      </c>
      <c r="B714" s="1" t="n">
        <v>45096.45247685185</v>
      </c>
      <c r="C714" s="1" t="n">
        <v>46184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13813-2024</t>
        </is>
      </c>
      <c r="B715" s="1" t="n">
        <v>45391.41310185185</v>
      </c>
      <c r="C715" s="1" t="n">
        <v>46184</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57486-2024</t>
        </is>
      </c>
      <c r="B716" s="1" t="n">
        <v>45630.35827546296</v>
      </c>
      <c r="C716" s="1" t="n">
        <v>46184</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43186-2021</t>
        </is>
      </c>
      <c r="B717" s="1" t="n">
        <v>44431.84840277778</v>
      </c>
      <c r="C717" s="1" t="n">
        <v>46184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30063-2023</t>
        </is>
      </c>
      <c r="B718" s="1" t="n">
        <v>45110.4184375</v>
      </c>
      <c r="C718" s="1" t="n">
        <v>46184</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43068-2023</t>
        </is>
      </c>
      <c r="B719" s="1" t="n">
        <v>45182.78834490741</v>
      </c>
      <c r="C719" s="1" t="n">
        <v>46184</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18020-2025</t>
        </is>
      </c>
      <c r="B720" s="1" t="n">
        <v>45761.4437962963</v>
      </c>
      <c r="C720" s="1" t="n">
        <v>46184</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33424-2023</t>
        </is>
      </c>
      <c r="B721" s="1" t="n">
        <v>45128.9325</v>
      </c>
      <c r="C721" s="1" t="n">
        <v>46184</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33425-2023</t>
        </is>
      </c>
      <c r="B722" s="1" t="n">
        <v>45128.93540509259</v>
      </c>
      <c r="C722" s="1" t="n">
        <v>46184</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12327-2023</t>
        </is>
      </c>
      <c r="B723" s="1" t="n">
        <v>44999.36081018519</v>
      </c>
      <c r="C723" s="1" t="n">
        <v>46184</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52435-2021</t>
        </is>
      </c>
      <c r="B724" s="1" t="n">
        <v>44466.34962962963</v>
      </c>
      <c r="C724" s="1" t="n">
        <v>46184</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35127-2024</t>
        </is>
      </c>
      <c r="B725" s="1" t="n">
        <v>45530.33202546297</v>
      </c>
      <c r="C725" s="1" t="n">
        <v>46184</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29441-2024</t>
        </is>
      </c>
      <c r="B726" s="1" t="n">
        <v>45483.82834490741</v>
      </c>
      <c r="C726" s="1" t="n">
        <v>46184</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62779-2023</t>
        </is>
      </c>
      <c r="B727" s="1" t="n">
        <v>45271.66576388889</v>
      </c>
      <c r="C727" s="1" t="n">
        <v>46184</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31013-2023</t>
        </is>
      </c>
      <c r="B728" s="1" t="n">
        <v>45113.56574074074</v>
      </c>
      <c r="C728" s="1" t="n">
        <v>46184</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72067-2021</t>
        </is>
      </c>
      <c r="B729" s="1" t="n">
        <v>44540</v>
      </c>
      <c r="C729" s="1" t="n">
        <v>46184</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44916.55414351852</v>
      </c>
      <c r="C730" s="1" t="n">
        <v>46184</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36155-2023</t>
        </is>
      </c>
      <c r="B731" s="1" t="n">
        <v>45149.60917824074</v>
      </c>
      <c r="C731" s="1" t="n">
        <v>46184</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29173-2024</t>
        </is>
      </c>
      <c r="B732" s="1" t="n">
        <v>45482.52887731481</v>
      </c>
      <c r="C732" s="1" t="n">
        <v>46184</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53542-2022</t>
        </is>
      </c>
      <c r="B733" s="1" t="n">
        <v>44879.62173611111</v>
      </c>
      <c r="C733" s="1" t="n">
        <v>46184</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6807-2025</t>
        </is>
      </c>
      <c r="B734" s="1" t="n">
        <v>45700.68672453704</v>
      </c>
      <c r="C734" s="1" t="n">
        <v>46184</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7047-2022</t>
        </is>
      </c>
      <c r="B735" s="1" t="n">
        <v>44603</v>
      </c>
      <c r="C735" s="1" t="n">
        <v>46184</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35711-2023</t>
        </is>
      </c>
      <c r="B736" s="1" t="n">
        <v>45147.67172453704</v>
      </c>
      <c r="C736" s="1" t="n">
        <v>46184</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5382-2023</t>
        </is>
      </c>
      <c r="B737" s="1" t="n">
        <v>44959.66407407408</v>
      </c>
      <c r="C737" s="1" t="n">
        <v>46184</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40823-2023</t>
        </is>
      </c>
      <c r="B738" s="1" t="n">
        <v>45171.77335648148</v>
      </c>
      <c r="C738" s="1" t="n">
        <v>46184</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30920-2023</t>
        </is>
      </c>
      <c r="B739" s="1" t="n">
        <v>45113.43921296296</v>
      </c>
      <c r="C739" s="1" t="n">
        <v>46184</v>
      </c>
      <c r="D739" t="inlineStr">
        <is>
          <t>KALMAR LÄN</t>
        </is>
      </c>
      <c r="E739" t="inlineStr">
        <is>
          <t>VIMMERBY</t>
        </is>
      </c>
      <c r="G739" t="n">
        <v>3.1</v>
      </c>
      <c r="H739" t="n">
        <v>0</v>
      </c>
      <c r="I739" t="n">
        <v>0</v>
      </c>
      <c r="J739" t="n">
        <v>0</v>
      </c>
      <c r="K739" t="n">
        <v>0</v>
      </c>
      <c r="L739" t="n">
        <v>0</v>
      </c>
      <c r="M739" t="n">
        <v>0</v>
      </c>
      <c r="N739" t="n">
        <v>0</v>
      </c>
      <c r="O739" t="n">
        <v>0</v>
      </c>
      <c r="P739" t="n">
        <v>0</v>
      </c>
      <c r="Q739" t="n">
        <v>0</v>
      </c>
      <c r="R739" s="2" t="inlineStr"/>
    </row>
    <row r="740" ht="15" customHeight="1">
      <c r="A740" t="inlineStr">
        <is>
          <t>A 6857-2023</t>
        </is>
      </c>
      <c r="B740" s="1" t="n">
        <v>44967.45122685185</v>
      </c>
      <c r="C740" s="1" t="n">
        <v>46184</v>
      </c>
      <c r="D740" t="inlineStr">
        <is>
          <t>KALMAR LÄN</t>
        </is>
      </c>
      <c r="E740" t="inlineStr">
        <is>
          <t>VIMMERBY</t>
        </is>
      </c>
      <c r="G740" t="n">
        <v>2.1</v>
      </c>
      <c r="H740" t="n">
        <v>0</v>
      </c>
      <c r="I740" t="n">
        <v>0</v>
      </c>
      <c r="J740" t="n">
        <v>0</v>
      </c>
      <c r="K740" t="n">
        <v>0</v>
      </c>
      <c r="L740" t="n">
        <v>0</v>
      </c>
      <c r="M740" t="n">
        <v>0</v>
      </c>
      <c r="N740" t="n">
        <v>0</v>
      </c>
      <c r="O740" t="n">
        <v>0</v>
      </c>
      <c r="P740" t="n">
        <v>0</v>
      </c>
      <c r="Q740" t="n">
        <v>0</v>
      </c>
      <c r="R740" s="2" t="inlineStr"/>
    </row>
    <row r="741" ht="15" customHeight="1">
      <c r="A741" t="inlineStr">
        <is>
          <t>A 5792-2023</t>
        </is>
      </c>
      <c r="B741" s="1" t="n">
        <v>44963.44769675926</v>
      </c>
      <c r="C741" s="1" t="n">
        <v>46184</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10303-2025</t>
        </is>
      </c>
      <c r="B742" s="1" t="n">
        <v>45720.44217592593</v>
      </c>
      <c r="C742" s="1" t="n">
        <v>46184</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60110-2022</t>
        </is>
      </c>
      <c r="B743" s="1" t="n">
        <v>44909</v>
      </c>
      <c r="C743" s="1" t="n">
        <v>46184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6474-2025</t>
        </is>
      </c>
      <c r="B744" s="1" t="n">
        <v>45699.60055555555</v>
      </c>
      <c r="C744" s="1" t="n">
        <v>46184</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32919-2022</t>
        </is>
      </c>
      <c r="B745" s="1" t="n">
        <v>44784.62724537037</v>
      </c>
      <c r="C745" s="1" t="n">
        <v>46184</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56659-2023</t>
        </is>
      </c>
      <c r="B746" s="1" t="n">
        <v>45243.84869212963</v>
      </c>
      <c r="C746" s="1" t="n">
        <v>46184</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13015-2022</t>
        </is>
      </c>
      <c r="B747" s="1" t="n">
        <v>44643</v>
      </c>
      <c r="C747" s="1" t="n">
        <v>46184</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55436-2023</t>
        </is>
      </c>
      <c r="B748" s="1" t="n">
        <v>45238.4328587963</v>
      </c>
      <c r="C748" s="1" t="n">
        <v>46184</v>
      </c>
      <c r="D748" t="inlineStr">
        <is>
          <t>KALMAR LÄN</t>
        </is>
      </c>
      <c r="E748" t="inlineStr">
        <is>
          <t>VIMMERBY</t>
        </is>
      </c>
      <c r="G748" t="n">
        <v>5.6</v>
      </c>
      <c r="H748" t="n">
        <v>0</v>
      </c>
      <c r="I748" t="n">
        <v>0</v>
      </c>
      <c r="J748" t="n">
        <v>0</v>
      </c>
      <c r="K748" t="n">
        <v>0</v>
      </c>
      <c r="L748" t="n">
        <v>0</v>
      </c>
      <c r="M748" t="n">
        <v>0</v>
      </c>
      <c r="N748" t="n">
        <v>0</v>
      </c>
      <c r="O748" t="n">
        <v>0</v>
      </c>
      <c r="P748" t="n">
        <v>0</v>
      </c>
      <c r="Q748" t="n">
        <v>0</v>
      </c>
      <c r="R748" s="2" t="inlineStr"/>
    </row>
    <row r="749" ht="15" customHeight="1">
      <c r="A749" t="inlineStr">
        <is>
          <t>A 56582-2022</t>
        </is>
      </c>
      <c r="B749" s="1" t="n">
        <v>44893</v>
      </c>
      <c r="C749" s="1" t="n">
        <v>46184</v>
      </c>
      <c r="D749" t="inlineStr">
        <is>
          <t>KALMAR LÄN</t>
        </is>
      </c>
      <c r="E749" t="inlineStr">
        <is>
          <t>VIMMERBY</t>
        </is>
      </c>
      <c r="G749" t="n">
        <v>2.2</v>
      </c>
      <c r="H749" t="n">
        <v>0</v>
      </c>
      <c r="I749" t="n">
        <v>0</v>
      </c>
      <c r="J749" t="n">
        <v>0</v>
      </c>
      <c r="K749" t="n">
        <v>0</v>
      </c>
      <c r="L749" t="n">
        <v>0</v>
      </c>
      <c r="M749" t="n">
        <v>0</v>
      </c>
      <c r="N749" t="n">
        <v>0</v>
      </c>
      <c r="O749" t="n">
        <v>0</v>
      </c>
      <c r="P749" t="n">
        <v>0</v>
      </c>
      <c r="Q749" t="n">
        <v>0</v>
      </c>
      <c r="R749" s="2" t="inlineStr"/>
    </row>
    <row r="750" ht="15" customHeight="1">
      <c r="A750" t="inlineStr">
        <is>
          <t>A 43962-2024</t>
        </is>
      </c>
      <c r="B750" s="1" t="n">
        <v>45572.48293981481</v>
      </c>
      <c r="C750" s="1" t="n">
        <v>46184</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35713-2023</t>
        </is>
      </c>
      <c r="B751" s="1" t="n">
        <v>45147</v>
      </c>
      <c r="C751" s="1" t="n">
        <v>46184</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40147-2023</t>
        </is>
      </c>
      <c r="B752" s="1" t="n">
        <v>45169</v>
      </c>
      <c r="C752" s="1" t="n">
        <v>46184</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50995-2022</t>
        </is>
      </c>
      <c r="B753" s="1" t="n">
        <v>44867</v>
      </c>
      <c r="C753" s="1" t="n">
        <v>46184</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27993-2022</t>
        </is>
      </c>
      <c r="B754" s="1" t="n">
        <v>44745.84396990741</v>
      </c>
      <c r="C754" s="1" t="n">
        <v>46184</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57555-2024</t>
        </is>
      </c>
      <c r="B755" s="1" t="n">
        <v>45630.45069444444</v>
      </c>
      <c r="C755" s="1" t="n">
        <v>46184</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36014-2024</t>
        </is>
      </c>
      <c r="B756" s="1" t="n">
        <v>45533.56108796296</v>
      </c>
      <c r="C756" s="1" t="n">
        <v>46184</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36030-2024</t>
        </is>
      </c>
      <c r="B757" s="1" t="n">
        <v>45533.58302083334</v>
      </c>
      <c r="C757" s="1" t="n">
        <v>46184</v>
      </c>
      <c r="D757" t="inlineStr">
        <is>
          <t>KALMAR LÄN</t>
        </is>
      </c>
      <c r="E757" t="inlineStr">
        <is>
          <t>VIMMERBY</t>
        </is>
      </c>
      <c r="F757" t="inlineStr">
        <is>
          <t>Kommuner</t>
        </is>
      </c>
      <c r="G757" t="n">
        <v>4</v>
      </c>
      <c r="H757" t="n">
        <v>0</v>
      </c>
      <c r="I757" t="n">
        <v>0</v>
      </c>
      <c r="J757" t="n">
        <v>0</v>
      </c>
      <c r="K757" t="n">
        <v>0</v>
      </c>
      <c r="L757" t="n">
        <v>0</v>
      </c>
      <c r="M757" t="n">
        <v>0</v>
      </c>
      <c r="N757" t="n">
        <v>0</v>
      </c>
      <c r="O757" t="n">
        <v>0</v>
      </c>
      <c r="P757" t="n">
        <v>0</v>
      </c>
      <c r="Q757" t="n">
        <v>0</v>
      </c>
      <c r="R757" s="2" t="inlineStr"/>
    </row>
    <row r="758">
      <c r="A758" t="inlineStr">
        <is>
          <t>A 32865-2023</t>
        </is>
      </c>
      <c r="B758" s="1" t="n">
        <v>45124</v>
      </c>
      <c r="C758" s="1" t="n">
        <v>46184</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2026-06-11T09:25:41Z</dcterms:created>
  <dcterms:modified xmlns:dcterms="http://purl.org/dc/terms/" xmlns:xsi="http://www.w3.org/2001/XMLSchema-instance" xsi:type="dcterms:W3CDTF">2026-06-11T09:25:42Z</dcterms:modified>
</cp:coreProperties>
</file>