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45958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45958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45958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45958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45958</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45958</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45958</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45958</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45958</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45958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45958</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45958</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45958</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45958</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45958</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45958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45958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45958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45958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45958</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22396-2025</t>
        </is>
      </c>
      <c r="B24" s="1" t="n">
        <v>45786.52827546297</v>
      </c>
      <c r="C24" s="1" t="n">
        <v>45958</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40684-2025</t>
        </is>
      </c>
      <c r="B25" s="1" t="n">
        <v>45896.86820601852</v>
      </c>
      <c r="C25" s="1" t="n">
        <v>45958</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45958</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22825-2023</t>
        </is>
      </c>
      <c r="B27" s="1" t="n">
        <v>45072</v>
      </c>
      <c r="C27" s="1" t="n">
        <v>45958</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45958</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17935-2025</t>
        </is>
      </c>
      <c r="B29" s="1" t="n">
        <v>45760.34877314815</v>
      </c>
      <c r="C29" s="1" t="n">
        <v>45958</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45958</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32396-2021</t>
        </is>
      </c>
      <c r="B31" s="1" t="n">
        <v>44371</v>
      </c>
      <c r="C31" s="1" t="n">
        <v>45958</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45958</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45958</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6841-2021</t>
        </is>
      </c>
      <c r="B34" s="1" t="n">
        <v>44236</v>
      </c>
      <c r="C34" s="1" t="n">
        <v>45958</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52301-2023</t>
        </is>
      </c>
      <c r="B35" s="1" t="n">
        <v>45224</v>
      </c>
      <c r="C35" s="1" t="n">
        <v>45958</v>
      </c>
      <c r="D35" t="inlineStr">
        <is>
          <t>KALMAR LÄN</t>
        </is>
      </c>
      <c r="E35" t="inlineStr">
        <is>
          <t>VIMMERBY</t>
        </is>
      </c>
      <c r="G35" t="n">
        <v>5.3</v>
      </c>
      <c r="H35" t="n">
        <v>0</v>
      </c>
      <c r="I35" t="n">
        <v>0</v>
      </c>
      <c r="J35" t="n">
        <v>0</v>
      </c>
      <c r="K35" t="n">
        <v>0</v>
      </c>
      <c r="L35" t="n">
        <v>1</v>
      </c>
      <c r="M35" t="n">
        <v>0</v>
      </c>
      <c r="N35" t="n">
        <v>0</v>
      </c>
      <c r="O35" t="n">
        <v>1</v>
      </c>
      <c r="P35" t="n">
        <v>1</v>
      </c>
      <c r="Q35" t="n">
        <v>1</v>
      </c>
      <c r="R35" s="2" t="inlineStr">
        <is>
          <t>Ask</t>
        </is>
      </c>
      <c r="S35">
        <f>HYPERLINK("https://klasma.github.io/Logging_0884/artfynd/A 52301-2023 artfynd.xlsx", "A 52301-2023")</f>
        <v/>
      </c>
      <c r="T35">
        <f>HYPERLINK("https://klasma.github.io/Logging_0884/kartor/A 52301-2023 karta.png", "A 52301-2023")</f>
        <v/>
      </c>
      <c r="V35">
        <f>HYPERLINK("https://klasma.github.io/Logging_0884/klagomål/A 52301-2023 FSC-klagomål.docx", "A 52301-2023")</f>
        <v/>
      </c>
      <c r="W35">
        <f>HYPERLINK("https://klasma.github.io/Logging_0884/klagomålsmail/A 52301-2023 FSC-klagomål mail.docx", "A 52301-2023")</f>
        <v/>
      </c>
      <c r="X35">
        <f>HYPERLINK("https://klasma.github.io/Logging_0884/tillsyn/A 52301-2023 tillsynsbegäran.docx", "A 52301-2023")</f>
        <v/>
      </c>
      <c r="Y35">
        <f>HYPERLINK("https://klasma.github.io/Logging_0884/tillsynsmail/A 52301-2023 tillsynsbegäran mail.docx", "A 52301-2023")</f>
        <v/>
      </c>
    </row>
    <row r="36" ht="15" customHeight="1">
      <c r="A36" t="inlineStr">
        <is>
          <t>A 1201-2025</t>
        </is>
      </c>
      <c r="B36" s="1" t="n">
        <v>45667</v>
      </c>
      <c r="C36" s="1" t="n">
        <v>45958</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38602-2025</t>
        </is>
      </c>
      <c r="B37" s="1" t="n">
        <v>45884.50331018519</v>
      </c>
      <c r="C37" s="1" t="n">
        <v>45958</v>
      </c>
      <c r="D37" t="inlineStr">
        <is>
          <t>KALMAR LÄN</t>
        </is>
      </c>
      <c r="E37" t="inlineStr">
        <is>
          <t>VIMMERBY</t>
        </is>
      </c>
      <c r="F37" t="inlineStr">
        <is>
          <t>Sveaskog</t>
        </is>
      </c>
      <c r="G37" t="n">
        <v>4.9</v>
      </c>
      <c r="H37" t="n">
        <v>1</v>
      </c>
      <c r="I37" t="n">
        <v>0</v>
      </c>
      <c r="J37" t="n">
        <v>0</v>
      </c>
      <c r="K37" t="n">
        <v>1</v>
      </c>
      <c r="L37" t="n">
        <v>0</v>
      </c>
      <c r="M37" t="n">
        <v>0</v>
      </c>
      <c r="N37" t="n">
        <v>0</v>
      </c>
      <c r="O37" t="n">
        <v>1</v>
      </c>
      <c r="P37" t="n">
        <v>1</v>
      </c>
      <c r="Q37" t="n">
        <v>1</v>
      </c>
      <c r="R37" s="2" t="inlineStr">
        <is>
          <t>Knärot</t>
        </is>
      </c>
      <c r="S37">
        <f>HYPERLINK("https://klasma.github.io/Logging_0884/artfynd/A 38602-2025 artfynd.xlsx", "A 38602-2025")</f>
        <v/>
      </c>
      <c r="T37">
        <f>HYPERLINK("https://klasma.github.io/Logging_0884/kartor/A 38602-2025 karta.png", "A 38602-2025")</f>
        <v/>
      </c>
      <c r="U37">
        <f>HYPERLINK("https://klasma.github.io/Logging_0884/knärot/A 38602-2025 karta knärot.png", "A 38602-2025")</f>
        <v/>
      </c>
      <c r="V37">
        <f>HYPERLINK("https://klasma.github.io/Logging_0884/klagomål/A 38602-2025 FSC-klagomål.docx", "A 38602-2025")</f>
        <v/>
      </c>
      <c r="W37">
        <f>HYPERLINK("https://klasma.github.io/Logging_0884/klagomålsmail/A 38602-2025 FSC-klagomål mail.docx", "A 38602-2025")</f>
        <v/>
      </c>
      <c r="X37">
        <f>HYPERLINK("https://klasma.github.io/Logging_0884/tillsyn/A 38602-2025 tillsynsbegäran.docx", "A 38602-2025")</f>
        <v/>
      </c>
      <c r="Y37">
        <f>HYPERLINK("https://klasma.github.io/Logging_0884/tillsynsmail/A 38602-2025 tillsynsbegäran mail.docx", "A 38602-2025")</f>
        <v/>
      </c>
    </row>
    <row r="38" ht="15" customHeight="1">
      <c r="A38" t="inlineStr">
        <is>
          <t>A 61860-2024</t>
        </is>
      </c>
      <c r="B38" s="1" t="n">
        <v>45649</v>
      </c>
      <c r="C38" s="1" t="n">
        <v>45958</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40083-2023</t>
        </is>
      </c>
      <c r="B39" s="1" t="n">
        <v>45168</v>
      </c>
      <c r="C39" s="1" t="n">
        <v>45958</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45958</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29183-2025</t>
        </is>
      </c>
      <c r="B41" s="1" t="n">
        <v>45821</v>
      </c>
      <c r="C41" s="1" t="n">
        <v>45958</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23602-2023</t>
        </is>
      </c>
      <c r="B42" s="1" t="n">
        <v>45077</v>
      </c>
      <c r="C42" s="1" t="n">
        <v>45958</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37930-2021</t>
        </is>
      </c>
      <c r="B43" s="1" t="n">
        <v>44403</v>
      </c>
      <c r="C43" s="1" t="n">
        <v>45958</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33436-2021</t>
        </is>
      </c>
      <c r="B44" s="1" t="n">
        <v>44377.61104166666</v>
      </c>
      <c r="C44" s="1" t="n">
        <v>45958</v>
      </c>
      <c r="D44" t="inlineStr">
        <is>
          <t>KALMAR LÄN</t>
        </is>
      </c>
      <c r="E44" t="inlineStr">
        <is>
          <t>VIMMERBY</t>
        </is>
      </c>
      <c r="G44" t="n">
        <v>11.8</v>
      </c>
      <c r="H44" t="n">
        <v>1</v>
      </c>
      <c r="I44" t="n">
        <v>0</v>
      </c>
      <c r="J44" t="n">
        <v>0</v>
      </c>
      <c r="K44" t="n">
        <v>1</v>
      </c>
      <c r="L44" t="n">
        <v>0</v>
      </c>
      <c r="M44" t="n">
        <v>0</v>
      </c>
      <c r="N44" t="n">
        <v>0</v>
      </c>
      <c r="O44" t="n">
        <v>1</v>
      </c>
      <c r="P44" t="n">
        <v>1</v>
      </c>
      <c r="Q44" t="n">
        <v>1</v>
      </c>
      <c r="R44" s="2" t="inlineStr">
        <is>
          <t>Knärot</t>
        </is>
      </c>
      <c r="S44">
        <f>HYPERLINK("https://klasma.github.io/Logging_0884/artfynd/A 33436-2021 artfynd.xlsx", "A 33436-2021")</f>
        <v/>
      </c>
      <c r="T44">
        <f>HYPERLINK("https://klasma.github.io/Logging_0884/kartor/A 33436-2021 karta.png", "A 33436-2021")</f>
        <v/>
      </c>
      <c r="U44">
        <f>HYPERLINK("https://klasma.github.io/Logging_0884/knärot/A 33436-2021 karta knärot.png", "A 33436-2021")</f>
        <v/>
      </c>
      <c r="V44">
        <f>HYPERLINK("https://klasma.github.io/Logging_0884/klagomål/A 33436-2021 FSC-klagomål.docx", "A 33436-2021")</f>
        <v/>
      </c>
      <c r="W44">
        <f>HYPERLINK("https://klasma.github.io/Logging_0884/klagomålsmail/A 33436-2021 FSC-klagomål mail.docx", "A 33436-2021")</f>
        <v/>
      </c>
      <c r="X44">
        <f>HYPERLINK("https://klasma.github.io/Logging_0884/tillsyn/A 33436-2021 tillsynsbegäran.docx", "A 33436-2021")</f>
        <v/>
      </c>
      <c r="Y44">
        <f>HYPERLINK("https://klasma.github.io/Logging_0884/tillsynsmail/A 33436-2021 tillsynsbegäran mail.docx", "A 33436-2021")</f>
        <v/>
      </c>
    </row>
    <row r="45" ht="15" customHeight="1">
      <c r="A45" t="inlineStr">
        <is>
          <t>A 32985-2023</t>
        </is>
      </c>
      <c r="B45" s="1" t="n">
        <v>45125</v>
      </c>
      <c r="C45" s="1" t="n">
        <v>45958</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15122-2024</t>
        </is>
      </c>
      <c r="B46" s="1" t="n">
        <v>45399.71412037037</v>
      </c>
      <c r="C46" s="1" t="n">
        <v>45958</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44515-2024</t>
        </is>
      </c>
      <c r="B47" s="1" t="n">
        <v>45574.42767361111</v>
      </c>
      <c r="C47" s="1" t="n">
        <v>45958</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15092-2021</t>
        </is>
      </c>
      <c r="B48" s="1" t="n">
        <v>44281.79269675926</v>
      </c>
      <c r="C48" s="1" t="n">
        <v>45958</v>
      </c>
      <c r="D48" t="inlineStr">
        <is>
          <t>KALMAR LÄN</t>
        </is>
      </c>
      <c r="E48" t="inlineStr">
        <is>
          <t>VIMMERBY</t>
        </is>
      </c>
      <c r="G48" t="n">
        <v>1.6</v>
      </c>
      <c r="H48" t="n">
        <v>0</v>
      </c>
      <c r="I48" t="n">
        <v>0</v>
      </c>
      <c r="J48" t="n">
        <v>0</v>
      </c>
      <c r="K48" t="n">
        <v>0</v>
      </c>
      <c r="L48" t="n">
        <v>0</v>
      </c>
      <c r="M48" t="n">
        <v>0</v>
      </c>
      <c r="N48" t="n">
        <v>0</v>
      </c>
      <c r="O48" t="n">
        <v>0</v>
      </c>
      <c r="P48" t="n">
        <v>0</v>
      </c>
      <c r="Q48" t="n">
        <v>0</v>
      </c>
      <c r="R48" s="2" t="inlineStr"/>
    </row>
    <row r="49" ht="15" customHeight="1">
      <c r="A49" t="inlineStr">
        <is>
          <t>A 12757-2021</t>
        </is>
      </c>
      <c r="B49" s="1" t="n">
        <v>44270.67071759259</v>
      </c>
      <c r="C49" s="1" t="n">
        <v>45958</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56754-2021</t>
        </is>
      </c>
      <c r="B50" s="1" t="n">
        <v>44481.47483796296</v>
      </c>
      <c r="C50" s="1" t="n">
        <v>45958</v>
      </c>
      <c r="D50" t="inlineStr">
        <is>
          <t>KALMAR LÄN</t>
        </is>
      </c>
      <c r="E50" t="inlineStr">
        <is>
          <t>VIMMERBY</t>
        </is>
      </c>
      <c r="G50" t="n">
        <v>1.4</v>
      </c>
      <c r="H50" t="n">
        <v>0</v>
      </c>
      <c r="I50" t="n">
        <v>0</v>
      </c>
      <c r="J50" t="n">
        <v>0</v>
      </c>
      <c r="K50" t="n">
        <v>0</v>
      </c>
      <c r="L50" t="n">
        <v>0</v>
      </c>
      <c r="M50" t="n">
        <v>0</v>
      </c>
      <c r="N50" t="n">
        <v>0</v>
      </c>
      <c r="O50" t="n">
        <v>0</v>
      </c>
      <c r="P50" t="n">
        <v>0</v>
      </c>
      <c r="Q50" t="n">
        <v>0</v>
      </c>
      <c r="R50" s="2" t="inlineStr"/>
    </row>
    <row r="51" ht="15" customHeight="1">
      <c r="A51" t="inlineStr">
        <is>
          <t>A 59070-2021</t>
        </is>
      </c>
      <c r="B51" s="1" t="n">
        <v>44490.38613425926</v>
      </c>
      <c r="C51" s="1" t="n">
        <v>45958</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45958</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45958</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45958</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27100-2021</t>
        </is>
      </c>
      <c r="B55" s="1" t="n">
        <v>44350</v>
      </c>
      <c r="C55" s="1" t="n">
        <v>45958</v>
      </c>
      <c r="D55" t="inlineStr">
        <is>
          <t>KALMAR LÄN</t>
        </is>
      </c>
      <c r="E55" t="inlineStr">
        <is>
          <t>VIMMERBY</t>
        </is>
      </c>
      <c r="G55" t="n">
        <v>9.6</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45958</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45958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2654-2021</t>
        </is>
      </c>
      <c r="B58" s="1" t="n">
        <v>44215</v>
      </c>
      <c r="C58" s="1" t="n">
        <v>45958</v>
      </c>
      <c r="D58" t="inlineStr">
        <is>
          <t>KALMAR LÄN</t>
        </is>
      </c>
      <c r="E58" t="inlineStr">
        <is>
          <t>VIMMERBY</t>
        </is>
      </c>
      <c r="G58" t="n">
        <v>1.2</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45958</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45958</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18756-2021</t>
        </is>
      </c>
      <c r="B61" s="1" t="n">
        <v>44307</v>
      </c>
      <c r="C61" s="1" t="n">
        <v>45958</v>
      </c>
      <c r="D61" t="inlineStr">
        <is>
          <t>KALMAR LÄN</t>
        </is>
      </c>
      <c r="E61" t="inlineStr">
        <is>
          <t>VIMMERBY</t>
        </is>
      </c>
      <c r="G61" t="n">
        <v>7.4</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45958</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4762-2021</t>
        </is>
      </c>
      <c r="B63" s="1" t="n">
        <v>44225</v>
      </c>
      <c r="C63" s="1" t="n">
        <v>45958</v>
      </c>
      <c r="D63" t="inlineStr">
        <is>
          <t>KALMAR LÄN</t>
        </is>
      </c>
      <c r="E63" t="inlineStr">
        <is>
          <t>VIMMERBY</t>
        </is>
      </c>
      <c r="G63" t="n">
        <v>5.3</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45958</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45958</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45958</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5689-2021</t>
        </is>
      </c>
      <c r="B67" s="1" t="n">
        <v>44230.58883101852</v>
      </c>
      <c r="C67" s="1" t="n">
        <v>45958</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45958</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7515-2021</t>
        </is>
      </c>
      <c r="B69" s="1" t="n">
        <v>44238</v>
      </c>
      <c r="C69" s="1" t="n">
        <v>45958</v>
      </c>
      <c r="D69" t="inlineStr">
        <is>
          <t>KALMAR LÄN</t>
        </is>
      </c>
      <c r="E69" t="inlineStr">
        <is>
          <t>VIMMERBY</t>
        </is>
      </c>
      <c r="G69" t="n">
        <v>20.9</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45958</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45958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45958</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45958</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45958</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45958</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45958</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45958</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45958</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45958</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45958</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45958</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45958</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45958</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45958</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45958</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3621-2021</t>
        </is>
      </c>
      <c r="B86" s="1" t="n">
        <v>44221.39408564815</v>
      </c>
      <c r="C86" s="1" t="n">
        <v>45958</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45958</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45958</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45958</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45958</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45958</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45958</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45958</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45958</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45958</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45958</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45958</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45958</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45958</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45958</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14347-2021</t>
        </is>
      </c>
      <c r="B101" s="1" t="n">
        <v>44279.33400462963</v>
      </c>
      <c r="C101" s="1" t="n">
        <v>45958</v>
      </c>
      <c r="D101" t="inlineStr">
        <is>
          <t>KALMAR LÄN</t>
        </is>
      </c>
      <c r="E101" t="inlineStr">
        <is>
          <t>VIMMERBY</t>
        </is>
      </c>
      <c r="G101" t="n">
        <v>6.4</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45958</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45958</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30682-2021</t>
        </is>
      </c>
      <c r="B104" s="1" t="n">
        <v>44365</v>
      </c>
      <c r="C104" s="1" t="n">
        <v>45958</v>
      </c>
      <c r="D104" t="inlineStr">
        <is>
          <t>KALMAR LÄN</t>
        </is>
      </c>
      <c r="E104" t="inlineStr">
        <is>
          <t>VIMMERBY</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64707-2020</t>
        </is>
      </c>
      <c r="B105" s="1" t="n">
        <v>44169</v>
      </c>
      <c r="C105" s="1" t="n">
        <v>45958</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45958</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45958</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45958</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45958</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24723-2021</t>
        </is>
      </c>
      <c r="B110" s="1" t="n">
        <v>44340.54472222222</v>
      </c>
      <c r="C110" s="1" t="n">
        <v>45958</v>
      </c>
      <c r="D110" t="inlineStr">
        <is>
          <t>KALMAR LÄN</t>
        </is>
      </c>
      <c r="E110" t="inlineStr">
        <is>
          <t>VIMMERBY</t>
        </is>
      </c>
      <c r="G110" t="n">
        <v>3.3</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45958</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45958</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25859-2022</t>
        </is>
      </c>
      <c r="B113" s="1" t="n">
        <v>44733</v>
      </c>
      <c r="C113" s="1" t="n">
        <v>45958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25868-2022</t>
        </is>
      </c>
      <c r="B114" s="1" t="n">
        <v>44733</v>
      </c>
      <c r="C114" s="1" t="n">
        <v>45958</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60810-2020</t>
        </is>
      </c>
      <c r="B115" s="1" t="n">
        <v>44154</v>
      </c>
      <c r="C115" s="1" t="n">
        <v>45958</v>
      </c>
      <c r="D115" t="inlineStr">
        <is>
          <t>KALMAR LÄN</t>
        </is>
      </c>
      <c r="E115" t="inlineStr">
        <is>
          <t>VIMMERBY</t>
        </is>
      </c>
      <c r="G115" t="n">
        <v>0.8</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45958</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45958</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45958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45958</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24369-2021</t>
        </is>
      </c>
      <c r="B120" s="1" t="n">
        <v>44337</v>
      </c>
      <c r="C120" s="1" t="n">
        <v>45958</v>
      </c>
      <c r="D120" t="inlineStr">
        <is>
          <t>KALMAR LÄN</t>
        </is>
      </c>
      <c r="E120" t="inlineStr">
        <is>
          <t>VIMMERBY</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45958</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4042-2022</t>
        </is>
      </c>
      <c r="B122" s="1" t="n">
        <v>44588</v>
      </c>
      <c r="C122" s="1" t="n">
        <v>45958</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33690-2022</t>
        </is>
      </c>
      <c r="B123" s="1" t="n">
        <v>44789</v>
      </c>
      <c r="C123" s="1" t="n">
        <v>45958</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35198-2021</t>
        </is>
      </c>
      <c r="B124" s="1" t="n">
        <v>44377</v>
      </c>
      <c r="C124" s="1" t="n">
        <v>45958</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34036-2021</t>
        </is>
      </c>
      <c r="B125" s="1" t="n">
        <v>44379</v>
      </c>
      <c r="C125" s="1" t="n">
        <v>45958</v>
      </c>
      <c r="D125" t="inlineStr">
        <is>
          <t>KALMAR LÄN</t>
        </is>
      </c>
      <c r="E125" t="inlineStr">
        <is>
          <t>VIMMERBY</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63244-2021</t>
        </is>
      </c>
      <c r="B126" s="1" t="n">
        <v>44508</v>
      </c>
      <c r="C126" s="1" t="n">
        <v>45958</v>
      </c>
      <c r="D126" t="inlineStr">
        <is>
          <t>KALMAR LÄN</t>
        </is>
      </c>
      <c r="E126" t="inlineStr">
        <is>
          <t>VIMMERBY</t>
        </is>
      </c>
      <c r="F126" t="inlineStr">
        <is>
          <t>Övriga statliga verk och myndigheter</t>
        </is>
      </c>
      <c r="G126" t="n">
        <v>0.6</v>
      </c>
      <c r="H126" t="n">
        <v>0</v>
      </c>
      <c r="I126" t="n">
        <v>0</v>
      </c>
      <c r="J126" t="n">
        <v>0</v>
      </c>
      <c r="K126" t="n">
        <v>0</v>
      </c>
      <c r="L126" t="n">
        <v>0</v>
      </c>
      <c r="M126" t="n">
        <v>0</v>
      </c>
      <c r="N126" t="n">
        <v>0</v>
      </c>
      <c r="O126" t="n">
        <v>0</v>
      </c>
      <c r="P126" t="n">
        <v>0</v>
      </c>
      <c r="Q126" t="n">
        <v>0</v>
      </c>
      <c r="R126" s="2" t="inlineStr"/>
    </row>
    <row r="127" ht="15" customHeight="1">
      <c r="A127" t="inlineStr">
        <is>
          <t>A 56385-2021</t>
        </is>
      </c>
      <c r="B127" s="1" t="n">
        <v>44480</v>
      </c>
      <c r="C127" s="1" t="n">
        <v>45958</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45958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45958</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45958</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8454-2022</t>
        </is>
      </c>
      <c r="B131" s="1" t="n">
        <v>44612.86762731482</v>
      </c>
      <c r="C131" s="1" t="n">
        <v>45958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65887-2021</t>
        </is>
      </c>
      <c r="B132" s="1" t="n">
        <v>44517</v>
      </c>
      <c r="C132" s="1" t="n">
        <v>45958</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39959-2022</t>
        </is>
      </c>
      <c r="B133" s="1" t="n">
        <v>44819</v>
      </c>
      <c r="C133" s="1" t="n">
        <v>45958</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12661-2021</t>
        </is>
      </c>
      <c r="B134" s="1" t="n">
        <v>44270</v>
      </c>
      <c r="C134" s="1" t="n">
        <v>45958</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7917-2022</t>
        </is>
      </c>
      <c r="B135" s="1" t="n">
        <v>44608</v>
      </c>
      <c r="C135" s="1" t="n">
        <v>45958</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45958</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45958</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45958</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8453-2022</t>
        </is>
      </c>
      <c r="B139" s="1" t="n">
        <v>44612.86554398148</v>
      </c>
      <c r="C139" s="1" t="n">
        <v>45958</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52433-2021</t>
        </is>
      </c>
      <c r="B140" s="1" t="n">
        <v>44466.34726851852</v>
      </c>
      <c r="C140" s="1" t="n">
        <v>45958</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50621-2022</t>
        </is>
      </c>
      <c r="B141" s="1" t="n">
        <v>44866.81100694444</v>
      </c>
      <c r="C141" s="1" t="n">
        <v>45958</v>
      </c>
      <c r="D141" t="inlineStr">
        <is>
          <t>KALMAR LÄN</t>
        </is>
      </c>
      <c r="E141" t="inlineStr">
        <is>
          <t>VIMMERBY</t>
        </is>
      </c>
      <c r="F141" t="inlineStr">
        <is>
          <t>Övriga Aktiebolag</t>
        </is>
      </c>
      <c r="G141" t="n">
        <v>5.1</v>
      </c>
      <c r="H141" t="n">
        <v>0</v>
      </c>
      <c r="I141" t="n">
        <v>0</v>
      </c>
      <c r="J141" t="n">
        <v>0</v>
      </c>
      <c r="K141" t="n">
        <v>0</v>
      </c>
      <c r="L141" t="n">
        <v>0</v>
      </c>
      <c r="M141" t="n">
        <v>0</v>
      </c>
      <c r="N141" t="n">
        <v>0</v>
      </c>
      <c r="O141" t="n">
        <v>0</v>
      </c>
      <c r="P141" t="n">
        <v>0</v>
      </c>
      <c r="Q141" t="n">
        <v>0</v>
      </c>
      <c r="R141" s="2" t="inlineStr"/>
    </row>
    <row r="142" ht="15" customHeight="1">
      <c r="A142" t="inlineStr">
        <is>
          <t>A 54065-2021</t>
        </is>
      </c>
      <c r="B142" s="1" t="n">
        <v>44470.44232638889</v>
      </c>
      <c r="C142" s="1" t="n">
        <v>45958</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31824-2022</t>
        </is>
      </c>
      <c r="B143" s="1" t="n">
        <v>44776</v>
      </c>
      <c r="C143" s="1" t="n">
        <v>45958</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56389-2021</t>
        </is>
      </c>
      <c r="B144" s="1" t="n">
        <v>44480</v>
      </c>
      <c r="C144" s="1" t="n">
        <v>45958</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618-2021</t>
        </is>
      </c>
      <c r="B145" s="1" t="n">
        <v>44203</v>
      </c>
      <c r="C145" s="1" t="n">
        <v>45958</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11733-2022</t>
        </is>
      </c>
      <c r="B146" s="1" t="n">
        <v>44634</v>
      </c>
      <c r="C146" s="1" t="n">
        <v>45958</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32603-2021</t>
        </is>
      </c>
      <c r="B147" s="1" t="n">
        <v>44375.38789351852</v>
      </c>
      <c r="C147" s="1" t="n">
        <v>45958</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45958</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45958</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12241-2021</t>
        </is>
      </c>
      <c r="B150" s="1" t="n">
        <v>44266.7240625</v>
      </c>
      <c r="C150" s="1" t="n">
        <v>45958</v>
      </c>
      <c r="D150" t="inlineStr">
        <is>
          <t>KALMAR LÄN</t>
        </is>
      </c>
      <c r="E150" t="inlineStr">
        <is>
          <t>VIMMERBY</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7804-2022</t>
        </is>
      </c>
      <c r="B151" s="1" t="n">
        <v>44608.50458333334</v>
      </c>
      <c r="C151" s="1" t="n">
        <v>45958</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39042-2022</t>
        </is>
      </c>
      <c r="B152" s="1" t="n">
        <v>44817</v>
      </c>
      <c r="C152" s="1" t="n">
        <v>45958</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67952-2021</t>
        </is>
      </c>
      <c r="B153" s="1" t="n">
        <v>44525.63913194444</v>
      </c>
      <c r="C153" s="1" t="n">
        <v>45958</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12662-2021</t>
        </is>
      </c>
      <c r="B154" s="1" t="n">
        <v>44270.49743055556</v>
      </c>
      <c r="C154" s="1" t="n">
        <v>45958</v>
      </c>
      <c r="D154" t="inlineStr">
        <is>
          <t>KALMAR LÄN</t>
        </is>
      </c>
      <c r="E154" t="inlineStr">
        <is>
          <t>VIMMERBY</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14521-2021</t>
        </is>
      </c>
      <c r="B155" s="1" t="n">
        <v>44279.64934027778</v>
      </c>
      <c r="C155" s="1" t="n">
        <v>45958</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15533-2022</t>
        </is>
      </c>
      <c r="B156" s="1" t="n">
        <v>44662</v>
      </c>
      <c r="C156" s="1" t="n">
        <v>45958</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16288-2021</t>
        </is>
      </c>
      <c r="B157" s="1" t="n">
        <v>44292</v>
      </c>
      <c r="C157" s="1" t="n">
        <v>45958</v>
      </c>
      <c r="D157" t="inlineStr">
        <is>
          <t>KALMAR LÄN</t>
        </is>
      </c>
      <c r="E157" t="inlineStr">
        <is>
          <t>VIMMERBY</t>
        </is>
      </c>
      <c r="F157" t="inlineStr">
        <is>
          <t>Övriga Aktiebolag</t>
        </is>
      </c>
      <c r="G157" t="n">
        <v>27.6</v>
      </c>
      <c r="H157" t="n">
        <v>0</v>
      </c>
      <c r="I157" t="n">
        <v>0</v>
      </c>
      <c r="J157" t="n">
        <v>0</v>
      </c>
      <c r="K157" t="n">
        <v>0</v>
      </c>
      <c r="L157" t="n">
        <v>0</v>
      </c>
      <c r="M157" t="n">
        <v>0</v>
      </c>
      <c r="N157" t="n">
        <v>0</v>
      </c>
      <c r="O157" t="n">
        <v>0</v>
      </c>
      <c r="P157" t="n">
        <v>0</v>
      </c>
      <c r="Q157" t="n">
        <v>0</v>
      </c>
      <c r="R157" s="2" t="inlineStr"/>
    </row>
    <row r="158" ht="15" customHeight="1">
      <c r="A158" t="inlineStr">
        <is>
          <t>A 4076-2022</t>
        </is>
      </c>
      <c r="B158" s="1" t="n">
        <v>44588.37998842593</v>
      </c>
      <c r="C158" s="1" t="n">
        <v>45958</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4122-2022</t>
        </is>
      </c>
      <c r="B159" s="1" t="n">
        <v>44588</v>
      </c>
      <c r="C159" s="1" t="n">
        <v>45958</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165-2022</t>
        </is>
      </c>
      <c r="B160" s="1" t="n">
        <v>44564</v>
      </c>
      <c r="C160" s="1" t="n">
        <v>45958</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58374-2024</t>
        </is>
      </c>
      <c r="B161" s="1" t="n">
        <v>45632.72635416667</v>
      </c>
      <c r="C161" s="1" t="n">
        <v>45958</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45958</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46964-2022</t>
        </is>
      </c>
      <c r="B163" s="1" t="n">
        <v>44851.95016203704</v>
      </c>
      <c r="C163" s="1" t="n">
        <v>45958</v>
      </c>
      <c r="D163" t="inlineStr">
        <is>
          <t>KALMAR LÄN</t>
        </is>
      </c>
      <c r="E163" t="inlineStr">
        <is>
          <t>VIMMERBY</t>
        </is>
      </c>
      <c r="G163" t="n">
        <v>0.2</v>
      </c>
      <c r="H163" t="n">
        <v>0</v>
      </c>
      <c r="I163" t="n">
        <v>0</v>
      </c>
      <c r="J163" t="n">
        <v>0</v>
      </c>
      <c r="K163" t="n">
        <v>0</v>
      </c>
      <c r="L163" t="n">
        <v>0</v>
      </c>
      <c r="M163" t="n">
        <v>0</v>
      </c>
      <c r="N163" t="n">
        <v>0</v>
      </c>
      <c r="O163" t="n">
        <v>0</v>
      </c>
      <c r="P163" t="n">
        <v>0</v>
      </c>
      <c r="Q163" t="n">
        <v>0</v>
      </c>
      <c r="R163" s="2" t="inlineStr"/>
    </row>
    <row r="164" ht="15" customHeight="1">
      <c r="A164" t="inlineStr">
        <is>
          <t>A 34040-2021</t>
        </is>
      </c>
      <c r="B164" s="1" t="n">
        <v>44379</v>
      </c>
      <c r="C164" s="1" t="n">
        <v>45958</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15200-2021</t>
        </is>
      </c>
      <c r="B165" s="1" t="n">
        <v>44284.44574074074</v>
      </c>
      <c r="C165" s="1" t="n">
        <v>45958</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45958</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30402-2023</t>
        </is>
      </c>
      <c r="B167" s="1" t="n">
        <v>45111.48395833333</v>
      </c>
      <c r="C167" s="1" t="n">
        <v>45958</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12107-2022</t>
        </is>
      </c>
      <c r="B168" s="1" t="n">
        <v>44636</v>
      </c>
      <c r="C168" s="1" t="n">
        <v>45958</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39225-2022</t>
        </is>
      </c>
      <c r="B169" s="1" t="n">
        <v>44817.57988425926</v>
      </c>
      <c r="C169" s="1" t="n">
        <v>45958</v>
      </c>
      <c r="D169" t="inlineStr">
        <is>
          <t>KALMAR LÄN</t>
        </is>
      </c>
      <c r="E169" t="inlineStr">
        <is>
          <t>VIMMERBY</t>
        </is>
      </c>
      <c r="G169" t="n">
        <v>2.2</v>
      </c>
      <c r="H169" t="n">
        <v>0</v>
      </c>
      <c r="I169" t="n">
        <v>0</v>
      </c>
      <c r="J169" t="n">
        <v>0</v>
      </c>
      <c r="K169" t="n">
        <v>0</v>
      </c>
      <c r="L169" t="n">
        <v>0</v>
      </c>
      <c r="M169" t="n">
        <v>0</v>
      </c>
      <c r="N169" t="n">
        <v>0</v>
      </c>
      <c r="O169" t="n">
        <v>0</v>
      </c>
      <c r="P169" t="n">
        <v>0</v>
      </c>
      <c r="Q169" t="n">
        <v>0</v>
      </c>
      <c r="R169" s="2" t="inlineStr"/>
    </row>
    <row r="170" ht="15" customHeight="1">
      <c r="A170" t="inlineStr">
        <is>
          <t>A 57948-2020</t>
        </is>
      </c>
      <c r="B170" s="1" t="n">
        <v>44142</v>
      </c>
      <c r="C170" s="1" t="n">
        <v>45958</v>
      </c>
      <c r="D170" t="inlineStr">
        <is>
          <t>KALMAR LÄN</t>
        </is>
      </c>
      <c r="E170" t="inlineStr">
        <is>
          <t>VIMMERBY</t>
        </is>
      </c>
      <c r="G170" t="n">
        <v>7.1</v>
      </c>
      <c r="H170" t="n">
        <v>0</v>
      </c>
      <c r="I170" t="n">
        <v>0</v>
      </c>
      <c r="J170" t="n">
        <v>0</v>
      </c>
      <c r="K170" t="n">
        <v>0</v>
      </c>
      <c r="L170" t="n">
        <v>0</v>
      </c>
      <c r="M170" t="n">
        <v>0</v>
      </c>
      <c r="N170" t="n">
        <v>0</v>
      </c>
      <c r="O170" t="n">
        <v>0</v>
      </c>
      <c r="P170" t="n">
        <v>0</v>
      </c>
      <c r="Q170" t="n">
        <v>0</v>
      </c>
      <c r="R170" s="2" t="inlineStr"/>
    </row>
    <row r="171" ht="15" customHeight="1">
      <c r="A171" t="inlineStr">
        <is>
          <t>A 16602-2021</t>
        </is>
      </c>
      <c r="B171" s="1" t="n">
        <v>44294</v>
      </c>
      <c r="C171" s="1" t="n">
        <v>45958</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16607-2021</t>
        </is>
      </c>
      <c r="B172" s="1" t="n">
        <v>44294</v>
      </c>
      <c r="C172" s="1" t="n">
        <v>45958</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17029-2022</t>
        </is>
      </c>
      <c r="B173" s="1" t="n">
        <v>44676.85248842592</v>
      </c>
      <c r="C173" s="1" t="n">
        <v>45958</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11609-2023</t>
        </is>
      </c>
      <c r="B174" s="1" t="n">
        <v>44994.40635416667</v>
      </c>
      <c r="C174" s="1" t="n">
        <v>45958</v>
      </c>
      <c r="D174" t="inlineStr">
        <is>
          <t>KALMAR LÄN</t>
        </is>
      </c>
      <c r="E174" t="inlineStr">
        <is>
          <t>VIMMERBY</t>
        </is>
      </c>
      <c r="G174" t="n">
        <v>4.9</v>
      </c>
      <c r="H174" t="n">
        <v>0</v>
      </c>
      <c r="I174" t="n">
        <v>0</v>
      </c>
      <c r="J174" t="n">
        <v>0</v>
      </c>
      <c r="K174" t="n">
        <v>0</v>
      </c>
      <c r="L174" t="n">
        <v>0</v>
      </c>
      <c r="M174" t="n">
        <v>0</v>
      </c>
      <c r="N174" t="n">
        <v>0</v>
      </c>
      <c r="O174" t="n">
        <v>0</v>
      </c>
      <c r="P174" t="n">
        <v>0</v>
      </c>
      <c r="Q174" t="n">
        <v>0</v>
      </c>
      <c r="R174" s="2" t="inlineStr"/>
    </row>
    <row r="175" ht="15" customHeight="1">
      <c r="A175" t="inlineStr">
        <is>
          <t>A 65961-2020</t>
        </is>
      </c>
      <c r="B175" s="1" t="n">
        <v>44175.39748842592</v>
      </c>
      <c r="C175" s="1" t="n">
        <v>45958</v>
      </c>
      <c r="D175" t="inlineStr">
        <is>
          <t>KALMAR LÄN</t>
        </is>
      </c>
      <c r="E175" t="inlineStr">
        <is>
          <t>VIMMERBY</t>
        </is>
      </c>
      <c r="G175" t="n">
        <v>2.6</v>
      </c>
      <c r="H175" t="n">
        <v>0</v>
      </c>
      <c r="I175" t="n">
        <v>0</v>
      </c>
      <c r="J175" t="n">
        <v>0</v>
      </c>
      <c r="K175" t="n">
        <v>0</v>
      </c>
      <c r="L175" t="n">
        <v>0</v>
      </c>
      <c r="M175" t="n">
        <v>0</v>
      </c>
      <c r="N175" t="n">
        <v>0</v>
      </c>
      <c r="O175" t="n">
        <v>0</v>
      </c>
      <c r="P175" t="n">
        <v>0</v>
      </c>
      <c r="Q175" t="n">
        <v>0</v>
      </c>
      <c r="R175" s="2" t="inlineStr"/>
    </row>
    <row r="176" ht="15" customHeight="1">
      <c r="A176" t="inlineStr">
        <is>
          <t>A 7167-2022</t>
        </is>
      </c>
      <c r="B176" s="1" t="n">
        <v>44604</v>
      </c>
      <c r="C176" s="1" t="n">
        <v>45958</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18276-2021</t>
        </is>
      </c>
      <c r="B177" s="1" t="n">
        <v>44305.40046296296</v>
      </c>
      <c r="C177" s="1" t="n">
        <v>45958</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16983-2023</t>
        </is>
      </c>
      <c r="B178" s="1" t="n">
        <v>45033.76043981482</v>
      </c>
      <c r="C178" s="1" t="n">
        <v>45958</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47473-2021</t>
        </is>
      </c>
      <c r="B179" s="1" t="n">
        <v>44447</v>
      </c>
      <c r="C179" s="1" t="n">
        <v>45958</v>
      </c>
      <c r="D179" t="inlineStr">
        <is>
          <t>KALMAR LÄN</t>
        </is>
      </c>
      <c r="E179" t="inlineStr">
        <is>
          <t>VIMMERBY</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46144-2023</t>
        </is>
      </c>
      <c r="B180" s="1" t="n">
        <v>45196.57247685185</v>
      </c>
      <c r="C180" s="1" t="n">
        <v>45958</v>
      </c>
      <c r="D180" t="inlineStr">
        <is>
          <t>KALMAR LÄN</t>
        </is>
      </c>
      <c r="E180" t="inlineStr">
        <is>
          <t>VIMMERBY</t>
        </is>
      </c>
      <c r="G180" t="n">
        <v>6.5</v>
      </c>
      <c r="H180" t="n">
        <v>0</v>
      </c>
      <c r="I180" t="n">
        <v>0</v>
      </c>
      <c r="J180" t="n">
        <v>0</v>
      </c>
      <c r="K180" t="n">
        <v>0</v>
      </c>
      <c r="L180" t="n">
        <v>0</v>
      </c>
      <c r="M180" t="n">
        <v>0</v>
      </c>
      <c r="N180" t="n">
        <v>0</v>
      </c>
      <c r="O180" t="n">
        <v>0</v>
      </c>
      <c r="P180" t="n">
        <v>0</v>
      </c>
      <c r="Q180" t="n">
        <v>0</v>
      </c>
      <c r="R180" s="2" t="inlineStr"/>
    </row>
    <row r="181" ht="15" customHeight="1">
      <c r="A181" t="inlineStr">
        <is>
          <t>A 18356-2021</t>
        </is>
      </c>
      <c r="B181" s="1" t="n">
        <v>44305</v>
      </c>
      <c r="C181" s="1" t="n">
        <v>45958</v>
      </c>
      <c r="D181" t="inlineStr">
        <is>
          <t>KALMAR LÄN</t>
        </is>
      </c>
      <c r="E181" t="inlineStr">
        <is>
          <t>VIMMERBY</t>
        </is>
      </c>
      <c r="G181" t="n">
        <v>3.4</v>
      </c>
      <c r="H181" t="n">
        <v>0</v>
      </c>
      <c r="I181" t="n">
        <v>0</v>
      </c>
      <c r="J181" t="n">
        <v>0</v>
      </c>
      <c r="K181" t="n">
        <v>0</v>
      </c>
      <c r="L181" t="n">
        <v>0</v>
      </c>
      <c r="M181" t="n">
        <v>0</v>
      </c>
      <c r="N181" t="n">
        <v>0</v>
      </c>
      <c r="O181" t="n">
        <v>0</v>
      </c>
      <c r="P181" t="n">
        <v>0</v>
      </c>
      <c r="Q181" t="n">
        <v>0</v>
      </c>
      <c r="R181" s="2" t="inlineStr"/>
    </row>
    <row r="182" ht="15" customHeight="1">
      <c r="A182" t="inlineStr">
        <is>
          <t>A 42850-2022</t>
        </is>
      </c>
      <c r="B182" s="1" t="n">
        <v>44832.67608796297</v>
      </c>
      <c r="C182" s="1" t="n">
        <v>45958</v>
      </c>
      <c r="D182" t="inlineStr">
        <is>
          <t>KALMAR LÄN</t>
        </is>
      </c>
      <c r="E182" t="inlineStr">
        <is>
          <t>VIMMERBY</t>
        </is>
      </c>
      <c r="G182" t="n">
        <v>5.9</v>
      </c>
      <c r="H182" t="n">
        <v>0</v>
      </c>
      <c r="I182" t="n">
        <v>0</v>
      </c>
      <c r="J182" t="n">
        <v>0</v>
      </c>
      <c r="K182" t="n">
        <v>0</v>
      </c>
      <c r="L182" t="n">
        <v>0</v>
      </c>
      <c r="M182" t="n">
        <v>0</v>
      </c>
      <c r="N182" t="n">
        <v>0</v>
      </c>
      <c r="O182" t="n">
        <v>0</v>
      </c>
      <c r="P182" t="n">
        <v>0</v>
      </c>
      <c r="Q182" t="n">
        <v>0</v>
      </c>
      <c r="R182" s="2" t="inlineStr"/>
    </row>
    <row r="183" ht="15" customHeight="1">
      <c r="A183" t="inlineStr">
        <is>
          <t>A 31382-2023</t>
        </is>
      </c>
      <c r="B183" s="1" t="n">
        <v>45114.55136574074</v>
      </c>
      <c r="C183" s="1" t="n">
        <v>45958</v>
      </c>
      <c r="D183" t="inlineStr">
        <is>
          <t>KALMAR LÄN</t>
        </is>
      </c>
      <c r="E183" t="inlineStr">
        <is>
          <t>VIMMERBY</t>
        </is>
      </c>
      <c r="G183" t="n">
        <v>3.7</v>
      </c>
      <c r="H183" t="n">
        <v>0</v>
      </c>
      <c r="I183" t="n">
        <v>0</v>
      </c>
      <c r="J183" t="n">
        <v>0</v>
      </c>
      <c r="K183" t="n">
        <v>0</v>
      </c>
      <c r="L183" t="n">
        <v>0</v>
      </c>
      <c r="M183" t="n">
        <v>0</v>
      </c>
      <c r="N183" t="n">
        <v>0</v>
      </c>
      <c r="O183" t="n">
        <v>0</v>
      </c>
      <c r="P183" t="n">
        <v>0</v>
      </c>
      <c r="Q183" t="n">
        <v>0</v>
      </c>
      <c r="R183" s="2" t="inlineStr"/>
    </row>
    <row r="184" ht="15" customHeight="1">
      <c r="A184" t="inlineStr">
        <is>
          <t>A 35001-2021</t>
        </is>
      </c>
      <c r="B184" s="1" t="n">
        <v>44383</v>
      </c>
      <c r="C184" s="1" t="n">
        <v>45958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56213-2024</t>
        </is>
      </c>
      <c r="B185" s="1" t="n">
        <v>45624.60141203704</v>
      </c>
      <c r="C185" s="1" t="n">
        <v>45958</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54409-2024</t>
        </is>
      </c>
      <c r="B186" s="1" t="n">
        <v>45617.47570601852</v>
      </c>
      <c r="C186" s="1" t="n">
        <v>45958</v>
      </c>
      <c r="D186" t="inlineStr">
        <is>
          <t>KALMAR LÄN</t>
        </is>
      </c>
      <c r="E186" t="inlineStr">
        <is>
          <t>VIMMERBY</t>
        </is>
      </c>
      <c r="G186" t="n">
        <v>4.3</v>
      </c>
      <c r="H186" t="n">
        <v>0</v>
      </c>
      <c r="I186" t="n">
        <v>0</v>
      </c>
      <c r="J186" t="n">
        <v>0</v>
      </c>
      <c r="K186" t="n">
        <v>0</v>
      </c>
      <c r="L186" t="n">
        <v>0</v>
      </c>
      <c r="M186" t="n">
        <v>0</v>
      </c>
      <c r="N186" t="n">
        <v>0</v>
      </c>
      <c r="O186" t="n">
        <v>0</v>
      </c>
      <c r="P186" t="n">
        <v>0</v>
      </c>
      <c r="Q186" t="n">
        <v>0</v>
      </c>
      <c r="R186" s="2" t="inlineStr"/>
    </row>
    <row r="187" ht="15" customHeight="1">
      <c r="A187" t="inlineStr">
        <is>
          <t>A 55674-2021</t>
        </is>
      </c>
      <c r="B187" s="1" t="n">
        <v>44476</v>
      </c>
      <c r="C187" s="1" t="n">
        <v>45958</v>
      </c>
      <c r="D187" t="inlineStr">
        <is>
          <t>KALMAR LÄN</t>
        </is>
      </c>
      <c r="E187" t="inlineStr">
        <is>
          <t>VIMMERBY</t>
        </is>
      </c>
      <c r="G187" t="n">
        <v>2.1</v>
      </c>
      <c r="H187" t="n">
        <v>0</v>
      </c>
      <c r="I187" t="n">
        <v>0</v>
      </c>
      <c r="J187" t="n">
        <v>0</v>
      </c>
      <c r="K187" t="n">
        <v>0</v>
      </c>
      <c r="L187" t="n">
        <v>0</v>
      </c>
      <c r="M187" t="n">
        <v>0</v>
      </c>
      <c r="N187" t="n">
        <v>0</v>
      </c>
      <c r="O187" t="n">
        <v>0</v>
      </c>
      <c r="P187" t="n">
        <v>0</v>
      </c>
      <c r="Q187" t="n">
        <v>0</v>
      </c>
      <c r="R187" s="2" t="inlineStr"/>
    </row>
    <row r="188" ht="15" customHeight="1">
      <c r="A188" t="inlineStr">
        <is>
          <t>A 41056-2022</t>
        </is>
      </c>
      <c r="B188" s="1" t="n">
        <v>44824</v>
      </c>
      <c r="C188" s="1" t="n">
        <v>45958</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31660-2021</t>
        </is>
      </c>
      <c r="B189" s="1" t="n">
        <v>44369</v>
      </c>
      <c r="C189" s="1" t="n">
        <v>45958</v>
      </c>
      <c r="D189" t="inlineStr">
        <is>
          <t>KALMAR LÄN</t>
        </is>
      </c>
      <c r="E189" t="inlineStr">
        <is>
          <t>VIMMERBY</t>
        </is>
      </c>
      <c r="G189" t="n">
        <v>4.2</v>
      </c>
      <c r="H189" t="n">
        <v>0</v>
      </c>
      <c r="I189" t="n">
        <v>0</v>
      </c>
      <c r="J189" t="n">
        <v>0</v>
      </c>
      <c r="K189" t="n">
        <v>0</v>
      </c>
      <c r="L189" t="n">
        <v>0</v>
      </c>
      <c r="M189" t="n">
        <v>0</v>
      </c>
      <c r="N189" t="n">
        <v>0</v>
      </c>
      <c r="O189" t="n">
        <v>0</v>
      </c>
      <c r="P189" t="n">
        <v>0</v>
      </c>
      <c r="Q189" t="n">
        <v>0</v>
      </c>
      <c r="R189" s="2" t="inlineStr"/>
    </row>
    <row r="190" ht="15" customHeight="1">
      <c r="A190" t="inlineStr">
        <is>
          <t>A 27455-2022</t>
        </is>
      </c>
      <c r="B190" s="1" t="n">
        <v>44742</v>
      </c>
      <c r="C190" s="1" t="n">
        <v>45958</v>
      </c>
      <c r="D190" t="inlineStr">
        <is>
          <t>KALMAR LÄN</t>
        </is>
      </c>
      <c r="E190" t="inlineStr">
        <is>
          <t>VIMMERBY</t>
        </is>
      </c>
      <c r="G190" t="n">
        <v>1.6</v>
      </c>
      <c r="H190" t="n">
        <v>0</v>
      </c>
      <c r="I190" t="n">
        <v>0</v>
      </c>
      <c r="J190" t="n">
        <v>0</v>
      </c>
      <c r="K190" t="n">
        <v>0</v>
      </c>
      <c r="L190" t="n">
        <v>0</v>
      </c>
      <c r="M190" t="n">
        <v>0</v>
      </c>
      <c r="N190" t="n">
        <v>0</v>
      </c>
      <c r="O190" t="n">
        <v>0</v>
      </c>
      <c r="P190" t="n">
        <v>0</v>
      </c>
      <c r="Q190" t="n">
        <v>0</v>
      </c>
      <c r="R190" s="2" t="inlineStr"/>
    </row>
    <row r="191" ht="15" customHeight="1">
      <c r="A191" t="inlineStr">
        <is>
          <t>A 16825-2024</t>
        </is>
      </c>
      <c r="B191" s="1" t="n">
        <v>45411.47335648148</v>
      </c>
      <c r="C191" s="1" t="n">
        <v>45958</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10086-2022</t>
        </is>
      </c>
      <c r="B192" s="1" t="n">
        <v>44621</v>
      </c>
      <c r="C192" s="1" t="n">
        <v>45958</v>
      </c>
      <c r="D192" t="inlineStr">
        <is>
          <t>KALMAR LÄN</t>
        </is>
      </c>
      <c r="E192" t="inlineStr">
        <is>
          <t>VIMMERBY</t>
        </is>
      </c>
      <c r="G192" t="n">
        <v>1.2</v>
      </c>
      <c r="H192" t="n">
        <v>0</v>
      </c>
      <c r="I192" t="n">
        <v>0</v>
      </c>
      <c r="J192" t="n">
        <v>0</v>
      </c>
      <c r="K192" t="n">
        <v>0</v>
      </c>
      <c r="L192" t="n">
        <v>0</v>
      </c>
      <c r="M192" t="n">
        <v>0</v>
      </c>
      <c r="N192" t="n">
        <v>0</v>
      </c>
      <c r="O192" t="n">
        <v>0</v>
      </c>
      <c r="P192" t="n">
        <v>0</v>
      </c>
      <c r="Q192" t="n">
        <v>0</v>
      </c>
      <c r="R192" s="2" t="inlineStr"/>
    </row>
    <row r="193" ht="15" customHeight="1">
      <c r="A193" t="inlineStr">
        <is>
          <t>A 7643-2022</t>
        </is>
      </c>
      <c r="B193" s="1" t="n">
        <v>44607</v>
      </c>
      <c r="C193" s="1" t="n">
        <v>45958</v>
      </c>
      <c r="D193" t="inlineStr">
        <is>
          <t>KALMAR LÄN</t>
        </is>
      </c>
      <c r="E193" t="inlineStr">
        <is>
          <t>VIMMERBY</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40077-2021</t>
        </is>
      </c>
      <c r="B194" s="1" t="n">
        <v>44418</v>
      </c>
      <c r="C194" s="1" t="n">
        <v>45958</v>
      </c>
      <c r="D194" t="inlineStr">
        <is>
          <t>KALMAR LÄN</t>
        </is>
      </c>
      <c r="E194" t="inlineStr">
        <is>
          <t>VIMMERBY</t>
        </is>
      </c>
      <c r="G194" t="n">
        <v>2.9</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45958</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65564-2020</t>
        </is>
      </c>
      <c r="B196" s="1" t="n">
        <v>44172</v>
      </c>
      <c r="C196" s="1" t="n">
        <v>45958</v>
      </c>
      <c r="D196" t="inlineStr">
        <is>
          <t>KALMAR LÄN</t>
        </is>
      </c>
      <c r="E196" t="inlineStr">
        <is>
          <t>VIMMERBY</t>
        </is>
      </c>
      <c r="G196" t="n">
        <v>4.1</v>
      </c>
      <c r="H196" t="n">
        <v>0</v>
      </c>
      <c r="I196" t="n">
        <v>0</v>
      </c>
      <c r="J196" t="n">
        <v>0</v>
      </c>
      <c r="K196" t="n">
        <v>0</v>
      </c>
      <c r="L196" t="n">
        <v>0</v>
      </c>
      <c r="M196" t="n">
        <v>0</v>
      </c>
      <c r="N196" t="n">
        <v>0</v>
      </c>
      <c r="O196" t="n">
        <v>0</v>
      </c>
      <c r="P196" t="n">
        <v>0</v>
      </c>
      <c r="Q196" t="n">
        <v>0</v>
      </c>
      <c r="R196" s="2" t="inlineStr"/>
    </row>
    <row r="197" ht="15" customHeight="1">
      <c r="A197" t="inlineStr">
        <is>
          <t>A 47769-2022</t>
        </is>
      </c>
      <c r="B197" s="1" t="n">
        <v>44854</v>
      </c>
      <c r="C197" s="1" t="n">
        <v>45958</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53483-2022</t>
        </is>
      </c>
      <c r="B198" s="1" t="n">
        <v>44879.55940972222</v>
      </c>
      <c r="C198" s="1" t="n">
        <v>45958</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18899-2025</t>
        </is>
      </c>
      <c r="B199" s="1" t="n">
        <v>45764.44931712963</v>
      </c>
      <c r="C199" s="1" t="n">
        <v>45958</v>
      </c>
      <c r="D199" t="inlineStr">
        <is>
          <t>KALMAR LÄN</t>
        </is>
      </c>
      <c r="E199" t="inlineStr">
        <is>
          <t>VIMMERBY</t>
        </is>
      </c>
      <c r="F199" t="inlineStr">
        <is>
          <t>Kommuner</t>
        </is>
      </c>
      <c r="G199" t="n">
        <v>4</v>
      </c>
      <c r="H199" t="n">
        <v>0</v>
      </c>
      <c r="I199" t="n">
        <v>0</v>
      </c>
      <c r="J199" t="n">
        <v>0</v>
      </c>
      <c r="K199" t="n">
        <v>0</v>
      </c>
      <c r="L199" t="n">
        <v>0</v>
      </c>
      <c r="M199" t="n">
        <v>0</v>
      </c>
      <c r="N199" t="n">
        <v>0</v>
      </c>
      <c r="O199" t="n">
        <v>0</v>
      </c>
      <c r="P199" t="n">
        <v>0</v>
      </c>
      <c r="Q199" t="n">
        <v>0</v>
      </c>
      <c r="R199" s="2" t="inlineStr"/>
    </row>
    <row r="200" ht="15" customHeight="1">
      <c r="A200" t="inlineStr">
        <is>
          <t>A 20054-2023</t>
        </is>
      </c>
      <c r="B200" s="1" t="n">
        <v>45054.6750462963</v>
      </c>
      <c r="C200" s="1" t="n">
        <v>45958</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58962-2022</t>
        </is>
      </c>
      <c r="B201" s="1" t="n">
        <v>44903</v>
      </c>
      <c r="C201" s="1" t="n">
        <v>45958</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53145-2022</t>
        </is>
      </c>
      <c r="B202" s="1" t="n">
        <v>44876.48346064815</v>
      </c>
      <c r="C202" s="1" t="n">
        <v>45958</v>
      </c>
      <c r="D202" t="inlineStr">
        <is>
          <t>KALMAR LÄN</t>
        </is>
      </c>
      <c r="E202" t="inlineStr">
        <is>
          <t>VIMMERBY</t>
        </is>
      </c>
      <c r="G202" t="n">
        <v>0.4</v>
      </c>
      <c r="H202" t="n">
        <v>0</v>
      </c>
      <c r="I202" t="n">
        <v>0</v>
      </c>
      <c r="J202" t="n">
        <v>0</v>
      </c>
      <c r="K202" t="n">
        <v>0</v>
      </c>
      <c r="L202" t="n">
        <v>0</v>
      </c>
      <c r="M202" t="n">
        <v>0</v>
      </c>
      <c r="N202" t="n">
        <v>0</v>
      </c>
      <c r="O202" t="n">
        <v>0</v>
      </c>
      <c r="P202" t="n">
        <v>0</v>
      </c>
      <c r="Q202" t="n">
        <v>0</v>
      </c>
      <c r="R202" s="2" t="inlineStr"/>
    </row>
    <row r="203" ht="15" customHeight="1">
      <c r="A203" t="inlineStr">
        <is>
          <t>A 25738-2022</t>
        </is>
      </c>
      <c r="B203" s="1" t="n">
        <v>44733.43092592592</v>
      </c>
      <c r="C203" s="1" t="n">
        <v>45958</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10837-2023</t>
        </is>
      </c>
      <c r="B204" s="1" t="n">
        <v>44991.30547453704</v>
      </c>
      <c r="C204" s="1" t="n">
        <v>45958</v>
      </c>
      <c r="D204" t="inlineStr">
        <is>
          <t>KALMAR LÄN</t>
        </is>
      </c>
      <c r="E204" t="inlineStr">
        <is>
          <t>VIMMERBY</t>
        </is>
      </c>
      <c r="G204" t="n">
        <v>7.3</v>
      </c>
      <c r="H204" t="n">
        <v>0</v>
      </c>
      <c r="I204" t="n">
        <v>0</v>
      </c>
      <c r="J204" t="n">
        <v>0</v>
      </c>
      <c r="K204" t="n">
        <v>0</v>
      </c>
      <c r="L204" t="n">
        <v>0</v>
      </c>
      <c r="M204" t="n">
        <v>0</v>
      </c>
      <c r="N204" t="n">
        <v>0</v>
      </c>
      <c r="O204" t="n">
        <v>0</v>
      </c>
      <c r="P204" t="n">
        <v>0</v>
      </c>
      <c r="Q204" t="n">
        <v>0</v>
      </c>
      <c r="R204" s="2" t="inlineStr"/>
    </row>
    <row r="205" ht="15" customHeight="1">
      <c r="A205" t="inlineStr">
        <is>
          <t>A 10838-2023</t>
        </is>
      </c>
      <c r="B205" s="1" t="n">
        <v>44991</v>
      </c>
      <c r="C205" s="1" t="n">
        <v>45958</v>
      </c>
      <c r="D205" t="inlineStr">
        <is>
          <t>KALMAR LÄN</t>
        </is>
      </c>
      <c r="E205" t="inlineStr">
        <is>
          <t>VIMMERBY</t>
        </is>
      </c>
      <c r="G205" t="n">
        <v>5.1</v>
      </c>
      <c r="H205" t="n">
        <v>0</v>
      </c>
      <c r="I205" t="n">
        <v>0</v>
      </c>
      <c r="J205" t="n">
        <v>0</v>
      </c>
      <c r="K205" t="n">
        <v>0</v>
      </c>
      <c r="L205" t="n">
        <v>0</v>
      </c>
      <c r="M205" t="n">
        <v>0</v>
      </c>
      <c r="N205" t="n">
        <v>0</v>
      </c>
      <c r="O205" t="n">
        <v>0</v>
      </c>
      <c r="P205" t="n">
        <v>0</v>
      </c>
      <c r="Q205" t="n">
        <v>0</v>
      </c>
      <c r="R205" s="2" t="inlineStr"/>
    </row>
    <row r="206" ht="15" customHeight="1">
      <c r="A206" t="inlineStr">
        <is>
          <t>A 3330-2021</t>
        </is>
      </c>
      <c r="B206" s="1" t="n">
        <v>44217.79856481482</v>
      </c>
      <c r="C206" s="1" t="n">
        <v>45958</v>
      </c>
      <c r="D206" t="inlineStr">
        <is>
          <t>KALMAR LÄN</t>
        </is>
      </c>
      <c r="E206" t="inlineStr">
        <is>
          <t>VIMMERBY</t>
        </is>
      </c>
      <c r="G206" t="n">
        <v>11.1</v>
      </c>
      <c r="H206" t="n">
        <v>0</v>
      </c>
      <c r="I206" t="n">
        <v>0</v>
      </c>
      <c r="J206" t="n">
        <v>0</v>
      </c>
      <c r="K206" t="n">
        <v>0</v>
      </c>
      <c r="L206" t="n">
        <v>0</v>
      </c>
      <c r="M206" t="n">
        <v>0</v>
      </c>
      <c r="N206" t="n">
        <v>0</v>
      </c>
      <c r="O206" t="n">
        <v>0</v>
      </c>
      <c r="P206" t="n">
        <v>0</v>
      </c>
      <c r="Q206" t="n">
        <v>0</v>
      </c>
      <c r="R206" s="2" t="inlineStr"/>
    </row>
    <row r="207" ht="15" customHeight="1">
      <c r="A207" t="inlineStr">
        <is>
          <t>A 48377-2021</t>
        </is>
      </c>
      <c r="B207" s="1" t="n">
        <v>44451.8375</v>
      </c>
      <c r="C207" s="1" t="n">
        <v>45958</v>
      </c>
      <c r="D207" t="inlineStr">
        <is>
          <t>KALMAR LÄN</t>
        </is>
      </c>
      <c r="E207" t="inlineStr">
        <is>
          <t>VIMMERBY</t>
        </is>
      </c>
      <c r="G207" t="n">
        <v>0.4</v>
      </c>
      <c r="H207" t="n">
        <v>0</v>
      </c>
      <c r="I207" t="n">
        <v>0</v>
      </c>
      <c r="J207" t="n">
        <v>0</v>
      </c>
      <c r="K207" t="n">
        <v>0</v>
      </c>
      <c r="L207" t="n">
        <v>0</v>
      </c>
      <c r="M207" t="n">
        <v>0</v>
      </c>
      <c r="N207" t="n">
        <v>0</v>
      </c>
      <c r="O207" t="n">
        <v>0</v>
      </c>
      <c r="P207" t="n">
        <v>0</v>
      </c>
      <c r="Q207" t="n">
        <v>0</v>
      </c>
      <c r="R207" s="2" t="inlineStr"/>
    </row>
    <row r="208" ht="15" customHeight="1">
      <c r="A208" t="inlineStr">
        <is>
          <t>A 40472-2022</t>
        </is>
      </c>
      <c r="B208" s="1" t="n">
        <v>44823</v>
      </c>
      <c r="C208" s="1" t="n">
        <v>45958</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8194-2022</t>
        </is>
      </c>
      <c r="B209" s="1" t="n">
        <v>44609</v>
      </c>
      <c r="C209" s="1" t="n">
        <v>45958</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15191-2021</t>
        </is>
      </c>
      <c r="B210" s="1" t="n">
        <v>44284.42348379629</v>
      </c>
      <c r="C210" s="1" t="n">
        <v>45958</v>
      </c>
      <c r="D210" t="inlineStr">
        <is>
          <t>KALMAR LÄN</t>
        </is>
      </c>
      <c r="E210" t="inlineStr">
        <is>
          <t>VIMMERBY</t>
        </is>
      </c>
      <c r="G210" t="n">
        <v>1.3</v>
      </c>
      <c r="H210" t="n">
        <v>0</v>
      </c>
      <c r="I210" t="n">
        <v>0</v>
      </c>
      <c r="J210" t="n">
        <v>0</v>
      </c>
      <c r="K210" t="n">
        <v>0</v>
      </c>
      <c r="L210" t="n">
        <v>0</v>
      </c>
      <c r="M210" t="n">
        <v>0</v>
      </c>
      <c r="N210" t="n">
        <v>0</v>
      </c>
      <c r="O210" t="n">
        <v>0</v>
      </c>
      <c r="P210" t="n">
        <v>0</v>
      </c>
      <c r="Q210" t="n">
        <v>0</v>
      </c>
      <c r="R210" s="2" t="inlineStr"/>
    </row>
    <row r="211" ht="15" customHeight="1">
      <c r="A211" t="inlineStr">
        <is>
          <t>A 40971-2021</t>
        </is>
      </c>
      <c r="B211" s="1" t="n">
        <v>44421</v>
      </c>
      <c r="C211" s="1" t="n">
        <v>45958</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68744-2020</t>
        </is>
      </c>
      <c r="B212" s="1" t="n">
        <v>44186</v>
      </c>
      <c r="C212" s="1" t="n">
        <v>45958</v>
      </c>
      <c r="D212" t="inlineStr">
        <is>
          <t>KALMAR LÄN</t>
        </is>
      </c>
      <c r="E212" t="inlineStr">
        <is>
          <t>VIMMERBY</t>
        </is>
      </c>
      <c r="G212" t="n">
        <v>2.5</v>
      </c>
      <c r="H212" t="n">
        <v>0</v>
      </c>
      <c r="I212" t="n">
        <v>0</v>
      </c>
      <c r="J212" t="n">
        <v>0</v>
      </c>
      <c r="K212" t="n">
        <v>0</v>
      </c>
      <c r="L212" t="n">
        <v>0</v>
      </c>
      <c r="M212" t="n">
        <v>0</v>
      </c>
      <c r="N212" t="n">
        <v>0</v>
      </c>
      <c r="O212" t="n">
        <v>0</v>
      </c>
      <c r="P212" t="n">
        <v>0</v>
      </c>
      <c r="Q212" t="n">
        <v>0</v>
      </c>
      <c r="R212" s="2" t="inlineStr"/>
    </row>
    <row r="213" ht="15" customHeight="1">
      <c r="A213" t="inlineStr">
        <is>
          <t>A 35316-2021</t>
        </is>
      </c>
      <c r="B213" s="1" t="n">
        <v>44384</v>
      </c>
      <c r="C213" s="1" t="n">
        <v>45958</v>
      </c>
      <c r="D213" t="inlineStr">
        <is>
          <t>KALMAR LÄN</t>
        </is>
      </c>
      <c r="E213" t="inlineStr">
        <is>
          <t>VIMMERBY</t>
        </is>
      </c>
      <c r="G213" t="n">
        <v>3.5</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45958</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33831-2022</t>
        </is>
      </c>
      <c r="B215" s="1" t="n">
        <v>44790.48503472222</v>
      </c>
      <c r="C215" s="1" t="n">
        <v>45958</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19162-2023</t>
        </is>
      </c>
      <c r="B216" s="1" t="n">
        <v>45048.59699074074</v>
      </c>
      <c r="C216" s="1" t="n">
        <v>45958</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47708-2022</t>
        </is>
      </c>
      <c r="B217" s="1" t="n">
        <v>44854.59157407407</v>
      </c>
      <c r="C217" s="1" t="n">
        <v>45958</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13457-2021</t>
        </is>
      </c>
      <c r="B218" s="1" t="n">
        <v>44273</v>
      </c>
      <c r="C218" s="1" t="n">
        <v>45958</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14278-2021</t>
        </is>
      </c>
      <c r="B219" s="1" t="n">
        <v>44278.63479166666</v>
      </c>
      <c r="C219" s="1" t="n">
        <v>45958</v>
      </c>
      <c r="D219" t="inlineStr">
        <is>
          <t>KALMAR LÄN</t>
        </is>
      </c>
      <c r="E219" t="inlineStr">
        <is>
          <t>VIMMERBY</t>
        </is>
      </c>
      <c r="F219" t="inlineStr">
        <is>
          <t>Övriga statliga verk och myndigheter</t>
        </is>
      </c>
      <c r="G219" t="n">
        <v>0.8</v>
      </c>
      <c r="H219" t="n">
        <v>0</v>
      </c>
      <c r="I219" t="n">
        <v>0</v>
      </c>
      <c r="J219" t="n">
        <v>0</v>
      </c>
      <c r="K219" t="n">
        <v>0</v>
      </c>
      <c r="L219" t="n">
        <v>0</v>
      </c>
      <c r="M219" t="n">
        <v>0</v>
      </c>
      <c r="N219" t="n">
        <v>0</v>
      </c>
      <c r="O219" t="n">
        <v>0</v>
      </c>
      <c r="P219" t="n">
        <v>0</v>
      </c>
      <c r="Q219" t="n">
        <v>0</v>
      </c>
      <c r="R219" s="2" t="inlineStr"/>
    </row>
    <row r="220" ht="15" customHeight="1">
      <c r="A220" t="inlineStr">
        <is>
          <t>A 9475-2023</t>
        </is>
      </c>
      <c r="B220" s="1" t="n">
        <v>44981.58834490741</v>
      </c>
      <c r="C220" s="1" t="n">
        <v>45958</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9918-2022</t>
        </is>
      </c>
      <c r="B221" s="1" t="n">
        <v>44620</v>
      </c>
      <c r="C221" s="1" t="n">
        <v>45958</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11946-2025</t>
        </is>
      </c>
      <c r="B222" s="1" t="n">
        <v>45728.54832175926</v>
      </c>
      <c r="C222" s="1" t="n">
        <v>45958</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19537-2022</t>
        </is>
      </c>
      <c r="B223" s="1" t="n">
        <v>44693.62822916666</v>
      </c>
      <c r="C223" s="1" t="n">
        <v>45958</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60951-2023</t>
        </is>
      </c>
      <c r="B224" s="1" t="n">
        <v>45261.44914351852</v>
      </c>
      <c r="C224" s="1" t="n">
        <v>45958</v>
      </c>
      <c r="D224" t="inlineStr">
        <is>
          <t>KALMAR LÄN</t>
        </is>
      </c>
      <c r="E224" t="inlineStr">
        <is>
          <t>VIMMERBY</t>
        </is>
      </c>
      <c r="G224" t="n">
        <v>4.3</v>
      </c>
      <c r="H224" t="n">
        <v>0</v>
      </c>
      <c r="I224" t="n">
        <v>0</v>
      </c>
      <c r="J224" t="n">
        <v>0</v>
      </c>
      <c r="K224" t="n">
        <v>0</v>
      </c>
      <c r="L224" t="n">
        <v>0</v>
      </c>
      <c r="M224" t="n">
        <v>0</v>
      </c>
      <c r="N224" t="n">
        <v>0</v>
      </c>
      <c r="O224" t="n">
        <v>0</v>
      </c>
      <c r="P224" t="n">
        <v>0</v>
      </c>
      <c r="Q224" t="n">
        <v>0</v>
      </c>
      <c r="R224" s="2" t="inlineStr"/>
    </row>
    <row r="225" ht="15" customHeight="1">
      <c r="A225" t="inlineStr">
        <is>
          <t>A 60292-2022</t>
        </is>
      </c>
      <c r="B225" s="1" t="n">
        <v>44910.54231481482</v>
      </c>
      <c r="C225" s="1" t="n">
        <v>45958</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42918-2021</t>
        </is>
      </c>
      <c r="B226" s="1" t="n">
        <v>44431</v>
      </c>
      <c r="C226" s="1" t="n">
        <v>45958</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55300-2021</t>
        </is>
      </c>
      <c r="B227" s="1" t="n">
        <v>44475</v>
      </c>
      <c r="C227" s="1" t="n">
        <v>45958</v>
      </c>
      <c r="D227" t="inlineStr">
        <is>
          <t>KALMAR LÄN</t>
        </is>
      </c>
      <c r="E227" t="inlineStr">
        <is>
          <t>VIMMERBY</t>
        </is>
      </c>
      <c r="G227" t="n">
        <v>3.4</v>
      </c>
      <c r="H227" t="n">
        <v>0</v>
      </c>
      <c r="I227" t="n">
        <v>0</v>
      </c>
      <c r="J227" t="n">
        <v>0</v>
      </c>
      <c r="K227" t="n">
        <v>0</v>
      </c>
      <c r="L227" t="n">
        <v>0</v>
      </c>
      <c r="M227" t="n">
        <v>0</v>
      </c>
      <c r="N227" t="n">
        <v>0</v>
      </c>
      <c r="O227" t="n">
        <v>0</v>
      </c>
      <c r="P227" t="n">
        <v>0</v>
      </c>
      <c r="Q227" t="n">
        <v>0</v>
      </c>
      <c r="R227" s="2" t="inlineStr"/>
    </row>
    <row r="228" ht="15" customHeight="1">
      <c r="A228" t="inlineStr">
        <is>
          <t>A 7485-2024</t>
        </is>
      </c>
      <c r="B228" s="1" t="n">
        <v>45346.67184027778</v>
      </c>
      <c r="C228" s="1" t="n">
        <v>45958</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22643-2023</t>
        </is>
      </c>
      <c r="B229" s="1" t="n">
        <v>45071</v>
      </c>
      <c r="C229" s="1" t="n">
        <v>45958</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12590-2025</t>
        </is>
      </c>
      <c r="B230" s="1" t="n">
        <v>45732.79925925926</v>
      </c>
      <c r="C230" s="1" t="n">
        <v>45958</v>
      </c>
      <c r="D230" t="inlineStr">
        <is>
          <t>KALMAR LÄN</t>
        </is>
      </c>
      <c r="E230" t="inlineStr">
        <is>
          <t>VIMMERBY</t>
        </is>
      </c>
      <c r="G230" t="n">
        <v>0.8</v>
      </c>
      <c r="H230" t="n">
        <v>0</v>
      </c>
      <c r="I230" t="n">
        <v>0</v>
      </c>
      <c r="J230" t="n">
        <v>0</v>
      </c>
      <c r="K230" t="n">
        <v>0</v>
      </c>
      <c r="L230" t="n">
        <v>0</v>
      </c>
      <c r="M230" t="n">
        <v>0</v>
      </c>
      <c r="N230" t="n">
        <v>0</v>
      </c>
      <c r="O230" t="n">
        <v>0</v>
      </c>
      <c r="P230" t="n">
        <v>0</v>
      </c>
      <c r="Q230" t="n">
        <v>0</v>
      </c>
      <c r="R230" s="2" t="inlineStr"/>
    </row>
    <row r="231" ht="15" customHeight="1">
      <c r="A231" t="inlineStr">
        <is>
          <t>A 44179-2022</t>
        </is>
      </c>
      <c r="B231" s="1" t="n">
        <v>44839.4528125</v>
      </c>
      <c r="C231" s="1" t="n">
        <v>45958</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18669-2025</t>
        </is>
      </c>
      <c r="B232" s="1" t="n">
        <v>45763.59436342592</v>
      </c>
      <c r="C232" s="1" t="n">
        <v>45958</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38780-2021</t>
        </is>
      </c>
      <c r="B233" s="1" t="n">
        <v>44410</v>
      </c>
      <c r="C233" s="1" t="n">
        <v>45958</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35710-2023</t>
        </is>
      </c>
      <c r="B234" s="1" t="n">
        <v>45147.67096064815</v>
      </c>
      <c r="C234" s="1" t="n">
        <v>45958</v>
      </c>
      <c r="D234" t="inlineStr">
        <is>
          <t>KALMAR LÄN</t>
        </is>
      </c>
      <c r="E234" t="inlineStr">
        <is>
          <t>VIMMERBY</t>
        </is>
      </c>
      <c r="G234" t="n">
        <v>3.1</v>
      </c>
      <c r="H234" t="n">
        <v>0</v>
      </c>
      <c r="I234" t="n">
        <v>0</v>
      </c>
      <c r="J234" t="n">
        <v>0</v>
      </c>
      <c r="K234" t="n">
        <v>0</v>
      </c>
      <c r="L234" t="n">
        <v>0</v>
      </c>
      <c r="M234" t="n">
        <v>0</v>
      </c>
      <c r="N234" t="n">
        <v>0</v>
      </c>
      <c r="O234" t="n">
        <v>0</v>
      </c>
      <c r="P234" t="n">
        <v>0</v>
      </c>
      <c r="Q234" t="n">
        <v>0</v>
      </c>
      <c r="R234" s="2" t="inlineStr"/>
    </row>
    <row r="235" ht="15" customHeight="1">
      <c r="A235" t="inlineStr">
        <is>
          <t>A 52823-2024</t>
        </is>
      </c>
      <c r="B235" s="1" t="n">
        <v>45610.59094907407</v>
      </c>
      <c r="C235" s="1" t="n">
        <v>45958</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29020-2024</t>
        </is>
      </c>
      <c r="B236" s="1" t="n">
        <v>45481.58048611111</v>
      </c>
      <c r="C236" s="1" t="n">
        <v>45958</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30406-2023</t>
        </is>
      </c>
      <c r="B237" s="1" t="n">
        <v>45111.48787037037</v>
      </c>
      <c r="C237" s="1" t="n">
        <v>45958</v>
      </c>
      <c r="D237" t="inlineStr">
        <is>
          <t>KALMAR LÄN</t>
        </is>
      </c>
      <c r="E237" t="inlineStr">
        <is>
          <t>VIMMERBY</t>
        </is>
      </c>
      <c r="G237" t="n">
        <v>2.4</v>
      </c>
      <c r="H237" t="n">
        <v>0</v>
      </c>
      <c r="I237" t="n">
        <v>0</v>
      </c>
      <c r="J237" t="n">
        <v>0</v>
      </c>
      <c r="K237" t="n">
        <v>0</v>
      </c>
      <c r="L237" t="n">
        <v>0</v>
      </c>
      <c r="M237" t="n">
        <v>0</v>
      </c>
      <c r="N237" t="n">
        <v>0</v>
      </c>
      <c r="O237" t="n">
        <v>0</v>
      </c>
      <c r="P237" t="n">
        <v>0</v>
      </c>
      <c r="Q237" t="n">
        <v>0</v>
      </c>
      <c r="R237" s="2" t="inlineStr"/>
    </row>
    <row r="238" ht="15" customHeight="1">
      <c r="A238" t="inlineStr">
        <is>
          <t>A 11147-2023</t>
        </is>
      </c>
      <c r="B238" s="1" t="n">
        <v>44992</v>
      </c>
      <c r="C238" s="1" t="n">
        <v>45958</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13817-2024</t>
        </is>
      </c>
      <c r="B239" s="1" t="n">
        <v>45391.41976851852</v>
      </c>
      <c r="C239" s="1" t="n">
        <v>45958</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19833-2023</t>
        </is>
      </c>
      <c r="B240" s="1" t="n">
        <v>45052</v>
      </c>
      <c r="C240" s="1" t="n">
        <v>45958</v>
      </c>
      <c r="D240" t="inlineStr">
        <is>
          <t>KALMAR LÄN</t>
        </is>
      </c>
      <c r="E240" t="inlineStr">
        <is>
          <t>VIMMERBY</t>
        </is>
      </c>
      <c r="G240" t="n">
        <v>6.7</v>
      </c>
      <c r="H240" t="n">
        <v>0</v>
      </c>
      <c r="I240" t="n">
        <v>0</v>
      </c>
      <c r="J240" t="n">
        <v>0</v>
      </c>
      <c r="K240" t="n">
        <v>0</v>
      </c>
      <c r="L240" t="n">
        <v>0</v>
      </c>
      <c r="M240" t="n">
        <v>0</v>
      </c>
      <c r="N240" t="n">
        <v>0</v>
      </c>
      <c r="O240" t="n">
        <v>0</v>
      </c>
      <c r="P240" t="n">
        <v>0</v>
      </c>
      <c r="Q240" t="n">
        <v>0</v>
      </c>
      <c r="R240" s="2" t="inlineStr"/>
    </row>
    <row r="241" ht="15" customHeight="1">
      <c r="A241" t="inlineStr">
        <is>
          <t>A 52755-2022</t>
        </is>
      </c>
      <c r="B241" s="1" t="n">
        <v>44875.27736111111</v>
      </c>
      <c r="C241" s="1" t="n">
        <v>45958</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35998-2024</t>
        </is>
      </c>
      <c r="B242" s="1" t="n">
        <v>45533.54429398148</v>
      </c>
      <c r="C242" s="1" t="n">
        <v>45958</v>
      </c>
      <c r="D242" t="inlineStr">
        <is>
          <t>KALMAR LÄN</t>
        </is>
      </c>
      <c r="E242" t="inlineStr">
        <is>
          <t>VIMMERBY</t>
        </is>
      </c>
      <c r="G242" t="n">
        <v>8.6</v>
      </c>
      <c r="H242" t="n">
        <v>0</v>
      </c>
      <c r="I242" t="n">
        <v>0</v>
      </c>
      <c r="J242" t="n">
        <v>0</v>
      </c>
      <c r="K242" t="n">
        <v>0</v>
      </c>
      <c r="L242" t="n">
        <v>0</v>
      </c>
      <c r="M242" t="n">
        <v>0</v>
      </c>
      <c r="N242" t="n">
        <v>0</v>
      </c>
      <c r="O242" t="n">
        <v>0</v>
      </c>
      <c r="P242" t="n">
        <v>0</v>
      </c>
      <c r="Q242" t="n">
        <v>0</v>
      </c>
      <c r="R242" s="2" t="inlineStr"/>
    </row>
    <row r="243" ht="15" customHeight="1">
      <c r="A243" t="inlineStr">
        <is>
          <t>A 7797-2023</t>
        </is>
      </c>
      <c r="B243" s="1" t="n">
        <v>44973.43075231482</v>
      </c>
      <c r="C243" s="1" t="n">
        <v>45958</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29351-2023</t>
        </is>
      </c>
      <c r="B244" s="1" t="n">
        <v>45106.2610300926</v>
      </c>
      <c r="C244" s="1" t="n">
        <v>45958</v>
      </c>
      <c r="D244" t="inlineStr">
        <is>
          <t>KALMAR LÄN</t>
        </is>
      </c>
      <c r="E244" t="inlineStr">
        <is>
          <t>VIMMERBY</t>
        </is>
      </c>
      <c r="G244" t="n">
        <v>0.4</v>
      </c>
      <c r="H244" t="n">
        <v>0</v>
      </c>
      <c r="I244" t="n">
        <v>0</v>
      </c>
      <c r="J244" t="n">
        <v>0</v>
      </c>
      <c r="K244" t="n">
        <v>0</v>
      </c>
      <c r="L244" t="n">
        <v>0</v>
      </c>
      <c r="M244" t="n">
        <v>0</v>
      </c>
      <c r="N244" t="n">
        <v>0</v>
      </c>
      <c r="O244" t="n">
        <v>0</v>
      </c>
      <c r="P244" t="n">
        <v>0</v>
      </c>
      <c r="Q244" t="n">
        <v>0</v>
      </c>
      <c r="R244" s="2" t="inlineStr"/>
    </row>
    <row r="245" ht="15" customHeight="1">
      <c r="A245" t="inlineStr">
        <is>
          <t>A 7630-2025</t>
        </is>
      </c>
      <c r="B245" s="1" t="n">
        <v>45705.74418981482</v>
      </c>
      <c r="C245" s="1" t="n">
        <v>45958</v>
      </c>
      <c r="D245" t="inlineStr">
        <is>
          <t>KALMAR LÄN</t>
        </is>
      </c>
      <c r="E245" t="inlineStr">
        <is>
          <t>VIMMERBY</t>
        </is>
      </c>
      <c r="G245" t="n">
        <v>2.5</v>
      </c>
      <c r="H245" t="n">
        <v>0</v>
      </c>
      <c r="I245" t="n">
        <v>0</v>
      </c>
      <c r="J245" t="n">
        <v>0</v>
      </c>
      <c r="K245" t="n">
        <v>0</v>
      </c>
      <c r="L245" t="n">
        <v>0</v>
      </c>
      <c r="M245" t="n">
        <v>0</v>
      </c>
      <c r="N245" t="n">
        <v>0</v>
      </c>
      <c r="O245" t="n">
        <v>0</v>
      </c>
      <c r="P245" t="n">
        <v>0</v>
      </c>
      <c r="Q245" t="n">
        <v>0</v>
      </c>
      <c r="R245" s="2" t="inlineStr"/>
    </row>
    <row r="246" ht="15" customHeight="1">
      <c r="A246" t="inlineStr">
        <is>
          <t>A 1024-2024</t>
        </is>
      </c>
      <c r="B246" s="1" t="n">
        <v>45301.68237268519</v>
      </c>
      <c r="C246" s="1" t="n">
        <v>45958</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14548-2024</t>
        </is>
      </c>
      <c r="B247" s="1" t="n">
        <v>45394.66887731481</v>
      </c>
      <c r="C247" s="1" t="n">
        <v>45958</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585-2024</t>
        </is>
      </c>
      <c r="B248" s="1" t="n">
        <v>45299.62576388889</v>
      </c>
      <c r="C248" s="1" t="n">
        <v>45958</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56020-2024</t>
        </is>
      </c>
      <c r="B249" s="1" t="n">
        <v>45623.9525462963</v>
      </c>
      <c r="C249" s="1" t="n">
        <v>45958</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10787-2025</t>
        </is>
      </c>
      <c r="B250" s="1" t="n">
        <v>45722.48915509259</v>
      </c>
      <c r="C250" s="1" t="n">
        <v>45958</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23252-2024</t>
        </is>
      </c>
      <c r="B251" s="1" t="n">
        <v>45453.36067129629</v>
      </c>
      <c r="C251" s="1" t="n">
        <v>45958</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15550-2023</t>
        </is>
      </c>
      <c r="B252" s="1" t="n">
        <v>45020</v>
      </c>
      <c r="C252" s="1" t="n">
        <v>45958</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11219-2023</t>
        </is>
      </c>
      <c r="B253" s="1" t="n">
        <v>44992.62498842592</v>
      </c>
      <c r="C253" s="1" t="n">
        <v>45958</v>
      </c>
      <c r="D253" t="inlineStr">
        <is>
          <t>KALMAR LÄN</t>
        </is>
      </c>
      <c r="E253" t="inlineStr">
        <is>
          <t>VIMMERBY</t>
        </is>
      </c>
      <c r="G253" t="n">
        <v>2.5</v>
      </c>
      <c r="H253" t="n">
        <v>0</v>
      </c>
      <c r="I253" t="n">
        <v>0</v>
      </c>
      <c r="J253" t="n">
        <v>0</v>
      </c>
      <c r="K253" t="n">
        <v>0</v>
      </c>
      <c r="L253" t="n">
        <v>0</v>
      </c>
      <c r="M253" t="n">
        <v>0</v>
      </c>
      <c r="N253" t="n">
        <v>0</v>
      </c>
      <c r="O253" t="n">
        <v>0</v>
      </c>
      <c r="P253" t="n">
        <v>0</v>
      </c>
      <c r="Q253" t="n">
        <v>0</v>
      </c>
      <c r="R253" s="2" t="inlineStr"/>
    </row>
    <row r="254" ht="15" customHeight="1">
      <c r="A254" t="inlineStr">
        <is>
          <t>A 29350-2023</t>
        </is>
      </c>
      <c r="B254" s="1" t="n">
        <v>45106</v>
      </c>
      <c r="C254" s="1" t="n">
        <v>45958</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18411-2021</t>
        </is>
      </c>
      <c r="B255" s="1" t="n">
        <v>44302</v>
      </c>
      <c r="C255" s="1" t="n">
        <v>45958</v>
      </c>
      <c r="D255" t="inlineStr">
        <is>
          <t>KALMAR LÄN</t>
        </is>
      </c>
      <c r="E255" t="inlineStr">
        <is>
          <t>VIMMERBY</t>
        </is>
      </c>
      <c r="G255" t="n">
        <v>0.7</v>
      </c>
      <c r="H255" t="n">
        <v>0</v>
      </c>
      <c r="I255" t="n">
        <v>0</v>
      </c>
      <c r="J255" t="n">
        <v>0</v>
      </c>
      <c r="K255" t="n">
        <v>0</v>
      </c>
      <c r="L255" t="n">
        <v>0</v>
      </c>
      <c r="M255" t="n">
        <v>0</v>
      </c>
      <c r="N255" t="n">
        <v>0</v>
      </c>
      <c r="O255" t="n">
        <v>0</v>
      </c>
      <c r="P255" t="n">
        <v>0</v>
      </c>
      <c r="Q255" t="n">
        <v>0</v>
      </c>
      <c r="R255" s="2" t="inlineStr"/>
    </row>
    <row r="256" ht="15" customHeight="1">
      <c r="A256" t="inlineStr">
        <is>
          <t>A 47855-2024</t>
        </is>
      </c>
      <c r="B256" s="1" t="n">
        <v>45588.66457175926</v>
      </c>
      <c r="C256" s="1" t="n">
        <v>45958</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14855-2025</t>
        </is>
      </c>
      <c r="B257" s="1" t="n">
        <v>45743.41148148148</v>
      </c>
      <c r="C257" s="1" t="n">
        <v>45958</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43601-2024</t>
        </is>
      </c>
      <c r="B258" s="1" t="n">
        <v>45569.44684027778</v>
      </c>
      <c r="C258" s="1" t="n">
        <v>45958</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172-2022</t>
        </is>
      </c>
      <c r="B259" s="1" t="n">
        <v>44564.62598379629</v>
      </c>
      <c r="C259" s="1" t="n">
        <v>45958</v>
      </c>
      <c r="D259" t="inlineStr">
        <is>
          <t>KALMAR LÄN</t>
        </is>
      </c>
      <c r="E259" t="inlineStr">
        <is>
          <t>VIMMERBY</t>
        </is>
      </c>
      <c r="G259" t="n">
        <v>2.1</v>
      </c>
      <c r="H259" t="n">
        <v>0</v>
      </c>
      <c r="I259" t="n">
        <v>0</v>
      </c>
      <c r="J259" t="n">
        <v>0</v>
      </c>
      <c r="K259" t="n">
        <v>0</v>
      </c>
      <c r="L259" t="n">
        <v>0</v>
      </c>
      <c r="M259" t="n">
        <v>0</v>
      </c>
      <c r="N259" t="n">
        <v>0</v>
      </c>
      <c r="O259" t="n">
        <v>0</v>
      </c>
      <c r="P259" t="n">
        <v>0</v>
      </c>
      <c r="Q259" t="n">
        <v>0</v>
      </c>
      <c r="R259" s="2" t="inlineStr"/>
    </row>
    <row r="260" ht="15" customHeight="1">
      <c r="A260" t="inlineStr">
        <is>
          <t>A 39584-2024</t>
        </is>
      </c>
      <c r="B260" s="1" t="n">
        <v>45552.36759259259</v>
      </c>
      <c r="C260" s="1" t="n">
        <v>45958</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35913-2023</t>
        </is>
      </c>
      <c r="B261" s="1" t="n">
        <v>45148</v>
      </c>
      <c r="C261" s="1" t="n">
        <v>45958</v>
      </c>
      <c r="D261" t="inlineStr">
        <is>
          <t>KALMAR LÄN</t>
        </is>
      </c>
      <c r="E261" t="inlineStr">
        <is>
          <t>VIMMERBY</t>
        </is>
      </c>
      <c r="G261" t="n">
        <v>6.9</v>
      </c>
      <c r="H261" t="n">
        <v>0</v>
      </c>
      <c r="I261" t="n">
        <v>0</v>
      </c>
      <c r="J261" t="n">
        <v>0</v>
      </c>
      <c r="K261" t="n">
        <v>0</v>
      </c>
      <c r="L261" t="n">
        <v>0</v>
      </c>
      <c r="M261" t="n">
        <v>0</v>
      </c>
      <c r="N261" t="n">
        <v>0</v>
      </c>
      <c r="O261" t="n">
        <v>0</v>
      </c>
      <c r="P261" t="n">
        <v>0</v>
      </c>
      <c r="Q261" t="n">
        <v>0</v>
      </c>
      <c r="R261" s="2" t="inlineStr"/>
    </row>
    <row r="262" ht="15" customHeight="1">
      <c r="A262" t="inlineStr">
        <is>
          <t>A 51881-2024</t>
        </is>
      </c>
      <c r="B262" s="1" t="n">
        <v>45607.56773148148</v>
      </c>
      <c r="C262" s="1" t="n">
        <v>45958</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2596-2025</t>
        </is>
      </c>
      <c r="B263" s="1" t="n">
        <v>45674.71810185185</v>
      </c>
      <c r="C263" s="1" t="n">
        <v>45958</v>
      </c>
      <c r="D263" t="inlineStr">
        <is>
          <t>KALMAR LÄN</t>
        </is>
      </c>
      <c r="E263" t="inlineStr">
        <is>
          <t>VIMMERBY</t>
        </is>
      </c>
      <c r="G263" t="n">
        <v>9</v>
      </c>
      <c r="H263" t="n">
        <v>0</v>
      </c>
      <c r="I263" t="n">
        <v>0</v>
      </c>
      <c r="J263" t="n">
        <v>0</v>
      </c>
      <c r="K263" t="n">
        <v>0</v>
      </c>
      <c r="L263" t="n">
        <v>0</v>
      </c>
      <c r="M263" t="n">
        <v>0</v>
      </c>
      <c r="N263" t="n">
        <v>0</v>
      </c>
      <c r="O263" t="n">
        <v>0</v>
      </c>
      <c r="P263" t="n">
        <v>0</v>
      </c>
      <c r="Q263" t="n">
        <v>0</v>
      </c>
      <c r="R263" s="2" t="inlineStr"/>
    </row>
    <row r="264" ht="15" customHeight="1">
      <c r="A264" t="inlineStr">
        <is>
          <t>A 9624-2024</t>
        </is>
      </c>
      <c r="B264" s="1" t="n">
        <v>45361.90282407407</v>
      </c>
      <c r="C264" s="1" t="n">
        <v>45958</v>
      </c>
      <c r="D264" t="inlineStr">
        <is>
          <t>KALMAR LÄN</t>
        </is>
      </c>
      <c r="E264" t="inlineStr">
        <is>
          <t>VIMMERBY</t>
        </is>
      </c>
      <c r="G264" t="n">
        <v>3.8</v>
      </c>
      <c r="H264" t="n">
        <v>0</v>
      </c>
      <c r="I264" t="n">
        <v>0</v>
      </c>
      <c r="J264" t="n">
        <v>0</v>
      </c>
      <c r="K264" t="n">
        <v>0</v>
      </c>
      <c r="L264" t="n">
        <v>0</v>
      </c>
      <c r="M264" t="n">
        <v>0</v>
      </c>
      <c r="N264" t="n">
        <v>0</v>
      </c>
      <c r="O264" t="n">
        <v>0</v>
      </c>
      <c r="P264" t="n">
        <v>0</v>
      </c>
      <c r="Q264" t="n">
        <v>0</v>
      </c>
      <c r="R264" s="2" t="inlineStr"/>
    </row>
    <row r="265" ht="15" customHeight="1">
      <c r="A265" t="inlineStr">
        <is>
          <t>A 3938-2023</t>
        </is>
      </c>
      <c r="B265" s="1" t="n">
        <v>44952.35775462963</v>
      </c>
      <c r="C265" s="1" t="n">
        <v>45958</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16734-2023</t>
        </is>
      </c>
      <c r="B266" s="1" t="n">
        <v>45030.71012731481</v>
      </c>
      <c r="C266" s="1" t="n">
        <v>45958</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39053-2024</t>
        </is>
      </c>
      <c r="B267" s="1" t="n">
        <v>45548</v>
      </c>
      <c r="C267" s="1" t="n">
        <v>45958</v>
      </c>
      <c r="D267" t="inlineStr">
        <is>
          <t>KALMAR LÄN</t>
        </is>
      </c>
      <c r="E267" t="inlineStr">
        <is>
          <t>VIMMERBY</t>
        </is>
      </c>
      <c r="G267" t="n">
        <v>5</v>
      </c>
      <c r="H267" t="n">
        <v>0</v>
      </c>
      <c r="I267" t="n">
        <v>0</v>
      </c>
      <c r="J267" t="n">
        <v>0</v>
      </c>
      <c r="K267" t="n">
        <v>0</v>
      </c>
      <c r="L267" t="n">
        <v>0</v>
      </c>
      <c r="M267" t="n">
        <v>0</v>
      </c>
      <c r="N267" t="n">
        <v>0</v>
      </c>
      <c r="O267" t="n">
        <v>0</v>
      </c>
      <c r="P267" t="n">
        <v>0</v>
      </c>
      <c r="Q267" t="n">
        <v>0</v>
      </c>
      <c r="R267" s="2" t="inlineStr"/>
    </row>
    <row r="268" ht="15" customHeight="1">
      <c r="A268" t="inlineStr">
        <is>
          <t>A 20129-2024</t>
        </is>
      </c>
      <c r="B268" s="1" t="n">
        <v>45434.55831018519</v>
      </c>
      <c r="C268" s="1" t="n">
        <v>45958</v>
      </c>
      <c r="D268" t="inlineStr">
        <is>
          <t>KALMAR LÄN</t>
        </is>
      </c>
      <c r="E268" t="inlineStr">
        <is>
          <t>VIMMERBY</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20137-2024</t>
        </is>
      </c>
      <c r="B269" s="1" t="n">
        <v>45434.56398148148</v>
      </c>
      <c r="C269" s="1" t="n">
        <v>45958</v>
      </c>
      <c r="D269" t="inlineStr">
        <is>
          <t>KALMAR LÄN</t>
        </is>
      </c>
      <c r="E269" t="inlineStr">
        <is>
          <t>VIMMERBY</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7456-2024</t>
        </is>
      </c>
      <c r="B270" s="1" t="n">
        <v>45345.83557870371</v>
      </c>
      <c r="C270" s="1" t="n">
        <v>45958</v>
      </c>
      <c r="D270" t="inlineStr">
        <is>
          <t>KALMAR LÄN</t>
        </is>
      </c>
      <c r="E270" t="inlineStr">
        <is>
          <t>VIMMERBY</t>
        </is>
      </c>
      <c r="G270" t="n">
        <v>4.1</v>
      </c>
      <c r="H270" t="n">
        <v>0</v>
      </c>
      <c r="I270" t="n">
        <v>0</v>
      </c>
      <c r="J270" t="n">
        <v>0</v>
      </c>
      <c r="K270" t="n">
        <v>0</v>
      </c>
      <c r="L270" t="n">
        <v>0</v>
      </c>
      <c r="M270" t="n">
        <v>0</v>
      </c>
      <c r="N270" t="n">
        <v>0</v>
      </c>
      <c r="O270" t="n">
        <v>0</v>
      </c>
      <c r="P270" t="n">
        <v>0</v>
      </c>
      <c r="Q270" t="n">
        <v>0</v>
      </c>
      <c r="R270" s="2" t="inlineStr"/>
    </row>
    <row r="271" ht="15" customHeight="1">
      <c r="A271" t="inlineStr">
        <is>
          <t>A 14451-2024</t>
        </is>
      </c>
      <c r="B271" s="1" t="n">
        <v>45394.50028935185</v>
      </c>
      <c r="C271" s="1" t="n">
        <v>45958</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52324-2023</t>
        </is>
      </c>
      <c r="B272" s="1" t="n">
        <v>45224.64659722222</v>
      </c>
      <c r="C272" s="1" t="n">
        <v>45958</v>
      </c>
      <c r="D272" t="inlineStr">
        <is>
          <t>KALMAR LÄN</t>
        </is>
      </c>
      <c r="E272" t="inlineStr">
        <is>
          <t>VIMMERBY</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34205-2023</t>
        </is>
      </c>
      <c r="B273" s="1" t="n">
        <v>45138</v>
      </c>
      <c r="C273" s="1" t="n">
        <v>45958</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22399-2025</t>
        </is>
      </c>
      <c r="B274" s="1" t="n">
        <v>45786.52996527778</v>
      </c>
      <c r="C274" s="1" t="n">
        <v>45958</v>
      </c>
      <c r="D274" t="inlineStr">
        <is>
          <t>KALMAR LÄN</t>
        </is>
      </c>
      <c r="E274" t="inlineStr">
        <is>
          <t>VIMMERBY</t>
        </is>
      </c>
      <c r="G274" t="n">
        <v>2.1</v>
      </c>
      <c r="H274" t="n">
        <v>0</v>
      </c>
      <c r="I274" t="n">
        <v>0</v>
      </c>
      <c r="J274" t="n">
        <v>0</v>
      </c>
      <c r="K274" t="n">
        <v>0</v>
      </c>
      <c r="L274" t="n">
        <v>0</v>
      </c>
      <c r="M274" t="n">
        <v>0</v>
      </c>
      <c r="N274" t="n">
        <v>0</v>
      </c>
      <c r="O274" t="n">
        <v>0</v>
      </c>
      <c r="P274" t="n">
        <v>0</v>
      </c>
      <c r="Q274" t="n">
        <v>0</v>
      </c>
      <c r="R274" s="2" t="inlineStr"/>
    </row>
    <row r="275" ht="15" customHeight="1">
      <c r="A275" t="inlineStr">
        <is>
          <t>A 22397-2025</t>
        </is>
      </c>
      <c r="B275" s="1" t="n">
        <v>45786.52878472222</v>
      </c>
      <c r="C275" s="1" t="n">
        <v>45958</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17988-2025</t>
        </is>
      </c>
      <c r="B276" s="1" t="n">
        <v>45761.39600694444</v>
      </c>
      <c r="C276" s="1" t="n">
        <v>45958</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23341-2022</t>
        </is>
      </c>
      <c r="B277" s="1" t="n">
        <v>44720.53898148148</v>
      </c>
      <c r="C277" s="1" t="n">
        <v>45958</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25582-2024</t>
        </is>
      </c>
      <c r="B278" s="1" t="n">
        <v>45463</v>
      </c>
      <c r="C278" s="1" t="n">
        <v>45958</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37028-2024</t>
        </is>
      </c>
      <c r="B279" s="1" t="n">
        <v>45539.38744212963</v>
      </c>
      <c r="C279" s="1" t="n">
        <v>45958</v>
      </c>
      <c r="D279" t="inlineStr">
        <is>
          <t>KALMAR LÄN</t>
        </is>
      </c>
      <c r="E279" t="inlineStr">
        <is>
          <t>VIMMERBY</t>
        </is>
      </c>
      <c r="G279" t="n">
        <v>5.2</v>
      </c>
      <c r="H279" t="n">
        <v>0</v>
      </c>
      <c r="I279" t="n">
        <v>0</v>
      </c>
      <c r="J279" t="n">
        <v>0</v>
      </c>
      <c r="K279" t="n">
        <v>0</v>
      </c>
      <c r="L279" t="n">
        <v>0</v>
      </c>
      <c r="M279" t="n">
        <v>0</v>
      </c>
      <c r="N279" t="n">
        <v>0</v>
      </c>
      <c r="O279" t="n">
        <v>0</v>
      </c>
      <c r="P279" t="n">
        <v>0</v>
      </c>
      <c r="Q279" t="n">
        <v>0</v>
      </c>
      <c r="R279" s="2" t="inlineStr"/>
    </row>
    <row r="280" ht="15" customHeight="1">
      <c r="A280" t="inlineStr">
        <is>
          <t>A 57578-2024</t>
        </is>
      </c>
      <c r="B280" s="1" t="n">
        <v>45630.47564814815</v>
      </c>
      <c r="C280" s="1" t="n">
        <v>45958</v>
      </c>
      <c r="D280" t="inlineStr">
        <is>
          <t>KALMAR LÄN</t>
        </is>
      </c>
      <c r="E280" t="inlineStr">
        <is>
          <t>VIMMERBY</t>
        </is>
      </c>
      <c r="G280" t="n">
        <v>2.6</v>
      </c>
      <c r="H280" t="n">
        <v>0</v>
      </c>
      <c r="I280" t="n">
        <v>0</v>
      </c>
      <c r="J280" t="n">
        <v>0</v>
      </c>
      <c r="K280" t="n">
        <v>0</v>
      </c>
      <c r="L280" t="n">
        <v>0</v>
      </c>
      <c r="M280" t="n">
        <v>0</v>
      </c>
      <c r="N280" t="n">
        <v>0</v>
      </c>
      <c r="O280" t="n">
        <v>0</v>
      </c>
      <c r="P280" t="n">
        <v>0</v>
      </c>
      <c r="Q280" t="n">
        <v>0</v>
      </c>
      <c r="R280" s="2" t="inlineStr"/>
    </row>
    <row r="281" ht="15" customHeight="1">
      <c r="A281" t="inlineStr">
        <is>
          <t>A 6668-2023</t>
        </is>
      </c>
      <c r="B281" s="1" t="n">
        <v>44966</v>
      </c>
      <c r="C281" s="1" t="n">
        <v>45958</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29168-2024</t>
        </is>
      </c>
      <c r="B282" s="1" t="n">
        <v>45482.49870370371</v>
      </c>
      <c r="C282" s="1" t="n">
        <v>45958</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3268-2024</t>
        </is>
      </c>
      <c r="B283" s="1" t="n">
        <v>45317</v>
      </c>
      <c r="C283" s="1" t="n">
        <v>45958</v>
      </c>
      <c r="D283" t="inlineStr">
        <is>
          <t>KALMAR LÄN</t>
        </is>
      </c>
      <c r="E283" t="inlineStr">
        <is>
          <t>VIMMERBY</t>
        </is>
      </c>
      <c r="F283" t="inlineStr">
        <is>
          <t>Övriga Aktiebolag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8086-2021</t>
        </is>
      </c>
      <c r="B284" s="1" t="n">
        <v>44243</v>
      </c>
      <c r="C284" s="1" t="n">
        <v>45958</v>
      </c>
      <c r="D284" t="inlineStr">
        <is>
          <t>KALMAR LÄN</t>
        </is>
      </c>
      <c r="E284" t="inlineStr">
        <is>
          <t>VIMMERBY</t>
        </is>
      </c>
      <c r="G284" t="n">
        <v>4.1</v>
      </c>
      <c r="H284" t="n">
        <v>0</v>
      </c>
      <c r="I284" t="n">
        <v>0</v>
      </c>
      <c r="J284" t="n">
        <v>0</v>
      </c>
      <c r="K284" t="n">
        <v>0</v>
      </c>
      <c r="L284" t="n">
        <v>0</v>
      </c>
      <c r="M284" t="n">
        <v>0</v>
      </c>
      <c r="N284" t="n">
        <v>0</v>
      </c>
      <c r="O284" t="n">
        <v>0</v>
      </c>
      <c r="P284" t="n">
        <v>0</v>
      </c>
      <c r="Q284" t="n">
        <v>0</v>
      </c>
      <c r="R284" s="2" t="inlineStr"/>
    </row>
    <row r="285" ht="15" customHeight="1">
      <c r="A285" t="inlineStr">
        <is>
          <t>A 55236-2023</t>
        </is>
      </c>
      <c r="B285" s="1" t="n">
        <v>45237.63225694445</v>
      </c>
      <c r="C285" s="1" t="n">
        <v>45958</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55245-2023</t>
        </is>
      </c>
      <c r="B286" s="1" t="n">
        <v>45237.64408564815</v>
      </c>
      <c r="C286" s="1" t="n">
        <v>45958</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36055-2024</t>
        </is>
      </c>
      <c r="B287" s="1" t="n">
        <v>45533.63056712963</v>
      </c>
      <c r="C287" s="1" t="n">
        <v>45958</v>
      </c>
      <c r="D287" t="inlineStr">
        <is>
          <t>KALMAR LÄN</t>
        </is>
      </c>
      <c r="E287" t="inlineStr">
        <is>
          <t>VIMMERBY</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12819-2024</t>
        </is>
      </c>
      <c r="B288" s="1" t="n">
        <v>45384.66917824074</v>
      </c>
      <c r="C288" s="1" t="n">
        <v>45958</v>
      </c>
      <c r="D288" t="inlineStr">
        <is>
          <t>KALMAR LÄN</t>
        </is>
      </c>
      <c r="E288" t="inlineStr">
        <is>
          <t>VIMMERBY</t>
        </is>
      </c>
      <c r="G288" t="n">
        <v>5.1</v>
      </c>
      <c r="H288" t="n">
        <v>0</v>
      </c>
      <c r="I288" t="n">
        <v>0</v>
      </c>
      <c r="J288" t="n">
        <v>0</v>
      </c>
      <c r="K288" t="n">
        <v>0</v>
      </c>
      <c r="L288" t="n">
        <v>0</v>
      </c>
      <c r="M288" t="n">
        <v>0</v>
      </c>
      <c r="N288" t="n">
        <v>0</v>
      </c>
      <c r="O288" t="n">
        <v>0</v>
      </c>
      <c r="P288" t="n">
        <v>0</v>
      </c>
      <c r="Q288" t="n">
        <v>0</v>
      </c>
      <c r="R288" s="2" t="inlineStr"/>
    </row>
    <row r="289" ht="15" customHeight="1">
      <c r="A289" t="inlineStr">
        <is>
          <t>A 6307-2025</t>
        </is>
      </c>
      <c r="B289" s="1" t="n">
        <v>45698.69016203703</v>
      </c>
      <c r="C289" s="1" t="n">
        <v>45958</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11442-2025</t>
        </is>
      </c>
      <c r="B290" s="1" t="n">
        <v>45726.62721064815</v>
      </c>
      <c r="C290" s="1" t="n">
        <v>45958</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6214-2025</t>
        </is>
      </c>
      <c r="B291" s="1" t="n">
        <v>45698.51711805556</v>
      </c>
      <c r="C291" s="1" t="n">
        <v>45958</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32569-2024</t>
        </is>
      </c>
      <c r="B292" s="1" t="n">
        <v>45513.55840277778</v>
      </c>
      <c r="C292" s="1" t="n">
        <v>45958</v>
      </c>
      <c r="D292" t="inlineStr">
        <is>
          <t>KALMAR LÄN</t>
        </is>
      </c>
      <c r="E292" t="inlineStr">
        <is>
          <t>VIMMERBY</t>
        </is>
      </c>
      <c r="G292" t="n">
        <v>3.7</v>
      </c>
      <c r="H292" t="n">
        <v>0</v>
      </c>
      <c r="I292" t="n">
        <v>0</v>
      </c>
      <c r="J292" t="n">
        <v>0</v>
      </c>
      <c r="K292" t="n">
        <v>0</v>
      </c>
      <c r="L292" t="n">
        <v>0</v>
      </c>
      <c r="M292" t="n">
        <v>0</v>
      </c>
      <c r="N292" t="n">
        <v>0</v>
      </c>
      <c r="O292" t="n">
        <v>0</v>
      </c>
      <c r="P292" t="n">
        <v>0</v>
      </c>
      <c r="Q292" t="n">
        <v>0</v>
      </c>
      <c r="R292" s="2" t="inlineStr"/>
    </row>
    <row r="293" ht="15" customHeight="1">
      <c r="A293" t="inlineStr">
        <is>
          <t>A 32575-2024</t>
        </is>
      </c>
      <c r="B293" s="1" t="n">
        <v>45513.56527777778</v>
      </c>
      <c r="C293" s="1" t="n">
        <v>45958</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27443-2023</t>
        </is>
      </c>
      <c r="B294" s="1" t="n">
        <v>45097.40524305555</v>
      </c>
      <c r="C294" s="1" t="n">
        <v>45958</v>
      </c>
      <c r="D294" t="inlineStr">
        <is>
          <t>KALMAR LÄN</t>
        </is>
      </c>
      <c r="E294" t="inlineStr">
        <is>
          <t>VIMMERBY</t>
        </is>
      </c>
      <c r="F294" t="inlineStr">
        <is>
          <t>Övriga Aktiebolag</t>
        </is>
      </c>
      <c r="G294" t="n">
        <v>2.3</v>
      </c>
      <c r="H294" t="n">
        <v>0</v>
      </c>
      <c r="I294" t="n">
        <v>0</v>
      </c>
      <c r="J294" t="n">
        <v>0</v>
      </c>
      <c r="K294" t="n">
        <v>0</v>
      </c>
      <c r="L294" t="n">
        <v>0</v>
      </c>
      <c r="M294" t="n">
        <v>0</v>
      </c>
      <c r="N294" t="n">
        <v>0</v>
      </c>
      <c r="O294" t="n">
        <v>0</v>
      </c>
      <c r="P294" t="n">
        <v>0</v>
      </c>
      <c r="Q294" t="n">
        <v>0</v>
      </c>
      <c r="R294" s="2" t="inlineStr"/>
    </row>
    <row r="295" ht="15" customHeight="1">
      <c r="A295" t="inlineStr">
        <is>
          <t>A 845-2023</t>
        </is>
      </c>
      <c r="B295" s="1" t="n">
        <v>44931</v>
      </c>
      <c r="C295" s="1" t="n">
        <v>45958</v>
      </c>
      <c r="D295" t="inlineStr">
        <is>
          <t>KALMAR LÄN</t>
        </is>
      </c>
      <c r="E295" t="inlineStr">
        <is>
          <t>VIMMERBY</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59300-2024</t>
        </is>
      </c>
      <c r="B296" s="1" t="n">
        <v>45637.66542824074</v>
      </c>
      <c r="C296" s="1" t="n">
        <v>45958</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6321-2023</t>
        </is>
      </c>
      <c r="B297" s="1" t="n">
        <v>44965.4815162037</v>
      </c>
      <c r="C297" s="1" t="n">
        <v>45958</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4624-2024</t>
        </is>
      </c>
      <c r="B298" s="1" t="n">
        <v>45328.38755787037</v>
      </c>
      <c r="C298" s="1" t="n">
        <v>45958</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59768-2024</t>
        </is>
      </c>
      <c r="B299" s="1" t="n">
        <v>45639.56185185185</v>
      </c>
      <c r="C299" s="1" t="n">
        <v>45958</v>
      </c>
      <c r="D299" t="inlineStr">
        <is>
          <t>KALMAR LÄN</t>
        </is>
      </c>
      <c r="E299" t="inlineStr">
        <is>
          <t>VIMMERBY</t>
        </is>
      </c>
      <c r="G299" t="n">
        <v>5.9</v>
      </c>
      <c r="H299" t="n">
        <v>0</v>
      </c>
      <c r="I299" t="n">
        <v>0</v>
      </c>
      <c r="J299" t="n">
        <v>0</v>
      </c>
      <c r="K299" t="n">
        <v>0</v>
      </c>
      <c r="L299" t="n">
        <v>0</v>
      </c>
      <c r="M299" t="n">
        <v>0</v>
      </c>
      <c r="N299" t="n">
        <v>0</v>
      </c>
      <c r="O299" t="n">
        <v>0</v>
      </c>
      <c r="P299" t="n">
        <v>0</v>
      </c>
      <c r="Q299" t="n">
        <v>0</v>
      </c>
      <c r="R299" s="2" t="inlineStr"/>
    </row>
    <row r="300" ht="15" customHeight="1">
      <c r="A300" t="inlineStr">
        <is>
          <t>A 40730-2024</t>
        </is>
      </c>
      <c r="B300" s="1" t="n">
        <v>45558.44914351852</v>
      </c>
      <c r="C300" s="1" t="n">
        <v>45958</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36526-2023</t>
        </is>
      </c>
      <c r="B301" s="1" t="n">
        <v>45153.32778935185</v>
      </c>
      <c r="C301" s="1" t="n">
        <v>45958</v>
      </c>
      <c r="D301" t="inlineStr">
        <is>
          <t>KALMAR LÄN</t>
        </is>
      </c>
      <c r="E301" t="inlineStr">
        <is>
          <t>VIMMERBY</t>
        </is>
      </c>
      <c r="G301" t="n">
        <v>2.7</v>
      </c>
      <c r="H301" t="n">
        <v>0</v>
      </c>
      <c r="I301" t="n">
        <v>0</v>
      </c>
      <c r="J301" t="n">
        <v>0</v>
      </c>
      <c r="K301" t="n">
        <v>0</v>
      </c>
      <c r="L301" t="n">
        <v>0</v>
      </c>
      <c r="M301" t="n">
        <v>0</v>
      </c>
      <c r="N301" t="n">
        <v>0</v>
      </c>
      <c r="O301" t="n">
        <v>0</v>
      </c>
      <c r="P301" t="n">
        <v>0</v>
      </c>
      <c r="Q301" t="n">
        <v>0</v>
      </c>
      <c r="R301" s="2" t="inlineStr"/>
    </row>
    <row r="302" ht="15" customHeight="1">
      <c r="A302" t="inlineStr">
        <is>
          <t>A 2157-2024</t>
        </is>
      </c>
      <c r="B302" s="1" t="n">
        <v>45309.59487268519</v>
      </c>
      <c r="C302" s="1" t="n">
        <v>45958</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49461-2022</t>
        </is>
      </c>
      <c r="B303" s="1" t="n">
        <v>44861</v>
      </c>
      <c r="C303" s="1" t="n">
        <v>45958</v>
      </c>
      <c r="D303" t="inlineStr">
        <is>
          <t>KALMAR LÄN</t>
        </is>
      </c>
      <c r="E303" t="inlineStr">
        <is>
          <t>VIMMERBY</t>
        </is>
      </c>
      <c r="G303" t="n">
        <v>3.2</v>
      </c>
      <c r="H303" t="n">
        <v>0</v>
      </c>
      <c r="I303" t="n">
        <v>0</v>
      </c>
      <c r="J303" t="n">
        <v>0</v>
      </c>
      <c r="K303" t="n">
        <v>0</v>
      </c>
      <c r="L303" t="n">
        <v>0</v>
      </c>
      <c r="M303" t="n">
        <v>0</v>
      </c>
      <c r="N303" t="n">
        <v>0</v>
      </c>
      <c r="O303" t="n">
        <v>0</v>
      </c>
      <c r="P303" t="n">
        <v>0</v>
      </c>
      <c r="Q303" t="n">
        <v>0</v>
      </c>
      <c r="R303" s="2" t="inlineStr"/>
    </row>
    <row r="304" ht="15" customHeight="1">
      <c r="A304" t="inlineStr">
        <is>
          <t>A 694-2024</t>
        </is>
      </c>
      <c r="B304" s="1" t="n">
        <v>45300.3794212963</v>
      </c>
      <c r="C304" s="1" t="n">
        <v>45958</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58728-2024</t>
        </is>
      </c>
      <c r="B305" s="1" t="n">
        <v>45635.66695601852</v>
      </c>
      <c r="C305" s="1" t="n">
        <v>45958</v>
      </c>
      <c r="D305" t="inlineStr">
        <is>
          <t>KALMAR LÄN</t>
        </is>
      </c>
      <c r="E305" t="inlineStr">
        <is>
          <t>VIMMERBY</t>
        </is>
      </c>
      <c r="G305" t="n">
        <v>0.4</v>
      </c>
      <c r="H305" t="n">
        <v>0</v>
      </c>
      <c r="I305" t="n">
        <v>0</v>
      </c>
      <c r="J305" t="n">
        <v>0</v>
      </c>
      <c r="K305" t="n">
        <v>0</v>
      </c>
      <c r="L305" t="n">
        <v>0</v>
      </c>
      <c r="M305" t="n">
        <v>0</v>
      </c>
      <c r="N305" t="n">
        <v>0</v>
      </c>
      <c r="O305" t="n">
        <v>0</v>
      </c>
      <c r="P305" t="n">
        <v>0</v>
      </c>
      <c r="Q305" t="n">
        <v>0</v>
      </c>
      <c r="R305" s="2" t="inlineStr"/>
    </row>
    <row r="306" ht="15" customHeight="1">
      <c r="A306" t="inlineStr">
        <is>
          <t>A 23394-2025</t>
        </is>
      </c>
      <c r="B306" s="1" t="n">
        <v>45791.89865740741</v>
      </c>
      <c r="C306" s="1" t="n">
        <v>45958</v>
      </c>
      <c r="D306" t="inlineStr">
        <is>
          <t>KALMAR LÄN</t>
        </is>
      </c>
      <c r="E306" t="inlineStr">
        <is>
          <t>VIMMERBY</t>
        </is>
      </c>
      <c r="G306" t="n">
        <v>3.1</v>
      </c>
      <c r="H306" t="n">
        <v>0</v>
      </c>
      <c r="I306" t="n">
        <v>0</v>
      </c>
      <c r="J306" t="n">
        <v>0</v>
      </c>
      <c r="K306" t="n">
        <v>0</v>
      </c>
      <c r="L306" t="n">
        <v>0</v>
      </c>
      <c r="M306" t="n">
        <v>0</v>
      </c>
      <c r="N306" t="n">
        <v>0</v>
      </c>
      <c r="O306" t="n">
        <v>0</v>
      </c>
      <c r="P306" t="n">
        <v>0</v>
      </c>
      <c r="Q306" t="n">
        <v>0</v>
      </c>
      <c r="R306" s="2" t="inlineStr"/>
    </row>
    <row r="307" ht="15" customHeight="1">
      <c r="A307" t="inlineStr">
        <is>
          <t>A 59598-2023</t>
        </is>
      </c>
      <c r="B307" s="1" t="n">
        <v>45254.62489583333</v>
      </c>
      <c r="C307" s="1" t="n">
        <v>45958</v>
      </c>
      <c r="D307" t="inlineStr">
        <is>
          <t>KALMAR LÄN</t>
        </is>
      </c>
      <c r="E307" t="inlineStr">
        <is>
          <t>VIMMERBY</t>
        </is>
      </c>
      <c r="F307" t="inlineStr">
        <is>
          <t>Övriga Aktiebolag</t>
        </is>
      </c>
      <c r="G307" t="n">
        <v>4</v>
      </c>
      <c r="H307" t="n">
        <v>0</v>
      </c>
      <c r="I307" t="n">
        <v>0</v>
      </c>
      <c r="J307" t="n">
        <v>0</v>
      </c>
      <c r="K307" t="n">
        <v>0</v>
      </c>
      <c r="L307" t="n">
        <v>0</v>
      </c>
      <c r="M307" t="n">
        <v>0</v>
      </c>
      <c r="N307" t="n">
        <v>0</v>
      </c>
      <c r="O307" t="n">
        <v>0</v>
      </c>
      <c r="P307" t="n">
        <v>0</v>
      </c>
      <c r="Q307" t="n">
        <v>0</v>
      </c>
      <c r="R307" s="2" t="inlineStr"/>
    </row>
    <row r="308" ht="15" customHeight="1">
      <c r="A308" t="inlineStr">
        <is>
          <t>A 7944-2024</t>
        </is>
      </c>
      <c r="B308" s="1" t="n">
        <v>45350.53306712963</v>
      </c>
      <c r="C308" s="1" t="n">
        <v>45958</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49474-2023</t>
        </is>
      </c>
      <c r="B309" s="1" t="n">
        <v>45211.541875</v>
      </c>
      <c r="C309" s="1" t="n">
        <v>45958</v>
      </c>
      <c r="D309" t="inlineStr">
        <is>
          <t>KALMAR LÄN</t>
        </is>
      </c>
      <c r="E309" t="inlineStr">
        <is>
          <t>VIMMERBY</t>
        </is>
      </c>
      <c r="G309" t="n">
        <v>3.6</v>
      </c>
      <c r="H309" t="n">
        <v>0</v>
      </c>
      <c r="I309" t="n">
        <v>0</v>
      </c>
      <c r="J309" t="n">
        <v>0</v>
      </c>
      <c r="K309" t="n">
        <v>0</v>
      </c>
      <c r="L309" t="n">
        <v>0</v>
      </c>
      <c r="M309" t="n">
        <v>0</v>
      </c>
      <c r="N309" t="n">
        <v>0</v>
      </c>
      <c r="O309" t="n">
        <v>0</v>
      </c>
      <c r="P309" t="n">
        <v>0</v>
      </c>
      <c r="Q309" t="n">
        <v>0</v>
      </c>
      <c r="R309" s="2" t="inlineStr"/>
    </row>
    <row r="310" ht="15" customHeight="1">
      <c r="A310" t="inlineStr">
        <is>
          <t>A 57682-2022</t>
        </is>
      </c>
      <c r="B310" s="1" t="n">
        <v>44890</v>
      </c>
      <c r="C310" s="1" t="n">
        <v>45958</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21496-2023</t>
        </is>
      </c>
      <c r="B311" s="1" t="n">
        <v>45063.49936342592</v>
      </c>
      <c r="C311" s="1" t="n">
        <v>45958</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14220-2021</t>
        </is>
      </c>
      <c r="B312" s="1" t="n">
        <v>44278.54855324074</v>
      </c>
      <c r="C312" s="1" t="n">
        <v>45958</v>
      </c>
      <c r="D312" t="inlineStr">
        <is>
          <t>KALMAR LÄN</t>
        </is>
      </c>
      <c r="E312" t="inlineStr">
        <is>
          <t>VIMMERBY</t>
        </is>
      </c>
      <c r="G312" t="n">
        <v>0.3</v>
      </c>
      <c r="H312" t="n">
        <v>0</v>
      </c>
      <c r="I312" t="n">
        <v>0</v>
      </c>
      <c r="J312" t="n">
        <v>0</v>
      </c>
      <c r="K312" t="n">
        <v>0</v>
      </c>
      <c r="L312" t="n">
        <v>0</v>
      </c>
      <c r="M312" t="n">
        <v>0</v>
      </c>
      <c r="N312" t="n">
        <v>0</v>
      </c>
      <c r="O312" t="n">
        <v>0</v>
      </c>
      <c r="P312" t="n">
        <v>0</v>
      </c>
      <c r="Q312" t="n">
        <v>0</v>
      </c>
      <c r="R312" s="2" t="inlineStr"/>
    </row>
    <row r="313" ht="15" customHeight="1">
      <c r="A313" t="inlineStr">
        <is>
          <t>A 63950-2023</t>
        </is>
      </c>
      <c r="B313" s="1" t="n">
        <v>45278</v>
      </c>
      <c r="C313" s="1" t="n">
        <v>45958</v>
      </c>
      <c r="D313" t="inlineStr">
        <is>
          <t>KALMAR LÄN</t>
        </is>
      </c>
      <c r="E313" t="inlineStr">
        <is>
          <t>VIMMERBY</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29783-2024</t>
        </is>
      </c>
      <c r="B314" s="1" t="n">
        <v>45485.45778935185</v>
      </c>
      <c r="C314" s="1" t="n">
        <v>45958</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16516-2023</t>
        </is>
      </c>
      <c r="B315" s="1" t="n">
        <v>45029</v>
      </c>
      <c r="C315" s="1" t="n">
        <v>45958</v>
      </c>
      <c r="D315" t="inlineStr">
        <is>
          <t>KALMAR LÄN</t>
        </is>
      </c>
      <c r="E315" t="inlineStr">
        <is>
          <t>VIMMERBY</t>
        </is>
      </c>
      <c r="G315" t="n">
        <v>4.3</v>
      </c>
      <c r="H315" t="n">
        <v>0</v>
      </c>
      <c r="I315" t="n">
        <v>0</v>
      </c>
      <c r="J315" t="n">
        <v>0</v>
      </c>
      <c r="K315" t="n">
        <v>0</v>
      </c>
      <c r="L315" t="n">
        <v>0</v>
      </c>
      <c r="M315" t="n">
        <v>0</v>
      </c>
      <c r="N315" t="n">
        <v>0</v>
      </c>
      <c r="O315" t="n">
        <v>0</v>
      </c>
      <c r="P315" t="n">
        <v>0</v>
      </c>
      <c r="Q315" t="n">
        <v>0</v>
      </c>
      <c r="R315" s="2" t="inlineStr"/>
    </row>
    <row r="316" ht="15" customHeight="1">
      <c r="A316" t="inlineStr">
        <is>
          <t>A 47842-2024</t>
        </is>
      </c>
      <c r="B316" s="1" t="n">
        <v>45588.65545138889</v>
      </c>
      <c r="C316" s="1" t="n">
        <v>45958</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35198-2023</t>
        </is>
      </c>
      <c r="B317" s="1" t="n">
        <v>45145</v>
      </c>
      <c r="C317" s="1" t="n">
        <v>45958</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6408-2025</t>
        </is>
      </c>
      <c r="B318" s="1" t="n">
        <v>45699.45671296296</v>
      </c>
      <c r="C318" s="1" t="n">
        <v>45958</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23984-2025</t>
        </is>
      </c>
      <c r="B319" s="1" t="n">
        <v>45796</v>
      </c>
      <c r="C319" s="1" t="n">
        <v>45958</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25109-2023</t>
        </is>
      </c>
      <c r="B320" s="1" t="n">
        <v>45086</v>
      </c>
      <c r="C320" s="1" t="n">
        <v>45958</v>
      </c>
      <c r="D320" t="inlineStr">
        <is>
          <t>KALMAR LÄN</t>
        </is>
      </c>
      <c r="E320" t="inlineStr">
        <is>
          <t>VIMMERBY</t>
        </is>
      </c>
      <c r="G320" t="n">
        <v>1.5</v>
      </c>
      <c r="H320" t="n">
        <v>0</v>
      </c>
      <c r="I320" t="n">
        <v>0</v>
      </c>
      <c r="J320" t="n">
        <v>0</v>
      </c>
      <c r="K320" t="n">
        <v>0</v>
      </c>
      <c r="L320" t="n">
        <v>0</v>
      </c>
      <c r="M320" t="n">
        <v>0</v>
      </c>
      <c r="N320" t="n">
        <v>0</v>
      </c>
      <c r="O320" t="n">
        <v>0</v>
      </c>
      <c r="P320" t="n">
        <v>0</v>
      </c>
      <c r="Q320" t="n">
        <v>0</v>
      </c>
      <c r="R320" s="2" t="inlineStr"/>
    </row>
    <row r="321" ht="15" customHeight="1">
      <c r="A321" t="inlineStr">
        <is>
          <t>A 33380-2023</t>
        </is>
      </c>
      <c r="B321" s="1" t="n">
        <v>45128</v>
      </c>
      <c r="C321" s="1" t="n">
        <v>45958</v>
      </c>
      <c r="D321" t="inlineStr">
        <is>
          <t>KALMAR LÄN</t>
        </is>
      </c>
      <c r="E321" t="inlineStr">
        <is>
          <t>VIMMERBY</t>
        </is>
      </c>
      <c r="G321" t="n">
        <v>5.2</v>
      </c>
      <c r="H321" t="n">
        <v>0</v>
      </c>
      <c r="I321" t="n">
        <v>0</v>
      </c>
      <c r="J321" t="n">
        <v>0</v>
      </c>
      <c r="K321" t="n">
        <v>0</v>
      </c>
      <c r="L321" t="n">
        <v>0</v>
      </c>
      <c r="M321" t="n">
        <v>0</v>
      </c>
      <c r="N321" t="n">
        <v>0</v>
      </c>
      <c r="O321" t="n">
        <v>0</v>
      </c>
      <c r="P321" t="n">
        <v>0</v>
      </c>
      <c r="Q321" t="n">
        <v>0</v>
      </c>
      <c r="R321" s="2" t="inlineStr"/>
    </row>
    <row r="322" ht="15" customHeight="1">
      <c r="A322" t="inlineStr">
        <is>
          <t>A 43853-2023</t>
        </is>
      </c>
      <c r="B322" s="1" t="n">
        <v>45187.60813657408</v>
      </c>
      <c r="C322" s="1" t="n">
        <v>45958</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32639-2023</t>
        </is>
      </c>
      <c r="B323" s="1" t="n">
        <v>45121.5965162037</v>
      </c>
      <c r="C323" s="1" t="n">
        <v>45958</v>
      </c>
      <c r="D323" t="inlineStr">
        <is>
          <t>KALMAR LÄN</t>
        </is>
      </c>
      <c r="E323" t="inlineStr">
        <is>
          <t>VIMMERBY</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32642-2023</t>
        </is>
      </c>
      <c r="B324" s="1" t="n">
        <v>45121.59954861111</v>
      </c>
      <c r="C324" s="1" t="n">
        <v>45958</v>
      </c>
      <c r="D324" t="inlineStr">
        <is>
          <t>KALMAR LÄN</t>
        </is>
      </c>
      <c r="E324" t="inlineStr">
        <is>
          <t>VIMMERBY</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32651-2023</t>
        </is>
      </c>
      <c r="B325" s="1" t="n">
        <v>45121.6096875</v>
      </c>
      <c r="C325" s="1" t="n">
        <v>45958</v>
      </c>
      <c r="D325" t="inlineStr">
        <is>
          <t>KALMAR LÄN</t>
        </is>
      </c>
      <c r="E325" t="inlineStr">
        <is>
          <t>VIMMERBY</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11928-2022</t>
        </is>
      </c>
      <c r="B326" s="1" t="n">
        <v>44635</v>
      </c>
      <c r="C326" s="1" t="n">
        <v>45958</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9511-2023</t>
        </is>
      </c>
      <c r="B327" s="1" t="n">
        <v>44981.64725694444</v>
      </c>
      <c r="C327" s="1" t="n">
        <v>45958</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38757-2023</t>
        </is>
      </c>
      <c r="B328" s="1" t="n">
        <v>45163.41376157408</v>
      </c>
      <c r="C328" s="1" t="n">
        <v>45958</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29973-2023</t>
        </is>
      </c>
      <c r="B329" s="1" t="n">
        <v>45108.703125</v>
      </c>
      <c r="C329" s="1" t="n">
        <v>45958</v>
      </c>
      <c r="D329" t="inlineStr">
        <is>
          <t>KALMAR LÄN</t>
        </is>
      </c>
      <c r="E329" t="inlineStr">
        <is>
          <t>VIMMERBY</t>
        </is>
      </c>
      <c r="G329" t="n">
        <v>4</v>
      </c>
      <c r="H329" t="n">
        <v>0</v>
      </c>
      <c r="I329" t="n">
        <v>0</v>
      </c>
      <c r="J329" t="n">
        <v>0</v>
      </c>
      <c r="K329" t="n">
        <v>0</v>
      </c>
      <c r="L329" t="n">
        <v>0</v>
      </c>
      <c r="M329" t="n">
        <v>0</v>
      </c>
      <c r="N329" t="n">
        <v>0</v>
      </c>
      <c r="O329" t="n">
        <v>0</v>
      </c>
      <c r="P329" t="n">
        <v>0</v>
      </c>
      <c r="Q329" t="n">
        <v>0</v>
      </c>
      <c r="R329" s="2" t="inlineStr"/>
    </row>
    <row r="330" ht="15" customHeight="1">
      <c r="A330" t="inlineStr">
        <is>
          <t>A 64143-2021</t>
        </is>
      </c>
      <c r="B330" s="1" t="n">
        <v>44510.52157407408</v>
      </c>
      <c r="C330" s="1" t="n">
        <v>45958</v>
      </c>
      <c r="D330" t="inlineStr">
        <is>
          <t>KALMAR LÄN</t>
        </is>
      </c>
      <c r="E330" t="inlineStr">
        <is>
          <t>VIMMERBY</t>
        </is>
      </c>
      <c r="G330" t="n">
        <v>1.6</v>
      </c>
      <c r="H330" t="n">
        <v>0</v>
      </c>
      <c r="I330" t="n">
        <v>0</v>
      </c>
      <c r="J330" t="n">
        <v>0</v>
      </c>
      <c r="K330" t="n">
        <v>0</v>
      </c>
      <c r="L330" t="n">
        <v>0</v>
      </c>
      <c r="M330" t="n">
        <v>0</v>
      </c>
      <c r="N330" t="n">
        <v>0</v>
      </c>
      <c r="O330" t="n">
        <v>0</v>
      </c>
      <c r="P330" t="n">
        <v>0</v>
      </c>
      <c r="Q330" t="n">
        <v>0</v>
      </c>
      <c r="R330" s="2" t="inlineStr"/>
    </row>
    <row r="331" ht="15" customHeight="1">
      <c r="A331" t="inlineStr">
        <is>
          <t>A 73938-2021</t>
        </is>
      </c>
      <c r="B331" s="1" t="n">
        <v>44553</v>
      </c>
      <c r="C331" s="1" t="n">
        <v>45958</v>
      </c>
      <c r="D331" t="inlineStr">
        <is>
          <t>KALMAR LÄN</t>
        </is>
      </c>
      <c r="E331" t="inlineStr">
        <is>
          <t>VIMMERBY</t>
        </is>
      </c>
      <c r="G331" t="n">
        <v>3.2</v>
      </c>
      <c r="H331" t="n">
        <v>0</v>
      </c>
      <c r="I331" t="n">
        <v>0</v>
      </c>
      <c r="J331" t="n">
        <v>0</v>
      </c>
      <c r="K331" t="n">
        <v>0</v>
      </c>
      <c r="L331" t="n">
        <v>0</v>
      </c>
      <c r="M331" t="n">
        <v>0</v>
      </c>
      <c r="N331" t="n">
        <v>0</v>
      </c>
      <c r="O331" t="n">
        <v>0</v>
      </c>
      <c r="P331" t="n">
        <v>0</v>
      </c>
      <c r="Q331" t="n">
        <v>0</v>
      </c>
      <c r="R331" s="2" t="inlineStr"/>
    </row>
    <row r="332" ht="15" customHeight="1">
      <c r="A332" t="inlineStr">
        <is>
          <t>A 7068-2024</t>
        </is>
      </c>
      <c r="B332" s="1" t="n">
        <v>45343.68038194445</v>
      </c>
      <c r="C332" s="1" t="n">
        <v>45958</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46234-2024</t>
        </is>
      </c>
      <c r="B333" s="1" t="n">
        <v>45581.57958333333</v>
      </c>
      <c r="C333" s="1" t="n">
        <v>45958</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40076-2021</t>
        </is>
      </c>
      <c r="B334" s="1" t="n">
        <v>44418</v>
      </c>
      <c r="C334" s="1" t="n">
        <v>45958</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35082-2024</t>
        </is>
      </c>
      <c r="B335" s="1" t="n">
        <v>45527.68784722222</v>
      </c>
      <c r="C335" s="1" t="n">
        <v>45958</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37187-2024</t>
        </is>
      </c>
      <c r="B336" s="1" t="n">
        <v>45539.65212962963</v>
      </c>
      <c r="C336" s="1" t="n">
        <v>45958</v>
      </c>
      <c r="D336" t="inlineStr">
        <is>
          <t>KALMAR LÄN</t>
        </is>
      </c>
      <c r="E336" t="inlineStr">
        <is>
          <t>VIMMERBY</t>
        </is>
      </c>
      <c r="G336" t="n">
        <v>2.7</v>
      </c>
      <c r="H336" t="n">
        <v>0</v>
      </c>
      <c r="I336" t="n">
        <v>0</v>
      </c>
      <c r="J336" t="n">
        <v>0</v>
      </c>
      <c r="K336" t="n">
        <v>0</v>
      </c>
      <c r="L336" t="n">
        <v>0</v>
      </c>
      <c r="M336" t="n">
        <v>0</v>
      </c>
      <c r="N336" t="n">
        <v>0</v>
      </c>
      <c r="O336" t="n">
        <v>0</v>
      </c>
      <c r="P336" t="n">
        <v>0</v>
      </c>
      <c r="Q336" t="n">
        <v>0</v>
      </c>
      <c r="R336" s="2" t="inlineStr"/>
    </row>
    <row r="337" ht="15" customHeight="1">
      <c r="A337" t="inlineStr">
        <is>
          <t>A 1021-2024</t>
        </is>
      </c>
      <c r="B337" s="1" t="n">
        <v>45301.67736111111</v>
      </c>
      <c r="C337" s="1" t="n">
        <v>45958</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51278-2024</t>
        </is>
      </c>
      <c r="B338" s="1" t="n">
        <v>45603.74959490741</v>
      </c>
      <c r="C338" s="1" t="n">
        <v>45958</v>
      </c>
      <c r="D338" t="inlineStr">
        <is>
          <t>KALMAR LÄN</t>
        </is>
      </c>
      <c r="E338" t="inlineStr">
        <is>
          <t>VIMMERBY</t>
        </is>
      </c>
      <c r="G338" t="n">
        <v>3.4</v>
      </c>
      <c r="H338" t="n">
        <v>0</v>
      </c>
      <c r="I338" t="n">
        <v>0</v>
      </c>
      <c r="J338" t="n">
        <v>0</v>
      </c>
      <c r="K338" t="n">
        <v>0</v>
      </c>
      <c r="L338" t="n">
        <v>0</v>
      </c>
      <c r="M338" t="n">
        <v>0</v>
      </c>
      <c r="N338" t="n">
        <v>0</v>
      </c>
      <c r="O338" t="n">
        <v>0</v>
      </c>
      <c r="P338" t="n">
        <v>0</v>
      </c>
      <c r="Q338" t="n">
        <v>0</v>
      </c>
      <c r="R338" s="2" t="inlineStr"/>
    </row>
    <row r="339" ht="15" customHeight="1">
      <c r="A339" t="inlineStr">
        <is>
          <t>A 9456-2025</t>
        </is>
      </c>
      <c r="B339" s="1" t="n">
        <v>45715.44159722222</v>
      </c>
      <c r="C339" s="1" t="n">
        <v>45958</v>
      </c>
      <c r="D339" t="inlineStr">
        <is>
          <t>KALMAR LÄN</t>
        </is>
      </c>
      <c r="E339" t="inlineStr">
        <is>
          <t>VIMMERBY</t>
        </is>
      </c>
      <c r="G339" t="n">
        <v>1.5</v>
      </c>
      <c r="H339" t="n">
        <v>0</v>
      </c>
      <c r="I339" t="n">
        <v>0</v>
      </c>
      <c r="J339" t="n">
        <v>0</v>
      </c>
      <c r="K339" t="n">
        <v>0</v>
      </c>
      <c r="L339" t="n">
        <v>0</v>
      </c>
      <c r="M339" t="n">
        <v>0</v>
      </c>
      <c r="N339" t="n">
        <v>0</v>
      </c>
      <c r="O339" t="n">
        <v>0</v>
      </c>
      <c r="P339" t="n">
        <v>0</v>
      </c>
      <c r="Q339" t="n">
        <v>0</v>
      </c>
      <c r="R339" s="2" t="inlineStr"/>
    </row>
    <row r="340" ht="15" customHeight="1">
      <c r="A340" t="inlineStr">
        <is>
          <t>A 50648-2023</t>
        </is>
      </c>
      <c r="B340" s="1" t="n">
        <v>45217.47834490741</v>
      </c>
      <c r="C340" s="1" t="n">
        <v>45958</v>
      </c>
      <c r="D340" t="inlineStr">
        <is>
          <t>KALMAR LÄN</t>
        </is>
      </c>
      <c r="E340" t="inlineStr">
        <is>
          <t>VIMMERBY</t>
        </is>
      </c>
      <c r="G340" t="n">
        <v>1.6</v>
      </c>
      <c r="H340" t="n">
        <v>0</v>
      </c>
      <c r="I340" t="n">
        <v>0</v>
      </c>
      <c r="J340" t="n">
        <v>0</v>
      </c>
      <c r="K340" t="n">
        <v>0</v>
      </c>
      <c r="L340" t="n">
        <v>0</v>
      </c>
      <c r="M340" t="n">
        <v>0</v>
      </c>
      <c r="N340" t="n">
        <v>0</v>
      </c>
      <c r="O340" t="n">
        <v>0</v>
      </c>
      <c r="P340" t="n">
        <v>0</v>
      </c>
      <c r="Q340" t="n">
        <v>0</v>
      </c>
      <c r="R340" s="2" t="inlineStr"/>
    </row>
    <row r="341" ht="15" customHeight="1">
      <c r="A341" t="inlineStr">
        <is>
          <t>A 11111-2023</t>
        </is>
      </c>
      <c r="B341" s="1" t="n">
        <v>44992.4255787037</v>
      </c>
      <c r="C341" s="1" t="n">
        <v>45958</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529-2022</t>
        </is>
      </c>
      <c r="B342" s="1" t="n">
        <v>44566</v>
      </c>
      <c r="C342" s="1" t="n">
        <v>45958</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58318-2021</t>
        </is>
      </c>
      <c r="B343" s="1" t="n">
        <v>44488.35878472222</v>
      </c>
      <c r="C343" s="1" t="n">
        <v>45958</v>
      </c>
      <c r="D343" t="inlineStr">
        <is>
          <t>KALMAR LÄN</t>
        </is>
      </c>
      <c r="E343" t="inlineStr">
        <is>
          <t>VIMMERBY</t>
        </is>
      </c>
      <c r="G343" t="n">
        <v>4</v>
      </c>
      <c r="H343" t="n">
        <v>0</v>
      </c>
      <c r="I343" t="n">
        <v>0</v>
      </c>
      <c r="J343" t="n">
        <v>0</v>
      </c>
      <c r="K343" t="n">
        <v>0</v>
      </c>
      <c r="L343" t="n">
        <v>0</v>
      </c>
      <c r="M343" t="n">
        <v>0</v>
      </c>
      <c r="N343" t="n">
        <v>0</v>
      </c>
      <c r="O343" t="n">
        <v>0</v>
      </c>
      <c r="P343" t="n">
        <v>0</v>
      </c>
      <c r="Q343" t="n">
        <v>0</v>
      </c>
      <c r="R343" s="2" t="inlineStr"/>
    </row>
    <row r="344" ht="15" customHeight="1">
      <c r="A344" t="inlineStr">
        <is>
          <t>A 89-2023</t>
        </is>
      </c>
      <c r="B344" s="1" t="n">
        <v>44918</v>
      </c>
      <c r="C344" s="1" t="n">
        <v>45958</v>
      </c>
      <c r="D344" t="inlineStr">
        <is>
          <t>KALMAR LÄN</t>
        </is>
      </c>
      <c r="E344" t="inlineStr">
        <is>
          <t>VIMMERBY</t>
        </is>
      </c>
      <c r="G344" t="n">
        <v>16.1</v>
      </c>
      <c r="H344" t="n">
        <v>0</v>
      </c>
      <c r="I344" t="n">
        <v>0</v>
      </c>
      <c r="J344" t="n">
        <v>0</v>
      </c>
      <c r="K344" t="n">
        <v>0</v>
      </c>
      <c r="L344" t="n">
        <v>0</v>
      </c>
      <c r="M344" t="n">
        <v>0</v>
      </c>
      <c r="N344" t="n">
        <v>0</v>
      </c>
      <c r="O344" t="n">
        <v>0</v>
      </c>
      <c r="P344" t="n">
        <v>0</v>
      </c>
      <c r="Q344" t="n">
        <v>0</v>
      </c>
      <c r="R344" s="2" t="inlineStr"/>
    </row>
    <row r="345" ht="15" customHeight="1">
      <c r="A345" t="inlineStr">
        <is>
          <t>A 72701-2021</t>
        </is>
      </c>
      <c r="B345" s="1" t="n">
        <v>44546</v>
      </c>
      <c r="C345" s="1" t="n">
        <v>45958</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19111-2025</t>
        </is>
      </c>
      <c r="B346" s="1" t="n">
        <v>45768.65611111111</v>
      </c>
      <c r="C346" s="1" t="n">
        <v>45958</v>
      </c>
      <c r="D346" t="inlineStr">
        <is>
          <t>KALMAR LÄN</t>
        </is>
      </c>
      <c r="E346" t="inlineStr">
        <is>
          <t>VIMMERBY</t>
        </is>
      </c>
      <c r="G346" t="n">
        <v>6.2</v>
      </c>
      <c r="H346" t="n">
        <v>0</v>
      </c>
      <c r="I346" t="n">
        <v>0</v>
      </c>
      <c r="J346" t="n">
        <v>0</v>
      </c>
      <c r="K346" t="n">
        <v>0</v>
      </c>
      <c r="L346" t="n">
        <v>0</v>
      </c>
      <c r="M346" t="n">
        <v>0</v>
      </c>
      <c r="N346" t="n">
        <v>0</v>
      </c>
      <c r="O346" t="n">
        <v>0</v>
      </c>
      <c r="P346" t="n">
        <v>0</v>
      </c>
      <c r="Q346" t="n">
        <v>0</v>
      </c>
      <c r="R346" s="2" t="inlineStr"/>
    </row>
    <row r="347" ht="15" customHeight="1">
      <c r="A347" t="inlineStr">
        <is>
          <t>A 23088-2024</t>
        </is>
      </c>
      <c r="B347" s="1" t="n">
        <v>45450.51092592593</v>
      </c>
      <c r="C347" s="1" t="n">
        <v>45958</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38604-2025</t>
        </is>
      </c>
      <c r="B348" s="1" t="n">
        <v>45884.50613425926</v>
      </c>
      <c r="C348" s="1" t="n">
        <v>45958</v>
      </c>
      <c r="D348" t="inlineStr">
        <is>
          <t>KALMAR LÄN</t>
        </is>
      </c>
      <c r="E348" t="inlineStr">
        <is>
          <t>VIMMERBY</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33374-2021</t>
        </is>
      </c>
      <c r="B349" s="1" t="n">
        <v>44377</v>
      </c>
      <c r="C349" s="1" t="n">
        <v>45958</v>
      </c>
      <c r="D349" t="inlineStr">
        <is>
          <t>KALMAR LÄN</t>
        </is>
      </c>
      <c r="E349" t="inlineStr">
        <is>
          <t>VIMMERBY</t>
        </is>
      </c>
      <c r="G349" t="n">
        <v>3.3</v>
      </c>
      <c r="H349" t="n">
        <v>0</v>
      </c>
      <c r="I349" t="n">
        <v>0</v>
      </c>
      <c r="J349" t="n">
        <v>0</v>
      </c>
      <c r="K349" t="n">
        <v>0</v>
      </c>
      <c r="L349" t="n">
        <v>0</v>
      </c>
      <c r="M349" t="n">
        <v>0</v>
      </c>
      <c r="N349" t="n">
        <v>0</v>
      </c>
      <c r="O349" t="n">
        <v>0</v>
      </c>
      <c r="P349" t="n">
        <v>0</v>
      </c>
      <c r="Q349" t="n">
        <v>0</v>
      </c>
      <c r="R349" s="2" t="inlineStr"/>
    </row>
    <row r="350" ht="15" customHeight="1">
      <c r="A350" t="inlineStr">
        <is>
          <t>A 38851-2023</t>
        </is>
      </c>
      <c r="B350" s="1" t="n">
        <v>45163</v>
      </c>
      <c r="C350" s="1" t="n">
        <v>45958</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10759-2023</t>
        </is>
      </c>
      <c r="B351" s="1" t="n">
        <v>44988</v>
      </c>
      <c r="C351" s="1" t="n">
        <v>45958</v>
      </c>
      <c r="D351" t="inlineStr">
        <is>
          <t>KALMAR LÄN</t>
        </is>
      </c>
      <c r="E351" t="inlineStr">
        <is>
          <t>VIMMERBY</t>
        </is>
      </c>
      <c r="G351" t="n">
        <v>0.4</v>
      </c>
      <c r="H351" t="n">
        <v>0</v>
      </c>
      <c r="I351" t="n">
        <v>0</v>
      </c>
      <c r="J351" t="n">
        <v>0</v>
      </c>
      <c r="K351" t="n">
        <v>0</v>
      </c>
      <c r="L351" t="n">
        <v>0</v>
      </c>
      <c r="M351" t="n">
        <v>0</v>
      </c>
      <c r="N351" t="n">
        <v>0</v>
      </c>
      <c r="O351" t="n">
        <v>0</v>
      </c>
      <c r="P351" t="n">
        <v>0</v>
      </c>
      <c r="Q351" t="n">
        <v>0</v>
      </c>
      <c r="R351" s="2" t="inlineStr"/>
    </row>
    <row r="352" ht="15" customHeight="1">
      <c r="A352" t="inlineStr">
        <is>
          <t>A 63583-2023</t>
        </is>
      </c>
      <c r="B352" s="1" t="n">
        <v>45275.41833333333</v>
      </c>
      <c r="C352" s="1" t="n">
        <v>45958</v>
      </c>
      <c r="D352" t="inlineStr">
        <is>
          <t>KALMAR LÄN</t>
        </is>
      </c>
      <c r="E352" t="inlineStr">
        <is>
          <t>VIMMERBY</t>
        </is>
      </c>
      <c r="G352" t="n">
        <v>1.4</v>
      </c>
      <c r="H352" t="n">
        <v>0</v>
      </c>
      <c r="I352" t="n">
        <v>0</v>
      </c>
      <c r="J352" t="n">
        <v>0</v>
      </c>
      <c r="K352" t="n">
        <v>0</v>
      </c>
      <c r="L352" t="n">
        <v>0</v>
      </c>
      <c r="M352" t="n">
        <v>0</v>
      </c>
      <c r="N352" t="n">
        <v>0</v>
      </c>
      <c r="O352" t="n">
        <v>0</v>
      </c>
      <c r="P352" t="n">
        <v>0</v>
      </c>
      <c r="Q352" t="n">
        <v>0</v>
      </c>
      <c r="R352" s="2" t="inlineStr"/>
    </row>
    <row r="353" ht="15" customHeight="1">
      <c r="A353" t="inlineStr">
        <is>
          <t>A 10807-2024</t>
        </is>
      </c>
      <c r="B353" s="1" t="n">
        <v>45369.62780092593</v>
      </c>
      <c r="C353" s="1" t="n">
        <v>45958</v>
      </c>
      <c r="D353" t="inlineStr">
        <is>
          <t>KALMAR LÄN</t>
        </is>
      </c>
      <c r="E353" t="inlineStr">
        <is>
          <t>VIMMERBY</t>
        </is>
      </c>
      <c r="G353" t="n">
        <v>0.7</v>
      </c>
      <c r="H353" t="n">
        <v>0</v>
      </c>
      <c r="I353" t="n">
        <v>0</v>
      </c>
      <c r="J353" t="n">
        <v>0</v>
      </c>
      <c r="K353" t="n">
        <v>0</v>
      </c>
      <c r="L353" t="n">
        <v>0</v>
      </c>
      <c r="M353" t="n">
        <v>0</v>
      </c>
      <c r="N353" t="n">
        <v>0</v>
      </c>
      <c r="O353" t="n">
        <v>0</v>
      </c>
      <c r="P353" t="n">
        <v>0</v>
      </c>
      <c r="Q353" t="n">
        <v>0</v>
      </c>
      <c r="R353" s="2" t="inlineStr"/>
    </row>
    <row r="354" ht="15" customHeight="1">
      <c r="A354" t="inlineStr">
        <is>
          <t>A 40079-2023</t>
        </is>
      </c>
      <c r="B354" s="1" t="n">
        <v>45168.89298611111</v>
      </c>
      <c r="C354" s="1" t="n">
        <v>45958</v>
      </c>
      <c r="D354" t="inlineStr">
        <is>
          <t>KALMAR LÄN</t>
        </is>
      </c>
      <c r="E354" t="inlineStr">
        <is>
          <t>VIMMERBY</t>
        </is>
      </c>
      <c r="G354" t="n">
        <v>1.2</v>
      </c>
      <c r="H354" t="n">
        <v>0</v>
      </c>
      <c r="I354" t="n">
        <v>0</v>
      </c>
      <c r="J354" t="n">
        <v>0</v>
      </c>
      <c r="K354" t="n">
        <v>0</v>
      </c>
      <c r="L354" t="n">
        <v>0</v>
      </c>
      <c r="M354" t="n">
        <v>0</v>
      </c>
      <c r="N354" t="n">
        <v>0</v>
      </c>
      <c r="O354" t="n">
        <v>0</v>
      </c>
      <c r="P354" t="n">
        <v>0</v>
      </c>
      <c r="Q354" t="n">
        <v>0</v>
      </c>
      <c r="R354" s="2" t="inlineStr"/>
    </row>
    <row r="355" ht="15" customHeight="1">
      <c r="A355" t="inlineStr">
        <is>
          <t>A 43774-2023</t>
        </is>
      </c>
      <c r="B355" s="1" t="n">
        <v>45187</v>
      </c>
      <c r="C355" s="1" t="n">
        <v>45958</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44582-2024</t>
        </is>
      </c>
      <c r="B356" s="1" t="n">
        <v>45574.49298611111</v>
      </c>
      <c r="C356" s="1" t="n">
        <v>45958</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29616-2022</t>
        </is>
      </c>
      <c r="B357" s="1" t="n">
        <v>44754</v>
      </c>
      <c r="C357" s="1" t="n">
        <v>45958</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33359-2021</t>
        </is>
      </c>
      <c r="B358" s="1" t="n">
        <v>44377.49684027778</v>
      </c>
      <c r="C358" s="1" t="n">
        <v>45958</v>
      </c>
      <c r="D358" t="inlineStr">
        <is>
          <t>KALMAR LÄN</t>
        </is>
      </c>
      <c r="E358" t="inlineStr">
        <is>
          <t>VIMMERBY</t>
        </is>
      </c>
      <c r="F358" t="inlineStr">
        <is>
          <t>Kommuner</t>
        </is>
      </c>
      <c r="G358" t="n">
        <v>8</v>
      </c>
      <c r="H358" t="n">
        <v>0</v>
      </c>
      <c r="I358" t="n">
        <v>0</v>
      </c>
      <c r="J358" t="n">
        <v>0</v>
      </c>
      <c r="K358" t="n">
        <v>0</v>
      </c>
      <c r="L358" t="n">
        <v>0</v>
      </c>
      <c r="M358" t="n">
        <v>0</v>
      </c>
      <c r="N358" t="n">
        <v>0</v>
      </c>
      <c r="O358" t="n">
        <v>0</v>
      </c>
      <c r="P358" t="n">
        <v>0</v>
      </c>
      <c r="Q358" t="n">
        <v>0</v>
      </c>
      <c r="R358" s="2" t="inlineStr"/>
    </row>
    <row r="359" ht="15" customHeight="1">
      <c r="A359" t="inlineStr">
        <is>
          <t>A 15494-2024</t>
        </is>
      </c>
      <c r="B359" s="1" t="n">
        <v>45401.53033564815</v>
      </c>
      <c r="C359" s="1" t="n">
        <v>45958</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39578-2024</t>
        </is>
      </c>
      <c r="B360" s="1" t="n">
        <v>45552.36484953704</v>
      </c>
      <c r="C360" s="1" t="n">
        <v>45958</v>
      </c>
      <c r="D360" t="inlineStr">
        <is>
          <t>KALMAR LÄN</t>
        </is>
      </c>
      <c r="E360" t="inlineStr">
        <is>
          <t>VIMMERBY</t>
        </is>
      </c>
      <c r="G360" t="n">
        <v>1.5</v>
      </c>
      <c r="H360" t="n">
        <v>0</v>
      </c>
      <c r="I360" t="n">
        <v>0</v>
      </c>
      <c r="J360" t="n">
        <v>0</v>
      </c>
      <c r="K360" t="n">
        <v>0</v>
      </c>
      <c r="L360" t="n">
        <v>0</v>
      </c>
      <c r="M360" t="n">
        <v>0</v>
      </c>
      <c r="N360" t="n">
        <v>0</v>
      </c>
      <c r="O360" t="n">
        <v>0</v>
      </c>
      <c r="P360" t="n">
        <v>0</v>
      </c>
      <c r="Q360" t="n">
        <v>0</v>
      </c>
      <c r="R360" s="2" t="inlineStr"/>
    </row>
    <row r="361" ht="15" customHeight="1">
      <c r="A361" t="inlineStr">
        <is>
          <t>A 24707-2024</t>
        </is>
      </c>
      <c r="B361" s="1" t="n">
        <v>45460.62172453704</v>
      </c>
      <c r="C361" s="1" t="n">
        <v>45958</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34588-2024</t>
        </is>
      </c>
      <c r="B362" s="1" t="n">
        <v>45526.3865625</v>
      </c>
      <c r="C362" s="1" t="n">
        <v>45958</v>
      </c>
      <c r="D362" t="inlineStr">
        <is>
          <t>KALMAR LÄN</t>
        </is>
      </c>
      <c r="E362" t="inlineStr">
        <is>
          <t>VIMMERBY</t>
        </is>
      </c>
      <c r="F362" t="inlineStr">
        <is>
          <t>Övriga Aktiebolag</t>
        </is>
      </c>
      <c r="G362" t="n">
        <v>3.3</v>
      </c>
      <c r="H362" t="n">
        <v>0</v>
      </c>
      <c r="I362" t="n">
        <v>0</v>
      </c>
      <c r="J362" t="n">
        <v>0</v>
      </c>
      <c r="K362" t="n">
        <v>0</v>
      </c>
      <c r="L362" t="n">
        <v>0</v>
      </c>
      <c r="M362" t="n">
        <v>0</v>
      </c>
      <c r="N362" t="n">
        <v>0</v>
      </c>
      <c r="O362" t="n">
        <v>0</v>
      </c>
      <c r="P362" t="n">
        <v>0</v>
      </c>
      <c r="Q362" t="n">
        <v>0</v>
      </c>
      <c r="R362" s="2" t="inlineStr"/>
    </row>
    <row r="363" ht="15" customHeight="1">
      <c r="A363" t="inlineStr">
        <is>
          <t>A 17084-2025</t>
        </is>
      </c>
      <c r="B363" s="1" t="n">
        <v>45755.64450231481</v>
      </c>
      <c r="C363" s="1" t="n">
        <v>45958</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31056-2022</t>
        </is>
      </c>
      <c r="B364" s="1" t="n">
        <v>44769.45805555556</v>
      </c>
      <c r="C364" s="1" t="n">
        <v>45958</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33383-2023</t>
        </is>
      </c>
      <c r="B365" s="1" t="n">
        <v>45128.58414351852</v>
      </c>
      <c r="C365" s="1" t="n">
        <v>45958</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33161-2024</t>
        </is>
      </c>
      <c r="B366" s="1" t="n">
        <v>45518.40657407408</v>
      </c>
      <c r="C366" s="1" t="n">
        <v>45958</v>
      </c>
      <c r="D366" t="inlineStr">
        <is>
          <t>KALMAR LÄN</t>
        </is>
      </c>
      <c r="E366" t="inlineStr">
        <is>
          <t>VIMMERBY</t>
        </is>
      </c>
      <c r="G366" t="n">
        <v>4.7</v>
      </c>
      <c r="H366" t="n">
        <v>0</v>
      </c>
      <c r="I366" t="n">
        <v>0</v>
      </c>
      <c r="J366" t="n">
        <v>0</v>
      </c>
      <c r="K366" t="n">
        <v>0</v>
      </c>
      <c r="L366" t="n">
        <v>0</v>
      </c>
      <c r="M366" t="n">
        <v>0</v>
      </c>
      <c r="N366" t="n">
        <v>0</v>
      </c>
      <c r="O366" t="n">
        <v>0</v>
      </c>
      <c r="P366" t="n">
        <v>0</v>
      </c>
      <c r="Q366" t="n">
        <v>0</v>
      </c>
      <c r="R366" s="2" t="inlineStr"/>
    </row>
    <row r="367" ht="15" customHeight="1">
      <c r="A367" t="inlineStr">
        <is>
          <t>A 40828-2023</t>
        </is>
      </c>
      <c r="B367" s="1" t="n">
        <v>45171.96248842592</v>
      </c>
      <c r="C367" s="1" t="n">
        <v>45958</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58724-2024</t>
        </is>
      </c>
      <c r="B368" s="1" t="n">
        <v>45635.66409722222</v>
      </c>
      <c r="C368" s="1" t="n">
        <v>45958</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25792-2025</t>
        </is>
      </c>
      <c r="B369" s="1" t="n">
        <v>45804.39141203704</v>
      </c>
      <c r="C369" s="1" t="n">
        <v>45958</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61861-2024</t>
        </is>
      </c>
      <c r="B370" s="1" t="n">
        <v>45650.37370370371</v>
      </c>
      <c r="C370" s="1" t="n">
        <v>45958</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26039-2025</t>
        </is>
      </c>
      <c r="B371" s="1" t="n">
        <v>45804.6953587963</v>
      </c>
      <c r="C371" s="1" t="n">
        <v>45958</v>
      </c>
      <c r="D371" t="inlineStr">
        <is>
          <t>KALMAR LÄN</t>
        </is>
      </c>
      <c r="E371" t="inlineStr">
        <is>
          <t>VIMMERBY</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8650-2022</t>
        </is>
      </c>
      <c r="B372" s="1" t="n">
        <v>44613</v>
      </c>
      <c r="C372" s="1" t="n">
        <v>45958</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14359-2025</t>
        </is>
      </c>
      <c r="B373" s="1" t="n">
        <v>45741.37270833334</v>
      </c>
      <c r="C373" s="1" t="n">
        <v>45958</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33340-2023</t>
        </is>
      </c>
      <c r="B374" s="1" t="n">
        <v>45128.37305555555</v>
      </c>
      <c r="C374" s="1" t="n">
        <v>45958</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44423-2023</t>
        </is>
      </c>
      <c r="B375" s="1" t="n">
        <v>45189</v>
      </c>
      <c r="C375" s="1" t="n">
        <v>45958</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26046-2025</t>
        </is>
      </c>
      <c r="B376" s="1" t="n">
        <v>45804.708125</v>
      </c>
      <c r="C376" s="1" t="n">
        <v>45958</v>
      </c>
      <c r="D376" t="inlineStr">
        <is>
          <t>KALMAR LÄN</t>
        </is>
      </c>
      <c r="E376" t="inlineStr">
        <is>
          <t>VIMMERBY</t>
        </is>
      </c>
      <c r="F376" t="inlineStr">
        <is>
          <t>Sveaskog</t>
        </is>
      </c>
      <c r="G376" t="n">
        <v>5.1</v>
      </c>
      <c r="H376" t="n">
        <v>0</v>
      </c>
      <c r="I376" t="n">
        <v>0</v>
      </c>
      <c r="J376" t="n">
        <v>0</v>
      </c>
      <c r="K376" t="n">
        <v>0</v>
      </c>
      <c r="L376" t="n">
        <v>0</v>
      </c>
      <c r="M376" t="n">
        <v>0</v>
      </c>
      <c r="N376" t="n">
        <v>0</v>
      </c>
      <c r="O376" t="n">
        <v>0</v>
      </c>
      <c r="P376" t="n">
        <v>0</v>
      </c>
      <c r="Q376" t="n">
        <v>0</v>
      </c>
      <c r="R376" s="2" t="inlineStr"/>
    </row>
    <row r="377" ht="15" customHeight="1">
      <c r="A377" t="inlineStr">
        <is>
          <t>A 37323-2024</t>
        </is>
      </c>
      <c r="B377" s="1" t="n">
        <v>45540.50098379629</v>
      </c>
      <c r="C377" s="1" t="n">
        <v>45958</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26124-2025</t>
        </is>
      </c>
      <c r="B378" s="1" t="n">
        <v>45805.39247685186</v>
      </c>
      <c r="C378" s="1" t="n">
        <v>45958</v>
      </c>
      <c r="D378" t="inlineStr">
        <is>
          <t>KALMAR LÄN</t>
        </is>
      </c>
      <c r="E378" t="inlineStr">
        <is>
          <t>VIMMERBY</t>
        </is>
      </c>
      <c r="G378" t="n">
        <v>6.6</v>
      </c>
      <c r="H378" t="n">
        <v>0</v>
      </c>
      <c r="I378" t="n">
        <v>0</v>
      </c>
      <c r="J378" t="n">
        <v>0</v>
      </c>
      <c r="K378" t="n">
        <v>0</v>
      </c>
      <c r="L378" t="n">
        <v>0</v>
      </c>
      <c r="M378" t="n">
        <v>0</v>
      </c>
      <c r="N378" t="n">
        <v>0</v>
      </c>
      <c r="O378" t="n">
        <v>0</v>
      </c>
      <c r="P378" t="n">
        <v>0</v>
      </c>
      <c r="Q378" t="n">
        <v>0</v>
      </c>
      <c r="R378" s="2" t="inlineStr"/>
    </row>
    <row r="379" ht="15" customHeight="1">
      <c r="A379" t="inlineStr">
        <is>
          <t>A 46887-2025</t>
        </is>
      </c>
      <c r="B379" s="1" t="n">
        <v>45929.3672337963</v>
      </c>
      <c r="C379" s="1" t="n">
        <v>45958</v>
      </c>
      <c r="D379" t="inlineStr">
        <is>
          <t>KALMAR LÄN</t>
        </is>
      </c>
      <c r="E379" t="inlineStr">
        <is>
          <t>VIMMERBY</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7075-2021</t>
        </is>
      </c>
      <c r="B380" s="1" t="n">
        <v>44237</v>
      </c>
      <c r="C380" s="1" t="n">
        <v>45958</v>
      </c>
      <c r="D380" t="inlineStr">
        <is>
          <t>KALMAR LÄN</t>
        </is>
      </c>
      <c r="E380" t="inlineStr">
        <is>
          <t>VIMMERBY</t>
        </is>
      </c>
      <c r="G380" t="n">
        <v>3.6</v>
      </c>
      <c r="H380" t="n">
        <v>0</v>
      </c>
      <c r="I380" t="n">
        <v>0</v>
      </c>
      <c r="J380" t="n">
        <v>0</v>
      </c>
      <c r="K380" t="n">
        <v>0</v>
      </c>
      <c r="L380" t="n">
        <v>0</v>
      </c>
      <c r="M380" t="n">
        <v>0</v>
      </c>
      <c r="N380" t="n">
        <v>0</v>
      </c>
      <c r="O380" t="n">
        <v>0</v>
      </c>
      <c r="P380" t="n">
        <v>0</v>
      </c>
      <c r="Q380" t="n">
        <v>0</v>
      </c>
      <c r="R380" s="2" t="inlineStr"/>
    </row>
    <row r="381" ht="15" customHeight="1">
      <c r="A381" t="inlineStr">
        <is>
          <t>A 26207-2025</t>
        </is>
      </c>
      <c r="B381" s="1" t="n">
        <v>45805.52983796296</v>
      </c>
      <c r="C381" s="1" t="n">
        <v>45958</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25830-2025</t>
        </is>
      </c>
      <c r="B382" s="1" t="n">
        <v>45804.44519675926</v>
      </c>
      <c r="C382" s="1" t="n">
        <v>45958</v>
      </c>
      <c r="D382" t="inlineStr">
        <is>
          <t>KALMAR LÄN</t>
        </is>
      </c>
      <c r="E382" t="inlineStr">
        <is>
          <t>VIMMERBY</t>
        </is>
      </c>
      <c r="G382" t="n">
        <v>4.9</v>
      </c>
      <c r="H382" t="n">
        <v>0</v>
      </c>
      <c r="I382" t="n">
        <v>0</v>
      </c>
      <c r="J382" t="n">
        <v>0</v>
      </c>
      <c r="K382" t="n">
        <v>0</v>
      </c>
      <c r="L382" t="n">
        <v>0</v>
      </c>
      <c r="M382" t="n">
        <v>0</v>
      </c>
      <c r="N382" t="n">
        <v>0</v>
      </c>
      <c r="O382" t="n">
        <v>0</v>
      </c>
      <c r="P382" t="n">
        <v>0</v>
      </c>
      <c r="Q382" t="n">
        <v>0</v>
      </c>
      <c r="R382" s="2" t="inlineStr"/>
    </row>
    <row r="383" ht="15" customHeight="1">
      <c r="A383" t="inlineStr">
        <is>
          <t>A 26254-2025</t>
        </is>
      </c>
      <c r="B383" s="1" t="n">
        <v>45805</v>
      </c>
      <c r="C383" s="1" t="n">
        <v>45958</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55605-2024</t>
        </is>
      </c>
      <c r="B384" s="1" t="n">
        <v>45622</v>
      </c>
      <c r="C384" s="1" t="n">
        <v>45958</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44464-2024</t>
        </is>
      </c>
      <c r="B385" s="1" t="n">
        <v>45574.35809027778</v>
      </c>
      <c r="C385" s="1" t="n">
        <v>45958</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36049-2024</t>
        </is>
      </c>
      <c r="B386" s="1" t="n">
        <v>45533.61996527778</v>
      </c>
      <c r="C386" s="1" t="n">
        <v>45958</v>
      </c>
      <c r="D386" t="inlineStr">
        <is>
          <t>KALMAR LÄN</t>
        </is>
      </c>
      <c r="E386" t="inlineStr">
        <is>
          <t>VIMMERBY</t>
        </is>
      </c>
      <c r="F386" t="inlineStr">
        <is>
          <t>Kommuner</t>
        </is>
      </c>
      <c r="G386" t="n">
        <v>2.6</v>
      </c>
      <c r="H386" t="n">
        <v>0</v>
      </c>
      <c r="I386" t="n">
        <v>0</v>
      </c>
      <c r="J386" t="n">
        <v>0</v>
      </c>
      <c r="K386" t="n">
        <v>0</v>
      </c>
      <c r="L386" t="n">
        <v>0</v>
      </c>
      <c r="M386" t="n">
        <v>0</v>
      </c>
      <c r="N386" t="n">
        <v>0</v>
      </c>
      <c r="O386" t="n">
        <v>0</v>
      </c>
      <c r="P386" t="n">
        <v>0</v>
      </c>
      <c r="Q386" t="n">
        <v>0</v>
      </c>
      <c r="R386" s="2" t="inlineStr"/>
    </row>
    <row r="387" ht="15" customHeight="1">
      <c r="A387" t="inlineStr">
        <is>
          <t>A 4297-2022</t>
        </is>
      </c>
      <c r="B387" s="1" t="n">
        <v>44588</v>
      </c>
      <c r="C387" s="1" t="n">
        <v>45958</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45854-2025</t>
        </is>
      </c>
      <c r="B388" s="1" t="n">
        <v>45923</v>
      </c>
      <c r="C388" s="1" t="n">
        <v>45958</v>
      </c>
      <c r="D388" t="inlineStr">
        <is>
          <t>KALMAR LÄN</t>
        </is>
      </c>
      <c r="E388" t="inlineStr">
        <is>
          <t>VIMMERBY</t>
        </is>
      </c>
      <c r="G388" t="n">
        <v>2.2</v>
      </c>
      <c r="H388" t="n">
        <v>0</v>
      </c>
      <c r="I388" t="n">
        <v>0</v>
      </c>
      <c r="J388" t="n">
        <v>0</v>
      </c>
      <c r="K388" t="n">
        <v>0</v>
      </c>
      <c r="L388" t="n">
        <v>0</v>
      </c>
      <c r="M388" t="n">
        <v>0</v>
      </c>
      <c r="N388" t="n">
        <v>0</v>
      </c>
      <c r="O388" t="n">
        <v>0</v>
      </c>
      <c r="P388" t="n">
        <v>0</v>
      </c>
      <c r="Q388" t="n">
        <v>0</v>
      </c>
      <c r="R388" s="2" t="inlineStr"/>
    </row>
    <row r="389" ht="15" customHeight="1">
      <c r="A389" t="inlineStr">
        <is>
          <t>A 18501-2024</t>
        </is>
      </c>
      <c r="B389" s="1" t="n">
        <v>45425.57538194444</v>
      </c>
      <c r="C389" s="1" t="n">
        <v>45958</v>
      </c>
      <c r="D389" t="inlineStr">
        <is>
          <t>KALMAR LÄN</t>
        </is>
      </c>
      <c r="E389" t="inlineStr">
        <is>
          <t>VIMMERBY</t>
        </is>
      </c>
      <c r="G389" t="n">
        <v>2</v>
      </c>
      <c r="H389" t="n">
        <v>0</v>
      </c>
      <c r="I389" t="n">
        <v>0</v>
      </c>
      <c r="J389" t="n">
        <v>0</v>
      </c>
      <c r="K389" t="n">
        <v>0</v>
      </c>
      <c r="L389" t="n">
        <v>0</v>
      </c>
      <c r="M389" t="n">
        <v>0</v>
      </c>
      <c r="N389" t="n">
        <v>0</v>
      </c>
      <c r="O389" t="n">
        <v>0</v>
      </c>
      <c r="P389" t="n">
        <v>0</v>
      </c>
      <c r="Q389" t="n">
        <v>0</v>
      </c>
      <c r="R389" s="2" t="inlineStr"/>
    </row>
    <row r="390" ht="15" customHeight="1">
      <c r="A390" t="inlineStr">
        <is>
          <t>A 46399-2024</t>
        </is>
      </c>
      <c r="B390" s="1" t="n">
        <v>45582.41200231481</v>
      </c>
      <c r="C390" s="1" t="n">
        <v>45958</v>
      </c>
      <c r="D390" t="inlineStr">
        <is>
          <t>KALMAR LÄN</t>
        </is>
      </c>
      <c r="E390" t="inlineStr">
        <is>
          <t>VIMMERBY</t>
        </is>
      </c>
      <c r="G390" t="n">
        <v>4.6</v>
      </c>
      <c r="H390" t="n">
        <v>0</v>
      </c>
      <c r="I390" t="n">
        <v>0</v>
      </c>
      <c r="J390" t="n">
        <v>0</v>
      </c>
      <c r="K390" t="n">
        <v>0</v>
      </c>
      <c r="L390" t="n">
        <v>0</v>
      </c>
      <c r="M390" t="n">
        <v>0</v>
      </c>
      <c r="N390" t="n">
        <v>0</v>
      </c>
      <c r="O390" t="n">
        <v>0</v>
      </c>
      <c r="P390" t="n">
        <v>0</v>
      </c>
      <c r="Q390" t="n">
        <v>0</v>
      </c>
      <c r="R390" s="2" t="inlineStr"/>
    </row>
    <row r="391" ht="15" customHeight="1">
      <c r="A391" t="inlineStr">
        <is>
          <t>A 47227-2025</t>
        </is>
      </c>
      <c r="B391" s="1" t="n">
        <v>45930.39769675926</v>
      </c>
      <c r="C391" s="1" t="n">
        <v>45958</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27758-2024</t>
        </is>
      </c>
      <c r="B392" s="1" t="n">
        <v>45475.48303240741</v>
      </c>
      <c r="C392" s="1" t="n">
        <v>45958</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13307-2025</t>
        </is>
      </c>
      <c r="B393" s="1" t="n">
        <v>45735.58024305556</v>
      </c>
      <c r="C393" s="1" t="n">
        <v>45958</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13532-2025</t>
        </is>
      </c>
      <c r="B394" s="1" t="n">
        <v>45736.50743055555</v>
      </c>
      <c r="C394" s="1" t="n">
        <v>45958</v>
      </c>
      <c r="D394" t="inlineStr">
        <is>
          <t>KALMAR LÄN</t>
        </is>
      </c>
      <c r="E394" t="inlineStr">
        <is>
          <t>VIMMERBY</t>
        </is>
      </c>
      <c r="G394" t="n">
        <v>3.6</v>
      </c>
      <c r="H394" t="n">
        <v>0</v>
      </c>
      <c r="I394" t="n">
        <v>0</v>
      </c>
      <c r="J394" t="n">
        <v>0</v>
      </c>
      <c r="K394" t="n">
        <v>0</v>
      </c>
      <c r="L394" t="n">
        <v>0</v>
      </c>
      <c r="M394" t="n">
        <v>0</v>
      </c>
      <c r="N394" t="n">
        <v>0</v>
      </c>
      <c r="O394" t="n">
        <v>0</v>
      </c>
      <c r="P394" t="n">
        <v>0</v>
      </c>
      <c r="Q394" t="n">
        <v>0</v>
      </c>
      <c r="R394" s="2" t="inlineStr"/>
    </row>
    <row r="395" ht="15" customHeight="1">
      <c r="A395" t="inlineStr">
        <is>
          <t>A 43038-2022</t>
        </is>
      </c>
      <c r="B395" s="1" t="n">
        <v>44833.60123842592</v>
      </c>
      <c r="C395" s="1" t="n">
        <v>45958</v>
      </c>
      <c r="D395" t="inlineStr">
        <is>
          <t>KALMAR LÄN</t>
        </is>
      </c>
      <c r="E395" t="inlineStr">
        <is>
          <t>VIMMERBY</t>
        </is>
      </c>
      <c r="G395" t="n">
        <v>4.2</v>
      </c>
      <c r="H395" t="n">
        <v>0</v>
      </c>
      <c r="I395" t="n">
        <v>0</v>
      </c>
      <c r="J395" t="n">
        <v>0</v>
      </c>
      <c r="K395" t="n">
        <v>0</v>
      </c>
      <c r="L395" t="n">
        <v>0</v>
      </c>
      <c r="M395" t="n">
        <v>0</v>
      </c>
      <c r="N395" t="n">
        <v>0</v>
      </c>
      <c r="O395" t="n">
        <v>0</v>
      </c>
      <c r="P395" t="n">
        <v>0</v>
      </c>
      <c r="Q395" t="n">
        <v>0</v>
      </c>
      <c r="R395" s="2" t="inlineStr"/>
    </row>
    <row r="396" ht="15" customHeight="1">
      <c r="A396" t="inlineStr">
        <is>
          <t>A 55716-2023</t>
        </is>
      </c>
      <c r="B396" s="1" t="n">
        <v>45232</v>
      </c>
      <c r="C396" s="1" t="n">
        <v>45958</v>
      </c>
      <c r="D396" t="inlineStr">
        <is>
          <t>KALMAR LÄN</t>
        </is>
      </c>
      <c r="E396" t="inlineStr">
        <is>
          <t>VIMMERBY</t>
        </is>
      </c>
      <c r="G396" t="n">
        <v>2.3</v>
      </c>
      <c r="H396" t="n">
        <v>0</v>
      </c>
      <c r="I396" t="n">
        <v>0</v>
      </c>
      <c r="J396" t="n">
        <v>0</v>
      </c>
      <c r="K396" t="n">
        <v>0</v>
      </c>
      <c r="L396" t="n">
        <v>0</v>
      </c>
      <c r="M396" t="n">
        <v>0</v>
      </c>
      <c r="N396" t="n">
        <v>0</v>
      </c>
      <c r="O396" t="n">
        <v>0</v>
      </c>
      <c r="P396" t="n">
        <v>0</v>
      </c>
      <c r="Q396" t="n">
        <v>0</v>
      </c>
      <c r="R396" s="2" t="inlineStr"/>
    </row>
    <row r="397" ht="15" customHeight="1">
      <c r="A397" t="inlineStr">
        <is>
          <t>A 29726-2025</t>
        </is>
      </c>
      <c r="B397" s="1" t="n">
        <v>45825.57805555555</v>
      </c>
      <c r="C397" s="1" t="n">
        <v>45958</v>
      </c>
      <c r="D397" t="inlineStr">
        <is>
          <t>KALMAR LÄN</t>
        </is>
      </c>
      <c r="E397" t="inlineStr">
        <is>
          <t>VIMMERBY</t>
        </is>
      </c>
      <c r="G397" t="n">
        <v>2</v>
      </c>
      <c r="H397" t="n">
        <v>0</v>
      </c>
      <c r="I397" t="n">
        <v>0</v>
      </c>
      <c r="J397" t="n">
        <v>0</v>
      </c>
      <c r="K397" t="n">
        <v>0</v>
      </c>
      <c r="L397" t="n">
        <v>0</v>
      </c>
      <c r="M397" t="n">
        <v>0</v>
      </c>
      <c r="N397" t="n">
        <v>0</v>
      </c>
      <c r="O397" t="n">
        <v>0</v>
      </c>
      <c r="P397" t="n">
        <v>0</v>
      </c>
      <c r="Q397" t="n">
        <v>0</v>
      </c>
      <c r="R397" s="2" t="inlineStr"/>
    </row>
    <row r="398" ht="15" customHeight="1">
      <c r="A398" t="inlineStr">
        <is>
          <t>A 18329-2023</t>
        </is>
      </c>
      <c r="B398" s="1" t="n">
        <v>45041.63380787037</v>
      </c>
      <c r="C398" s="1" t="n">
        <v>45958</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12596-2021</t>
        </is>
      </c>
      <c r="B399" s="1" t="n">
        <v>44270.39765046296</v>
      </c>
      <c r="C399" s="1" t="n">
        <v>45958</v>
      </c>
      <c r="D399" t="inlineStr">
        <is>
          <t>KALMAR LÄN</t>
        </is>
      </c>
      <c r="E399" t="inlineStr">
        <is>
          <t>VIMMERBY</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13015-2023</t>
        </is>
      </c>
      <c r="B400" s="1" t="n">
        <v>45002</v>
      </c>
      <c r="C400" s="1" t="n">
        <v>45958</v>
      </c>
      <c r="D400" t="inlineStr">
        <is>
          <t>KALMAR LÄN</t>
        </is>
      </c>
      <c r="E400" t="inlineStr">
        <is>
          <t>VIMMERBY</t>
        </is>
      </c>
      <c r="G400" t="n">
        <v>3.2</v>
      </c>
      <c r="H400" t="n">
        <v>0</v>
      </c>
      <c r="I400" t="n">
        <v>0</v>
      </c>
      <c r="J400" t="n">
        <v>0</v>
      </c>
      <c r="K400" t="n">
        <v>0</v>
      </c>
      <c r="L400" t="n">
        <v>0</v>
      </c>
      <c r="M400" t="n">
        <v>0</v>
      </c>
      <c r="N400" t="n">
        <v>0</v>
      </c>
      <c r="O400" t="n">
        <v>0</v>
      </c>
      <c r="P400" t="n">
        <v>0</v>
      </c>
      <c r="Q400" t="n">
        <v>0</v>
      </c>
      <c r="R400" s="2" t="inlineStr"/>
    </row>
    <row r="401" ht="15" customHeight="1">
      <c r="A401" t="inlineStr">
        <is>
          <t>A 57799-2022</t>
        </is>
      </c>
      <c r="B401" s="1" t="n">
        <v>44897</v>
      </c>
      <c r="C401" s="1" t="n">
        <v>45958</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30921-2024</t>
        </is>
      </c>
      <c r="B402" s="1" t="n">
        <v>45498</v>
      </c>
      <c r="C402" s="1" t="n">
        <v>45958</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39801-2025</t>
        </is>
      </c>
      <c r="B403" s="1" t="n">
        <v>45891.50216435185</v>
      </c>
      <c r="C403" s="1" t="n">
        <v>45958</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47955-2025</t>
        </is>
      </c>
      <c r="B404" s="1" t="n">
        <v>45932.58896990741</v>
      </c>
      <c r="C404" s="1" t="n">
        <v>45958</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29186-2024</t>
        </is>
      </c>
      <c r="B405" s="1" t="n">
        <v>45482.54844907407</v>
      </c>
      <c r="C405" s="1" t="n">
        <v>45958</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50993-2022</t>
        </is>
      </c>
      <c r="B406" s="1" t="n">
        <v>44867</v>
      </c>
      <c r="C406" s="1" t="n">
        <v>45958</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39807-2025</t>
        </is>
      </c>
      <c r="B407" s="1" t="n">
        <v>45891.50986111111</v>
      </c>
      <c r="C407" s="1" t="n">
        <v>45958</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39736-2025</t>
        </is>
      </c>
      <c r="B408" s="1" t="n">
        <v>45891</v>
      </c>
      <c r="C408" s="1" t="n">
        <v>45958</v>
      </c>
      <c r="D408" t="inlineStr">
        <is>
          <t>KALMAR LÄN</t>
        </is>
      </c>
      <c r="E408" t="inlineStr">
        <is>
          <t>VIMMERBY</t>
        </is>
      </c>
      <c r="G408" t="n">
        <v>12.8</v>
      </c>
      <c r="H408" t="n">
        <v>0</v>
      </c>
      <c r="I408" t="n">
        <v>0</v>
      </c>
      <c r="J408" t="n">
        <v>0</v>
      </c>
      <c r="K408" t="n">
        <v>0</v>
      </c>
      <c r="L408" t="n">
        <v>0</v>
      </c>
      <c r="M408" t="n">
        <v>0</v>
      </c>
      <c r="N408" t="n">
        <v>0</v>
      </c>
      <c r="O408" t="n">
        <v>0</v>
      </c>
      <c r="P408" t="n">
        <v>0</v>
      </c>
      <c r="Q408" t="n">
        <v>0</v>
      </c>
      <c r="R408" s="2" t="inlineStr"/>
    </row>
    <row r="409" ht="15" customHeight="1">
      <c r="A409" t="inlineStr">
        <is>
          <t>A 47965-2025</t>
        </is>
      </c>
      <c r="B409" s="1" t="n">
        <v>45932.59597222223</v>
      </c>
      <c r="C409" s="1" t="n">
        <v>45958</v>
      </c>
      <c r="D409" t="inlineStr">
        <is>
          <t>KALMAR LÄN</t>
        </is>
      </c>
      <c r="E409" t="inlineStr">
        <is>
          <t>VIMMERBY</t>
        </is>
      </c>
      <c r="G409" t="n">
        <v>2.2</v>
      </c>
      <c r="H409" t="n">
        <v>0</v>
      </c>
      <c r="I409" t="n">
        <v>0</v>
      </c>
      <c r="J409" t="n">
        <v>0</v>
      </c>
      <c r="K409" t="n">
        <v>0</v>
      </c>
      <c r="L409" t="n">
        <v>0</v>
      </c>
      <c r="M409" t="n">
        <v>0</v>
      </c>
      <c r="N409" t="n">
        <v>0</v>
      </c>
      <c r="O409" t="n">
        <v>0</v>
      </c>
      <c r="P409" t="n">
        <v>0</v>
      </c>
      <c r="Q409" t="n">
        <v>0</v>
      </c>
      <c r="R409" s="2" t="inlineStr"/>
    </row>
    <row r="410" ht="15" customHeight="1">
      <c r="A410" t="inlineStr">
        <is>
          <t>A 54787-2023</t>
        </is>
      </c>
      <c r="B410" s="1" t="n">
        <v>45236</v>
      </c>
      <c r="C410" s="1" t="n">
        <v>45958</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32614-2023</t>
        </is>
      </c>
      <c r="B411" s="1" t="n">
        <v>45121</v>
      </c>
      <c r="C411" s="1" t="n">
        <v>45958</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48299-2025</t>
        </is>
      </c>
      <c r="B412" s="1" t="n">
        <v>45933.60982638889</v>
      </c>
      <c r="C412" s="1" t="n">
        <v>45958</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6850-2023</t>
        </is>
      </c>
      <c r="B413" s="1" t="n">
        <v>44967.44255787037</v>
      </c>
      <c r="C413" s="1" t="n">
        <v>45958</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58750-2022</t>
        </is>
      </c>
      <c r="B414" s="1" t="n">
        <v>44903.33363425926</v>
      </c>
      <c r="C414" s="1" t="n">
        <v>45958</v>
      </c>
      <c r="D414" t="inlineStr">
        <is>
          <t>KALMAR LÄN</t>
        </is>
      </c>
      <c r="E414" t="inlineStr">
        <is>
          <t>VIMMERBY</t>
        </is>
      </c>
      <c r="G414" t="n">
        <v>3.3</v>
      </c>
      <c r="H414" t="n">
        <v>0</v>
      </c>
      <c r="I414" t="n">
        <v>0</v>
      </c>
      <c r="J414" t="n">
        <v>0</v>
      </c>
      <c r="K414" t="n">
        <v>0</v>
      </c>
      <c r="L414" t="n">
        <v>0</v>
      </c>
      <c r="M414" t="n">
        <v>0</v>
      </c>
      <c r="N414" t="n">
        <v>0</v>
      </c>
      <c r="O414" t="n">
        <v>0</v>
      </c>
      <c r="P414" t="n">
        <v>0</v>
      </c>
      <c r="Q414" t="n">
        <v>0</v>
      </c>
      <c r="R414" s="2" t="inlineStr"/>
    </row>
    <row r="415" ht="15" customHeight="1">
      <c r="A415" t="inlineStr">
        <is>
          <t>A 14137-2023</t>
        </is>
      </c>
      <c r="B415" s="1" t="n">
        <v>45009.4671875</v>
      </c>
      <c r="C415" s="1" t="n">
        <v>45958</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41158-2023</t>
        </is>
      </c>
      <c r="B416" s="1" t="n">
        <v>45174.31395833333</v>
      </c>
      <c r="C416" s="1" t="n">
        <v>45958</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39803-2025</t>
        </is>
      </c>
      <c r="B417" s="1" t="n">
        <v>45891.50525462963</v>
      </c>
      <c r="C417" s="1" t="n">
        <v>45958</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2510-2023</t>
        </is>
      </c>
      <c r="B418" s="1" t="n">
        <v>44943.57309027778</v>
      </c>
      <c r="C418" s="1" t="n">
        <v>45958</v>
      </c>
      <c r="D418" t="inlineStr">
        <is>
          <t>KALMAR LÄN</t>
        </is>
      </c>
      <c r="E418" t="inlineStr">
        <is>
          <t>VIMMERBY</t>
        </is>
      </c>
      <c r="G418" t="n">
        <v>8.6</v>
      </c>
      <c r="H418" t="n">
        <v>0</v>
      </c>
      <c r="I418" t="n">
        <v>0</v>
      </c>
      <c r="J418" t="n">
        <v>0</v>
      </c>
      <c r="K418" t="n">
        <v>0</v>
      </c>
      <c r="L418" t="n">
        <v>0</v>
      </c>
      <c r="M418" t="n">
        <v>0</v>
      </c>
      <c r="N418" t="n">
        <v>0</v>
      </c>
      <c r="O418" t="n">
        <v>0</v>
      </c>
      <c r="P418" t="n">
        <v>0</v>
      </c>
      <c r="Q418" t="n">
        <v>0</v>
      </c>
      <c r="R418" s="2" t="inlineStr"/>
    </row>
    <row r="419" ht="15" customHeight="1">
      <c r="A419" t="inlineStr">
        <is>
          <t>A 39889-2025</t>
        </is>
      </c>
      <c r="B419" s="1" t="n">
        <v>45891</v>
      </c>
      <c r="C419" s="1" t="n">
        <v>45958</v>
      </c>
      <c r="D419" t="inlineStr">
        <is>
          <t>KALMAR LÄN</t>
        </is>
      </c>
      <c r="E419" t="inlineStr">
        <is>
          <t>VIMMERBY</t>
        </is>
      </c>
      <c r="G419" t="n">
        <v>4.5</v>
      </c>
      <c r="H419" t="n">
        <v>0</v>
      </c>
      <c r="I419" t="n">
        <v>0</v>
      </c>
      <c r="J419" t="n">
        <v>0</v>
      </c>
      <c r="K419" t="n">
        <v>0</v>
      </c>
      <c r="L419" t="n">
        <v>0</v>
      </c>
      <c r="M419" t="n">
        <v>0</v>
      </c>
      <c r="N419" t="n">
        <v>0</v>
      </c>
      <c r="O419" t="n">
        <v>0</v>
      </c>
      <c r="P419" t="n">
        <v>0</v>
      </c>
      <c r="Q419" t="n">
        <v>0</v>
      </c>
      <c r="R419" s="2" t="inlineStr"/>
    </row>
    <row r="420" ht="15" customHeight="1">
      <c r="A420" t="inlineStr">
        <is>
          <t>A 3269-2024</t>
        </is>
      </c>
      <c r="B420" s="1" t="n">
        <v>45317.40372685185</v>
      </c>
      <c r="C420" s="1" t="n">
        <v>45958</v>
      </c>
      <c r="D420" t="inlineStr">
        <is>
          <t>KALMAR LÄN</t>
        </is>
      </c>
      <c r="E420" t="inlineStr">
        <is>
          <t>VIMMERBY</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48120-2022</t>
        </is>
      </c>
      <c r="B421" s="1" t="n">
        <v>44857.65989583333</v>
      </c>
      <c r="C421" s="1" t="n">
        <v>45958</v>
      </c>
      <c r="D421" t="inlineStr">
        <is>
          <t>KALMAR LÄN</t>
        </is>
      </c>
      <c r="E421" t="inlineStr">
        <is>
          <t>VIMMERBY</t>
        </is>
      </c>
      <c r="G421" t="n">
        <v>1.7</v>
      </c>
      <c r="H421" t="n">
        <v>0</v>
      </c>
      <c r="I421" t="n">
        <v>0</v>
      </c>
      <c r="J421" t="n">
        <v>0</v>
      </c>
      <c r="K421" t="n">
        <v>0</v>
      </c>
      <c r="L421" t="n">
        <v>0</v>
      </c>
      <c r="M421" t="n">
        <v>0</v>
      </c>
      <c r="N421" t="n">
        <v>0</v>
      </c>
      <c r="O421" t="n">
        <v>0</v>
      </c>
      <c r="P421" t="n">
        <v>0</v>
      </c>
      <c r="Q421" t="n">
        <v>0</v>
      </c>
      <c r="R421" s="2" t="inlineStr"/>
    </row>
    <row r="422" ht="15" customHeight="1">
      <c r="A422" t="inlineStr">
        <is>
          <t>A 11152-2023</t>
        </is>
      </c>
      <c r="B422" s="1" t="n">
        <v>44992</v>
      </c>
      <c r="C422" s="1" t="n">
        <v>45958</v>
      </c>
      <c r="D422" t="inlineStr">
        <is>
          <t>KALMAR LÄN</t>
        </is>
      </c>
      <c r="E422" t="inlineStr">
        <is>
          <t>VIMMERBY</t>
        </is>
      </c>
      <c r="G422" t="n">
        <v>10.6</v>
      </c>
      <c r="H422" t="n">
        <v>0</v>
      </c>
      <c r="I422" t="n">
        <v>0</v>
      </c>
      <c r="J422" t="n">
        <v>0</v>
      </c>
      <c r="K422" t="n">
        <v>0</v>
      </c>
      <c r="L422" t="n">
        <v>0</v>
      </c>
      <c r="M422" t="n">
        <v>0</v>
      </c>
      <c r="N422" t="n">
        <v>0</v>
      </c>
      <c r="O422" t="n">
        <v>0</v>
      </c>
      <c r="P422" t="n">
        <v>0</v>
      </c>
      <c r="Q422" t="n">
        <v>0</v>
      </c>
      <c r="R422" s="2" t="inlineStr"/>
    </row>
    <row r="423" ht="15" customHeight="1">
      <c r="A423" t="inlineStr">
        <is>
          <t>A 48723-2025</t>
        </is>
      </c>
      <c r="B423" s="1" t="n">
        <v>45936.65121527778</v>
      </c>
      <c r="C423" s="1" t="n">
        <v>45958</v>
      </c>
      <c r="D423" t="inlineStr">
        <is>
          <t>KALMAR LÄN</t>
        </is>
      </c>
      <c r="E423" t="inlineStr">
        <is>
          <t>VIMMERBY</t>
        </is>
      </c>
      <c r="G423" t="n">
        <v>3</v>
      </c>
      <c r="H423" t="n">
        <v>0</v>
      </c>
      <c r="I423" t="n">
        <v>0</v>
      </c>
      <c r="J423" t="n">
        <v>0</v>
      </c>
      <c r="K423" t="n">
        <v>0</v>
      </c>
      <c r="L423" t="n">
        <v>0</v>
      </c>
      <c r="M423" t="n">
        <v>0</v>
      </c>
      <c r="N423" t="n">
        <v>0</v>
      </c>
      <c r="O423" t="n">
        <v>0</v>
      </c>
      <c r="P423" t="n">
        <v>0</v>
      </c>
      <c r="Q423" t="n">
        <v>0</v>
      </c>
      <c r="R423" s="2" t="inlineStr"/>
    </row>
    <row r="424" ht="15" customHeight="1">
      <c r="A424" t="inlineStr">
        <is>
          <t>A 28286-2025</t>
        </is>
      </c>
      <c r="B424" s="1" t="n">
        <v>45818.58993055556</v>
      </c>
      <c r="C424" s="1" t="n">
        <v>45958</v>
      </c>
      <c r="D424" t="inlineStr">
        <is>
          <t>KALMAR LÄN</t>
        </is>
      </c>
      <c r="E424" t="inlineStr">
        <is>
          <t>VIMMERBY</t>
        </is>
      </c>
      <c r="F424" t="inlineStr">
        <is>
          <t>Sveaskog</t>
        </is>
      </c>
      <c r="G424" t="n">
        <v>8</v>
      </c>
      <c r="H424" t="n">
        <v>0</v>
      </c>
      <c r="I424" t="n">
        <v>0</v>
      </c>
      <c r="J424" t="n">
        <v>0</v>
      </c>
      <c r="K424" t="n">
        <v>0</v>
      </c>
      <c r="L424" t="n">
        <v>0</v>
      </c>
      <c r="M424" t="n">
        <v>0</v>
      </c>
      <c r="N424" t="n">
        <v>0</v>
      </c>
      <c r="O424" t="n">
        <v>0</v>
      </c>
      <c r="P424" t="n">
        <v>0</v>
      </c>
      <c r="Q424" t="n">
        <v>0</v>
      </c>
      <c r="R424" s="2" t="inlineStr"/>
    </row>
    <row r="425" ht="15" customHeight="1">
      <c r="A425" t="inlineStr">
        <is>
          <t>A 48600-2025</t>
        </is>
      </c>
      <c r="B425" s="1" t="n">
        <v>45935</v>
      </c>
      <c r="C425" s="1" t="n">
        <v>45958</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28282-2025</t>
        </is>
      </c>
      <c r="B426" s="1" t="n">
        <v>45818.58769675926</v>
      </c>
      <c r="C426" s="1" t="n">
        <v>45958</v>
      </c>
      <c r="D426" t="inlineStr">
        <is>
          <t>KALMAR LÄN</t>
        </is>
      </c>
      <c r="E426" t="inlineStr">
        <is>
          <t>VIMMERBY</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28294-2025</t>
        </is>
      </c>
      <c r="B427" s="1" t="n">
        <v>45818.595625</v>
      </c>
      <c r="C427" s="1" t="n">
        <v>45958</v>
      </c>
      <c r="D427" t="inlineStr">
        <is>
          <t>KALMAR LÄN</t>
        </is>
      </c>
      <c r="E427" t="inlineStr">
        <is>
          <t>VIMMERBY</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28290-2025</t>
        </is>
      </c>
      <c r="B428" s="1" t="n">
        <v>45818.59261574074</v>
      </c>
      <c r="C428" s="1" t="n">
        <v>45958</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6368-2023</t>
        </is>
      </c>
      <c r="B429" s="1" t="n">
        <v>44965</v>
      </c>
      <c r="C429" s="1" t="n">
        <v>45958</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9416-2024</t>
        </is>
      </c>
      <c r="B430" s="1" t="n">
        <v>45359.44837962963</v>
      </c>
      <c r="C430" s="1" t="n">
        <v>45958</v>
      </c>
      <c r="D430" t="inlineStr">
        <is>
          <t>KALMAR LÄN</t>
        </is>
      </c>
      <c r="E430" t="inlineStr">
        <is>
          <t>VIMMERBY</t>
        </is>
      </c>
      <c r="G430" t="n">
        <v>3.2</v>
      </c>
      <c r="H430" t="n">
        <v>0</v>
      </c>
      <c r="I430" t="n">
        <v>0</v>
      </c>
      <c r="J430" t="n">
        <v>0</v>
      </c>
      <c r="K430" t="n">
        <v>0</v>
      </c>
      <c r="L430" t="n">
        <v>0</v>
      </c>
      <c r="M430" t="n">
        <v>0</v>
      </c>
      <c r="N430" t="n">
        <v>0</v>
      </c>
      <c r="O430" t="n">
        <v>0</v>
      </c>
      <c r="P430" t="n">
        <v>0</v>
      </c>
      <c r="Q430" t="n">
        <v>0</v>
      </c>
      <c r="R430" s="2" t="inlineStr"/>
    </row>
    <row r="431" ht="15" customHeight="1">
      <c r="A431" t="inlineStr">
        <is>
          <t>A 28280-2025</t>
        </is>
      </c>
      <c r="B431" s="1" t="n">
        <v>45818.5862037037</v>
      </c>
      <c r="C431" s="1" t="n">
        <v>45958</v>
      </c>
      <c r="D431" t="inlineStr">
        <is>
          <t>KALMAR LÄN</t>
        </is>
      </c>
      <c r="E431" t="inlineStr">
        <is>
          <t>VIMMERBY</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2797-2023</t>
        </is>
      </c>
      <c r="B432" s="1" t="n">
        <v>44944.71386574074</v>
      </c>
      <c r="C432" s="1" t="n">
        <v>45958</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2799-2023</t>
        </is>
      </c>
      <c r="B433" s="1" t="n">
        <v>44944.72100694444</v>
      </c>
      <c r="C433" s="1" t="n">
        <v>45958</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25987-2024</t>
        </is>
      </c>
      <c r="B434" s="1" t="n">
        <v>45467.74417824074</v>
      </c>
      <c r="C434" s="1" t="n">
        <v>45958</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48408-2025</t>
        </is>
      </c>
      <c r="B435" s="1" t="n">
        <v>45934.40527777778</v>
      </c>
      <c r="C435" s="1" t="n">
        <v>45958</v>
      </c>
      <c r="D435" t="inlineStr">
        <is>
          <t>KALMAR LÄN</t>
        </is>
      </c>
      <c r="E435" t="inlineStr">
        <is>
          <t>VIMMERBY</t>
        </is>
      </c>
      <c r="G435" t="n">
        <v>2.4</v>
      </c>
      <c r="H435" t="n">
        <v>0</v>
      </c>
      <c r="I435" t="n">
        <v>0</v>
      </c>
      <c r="J435" t="n">
        <v>0</v>
      </c>
      <c r="K435" t="n">
        <v>0</v>
      </c>
      <c r="L435" t="n">
        <v>0</v>
      </c>
      <c r="M435" t="n">
        <v>0</v>
      </c>
      <c r="N435" t="n">
        <v>0</v>
      </c>
      <c r="O435" t="n">
        <v>0</v>
      </c>
      <c r="P435" t="n">
        <v>0</v>
      </c>
      <c r="Q435" t="n">
        <v>0</v>
      </c>
      <c r="R435" s="2" t="inlineStr"/>
    </row>
    <row r="436" ht="15" customHeight="1">
      <c r="A436" t="inlineStr">
        <is>
          <t>A 28620-2025</t>
        </is>
      </c>
      <c r="B436" s="1" t="n">
        <v>45819.61060185185</v>
      </c>
      <c r="C436" s="1" t="n">
        <v>45958</v>
      </c>
      <c r="D436" t="inlineStr">
        <is>
          <t>KALMAR LÄN</t>
        </is>
      </c>
      <c r="E436" t="inlineStr">
        <is>
          <t>VIMMERBY</t>
        </is>
      </c>
      <c r="G436" t="n">
        <v>5.6</v>
      </c>
      <c r="H436" t="n">
        <v>0</v>
      </c>
      <c r="I436" t="n">
        <v>0</v>
      </c>
      <c r="J436" t="n">
        <v>0</v>
      </c>
      <c r="K436" t="n">
        <v>0</v>
      </c>
      <c r="L436" t="n">
        <v>0</v>
      </c>
      <c r="M436" t="n">
        <v>0</v>
      </c>
      <c r="N436" t="n">
        <v>0</v>
      </c>
      <c r="O436" t="n">
        <v>0</v>
      </c>
      <c r="P436" t="n">
        <v>0</v>
      </c>
      <c r="Q436" t="n">
        <v>0</v>
      </c>
      <c r="R436" s="2" t="inlineStr"/>
    </row>
    <row r="437" ht="15" customHeight="1">
      <c r="A437" t="inlineStr">
        <is>
          <t>A 22194-2024</t>
        </is>
      </c>
      <c r="B437" s="1" t="n">
        <v>45446.36482638889</v>
      </c>
      <c r="C437" s="1" t="n">
        <v>45958</v>
      </c>
      <c r="D437" t="inlineStr">
        <is>
          <t>KALMAR LÄN</t>
        </is>
      </c>
      <c r="E437" t="inlineStr">
        <is>
          <t>VIMMERBY</t>
        </is>
      </c>
      <c r="F437" t="inlineStr">
        <is>
          <t>Sveaskog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12499-2023</t>
        </is>
      </c>
      <c r="B438" s="1" t="n">
        <v>44999.86172453704</v>
      </c>
      <c r="C438" s="1" t="n">
        <v>45958</v>
      </c>
      <c r="D438" t="inlineStr">
        <is>
          <t>KALMAR LÄN</t>
        </is>
      </c>
      <c r="E438" t="inlineStr">
        <is>
          <t>VIMMERBY</t>
        </is>
      </c>
      <c r="G438" t="n">
        <v>0.8</v>
      </c>
      <c r="H438" t="n">
        <v>0</v>
      </c>
      <c r="I438" t="n">
        <v>0</v>
      </c>
      <c r="J438" t="n">
        <v>0</v>
      </c>
      <c r="K438" t="n">
        <v>0</v>
      </c>
      <c r="L438" t="n">
        <v>0</v>
      </c>
      <c r="M438" t="n">
        <v>0</v>
      </c>
      <c r="N438" t="n">
        <v>0</v>
      </c>
      <c r="O438" t="n">
        <v>0</v>
      </c>
      <c r="P438" t="n">
        <v>0</v>
      </c>
      <c r="Q438" t="n">
        <v>0</v>
      </c>
      <c r="R438" s="2" t="inlineStr"/>
    </row>
    <row r="439" ht="15" customHeight="1">
      <c r="A439" t="inlineStr">
        <is>
          <t>A 12500-2023</t>
        </is>
      </c>
      <c r="B439" s="1" t="n">
        <v>44999.8625</v>
      </c>
      <c r="C439" s="1" t="n">
        <v>45958</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35846-2023</t>
        </is>
      </c>
      <c r="B440" s="1" t="n">
        <v>45148</v>
      </c>
      <c r="C440" s="1" t="n">
        <v>45958</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19865-2021</t>
        </is>
      </c>
      <c r="B441" s="1" t="n">
        <v>44312</v>
      </c>
      <c r="C441" s="1" t="n">
        <v>45958</v>
      </c>
      <c r="D441" t="inlineStr">
        <is>
          <t>KALMAR LÄN</t>
        </is>
      </c>
      <c r="E441" t="inlineStr">
        <is>
          <t>VIMMERBY</t>
        </is>
      </c>
      <c r="G441" t="n">
        <v>8.6</v>
      </c>
      <c r="H441" t="n">
        <v>0</v>
      </c>
      <c r="I441" t="n">
        <v>0</v>
      </c>
      <c r="J441" t="n">
        <v>0</v>
      </c>
      <c r="K441" t="n">
        <v>0</v>
      </c>
      <c r="L441" t="n">
        <v>0</v>
      </c>
      <c r="M441" t="n">
        <v>0</v>
      </c>
      <c r="N441" t="n">
        <v>0</v>
      </c>
      <c r="O441" t="n">
        <v>0</v>
      </c>
      <c r="P441" t="n">
        <v>0</v>
      </c>
      <c r="Q441" t="n">
        <v>0</v>
      </c>
      <c r="R441" s="2" t="inlineStr"/>
    </row>
    <row r="442" ht="15" customHeight="1">
      <c r="A442" t="inlineStr">
        <is>
          <t>A 48409-2025</t>
        </is>
      </c>
      <c r="B442" s="1" t="n">
        <v>45934.41387731482</v>
      </c>
      <c r="C442" s="1" t="n">
        <v>45958</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49039-2021</t>
        </is>
      </c>
      <c r="B443" s="1" t="n">
        <v>44453.56578703703</v>
      </c>
      <c r="C443" s="1" t="n">
        <v>45958</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12630-2023</t>
        </is>
      </c>
      <c r="B444" s="1" t="n">
        <v>45000.47998842593</v>
      </c>
      <c r="C444" s="1" t="n">
        <v>45958</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21109-2024</t>
        </is>
      </c>
      <c r="B445" s="1" t="n">
        <v>45440.28329861111</v>
      </c>
      <c r="C445" s="1" t="n">
        <v>45958</v>
      </c>
      <c r="D445" t="inlineStr">
        <is>
          <t>KALMAR LÄN</t>
        </is>
      </c>
      <c r="E445" t="inlineStr">
        <is>
          <t>VIMMERBY</t>
        </is>
      </c>
      <c r="G445" t="n">
        <v>0.8</v>
      </c>
      <c r="H445" t="n">
        <v>0</v>
      </c>
      <c r="I445" t="n">
        <v>0</v>
      </c>
      <c r="J445" t="n">
        <v>0</v>
      </c>
      <c r="K445" t="n">
        <v>0</v>
      </c>
      <c r="L445" t="n">
        <v>0</v>
      </c>
      <c r="M445" t="n">
        <v>0</v>
      </c>
      <c r="N445" t="n">
        <v>0</v>
      </c>
      <c r="O445" t="n">
        <v>0</v>
      </c>
      <c r="P445" t="n">
        <v>0</v>
      </c>
      <c r="Q445" t="n">
        <v>0</v>
      </c>
      <c r="R445" s="2" t="inlineStr"/>
    </row>
    <row r="446" ht="15" customHeight="1">
      <c r="A446" t="inlineStr">
        <is>
          <t>A 48712-2025</t>
        </is>
      </c>
      <c r="B446" s="1" t="n">
        <v>45936.63373842592</v>
      </c>
      <c r="C446" s="1" t="n">
        <v>45958</v>
      </c>
      <c r="D446" t="inlineStr">
        <is>
          <t>KALMAR LÄN</t>
        </is>
      </c>
      <c r="E446" t="inlineStr">
        <is>
          <t>VIMMERBY</t>
        </is>
      </c>
      <c r="G446" t="n">
        <v>3</v>
      </c>
      <c r="H446" t="n">
        <v>0</v>
      </c>
      <c r="I446" t="n">
        <v>0</v>
      </c>
      <c r="J446" t="n">
        <v>0</v>
      </c>
      <c r="K446" t="n">
        <v>0</v>
      </c>
      <c r="L446" t="n">
        <v>0</v>
      </c>
      <c r="M446" t="n">
        <v>0</v>
      </c>
      <c r="N446" t="n">
        <v>0</v>
      </c>
      <c r="O446" t="n">
        <v>0</v>
      </c>
      <c r="P446" t="n">
        <v>0</v>
      </c>
      <c r="Q446" t="n">
        <v>0</v>
      </c>
      <c r="R446" s="2" t="inlineStr"/>
    </row>
    <row r="447" ht="15" customHeight="1">
      <c r="A447" t="inlineStr">
        <is>
          <t>A 30634-2024</t>
        </is>
      </c>
      <c r="B447" s="1" t="n">
        <v>45495</v>
      </c>
      <c r="C447" s="1" t="n">
        <v>45958</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40260-2024</t>
        </is>
      </c>
      <c r="B448" s="1" t="n">
        <v>45554.63225694445</v>
      </c>
      <c r="C448" s="1" t="n">
        <v>45958</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28712-2025</t>
        </is>
      </c>
      <c r="B449" s="1" t="n">
        <v>45820.33708333333</v>
      </c>
      <c r="C449" s="1" t="n">
        <v>45958</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28714-2025</t>
        </is>
      </c>
      <c r="B450" s="1" t="n">
        <v>45820.34128472222</v>
      </c>
      <c r="C450" s="1" t="n">
        <v>45958</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28713-2025</t>
        </is>
      </c>
      <c r="B451" s="1" t="n">
        <v>45820.33930555556</v>
      </c>
      <c r="C451" s="1" t="n">
        <v>45958</v>
      </c>
      <c r="D451" t="inlineStr">
        <is>
          <t>KALMAR LÄN</t>
        </is>
      </c>
      <c r="E451" t="inlineStr">
        <is>
          <t>VIMMERBY</t>
        </is>
      </c>
      <c r="G451" t="n">
        <v>2.3</v>
      </c>
      <c r="H451" t="n">
        <v>0</v>
      </c>
      <c r="I451" t="n">
        <v>0</v>
      </c>
      <c r="J451" t="n">
        <v>0</v>
      </c>
      <c r="K451" t="n">
        <v>0</v>
      </c>
      <c r="L451" t="n">
        <v>0</v>
      </c>
      <c r="M451" t="n">
        <v>0</v>
      </c>
      <c r="N451" t="n">
        <v>0</v>
      </c>
      <c r="O451" t="n">
        <v>0</v>
      </c>
      <c r="P451" t="n">
        <v>0</v>
      </c>
      <c r="Q451" t="n">
        <v>0</v>
      </c>
      <c r="R451" s="2" t="inlineStr"/>
    </row>
    <row r="452" ht="15" customHeight="1">
      <c r="A452" t="inlineStr">
        <is>
          <t>A 59943-2023</t>
        </is>
      </c>
      <c r="B452" s="1" t="n">
        <v>45257.67958333333</v>
      </c>
      <c r="C452" s="1" t="n">
        <v>45958</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40925-2025</t>
        </is>
      </c>
      <c r="B453" s="1" t="n">
        <v>45897.64208333333</v>
      </c>
      <c r="C453" s="1" t="n">
        <v>45958</v>
      </c>
      <c r="D453" t="inlineStr">
        <is>
          <t>KALMAR LÄN</t>
        </is>
      </c>
      <c r="E453" t="inlineStr">
        <is>
          <t>VIMMERBY</t>
        </is>
      </c>
      <c r="G453" t="n">
        <v>1.9</v>
      </c>
      <c r="H453" t="n">
        <v>0</v>
      </c>
      <c r="I453" t="n">
        <v>0</v>
      </c>
      <c r="J453" t="n">
        <v>0</v>
      </c>
      <c r="K453" t="n">
        <v>0</v>
      </c>
      <c r="L453" t="n">
        <v>0</v>
      </c>
      <c r="M453" t="n">
        <v>0</v>
      </c>
      <c r="N453" t="n">
        <v>0</v>
      </c>
      <c r="O453" t="n">
        <v>0</v>
      </c>
      <c r="P453" t="n">
        <v>0</v>
      </c>
      <c r="Q453" t="n">
        <v>0</v>
      </c>
      <c r="R453" s="2" t="inlineStr"/>
    </row>
    <row r="454" ht="15" customHeight="1">
      <c r="A454" t="inlineStr">
        <is>
          <t>A 46224-2024</t>
        </is>
      </c>
      <c r="B454" s="1" t="n">
        <v>45581.57016203704</v>
      </c>
      <c r="C454" s="1" t="n">
        <v>45958</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46238-2024</t>
        </is>
      </c>
      <c r="B455" s="1" t="n">
        <v>45581.58418981481</v>
      </c>
      <c r="C455" s="1" t="n">
        <v>45958</v>
      </c>
      <c r="D455" t="inlineStr">
        <is>
          <t>KALMAR LÄN</t>
        </is>
      </c>
      <c r="E455" t="inlineStr">
        <is>
          <t>VIMMERBY</t>
        </is>
      </c>
      <c r="G455" t="n">
        <v>2.1</v>
      </c>
      <c r="H455" t="n">
        <v>0</v>
      </c>
      <c r="I455" t="n">
        <v>0</v>
      </c>
      <c r="J455" t="n">
        <v>0</v>
      </c>
      <c r="K455" t="n">
        <v>0</v>
      </c>
      <c r="L455" t="n">
        <v>0</v>
      </c>
      <c r="M455" t="n">
        <v>0</v>
      </c>
      <c r="N455" t="n">
        <v>0</v>
      </c>
      <c r="O455" t="n">
        <v>0</v>
      </c>
      <c r="P455" t="n">
        <v>0</v>
      </c>
      <c r="Q455" t="n">
        <v>0</v>
      </c>
      <c r="R455" s="2" t="inlineStr"/>
    </row>
    <row r="456" ht="15" customHeight="1">
      <c r="A456" t="inlineStr">
        <is>
          <t>A 5527-2022</t>
        </is>
      </c>
      <c r="B456" s="1" t="n">
        <v>44595.583125</v>
      </c>
      <c r="C456" s="1" t="n">
        <v>45958</v>
      </c>
      <c r="D456" t="inlineStr">
        <is>
          <t>KALMAR LÄN</t>
        </is>
      </c>
      <c r="E456" t="inlineStr">
        <is>
          <t>VIMMERBY</t>
        </is>
      </c>
      <c r="G456" t="n">
        <v>3.6</v>
      </c>
      <c r="H456" t="n">
        <v>0</v>
      </c>
      <c r="I456" t="n">
        <v>0</v>
      </c>
      <c r="J456" t="n">
        <v>0</v>
      </c>
      <c r="K456" t="n">
        <v>0</v>
      </c>
      <c r="L456" t="n">
        <v>0</v>
      </c>
      <c r="M456" t="n">
        <v>0</v>
      </c>
      <c r="N456" t="n">
        <v>0</v>
      </c>
      <c r="O456" t="n">
        <v>0</v>
      </c>
      <c r="P456" t="n">
        <v>0</v>
      </c>
      <c r="Q456" t="n">
        <v>0</v>
      </c>
      <c r="R456" s="2" t="inlineStr"/>
    </row>
    <row r="457" ht="15" customHeight="1">
      <c r="A457" t="inlineStr">
        <is>
          <t>A 30633-2024</t>
        </is>
      </c>
      <c r="B457" s="1" t="n">
        <v>45495</v>
      </c>
      <c r="C457" s="1" t="n">
        <v>45958</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40921-2025</t>
        </is>
      </c>
      <c r="B458" s="1" t="n">
        <v>45897.63520833333</v>
      </c>
      <c r="C458" s="1" t="n">
        <v>45958</v>
      </c>
      <c r="D458" t="inlineStr">
        <is>
          <t>KALMAR LÄN</t>
        </is>
      </c>
      <c r="E458" t="inlineStr">
        <is>
          <t>VIMMERBY</t>
        </is>
      </c>
      <c r="G458" t="n">
        <v>4.2</v>
      </c>
      <c r="H458" t="n">
        <v>0</v>
      </c>
      <c r="I458" t="n">
        <v>0</v>
      </c>
      <c r="J458" t="n">
        <v>0</v>
      </c>
      <c r="K458" t="n">
        <v>0</v>
      </c>
      <c r="L458" t="n">
        <v>0</v>
      </c>
      <c r="M458" t="n">
        <v>0</v>
      </c>
      <c r="N458" t="n">
        <v>0</v>
      </c>
      <c r="O458" t="n">
        <v>0</v>
      </c>
      <c r="P458" t="n">
        <v>0</v>
      </c>
      <c r="Q458" t="n">
        <v>0</v>
      </c>
      <c r="R458" s="2" t="inlineStr"/>
    </row>
    <row r="459" ht="15" customHeight="1">
      <c r="A459" t="inlineStr">
        <is>
          <t>A 29737-2025</t>
        </is>
      </c>
      <c r="B459" s="1" t="n">
        <v>45825.58672453704</v>
      </c>
      <c r="C459" s="1" t="n">
        <v>45958</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12325-2023</t>
        </is>
      </c>
      <c r="B460" s="1" t="n">
        <v>44999.35858796296</v>
      </c>
      <c r="C460" s="1" t="n">
        <v>45958</v>
      </c>
      <c r="D460" t="inlineStr">
        <is>
          <t>KALMAR LÄN</t>
        </is>
      </c>
      <c r="E460" t="inlineStr">
        <is>
          <t>VIMMERBY</t>
        </is>
      </c>
      <c r="G460" t="n">
        <v>3.4</v>
      </c>
      <c r="H460" t="n">
        <v>0</v>
      </c>
      <c r="I460" t="n">
        <v>0</v>
      </c>
      <c r="J460" t="n">
        <v>0</v>
      </c>
      <c r="K460" t="n">
        <v>0</v>
      </c>
      <c r="L460" t="n">
        <v>0</v>
      </c>
      <c r="M460" t="n">
        <v>0</v>
      </c>
      <c r="N460" t="n">
        <v>0</v>
      </c>
      <c r="O460" t="n">
        <v>0</v>
      </c>
      <c r="P460" t="n">
        <v>0</v>
      </c>
      <c r="Q460" t="n">
        <v>0</v>
      </c>
      <c r="R460" s="2" t="inlineStr"/>
    </row>
    <row r="461" ht="15" customHeight="1">
      <c r="A461" t="inlineStr">
        <is>
          <t>A 54838-2024</t>
        </is>
      </c>
      <c r="B461" s="1" t="n">
        <v>45618.56787037037</v>
      </c>
      <c r="C461" s="1" t="n">
        <v>45958</v>
      </c>
      <c r="D461" t="inlineStr">
        <is>
          <t>KALMAR LÄN</t>
        </is>
      </c>
      <c r="E461" t="inlineStr">
        <is>
          <t>VIMMERBY</t>
        </is>
      </c>
      <c r="G461" t="n">
        <v>3.3</v>
      </c>
      <c r="H461" t="n">
        <v>0</v>
      </c>
      <c r="I461" t="n">
        <v>0</v>
      </c>
      <c r="J461" t="n">
        <v>0</v>
      </c>
      <c r="K461" t="n">
        <v>0</v>
      </c>
      <c r="L461" t="n">
        <v>0</v>
      </c>
      <c r="M461" t="n">
        <v>0</v>
      </c>
      <c r="N461" t="n">
        <v>0</v>
      </c>
      <c r="O461" t="n">
        <v>0</v>
      </c>
      <c r="P461" t="n">
        <v>0</v>
      </c>
      <c r="Q461" t="n">
        <v>0</v>
      </c>
      <c r="R461" s="2" t="inlineStr"/>
    </row>
    <row r="462" ht="15" customHeight="1">
      <c r="A462" t="inlineStr">
        <is>
          <t>A 29727-2025</t>
        </is>
      </c>
      <c r="B462" s="1" t="n">
        <v>45825.5796875</v>
      </c>
      <c r="C462" s="1" t="n">
        <v>45958</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6405-2025</t>
        </is>
      </c>
      <c r="B463" s="1" t="n">
        <v>45699.45392361111</v>
      </c>
      <c r="C463" s="1" t="n">
        <v>45958</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1016-2024</t>
        </is>
      </c>
      <c r="B464" s="1" t="n">
        <v>45301</v>
      </c>
      <c r="C464" s="1" t="n">
        <v>45958</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33681-2022</t>
        </is>
      </c>
      <c r="B465" s="1" t="n">
        <v>44789</v>
      </c>
      <c r="C465" s="1" t="n">
        <v>45958</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60437-2023</t>
        </is>
      </c>
      <c r="B466" s="1" t="n">
        <v>45259.51916666667</v>
      </c>
      <c r="C466" s="1" t="n">
        <v>45958</v>
      </c>
      <c r="D466" t="inlineStr">
        <is>
          <t>KALMAR LÄN</t>
        </is>
      </c>
      <c r="E466" t="inlineStr">
        <is>
          <t>VIMMERBY</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60438-2023</t>
        </is>
      </c>
      <c r="B467" s="1" t="n">
        <v>45259.52020833334</v>
      </c>
      <c r="C467" s="1" t="n">
        <v>45958</v>
      </c>
      <c r="D467" t="inlineStr">
        <is>
          <t>KALMAR LÄN</t>
        </is>
      </c>
      <c r="E467" t="inlineStr">
        <is>
          <t>VIMMERBY</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42165-2024</t>
        </is>
      </c>
      <c r="B468" s="1" t="n">
        <v>45562.46342592593</v>
      </c>
      <c r="C468" s="1" t="n">
        <v>45958</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45855-2025</t>
        </is>
      </c>
      <c r="B469" s="1" t="n">
        <v>45923</v>
      </c>
      <c r="C469" s="1" t="n">
        <v>45958</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30293-2025</t>
        </is>
      </c>
      <c r="B470" s="1" t="n">
        <v>45827</v>
      </c>
      <c r="C470" s="1" t="n">
        <v>45958</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25244-2023</t>
        </is>
      </c>
      <c r="B471" s="1" t="n">
        <v>45086</v>
      </c>
      <c r="C471" s="1" t="n">
        <v>45958</v>
      </c>
      <c r="D471" t="inlineStr">
        <is>
          <t>KALMAR LÄN</t>
        </is>
      </c>
      <c r="E471" t="inlineStr">
        <is>
          <t>VIMMERBY</t>
        </is>
      </c>
      <c r="G471" t="n">
        <v>4.7</v>
      </c>
      <c r="H471" t="n">
        <v>0</v>
      </c>
      <c r="I471" t="n">
        <v>0</v>
      </c>
      <c r="J471" t="n">
        <v>0</v>
      </c>
      <c r="K471" t="n">
        <v>0</v>
      </c>
      <c r="L471" t="n">
        <v>0</v>
      </c>
      <c r="M471" t="n">
        <v>0</v>
      </c>
      <c r="N471" t="n">
        <v>0</v>
      </c>
      <c r="O471" t="n">
        <v>0</v>
      </c>
      <c r="P471" t="n">
        <v>0</v>
      </c>
      <c r="Q471" t="n">
        <v>0</v>
      </c>
      <c r="R471" s="2" t="inlineStr"/>
    </row>
    <row r="472" ht="15" customHeight="1">
      <c r="A472" t="inlineStr">
        <is>
          <t>A 30290-2025</t>
        </is>
      </c>
      <c r="B472" s="1" t="n">
        <v>45827</v>
      </c>
      <c r="C472" s="1" t="n">
        <v>45958</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41224-2025</t>
        </is>
      </c>
      <c r="B473" s="1" t="n">
        <v>45898.58861111111</v>
      </c>
      <c r="C473" s="1" t="n">
        <v>45958</v>
      </c>
      <c r="D473" t="inlineStr">
        <is>
          <t>KALMAR LÄN</t>
        </is>
      </c>
      <c r="E473" t="inlineStr">
        <is>
          <t>VIMMERBY</t>
        </is>
      </c>
      <c r="G473" t="n">
        <v>4.4</v>
      </c>
      <c r="H473" t="n">
        <v>0</v>
      </c>
      <c r="I473" t="n">
        <v>0</v>
      </c>
      <c r="J473" t="n">
        <v>0</v>
      </c>
      <c r="K473" t="n">
        <v>0</v>
      </c>
      <c r="L473" t="n">
        <v>0</v>
      </c>
      <c r="M473" t="n">
        <v>0</v>
      </c>
      <c r="N473" t="n">
        <v>0</v>
      </c>
      <c r="O473" t="n">
        <v>0</v>
      </c>
      <c r="P473" t="n">
        <v>0</v>
      </c>
      <c r="Q473" t="n">
        <v>0</v>
      </c>
      <c r="R473" s="2" t="inlineStr"/>
    </row>
    <row r="474" ht="15" customHeight="1">
      <c r="A474" t="inlineStr">
        <is>
          <t>A 5074-2023</t>
        </is>
      </c>
      <c r="B474" s="1" t="n">
        <v>44958.61047453704</v>
      </c>
      <c r="C474" s="1" t="n">
        <v>45958</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30850-2025</t>
        </is>
      </c>
      <c r="B475" s="1" t="n">
        <v>45831</v>
      </c>
      <c r="C475" s="1" t="n">
        <v>45958</v>
      </c>
      <c r="D475" t="inlineStr">
        <is>
          <t>KALMAR LÄN</t>
        </is>
      </c>
      <c r="E475" t="inlineStr">
        <is>
          <t>VIMMERBY</t>
        </is>
      </c>
      <c r="G475" t="n">
        <v>2.7</v>
      </c>
      <c r="H475" t="n">
        <v>0</v>
      </c>
      <c r="I475" t="n">
        <v>0</v>
      </c>
      <c r="J475" t="n">
        <v>0</v>
      </c>
      <c r="K475" t="n">
        <v>0</v>
      </c>
      <c r="L475" t="n">
        <v>0</v>
      </c>
      <c r="M475" t="n">
        <v>0</v>
      </c>
      <c r="N475" t="n">
        <v>0</v>
      </c>
      <c r="O475" t="n">
        <v>0</v>
      </c>
      <c r="P475" t="n">
        <v>0</v>
      </c>
      <c r="Q475" t="n">
        <v>0</v>
      </c>
      <c r="R475" s="2" t="inlineStr"/>
    </row>
    <row r="476" ht="15" customHeight="1">
      <c r="A476" t="inlineStr">
        <is>
          <t>A 51187-2023</t>
        </is>
      </c>
      <c r="B476" s="1" t="n">
        <v>45219.40528935185</v>
      </c>
      <c r="C476" s="1" t="n">
        <v>45958</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66022-2021</t>
        </is>
      </c>
      <c r="B477" s="1" t="n">
        <v>44517</v>
      </c>
      <c r="C477" s="1" t="n">
        <v>45958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49871-2025</t>
        </is>
      </c>
      <c r="B478" s="1" t="n">
        <v>45940.54104166666</v>
      </c>
      <c r="C478" s="1" t="n">
        <v>45958</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35895-2024</t>
        </is>
      </c>
      <c r="B479" s="1" t="n">
        <v>45533.38870370371</v>
      </c>
      <c r="C479" s="1" t="n">
        <v>45958</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11073-2023</t>
        </is>
      </c>
      <c r="B480" s="1" t="n">
        <v>44992</v>
      </c>
      <c r="C480" s="1" t="n">
        <v>45958</v>
      </c>
      <c r="D480" t="inlineStr">
        <is>
          <t>KALMAR LÄN</t>
        </is>
      </c>
      <c r="E480" t="inlineStr">
        <is>
          <t>VIMMERBY</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41591-2025</t>
        </is>
      </c>
      <c r="B481" s="1" t="n">
        <v>45901.6327662037</v>
      </c>
      <c r="C481" s="1" t="n">
        <v>45958</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15715-2022</t>
        </is>
      </c>
      <c r="B482" s="1" t="n">
        <v>44663</v>
      </c>
      <c r="C482" s="1" t="n">
        <v>45958</v>
      </c>
      <c r="D482" t="inlineStr">
        <is>
          <t>KALMAR LÄN</t>
        </is>
      </c>
      <c r="E482" t="inlineStr">
        <is>
          <t>VIMMERBY</t>
        </is>
      </c>
      <c r="G482" t="n">
        <v>2.3</v>
      </c>
      <c r="H482" t="n">
        <v>0</v>
      </c>
      <c r="I482" t="n">
        <v>0</v>
      </c>
      <c r="J482" t="n">
        <v>0</v>
      </c>
      <c r="K482" t="n">
        <v>0</v>
      </c>
      <c r="L482" t="n">
        <v>0</v>
      </c>
      <c r="M482" t="n">
        <v>0</v>
      </c>
      <c r="N482" t="n">
        <v>0</v>
      </c>
      <c r="O482" t="n">
        <v>0</v>
      </c>
      <c r="P482" t="n">
        <v>0</v>
      </c>
      <c r="Q482" t="n">
        <v>0</v>
      </c>
      <c r="R482" s="2" t="inlineStr"/>
    </row>
    <row r="483" ht="15" customHeight="1">
      <c r="A483" t="inlineStr">
        <is>
          <t>A 40971-2025</t>
        </is>
      </c>
      <c r="B483" s="1" t="n">
        <v>45897.88836805556</v>
      </c>
      <c r="C483" s="1" t="n">
        <v>45958</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41589-2025</t>
        </is>
      </c>
      <c r="B484" s="1" t="n">
        <v>45901.63219907408</v>
      </c>
      <c r="C484" s="1" t="n">
        <v>45958</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43093-2024</t>
        </is>
      </c>
      <c r="B485" s="1" t="n">
        <v>45567</v>
      </c>
      <c r="C485" s="1" t="n">
        <v>45958</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56022-2024</t>
        </is>
      </c>
      <c r="B486" s="1" t="n">
        <v>45623.95947916667</v>
      </c>
      <c r="C486" s="1" t="n">
        <v>45958</v>
      </c>
      <c r="D486" t="inlineStr">
        <is>
          <t>KALMAR LÄN</t>
        </is>
      </c>
      <c r="E486" t="inlineStr">
        <is>
          <t>VIMMERBY</t>
        </is>
      </c>
      <c r="G486" t="n">
        <v>0.3</v>
      </c>
      <c r="H486" t="n">
        <v>0</v>
      </c>
      <c r="I486" t="n">
        <v>0</v>
      </c>
      <c r="J486" t="n">
        <v>0</v>
      </c>
      <c r="K486" t="n">
        <v>0</v>
      </c>
      <c r="L486" t="n">
        <v>0</v>
      </c>
      <c r="M486" t="n">
        <v>0</v>
      </c>
      <c r="N486" t="n">
        <v>0</v>
      </c>
      <c r="O486" t="n">
        <v>0</v>
      </c>
      <c r="P486" t="n">
        <v>0</v>
      </c>
      <c r="Q486" t="n">
        <v>0</v>
      </c>
      <c r="R486" s="2" t="inlineStr"/>
    </row>
    <row r="487" ht="15" customHeight="1">
      <c r="A487" t="inlineStr">
        <is>
          <t>A 40970-2025</t>
        </is>
      </c>
      <c r="B487" s="1" t="n">
        <v>45897.88706018519</v>
      </c>
      <c r="C487" s="1" t="n">
        <v>45958</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40973-2025</t>
        </is>
      </c>
      <c r="B488" s="1" t="n">
        <v>45897.89737268518</v>
      </c>
      <c r="C488" s="1" t="n">
        <v>45958</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17-2025</t>
        </is>
      </c>
      <c r="B489" s="1" t="n">
        <v>45658.78774305555</v>
      </c>
      <c r="C489" s="1" t="n">
        <v>45958</v>
      </c>
      <c r="D489" t="inlineStr">
        <is>
          <t>KALMAR LÄN</t>
        </is>
      </c>
      <c r="E489" t="inlineStr">
        <is>
          <t>VIMMERBY</t>
        </is>
      </c>
      <c r="G489" t="n">
        <v>4.4</v>
      </c>
      <c r="H489" t="n">
        <v>0</v>
      </c>
      <c r="I489" t="n">
        <v>0</v>
      </c>
      <c r="J489" t="n">
        <v>0</v>
      </c>
      <c r="K489" t="n">
        <v>0</v>
      </c>
      <c r="L489" t="n">
        <v>0</v>
      </c>
      <c r="M489" t="n">
        <v>0</v>
      </c>
      <c r="N489" t="n">
        <v>0</v>
      </c>
      <c r="O489" t="n">
        <v>0</v>
      </c>
      <c r="P489" t="n">
        <v>0</v>
      </c>
      <c r="Q489" t="n">
        <v>0</v>
      </c>
      <c r="R489" s="2" t="inlineStr"/>
    </row>
    <row r="490" ht="15" customHeight="1">
      <c r="A490" t="inlineStr">
        <is>
          <t>A 18330-2023</t>
        </is>
      </c>
      <c r="B490" s="1" t="n">
        <v>45041</v>
      </c>
      <c r="C490" s="1" t="n">
        <v>45958</v>
      </c>
      <c r="D490" t="inlineStr">
        <is>
          <t>KALMAR LÄN</t>
        </is>
      </c>
      <c r="E490" t="inlineStr">
        <is>
          <t>VIMMERBY</t>
        </is>
      </c>
      <c r="G490" t="n">
        <v>1.7</v>
      </c>
      <c r="H490" t="n">
        <v>0</v>
      </c>
      <c r="I490" t="n">
        <v>0</v>
      </c>
      <c r="J490" t="n">
        <v>0</v>
      </c>
      <c r="K490" t="n">
        <v>0</v>
      </c>
      <c r="L490" t="n">
        <v>0</v>
      </c>
      <c r="M490" t="n">
        <v>0</v>
      </c>
      <c r="N490" t="n">
        <v>0</v>
      </c>
      <c r="O490" t="n">
        <v>0</v>
      </c>
      <c r="P490" t="n">
        <v>0</v>
      </c>
      <c r="Q490" t="n">
        <v>0</v>
      </c>
      <c r="R490" s="2" t="inlineStr"/>
    </row>
    <row r="491" ht="15" customHeight="1">
      <c r="A491" t="inlineStr">
        <is>
          <t>A 32655-2023</t>
        </is>
      </c>
      <c r="B491" s="1" t="n">
        <v>45121.61318287037</v>
      </c>
      <c r="C491" s="1" t="n">
        <v>45958</v>
      </c>
      <c r="D491" t="inlineStr">
        <is>
          <t>KALMAR LÄN</t>
        </is>
      </c>
      <c r="E491" t="inlineStr">
        <is>
          <t>VIMMERBY</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31552-2025</t>
        </is>
      </c>
      <c r="B492" s="1" t="n">
        <v>45833.64563657407</v>
      </c>
      <c r="C492" s="1" t="n">
        <v>45958</v>
      </c>
      <c r="D492" t="inlineStr">
        <is>
          <t>KALMAR LÄN</t>
        </is>
      </c>
      <c r="E492" t="inlineStr">
        <is>
          <t>VIMMERBY</t>
        </is>
      </c>
      <c r="G492" t="n">
        <v>1.7</v>
      </c>
      <c r="H492" t="n">
        <v>0</v>
      </c>
      <c r="I492" t="n">
        <v>0</v>
      </c>
      <c r="J492" t="n">
        <v>0</v>
      </c>
      <c r="K492" t="n">
        <v>0</v>
      </c>
      <c r="L492" t="n">
        <v>0</v>
      </c>
      <c r="M492" t="n">
        <v>0</v>
      </c>
      <c r="N492" t="n">
        <v>0</v>
      </c>
      <c r="O492" t="n">
        <v>0</v>
      </c>
      <c r="P492" t="n">
        <v>0</v>
      </c>
      <c r="Q492" t="n">
        <v>0</v>
      </c>
      <c r="R492" s="2" t="inlineStr"/>
    </row>
    <row r="493" ht="15" customHeight="1">
      <c r="A493" t="inlineStr">
        <is>
          <t>A 31555-2025</t>
        </is>
      </c>
      <c r="B493" s="1" t="n">
        <v>45833.64814814815</v>
      </c>
      <c r="C493" s="1" t="n">
        <v>45958</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63541-2023</t>
        </is>
      </c>
      <c r="B494" s="1" t="n">
        <v>45275.32266203704</v>
      </c>
      <c r="C494" s="1" t="n">
        <v>45958</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34090-2025</t>
        </is>
      </c>
      <c r="B495" s="1" t="n">
        <v>45845</v>
      </c>
      <c r="C495" s="1" t="n">
        <v>45958</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30971-2025</t>
        </is>
      </c>
      <c r="B496" s="1" t="n">
        <v>45832.46146990741</v>
      </c>
      <c r="C496" s="1" t="n">
        <v>45958</v>
      </c>
      <c r="D496" t="inlineStr">
        <is>
          <t>KALMAR LÄN</t>
        </is>
      </c>
      <c r="E496" t="inlineStr">
        <is>
          <t>VIMMERBY</t>
        </is>
      </c>
      <c r="G496" t="n">
        <v>1.2</v>
      </c>
      <c r="H496" t="n">
        <v>0</v>
      </c>
      <c r="I496" t="n">
        <v>0</v>
      </c>
      <c r="J496" t="n">
        <v>0</v>
      </c>
      <c r="K496" t="n">
        <v>0</v>
      </c>
      <c r="L496" t="n">
        <v>0</v>
      </c>
      <c r="M496" t="n">
        <v>0</v>
      </c>
      <c r="N496" t="n">
        <v>0</v>
      </c>
      <c r="O496" t="n">
        <v>0</v>
      </c>
      <c r="P496" t="n">
        <v>0</v>
      </c>
      <c r="Q496" t="n">
        <v>0</v>
      </c>
      <c r="R496" s="2" t="inlineStr"/>
    </row>
    <row r="497" ht="15" customHeight="1">
      <c r="A497" t="inlineStr">
        <is>
          <t>A 31551-2025</t>
        </is>
      </c>
      <c r="B497" s="1" t="n">
        <v>45833.64237268519</v>
      </c>
      <c r="C497" s="1" t="n">
        <v>45958</v>
      </c>
      <c r="D497" t="inlineStr">
        <is>
          <t>KALMAR LÄN</t>
        </is>
      </c>
      <c r="E497" t="inlineStr">
        <is>
          <t>VIMMERBY</t>
        </is>
      </c>
      <c r="G497" t="n">
        <v>1.9</v>
      </c>
      <c r="H497" t="n">
        <v>0</v>
      </c>
      <c r="I497" t="n">
        <v>0</v>
      </c>
      <c r="J497" t="n">
        <v>0</v>
      </c>
      <c r="K497" t="n">
        <v>0</v>
      </c>
      <c r="L497" t="n">
        <v>0</v>
      </c>
      <c r="M497" t="n">
        <v>0</v>
      </c>
      <c r="N497" t="n">
        <v>0</v>
      </c>
      <c r="O497" t="n">
        <v>0</v>
      </c>
      <c r="P497" t="n">
        <v>0</v>
      </c>
      <c r="Q497" t="n">
        <v>0</v>
      </c>
      <c r="R497" s="2" t="inlineStr"/>
    </row>
    <row r="498" ht="15" customHeight="1">
      <c r="A498" t="inlineStr">
        <is>
          <t>A 20126-2024</t>
        </is>
      </c>
      <c r="B498" s="1" t="n">
        <v>45434.55471064815</v>
      </c>
      <c r="C498" s="1" t="n">
        <v>45958</v>
      </c>
      <c r="D498" t="inlineStr">
        <is>
          <t>KALMAR LÄN</t>
        </is>
      </c>
      <c r="E498" t="inlineStr">
        <is>
          <t>VIMMERBY</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20136-2024</t>
        </is>
      </c>
      <c r="B499" s="1" t="n">
        <v>45434.56291666667</v>
      </c>
      <c r="C499" s="1" t="n">
        <v>45958</v>
      </c>
      <c r="D499" t="inlineStr">
        <is>
          <t>KALMAR LÄN</t>
        </is>
      </c>
      <c r="E499" t="inlineStr">
        <is>
          <t>VIMMERBY</t>
        </is>
      </c>
      <c r="F499" t="inlineStr">
        <is>
          <t>Sveaskog</t>
        </is>
      </c>
      <c r="G499" t="n">
        <v>8.4</v>
      </c>
      <c r="H499" t="n">
        <v>0</v>
      </c>
      <c r="I499" t="n">
        <v>0</v>
      </c>
      <c r="J499" t="n">
        <v>0</v>
      </c>
      <c r="K499" t="n">
        <v>0</v>
      </c>
      <c r="L499" t="n">
        <v>0</v>
      </c>
      <c r="M499" t="n">
        <v>0</v>
      </c>
      <c r="N499" t="n">
        <v>0</v>
      </c>
      <c r="O499" t="n">
        <v>0</v>
      </c>
      <c r="P499" t="n">
        <v>0</v>
      </c>
      <c r="Q499" t="n">
        <v>0</v>
      </c>
      <c r="R499" s="2" t="inlineStr"/>
    </row>
    <row r="500" ht="15" customHeight="1">
      <c r="A500" t="inlineStr">
        <is>
          <t>A 30882-2025</t>
        </is>
      </c>
      <c r="B500" s="1" t="n">
        <v>45832.34540509259</v>
      </c>
      <c r="C500" s="1" t="n">
        <v>45958</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46921-2023</t>
        </is>
      </c>
      <c r="B501" s="1" t="n">
        <v>45201.39996527778</v>
      </c>
      <c r="C501" s="1" t="n">
        <v>45958</v>
      </c>
      <c r="D501" t="inlineStr">
        <is>
          <t>KALMAR LÄN</t>
        </is>
      </c>
      <c r="E501" t="inlineStr">
        <is>
          <t>VIMMERBY</t>
        </is>
      </c>
      <c r="G501" t="n">
        <v>2.6</v>
      </c>
      <c r="H501" t="n">
        <v>0</v>
      </c>
      <c r="I501" t="n">
        <v>0</v>
      </c>
      <c r="J501" t="n">
        <v>0</v>
      </c>
      <c r="K501" t="n">
        <v>0</v>
      </c>
      <c r="L501" t="n">
        <v>0</v>
      </c>
      <c r="M501" t="n">
        <v>0</v>
      </c>
      <c r="N501" t="n">
        <v>0</v>
      </c>
      <c r="O501" t="n">
        <v>0</v>
      </c>
      <c r="P501" t="n">
        <v>0</v>
      </c>
      <c r="Q501" t="n">
        <v>0</v>
      </c>
      <c r="R501" s="2" t="inlineStr"/>
    </row>
    <row r="502" ht="15" customHeight="1">
      <c r="A502" t="inlineStr">
        <is>
          <t>A 31872-2025</t>
        </is>
      </c>
      <c r="B502" s="1" t="n">
        <v>45834.65040509259</v>
      </c>
      <c r="C502" s="1" t="n">
        <v>45958</v>
      </c>
      <c r="D502" t="inlineStr">
        <is>
          <t>KALMAR LÄN</t>
        </is>
      </c>
      <c r="E502" t="inlineStr">
        <is>
          <t>VIMMERBY</t>
        </is>
      </c>
      <c r="F502" t="inlineStr">
        <is>
          <t>Sveaskog</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28034-2022</t>
        </is>
      </c>
      <c r="B503" s="1" t="n">
        <v>44746.38834490741</v>
      </c>
      <c r="C503" s="1" t="n">
        <v>45958</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25236-2023</t>
        </is>
      </c>
      <c r="B504" s="1" t="n">
        <v>45086.63334490741</v>
      </c>
      <c r="C504" s="1" t="n">
        <v>45958</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8559-2025</t>
        </is>
      </c>
      <c r="B505" s="1" t="n">
        <v>45709.62280092593</v>
      </c>
      <c r="C505" s="1" t="n">
        <v>45958</v>
      </c>
      <c r="D505" t="inlineStr">
        <is>
          <t>KALMAR LÄN</t>
        </is>
      </c>
      <c r="E505" t="inlineStr">
        <is>
          <t>VIMMERBY</t>
        </is>
      </c>
      <c r="G505" t="n">
        <v>8.9</v>
      </c>
      <c r="H505" t="n">
        <v>0</v>
      </c>
      <c r="I505" t="n">
        <v>0</v>
      </c>
      <c r="J505" t="n">
        <v>0</v>
      </c>
      <c r="K505" t="n">
        <v>0</v>
      </c>
      <c r="L505" t="n">
        <v>0</v>
      </c>
      <c r="M505" t="n">
        <v>0</v>
      </c>
      <c r="N505" t="n">
        <v>0</v>
      </c>
      <c r="O505" t="n">
        <v>0</v>
      </c>
      <c r="P505" t="n">
        <v>0</v>
      </c>
      <c r="Q505" t="n">
        <v>0</v>
      </c>
      <c r="R505" s="2" t="inlineStr"/>
    </row>
    <row r="506" ht="15" customHeight="1">
      <c r="A506" t="inlineStr">
        <is>
          <t>A 5938-2022</t>
        </is>
      </c>
      <c r="B506" s="1" t="n">
        <v>44598</v>
      </c>
      <c r="C506" s="1" t="n">
        <v>45958</v>
      </c>
      <c r="D506" t="inlineStr">
        <is>
          <t>KALMAR LÄN</t>
        </is>
      </c>
      <c r="E506" t="inlineStr">
        <is>
          <t>VIMMERBY</t>
        </is>
      </c>
      <c r="G506" t="n">
        <v>2.4</v>
      </c>
      <c r="H506" t="n">
        <v>0</v>
      </c>
      <c r="I506" t="n">
        <v>0</v>
      </c>
      <c r="J506" t="n">
        <v>0</v>
      </c>
      <c r="K506" t="n">
        <v>0</v>
      </c>
      <c r="L506" t="n">
        <v>0</v>
      </c>
      <c r="M506" t="n">
        <v>0</v>
      </c>
      <c r="N506" t="n">
        <v>0</v>
      </c>
      <c r="O506" t="n">
        <v>0</v>
      </c>
      <c r="P506" t="n">
        <v>0</v>
      </c>
      <c r="Q506" t="n">
        <v>0</v>
      </c>
      <c r="R506" s="2" t="inlineStr"/>
    </row>
    <row r="507" ht="15" customHeight="1">
      <c r="A507" t="inlineStr">
        <is>
          <t>A 32064-2025</t>
        </is>
      </c>
      <c r="B507" s="1" t="n">
        <v>45835.44709490741</v>
      </c>
      <c r="C507" s="1" t="n">
        <v>45958</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32109-2025</t>
        </is>
      </c>
      <c r="B508" s="1" t="n">
        <v>45835.48267361111</v>
      </c>
      <c r="C508" s="1" t="n">
        <v>45958</v>
      </c>
      <c r="D508" t="inlineStr">
        <is>
          <t>KALMAR LÄN</t>
        </is>
      </c>
      <c r="E508" t="inlineStr">
        <is>
          <t>VIMMERBY</t>
        </is>
      </c>
      <c r="G508" t="n">
        <v>2.5</v>
      </c>
      <c r="H508" t="n">
        <v>0</v>
      </c>
      <c r="I508" t="n">
        <v>0</v>
      </c>
      <c r="J508" t="n">
        <v>0</v>
      </c>
      <c r="K508" t="n">
        <v>0</v>
      </c>
      <c r="L508" t="n">
        <v>0</v>
      </c>
      <c r="M508" t="n">
        <v>0</v>
      </c>
      <c r="N508" t="n">
        <v>0</v>
      </c>
      <c r="O508" t="n">
        <v>0</v>
      </c>
      <c r="P508" t="n">
        <v>0</v>
      </c>
      <c r="Q508" t="n">
        <v>0</v>
      </c>
      <c r="R508" s="2" t="inlineStr"/>
    </row>
    <row r="509" ht="15" customHeight="1">
      <c r="A509" t="inlineStr">
        <is>
          <t>A 32113-2025</t>
        </is>
      </c>
      <c r="B509" s="1" t="n">
        <v>45835.48445601852</v>
      </c>
      <c r="C509" s="1" t="n">
        <v>45958</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32116-2025</t>
        </is>
      </c>
      <c r="B510" s="1" t="n">
        <v>45835.48862268519</v>
      </c>
      <c r="C510" s="1" t="n">
        <v>45958</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31870-2025</t>
        </is>
      </c>
      <c r="B511" s="1" t="n">
        <v>45834.64667824074</v>
      </c>
      <c r="C511" s="1" t="n">
        <v>45958</v>
      </c>
      <c r="D511" t="inlineStr">
        <is>
          <t>KALMAR LÄN</t>
        </is>
      </c>
      <c r="E511" t="inlineStr">
        <is>
          <t>VIMMERBY</t>
        </is>
      </c>
      <c r="F511" t="inlineStr">
        <is>
          <t>Sveaskog</t>
        </is>
      </c>
      <c r="G511" t="n">
        <v>3.5</v>
      </c>
      <c r="H511" t="n">
        <v>0</v>
      </c>
      <c r="I511" t="n">
        <v>0</v>
      </c>
      <c r="J511" t="n">
        <v>0</v>
      </c>
      <c r="K511" t="n">
        <v>0</v>
      </c>
      <c r="L511" t="n">
        <v>0</v>
      </c>
      <c r="M511" t="n">
        <v>0</v>
      </c>
      <c r="N511" t="n">
        <v>0</v>
      </c>
      <c r="O511" t="n">
        <v>0</v>
      </c>
      <c r="P511" t="n">
        <v>0</v>
      </c>
      <c r="Q511" t="n">
        <v>0</v>
      </c>
      <c r="R511" s="2" t="inlineStr"/>
    </row>
    <row r="512" ht="15" customHeight="1">
      <c r="A512" t="inlineStr">
        <is>
          <t>A 32065-2025</t>
        </is>
      </c>
      <c r="B512" s="1" t="n">
        <v>45835.44732638889</v>
      </c>
      <c r="C512" s="1" t="n">
        <v>45958</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50324-2025</t>
        </is>
      </c>
      <c r="B513" s="1" t="n">
        <v>45944.45962962963</v>
      </c>
      <c r="C513" s="1" t="n">
        <v>45958</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31987-2025</t>
        </is>
      </c>
      <c r="B514" s="1" t="n">
        <v>45835.36229166666</v>
      </c>
      <c r="C514" s="1" t="n">
        <v>45958</v>
      </c>
      <c r="D514" t="inlineStr">
        <is>
          <t>KALMAR LÄN</t>
        </is>
      </c>
      <c r="E514" t="inlineStr">
        <is>
          <t>VIMMERBY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32077-2025</t>
        </is>
      </c>
      <c r="B515" s="1" t="n">
        <v>45835.45099537037</v>
      </c>
      <c r="C515" s="1" t="n">
        <v>45958</v>
      </c>
      <c r="D515" t="inlineStr">
        <is>
          <t>KALMAR LÄN</t>
        </is>
      </c>
      <c r="E515" t="inlineStr">
        <is>
          <t>VIMMERBY</t>
        </is>
      </c>
      <c r="G515" t="n">
        <v>1.8</v>
      </c>
      <c r="H515" t="n">
        <v>0</v>
      </c>
      <c r="I515" t="n">
        <v>0</v>
      </c>
      <c r="J515" t="n">
        <v>0</v>
      </c>
      <c r="K515" t="n">
        <v>0</v>
      </c>
      <c r="L515" t="n">
        <v>0</v>
      </c>
      <c r="M515" t="n">
        <v>0</v>
      </c>
      <c r="N515" t="n">
        <v>0</v>
      </c>
      <c r="O515" t="n">
        <v>0</v>
      </c>
      <c r="P515" t="n">
        <v>0</v>
      </c>
      <c r="Q515" t="n">
        <v>0</v>
      </c>
      <c r="R515" s="2" t="inlineStr"/>
    </row>
    <row r="516" ht="15" customHeight="1">
      <c r="A516" t="inlineStr">
        <is>
          <t>A 32120-2025</t>
        </is>
      </c>
      <c r="B516" s="1" t="n">
        <v>45835.4924537037</v>
      </c>
      <c r="C516" s="1" t="n">
        <v>45958</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41896-2025</t>
        </is>
      </c>
      <c r="B517" s="1" t="n">
        <v>45903.38800925926</v>
      </c>
      <c r="C517" s="1" t="n">
        <v>45958</v>
      </c>
      <c r="D517" t="inlineStr">
        <is>
          <t>KALMAR LÄN</t>
        </is>
      </c>
      <c r="E517" t="inlineStr">
        <is>
          <t>VIMMERBY</t>
        </is>
      </c>
      <c r="G517" t="n">
        <v>2.9</v>
      </c>
      <c r="H517" t="n">
        <v>0</v>
      </c>
      <c r="I517" t="n">
        <v>0</v>
      </c>
      <c r="J517" t="n">
        <v>0</v>
      </c>
      <c r="K517" t="n">
        <v>0</v>
      </c>
      <c r="L517" t="n">
        <v>0</v>
      </c>
      <c r="M517" t="n">
        <v>0</v>
      </c>
      <c r="N517" t="n">
        <v>0</v>
      </c>
      <c r="O517" t="n">
        <v>0</v>
      </c>
      <c r="P517" t="n">
        <v>0</v>
      </c>
      <c r="Q517" t="n">
        <v>0</v>
      </c>
      <c r="R517" s="2" t="inlineStr"/>
    </row>
    <row r="518" ht="15" customHeight="1">
      <c r="A518" t="inlineStr">
        <is>
          <t>A 31876-2025</t>
        </is>
      </c>
      <c r="B518" s="1" t="n">
        <v>45834.65197916667</v>
      </c>
      <c r="C518" s="1" t="n">
        <v>45958</v>
      </c>
      <c r="D518" t="inlineStr">
        <is>
          <t>KALMAR LÄN</t>
        </is>
      </c>
      <c r="E518" t="inlineStr">
        <is>
          <t>VIMMERBY</t>
        </is>
      </c>
      <c r="F518" t="inlineStr">
        <is>
          <t>Sveaskog</t>
        </is>
      </c>
      <c r="G518" t="n">
        <v>3.3</v>
      </c>
      <c r="H518" t="n">
        <v>0</v>
      </c>
      <c r="I518" t="n">
        <v>0</v>
      </c>
      <c r="J518" t="n">
        <v>0</v>
      </c>
      <c r="K518" t="n">
        <v>0</v>
      </c>
      <c r="L518" t="n">
        <v>0</v>
      </c>
      <c r="M518" t="n">
        <v>0</v>
      </c>
      <c r="N518" t="n">
        <v>0</v>
      </c>
      <c r="O518" t="n">
        <v>0</v>
      </c>
      <c r="P518" t="n">
        <v>0</v>
      </c>
      <c r="Q518" t="n">
        <v>0</v>
      </c>
      <c r="R518" s="2" t="inlineStr"/>
    </row>
    <row r="519" ht="15" customHeight="1">
      <c r="A519" t="inlineStr">
        <is>
          <t>A 6082-2022</t>
        </is>
      </c>
      <c r="B519" s="1" t="n">
        <v>44599</v>
      </c>
      <c r="C519" s="1" t="n">
        <v>45958</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41735-2025</t>
        </is>
      </c>
      <c r="B520" s="1" t="n">
        <v>45902.47164351852</v>
      </c>
      <c r="C520" s="1" t="n">
        <v>45958</v>
      </c>
      <c r="D520" t="inlineStr">
        <is>
          <t>KALMAR LÄN</t>
        </is>
      </c>
      <c r="E520" t="inlineStr">
        <is>
          <t>VIMMERBY</t>
        </is>
      </c>
      <c r="G520" t="n">
        <v>3</v>
      </c>
      <c r="H520" t="n">
        <v>0</v>
      </c>
      <c r="I520" t="n">
        <v>0</v>
      </c>
      <c r="J520" t="n">
        <v>0</v>
      </c>
      <c r="K520" t="n">
        <v>0</v>
      </c>
      <c r="L520" t="n">
        <v>0</v>
      </c>
      <c r="M520" t="n">
        <v>0</v>
      </c>
      <c r="N520" t="n">
        <v>0</v>
      </c>
      <c r="O520" t="n">
        <v>0</v>
      </c>
      <c r="P520" t="n">
        <v>0</v>
      </c>
      <c r="Q520" t="n">
        <v>0</v>
      </c>
      <c r="R520" s="2" t="inlineStr"/>
    </row>
    <row r="521" ht="15" customHeight="1">
      <c r="A521" t="inlineStr">
        <is>
          <t>A 24283-2023</t>
        </is>
      </c>
      <c r="B521" s="1" t="n">
        <v>45079.87827546296</v>
      </c>
      <c r="C521" s="1" t="n">
        <v>45958</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2801-2023</t>
        </is>
      </c>
      <c r="B522" s="1" t="n">
        <v>44944.73487268519</v>
      </c>
      <c r="C522" s="1" t="n">
        <v>45958</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5146-2024</t>
        </is>
      </c>
      <c r="B523" s="1" t="n">
        <v>45330</v>
      </c>
      <c r="C523" s="1" t="n">
        <v>45958</v>
      </c>
      <c r="D523" t="inlineStr">
        <is>
          <t>KALMAR LÄN</t>
        </is>
      </c>
      <c r="E523" t="inlineStr">
        <is>
          <t>VIMMERBY</t>
        </is>
      </c>
      <c r="G523" t="n">
        <v>5.3</v>
      </c>
      <c r="H523" t="n">
        <v>0</v>
      </c>
      <c r="I523" t="n">
        <v>0</v>
      </c>
      <c r="J523" t="n">
        <v>0</v>
      </c>
      <c r="K523" t="n">
        <v>0</v>
      </c>
      <c r="L523" t="n">
        <v>0</v>
      </c>
      <c r="M523" t="n">
        <v>0</v>
      </c>
      <c r="N523" t="n">
        <v>0</v>
      </c>
      <c r="O523" t="n">
        <v>0</v>
      </c>
      <c r="P523" t="n">
        <v>0</v>
      </c>
      <c r="Q523" t="n">
        <v>0</v>
      </c>
      <c r="R523" s="2" t="inlineStr"/>
    </row>
    <row r="524" ht="15" customHeight="1">
      <c r="A524" t="inlineStr">
        <is>
          <t>A 5148-2024</t>
        </is>
      </c>
      <c r="B524" s="1" t="n">
        <v>45330</v>
      </c>
      <c r="C524" s="1" t="n">
        <v>45958</v>
      </c>
      <c r="D524" t="inlineStr">
        <is>
          <t>KALMAR LÄN</t>
        </is>
      </c>
      <c r="E524" t="inlineStr">
        <is>
          <t>VIMMERBY</t>
        </is>
      </c>
      <c r="G524" t="n">
        <v>5.6</v>
      </c>
      <c r="H524" t="n">
        <v>0</v>
      </c>
      <c r="I524" t="n">
        <v>0</v>
      </c>
      <c r="J524" t="n">
        <v>0</v>
      </c>
      <c r="K524" t="n">
        <v>0</v>
      </c>
      <c r="L524" t="n">
        <v>0</v>
      </c>
      <c r="M524" t="n">
        <v>0</v>
      </c>
      <c r="N524" t="n">
        <v>0</v>
      </c>
      <c r="O524" t="n">
        <v>0</v>
      </c>
      <c r="P524" t="n">
        <v>0</v>
      </c>
      <c r="Q524" t="n">
        <v>0</v>
      </c>
      <c r="R524" s="2" t="inlineStr"/>
    </row>
    <row r="525" ht="15" customHeight="1">
      <c r="A525" t="inlineStr">
        <is>
          <t>A 2462-2022</t>
        </is>
      </c>
      <c r="B525" s="1" t="n">
        <v>44579.62225694444</v>
      </c>
      <c r="C525" s="1" t="n">
        <v>45958</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60228-2021</t>
        </is>
      </c>
      <c r="B526" s="1" t="n">
        <v>44495</v>
      </c>
      <c r="C526" s="1" t="n">
        <v>45958</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32380-2025</t>
        </is>
      </c>
      <c r="B527" s="1" t="n">
        <v>45837.77701388889</v>
      </c>
      <c r="C527" s="1" t="n">
        <v>45958</v>
      </c>
      <c r="D527" t="inlineStr">
        <is>
          <t>KALMAR LÄN</t>
        </is>
      </c>
      <c r="E527" t="inlineStr">
        <is>
          <t>VIMMERBY</t>
        </is>
      </c>
      <c r="G527" t="n">
        <v>3.1</v>
      </c>
      <c r="H527" t="n">
        <v>0</v>
      </c>
      <c r="I527" t="n">
        <v>0</v>
      </c>
      <c r="J527" t="n">
        <v>0</v>
      </c>
      <c r="K527" t="n">
        <v>0</v>
      </c>
      <c r="L527" t="n">
        <v>0</v>
      </c>
      <c r="M527" t="n">
        <v>0</v>
      </c>
      <c r="N527" t="n">
        <v>0</v>
      </c>
      <c r="O527" t="n">
        <v>0</v>
      </c>
      <c r="P527" t="n">
        <v>0</v>
      </c>
      <c r="Q527" t="n">
        <v>0</v>
      </c>
      <c r="R527" s="2" t="inlineStr"/>
    </row>
    <row r="528" ht="15" customHeight="1">
      <c r="A528" t="inlineStr">
        <is>
          <t>A 25979-2023</t>
        </is>
      </c>
      <c r="B528" s="1" t="n">
        <v>45090.89653935185</v>
      </c>
      <c r="C528" s="1" t="n">
        <v>45958</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25980-2023</t>
        </is>
      </c>
      <c r="B529" s="1" t="n">
        <v>45090.89880787037</v>
      </c>
      <c r="C529" s="1" t="n">
        <v>45958</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33186-2025</t>
        </is>
      </c>
      <c r="B530" s="1" t="n">
        <v>45840.59474537037</v>
      </c>
      <c r="C530" s="1" t="n">
        <v>45958</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50544-2025</t>
        </is>
      </c>
      <c r="B531" s="1" t="n">
        <v>45945.50736111111</v>
      </c>
      <c r="C531" s="1" t="n">
        <v>45958</v>
      </c>
      <c r="D531" t="inlineStr">
        <is>
          <t>KALMAR LÄN</t>
        </is>
      </c>
      <c r="E531" t="inlineStr">
        <is>
          <t>VIMMERBY</t>
        </is>
      </c>
      <c r="G531" t="n">
        <v>0.8</v>
      </c>
      <c r="H531" t="n">
        <v>0</v>
      </c>
      <c r="I531" t="n">
        <v>0</v>
      </c>
      <c r="J531" t="n">
        <v>0</v>
      </c>
      <c r="K531" t="n">
        <v>0</v>
      </c>
      <c r="L531" t="n">
        <v>0</v>
      </c>
      <c r="M531" t="n">
        <v>0</v>
      </c>
      <c r="N531" t="n">
        <v>0</v>
      </c>
      <c r="O531" t="n">
        <v>0</v>
      </c>
      <c r="P531" t="n">
        <v>0</v>
      </c>
      <c r="Q531" t="n">
        <v>0</v>
      </c>
      <c r="R531" s="2" t="inlineStr"/>
    </row>
    <row r="532" ht="15" customHeight="1">
      <c r="A532" t="inlineStr">
        <is>
          <t>A 58278-2023</t>
        </is>
      </c>
      <c r="B532" s="1" t="n">
        <v>45250.5278587963</v>
      </c>
      <c r="C532" s="1" t="n">
        <v>45958</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12510-2022</t>
        </is>
      </c>
      <c r="B533" s="1" t="n">
        <v>44638.55256944444</v>
      </c>
      <c r="C533" s="1" t="n">
        <v>45958</v>
      </c>
      <c r="D533" t="inlineStr">
        <is>
          <t>KALMAR LÄN</t>
        </is>
      </c>
      <c r="E533" t="inlineStr">
        <is>
          <t>VIMMERBY</t>
        </is>
      </c>
      <c r="G533" t="n">
        <v>2.4</v>
      </c>
      <c r="H533" t="n">
        <v>0</v>
      </c>
      <c r="I533" t="n">
        <v>0</v>
      </c>
      <c r="J533" t="n">
        <v>0</v>
      </c>
      <c r="K533" t="n">
        <v>0</v>
      </c>
      <c r="L533" t="n">
        <v>0</v>
      </c>
      <c r="M533" t="n">
        <v>0</v>
      </c>
      <c r="N533" t="n">
        <v>0</v>
      </c>
      <c r="O533" t="n">
        <v>0</v>
      </c>
      <c r="P533" t="n">
        <v>0</v>
      </c>
      <c r="Q533" t="n">
        <v>0</v>
      </c>
      <c r="R533" s="2" t="inlineStr"/>
    </row>
    <row r="534" ht="15" customHeight="1">
      <c r="A534" t="inlineStr">
        <is>
          <t>A 6358-2022</t>
        </is>
      </c>
      <c r="B534" s="1" t="n">
        <v>44600</v>
      </c>
      <c r="C534" s="1" t="n">
        <v>45958</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33695-2025</t>
        </is>
      </c>
      <c r="B535" s="1" t="n">
        <v>45841.70569444444</v>
      </c>
      <c r="C535" s="1" t="n">
        <v>45958</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33698-2025</t>
        </is>
      </c>
      <c r="B536" s="1" t="n">
        <v>45841.70868055556</v>
      </c>
      <c r="C536" s="1" t="n">
        <v>45958</v>
      </c>
      <c r="D536" t="inlineStr">
        <is>
          <t>KALMAR LÄN</t>
        </is>
      </c>
      <c r="E536" t="inlineStr">
        <is>
          <t>VIMMERBY</t>
        </is>
      </c>
      <c r="G536" t="n">
        <v>3.7</v>
      </c>
      <c r="H536" t="n">
        <v>0</v>
      </c>
      <c r="I536" t="n">
        <v>0</v>
      </c>
      <c r="J536" t="n">
        <v>0</v>
      </c>
      <c r="K536" t="n">
        <v>0</v>
      </c>
      <c r="L536" t="n">
        <v>0</v>
      </c>
      <c r="M536" t="n">
        <v>0</v>
      </c>
      <c r="N536" t="n">
        <v>0</v>
      </c>
      <c r="O536" t="n">
        <v>0</v>
      </c>
      <c r="P536" t="n">
        <v>0</v>
      </c>
      <c r="Q536" t="n">
        <v>0</v>
      </c>
      <c r="R536" s="2" t="inlineStr"/>
    </row>
    <row r="537" ht="15" customHeight="1">
      <c r="A537" t="inlineStr">
        <is>
          <t>A 22266-2023</t>
        </is>
      </c>
      <c r="B537" s="1" t="n">
        <v>45070</v>
      </c>
      <c r="C537" s="1" t="n">
        <v>45958</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52588-2023</t>
        </is>
      </c>
      <c r="B538" s="1" t="n">
        <v>45225.60192129629</v>
      </c>
      <c r="C538" s="1" t="n">
        <v>45958</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6802-2025</t>
        </is>
      </c>
      <c r="B539" s="1" t="n">
        <v>45700.68289351852</v>
      </c>
      <c r="C539" s="1" t="n">
        <v>45958</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45958</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30977-2025</t>
        </is>
      </c>
      <c r="B541" s="1" t="n">
        <v>45832.46649305556</v>
      </c>
      <c r="C541" s="1" t="n">
        <v>45958</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51062-2025</t>
        </is>
      </c>
      <c r="B542" s="1" t="n">
        <v>45947.44685185186</v>
      </c>
      <c r="C542" s="1" t="n">
        <v>45958</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33696-2025</t>
        </is>
      </c>
      <c r="B543" s="1" t="n">
        <v>45841.7072337963</v>
      </c>
      <c r="C543" s="1" t="n">
        <v>45958</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527-2024</t>
        </is>
      </c>
      <c r="B544" s="1" t="n">
        <v>45299.47513888889</v>
      </c>
      <c r="C544" s="1" t="n">
        <v>45958</v>
      </c>
      <c r="D544" t="inlineStr">
        <is>
          <t>KALMAR LÄN</t>
        </is>
      </c>
      <c r="E544" t="inlineStr">
        <is>
          <t>VIMMERBY</t>
        </is>
      </c>
      <c r="G544" t="n">
        <v>2.2</v>
      </c>
      <c r="H544" t="n">
        <v>0</v>
      </c>
      <c r="I544" t="n">
        <v>0</v>
      </c>
      <c r="J544" t="n">
        <v>0</v>
      </c>
      <c r="K544" t="n">
        <v>0</v>
      </c>
      <c r="L544" t="n">
        <v>0</v>
      </c>
      <c r="M544" t="n">
        <v>0</v>
      </c>
      <c r="N544" t="n">
        <v>0</v>
      </c>
      <c r="O544" t="n">
        <v>0</v>
      </c>
      <c r="P544" t="n">
        <v>0</v>
      </c>
      <c r="Q544" t="n">
        <v>0</v>
      </c>
      <c r="R544" s="2" t="inlineStr"/>
    </row>
    <row r="545" ht="15" customHeight="1">
      <c r="A545" t="inlineStr">
        <is>
          <t>A 26956-2025</t>
        </is>
      </c>
      <c r="B545" s="1" t="n">
        <v>45811.45460648148</v>
      </c>
      <c r="C545" s="1" t="n">
        <v>45958</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60230-2022</t>
        </is>
      </c>
      <c r="B546" s="1" t="n">
        <v>44910</v>
      </c>
      <c r="C546" s="1" t="n">
        <v>45958</v>
      </c>
      <c r="D546" t="inlineStr">
        <is>
          <t>KALMAR LÄN</t>
        </is>
      </c>
      <c r="E546" t="inlineStr">
        <is>
          <t>VIMMERBY</t>
        </is>
      </c>
      <c r="G546" t="n">
        <v>11.3</v>
      </c>
      <c r="H546" t="n">
        <v>0</v>
      </c>
      <c r="I546" t="n">
        <v>0</v>
      </c>
      <c r="J546" t="n">
        <v>0</v>
      </c>
      <c r="K546" t="n">
        <v>0</v>
      </c>
      <c r="L546" t="n">
        <v>0</v>
      </c>
      <c r="M546" t="n">
        <v>0</v>
      </c>
      <c r="N546" t="n">
        <v>0</v>
      </c>
      <c r="O546" t="n">
        <v>0</v>
      </c>
      <c r="P546" t="n">
        <v>0</v>
      </c>
      <c r="Q546" t="n">
        <v>0</v>
      </c>
      <c r="R546" s="2" t="inlineStr"/>
    </row>
    <row r="547" ht="15" customHeight="1">
      <c r="A547" t="inlineStr">
        <is>
          <t>A 34071-2025</t>
        </is>
      </c>
      <c r="B547" s="1" t="n">
        <v>45845.43803240741</v>
      </c>
      <c r="C547" s="1" t="n">
        <v>45958</v>
      </c>
      <c r="D547" t="inlineStr">
        <is>
          <t>KALMAR LÄN</t>
        </is>
      </c>
      <c r="E547" t="inlineStr">
        <is>
          <t>VIMMERBY</t>
        </is>
      </c>
      <c r="G547" t="n">
        <v>6.8</v>
      </c>
      <c r="H547" t="n">
        <v>0</v>
      </c>
      <c r="I547" t="n">
        <v>0</v>
      </c>
      <c r="J547" t="n">
        <v>0</v>
      </c>
      <c r="K547" t="n">
        <v>0</v>
      </c>
      <c r="L547" t="n">
        <v>0</v>
      </c>
      <c r="M547" t="n">
        <v>0</v>
      </c>
      <c r="N547" t="n">
        <v>0</v>
      </c>
      <c r="O547" t="n">
        <v>0</v>
      </c>
      <c r="P547" t="n">
        <v>0</v>
      </c>
      <c r="Q547" t="n">
        <v>0</v>
      </c>
      <c r="R547" s="2" t="inlineStr"/>
    </row>
    <row r="548" ht="15" customHeight="1">
      <c r="A548" t="inlineStr">
        <is>
          <t>A 34106-2025</t>
        </is>
      </c>
      <c r="B548" s="1" t="n">
        <v>45845.49414351852</v>
      </c>
      <c r="C548" s="1" t="n">
        <v>45958</v>
      </c>
      <c r="D548" t="inlineStr">
        <is>
          <t>KALMAR LÄN</t>
        </is>
      </c>
      <c r="E548" t="inlineStr">
        <is>
          <t>VIMMERBY</t>
        </is>
      </c>
      <c r="G548" t="n">
        <v>6</v>
      </c>
      <c r="H548" t="n">
        <v>0</v>
      </c>
      <c r="I548" t="n">
        <v>0</v>
      </c>
      <c r="J548" t="n">
        <v>0</v>
      </c>
      <c r="K548" t="n">
        <v>0</v>
      </c>
      <c r="L548" t="n">
        <v>0</v>
      </c>
      <c r="M548" t="n">
        <v>0</v>
      </c>
      <c r="N548" t="n">
        <v>0</v>
      </c>
      <c r="O548" t="n">
        <v>0</v>
      </c>
      <c r="P548" t="n">
        <v>0</v>
      </c>
      <c r="Q548" t="n">
        <v>0</v>
      </c>
      <c r="R548" s="2" t="inlineStr"/>
    </row>
    <row r="549" ht="15" customHeight="1">
      <c r="A549" t="inlineStr">
        <is>
          <t>A 28702-2025</t>
        </is>
      </c>
      <c r="B549" s="1" t="n">
        <v>45820.03976851852</v>
      </c>
      <c r="C549" s="1" t="n">
        <v>45958</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5925-2022</t>
        </is>
      </c>
      <c r="B550" s="1" t="n">
        <v>44598.7384837963</v>
      </c>
      <c r="C550" s="1" t="n">
        <v>45958</v>
      </c>
      <c r="D550" t="inlineStr">
        <is>
          <t>KALMAR LÄN</t>
        </is>
      </c>
      <c r="E550" t="inlineStr">
        <is>
          <t>VIMMERBY</t>
        </is>
      </c>
      <c r="G550" t="n">
        <v>2.1</v>
      </c>
      <c r="H550" t="n">
        <v>0</v>
      </c>
      <c r="I550" t="n">
        <v>0</v>
      </c>
      <c r="J550" t="n">
        <v>0</v>
      </c>
      <c r="K550" t="n">
        <v>0</v>
      </c>
      <c r="L550" t="n">
        <v>0</v>
      </c>
      <c r="M550" t="n">
        <v>0</v>
      </c>
      <c r="N550" t="n">
        <v>0</v>
      </c>
      <c r="O550" t="n">
        <v>0</v>
      </c>
      <c r="P550" t="n">
        <v>0</v>
      </c>
      <c r="Q550" t="n">
        <v>0</v>
      </c>
      <c r="R550" s="2" t="inlineStr"/>
    </row>
    <row r="551" ht="15" customHeight="1">
      <c r="A551" t="inlineStr">
        <is>
          <t>A 48373-2021</t>
        </is>
      </c>
      <c r="B551" s="1" t="n">
        <v>44451</v>
      </c>
      <c r="C551" s="1" t="n">
        <v>45958</v>
      </c>
      <c r="D551" t="inlineStr">
        <is>
          <t>KALMAR LÄN</t>
        </is>
      </c>
      <c r="E551" t="inlineStr">
        <is>
          <t>VIMMERBY</t>
        </is>
      </c>
      <c r="G551" t="n">
        <v>2.2</v>
      </c>
      <c r="H551" t="n">
        <v>0</v>
      </c>
      <c r="I551" t="n">
        <v>0</v>
      </c>
      <c r="J551" t="n">
        <v>0</v>
      </c>
      <c r="K551" t="n">
        <v>0</v>
      </c>
      <c r="L551" t="n">
        <v>0</v>
      </c>
      <c r="M551" t="n">
        <v>0</v>
      </c>
      <c r="N551" t="n">
        <v>0</v>
      </c>
      <c r="O551" t="n">
        <v>0</v>
      </c>
      <c r="P551" t="n">
        <v>0</v>
      </c>
      <c r="Q551" t="n">
        <v>0</v>
      </c>
      <c r="R551" s="2" t="inlineStr"/>
    </row>
    <row r="552" ht="15" customHeight="1">
      <c r="A552" t="inlineStr">
        <is>
          <t>A 46522-2022</t>
        </is>
      </c>
      <c r="B552" s="1" t="n">
        <v>44848.59133101852</v>
      </c>
      <c r="C552" s="1" t="n">
        <v>45958</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41066-2024</t>
        </is>
      </c>
      <c r="B553" s="1" t="n">
        <v>45559.38876157408</v>
      </c>
      <c r="C553" s="1" t="n">
        <v>45958</v>
      </c>
      <c r="D553" t="inlineStr">
        <is>
          <t>KALMAR LÄN</t>
        </is>
      </c>
      <c r="E553" t="inlineStr">
        <is>
          <t>VIMMERBY</t>
        </is>
      </c>
      <c r="G553" t="n">
        <v>2.4</v>
      </c>
      <c r="H553" t="n">
        <v>0</v>
      </c>
      <c r="I553" t="n">
        <v>0</v>
      </c>
      <c r="J553" t="n">
        <v>0</v>
      </c>
      <c r="K553" t="n">
        <v>0</v>
      </c>
      <c r="L553" t="n">
        <v>0</v>
      </c>
      <c r="M553" t="n">
        <v>0</v>
      </c>
      <c r="N553" t="n">
        <v>0</v>
      </c>
      <c r="O553" t="n">
        <v>0</v>
      </c>
      <c r="P553" t="n">
        <v>0</v>
      </c>
      <c r="Q553" t="n">
        <v>0</v>
      </c>
      <c r="R553" s="2" t="inlineStr"/>
    </row>
    <row r="554" ht="15" customHeight="1">
      <c r="A554" t="inlineStr">
        <is>
          <t>A 52279-2023</t>
        </is>
      </c>
      <c r="B554" s="1" t="n">
        <v>45224</v>
      </c>
      <c r="C554" s="1" t="n">
        <v>45958</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17486-2024</t>
        </is>
      </c>
      <c r="B555" s="1" t="n">
        <v>45415.48979166667</v>
      </c>
      <c r="C555" s="1" t="n">
        <v>45958</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57256-2023</t>
        </is>
      </c>
      <c r="B556" s="1" t="n">
        <v>45245.5735300926</v>
      </c>
      <c r="C556" s="1" t="n">
        <v>45958</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17482-2024</t>
        </is>
      </c>
      <c r="B557" s="1" t="n">
        <v>45415.47848379629</v>
      </c>
      <c r="C557" s="1" t="n">
        <v>45958</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42828-2025</t>
        </is>
      </c>
      <c r="B558" s="1" t="n">
        <v>45908.57716435185</v>
      </c>
      <c r="C558" s="1" t="n">
        <v>45958</v>
      </c>
      <c r="D558" t="inlineStr">
        <is>
          <t>KALMAR LÄN</t>
        </is>
      </c>
      <c r="E558" t="inlineStr">
        <is>
          <t>VIMMERBY</t>
        </is>
      </c>
      <c r="G558" t="n">
        <v>5.2</v>
      </c>
      <c r="H558" t="n">
        <v>0</v>
      </c>
      <c r="I558" t="n">
        <v>0</v>
      </c>
      <c r="J558" t="n">
        <v>0</v>
      </c>
      <c r="K558" t="n">
        <v>0</v>
      </c>
      <c r="L558" t="n">
        <v>0</v>
      </c>
      <c r="M558" t="n">
        <v>0</v>
      </c>
      <c r="N558" t="n">
        <v>0</v>
      </c>
      <c r="O558" t="n">
        <v>0</v>
      </c>
      <c r="P558" t="n">
        <v>0</v>
      </c>
      <c r="Q558" t="n">
        <v>0</v>
      </c>
      <c r="R558" s="2" t="inlineStr"/>
    </row>
    <row r="559" ht="15" customHeight="1">
      <c r="A559" t="inlineStr">
        <is>
          <t>A 34628-2025</t>
        </is>
      </c>
      <c r="B559" s="1" t="n">
        <v>45847.91280092593</v>
      </c>
      <c r="C559" s="1" t="n">
        <v>45958</v>
      </c>
      <c r="D559" t="inlineStr">
        <is>
          <t>KALMAR LÄN</t>
        </is>
      </c>
      <c r="E559" t="inlineStr">
        <is>
          <t>VIMMERBY</t>
        </is>
      </c>
      <c r="G559" t="n">
        <v>4.2</v>
      </c>
      <c r="H559" t="n">
        <v>0</v>
      </c>
      <c r="I559" t="n">
        <v>0</v>
      </c>
      <c r="J559" t="n">
        <v>0</v>
      </c>
      <c r="K559" t="n">
        <v>0</v>
      </c>
      <c r="L559" t="n">
        <v>0</v>
      </c>
      <c r="M559" t="n">
        <v>0</v>
      </c>
      <c r="N559" t="n">
        <v>0</v>
      </c>
      <c r="O559" t="n">
        <v>0</v>
      </c>
      <c r="P559" t="n">
        <v>0</v>
      </c>
      <c r="Q559" t="n">
        <v>0</v>
      </c>
      <c r="R559" s="2" t="inlineStr"/>
    </row>
    <row r="560" ht="15" customHeight="1">
      <c r="A560" t="inlineStr">
        <is>
          <t>A 71631-2021</t>
        </is>
      </c>
      <c r="B560" s="1" t="n">
        <v>44542.90072916666</v>
      </c>
      <c r="C560" s="1" t="n">
        <v>45958</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42794-2025</t>
        </is>
      </c>
      <c r="B561" s="1" t="n">
        <v>45908</v>
      </c>
      <c r="C561" s="1" t="n">
        <v>45958</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42820-2025</t>
        </is>
      </c>
      <c r="B562" s="1" t="n">
        <v>45908</v>
      </c>
      <c r="C562" s="1" t="n">
        <v>45958</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55123-2024</t>
        </is>
      </c>
      <c r="B563" s="1" t="n">
        <v>45621.46103009259</v>
      </c>
      <c r="C563" s="1" t="n">
        <v>45958</v>
      </c>
      <c r="D563" t="inlineStr">
        <is>
          <t>KALMAR LÄN</t>
        </is>
      </c>
      <c r="E563" t="inlineStr">
        <is>
          <t>VIMMERBY</t>
        </is>
      </c>
      <c r="G563" t="n">
        <v>3.1</v>
      </c>
      <c r="H563" t="n">
        <v>0</v>
      </c>
      <c r="I563" t="n">
        <v>0</v>
      </c>
      <c r="J563" t="n">
        <v>0</v>
      </c>
      <c r="K563" t="n">
        <v>0</v>
      </c>
      <c r="L563" t="n">
        <v>0</v>
      </c>
      <c r="M563" t="n">
        <v>0</v>
      </c>
      <c r="N563" t="n">
        <v>0</v>
      </c>
      <c r="O563" t="n">
        <v>0</v>
      </c>
      <c r="P563" t="n">
        <v>0</v>
      </c>
      <c r="Q563" t="n">
        <v>0</v>
      </c>
      <c r="R563" s="2" t="inlineStr"/>
    </row>
    <row r="564" ht="15" customHeight="1">
      <c r="A564" t="inlineStr">
        <is>
          <t>A 16015-2025</t>
        </is>
      </c>
      <c r="B564" s="1" t="n">
        <v>45749.60487268519</v>
      </c>
      <c r="C564" s="1" t="n">
        <v>45958</v>
      </c>
      <c r="D564" t="inlineStr">
        <is>
          <t>KALMAR LÄN</t>
        </is>
      </c>
      <c r="E564" t="inlineStr">
        <is>
          <t>VIMMERBY</t>
        </is>
      </c>
      <c r="F564" t="inlineStr">
        <is>
          <t>Kyrkan</t>
        </is>
      </c>
      <c r="G564" t="n">
        <v>2.7</v>
      </c>
      <c r="H564" t="n">
        <v>0</v>
      </c>
      <c r="I564" t="n">
        <v>0</v>
      </c>
      <c r="J564" t="n">
        <v>0</v>
      </c>
      <c r="K564" t="n">
        <v>0</v>
      </c>
      <c r="L564" t="n">
        <v>0</v>
      </c>
      <c r="M564" t="n">
        <v>0</v>
      </c>
      <c r="N564" t="n">
        <v>0</v>
      </c>
      <c r="O564" t="n">
        <v>0</v>
      </c>
      <c r="P564" t="n">
        <v>0</v>
      </c>
      <c r="Q564" t="n">
        <v>0</v>
      </c>
      <c r="R564" s="2" t="inlineStr"/>
    </row>
    <row r="565" ht="15" customHeight="1">
      <c r="A565" t="inlineStr">
        <is>
          <t>A 9694-2023</t>
        </is>
      </c>
      <c r="B565" s="1" t="n">
        <v>44984.45895833334</v>
      </c>
      <c r="C565" s="1" t="n">
        <v>45958</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49313-2022</t>
        </is>
      </c>
      <c r="B566" s="1" t="n">
        <v>44861.52505787037</v>
      </c>
      <c r="C566" s="1" t="n">
        <v>45958</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1987-2024</t>
        </is>
      </c>
      <c r="B567" s="1" t="n">
        <v>45308.61152777778</v>
      </c>
      <c r="C567" s="1" t="n">
        <v>45958</v>
      </c>
      <c r="D567" t="inlineStr">
        <is>
          <t>KALMAR LÄN</t>
        </is>
      </c>
      <c r="E567" t="inlineStr">
        <is>
          <t>VIMMERBY</t>
        </is>
      </c>
      <c r="G567" t="n">
        <v>3</v>
      </c>
      <c r="H567" t="n">
        <v>0</v>
      </c>
      <c r="I567" t="n">
        <v>0</v>
      </c>
      <c r="J567" t="n">
        <v>0</v>
      </c>
      <c r="K567" t="n">
        <v>0</v>
      </c>
      <c r="L567" t="n">
        <v>0</v>
      </c>
      <c r="M567" t="n">
        <v>0</v>
      </c>
      <c r="N567" t="n">
        <v>0</v>
      </c>
      <c r="O567" t="n">
        <v>0</v>
      </c>
      <c r="P567" t="n">
        <v>0</v>
      </c>
      <c r="Q567" t="n">
        <v>0</v>
      </c>
      <c r="R567" s="2" t="inlineStr"/>
    </row>
    <row r="568" ht="15" customHeight="1">
      <c r="A568" t="inlineStr">
        <is>
          <t>A 22198-2024</t>
        </is>
      </c>
      <c r="B568" s="1" t="n">
        <v>45446.36865740741</v>
      </c>
      <c r="C568" s="1" t="n">
        <v>45958</v>
      </c>
      <c r="D568" t="inlineStr">
        <is>
          <t>KALMAR LÄN</t>
        </is>
      </c>
      <c r="E568" t="inlineStr">
        <is>
          <t>VIMMERBY</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57311-2023</t>
        </is>
      </c>
      <c r="B569" s="1" t="n">
        <v>45245.63574074074</v>
      </c>
      <c r="C569" s="1" t="n">
        <v>45958</v>
      </c>
      <c r="D569" t="inlineStr">
        <is>
          <t>KALMAR LÄN</t>
        </is>
      </c>
      <c r="E569" t="inlineStr">
        <is>
          <t>VIMMERBY</t>
        </is>
      </c>
      <c r="G569" t="n">
        <v>1.6</v>
      </c>
      <c r="H569" t="n">
        <v>0</v>
      </c>
      <c r="I569" t="n">
        <v>0</v>
      </c>
      <c r="J569" t="n">
        <v>0</v>
      </c>
      <c r="K569" t="n">
        <v>0</v>
      </c>
      <c r="L569" t="n">
        <v>0</v>
      </c>
      <c r="M569" t="n">
        <v>0</v>
      </c>
      <c r="N569" t="n">
        <v>0</v>
      </c>
      <c r="O569" t="n">
        <v>0</v>
      </c>
      <c r="P569" t="n">
        <v>0</v>
      </c>
      <c r="Q569" t="n">
        <v>0</v>
      </c>
      <c r="R569" s="2" t="inlineStr"/>
    </row>
    <row r="570" ht="15" customHeight="1">
      <c r="A570" t="inlineStr">
        <is>
          <t>A 12588-2025</t>
        </is>
      </c>
      <c r="B570" s="1" t="n">
        <v>45732.76936342593</v>
      </c>
      <c r="C570" s="1" t="n">
        <v>45958</v>
      </c>
      <c r="D570" t="inlineStr">
        <is>
          <t>KALMAR LÄN</t>
        </is>
      </c>
      <c r="E570" t="inlineStr">
        <is>
          <t>VIMMERBY</t>
        </is>
      </c>
      <c r="G570" t="n">
        <v>1.6</v>
      </c>
      <c r="H570" t="n">
        <v>0</v>
      </c>
      <c r="I570" t="n">
        <v>0</v>
      </c>
      <c r="J570" t="n">
        <v>0</v>
      </c>
      <c r="K570" t="n">
        <v>0</v>
      </c>
      <c r="L570" t="n">
        <v>0</v>
      </c>
      <c r="M570" t="n">
        <v>0</v>
      </c>
      <c r="N570" t="n">
        <v>0</v>
      </c>
      <c r="O570" t="n">
        <v>0</v>
      </c>
      <c r="P570" t="n">
        <v>0</v>
      </c>
      <c r="Q570" t="n">
        <v>0</v>
      </c>
      <c r="R570" s="2" t="inlineStr"/>
    </row>
    <row r="571" ht="15" customHeight="1">
      <c r="A571" t="inlineStr">
        <is>
          <t>A 35270-2025</t>
        </is>
      </c>
      <c r="B571" s="1" t="n">
        <v>45853.87112268519</v>
      </c>
      <c r="C571" s="1" t="n">
        <v>45958</v>
      </c>
      <c r="D571" t="inlineStr">
        <is>
          <t>KALMAR LÄN</t>
        </is>
      </c>
      <c r="E571" t="inlineStr">
        <is>
          <t>VIMMERBY</t>
        </is>
      </c>
      <c r="G571" t="n">
        <v>2.4</v>
      </c>
      <c r="H571" t="n">
        <v>0</v>
      </c>
      <c r="I571" t="n">
        <v>0</v>
      </c>
      <c r="J571" t="n">
        <v>0</v>
      </c>
      <c r="K571" t="n">
        <v>0</v>
      </c>
      <c r="L571" t="n">
        <v>0</v>
      </c>
      <c r="M571" t="n">
        <v>0</v>
      </c>
      <c r="N571" t="n">
        <v>0</v>
      </c>
      <c r="O571" t="n">
        <v>0</v>
      </c>
      <c r="P571" t="n">
        <v>0</v>
      </c>
      <c r="Q571" t="n">
        <v>0</v>
      </c>
      <c r="R571" s="2" t="inlineStr"/>
    </row>
    <row r="572" ht="15" customHeight="1">
      <c r="A572" t="inlineStr">
        <is>
          <t>A 35271-2025</t>
        </is>
      </c>
      <c r="B572" s="1" t="n">
        <v>45853.87599537037</v>
      </c>
      <c r="C572" s="1" t="n">
        <v>45958</v>
      </c>
      <c r="D572" t="inlineStr">
        <is>
          <t>KALMAR LÄN</t>
        </is>
      </c>
      <c r="E572" t="inlineStr">
        <is>
          <t>VIMMERBY</t>
        </is>
      </c>
      <c r="G572" t="n">
        <v>0.4</v>
      </c>
      <c r="H572" t="n">
        <v>0</v>
      </c>
      <c r="I572" t="n">
        <v>0</v>
      </c>
      <c r="J572" t="n">
        <v>0</v>
      </c>
      <c r="K572" t="n">
        <v>0</v>
      </c>
      <c r="L572" t="n">
        <v>0</v>
      </c>
      <c r="M572" t="n">
        <v>0</v>
      </c>
      <c r="N572" t="n">
        <v>0</v>
      </c>
      <c r="O572" t="n">
        <v>0</v>
      </c>
      <c r="P572" t="n">
        <v>0</v>
      </c>
      <c r="Q572" t="n">
        <v>0</v>
      </c>
      <c r="R572" s="2" t="inlineStr"/>
    </row>
    <row r="573" ht="15" customHeight="1">
      <c r="A573" t="inlineStr">
        <is>
          <t>A 35272-2025</t>
        </is>
      </c>
      <c r="B573" s="1" t="n">
        <v>45853.88070601852</v>
      </c>
      <c r="C573" s="1" t="n">
        <v>45958</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34060-2025</t>
        </is>
      </c>
      <c r="B574" s="1" t="n">
        <v>45845.42015046296</v>
      </c>
      <c r="C574" s="1" t="n">
        <v>45958</v>
      </c>
      <c r="D574" t="inlineStr">
        <is>
          <t>KALMAR LÄN</t>
        </is>
      </c>
      <c r="E574" t="inlineStr">
        <is>
          <t>VIMMERBY</t>
        </is>
      </c>
      <c r="G574" t="n">
        <v>5.7</v>
      </c>
      <c r="H574" t="n">
        <v>0</v>
      </c>
      <c r="I574" t="n">
        <v>0</v>
      </c>
      <c r="J574" t="n">
        <v>0</v>
      </c>
      <c r="K574" t="n">
        <v>0</v>
      </c>
      <c r="L574" t="n">
        <v>0</v>
      </c>
      <c r="M574" t="n">
        <v>0</v>
      </c>
      <c r="N574" t="n">
        <v>0</v>
      </c>
      <c r="O574" t="n">
        <v>0</v>
      </c>
      <c r="P574" t="n">
        <v>0</v>
      </c>
      <c r="Q574" t="n">
        <v>0</v>
      </c>
      <c r="R574" s="2" t="inlineStr"/>
    </row>
    <row r="575" ht="15" customHeight="1">
      <c r="A575" t="inlineStr">
        <is>
          <t>A 7932-2025</t>
        </is>
      </c>
      <c r="B575" s="1" t="n">
        <v>45707.3793287037</v>
      </c>
      <c r="C575" s="1" t="n">
        <v>45958</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16953-2025</t>
        </is>
      </c>
      <c r="B576" s="1" t="n">
        <v>45755.44333333334</v>
      </c>
      <c r="C576" s="1" t="n">
        <v>45958</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35596-2025</t>
        </is>
      </c>
      <c r="B577" s="1" t="n">
        <v>45858.60641203704</v>
      </c>
      <c r="C577" s="1" t="n">
        <v>45958</v>
      </c>
      <c r="D577" t="inlineStr">
        <is>
          <t>KALMAR LÄN</t>
        </is>
      </c>
      <c r="E577" t="inlineStr">
        <is>
          <t>VIMMERBY</t>
        </is>
      </c>
      <c r="G577" t="n">
        <v>2.8</v>
      </c>
      <c r="H577" t="n">
        <v>0</v>
      </c>
      <c r="I577" t="n">
        <v>0</v>
      </c>
      <c r="J577" t="n">
        <v>0</v>
      </c>
      <c r="K577" t="n">
        <v>0</v>
      </c>
      <c r="L577" t="n">
        <v>0</v>
      </c>
      <c r="M577" t="n">
        <v>0</v>
      </c>
      <c r="N577" t="n">
        <v>0</v>
      </c>
      <c r="O577" t="n">
        <v>0</v>
      </c>
      <c r="P577" t="n">
        <v>0</v>
      </c>
      <c r="Q577" t="n">
        <v>0</v>
      </c>
      <c r="R577" s="2" t="inlineStr"/>
    </row>
    <row r="578" ht="15" customHeight="1">
      <c r="A578" t="inlineStr">
        <is>
          <t>A 21507-2023</t>
        </is>
      </c>
      <c r="B578" s="1" t="n">
        <v>45063.508125</v>
      </c>
      <c r="C578" s="1" t="n">
        <v>45958</v>
      </c>
      <c r="D578" t="inlineStr">
        <is>
          <t>KALMAR LÄN</t>
        </is>
      </c>
      <c r="E578" t="inlineStr">
        <is>
          <t>VIMMERBY</t>
        </is>
      </c>
      <c r="G578" t="n">
        <v>2.8</v>
      </c>
      <c r="H578" t="n">
        <v>0</v>
      </c>
      <c r="I578" t="n">
        <v>0</v>
      </c>
      <c r="J578" t="n">
        <v>0</v>
      </c>
      <c r="K578" t="n">
        <v>0</v>
      </c>
      <c r="L578" t="n">
        <v>0</v>
      </c>
      <c r="M578" t="n">
        <v>0</v>
      </c>
      <c r="N578" t="n">
        <v>0</v>
      </c>
      <c r="O578" t="n">
        <v>0</v>
      </c>
      <c r="P578" t="n">
        <v>0</v>
      </c>
      <c r="Q578" t="n">
        <v>0</v>
      </c>
      <c r="R578" s="2" t="inlineStr"/>
    </row>
    <row r="579" ht="15" customHeight="1">
      <c r="A579" t="inlineStr">
        <is>
          <t>A 57189-2022</t>
        </is>
      </c>
      <c r="B579" s="1" t="n">
        <v>44895.62296296296</v>
      </c>
      <c r="C579" s="1" t="n">
        <v>45958</v>
      </c>
      <c r="D579" t="inlineStr">
        <is>
          <t>KALMAR LÄN</t>
        </is>
      </c>
      <c r="E579" t="inlineStr">
        <is>
          <t>VIMMERBY</t>
        </is>
      </c>
      <c r="G579" t="n">
        <v>0.8</v>
      </c>
      <c r="H579" t="n">
        <v>0</v>
      </c>
      <c r="I579" t="n">
        <v>0</v>
      </c>
      <c r="J579" t="n">
        <v>0</v>
      </c>
      <c r="K579" t="n">
        <v>0</v>
      </c>
      <c r="L579" t="n">
        <v>0</v>
      </c>
      <c r="M579" t="n">
        <v>0</v>
      </c>
      <c r="N579" t="n">
        <v>0</v>
      </c>
      <c r="O579" t="n">
        <v>0</v>
      </c>
      <c r="P579" t="n">
        <v>0</v>
      </c>
      <c r="Q579" t="n">
        <v>0</v>
      </c>
      <c r="R579" s="2" t="inlineStr"/>
    </row>
    <row r="580" ht="15" customHeight="1">
      <c r="A580" t="inlineStr">
        <is>
          <t>A 48673-2021</t>
        </is>
      </c>
      <c r="B580" s="1" t="n">
        <v>44452</v>
      </c>
      <c r="C580" s="1" t="n">
        <v>45958</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43465-2025</t>
        </is>
      </c>
      <c r="B581" s="1" t="n">
        <v>45911.47138888889</v>
      </c>
      <c r="C581" s="1" t="n">
        <v>45958</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14248-2023</t>
        </is>
      </c>
      <c r="B582" s="1" t="n">
        <v>45009</v>
      </c>
      <c r="C582" s="1" t="n">
        <v>45958</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12480-2024</t>
        </is>
      </c>
      <c r="B583" s="1" t="n">
        <v>45379</v>
      </c>
      <c r="C583" s="1" t="n">
        <v>45958</v>
      </c>
      <c r="D583" t="inlineStr">
        <is>
          <t>KALMAR LÄN</t>
        </is>
      </c>
      <c r="E583" t="inlineStr">
        <is>
          <t>VIMMERBY</t>
        </is>
      </c>
      <c r="G583" t="n">
        <v>2.8</v>
      </c>
      <c r="H583" t="n">
        <v>0</v>
      </c>
      <c r="I583" t="n">
        <v>0</v>
      </c>
      <c r="J583" t="n">
        <v>0</v>
      </c>
      <c r="K583" t="n">
        <v>0</v>
      </c>
      <c r="L583" t="n">
        <v>0</v>
      </c>
      <c r="M583" t="n">
        <v>0</v>
      </c>
      <c r="N583" t="n">
        <v>0</v>
      </c>
      <c r="O583" t="n">
        <v>0</v>
      </c>
      <c r="P583" t="n">
        <v>0</v>
      </c>
      <c r="Q583" t="n">
        <v>0</v>
      </c>
      <c r="R583" s="2" t="inlineStr"/>
    </row>
    <row r="584" ht="15" customHeight="1">
      <c r="A584" t="inlineStr">
        <is>
          <t>A 35597-2025</t>
        </is>
      </c>
      <c r="B584" s="1" t="n">
        <v>45858.66019675926</v>
      </c>
      <c r="C584" s="1" t="n">
        <v>45958</v>
      </c>
      <c r="D584" t="inlineStr">
        <is>
          <t>KALMAR LÄN</t>
        </is>
      </c>
      <c r="E584" t="inlineStr">
        <is>
          <t>VIMMERBY</t>
        </is>
      </c>
      <c r="G584" t="n">
        <v>6.4</v>
      </c>
      <c r="H584" t="n">
        <v>0</v>
      </c>
      <c r="I584" t="n">
        <v>0</v>
      </c>
      <c r="J584" t="n">
        <v>0</v>
      </c>
      <c r="K584" t="n">
        <v>0</v>
      </c>
      <c r="L584" t="n">
        <v>0</v>
      </c>
      <c r="M584" t="n">
        <v>0</v>
      </c>
      <c r="N584" t="n">
        <v>0</v>
      </c>
      <c r="O584" t="n">
        <v>0</v>
      </c>
      <c r="P584" t="n">
        <v>0</v>
      </c>
      <c r="Q584" t="n">
        <v>0</v>
      </c>
      <c r="R584" s="2" t="inlineStr"/>
    </row>
    <row r="585" ht="15" customHeight="1">
      <c r="A585" t="inlineStr">
        <is>
          <t>A 51990-2025</t>
        </is>
      </c>
      <c r="B585" s="1" t="n">
        <v>45952.58061342593</v>
      </c>
      <c r="C585" s="1" t="n">
        <v>45958</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2121-2022</t>
        </is>
      </c>
      <c r="B586" s="1" t="n">
        <v>44578.32717592592</v>
      </c>
      <c r="C586" s="1" t="n">
        <v>45958</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43617-2025</t>
        </is>
      </c>
      <c r="B587" s="1" t="n">
        <v>45911.67798611111</v>
      </c>
      <c r="C587" s="1" t="n">
        <v>45958</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34386-2024</t>
        </is>
      </c>
      <c r="B588" s="1" t="n">
        <v>45525.41762731481</v>
      </c>
      <c r="C588" s="1" t="n">
        <v>45958</v>
      </c>
      <c r="D588" t="inlineStr">
        <is>
          <t>KALMAR LÄN</t>
        </is>
      </c>
      <c r="E588" t="inlineStr">
        <is>
          <t>VIMMERBY</t>
        </is>
      </c>
      <c r="G588" t="n">
        <v>0.3</v>
      </c>
      <c r="H588" t="n">
        <v>0</v>
      </c>
      <c r="I588" t="n">
        <v>0</v>
      </c>
      <c r="J588" t="n">
        <v>0</v>
      </c>
      <c r="K588" t="n">
        <v>0</v>
      </c>
      <c r="L588" t="n">
        <v>0</v>
      </c>
      <c r="M588" t="n">
        <v>0</v>
      </c>
      <c r="N588" t="n">
        <v>0</v>
      </c>
      <c r="O588" t="n">
        <v>0</v>
      </c>
      <c r="P588" t="n">
        <v>0</v>
      </c>
      <c r="Q588" t="n">
        <v>0</v>
      </c>
      <c r="R588" s="2" t="inlineStr"/>
    </row>
    <row r="589" ht="15" customHeight="1">
      <c r="A589" t="inlineStr">
        <is>
          <t>A 6069-2023</t>
        </is>
      </c>
      <c r="B589" s="1" t="n">
        <v>44964.5115162037</v>
      </c>
      <c r="C589" s="1" t="n">
        <v>45958</v>
      </c>
      <c r="D589" t="inlineStr">
        <is>
          <t>KALMAR LÄN</t>
        </is>
      </c>
      <c r="E589" t="inlineStr">
        <is>
          <t>VIMMERBY</t>
        </is>
      </c>
      <c r="G589" t="n">
        <v>1.1</v>
      </c>
      <c r="H589" t="n">
        <v>0</v>
      </c>
      <c r="I589" t="n">
        <v>0</v>
      </c>
      <c r="J589" t="n">
        <v>0</v>
      </c>
      <c r="K589" t="n">
        <v>0</v>
      </c>
      <c r="L589" t="n">
        <v>0</v>
      </c>
      <c r="M589" t="n">
        <v>0</v>
      </c>
      <c r="N589" t="n">
        <v>0</v>
      </c>
      <c r="O589" t="n">
        <v>0</v>
      </c>
      <c r="P589" t="n">
        <v>0</v>
      </c>
      <c r="Q589" t="n">
        <v>0</v>
      </c>
      <c r="R589" s="2" t="inlineStr"/>
    </row>
    <row r="590" ht="15" customHeight="1">
      <c r="A590" t="inlineStr">
        <is>
          <t>A 51993-2025</t>
        </is>
      </c>
      <c r="B590" s="1" t="n">
        <v>45952.58194444444</v>
      </c>
      <c r="C590" s="1" t="n">
        <v>45958</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32633-2023</t>
        </is>
      </c>
      <c r="B591" s="1" t="n">
        <v>45121.58699074074</v>
      </c>
      <c r="C591" s="1" t="n">
        <v>45958</v>
      </c>
      <c r="D591" t="inlineStr">
        <is>
          <t>KALMAR LÄN</t>
        </is>
      </c>
      <c r="E591" t="inlineStr">
        <is>
          <t>VIMMERBY</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36226-2025</t>
        </is>
      </c>
      <c r="B592" s="1" t="n">
        <v>45867.51630787037</v>
      </c>
      <c r="C592" s="1" t="n">
        <v>45958</v>
      </c>
      <c r="D592" t="inlineStr">
        <is>
          <t>KALMAR LÄN</t>
        </is>
      </c>
      <c r="E592" t="inlineStr">
        <is>
          <t>VIMMERBY</t>
        </is>
      </c>
      <c r="G592" t="n">
        <v>3.1</v>
      </c>
      <c r="H592" t="n">
        <v>0</v>
      </c>
      <c r="I592" t="n">
        <v>0</v>
      </c>
      <c r="J592" t="n">
        <v>0</v>
      </c>
      <c r="K592" t="n">
        <v>0</v>
      </c>
      <c r="L592" t="n">
        <v>0</v>
      </c>
      <c r="M592" t="n">
        <v>0</v>
      </c>
      <c r="N592" t="n">
        <v>0</v>
      </c>
      <c r="O592" t="n">
        <v>0</v>
      </c>
      <c r="P592" t="n">
        <v>0</v>
      </c>
      <c r="Q592" t="n">
        <v>0</v>
      </c>
      <c r="R592" s="2" t="inlineStr"/>
    </row>
    <row r="593" ht="15" customHeight="1">
      <c r="A593" t="inlineStr">
        <is>
          <t>A 36273-2025</t>
        </is>
      </c>
      <c r="B593" s="1" t="n">
        <v>45867.63094907408</v>
      </c>
      <c r="C593" s="1" t="n">
        <v>45958</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36282-2025</t>
        </is>
      </c>
      <c r="B594" s="1" t="n">
        <v>45867.64663194444</v>
      </c>
      <c r="C594" s="1" t="n">
        <v>45958</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40095-2022</t>
        </is>
      </c>
      <c r="B595" s="1" t="n">
        <v>44820</v>
      </c>
      <c r="C595" s="1" t="n">
        <v>45958</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44095-2025</t>
        </is>
      </c>
      <c r="B596" s="1" t="n">
        <v>45915.56430555556</v>
      </c>
      <c r="C596" s="1" t="n">
        <v>45958</v>
      </c>
      <c r="D596" t="inlineStr">
        <is>
          <t>KALMAR LÄN</t>
        </is>
      </c>
      <c r="E596" t="inlineStr">
        <is>
          <t>VIMMERBY</t>
        </is>
      </c>
      <c r="G596" t="n">
        <v>2.4</v>
      </c>
      <c r="H596" t="n">
        <v>0</v>
      </c>
      <c r="I596" t="n">
        <v>0</v>
      </c>
      <c r="J596" t="n">
        <v>0</v>
      </c>
      <c r="K596" t="n">
        <v>0</v>
      </c>
      <c r="L596" t="n">
        <v>0</v>
      </c>
      <c r="M596" t="n">
        <v>0</v>
      </c>
      <c r="N596" t="n">
        <v>0</v>
      </c>
      <c r="O596" t="n">
        <v>0</v>
      </c>
      <c r="P596" t="n">
        <v>0</v>
      </c>
      <c r="Q596" t="n">
        <v>0</v>
      </c>
      <c r="R596" s="2" t="inlineStr"/>
    </row>
    <row r="597" ht="15" customHeight="1">
      <c r="A597" t="inlineStr">
        <is>
          <t>A 52451-2025</t>
        </is>
      </c>
      <c r="B597" s="1" t="n">
        <v>45954.42326388889</v>
      </c>
      <c r="C597" s="1" t="n">
        <v>45958</v>
      </c>
      <c r="D597" t="inlineStr">
        <is>
          <t>KALMAR LÄN</t>
        </is>
      </c>
      <c r="E597" t="inlineStr">
        <is>
          <t>VIMMERBY</t>
        </is>
      </c>
      <c r="G597" t="n">
        <v>2.8</v>
      </c>
      <c r="H597" t="n">
        <v>0</v>
      </c>
      <c r="I597" t="n">
        <v>0</v>
      </c>
      <c r="J597" t="n">
        <v>0</v>
      </c>
      <c r="K597" t="n">
        <v>0</v>
      </c>
      <c r="L597" t="n">
        <v>0</v>
      </c>
      <c r="M597" t="n">
        <v>0</v>
      </c>
      <c r="N597" t="n">
        <v>0</v>
      </c>
      <c r="O597" t="n">
        <v>0</v>
      </c>
      <c r="P597" t="n">
        <v>0</v>
      </c>
      <c r="Q597" t="n">
        <v>0</v>
      </c>
      <c r="R597" s="2" t="inlineStr"/>
    </row>
    <row r="598" ht="15" customHeight="1">
      <c r="A598" t="inlineStr">
        <is>
          <t>A 36246-2025</t>
        </is>
      </c>
      <c r="B598" s="1" t="n">
        <v>45867.56320601852</v>
      </c>
      <c r="C598" s="1" t="n">
        <v>45958</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36297-2025</t>
        </is>
      </c>
      <c r="B599" s="1" t="n">
        <v>45867.68625</v>
      </c>
      <c r="C599" s="1" t="n">
        <v>45958</v>
      </c>
      <c r="D599" t="inlineStr">
        <is>
          <t>KALMAR LÄN</t>
        </is>
      </c>
      <c r="E599" t="inlineStr">
        <is>
          <t>VIMMERBY</t>
        </is>
      </c>
      <c r="G599" t="n">
        <v>4.9</v>
      </c>
      <c r="H599" t="n">
        <v>0</v>
      </c>
      <c r="I599" t="n">
        <v>0</v>
      </c>
      <c r="J599" t="n">
        <v>0</v>
      </c>
      <c r="K599" t="n">
        <v>0</v>
      </c>
      <c r="L599" t="n">
        <v>0</v>
      </c>
      <c r="M599" t="n">
        <v>0</v>
      </c>
      <c r="N599" t="n">
        <v>0</v>
      </c>
      <c r="O599" t="n">
        <v>0</v>
      </c>
      <c r="P599" t="n">
        <v>0</v>
      </c>
      <c r="Q599" t="n">
        <v>0</v>
      </c>
      <c r="R599" s="2" t="inlineStr"/>
    </row>
    <row r="600" ht="15" customHeight="1">
      <c r="A600" t="inlineStr">
        <is>
          <t>A 49461-2023</t>
        </is>
      </c>
      <c r="B600" s="1" t="n">
        <v>45211.52642361111</v>
      </c>
      <c r="C600" s="1" t="n">
        <v>45958</v>
      </c>
      <c r="D600" t="inlineStr">
        <is>
          <t>KALMAR LÄN</t>
        </is>
      </c>
      <c r="E600" t="inlineStr">
        <is>
          <t>VIMMERBY</t>
        </is>
      </c>
      <c r="G600" t="n">
        <v>1.5</v>
      </c>
      <c r="H600" t="n">
        <v>0</v>
      </c>
      <c r="I600" t="n">
        <v>0</v>
      </c>
      <c r="J600" t="n">
        <v>0</v>
      </c>
      <c r="K600" t="n">
        <v>0</v>
      </c>
      <c r="L600" t="n">
        <v>0</v>
      </c>
      <c r="M600" t="n">
        <v>0</v>
      </c>
      <c r="N600" t="n">
        <v>0</v>
      </c>
      <c r="O600" t="n">
        <v>0</v>
      </c>
      <c r="P600" t="n">
        <v>0</v>
      </c>
      <c r="Q600" t="n">
        <v>0</v>
      </c>
      <c r="R600" s="2" t="inlineStr"/>
    </row>
    <row r="601" ht="15" customHeight="1">
      <c r="A601" t="inlineStr">
        <is>
          <t>A 36221-2025</t>
        </is>
      </c>
      <c r="B601" s="1" t="n">
        <v>45867.50792824074</v>
      </c>
      <c r="C601" s="1" t="n">
        <v>45958</v>
      </c>
      <c r="D601" t="inlineStr">
        <is>
          <t>KALMAR LÄN</t>
        </is>
      </c>
      <c r="E601" t="inlineStr">
        <is>
          <t>VIMMERBY</t>
        </is>
      </c>
      <c r="G601" t="n">
        <v>2.5</v>
      </c>
      <c r="H601" t="n">
        <v>0</v>
      </c>
      <c r="I601" t="n">
        <v>0</v>
      </c>
      <c r="J601" t="n">
        <v>0</v>
      </c>
      <c r="K601" t="n">
        <v>0</v>
      </c>
      <c r="L601" t="n">
        <v>0</v>
      </c>
      <c r="M601" t="n">
        <v>0</v>
      </c>
      <c r="N601" t="n">
        <v>0</v>
      </c>
      <c r="O601" t="n">
        <v>0</v>
      </c>
      <c r="P601" t="n">
        <v>0</v>
      </c>
      <c r="Q601" t="n">
        <v>0</v>
      </c>
      <c r="R601" s="2" t="inlineStr"/>
    </row>
    <row r="602" ht="15" customHeight="1">
      <c r="A602" t="inlineStr">
        <is>
          <t>A 19502-2025</t>
        </is>
      </c>
      <c r="B602" s="1" t="n">
        <v>45769</v>
      </c>
      <c r="C602" s="1" t="n">
        <v>45958</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50085-2023</t>
        </is>
      </c>
      <c r="B603" s="1" t="n">
        <v>45215.5959375</v>
      </c>
      <c r="C603" s="1" t="n">
        <v>45958</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50087-2023</t>
        </is>
      </c>
      <c r="B604" s="1" t="n">
        <v>45215.59743055556</v>
      </c>
      <c r="C604" s="1" t="n">
        <v>45958</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8167-2024</t>
        </is>
      </c>
      <c r="B605" s="1" t="n">
        <v>45351.6062962963</v>
      </c>
      <c r="C605" s="1" t="n">
        <v>45958</v>
      </c>
      <c r="D605" t="inlineStr">
        <is>
          <t>KALMAR LÄN</t>
        </is>
      </c>
      <c r="E605" t="inlineStr">
        <is>
          <t>VIMMERBY</t>
        </is>
      </c>
      <c r="G605" t="n">
        <v>3.8</v>
      </c>
      <c r="H605" t="n">
        <v>0</v>
      </c>
      <c r="I605" t="n">
        <v>0</v>
      </c>
      <c r="J605" t="n">
        <v>0</v>
      </c>
      <c r="K605" t="n">
        <v>0</v>
      </c>
      <c r="L605" t="n">
        <v>0</v>
      </c>
      <c r="M605" t="n">
        <v>0</v>
      </c>
      <c r="N605" t="n">
        <v>0</v>
      </c>
      <c r="O605" t="n">
        <v>0</v>
      </c>
      <c r="P605" t="n">
        <v>0</v>
      </c>
      <c r="Q605" t="n">
        <v>0</v>
      </c>
      <c r="R605" s="2" t="inlineStr"/>
    </row>
    <row r="606" ht="15" customHeight="1">
      <c r="A606" t="inlineStr">
        <is>
          <t>A 36299-2025</t>
        </is>
      </c>
      <c r="B606" s="1" t="n">
        <v>45867.69346064814</v>
      </c>
      <c r="C606" s="1" t="n">
        <v>45958</v>
      </c>
      <c r="D606" t="inlineStr">
        <is>
          <t>KALMAR LÄN</t>
        </is>
      </c>
      <c r="E606" t="inlineStr">
        <is>
          <t>VIMMERBY</t>
        </is>
      </c>
      <c r="G606" t="n">
        <v>7.6</v>
      </c>
      <c r="H606" t="n">
        <v>0</v>
      </c>
      <c r="I606" t="n">
        <v>0</v>
      </c>
      <c r="J606" t="n">
        <v>0</v>
      </c>
      <c r="K606" t="n">
        <v>0</v>
      </c>
      <c r="L606" t="n">
        <v>0</v>
      </c>
      <c r="M606" t="n">
        <v>0</v>
      </c>
      <c r="N606" t="n">
        <v>0</v>
      </c>
      <c r="O606" t="n">
        <v>0</v>
      </c>
      <c r="P606" t="n">
        <v>0</v>
      </c>
      <c r="Q606" t="n">
        <v>0</v>
      </c>
      <c r="R606" s="2" t="inlineStr"/>
    </row>
    <row r="607" ht="15" customHeight="1">
      <c r="A607" t="inlineStr">
        <is>
          <t>A 23095-2023</t>
        </is>
      </c>
      <c r="B607" s="1" t="n">
        <v>45075.43059027778</v>
      </c>
      <c r="C607" s="1" t="n">
        <v>45958</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45958</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52138-2025</t>
        </is>
      </c>
      <c r="B609" s="1" t="n">
        <v>45953</v>
      </c>
      <c r="C609" s="1" t="n">
        <v>45958</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36538-2025</t>
        </is>
      </c>
      <c r="B610" s="1" t="n">
        <v>45869.62276620371</v>
      </c>
      <c r="C610" s="1" t="n">
        <v>45958</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52473-2025</t>
        </is>
      </c>
      <c r="B611" s="1" t="n">
        <v>45954.45947916667</v>
      </c>
      <c r="C611" s="1" t="n">
        <v>45958</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52480-2025</t>
        </is>
      </c>
      <c r="B612" s="1" t="n">
        <v>45954.47172453703</v>
      </c>
      <c r="C612" s="1" t="n">
        <v>45958</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44091-2025</t>
        </is>
      </c>
      <c r="B613" s="1" t="n">
        <v>45915.55950231481</v>
      </c>
      <c r="C613" s="1" t="n">
        <v>45958</v>
      </c>
      <c r="D613" t="inlineStr">
        <is>
          <t>KALMAR LÄN</t>
        </is>
      </c>
      <c r="E613" t="inlineStr">
        <is>
          <t>VIMMERBY</t>
        </is>
      </c>
      <c r="G613" t="n">
        <v>0.8</v>
      </c>
      <c r="H613" t="n">
        <v>0</v>
      </c>
      <c r="I613" t="n">
        <v>0</v>
      </c>
      <c r="J613" t="n">
        <v>0</v>
      </c>
      <c r="K613" t="n">
        <v>0</v>
      </c>
      <c r="L613" t="n">
        <v>0</v>
      </c>
      <c r="M613" t="n">
        <v>0</v>
      </c>
      <c r="N613" t="n">
        <v>0</v>
      </c>
      <c r="O613" t="n">
        <v>0</v>
      </c>
      <c r="P613" t="n">
        <v>0</v>
      </c>
      <c r="Q613" t="n">
        <v>0</v>
      </c>
      <c r="R613" s="2" t="inlineStr"/>
    </row>
    <row r="614" ht="15" customHeight="1">
      <c r="A614" t="inlineStr">
        <is>
          <t>A 11141-2024</t>
        </is>
      </c>
      <c r="B614" s="1" t="n">
        <v>45371.45865740741</v>
      </c>
      <c r="C614" s="1" t="n">
        <v>45958</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28395-2023</t>
        </is>
      </c>
      <c r="B615" s="1" t="n">
        <v>45100.4062962963</v>
      </c>
      <c r="C615" s="1" t="n">
        <v>45958</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52466-2025</t>
        </is>
      </c>
      <c r="B616" s="1" t="n">
        <v>45954.44707175926</v>
      </c>
      <c r="C616" s="1" t="n">
        <v>45958</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36598-2025</t>
        </is>
      </c>
      <c r="B617" s="1" t="n">
        <v>45870.51708333333</v>
      </c>
      <c r="C617" s="1" t="n">
        <v>45958</v>
      </c>
      <c r="D617" t="inlineStr">
        <is>
          <t>KALMAR LÄN</t>
        </is>
      </c>
      <c r="E617" t="inlineStr">
        <is>
          <t>VIMMERBY</t>
        </is>
      </c>
      <c r="G617" t="n">
        <v>3.7</v>
      </c>
      <c r="H617" t="n">
        <v>0</v>
      </c>
      <c r="I617" t="n">
        <v>0</v>
      </c>
      <c r="J617" t="n">
        <v>0</v>
      </c>
      <c r="K617" t="n">
        <v>0</v>
      </c>
      <c r="L617" t="n">
        <v>0</v>
      </c>
      <c r="M617" t="n">
        <v>0</v>
      </c>
      <c r="N617" t="n">
        <v>0</v>
      </c>
      <c r="O617" t="n">
        <v>0</v>
      </c>
      <c r="P617" t="n">
        <v>0</v>
      </c>
      <c r="Q617" t="n">
        <v>0</v>
      </c>
      <c r="R617" s="2" t="inlineStr"/>
    </row>
    <row r="618" ht="15" customHeight="1">
      <c r="A618" t="inlineStr">
        <is>
          <t>A 36602-2025</t>
        </is>
      </c>
      <c r="B618" s="1" t="n">
        <v>45870.52111111111</v>
      </c>
      <c r="C618" s="1" t="n">
        <v>45958</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34597-2022</t>
        </is>
      </c>
      <c r="B619" s="1" t="n">
        <v>44795</v>
      </c>
      <c r="C619" s="1" t="n">
        <v>45958</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52475-2025</t>
        </is>
      </c>
      <c r="B620" s="1" t="n">
        <v>45954.468125</v>
      </c>
      <c r="C620" s="1" t="n">
        <v>45958</v>
      </c>
      <c r="D620" t="inlineStr">
        <is>
          <t>KALMAR LÄN</t>
        </is>
      </c>
      <c r="E620" t="inlineStr">
        <is>
          <t>VIMMERBY</t>
        </is>
      </c>
      <c r="G620" t="n">
        <v>1.5</v>
      </c>
      <c r="H620" t="n">
        <v>0</v>
      </c>
      <c r="I620" t="n">
        <v>0</v>
      </c>
      <c r="J620" t="n">
        <v>0</v>
      </c>
      <c r="K620" t="n">
        <v>0</v>
      </c>
      <c r="L620" t="n">
        <v>0</v>
      </c>
      <c r="M620" t="n">
        <v>0</v>
      </c>
      <c r="N620" t="n">
        <v>0</v>
      </c>
      <c r="O620" t="n">
        <v>0</v>
      </c>
      <c r="P620" t="n">
        <v>0</v>
      </c>
      <c r="Q620" t="n">
        <v>0</v>
      </c>
      <c r="R620" s="2" t="inlineStr"/>
    </row>
    <row r="621" ht="15" customHeight="1">
      <c r="A621" t="inlineStr">
        <is>
          <t>A 64428-2023</t>
        </is>
      </c>
      <c r="B621" s="1" t="n">
        <v>45280.66769675926</v>
      </c>
      <c r="C621" s="1" t="n">
        <v>45958</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2604-2025</t>
        </is>
      </c>
      <c r="B622" s="1" t="n">
        <v>45674.74094907408</v>
      </c>
      <c r="C622" s="1" t="n">
        <v>45958</v>
      </c>
      <c r="D622" t="inlineStr">
        <is>
          <t>KALMAR LÄN</t>
        </is>
      </c>
      <c r="E622" t="inlineStr">
        <is>
          <t>VIMMERBY</t>
        </is>
      </c>
      <c r="G622" t="n">
        <v>7.6</v>
      </c>
      <c r="H622" t="n">
        <v>0</v>
      </c>
      <c r="I622" t="n">
        <v>0</v>
      </c>
      <c r="J622" t="n">
        <v>0</v>
      </c>
      <c r="K622" t="n">
        <v>0</v>
      </c>
      <c r="L622" t="n">
        <v>0</v>
      </c>
      <c r="M622" t="n">
        <v>0</v>
      </c>
      <c r="N622" t="n">
        <v>0</v>
      </c>
      <c r="O622" t="n">
        <v>0</v>
      </c>
      <c r="P622" t="n">
        <v>0</v>
      </c>
      <c r="Q622" t="n">
        <v>0</v>
      </c>
      <c r="R622" s="2" t="inlineStr"/>
    </row>
    <row r="623" ht="15" customHeight="1">
      <c r="A623" t="inlineStr">
        <is>
          <t>A 36603-2025</t>
        </is>
      </c>
      <c r="B623" s="1" t="n">
        <v>45870.52142361111</v>
      </c>
      <c r="C623" s="1" t="n">
        <v>45958</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30588-2023</t>
        </is>
      </c>
      <c r="B624" s="1" t="n">
        <v>45112.33599537037</v>
      </c>
      <c r="C624" s="1" t="n">
        <v>45958</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30503-2023</t>
        </is>
      </c>
      <c r="B625" s="1" t="n">
        <v>45111</v>
      </c>
      <c r="C625" s="1" t="n">
        <v>45958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36600-2025</t>
        </is>
      </c>
      <c r="B626" s="1" t="n">
        <v>45870.51958333333</v>
      </c>
      <c r="C626" s="1" t="n">
        <v>45958</v>
      </c>
      <c r="D626" t="inlineStr">
        <is>
          <t>KALMAR LÄN</t>
        </is>
      </c>
      <c r="E626" t="inlineStr">
        <is>
          <t>VIMMERBY</t>
        </is>
      </c>
      <c r="G626" t="n">
        <v>2</v>
      </c>
      <c r="H626" t="n">
        <v>0</v>
      </c>
      <c r="I626" t="n">
        <v>0</v>
      </c>
      <c r="J626" t="n">
        <v>0</v>
      </c>
      <c r="K626" t="n">
        <v>0</v>
      </c>
      <c r="L626" t="n">
        <v>0</v>
      </c>
      <c r="M626" t="n">
        <v>0</v>
      </c>
      <c r="N626" t="n">
        <v>0</v>
      </c>
      <c r="O626" t="n">
        <v>0</v>
      </c>
      <c r="P626" t="n">
        <v>0</v>
      </c>
      <c r="Q626" t="n">
        <v>0</v>
      </c>
      <c r="R626" s="2" t="inlineStr"/>
    </row>
    <row r="627" ht="15" customHeight="1">
      <c r="A627" t="inlineStr">
        <is>
          <t>A 36601-2025</t>
        </is>
      </c>
      <c r="B627" s="1" t="n">
        <v>45870.52005787037</v>
      </c>
      <c r="C627" s="1" t="n">
        <v>45958</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52465-2025</t>
        </is>
      </c>
      <c r="B628" s="1" t="n">
        <v>45954.44543981482</v>
      </c>
      <c r="C628" s="1" t="n">
        <v>45958</v>
      </c>
      <c r="D628" t="inlineStr">
        <is>
          <t>KALMAR LÄN</t>
        </is>
      </c>
      <c r="E628" t="inlineStr">
        <is>
          <t>VIMMERBY</t>
        </is>
      </c>
      <c r="G628" t="n">
        <v>0.9</v>
      </c>
      <c r="H628" t="n">
        <v>0</v>
      </c>
      <c r="I628" t="n">
        <v>0</v>
      </c>
      <c r="J628" t="n">
        <v>0</v>
      </c>
      <c r="K628" t="n">
        <v>0</v>
      </c>
      <c r="L628" t="n">
        <v>0</v>
      </c>
      <c r="M628" t="n">
        <v>0</v>
      </c>
      <c r="N628" t="n">
        <v>0</v>
      </c>
      <c r="O628" t="n">
        <v>0</v>
      </c>
      <c r="P628" t="n">
        <v>0</v>
      </c>
      <c r="Q628" t="n">
        <v>0</v>
      </c>
      <c r="R628" s="2" t="inlineStr"/>
    </row>
    <row r="629" ht="15" customHeight="1">
      <c r="A629" t="inlineStr">
        <is>
          <t>A 52516-2025</t>
        </is>
      </c>
      <c r="B629" s="1" t="n">
        <v>45954.51412037037</v>
      </c>
      <c r="C629" s="1" t="n">
        <v>45958</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44742-2025</t>
        </is>
      </c>
      <c r="B630" s="1" t="n">
        <v>45917.67054398148</v>
      </c>
      <c r="C630" s="1" t="n">
        <v>45958</v>
      </c>
      <c r="D630" t="inlineStr">
        <is>
          <t>KALMAR LÄN</t>
        </is>
      </c>
      <c r="E630" t="inlineStr">
        <is>
          <t>VIMMERBY</t>
        </is>
      </c>
      <c r="G630" t="n">
        <v>4.7</v>
      </c>
      <c r="H630" t="n">
        <v>0</v>
      </c>
      <c r="I630" t="n">
        <v>0</v>
      </c>
      <c r="J630" t="n">
        <v>0</v>
      </c>
      <c r="K630" t="n">
        <v>0</v>
      </c>
      <c r="L630" t="n">
        <v>0</v>
      </c>
      <c r="M630" t="n">
        <v>0</v>
      </c>
      <c r="N630" t="n">
        <v>0</v>
      </c>
      <c r="O630" t="n">
        <v>0</v>
      </c>
      <c r="P630" t="n">
        <v>0</v>
      </c>
      <c r="Q630" t="n">
        <v>0</v>
      </c>
      <c r="R630" s="2" t="inlineStr"/>
    </row>
    <row r="631" ht="15" customHeight="1">
      <c r="A631" t="inlineStr">
        <is>
          <t>A 47263-2023</t>
        </is>
      </c>
      <c r="B631" s="1" t="n">
        <v>45202.4209837963</v>
      </c>
      <c r="C631" s="1" t="n">
        <v>45958</v>
      </c>
      <c r="D631" t="inlineStr">
        <is>
          <t>KALMAR LÄN</t>
        </is>
      </c>
      <c r="E631" t="inlineStr">
        <is>
          <t>VIMMERBY</t>
        </is>
      </c>
      <c r="G631" t="n">
        <v>1.8</v>
      </c>
      <c r="H631" t="n">
        <v>0</v>
      </c>
      <c r="I631" t="n">
        <v>0</v>
      </c>
      <c r="J631" t="n">
        <v>0</v>
      </c>
      <c r="K631" t="n">
        <v>0</v>
      </c>
      <c r="L631" t="n">
        <v>0</v>
      </c>
      <c r="M631" t="n">
        <v>0</v>
      </c>
      <c r="N631" t="n">
        <v>0</v>
      </c>
      <c r="O631" t="n">
        <v>0</v>
      </c>
      <c r="P631" t="n">
        <v>0</v>
      </c>
      <c r="Q631" t="n">
        <v>0</v>
      </c>
      <c r="R631" s="2" t="inlineStr"/>
    </row>
    <row r="632" ht="15" customHeight="1">
      <c r="A632" t="inlineStr">
        <is>
          <t>A 37192-2024</t>
        </is>
      </c>
      <c r="B632" s="1" t="n">
        <v>45539.66027777778</v>
      </c>
      <c r="C632" s="1" t="n">
        <v>45958</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58100-2024</t>
        </is>
      </c>
      <c r="B633" s="1" t="n">
        <v>45632.36706018518</v>
      </c>
      <c r="C633" s="1" t="n">
        <v>45958</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37088-2025</t>
        </is>
      </c>
      <c r="B634" s="1" t="n">
        <v>45875.45716435185</v>
      </c>
      <c r="C634" s="1" t="n">
        <v>45958</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37102-2025</t>
        </is>
      </c>
      <c r="B635" s="1" t="n">
        <v>45875.47454861111</v>
      </c>
      <c r="C635" s="1" t="n">
        <v>45958</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58159-2024</t>
        </is>
      </c>
      <c r="B636" s="1" t="n">
        <v>45632.44886574074</v>
      </c>
      <c r="C636" s="1" t="n">
        <v>45958</v>
      </c>
      <c r="D636" t="inlineStr">
        <is>
          <t>KALMAR LÄN</t>
        </is>
      </c>
      <c r="E636" t="inlineStr">
        <is>
          <t>VIMMERBY</t>
        </is>
      </c>
      <c r="G636" t="n">
        <v>7.5</v>
      </c>
      <c r="H636" t="n">
        <v>0</v>
      </c>
      <c r="I636" t="n">
        <v>0</v>
      </c>
      <c r="J636" t="n">
        <v>0</v>
      </c>
      <c r="K636" t="n">
        <v>0</v>
      </c>
      <c r="L636" t="n">
        <v>0</v>
      </c>
      <c r="M636" t="n">
        <v>0</v>
      </c>
      <c r="N636" t="n">
        <v>0</v>
      </c>
      <c r="O636" t="n">
        <v>0</v>
      </c>
      <c r="P636" t="n">
        <v>0</v>
      </c>
      <c r="Q636" t="n">
        <v>0</v>
      </c>
      <c r="R636" s="2" t="inlineStr"/>
    </row>
    <row r="637" ht="15" customHeight="1">
      <c r="A637" t="inlineStr">
        <is>
          <t>A 57114-2023</t>
        </is>
      </c>
      <c r="B637" s="1" t="n">
        <v>45245.36174768519</v>
      </c>
      <c r="C637" s="1" t="n">
        <v>45958</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42429-2024</t>
        </is>
      </c>
      <c r="B638" s="1" t="n">
        <v>45565.40657407408</v>
      </c>
      <c r="C638" s="1" t="n">
        <v>45958</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37079-2025</t>
        </is>
      </c>
      <c r="B639" s="1" t="n">
        <v>45875.42716435185</v>
      </c>
      <c r="C639" s="1" t="n">
        <v>45958</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3423-2022</t>
        </is>
      </c>
      <c r="B640" s="1" t="n">
        <v>44585.50431712963</v>
      </c>
      <c r="C640" s="1" t="n">
        <v>45958</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40665-2023</t>
        </is>
      </c>
      <c r="B641" s="1" t="n">
        <v>45170</v>
      </c>
      <c r="C641" s="1" t="n">
        <v>45958</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29180-2024</t>
        </is>
      </c>
      <c r="B642" s="1" t="n">
        <v>45482.54108796296</v>
      </c>
      <c r="C642" s="1" t="n">
        <v>45958</v>
      </c>
      <c r="D642" t="inlineStr">
        <is>
          <t>KALMAR LÄN</t>
        </is>
      </c>
      <c r="E642" t="inlineStr">
        <is>
          <t>VIMMERBY</t>
        </is>
      </c>
      <c r="G642" t="n">
        <v>3.8</v>
      </c>
      <c r="H642" t="n">
        <v>0</v>
      </c>
      <c r="I642" t="n">
        <v>0</v>
      </c>
      <c r="J642" t="n">
        <v>0</v>
      </c>
      <c r="K642" t="n">
        <v>0</v>
      </c>
      <c r="L642" t="n">
        <v>0</v>
      </c>
      <c r="M642" t="n">
        <v>0</v>
      </c>
      <c r="N642" t="n">
        <v>0</v>
      </c>
      <c r="O642" t="n">
        <v>0</v>
      </c>
      <c r="P642" t="n">
        <v>0</v>
      </c>
      <c r="Q642" t="n">
        <v>0</v>
      </c>
      <c r="R642" s="2" t="inlineStr"/>
    </row>
    <row r="643" ht="15" customHeight="1">
      <c r="A643" t="inlineStr">
        <is>
          <t>A 44329-2025</t>
        </is>
      </c>
      <c r="B643" s="1" t="n">
        <v>45916.41019675926</v>
      </c>
      <c r="C643" s="1" t="n">
        <v>45958</v>
      </c>
      <c r="D643" t="inlineStr">
        <is>
          <t>KALMAR LÄN</t>
        </is>
      </c>
      <c r="E643" t="inlineStr">
        <is>
          <t>VIMMERBY</t>
        </is>
      </c>
      <c r="G643" t="n">
        <v>4.3</v>
      </c>
      <c r="H643" t="n">
        <v>0</v>
      </c>
      <c r="I643" t="n">
        <v>0</v>
      </c>
      <c r="J643" t="n">
        <v>0</v>
      </c>
      <c r="K643" t="n">
        <v>0</v>
      </c>
      <c r="L643" t="n">
        <v>0</v>
      </c>
      <c r="M643" t="n">
        <v>0</v>
      </c>
      <c r="N643" t="n">
        <v>0</v>
      </c>
      <c r="O643" t="n">
        <v>0</v>
      </c>
      <c r="P643" t="n">
        <v>0</v>
      </c>
      <c r="Q643" t="n">
        <v>0</v>
      </c>
      <c r="R643" s="2" t="inlineStr"/>
    </row>
    <row r="644" ht="15" customHeight="1">
      <c r="A644" t="inlineStr">
        <is>
          <t>A 44517-2025</t>
        </is>
      </c>
      <c r="B644" s="1" t="n">
        <v>45916.7103587963</v>
      </c>
      <c r="C644" s="1" t="n">
        <v>45958</v>
      </c>
      <c r="D644" t="inlineStr">
        <is>
          <t>KALMAR LÄN</t>
        </is>
      </c>
      <c r="E644" t="inlineStr">
        <is>
          <t>VIMMERBY</t>
        </is>
      </c>
      <c r="G644" t="n">
        <v>0.9</v>
      </c>
      <c r="H644" t="n">
        <v>0</v>
      </c>
      <c r="I644" t="n">
        <v>0</v>
      </c>
      <c r="J644" t="n">
        <v>0</v>
      </c>
      <c r="K644" t="n">
        <v>0</v>
      </c>
      <c r="L644" t="n">
        <v>0</v>
      </c>
      <c r="M644" t="n">
        <v>0</v>
      </c>
      <c r="N644" t="n">
        <v>0</v>
      </c>
      <c r="O644" t="n">
        <v>0</v>
      </c>
      <c r="P644" t="n">
        <v>0</v>
      </c>
      <c r="Q644" t="n">
        <v>0</v>
      </c>
      <c r="R644" s="2" t="inlineStr"/>
    </row>
    <row r="645" ht="15" customHeight="1">
      <c r="A645" t="inlineStr">
        <is>
          <t>A 36934-2025</t>
        </is>
      </c>
      <c r="B645" s="1" t="n">
        <v>45874.57109953704</v>
      </c>
      <c r="C645" s="1" t="n">
        <v>45958</v>
      </c>
      <c r="D645" t="inlineStr">
        <is>
          <t>KALMAR LÄN</t>
        </is>
      </c>
      <c r="E645" t="inlineStr">
        <is>
          <t>VIMMERBY</t>
        </is>
      </c>
      <c r="G645" t="n">
        <v>4.2</v>
      </c>
      <c r="H645" t="n">
        <v>0</v>
      </c>
      <c r="I645" t="n">
        <v>0</v>
      </c>
      <c r="J645" t="n">
        <v>0</v>
      </c>
      <c r="K645" t="n">
        <v>0</v>
      </c>
      <c r="L645" t="n">
        <v>0</v>
      </c>
      <c r="M645" t="n">
        <v>0</v>
      </c>
      <c r="N645" t="n">
        <v>0</v>
      </c>
      <c r="O645" t="n">
        <v>0</v>
      </c>
      <c r="P645" t="n">
        <v>0</v>
      </c>
      <c r="Q645" t="n">
        <v>0</v>
      </c>
      <c r="R645" s="2" t="inlineStr"/>
    </row>
    <row r="646" ht="15" customHeight="1">
      <c r="A646" t="inlineStr">
        <is>
          <t>A 45846-2023</t>
        </is>
      </c>
      <c r="B646" s="1" t="n">
        <v>45195.58452546296</v>
      </c>
      <c r="C646" s="1" t="n">
        <v>45958</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16020-2023</t>
        </is>
      </c>
      <c r="B647" s="1" t="n">
        <v>45026.82216435186</v>
      </c>
      <c r="C647" s="1" t="n">
        <v>45958</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45114-2025</t>
        </is>
      </c>
      <c r="B648" s="1" t="n">
        <v>45919.42387731482</v>
      </c>
      <c r="C648" s="1" t="n">
        <v>45958</v>
      </c>
      <c r="D648" t="inlineStr">
        <is>
          <t>KALMAR LÄN</t>
        </is>
      </c>
      <c r="E648" t="inlineStr">
        <is>
          <t>VIMMERBY</t>
        </is>
      </c>
      <c r="G648" t="n">
        <v>2.7</v>
      </c>
      <c r="H648" t="n">
        <v>0</v>
      </c>
      <c r="I648" t="n">
        <v>0</v>
      </c>
      <c r="J648" t="n">
        <v>0</v>
      </c>
      <c r="K648" t="n">
        <v>0</v>
      </c>
      <c r="L648" t="n">
        <v>0</v>
      </c>
      <c r="M648" t="n">
        <v>0</v>
      </c>
      <c r="N648" t="n">
        <v>0</v>
      </c>
      <c r="O648" t="n">
        <v>0</v>
      </c>
      <c r="P648" t="n">
        <v>0</v>
      </c>
      <c r="Q648" t="n">
        <v>0</v>
      </c>
      <c r="R648" s="2" t="inlineStr"/>
    </row>
    <row r="649" ht="15" customHeight="1">
      <c r="A649" t="inlineStr">
        <is>
          <t>A 50860-2022</t>
        </is>
      </c>
      <c r="B649" s="1" t="n">
        <v>44867</v>
      </c>
      <c r="C649" s="1" t="n">
        <v>45958</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61820-2023</t>
        </is>
      </c>
      <c r="B650" s="1" t="n">
        <v>45266.32614583334</v>
      </c>
      <c r="C650" s="1" t="n">
        <v>45958</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25370-2022</t>
        </is>
      </c>
      <c r="B651" s="1" t="n">
        <v>44732.3659837963</v>
      </c>
      <c r="C651" s="1" t="n">
        <v>45958</v>
      </c>
      <c r="D651" t="inlineStr">
        <is>
          <t>KALMAR LÄN</t>
        </is>
      </c>
      <c r="E651" t="inlineStr">
        <is>
          <t>VIMMERBY</t>
        </is>
      </c>
      <c r="G651" t="n">
        <v>1.2</v>
      </c>
      <c r="H651" t="n">
        <v>0</v>
      </c>
      <c r="I651" t="n">
        <v>0</v>
      </c>
      <c r="J651" t="n">
        <v>0</v>
      </c>
      <c r="K651" t="n">
        <v>0</v>
      </c>
      <c r="L651" t="n">
        <v>0</v>
      </c>
      <c r="M651" t="n">
        <v>0</v>
      </c>
      <c r="N651" t="n">
        <v>0</v>
      </c>
      <c r="O651" t="n">
        <v>0</v>
      </c>
      <c r="P651" t="n">
        <v>0</v>
      </c>
      <c r="Q651" t="n">
        <v>0</v>
      </c>
      <c r="R651" s="2" t="inlineStr"/>
    </row>
    <row r="652" ht="15" customHeight="1">
      <c r="A652" t="inlineStr">
        <is>
          <t>A 58577-2024</t>
        </is>
      </c>
      <c r="B652" s="1" t="n">
        <v>45635.4874537037</v>
      </c>
      <c r="C652" s="1" t="n">
        <v>45958</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29440-2024</t>
        </is>
      </c>
      <c r="B653" s="1" t="n">
        <v>45483.82479166667</v>
      </c>
      <c r="C653" s="1" t="n">
        <v>45958</v>
      </c>
      <c r="D653" t="inlineStr">
        <is>
          <t>KALMAR LÄN</t>
        </is>
      </c>
      <c r="E653" t="inlineStr">
        <is>
          <t>VIMMERBY</t>
        </is>
      </c>
      <c r="G653" t="n">
        <v>4.5</v>
      </c>
      <c r="H653" t="n">
        <v>0</v>
      </c>
      <c r="I653" t="n">
        <v>0</v>
      </c>
      <c r="J653" t="n">
        <v>0</v>
      </c>
      <c r="K653" t="n">
        <v>0</v>
      </c>
      <c r="L653" t="n">
        <v>0</v>
      </c>
      <c r="M653" t="n">
        <v>0</v>
      </c>
      <c r="N653" t="n">
        <v>0</v>
      </c>
      <c r="O653" t="n">
        <v>0</v>
      </c>
      <c r="P653" t="n">
        <v>0</v>
      </c>
      <c r="Q653" t="n">
        <v>0</v>
      </c>
      <c r="R653" s="2" t="inlineStr"/>
    </row>
    <row r="654" ht="15" customHeight="1">
      <c r="A654" t="inlineStr">
        <is>
          <t>A 37578-2025</t>
        </is>
      </c>
      <c r="B654" s="1" t="n">
        <v>45880.38380787037</v>
      </c>
      <c r="C654" s="1" t="n">
        <v>45958</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45319-2025</t>
        </is>
      </c>
      <c r="B655" s="1" t="n">
        <v>45921.95611111111</v>
      </c>
      <c r="C655" s="1" t="n">
        <v>45958</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9129-2025</t>
        </is>
      </c>
      <c r="B656" s="1" t="n">
        <v>45713.92412037037</v>
      </c>
      <c r="C656" s="1" t="n">
        <v>45958</v>
      </c>
      <c r="D656" t="inlineStr">
        <is>
          <t>KALMAR LÄN</t>
        </is>
      </c>
      <c r="E656" t="inlineStr">
        <is>
          <t>VIMMERBY</t>
        </is>
      </c>
      <c r="G656" t="n">
        <v>2.8</v>
      </c>
      <c r="H656" t="n">
        <v>0</v>
      </c>
      <c r="I656" t="n">
        <v>0</v>
      </c>
      <c r="J656" t="n">
        <v>0</v>
      </c>
      <c r="K656" t="n">
        <v>0</v>
      </c>
      <c r="L656" t="n">
        <v>0</v>
      </c>
      <c r="M656" t="n">
        <v>0</v>
      </c>
      <c r="N656" t="n">
        <v>0</v>
      </c>
      <c r="O656" t="n">
        <v>0</v>
      </c>
      <c r="P656" t="n">
        <v>0</v>
      </c>
      <c r="Q656" t="n">
        <v>0</v>
      </c>
      <c r="R656" s="2" t="inlineStr"/>
    </row>
    <row r="657" ht="15" customHeight="1">
      <c r="A657" t="inlineStr">
        <is>
          <t>A 22197-2024</t>
        </is>
      </c>
      <c r="B657" s="1" t="n">
        <v>45446.36774305555</v>
      </c>
      <c r="C657" s="1" t="n">
        <v>45958</v>
      </c>
      <c r="D657" t="inlineStr">
        <is>
          <t>KALMAR LÄN</t>
        </is>
      </c>
      <c r="E657" t="inlineStr">
        <is>
          <t>VIMMERBY</t>
        </is>
      </c>
      <c r="F657" t="inlineStr">
        <is>
          <t>Sveaskog</t>
        </is>
      </c>
      <c r="G657" t="n">
        <v>3.2</v>
      </c>
      <c r="H657" t="n">
        <v>0</v>
      </c>
      <c r="I657" t="n">
        <v>0</v>
      </c>
      <c r="J657" t="n">
        <v>0</v>
      </c>
      <c r="K657" t="n">
        <v>0</v>
      </c>
      <c r="L657" t="n">
        <v>0</v>
      </c>
      <c r="M657" t="n">
        <v>0</v>
      </c>
      <c r="N657" t="n">
        <v>0</v>
      </c>
      <c r="O657" t="n">
        <v>0</v>
      </c>
      <c r="P657" t="n">
        <v>0</v>
      </c>
      <c r="Q657" t="n">
        <v>0</v>
      </c>
      <c r="R657" s="2" t="inlineStr"/>
    </row>
    <row r="658" ht="15" customHeight="1">
      <c r="A658" t="inlineStr">
        <is>
          <t>A 53752-2024</t>
        </is>
      </c>
      <c r="B658" s="1" t="n">
        <v>45615.48927083334</v>
      </c>
      <c r="C658" s="1" t="n">
        <v>45958</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45560-2021</t>
        </is>
      </c>
      <c r="B659" s="1" t="n">
        <v>44440</v>
      </c>
      <c r="C659" s="1" t="n">
        <v>45958</v>
      </c>
      <c r="D659" t="inlineStr">
        <is>
          <t>KALMAR LÄN</t>
        </is>
      </c>
      <c r="E659" t="inlineStr">
        <is>
          <t>VIMMERBY</t>
        </is>
      </c>
      <c r="G659" t="n">
        <v>1.3</v>
      </c>
      <c r="H659" t="n">
        <v>0</v>
      </c>
      <c r="I659" t="n">
        <v>0</v>
      </c>
      <c r="J659" t="n">
        <v>0</v>
      </c>
      <c r="K659" t="n">
        <v>0</v>
      </c>
      <c r="L659" t="n">
        <v>0</v>
      </c>
      <c r="M659" t="n">
        <v>0</v>
      </c>
      <c r="N659" t="n">
        <v>0</v>
      </c>
      <c r="O659" t="n">
        <v>0</v>
      </c>
      <c r="P659" t="n">
        <v>0</v>
      </c>
      <c r="Q659" t="n">
        <v>0</v>
      </c>
      <c r="R659" s="2" t="inlineStr"/>
    </row>
    <row r="660" ht="15" customHeight="1">
      <c r="A660" t="inlineStr">
        <is>
          <t>A 45320-2025</t>
        </is>
      </c>
      <c r="B660" s="1" t="n">
        <v>45921.96395833333</v>
      </c>
      <c r="C660" s="1" t="n">
        <v>45958</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40256-2024</t>
        </is>
      </c>
      <c r="B661" s="1" t="n">
        <v>45554.62944444444</v>
      </c>
      <c r="C661" s="1" t="n">
        <v>45958</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58104-2024</t>
        </is>
      </c>
      <c r="B662" s="1" t="n">
        <v>45632.37459490741</v>
      </c>
      <c r="C662" s="1" t="n">
        <v>45958</v>
      </c>
      <c r="D662" t="inlineStr">
        <is>
          <t>KALMAR LÄN</t>
        </is>
      </c>
      <c r="E662" t="inlineStr">
        <is>
          <t>VIMMERBY</t>
        </is>
      </c>
      <c r="G662" t="n">
        <v>5</v>
      </c>
      <c r="H662" t="n">
        <v>0</v>
      </c>
      <c r="I662" t="n">
        <v>0</v>
      </c>
      <c r="J662" t="n">
        <v>0</v>
      </c>
      <c r="K662" t="n">
        <v>0</v>
      </c>
      <c r="L662" t="n">
        <v>0</v>
      </c>
      <c r="M662" t="n">
        <v>0</v>
      </c>
      <c r="N662" t="n">
        <v>0</v>
      </c>
      <c r="O662" t="n">
        <v>0</v>
      </c>
      <c r="P662" t="n">
        <v>0</v>
      </c>
      <c r="Q662" t="n">
        <v>0</v>
      </c>
      <c r="R662" s="2" t="inlineStr"/>
    </row>
    <row r="663" ht="15" customHeight="1">
      <c r="A663" t="inlineStr">
        <is>
          <t>A 12121-2025</t>
        </is>
      </c>
      <c r="B663" s="1" t="n">
        <v>45729.36868055556</v>
      </c>
      <c r="C663" s="1" t="n">
        <v>45958</v>
      </c>
      <c r="D663" t="inlineStr">
        <is>
          <t>KALMAR LÄN</t>
        </is>
      </c>
      <c r="E663" t="inlineStr">
        <is>
          <t>VIMMERBY</t>
        </is>
      </c>
      <c r="G663" t="n">
        <v>4.3</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44803.59118055556</v>
      </c>
      <c r="C664" s="1" t="n">
        <v>45958</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43034-2024</t>
        </is>
      </c>
      <c r="B665" s="1" t="n">
        <v>45567.42011574074</v>
      </c>
      <c r="C665" s="1" t="n">
        <v>45958</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37668-2025</t>
        </is>
      </c>
      <c r="B666" s="1" t="n">
        <v>45880.51550925926</v>
      </c>
      <c r="C666" s="1" t="n">
        <v>45958</v>
      </c>
      <c r="D666" t="inlineStr">
        <is>
          <t>KALMAR LÄN</t>
        </is>
      </c>
      <c r="E666" t="inlineStr">
        <is>
          <t>VIMMERBY</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3902-2022</t>
        </is>
      </c>
      <c r="B667" s="1" t="n">
        <v>44587.48847222222</v>
      </c>
      <c r="C667" s="1" t="n">
        <v>45958</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9710-2023</t>
        </is>
      </c>
      <c r="B668" s="1" t="n">
        <v>44984</v>
      </c>
      <c r="C668" s="1" t="n">
        <v>45958</v>
      </c>
      <c r="D668" t="inlineStr">
        <is>
          <t>KALMAR LÄN</t>
        </is>
      </c>
      <c r="E668" t="inlineStr">
        <is>
          <t>VIMMERBY</t>
        </is>
      </c>
      <c r="G668" t="n">
        <v>3.7</v>
      </c>
      <c r="H668" t="n">
        <v>0</v>
      </c>
      <c r="I668" t="n">
        <v>0</v>
      </c>
      <c r="J668" t="n">
        <v>0</v>
      </c>
      <c r="K668" t="n">
        <v>0</v>
      </c>
      <c r="L668" t="n">
        <v>0</v>
      </c>
      <c r="M668" t="n">
        <v>0</v>
      </c>
      <c r="N668" t="n">
        <v>0</v>
      </c>
      <c r="O668" t="n">
        <v>0</v>
      </c>
      <c r="P668" t="n">
        <v>0</v>
      </c>
      <c r="Q668" t="n">
        <v>0</v>
      </c>
      <c r="R668" s="2" t="inlineStr"/>
    </row>
    <row r="669" ht="15" customHeight="1">
      <c r="A669" t="inlineStr">
        <is>
          <t>A 9720-2023</t>
        </is>
      </c>
      <c r="B669" s="1" t="n">
        <v>44984</v>
      </c>
      <c r="C669" s="1" t="n">
        <v>45958</v>
      </c>
      <c r="D669" t="inlineStr">
        <is>
          <t>KALMAR LÄN</t>
        </is>
      </c>
      <c r="E669" t="inlineStr">
        <is>
          <t>VIMMERBY</t>
        </is>
      </c>
      <c r="G669" t="n">
        <v>4.4</v>
      </c>
      <c r="H669" t="n">
        <v>0</v>
      </c>
      <c r="I669" t="n">
        <v>0</v>
      </c>
      <c r="J669" t="n">
        <v>0</v>
      </c>
      <c r="K669" t="n">
        <v>0</v>
      </c>
      <c r="L669" t="n">
        <v>0</v>
      </c>
      <c r="M669" t="n">
        <v>0</v>
      </c>
      <c r="N669" t="n">
        <v>0</v>
      </c>
      <c r="O669" t="n">
        <v>0</v>
      </c>
      <c r="P669" t="n">
        <v>0</v>
      </c>
      <c r="Q669" t="n">
        <v>0</v>
      </c>
      <c r="R669" s="2" t="inlineStr"/>
    </row>
    <row r="670" ht="15" customHeight="1">
      <c r="A670" t="inlineStr">
        <is>
          <t>A 30070-2023</t>
        </is>
      </c>
      <c r="B670" s="1" t="n">
        <v>45110.4275</v>
      </c>
      <c r="C670" s="1" t="n">
        <v>45958</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15493-2023</t>
        </is>
      </c>
      <c r="B671" s="1" t="n">
        <v>45018</v>
      </c>
      <c r="C671" s="1" t="n">
        <v>45958</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46118-2025</t>
        </is>
      </c>
      <c r="B672" s="1" t="n">
        <v>45924.57697916667</v>
      </c>
      <c r="C672" s="1" t="n">
        <v>45958</v>
      </c>
      <c r="D672" t="inlineStr">
        <is>
          <t>KALMAR LÄN</t>
        </is>
      </c>
      <c r="E672" t="inlineStr">
        <is>
          <t>VIMMERBY</t>
        </is>
      </c>
      <c r="G672" t="n">
        <v>2.9</v>
      </c>
      <c r="H672" t="n">
        <v>0</v>
      </c>
      <c r="I672" t="n">
        <v>0</v>
      </c>
      <c r="J672" t="n">
        <v>0</v>
      </c>
      <c r="K672" t="n">
        <v>0</v>
      </c>
      <c r="L672" t="n">
        <v>0</v>
      </c>
      <c r="M672" t="n">
        <v>0</v>
      </c>
      <c r="N672" t="n">
        <v>0</v>
      </c>
      <c r="O672" t="n">
        <v>0</v>
      </c>
      <c r="P672" t="n">
        <v>0</v>
      </c>
      <c r="Q672" t="n">
        <v>0</v>
      </c>
      <c r="R672" s="2" t="inlineStr"/>
    </row>
    <row r="673" ht="15" customHeight="1">
      <c r="A673" t="inlineStr">
        <is>
          <t>A 37939-2025</t>
        </is>
      </c>
      <c r="B673" s="1" t="n">
        <v>45881.59877314815</v>
      </c>
      <c r="C673" s="1" t="n">
        <v>45958</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37866-2025</t>
        </is>
      </c>
      <c r="B674" s="1" t="n">
        <v>45881</v>
      </c>
      <c r="C674" s="1" t="n">
        <v>45958</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46361-2025</t>
        </is>
      </c>
      <c r="B675" s="1" t="n">
        <v>45925.49670138889</v>
      </c>
      <c r="C675" s="1" t="n">
        <v>45958</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31209-2024</t>
        </is>
      </c>
      <c r="B676" s="1" t="n">
        <v>45503.5658912037</v>
      </c>
      <c r="C676" s="1" t="n">
        <v>45958</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4527-2023</t>
        </is>
      </c>
      <c r="B677" s="1" t="n">
        <v>44956</v>
      </c>
      <c r="C677" s="1" t="n">
        <v>45958</v>
      </c>
      <c r="D677" t="inlineStr">
        <is>
          <t>KALMAR LÄN</t>
        </is>
      </c>
      <c r="E677" t="inlineStr">
        <is>
          <t>VIMMERBY</t>
        </is>
      </c>
      <c r="F677" t="inlineStr">
        <is>
          <t>Kommuner</t>
        </is>
      </c>
      <c r="G677" t="n">
        <v>8.5</v>
      </c>
      <c r="H677" t="n">
        <v>0</v>
      </c>
      <c r="I677" t="n">
        <v>0</v>
      </c>
      <c r="J677" t="n">
        <v>0</v>
      </c>
      <c r="K677" t="n">
        <v>0</v>
      </c>
      <c r="L677" t="n">
        <v>0</v>
      </c>
      <c r="M677" t="n">
        <v>0</v>
      </c>
      <c r="N677" t="n">
        <v>0</v>
      </c>
      <c r="O677" t="n">
        <v>0</v>
      </c>
      <c r="P677" t="n">
        <v>0</v>
      </c>
      <c r="Q677" t="n">
        <v>0</v>
      </c>
      <c r="R677" s="2" t="inlineStr"/>
    </row>
    <row r="678" ht="15" customHeight="1">
      <c r="A678" t="inlineStr">
        <is>
          <t>A 12586-2021</t>
        </is>
      </c>
      <c r="B678" s="1" t="n">
        <v>44270.38002314815</v>
      </c>
      <c r="C678" s="1" t="n">
        <v>45958</v>
      </c>
      <c r="D678" t="inlineStr">
        <is>
          <t>KALMAR LÄN</t>
        </is>
      </c>
      <c r="E678" t="inlineStr">
        <is>
          <t>VIMMERBY</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5864-2022</t>
        </is>
      </c>
      <c r="B679" s="1" t="n">
        <v>44596</v>
      </c>
      <c r="C679" s="1" t="n">
        <v>45958</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29093-2023</t>
        </is>
      </c>
      <c r="B680" s="1" t="n">
        <v>45105</v>
      </c>
      <c r="C680" s="1" t="n">
        <v>45958</v>
      </c>
      <c r="D680" t="inlineStr">
        <is>
          <t>KALMAR LÄN</t>
        </is>
      </c>
      <c r="E680" t="inlineStr">
        <is>
          <t>VIMMERBY</t>
        </is>
      </c>
      <c r="G680" t="n">
        <v>2.9</v>
      </c>
      <c r="H680" t="n">
        <v>0</v>
      </c>
      <c r="I680" t="n">
        <v>0</v>
      </c>
      <c r="J680" t="n">
        <v>0</v>
      </c>
      <c r="K680" t="n">
        <v>0</v>
      </c>
      <c r="L680" t="n">
        <v>0</v>
      </c>
      <c r="M680" t="n">
        <v>0</v>
      </c>
      <c r="N680" t="n">
        <v>0</v>
      </c>
      <c r="O680" t="n">
        <v>0</v>
      </c>
      <c r="P680" t="n">
        <v>0</v>
      </c>
      <c r="Q680" t="n">
        <v>0</v>
      </c>
      <c r="R680" s="2" t="inlineStr"/>
    </row>
    <row r="681" ht="15" customHeight="1">
      <c r="A681" t="inlineStr">
        <is>
          <t>A 33352-2022</t>
        </is>
      </c>
      <c r="B681" s="1" t="n">
        <v>44788</v>
      </c>
      <c r="C681" s="1" t="n">
        <v>45958</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46365-2025</t>
        </is>
      </c>
      <c r="B682" s="1" t="n">
        <v>45925.50075231482</v>
      </c>
      <c r="C682" s="1" t="n">
        <v>45958</v>
      </c>
      <c r="D682" t="inlineStr">
        <is>
          <t>KALMAR LÄN</t>
        </is>
      </c>
      <c r="E682" t="inlineStr">
        <is>
          <t>VIMMERBY</t>
        </is>
      </c>
      <c r="G682" t="n">
        <v>5.6</v>
      </c>
      <c r="H682" t="n">
        <v>0</v>
      </c>
      <c r="I682" t="n">
        <v>0</v>
      </c>
      <c r="J682" t="n">
        <v>0</v>
      </c>
      <c r="K682" t="n">
        <v>0</v>
      </c>
      <c r="L682" t="n">
        <v>0</v>
      </c>
      <c r="M682" t="n">
        <v>0</v>
      </c>
      <c r="N682" t="n">
        <v>0</v>
      </c>
      <c r="O682" t="n">
        <v>0</v>
      </c>
      <c r="P682" t="n">
        <v>0</v>
      </c>
      <c r="Q682" t="n">
        <v>0</v>
      </c>
      <c r="R682" s="2" t="inlineStr"/>
    </row>
    <row r="683" ht="15" customHeight="1">
      <c r="A683" t="inlineStr">
        <is>
          <t>A 30912-2023</t>
        </is>
      </c>
      <c r="B683" s="1" t="n">
        <v>45113.41633101852</v>
      </c>
      <c r="C683" s="1" t="n">
        <v>45958</v>
      </c>
      <c r="D683" t="inlineStr">
        <is>
          <t>KALMAR LÄN</t>
        </is>
      </c>
      <c r="E683" t="inlineStr">
        <is>
          <t>VIMMERBY</t>
        </is>
      </c>
      <c r="G683" t="n">
        <v>5</v>
      </c>
      <c r="H683" t="n">
        <v>0</v>
      </c>
      <c r="I683" t="n">
        <v>0</v>
      </c>
      <c r="J683" t="n">
        <v>0</v>
      </c>
      <c r="K683" t="n">
        <v>0</v>
      </c>
      <c r="L683" t="n">
        <v>0</v>
      </c>
      <c r="M683" t="n">
        <v>0</v>
      </c>
      <c r="N683" t="n">
        <v>0</v>
      </c>
      <c r="O683" t="n">
        <v>0</v>
      </c>
      <c r="P683" t="n">
        <v>0</v>
      </c>
      <c r="Q683" t="n">
        <v>0</v>
      </c>
      <c r="R683" s="2" t="inlineStr"/>
    </row>
    <row r="684" ht="15" customHeight="1">
      <c r="A684" t="inlineStr">
        <is>
          <t>A 1146-2025</t>
        </is>
      </c>
      <c r="B684" s="1" t="n">
        <v>45666</v>
      </c>
      <c r="C684" s="1" t="n">
        <v>45958</v>
      </c>
      <c r="D684" t="inlineStr">
        <is>
          <t>KALMAR LÄN</t>
        </is>
      </c>
      <c r="E684" t="inlineStr">
        <is>
          <t>VIMMERBY</t>
        </is>
      </c>
      <c r="G684" t="n">
        <v>4</v>
      </c>
      <c r="H684" t="n">
        <v>0</v>
      </c>
      <c r="I684" t="n">
        <v>0</v>
      </c>
      <c r="J684" t="n">
        <v>0</v>
      </c>
      <c r="K684" t="n">
        <v>0</v>
      </c>
      <c r="L684" t="n">
        <v>0</v>
      </c>
      <c r="M684" t="n">
        <v>0</v>
      </c>
      <c r="N684" t="n">
        <v>0</v>
      </c>
      <c r="O684" t="n">
        <v>0</v>
      </c>
      <c r="P684" t="n">
        <v>0</v>
      </c>
      <c r="Q684" t="n">
        <v>0</v>
      </c>
      <c r="R684" s="2" t="inlineStr"/>
    </row>
    <row r="685" ht="15" customHeight="1">
      <c r="A685" t="inlineStr">
        <is>
          <t>A 10674-2021</t>
        </is>
      </c>
      <c r="B685" s="1" t="n">
        <v>44258</v>
      </c>
      <c r="C685" s="1" t="n">
        <v>45958</v>
      </c>
      <c r="D685" t="inlineStr">
        <is>
          <t>KALMAR LÄN</t>
        </is>
      </c>
      <c r="E685" t="inlineStr">
        <is>
          <t>VIMMERBY</t>
        </is>
      </c>
      <c r="G685" t="n">
        <v>8.4</v>
      </c>
      <c r="H685" t="n">
        <v>0</v>
      </c>
      <c r="I685" t="n">
        <v>0</v>
      </c>
      <c r="J685" t="n">
        <v>0</v>
      </c>
      <c r="K685" t="n">
        <v>0</v>
      </c>
      <c r="L685" t="n">
        <v>0</v>
      </c>
      <c r="M685" t="n">
        <v>0</v>
      </c>
      <c r="N685" t="n">
        <v>0</v>
      </c>
      <c r="O685" t="n">
        <v>0</v>
      </c>
      <c r="P685" t="n">
        <v>0</v>
      </c>
      <c r="Q685" t="n">
        <v>0</v>
      </c>
      <c r="R685" s="2" t="inlineStr"/>
    </row>
    <row r="686" ht="15" customHeight="1">
      <c r="A686" t="inlineStr">
        <is>
          <t>A 22264-2023</t>
        </is>
      </c>
      <c r="B686" s="1" t="n">
        <v>45070.3665625</v>
      </c>
      <c r="C686" s="1" t="n">
        <v>45958</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16676-2023</t>
        </is>
      </c>
      <c r="B687" s="1" t="n">
        <v>45028</v>
      </c>
      <c r="C687" s="1" t="n">
        <v>45958</v>
      </c>
      <c r="D687" t="inlineStr">
        <is>
          <t>KALMAR LÄN</t>
        </is>
      </c>
      <c r="E687" t="inlineStr">
        <is>
          <t>VIMMERBY</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6220-2025</t>
        </is>
      </c>
      <c r="B688" s="1" t="n">
        <v>45698.53725694444</v>
      </c>
      <c r="C688" s="1" t="n">
        <v>45958</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62023-2022</t>
        </is>
      </c>
      <c r="B689" s="1" t="n">
        <v>44918.50106481482</v>
      </c>
      <c r="C689" s="1" t="n">
        <v>45958</v>
      </c>
      <c r="D689" t="inlineStr">
        <is>
          <t>KALMAR LÄN</t>
        </is>
      </c>
      <c r="E689" t="inlineStr">
        <is>
          <t>VIMMERBY</t>
        </is>
      </c>
      <c r="G689" t="n">
        <v>0.3</v>
      </c>
      <c r="H689" t="n">
        <v>0</v>
      </c>
      <c r="I689" t="n">
        <v>0</v>
      </c>
      <c r="J689" t="n">
        <v>0</v>
      </c>
      <c r="K689" t="n">
        <v>0</v>
      </c>
      <c r="L689" t="n">
        <v>0</v>
      </c>
      <c r="M689" t="n">
        <v>0</v>
      </c>
      <c r="N689" t="n">
        <v>0</v>
      </c>
      <c r="O689" t="n">
        <v>0</v>
      </c>
      <c r="P689" t="n">
        <v>0</v>
      </c>
      <c r="Q689" t="n">
        <v>0</v>
      </c>
      <c r="R689" s="2" t="inlineStr"/>
    </row>
    <row r="690" ht="15" customHeight="1">
      <c r="A690" t="inlineStr">
        <is>
          <t>A 24096-2024</t>
        </is>
      </c>
      <c r="B690" s="1" t="n">
        <v>45456.59289351852</v>
      </c>
      <c r="C690" s="1" t="n">
        <v>45958</v>
      </c>
      <c r="D690" t="inlineStr">
        <is>
          <t>KALMAR LÄN</t>
        </is>
      </c>
      <c r="E690" t="inlineStr">
        <is>
          <t>VIMMERBY</t>
        </is>
      </c>
      <c r="G690" t="n">
        <v>2.3</v>
      </c>
      <c r="H690" t="n">
        <v>0</v>
      </c>
      <c r="I690" t="n">
        <v>0</v>
      </c>
      <c r="J690" t="n">
        <v>0</v>
      </c>
      <c r="K690" t="n">
        <v>0</v>
      </c>
      <c r="L690" t="n">
        <v>0</v>
      </c>
      <c r="M690" t="n">
        <v>0</v>
      </c>
      <c r="N690" t="n">
        <v>0</v>
      </c>
      <c r="O690" t="n">
        <v>0</v>
      </c>
      <c r="P690" t="n">
        <v>0</v>
      </c>
      <c r="Q690" t="n">
        <v>0</v>
      </c>
      <c r="R690" s="2" t="inlineStr"/>
    </row>
    <row r="691" ht="15" customHeight="1">
      <c r="A691" t="inlineStr">
        <is>
          <t>A 38964-2025</t>
        </is>
      </c>
      <c r="B691" s="1" t="n">
        <v>45887.68759259259</v>
      </c>
      <c r="C691" s="1" t="n">
        <v>45958</v>
      </c>
      <c r="D691" t="inlineStr">
        <is>
          <t>KALMAR LÄN</t>
        </is>
      </c>
      <c r="E691" t="inlineStr">
        <is>
          <t>VIMMERBY</t>
        </is>
      </c>
      <c r="G691" t="n">
        <v>7.5</v>
      </c>
      <c r="H691" t="n">
        <v>0</v>
      </c>
      <c r="I691" t="n">
        <v>0</v>
      </c>
      <c r="J691" t="n">
        <v>0</v>
      </c>
      <c r="K691" t="n">
        <v>0</v>
      </c>
      <c r="L691" t="n">
        <v>0</v>
      </c>
      <c r="M691" t="n">
        <v>0</v>
      </c>
      <c r="N691" t="n">
        <v>0</v>
      </c>
      <c r="O691" t="n">
        <v>0</v>
      </c>
      <c r="P691" t="n">
        <v>0</v>
      </c>
      <c r="Q691" t="n">
        <v>0</v>
      </c>
      <c r="R691" s="2" t="inlineStr"/>
    </row>
    <row r="692" ht="15" customHeight="1">
      <c r="A692" t="inlineStr">
        <is>
          <t>A 45856-2025</t>
        </is>
      </c>
      <c r="B692" s="1" t="n">
        <v>45923</v>
      </c>
      <c r="C692" s="1" t="n">
        <v>45958</v>
      </c>
      <c r="D692" t="inlineStr">
        <is>
          <t>KALMAR LÄN</t>
        </is>
      </c>
      <c r="E692" t="inlineStr">
        <is>
          <t>VIMMERBY</t>
        </is>
      </c>
      <c r="G692" t="n">
        <v>2.1</v>
      </c>
      <c r="H692" t="n">
        <v>0</v>
      </c>
      <c r="I692" t="n">
        <v>0</v>
      </c>
      <c r="J692" t="n">
        <v>0</v>
      </c>
      <c r="K692" t="n">
        <v>0</v>
      </c>
      <c r="L692" t="n">
        <v>0</v>
      </c>
      <c r="M692" t="n">
        <v>0</v>
      </c>
      <c r="N692" t="n">
        <v>0</v>
      </c>
      <c r="O692" t="n">
        <v>0</v>
      </c>
      <c r="P692" t="n">
        <v>0</v>
      </c>
      <c r="Q692" t="n">
        <v>0</v>
      </c>
      <c r="R692" s="2" t="inlineStr"/>
    </row>
    <row r="693" ht="15" customHeight="1">
      <c r="A693" t="inlineStr">
        <is>
          <t>A 29013-2024</t>
        </is>
      </c>
      <c r="B693" s="1" t="n">
        <v>45481.55984953704</v>
      </c>
      <c r="C693" s="1" t="n">
        <v>45958</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6066-2023</t>
        </is>
      </c>
      <c r="B694" s="1" t="n">
        <v>44964.50894675926</v>
      </c>
      <c r="C694" s="1" t="n">
        <v>45958</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59955-2023</t>
        </is>
      </c>
      <c r="B695" s="1" t="n">
        <v>45257.70313657408</v>
      </c>
      <c r="C695" s="1" t="n">
        <v>45958</v>
      </c>
      <c r="D695" t="inlineStr">
        <is>
          <t>KALMAR LÄN</t>
        </is>
      </c>
      <c r="E695" t="inlineStr">
        <is>
          <t>VIMMERBY</t>
        </is>
      </c>
      <c r="G695" t="n">
        <v>13.8</v>
      </c>
      <c r="H695" t="n">
        <v>0</v>
      </c>
      <c r="I695" t="n">
        <v>0</v>
      </c>
      <c r="J695" t="n">
        <v>0</v>
      </c>
      <c r="K695" t="n">
        <v>0</v>
      </c>
      <c r="L695" t="n">
        <v>0</v>
      </c>
      <c r="M695" t="n">
        <v>0</v>
      </c>
      <c r="N695" t="n">
        <v>0</v>
      </c>
      <c r="O695" t="n">
        <v>0</v>
      </c>
      <c r="P695" t="n">
        <v>0</v>
      </c>
      <c r="Q695" t="n">
        <v>0</v>
      </c>
      <c r="R695" s="2" t="inlineStr"/>
    </row>
    <row r="696" ht="15" customHeight="1">
      <c r="A696" t="inlineStr">
        <is>
          <t>A 16119-2023</t>
        </is>
      </c>
      <c r="B696" s="1" t="n">
        <v>45027.59450231482</v>
      </c>
      <c r="C696" s="1" t="n">
        <v>45958</v>
      </c>
      <c r="D696" t="inlineStr">
        <is>
          <t>KALMAR LÄN</t>
        </is>
      </c>
      <c r="E696" t="inlineStr">
        <is>
          <t>VIMMERBY</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52327-2023</t>
        </is>
      </c>
      <c r="B697" s="1" t="n">
        <v>45224.6515162037</v>
      </c>
      <c r="C697" s="1" t="n">
        <v>45958</v>
      </c>
      <c r="D697" t="inlineStr">
        <is>
          <t>KALMAR LÄN</t>
        </is>
      </c>
      <c r="E697" t="inlineStr">
        <is>
          <t>VIMMERBY</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36040-2024</t>
        </is>
      </c>
      <c r="B698" s="1" t="n">
        <v>45533.60232638889</v>
      </c>
      <c r="C698" s="1" t="n">
        <v>45958</v>
      </c>
      <c r="D698" t="inlineStr">
        <is>
          <t>KALMAR LÄN</t>
        </is>
      </c>
      <c r="E698" t="inlineStr">
        <is>
          <t>VIMMERBY</t>
        </is>
      </c>
      <c r="F698" t="inlineStr">
        <is>
          <t>Kommuner</t>
        </is>
      </c>
      <c r="G698" t="n">
        <v>3.6</v>
      </c>
      <c r="H698" t="n">
        <v>0</v>
      </c>
      <c r="I698" t="n">
        <v>0</v>
      </c>
      <c r="J698" t="n">
        <v>0</v>
      </c>
      <c r="K698" t="n">
        <v>0</v>
      </c>
      <c r="L698" t="n">
        <v>0</v>
      </c>
      <c r="M698" t="n">
        <v>0</v>
      </c>
      <c r="N698" t="n">
        <v>0</v>
      </c>
      <c r="O698" t="n">
        <v>0</v>
      </c>
      <c r="P698" t="n">
        <v>0</v>
      </c>
      <c r="Q698" t="n">
        <v>0</v>
      </c>
      <c r="R698" s="2" t="inlineStr"/>
    </row>
    <row r="699" ht="15" customHeight="1">
      <c r="A699" t="inlineStr">
        <is>
          <t>A 36043-2024</t>
        </is>
      </c>
      <c r="B699" s="1" t="n">
        <v>45533.60770833334</v>
      </c>
      <c r="C699" s="1" t="n">
        <v>45958</v>
      </c>
      <c r="D699" t="inlineStr">
        <is>
          <t>KALMAR LÄN</t>
        </is>
      </c>
      <c r="E699" t="inlineStr">
        <is>
          <t>VIMMERBY</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12075-2024</t>
        </is>
      </c>
      <c r="B700" s="1" t="n">
        <v>45377</v>
      </c>
      <c r="C700" s="1" t="n">
        <v>45958</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29348-2023</t>
        </is>
      </c>
      <c r="B701" s="1" t="n">
        <v>45106.25025462963</v>
      </c>
      <c r="C701" s="1" t="n">
        <v>45958</v>
      </c>
      <c r="D701" t="inlineStr">
        <is>
          <t>KALMAR LÄN</t>
        </is>
      </c>
      <c r="E701" t="inlineStr">
        <is>
          <t>VIMMERBY</t>
        </is>
      </c>
      <c r="G701" t="n">
        <v>2.4</v>
      </c>
      <c r="H701" t="n">
        <v>0</v>
      </c>
      <c r="I701" t="n">
        <v>0</v>
      </c>
      <c r="J701" t="n">
        <v>0</v>
      </c>
      <c r="K701" t="n">
        <v>0</v>
      </c>
      <c r="L701" t="n">
        <v>0</v>
      </c>
      <c r="M701" t="n">
        <v>0</v>
      </c>
      <c r="N701" t="n">
        <v>0</v>
      </c>
      <c r="O701" t="n">
        <v>0</v>
      </c>
      <c r="P701" t="n">
        <v>0</v>
      </c>
      <c r="Q701" t="n">
        <v>0</v>
      </c>
      <c r="R701" s="2" t="inlineStr"/>
    </row>
    <row r="702" ht="15" customHeight="1">
      <c r="A702" t="inlineStr">
        <is>
          <t>A 12890-2023</t>
        </is>
      </c>
      <c r="B702" s="1" t="n">
        <v>45001.59209490741</v>
      </c>
      <c r="C702" s="1" t="n">
        <v>45958</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43594-2024</t>
        </is>
      </c>
      <c r="B703" s="1" t="n">
        <v>45569.44295138889</v>
      </c>
      <c r="C703" s="1" t="n">
        <v>45958</v>
      </c>
      <c r="D703" t="inlineStr">
        <is>
          <t>KALMAR LÄN</t>
        </is>
      </c>
      <c r="E703" t="inlineStr">
        <is>
          <t>VIMMERBY</t>
        </is>
      </c>
      <c r="G703" t="n">
        <v>3.9</v>
      </c>
      <c r="H703" t="n">
        <v>0</v>
      </c>
      <c r="I703" t="n">
        <v>0</v>
      </c>
      <c r="J703" t="n">
        <v>0</v>
      </c>
      <c r="K703" t="n">
        <v>0</v>
      </c>
      <c r="L703" t="n">
        <v>0</v>
      </c>
      <c r="M703" t="n">
        <v>0</v>
      </c>
      <c r="N703" t="n">
        <v>0</v>
      </c>
      <c r="O703" t="n">
        <v>0</v>
      </c>
      <c r="P703" t="n">
        <v>0</v>
      </c>
      <c r="Q703" t="n">
        <v>0</v>
      </c>
      <c r="R703" s="2" t="inlineStr"/>
    </row>
    <row r="704" ht="15" customHeight="1">
      <c r="A704" t="inlineStr">
        <is>
          <t>A 31340-2023</t>
        </is>
      </c>
      <c r="B704" s="1" t="n">
        <v>45114.47895833333</v>
      </c>
      <c r="C704" s="1" t="n">
        <v>45958</v>
      </c>
      <c r="D704" t="inlineStr">
        <is>
          <t>KALMAR LÄN</t>
        </is>
      </c>
      <c r="E704" t="inlineStr">
        <is>
          <t>VIMMERBY</t>
        </is>
      </c>
      <c r="G704" t="n">
        <v>1.8</v>
      </c>
      <c r="H704" t="n">
        <v>0</v>
      </c>
      <c r="I704" t="n">
        <v>0</v>
      </c>
      <c r="J704" t="n">
        <v>0</v>
      </c>
      <c r="K704" t="n">
        <v>0</v>
      </c>
      <c r="L704" t="n">
        <v>0</v>
      </c>
      <c r="M704" t="n">
        <v>0</v>
      </c>
      <c r="N704" t="n">
        <v>0</v>
      </c>
      <c r="O704" t="n">
        <v>0</v>
      </c>
      <c r="P704" t="n">
        <v>0</v>
      </c>
      <c r="Q704" t="n">
        <v>0</v>
      </c>
      <c r="R704" s="2" t="inlineStr"/>
    </row>
    <row r="705" ht="15" customHeight="1">
      <c r="A705" t="inlineStr">
        <is>
          <t>A 53482-2022</t>
        </is>
      </c>
      <c r="B705" s="1" t="n">
        <v>44879</v>
      </c>
      <c r="C705" s="1" t="n">
        <v>45958</v>
      </c>
      <c r="D705" t="inlineStr">
        <is>
          <t>KALMAR LÄN</t>
        </is>
      </c>
      <c r="E705" t="inlineStr">
        <is>
          <t>VIMMERBY</t>
        </is>
      </c>
      <c r="G705" t="n">
        <v>10.1</v>
      </c>
      <c r="H705" t="n">
        <v>0</v>
      </c>
      <c r="I705" t="n">
        <v>0</v>
      </c>
      <c r="J705" t="n">
        <v>0</v>
      </c>
      <c r="K705" t="n">
        <v>0</v>
      </c>
      <c r="L705" t="n">
        <v>0</v>
      </c>
      <c r="M705" t="n">
        <v>0</v>
      </c>
      <c r="N705" t="n">
        <v>0</v>
      </c>
      <c r="O705" t="n">
        <v>0</v>
      </c>
      <c r="P705" t="n">
        <v>0</v>
      </c>
      <c r="Q705" t="n">
        <v>0</v>
      </c>
      <c r="R705" s="2" t="inlineStr"/>
    </row>
    <row r="706" ht="15" customHeight="1">
      <c r="A706" t="inlineStr">
        <is>
          <t>A 27761-2024</t>
        </is>
      </c>
      <c r="B706" s="1" t="n">
        <v>45475.49018518518</v>
      </c>
      <c r="C706" s="1" t="n">
        <v>45958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64203-2021</t>
        </is>
      </c>
      <c r="B707" s="1" t="n">
        <v>44510.60921296296</v>
      </c>
      <c r="C707" s="1" t="n">
        <v>45958</v>
      </c>
      <c r="D707" t="inlineStr">
        <is>
          <t>KALMAR LÄN</t>
        </is>
      </c>
      <c r="E707" t="inlineStr">
        <is>
          <t>VIMMERBY</t>
        </is>
      </c>
      <c r="F707" t="inlineStr">
        <is>
          <t>Övriga Aktiebolag</t>
        </is>
      </c>
      <c r="G707" t="n">
        <v>5.4</v>
      </c>
      <c r="H707" t="n">
        <v>0</v>
      </c>
      <c r="I707" t="n">
        <v>0</v>
      </c>
      <c r="J707" t="n">
        <v>0</v>
      </c>
      <c r="K707" t="n">
        <v>0</v>
      </c>
      <c r="L707" t="n">
        <v>0</v>
      </c>
      <c r="M707" t="n">
        <v>0</v>
      </c>
      <c r="N707" t="n">
        <v>0</v>
      </c>
      <c r="O707" t="n">
        <v>0</v>
      </c>
      <c r="P707" t="n">
        <v>0</v>
      </c>
      <c r="Q707" t="n">
        <v>0</v>
      </c>
      <c r="R707" s="2" t="inlineStr"/>
    </row>
    <row r="708" ht="15" customHeight="1">
      <c r="A708" t="inlineStr">
        <is>
          <t>A 5720-2023</t>
        </is>
      </c>
      <c r="B708" s="1" t="n">
        <v>44961</v>
      </c>
      <c r="C708" s="1" t="n">
        <v>45958</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9643-2023</t>
        </is>
      </c>
      <c r="B709" s="1" t="n">
        <v>44984</v>
      </c>
      <c r="C709" s="1" t="n">
        <v>45958</v>
      </c>
      <c r="D709" t="inlineStr">
        <is>
          <t>KALMAR LÄN</t>
        </is>
      </c>
      <c r="E709" t="inlineStr">
        <is>
          <t>VIMMERBY</t>
        </is>
      </c>
      <c r="G709" t="n">
        <v>2</v>
      </c>
      <c r="H709" t="n">
        <v>0</v>
      </c>
      <c r="I709" t="n">
        <v>0</v>
      </c>
      <c r="J709" t="n">
        <v>0</v>
      </c>
      <c r="K709" t="n">
        <v>0</v>
      </c>
      <c r="L709" t="n">
        <v>0</v>
      </c>
      <c r="M709" t="n">
        <v>0</v>
      </c>
      <c r="N709" t="n">
        <v>0</v>
      </c>
      <c r="O709" t="n">
        <v>0</v>
      </c>
      <c r="P709" t="n">
        <v>0</v>
      </c>
      <c r="Q709" t="n">
        <v>0</v>
      </c>
      <c r="R709" s="2" t="inlineStr"/>
    </row>
    <row r="710" ht="15" customHeight="1">
      <c r="A710" t="inlineStr">
        <is>
          <t>A 25728-2023</t>
        </is>
      </c>
      <c r="B710" s="1" t="n">
        <v>45090.38012731481</v>
      </c>
      <c r="C710" s="1" t="n">
        <v>45958</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7758-2024</t>
        </is>
      </c>
      <c r="B711" s="1" t="n">
        <v>45349.54434027777</v>
      </c>
      <c r="C711" s="1" t="n">
        <v>45958</v>
      </c>
      <c r="D711" t="inlineStr">
        <is>
          <t>KALMAR LÄN</t>
        </is>
      </c>
      <c r="E711" t="inlineStr">
        <is>
          <t>VIMMERBY</t>
        </is>
      </c>
      <c r="G711" t="n">
        <v>3.5</v>
      </c>
      <c r="H711" t="n">
        <v>0</v>
      </c>
      <c r="I711" t="n">
        <v>0</v>
      </c>
      <c r="J711" t="n">
        <v>0</v>
      </c>
      <c r="K711" t="n">
        <v>0</v>
      </c>
      <c r="L711" t="n">
        <v>0</v>
      </c>
      <c r="M711" t="n">
        <v>0</v>
      </c>
      <c r="N711" t="n">
        <v>0</v>
      </c>
      <c r="O711" t="n">
        <v>0</v>
      </c>
      <c r="P711" t="n">
        <v>0</v>
      </c>
      <c r="Q711" t="n">
        <v>0</v>
      </c>
      <c r="R711" s="2" t="inlineStr"/>
    </row>
    <row r="712" ht="15" customHeight="1">
      <c r="A712" t="inlineStr">
        <is>
          <t>A 5701-2024</t>
        </is>
      </c>
      <c r="B712" s="1" t="n">
        <v>45334.78826388889</v>
      </c>
      <c r="C712" s="1" t="n">
        <v>45958</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41311-2023</t>
        </is>
      </c>
      <c r="B713" s="1" t="n">
        <v>45174</v>
      </c>
      <c r="C713" s="1" t="n">
        <v>45958</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31405-2023</t>
        </is>
      </c>
      <c r="B714" s="1" t="n">
        <v>45114.58148148148</v>
      </c>
      <c r="C714" s="1" t="n">
        <v>45958</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26318-2023</t>
        </is>
      </c>
      <c r="B715" s="1" t="n">
        <v>45091.67936342592</v>
      </c>
      <c r="C715" s="1" t="n">
        <v>45958</v>
      </c>
      <c r="D715" t="inlineStr">
        <is>
          <t>KALMAR LÄN</t>
        </is>
      </c>
      <c r="E715" t="inlineStr">
        <is>
          <t>VIMMERBY</t>
        </is>
      </c>
      <c r="G715" t="n">
        <v>3.8</v>
      </c>
      <c r="H715" t="n">
        <v>0</v>
      </c>
      <c r="I715" t="n">
        <v>0</v>
      </c>
      <c r="J715" t="n">
        <v>0</v>
      </c>
      <c r="K715" t="n">
        <v>0</v>
      </c>
      <c r="L715" t="n">
        <v>0</v>
      </c>
      <c r="M715" t="n">
        <v>0</v>
      </c>
      <c r="N715" t="n">
        <v>0</v>
      </c>
      <c r="O715" t="n">
        <v>0</v>
      </c>
      <c r="P715" t="n">
        <v>0</v>
      </c>
      <c r="Q715" t="n">
        <v>0</v>
      </c>
      <c r="R715" s="2" t="inlineStr"/>
    </row>
    <row r="716" ht="15" customHeight="1">
      <c r="A716" t="inlineStr">
        <is>
          <t>A 6355-2022</t>
        </is>
      </c>
      <c r="B716" s="1" t="n">
        <v>44600</v>
      </c>
      <c r="C716" s="1" t="n">
        <v>45958</v>
      </c>
      <c r="D716" t="inlineStr">
        <is>
          <t>KALMAR LÄN</t>
        </is>
      </c>
      <c r="E716" t="inlineStr">
        <is>
          <t>VIMMERBY</t>
        </is>
      </c>
      <c r="G716" t="n">
        <v>4.9</v>
      </c>
      <c r="H716" t="n">
        <v>0</v>
      </c>
      <c r="I716" t="n">
        <v>0</v>
      </c>
      <c r="J716" t="n">
        <v>0</v>
      </c>
      <c r="K716" t="n">
        <v>0</v>
      </c>
      <c r="L716" t="n">
        <v>0</v>
      </c>
      <c r="M716" t="n">
        <v>0</v>
      </c>
      <c r="N716" t="n">
        <v>0</v>
      </c>
      <c r="O716" t="n">
        <v>0</v>
      </c>
      <c r="P716" t="n">
        <v>0</v>
      </c>
      <c r="Q716" t="n">
        <v>0</v>
      </c>
      <c r="R716" s="2" t="inlineStr"/>
    </row>
    <row r="717" ht="15" customHeight="1">
      <c r="A717" t="inlineStr">
        <is>
          <t>A 46225-2024</t>
        </is>
      </c>
      <c r="B717" s="1" t="n">
        <v>45581.57333333333</v>
      </c>
      <c r="C717" s="1" t="n">
        <v>45958</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61355-2024</t>
        </is>
      </c>
      <c r="B718" s="1" t="n">
        <v>45646.38200231481</v>
      </c>
      <c r="C718" s="1" t="n">
        <v>45958</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9418-2024</t>
        </is>
      </c>
      <c r="B719" s="1" t="n">
        <v>45359.45038194444</v>
      </c>
      <c r="C719" s="1" t="n">
        <v>45958</v>
      </c>
      <c r="D719" t="inlineStr">
        <is>
          <t>KALMAR LÄN</t>
        </is>
      </c>
      <c r="E719" t="inlineStr">
        <is>
          <t>VIMMERBY</t>
        </is>
      </c>
      <c r="G719" t="n">
        <v>1.9</v>
      </c>
      <c r="H719" t="n">
        <v>0</v>
      </c>
      <c r="I719" t="n">
        <v>0</v>
      </c>
      <c r="J719" t="n">
        <v>0</v>
      </c>
      <c r="K719" t="n">
        <v>0</v>
      </c>
      <c r="L719" t="n">
        <v>0</v>
      </c>
      <c r="M719" t="n">
        <v>0</v>
      </c>
      <c r="N719" t="n">
        <v>0</v>
      </c>
      <c r="O719" t="n">
        <v>0</v>
      </c>
      <c r="P719" t="n">
        <v>0</v>
      </c>
      <c r="Q719" t="n">
        <v>0</v>
      </c>
      <c r="R719" s="2" t="inlineStr"/>
    </row>
    <row r="720" ht="15" customHeight="1">
      <c r="A720" t="inlineStr">
        <is>
          <t>A 57091-2022</t>
        </is>
      </c>
      <c r="B720" s="1" t="n">
        <v>44895.46524305556</v>
      </c>
      <c r="C720" s="1" t="n">
        <v>45958</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3816-2022</t>
        </is>
      </c>
      <c r="B721" s="1" t="n">
        <v>44587</v>
      </c>
      <c r="C721" s="1" t="n">
        <v>45958</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43606-2024</t>
        </is>
      </c>
      <c r="B722" s="1" t="n">
        <v>45569.45017361111</v>
      </c>
      <c r="C722" s="1" t="n">
        <v>45958</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43617-2024</t>
        </is>
      </c>
      <c r="B723" s="1" t="n">
        <v>45569.47494212963</v>
      </c>
      <c r="C723" s="1" t="n">
        <v>45958</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36802-2021</t>
        </is>
      </c>
      <c r="B724" s="1" t="n">
        <v>44392</v>
      </c>
      <c r="C724" s="1" t="n">
        <v>45958</v>
      </c>
      <c r="D724" t="inlineStr">
        <is>
          <t>KALMAR LÄN</t>
        </is>
      </c>
      <c r="E724" t="inlineStr">
        <is>
          <t>VIMMERBY</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47859-2024</t>
        </is>
      </c>
      <c r="B725" s="1" t="n">
        <v>45588.67070601852</v>
      </c>
      <c r="C725" s="1" t="n">
        <v>45958</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8540-2024</t>
        </is>
      </c>
      <c r="B726" s="1" t="n">
        <v>45355.54138888889</v>
      </c>
      <c r="C726" s="1" t="n">
        <v>45958</v>
      </c>
      <c r="D726" t="inlineStr">
        <is>
          <t>KALMAR LÄN</t>
        </is>
      </c>
      <c r="E726" t="inlineStr">
        <is>
          <t>VIMMERBY</t>
        </is>
      </c>
      <c r="G726" t="n">
        <v>1.9</v>
      </c>
      <c r="H726" t="n">
        <v>0</v>
      </c>
      <c r="I726" t="n">
        <v>0</v>
      </c>
      <c r="J726" t="n">
        <v>0</v>
      </c>
      <c r="K726" t="n">
        <v>0</v>
      </c>
      <c r="L726" t="n">
        <v>0</v>
      </c>
      <c r="M726" t="n">
        <v>0</v>
      </c>
      <c r="N726" t="n">
        <v>0</v>
      </c>
      <c r="O726" t="n">
        <v>0</v>
      </c>
      <c r="P726" t="n">
        <v>0</v>
      </c>
      <c r="Q726" t="n">
        <v>0</v>
      </c>
      <c r="R726" s="2" t="inlineStr"/>
    </row>
    <row r="727" ht="15" customHeight="1">
      <c r="A727" t="inlineStr">
        <is>
          <t>A 3331-2023</t>
        </is>
      </c>
      <c r="B727" s="1" t="n">
        <v>44949</v>
      </c>
      <c r="C727" s="1" t="n">
        <v>45958</v>
      </c>
      <c r="D727" t="inlineStr">
        <is>
          <t>KALMAR LÄN</t>
        </is>
      </c>
      <c r="E727" t="inlineStr">
        <is>
          <t>VIMMERBY</t>
        </is>
      </c>
      <c r="G727" t="n">
        <v>6.2</v>
      </c>
      <c r="H727" t="n">
        <v>0</v>
      </c>
      <c r="I727" t="n">
        <v>0</v>
      </c>
      <c r="J727" t="n">
        <v>0</v>
      </c>
      <c r="K727" t="n">
        <v>0</v>
      </c>
      <c r="L727" t="n">
        <v>0</v>
      </c>
      <c r="M727" t="n">
        <v>0</v>
      </c>
      <c r="N727" t="n">
        <v>0</v>
      </c>
      <c r="O727" t="n">
        <v>0</v>
      </c>
      <c r="P727" t="n">
        <v>0</v>
      </c>
      <c r="Q727" t="n">
        <v>0</v>
      </c>
      <c r="R727" s="2" t="inlineStr"/>
    </row>
    <row r="728" ht="15" customHeight="1">
      <c r="A728" t="inlineStr">
        <is>
          <t>A 38198-2024</t>
        </is>
      </c>
      <c r="B728" s="1" t="n">
        <v>45545.49508101852</v>
      </c>
      <c r="C728" s="1" t="n">
        <v>45958</v>
      </c>
      <c r="D728" t="inlineStr">
        <is>
          <t>KALMAR LÄN</t>
        </is>
      </c>
      <c r="E728" t="inlineStr">
        <is>
          <t>VIMMERBY</t>
        </is>
      </c>
      <c r="G728" t="n">
        <v>7.9</v>
      </c>
      <c r="H728" t="n">
        <v>0</v>
      </c>
      <c r="I728" t="n">
        <v>0</v>
      </c>
      <c r="J728" t="n">
        <v>0</v>
      </c>
      <c r="K728" t="n">
        <v>0</v>
      </c>
      <c r="L728" t="n">
        <v>0</v>
      </c>
      <c r="M728" t="n">
        <v>0</v>
      </c>
      <c r="N728" t="n">
        <v>0</v>
      </c>
      <c r="O728" t="n">
        <v>0</v>
      </c>
      <c r="P728" t="n">
        <v>0</v>
      </c>
      <c r="Q728" t="n">
        <v>0</v>
      </c>
      <c r="R728" s="2" t="inlineStr"/>
    </row>
    <row r="729" ht="15" customHeight="1">
      <c r="A729" t="inlineStr">
        <is>
          <t>A 9623-2024</t>
        </is>
      </c>
      <c r="B729" s="1" t="n">
        <v>45361.87975694444</v>
      </c>
      <c r="C729" s="1" t="n">
        <v>45958</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598-2025</t>
        </is>
      </c>
      <c r="B730" s="1" t="n">
        <v>45660</v>
      </c>
      <c r="C730" s="1" t="n">
        <v>45958</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58967-2022</t>
        </is>
      </c>
      <c r="B731" s="1" t="n">
        <v>44896</v>
      </c>
      <c r="C731" s="1" t="n">
        <v>45958</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25799-2023</t>
        </is>
      </c>
      <c r="B732" s="1" t="n">
        <v>45090</v>
      </c>
      <c r="C732" s="1" t="n">
        <v>45958</v>
      </c>
      <c r="D732" t="inlineStr">
        <is>
          <t>KALMAR LÄN</t>
        </is>
      </c>
      <c r="E732" t="inlineStr">
        <is>
          <t>VIMMERBY</t>
        </is>
      </c>
      <c r="G732" t="n">
        <v>7.7</v>
      </c>
      <c r="H732" t="n">
        <v>0</v>
      </c>
      <c r="I732" t="n">
        <v>0</v>
      </c>
      <c r="J732" t="n">
        <v>0</v>
      </c>
      <c r="K732" t="n">
        <v>0</v>
      </c>
      <c r="L732" t="n">
        <v>0</v>
      </c>
      <c r="M732" t="n">
        <v>0</v>
      </c>
      <c r="N732" t="n">
        <v>0</v>
      </c>
      <c r="O732" t="n">
        <v>0</v>
      </c>
      <c r="P732" t="n">
        <v>0</v>
      </c>
      <c r="Q732" t="n">
        <v>0</v>
      </c>
      <c r="R732" s="2" t="inlineStr"/>
    </row>
    <row r="733" ht="15" customHeight="1">
      <c r="A733" t="inlineStr">
        <is>
          <t>A 53083-2021</t>
        </is>
      </c>
      <c r="B733" s="1" t="n">
        <v>44467.83386574074</v>
      </c>
      <c r="C733" s="1" t="n">
        <v>45958</v>
      </c>
      <c r="D733" t="inlineStr">
        <is>
          <t>KALMAR LÄN</t>
        </is>
      </c>
      <c r="E733" t="inlineStr">
        <is>
          <t>VIMMERBY</t>
        </is>
      </c>
      <c r="G733" t="n">
        <v>6.8</v>
      </c>
      <c r="H733" t="n">
        <v>0</v>
      </c>
      <c r="I733" t="n">
        <v>0</v>
      </c>
      <c r="J733" t="n">
        <v>0</v>
      </c>
      <c r="K733" t="n">
        <v>0</v>
      </c>
      <c r="L733" t="n">
        <v>0</v>
      </c>
      <c r="M733" t="n">
        <v>0</v>
      </c>
      <c r="N733" t="n">
        <v>0</v>
      </c>
      <c r="O733" t="n">
        <v>0</v>
      </c>
      <c r="P733" t="n">
        <v>0</v>
      </c>
      <c r="Q733" t="n">
        <v>0</v>
      </c>
      <c r="R733" s="2" t="inlineStr"/>
    </row>
    <row r="734" ht="15" customHeight="1">
      <c r="A734" t="inlineStr">
        <is>
          <t>A 24655-2021</t>
        </is>
      </c>
      <c r="B734" s="1" t="n">
        <v>44340</v>
      </c>
      <c r="C734" s="1" t="n">
        <v>45958</v>
      </c>
      <c r="D734" t="inlineStr">
        <is>
          <t>KALMAR LÄN</t>
        </is>
      </c>
      <c r="E734" t="inlineStr">
        <is>
          <t>VIMMERBY</t>
        </is>
      </c>
      <c r="G734" t="n">
        <v>14.9</v>
      </c>
      <c r="H734" t="n">
        <v>0</v>
      </c>
      <c r="I734" t="n">
        <v>0</v>
      </c>
      <c r="J734" t="n">
        <v>0</v>
      </c>
      <c r="K734" t="n">
        <v>0</v>
      </c>
      <c r="L734" t="n">
        <v>0</v>
      </c>
      <c r="M734" t="n">
        <v>0</v>
      </c>
      <c r="N734" t="n">
        <v>0</v>
      </c>
      <c r="O734" t="n">
        <v>0</v>
      </c>
      <c r="P734" t="n">
        <v>0</v>
      </c>
      <c r="Q734" t="n">
        <v>0</v>
      </c>
      <c r="R734" s="2" t="inlineStr"/>
    </row>
    <row r="735" ht="15" customHeight="1">
      <c r="A735" t="inlineStr">
        <is>
          <t>A 6399-2025</t>
        </is>
      </c>
      <c r="B735" s="1" t="n">
        <v>45699.44291666667</v>
      </c>
      <c r="C735" s="1" t="n">
        <v>45958</v>
      </c>
      <c r="D735" t="inlineStr">
        <is>
          <t>KALMAR LÄN</t>
        </is>
      </c>
      <c r="E735" t="inlineStr">
        <is>
          <t>VIMMERBY</t>
        </is>
      </c>
      <c r="G735" t="n">
        <v>3.1</v>
      </c>
      <c r="H735" t="n">
        <v>0</v>
      </c>
      <c r="I735" t="n">
        <v>0</v>
      </c>
      <c r="J735" t="n">
        <v>0</v>
      </c>
      <c r="K735" t="n">
        <v>0</v>
      </c>
      <c r="L735" t="n">
        <v>0</v>
      </c>
      <c r="M735" t="n">
        <v>0</v>
      </c>
      <c r="N735" t="n">
        <v>0</v>
      </c>
      <c r="O735" t="n">
        <v>0</v>
      </c>
      <c r="P735" t="n">
        <v>0</v>
      </c>
      <c r="Q735" t="n">
        <v>0</v>
      </c>
      <c r="R735" s="2" t="inlineStr"/>
    </row>
    <row r="736" ht="15" customHeight="1">
      <c r="A736" t="inlineStr">
        <is>
          <t>A 31355-2023</t>
        </is>
      </c>
      <c r="B736" s="1" t="n">
        <v>45114.49505787037</v>
      </c>
      <c r="C736" s="1" t="n">
        <v>45958</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66295-2020</t>
        </is>
      </c>
      <c r="B737" s="1" t="n">
        <v>44176</v>
      </c>
      <c r="C737" s="1" t="n">
        <v>45958</v>
      </c>
      <c r="D737" t="inlineStr">
        <is>
          <t>KALMAR LÄN</t>
        </is>
      </c>
      <c r="E737" t="inlineStr">
        <is>
          <t>VIMMERBY</t>
        </is>
      </c>
      <c r="G737" t="n">
        <v>4.1</v>
      </c>
      <c r="H737" t="n">
        <v>0</v>
      </c>
      <c r="I737" t="n">
        <v>0</v>
      </c>
      <c r="J737" t="n">
        <v>0</v>
      </c>
      <c r="K737" t="n">
        <v>0</v>
      </c>
      <c r="L737" t="n">
        <v>0</v>
      </c>
      <c r="M737" t="n">
        <v>0</v>
      </c>
      <c r="N737" t="n">
        <v>0</v>
      </c>
      <c r="O737" t="n">
        <v>0</v>
      </c>
      <c r="P737" t="n">
        <v>0</v>
      </c>
      <c r="Q737" t="n">
        <v>0</v>
      </c>
      <c r="R737" s="2" t="inlineStr"/>
    </row>
    <row r="738" ht="15" customHeight="1">
      <c r="A738" t="inlineStr">
        <is>
          <t>A 30400-2023</t>
        </is>
      </c>
      <c r="B738" s="1" t="n">
        <v>45111.48225694444</v>
      </c>
      <c r="C738" s="1" t="n">
        <v>45958</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30404-2023</t>
        </is>
      </c>
      <c r="B739" s="1" t="n">
        <v>45111.48636574074</v>
      </c>
      <c r="C739" s="1" t="n">
        <v>45958</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27705-2023</t>
        </is>
      </c>
      <c r="B740" s="1" t="n">
        <v>45098.30535879629</v>
      </c>
      <c r="C740" s="1" t="n">
        <v>45958</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33838-2022</t>
        </is>
      </c>
      <c r="B741" s="1" t="n">
        <v>44790.49040509259</v>
      </c>
      <c r="C741" s="1" t="n">
        <v>45958</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32835-2022</t>
        </is>
      </c>
      <c r="B742" s="1" t="n">
        <v>44784.42528935185</v>
      </c>
      <c r="C742" s="1" t="n">
        <v>45958</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36843-2023</t>
        </is>
      </c>
      <c r="B743" s="1" t="n">
        <v>45154.49831018518</v>
      </c>
      <c r="C743" s="1" t="n">
        <v>45958</v>
      </c>
      <c r="D743" t="inlineStr">
        <is>
          <t>KALMAR LÄN</t>
        </is>
      </c>
      <c r="E743" t="inlineStr">
        <is>
          <t>VIMMERBY</t>
        </is>
      </c>
      <c r="G743" t="n">
        <v>2</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45958</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47063-2022</t>
        </is>
      </c>
      <c r="B745" s="1" t="n">
        <v>44852</v>
      </c>
      <c r="C745" s="1" t="n">
        <v>45958</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28403-2023</t>
        </is>
      </c>
      <c r="B746" s="1" t="n">
        <v>45100.85270833333</v>
      </c>
      <c r="C746" s="1" t="n">
        <v>45958</v>
      </c>
      <c r="D746" t="inlineStr">
        <is>
          <t>KALMAR LÄN</t>
        </is>
      </c>
      <c r="E746" t="inlineStr">
        <is>
          <t>VIMMERBY</t>
        </is>
      </c>
      <c r="G746" t="n">
        <v>1.8</v>
      </c>
      <c r="H746" t="n">
        <v>0</v>
      </c>
      <c r="I746" t="n">
        <v>0</v>
      </c>
      <c r="J746" t="n">
        <v>0</v>
      </c>
      <c r="K746" t="n">
        <v>0</v>
      </c>
      <c r="L746" t="n">
        <v>0</v>
      </c>
      <c r="M746" t="n">
        <v>0</v>
      </c>
      <c r="N746" t="n">
        <v>0</v>
      </c>
      <c r="O746" t="n">
        <v>0</v>
      </c>
      <c r="P746" t="n">
        <v>0</v>
      </c>
      <c r="Q746" t="n">
        <v>0</v>
      </c>
      <c r="R746" s="2" t="inlineStr"/>
    </row>
    <row r="747" ht="15" customHeight="1">
      <c r="A747" t="inlineStr">
        <is>
          <t>A 10785-2025</t>
        </is>
      </c>
      <c r="B747" s="1" t="n">
        <v>45722.48634259259</v>
      </c>
      <c r="C747" s="1" t="n">
        <v>45958</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29017-2024</t>
        </is>
      </c>
      <c r="B748" s="1" t="n">
        <v>45481.56722222222</v>
      </c>
      <c r="C748" s="1" t="n">
        <v>45958</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23263-2024</t>
        </is>
      </c>
      <c r="B749" s="1" t="n">
        <v>45453.36854166666</v>
      </c>
      <c r="C749" s="1" t="n">
        <v>45958</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33103-2024</t>
        </is>
      </c>
      <c r="B750" s="1" t="n">
        <v>45517.8162037037</v>
      </c>
      <c r="C750" s="1" t="n">
        <v>45958</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11074-2023</t>
        </is>
      </c>
      <c r="B751" s="1" t="n">
        <v>44992.34151620371</v>
      </c>
      <c r="C751" s="1" t="n">
        <v>45958</v>
      </c>
      <c r="D751" t="inlineStr">
        <is>
          <t>KALMAR LÄN</t>
        </is>
      </c>
      <c r="E751" t="inlineStr">
        <is>
          <t>VIMMERBY</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61939-2021</t>
        </is>
      </c>
      <c r="B752" s="1" t="n">
        <v>44502</v>
      </c>
      <c r="C752" s="1" t="n">
        <v>45958</v>
      </c>
      <c r="D752" t="inlineStr">
        <is>
          <t>KALMAR LÄN</t>
        </is>
      </c>
      <c r="E752" t="inlineStr">
        <is>
          <t>VIMMERBY</t>
        </is>
      </c>
      <c r="G752" t="n">
        <v>2.7</v>
      </c>
      <c r="H752" t="n">
        <v>0</v>
      </c>
      <c r="I752" t="n">
        <v>0</v>
      </c>
      <c r="J752" t="n">
        <v>0</v>
      </c>
      <c r="K752" t="n">
        <v>0</v>
      </c>
      <c r="L752" t="n">
        <v>0</v>
      </c>
      <c r="M752" t="n">
        <v>0</v>
      </c>
      <c r="N752" t="n">
        <v>0</v>
      </c>
      <c r="O752" t="n">
        <v>0</v>
      </c>
      <c r="P752" t="n">
        <v>0</v>
      </c>
      <c r="Q752" t="n">
        <v>0</v>
      </c>
      <c r="R752" s="2" t="inlineStr"/>
    </row>
    <row r="753" ht="15" customHeight="1">
      <c r="A753" t="inlineStr">
        <is>
          <t>A 12215-2024</t>
        </is>
      </c>
      <c r="B753" s="1" t="n">
        <v>45378.32185185186</v>
      </c>
      <c r="C753" s="1" t="n">
        <v>45958</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11303-2025</t>
        </is>
      </c>
      <c r="B754" s="1" t="n">
        <v>45726.44471064815</v>
      </c>
      <c r="C754" s="1" t="n">
        <v>45958</v>
      </c>
      <c r="D754" t="inlineStr">
        <is>
          <t>KALMAR LÄN</t>
        </is>
      </c>
      <c r="E754" t="inlineStr">
        <is>
          <t>VIMMERBY</t>
        </is>
      </c>
      <c r="G754" t="n">
        <v>2.1</v>
      </c>
      <c r="H754" t="n">
        <v>0</v>
      </c>
      <c r="I754" t="n">
        <v>0</v>
      </c>
      <c r="J754" t="n">
        <v>0</v>
      </c>
      <c r="K754" t="n">
        <v>0</v>
      </c>
      <c r="L754" t="n">
        <v>0</v>
      </c>
      <c r="M754" t="n">
        <v>0</v>
      </c>
      <c r="N754" t="n">
        <v>0</v>
      </c>
      <c r="O754" t="n">
        <v>0</v>
      </c>
      <c r="P754" t="n">
        <v>0</v>
      </c>
      <c r="Q754" t="n">
        <v>0</v>
      </c>
      <c r="R754" s="2" t="inlineStr"/>
    </row>
    <row r="755" ht="15" customHeight="1">
      <c r="A755" t="inlineStr">
        <is>
          <t>A 2260-2022</t>
        </is>
      </c>
      <c r="B755" s="1" t="n">
        <v>44578.62943287037</v>
      </c>
      <c r="C755" s="1" t="n">
        <v>45958</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11661-2023</t>
        </is>
      </c>
      <c r="B756" s="1" t="n">
        <v>44994.46908564815</v>
      </c>
      <c r="C756" s="1" t="n">
        <v>45958</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58046-2022</t>
        </is>
      </c>
      <c r="B757" s="1" t="n">
        <v>44900.57393518519</v>
      </c>
      <c r="C757" s="1" t="n">
        <v>45958</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45528-2021</t>
        </is>
      </c>
      <c r="B758" s="1" t="n">
        <v>44440.60415509259</v>
      </c>
      <c r="C758" s="1" t="n">
        <v>45958</v>
      </c>
      <c r="D758" t="inlineStr">
        <is>
          <t>KALMAR LÄN</t>
        </is>
      </c>
      <c r="E758" t="inlineStr">
        <is>
          <t>VIMMERBY</t>
        </is>
      </c>
      <c r="G758" t="n">
        <v>2.2</v>
      </c>
      <c r="H758" t="n">
        <v>0</v>
      </c>
      <c r="I758" t="n">
        <v>0</v>
      </c>
      <c r="J758" t="n">
        <v>0</v>
      </c>
      <c r="K758" t="n">
        <v>0</v>
      </c>
      <c r="L758" t="n">
        <v>0</v>
      </c>
      <c r="M758" t="n">
        <v>0</v>
      </c>
      <c r="N758" t="n">
        <v>0</v>
      </c>
      <c r="O758" t="n">
        <v>0</v>
      </c>
      <c r="P758" t="n">
        <v>0</v>
      </c>
      <c r="Q758" t="n">
        <v>0</v>
      </c>
      <c r="R758" s="2" t="inlineStr"/>
    </row>
    <row r="759" ht="15" customHeight="1">
      <c r="A759" t="inlineStr">
        <is>
          <t>A 46979-2023</t>
        </is>
      </c>
      <c r="B759" s="1" t="n">
        <v>45201</v>
      </c>
      <c r="C759" s="1" t="n">
        <v>45958</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12033-2024</t>
        </is>
      </c>
      <c r="B760" s="1" t="n">
        <v>45377.40043981482</v>
      </c>
      <c r="C760" s="1" t="n">
        <v>45958</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51408-2023</t>
        </is>
      </c>
      <c r="B761" s="1" t="n">
        <v>45219.69356481481</v>
      </c>
      <c r="C761" s="1" t="n">
        <v>45958</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6574-2023</t>
        </is>
      </c>
      <c r="B762" s="1" t="n">
        <v>44966</v>
      </c>
      <c r="C762" s="1" t="n">
        <v>45958</v>
      </c>
      <c r="D762" t="inlineStr">
        <is>
          <t>KALMAR LÄN</t>
        </is>
      </c>
      <c r="E762" t="inlineStr">
        <is>
          <t>VIMMERBY</t>
        </is>
      </c>
      <c r="G762" t="n">
        <v>2.5</v>
      </c>
      <c r="H762" t="n">
        <v>0</v>
      </c>
      <c r="I762" t="n">
        <v>0</v>
      </c>
      <c r="J762" t="n">
        <v>0</v>
      </c>
      <c r="K762" t="n">
        <v>0</v>
      </c>
      <c r="L762" t="n">
        <v>0</v>
      </c>
      <c r="M762" t="n">
        <v>0</v>
      </c>
      <c r="N762" t="n">
        <v>0</v>
      </c>
      <c r="O762" t="n">
        <v>0</v>
      </c>
      <c r="P762" t="n">
        <v>0</v>
      </c>
      <c r="Q762" t="n">
        <v>0</v>
      </c>
      <c r="R762" s="2" t="inlineStr"/>
    </row>
    <row r="763" ht="15" customHeight="1">
      <c r="A763" t="inlineStr">
        <is>
          <t>A 49488-2023</t>
        </is>
      </c>
      <c r="B763" s="1" t="n">
        <v>45211.55472222222</v>
      </c>
      <c r="C763" s="1" t="n">
        <v>45958</v>
      </c>
      <c r="D763" t="inlineStr">
        <is>
          <t>KALMAR LÄN</t>
        </is>
      </c>
      <c r="E763" t="inlineStr">
        <is>
          <t>VIMMERBY</t>
        </is>
      </c>
      <c r="F763" t="inlineStr">
        <is>
          <t>Sveaskog</t>
        </is>
      </c>
      <c r="G763" t="n">
        <v>6.2</v>
      </c>
      <c r="H763" t="n">
        <v>0</v>
      </c>
      <c r="I763" t="n">
        <v>0</v>
      </c>
      <c r="J763" t="n">
        <v>0</v>
      </c>
      <c r="K763" t="n">
        <v>0</v>
      </c>
      <c r="L763" t="n">
        <v>0</v>
      </c>
      <c r="M763" t="n">
        <v>0</v>
      </c>
      <c r="N763" t="n">
        <v>0</v>
      </c>
      <c r="O763" t="n">
        <v>0</v>
      </c>
      <c r="P763" t="n">
        <v>0</v>
      </c>
      <c r="Q763" t="n">
        <v>0</v>
      </c>
      <c r="R763" s="2" t="inlineStr"/>
    </row>
    <row r="764" ht="15" customHeight="1">
      <c r="A764" t="inlineStr">
        <is>
          <t>A 8410-2023</t>
        </is>
      </c>
      <c r="B764" s="1" t="n">
        <v>44977</v>
      </c>
      <c r="C764" s="1" t="n">
        <v>45958</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30920-2024</t>
        </is>
      </c>
      <c r="B765" s="1" t="n">
        <v>45498.673125</v>
      </c>
      <c r="C765" s="1" t="n">
        <v>45958</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4058-2024</t>
        </is>
      </c>
      <c r="B766" s="1" t="n">
        <v>45323.53744212963</v>
      </c>
      <c r="C766" s="1" t="n">
        <v>45958</v>
      </c>
      <c r="D766" t="inlineStr">
        <is>
          <t>KALMAR LÄN</t>
        </is>
      </c>
      <c r="E766" t="inlineStr">
        <is>
          <t>VIMMERBY</t>
        </is>
      </c>
      <c r="G766" t="n">
        <v>6.5</v>
      </c>
      <c r="H766" t="n">
        <v>0</v>
      </c>
      <c r="I766" t="n">
        <v>0</v>
      </c>
      <c r="J766" t="n">
        <v>0</v>
      </c>
      <c r="K766" t="n">
        <v>0</v>
      </c>
      <c r="L766" t="n">
        <v>0</v>
      </c>
      <c r="M766" t="n">
        <v>0</v>
      </c>
      <c r="N766" t="n">
        <v>0</v>
      </c>
      <c r="O766" t="n">
        <v>0</v>
      </c>
      <c r="P766" t="n">
        <v>0</v>
      </c>
      <c r="Q766" t="n">
        <v>0</v>
      </c>
      <c r="R766" s="2" t="inlineStr"/>
    </row>
    <row r="767" ht="15" customHeight="1">
      <c r="A767" t="inlineStr">
        <is>
          <t>A 1978-2024</t>
        </is>
      </c>
      <c r="B767" s="1" t="n">
        <v>45308.59001157407</v>
      </c>
      <c r="C767" s="1" t="n">
        <v>45958</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40929-2022</t>
        </is>
      </c>
      <c r="B768" s="1" t="n">
        <v>44825.4336574074</v>
      </c>
      <c r="C768" s="1" t="n">
        <v>45958</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30318-2023</t>
        </is>
      </c>
      <c r="B769" s="1" t="n">
        <v>45111.30824074074</v>
      </c>
      <c r="C769" s="1" t="n">
        <v>45958</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50091-2023</t>
        </is>
      </c>
      <c r="B770" s="1" t="n">
        <v>45215.60199074074</v>
      </c>
      <c r="C770" s="1" t="n">
        <v>45958</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36008-2024</t>
        </is>
      </c>
      <c r="B771" s="1" t="n">
        <v>45533.55362268518</v>
      </c>
      <c r="C771" s="1" t="n">
        <v>45958</v>
      </c>
      <c r="D771" t="inlineStr">
        <is>
          <t>KALMAR LÄN</t>
        </is>
      </c>
      <c r="E771" t="inlineStr">
        <is>
          <t>VIMMERBY</t>
        </is>
      </c>
      <c r="G771" t="n">
        <v>3.7</v>
      </c>
      <c r="H771" t="n">
        <v>0</v>
      </c>
      <c r="I771" t="n">
        <v>0</v>
      </c>
      <c r="J771" t="n">
        <v>0</v>
      </c>
      <c r="K771" t="n">
        <v>0</v>
      </c>
      <c r="L771" t="n">
        <v>0</v>
      </c>
      <c r="M771" t="n">
        <v>0</v>
      </c>
      <c r="N771" t="n">
        <v>0</v>
      </c>
      <c r="O771" t="n">
        <v>0</v>
      </c>
      <c r="P771" t="n">
        <v>0</v>
      </c>
      <c r="Q771" t="n">
        <v>0</v>
      </c>
      <c r="R771" s="2" t="inlineStr"/>
    </row>
    <row r="772" ht="15" customHeight="1">
      <c r="A772" t="inlineStr">
        <is>
          <t>A 16622-2025</t>
        </is>
      </c>
      <c r="B772" s="1" t="n">
        <v>45754.33641203704</v>
      </c>
      <c r="C772" s="1" t="n">
        <v>45958</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17511-2024</t>
        </is>
      </c>
      <c r="B773" s="1" t="n">
        <v>45415.57682870371</v>
      </c>
      <c r="C773" s="1" t="n">
        <v>45958</v>
      </c>
      <c r="D773" t="inlineStr">
        <is>
          <t>KALMAR LÄN</t>
        </is>
      </c>
      <c r="E773" t="inlineStr">
        <is>
          <t>VIMMERBY</t>
        </is>
      </c>
      <c r="G773" t="n">
        <v>5.3</v>
      </c>
      <c r="H773" t="n">
        <v>0</v>
      </c>
      <c r="I773" t="n">
        <v>0</v>
      </c>
      <c r="J773" t="n">
        <v>0</v>
      </c>
      <c r="K773" t="n">
        <v>0</v>
      </c>
      <c r="L773" t="n">
        <v>0</v>
      </c>
      <c r="M773" t="n">
        <v>0</v>
      </c>
      <c r="N773" t="n">
        <v>0</v>
      </c>
      <c r="O773" t="n">
        <v>0</v>
      </c>
      <c r="P773" t="n">
        <v>0</v>
      </c>
      <c r="Q773" t="n">
        <v>0</v>
      </c>
      <c r="R773" s="2" t="inlineStr"/>
    </row>
    <row r="774" ht="15" customHeight="1">
      <c r="A774" t="inlineStr">
        <is>
          <t>A 43705-2023</t>
        </is>
      </c>
      <c r="B774" s="1" t="n">
        <v>45187.42854166667</v>
      </c>
      <c r="C774" s="1" t="n">
        <v>45958</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25234-2023</t>
        </is>
      </c>
      <c r="B775" s="1" t="n">
        <v>45086.63194444445</v>
      </c>
      <c r="C775" s="1" t="n">
        <v>45958</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46078-2023</t>
        </is>
      </c>
      <c r="B776" s="1" t="n">
        <v>45196</v>
      </c>
      <c r="C776" s="1" t="n">
        <v>45958</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3609-2024</t>
        </is>
      </c>
      <c r="B777" s="1" t="n">
        <v>45320.89128472222</v>
      </c>
      <c r="C777" s="1" t="n">
        <v>45958</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10424-2023</t>
        </is>
      </c>
      <c r="B778" s="1" t="n">
        <v>44987.54104166666</v>
      </c>
      <c r="C778" s="1" t="n">
        <v>45958</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49382-2023</t>
        </is>
      </c>
      <c r="B779" s="1" t="n">
        <v>45208</v>
      </c>
      <c r="C779" s="1" t="n">
        <v>45958</v>
      </c>
      <c r="D779" t="inlineStr">
        <is>
          <t>KALMAR LÄN</t>
        </is>
      </c>
      <c r="E779" t="inlineStr">
        <is>
          <t>VIMMERBY</t>
        </is>
      </c>
      <c r="G779" t="n">
        <v>2.2</v>
      </c>
      <c r="H779" t="n">
        <v>0</v>
      </c>
      <c r="I779" t="n">
        <v>0</v>
      </c>
      <c r="J779" t="n">
        <v>0</v>
      </c>
      <c r="K779" t="n">
        <v>0</v>
      </c>
      <c r="L779" t="n">
        <v>0</v>
      </c>
      <c r="M779" t="n">
        <v>0</v>
      </c>
      <c r="N779" t="n">
        <v>0</v>
      </c>
      <c r="O779" t="n">
        <v>0</v>
      </c>
      <c r="P779" t="n">
        <v>0</v>
      </c>
      <c r="Q779" t="n">
        <v>0</v>
      </c>
      <c r="R779" s="2" t="inlineStr"/>
    </row>
    <row r="780" ht="15" customHeight="1">
      <c r="A780" t="inlineStr">
        <is>
          <t>A 12810-2023</t>
        </is>
      </c>
      <c r="B780" s="1" t="n">
        <v>45001.43854166667</v>
      </c>
      <c r="C780" s="1" t="n">
        <v>45958</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3425-2022</t>
        </is>
      </c>
      <c r="B781" s="1" t="n">
        <v>44585.51060185185</v>
      </c>
      <c r="C781" s="1" t="n">
        <v>45958</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60675-2023</t>
        </is>
      </c>
      <c r="B782" s="1" t="n">
        <v>45260.4716550926</v>
      </c>
      <c r="C782" s="1" t="n">
        <v>45958</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2536-2023</t>
        </is>
      </c>
      <c r="B783" s="1" t="n">
        <v>44943.62954861111</v>
      </c>
      <c r="C783" s="1" t="n">
        <v>45958</v>
      </c>
      <c r="D783" t="inlineStr">
        <is>
          <t>KALMAR LÄN</t>
        </is>
      </c>
      <c r="E783" t="inlineStr">
        <is>
          <t>VIMMERBY</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11111-2024</t>
        </is>
      </c>
      <c r="B784" s="1" t="n">
        <v>45371.36359953704</v>
      </c>
      <c r="C784" s="1" t="n">
        <v>45958</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1687-2023</t>
        </is>
      </c>
      <c r="B785" s="1" t="n">
        <v>44938</v>
      </c>
      <c r="C785" s="1" t="n">
        <v>45958</v>
      </c>
      <c r="D785" t="inlineStr">
        <is>
          <t>KALMAR LÄN</t>
        </is>
      </c>
      <c r="E785" t="inlineStr">
        <is>
          <t>VIMMERBY</t>
        </is>
      </c>
      <c r="F785" t="inlineStr">
        <is>
          <t>Kommuner</t>
        </is>
      </c>
      <c r="G785" t="n">
        <v>2.5</v>
      </c>
      <c r="H785" t="n">
        <v>0</v>
      </c>
      <c r="I785" t="n">
        <v>0</v>
      </c>
      <c r="J785" t="n">
        <v>0</v>
      </c>
      <c r="K785" t="n">
        <v>0</v>
      </c>
      <c r="L785" t="n">
        <v>0</v>
      </c>
      <c r="M785" t="n">
        <v>0</v>
      </c>
      <c r="N785" t="n">
        <v>0</v>
      </c>
      <c r="O785" t="n">
        <v>0</v>
      </c>
      <c r="P785" t="n">
        <v>0</v>
      </c>
      <c r="Q785" t="n">
        <v>0</v>
      </c>
      <c r="R785" s="2" t="inlineStr"/>
    </row>
    <row r="786" ht="15" customHeight="1">
      <c r="A786" t="inlineStr">
        <is>
          <t>A 3494-2023</t>
        </is>
      </c>
      <c r="B786" s="1" t="n">
        <v>44949</v>
      </c>
      <c r="C786" s="1" t="n">
        <v>45958</v>
      </c>
      <c r="D786" t="inlineStr">
        <is>
          <t>KALMAR LÄN</t>
        </is>
      </c>
      <c r="E786" t="inlineStr">
        <is>
          <t>VIMMERBY</t>
        </is>
      </c>
      <c r="F786" t="inlineStr">
        <is>
          <t>Kyrkan</t>
        </is>
      </c>
      <c r="G786" t="n">
        <v>0.8</v>
      </c>
      <c r="H786" t="n">
        <v>0</v>
      </c>
      <c r="I786" t="n">
        <v>0</v>
      </c>
      <c r="J786" t="n">
        <v>0</v>
      </c>
      <c r="K786" t="n">
        <v>0</v>
      </c>
      <c r="L786" t="n">
        <v>0</v>
      </c>
      <c r="M786" t="n">
        <v>0</v>
      </c>
      <c r="N786" t="n">
        <v>0</v>
      </c>
      <c r="O786" t="n">
        <v>0</v>
      </c>
      <c r="P786" t="n">
        <v>0</v>
      </c>
      <c r="Q786" t="n">
        <v>0</v>
      </c>
      <c r="R786" s="2" t="inlineStr"/>
    </row>
    <row r="787" ht="15" customHeight="1">
      <c r="A787" t="inlineStr">
        <is>
          <t>A 15449-2023</t>
        </is>
      </c>
      <c r="B787" s="1" t="n">
        <v>45020</v>
      </c>
      <c r="C787" s="1" t="n">
        <v>45958</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43242-2024</t>
        </is>
      </c>
      <c r="B788" s="1" t="n">
        <v>45568.30189814815</v>
      </c>
      <c r="C788" s="1" t="n">
        <v>45958</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61878-2020</t>
        </is>
      </c>
      <c r="B789" s="1" t="n">
        <v>44159</v>
      </c>
      <c r="C789" s="1" t="n">
        <v>45958</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56853-2022</t>
        </is>
      </c>
      <c r="B790" s="1" t="n">
        <v>44894.49538194444</v>
      </c>
      <c r="C790" s="1" t="n">
        <v>45958</v>
      </c>
      <c r="D790" t="inlineStr">
        <is>
          <t>KALMAR LÄN</t>
        </is>
      </c>
      <c r="E790" t="inlineStr">
        <is>
          <t>VIMMERBY</t>
        </is>
      </c>
      <c r="G790" t="n">
        <v>4.3</v>
      </c>
      <c r="H790" t="n">
        <v>0</v>
      </c>
      <c r="I790" t="n">
        <v>0</v>
      </c>
      <c r="J790" t="n">
        <v>0</v>
      </c>
      <c r="K790" t="n">
        <v>0</v>
      </c>
      <c r="L790" t="n">
        <v>0</v>
      </c>
      <c r="M790" t="n">
        <v>0</v>
      </c>
      <c r="N790" t="n">
        <v>0</v>
      </c>
      <c r="O790" t="n">
        <v>0</v>
      </c>
      <c r="P790" t="n">
        <v>0</v>
      </c>
      <c r="Q790" t="n">
        <v>0</v>
      </c>
      <c r="R790" s="2" t="inlineStr"/>
    </row>
    <row r="791" ht="15" customHeight="1">
      <c r="A791" t="inlineStr">
        <is>
          <t>A 65049-2020</t>
        </is>
      </c>
      <c r="B791" s="1" t="n">
        <v>44172</v>
      </c>
      <c r="C791" s="1" t="n">
        <v>45958</v>
      </c>
      <c r="D791" t="inlineStr">
        <is>
          <t>KALMAR LÄN</t>
        </is>
      </c>
      <c r="E791" t="inlineStr">
        <is>
          <t>VIMMERBY</t>
        </is>
      </c>
      <c r="G791" t="n">
        <v>2.3</v>
      </c>
      <c r="H791" t="n">
        <v>0</v>
      </c>
      <c r="I791" t="n">
        <v>0</v>
      </c>
      <c r="J791" t="n">
        <v>0</v>
      </c>
      <c r="K791" t="n">
        <v>0</v>
      </c>
      <c r="L791" t="n">
        <v>0</v>
      </c>
      <c r="M791" t="n">
        <v>0</v>
      </c>
      <c r="N791" t="n">
        <v>0</v>
      </c>
      <c r="O791" t="n">
        <v>0</v>
      </c>
      <c r="P791" t="n">
        <v>0</v>
      </c>
      <c r="Q791" t="n">
        <v>0</v>
      </c>
      <c r="R791" s="2" t="inlineStr"/>
    </row>
    <row r="792" ht="15" customHeight="1">
      <c r="A792" t="inlineStr">
        <is>
          <t>A 33815-2022</t>
        </is>
      </c>
      <c r="B792" s="1" t="n">
        <v>44790.45876157407</v>
      </c>
      <c r="C792" s="1" t="n">
        <v>45958</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33842-2022</t>
        </is>
      </c>
      <c r="B793" s="1" t="n">
        <v>44790.49523148148</v>
      </c>
      <c r="C793" s="1" t="n">
        <v>45958</v>
      </c>
      <c r="D793" t="inlineStr">
        <is>
          <t>KALMAR LÄN</t>
        </is>
      </c>
      <c r="E793" t="inlineStr">
        <is>
          <t>VIMMERBY</t>
        </is>
      </c>
      <c r="G793" t="n">
        <v>1.6</v>
      </c>
      <c r="H793" t="n">
        <v>0</v>
      </c>
      <c r="I793" t="n">
        <v>0</v>
      </c>
      <c r="J793" t="n">
        <v>0</v>
      </c>
      <c r="K793" t="n">
        <v>0</v>
      </c>
      <c r="L793" t="n">
        <v>0</v>
      </c>
      <c r="M793" t="n">
        <v>0</v>
      </c>
      <c r="N793" t="n">
        <v>0</v>
      </c>
      <c r="O793" t="n">
        <v>0</v>
      </c>
      <c r="P793" t="n">
        <v>0</v>
      </c>
      <c r="Q793" t="n">
        <v>0</v>
      </c>
      <c r="R793" s="2" t="inlineStr"/>
    </row>
    <row r="794" ht="15" customHeight="1">
      <c r="A794" t="inlineStr">
        <is>
          <t>A 49408-2023</t>
        </is>
      </c>
      <c r="B794" s="1" t="n">
        <v>45211.43555555555</v>
      </c>
      <c r="C794" s="1" t="n">
        <v>45958</v>
      </c>
      <c r="D794" t="inlineStr">
        <is>
          <t>KALMAR LÄN</t>
        </is>
      </c>
      <c r="E794" t="inlineStr">
        <is>
          <t>VIMMERBY</t>
        </is>
      </c>
      <c r="G794" t="n">
        <v>13.1</v>
      </c>
      <c r="H794" t="n">
        <v>0</v>
      </c>
      <c r="I794" t="n">
        <v>0</v>
      </c>
      <c r="J794" t="n">
        <v>0</v>
      </c>
      <c r="K794" t="n">
        <v>0</v>
      </c>
      <c r="L794" t="n">
        <v>0</v>
      </c>
      <c r="M794" t="n">
        <v>0</v>
      </c>
      <c r="N794" t="n">
        <v>0</v>
      </c>
      <c r="O794" t="n">
        <v>0</v>
      </c>
      <c r="P794" t="n">
        <v>0</v>
      </c>
      <c r="Q794" t="n">
        <v>0</v>
      </c>
      <c r="R794" s="2" t="inlineStr"/>
    </row>
    <row r="795" ht="15" customHeight="1">
      <c r="A795" t="inlineStr">
        <is>
          <t>A 56536-2022</t>
        </is>
      </c>
      <c r="B795" s="1" t="n">
        <v>44893</v>
      </c>
      <c r="C795" s="1" t="n">
        <v>45958</v>
      </c>
      <c r="D795" t="inlineStr">
        <is>
          <t>KALMAR LÄN</t>
        </is>
      </c>
      <c r="E795" t="inlineStr">
        <is>
          <t>VIMMERBY</t>
        </is>
      </c>
      <c r="G795" t="n">
        <v>3.2</v>
      </c>
      <c r="H795" t="n">
        <v>0</v>
      </c>
      <c r="I795" t="n">
        <v>0</v>
      </c>
      <c r="J795" t="n">
        <v>0</v>
      </c>
      <c r="K795" t="n">
        <v>0</v>
      </c>
      <c r="L795" t="n">
        <v>0</v>
      </c>
      <c r="M795" t="n">
        <v>0</v>
      </c>
      <c r="N795" t="n">
        <v>0</v>
      </c>
      <c r="O795" t="n">
        <v>0</v>
      </c>
      <c r="P795" t="n">
        <v>0</v>
      </c>
      <c r="Q795" t="n">
        <v>0</v>
      </c>
      <c r="R795" s="2" t="inlineStr"/>
    </row>
    <row r="796" ht="15" customHeight="1">
      <c r="A796" t="inlineStr">
        <is>
          <t>A 41199-2023</t>
        </is>
      </c>
      <c r="B796" s="1" t="n">
        <v>45174.40454861111</v>
      </c>
      <c r="C796" s="1" t="n">
        <v>45958</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8945-2025</t>
        </is>
      </c>
      <c r="B797" s="1" t="n">
        <v>45713.45311342592</v>
      </c>
      <c r="C797" s="1" t="n">
        <v>45958</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11619-2023</t>
        </is>
      </c>
      <c r="B798" s="1" t="n">
        <v>44994.42113425926</v>
      </c>
      <c r="C798" s="1" t="n">
        <v>45958</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41896-2023</t>
        </is>
      </c>
      <c r="B799" s="1" t="n">
        <v>45176.72427083334</v>
      </c>
      <c r="C799" s="1" t="n">
        <v>45958</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17926-2025</t>
        </is>
      </c>
      <c r="B800" s="1" t="n">
        <v>45759.38987268518</v>
      </c>
      <c r="C800" s="1" t="n">
        <v>45958</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21028-2023</t>
        </is>
      </c>
      <c r="B801" s="1" t="n">
        <v>45061</v>
      </c>
      <c r="C801" s="1" t="n">
        <v>45958</v>
      </c>
      <c r="D801" t="inlineStr">
        <is>
          <t>KALMAR LÄN</t>
        </is>
      </c>
      <c r="E801" t="inlineStr">
        <is>
          <t>VIMMERBY</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19445-2021</t>
        </is>
      </c>
      <c r="B802" s="1" t="n">
        <v>44310</v>
      </c>
      <c r="C802" s="1" t="n">
        <v>45958</v>
      </c>
      <c r="D802" t="inlineStr">
        <is>
          <t>KALMAR LÄN</t>
        </is>
      </c>
      <c r="E802" t="inlineStr">
        <is>
          <t>VIMMERBY</t>
        </is>
      </c>
      <c r="G802" t="n">
        <v>6.8</v>
      </c>
      <c r="H802" t="n">
        <v>0</v>
      </c>
      <c r="I802" t="n">
        <v>0</v>
      </c>
      <c r="J802" t="n">
        <v>0</v>
      </c>
      <c r="K802" t="n">
        <v>0</v>
      </c>
      <c r="L802" t="n">
        <v>0</v>
      </c>
      <c r="M802" t="n">
        <v>0</v>
      </c>
      <c r="N802" t="n">
        <v>0</v>
      </c>
      <c r="O802" t="n">
        <v>0</v>
      </c>
      <c r="P802" t="n">
        <v>0</v>
      </c>
      <c r="Q802" t="n">
        <v>0</v>
      </c>
      <c r="R802" s="2" t="inlineStr"/>
    </row>
    <row r="803" ht="15" customHeight="1">
      <c r="A803" t="inlineStr">
        <is>
          <t>A 27122-2023</t>
        </is>
      </c>
      <c r="B803" s="1" t="n">
        <v>45096.45247685185</v>
      </c>
      <c r="C803" s="1" t="n">
        <v>45958</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13813-2024</t>
        </is>
      </c>
      <c r="B804" s="1" t="n">
        <v>45391.41310185185</v>
      </c>
      <c r="C804" s="1" t="n">
        <v>45958</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38969-2023</t>
        </is>
      </c>
      <c r="B805" s="1" t="n">
        <v>45163.63621527778</v>
      </c>
      <c r="C805" s="1" t="n">
        <v>45958</v>
      </c>
      <c r="D805" t="inlineStr">
        <is>
          <t>KALMAR LÄN</t>
        </is>
      </c>
      <c r="E805" t="inlineStr">
        <is>
          <t>VIMMERBY</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26937-2023</t>
        </is>
      </c>
      <c r="B806" s="1" t="n">
        <v>45093.62777777778</v>
      </c>
      <c r="C806" s="1" t="n">
        <v>45958</v>
      </c>
      <c r="D806" t="inlineStr">
        <is>
          <t>KALMAR LÄN</t>
        </is>
      </c>
      <c r="E806" t="inlineStr">
        <is>
          <t>VIMMERBY</t>
        </is>
      </c>
      <c r="F806" t="inlineStr">
        <is>
          <t>Sveaskog</t>
        </is>
      </c>
      <c r="G806" t="n">
        <v>14.5</v>
      </c>
      <c r="H806" t="n">
        <v>0</v>
      </c>
      <c r="I806" t="n">
        <v>0</v>
      </c>
      <c r="J806" t="n">
        <v>0</v>
      </c>
      <c r="K806" t="n">
        <v>0</v>
      </c>
      <c r="L806" t="n">
        <v>0</v>
      </c>
      <c r="M806" t="n">
        <v>0</v>
      </c>
      <c r="N806" t="n">
        <v>0</v>
      </c>
      <c r="O806" t="n">
        <v>0</v>
      </c>
      <c r="P806" t="n">
        <v>0</v>
      </c>
      <c r="Q806" t="n">
        <v>0</v>
      </c>
      <c r="R806" s="2" t="inlineStr"/>
    </row>
    <row r="807" ht="15" customHeight="1">
      <c r="A807" t="inlineStr">
        <is>
          <t>A 57486-2024</t>
        </is>
      </c>
      <c r="B807" s="1" t="n">
        <v>45630.35827546296</v>
      </c>
      <c r="C807" s="1" t="n">
        <v>45958</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43186-2021</t>
        </is>
      </c>
      <c r="B808" s="1" t="n">
        <v>44431.84840277778</v>
      </c>
      <c r="C808" s="1" t="n">
        <v>45958</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1799-2025</t>
        </is>
      </c>
      <c r="B809" s="1" t="n">
        <v>45671.46746527778</v>
      </c>
      <c r="C809" s="1" t="n">
        <v>45958</v>
      </c>
      <c r="D809" t="inlineStr">
        <is>
          <t>KALMAR LÄN</t>
        </is>
      </c>
      <c r="E809" t="inlineStr">
        <is>
          <t>VIMMERBY</t>
        </is>
      </c>
      <c r="G809" t="n">
        <v>3.3</v>
      </c>
      <c r="H809" t="n">
        <v>0</v>
      </c>
      <c r="I809" t="n">
        <v>0</v>
      </c>
      <c r="J809" t="n">
        <v>0</v>
      </c>
      <c r="K809" t="n">
        <v>0</v>
      </c>
      <c r="L809" t="n">
        <v>0</v>
      </c>
      <c r="M809" t="n">
        <v>0</v>
      </c>
      <c r="N809" t="n">
        <v>0</v>
      </c>
      <c r="O809" t="n">
        <v>0</v>
      </c>
      <c r="P809" t="n">
        <v>0</v>
      </c>
      <c r="Q809" t="n">
        <v>0</v>
      </c>
      <c r="R809" s="2" t="inlineStr"/>
    </row>
    <row r="810" ht="15" customHeight="1">
      <c r="A810" t="inlineStr">
        <is>
          <t>A 30063-2023</t>
        </is>
      </c>
      <c r="B810" s="1" t="n">
        <v>45110.4184375</v>
      </c>
      <c r="C810" s="1" t="n">
        <v>45958</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43068-2023</t>
        </is>
      </c>
      <c r="B811" s="1" t="n">
        <v>45182.78834490741</v>
      </c>
      <c r="C811" s="1" t="n">
        <v>45958</v>
      </c>
      <c r="D811" t="inlineStr">
        <is>
          <t>KALMAR LÄN</t>
        </is>
      </c>
      <c r="E811" t="inlineStr">
        <is>
          <t>VIMMERBY</t>
        </is>
      </c>
      <c r="G811" t="n">
        <v>1.5</v>
      </c>
      <c r="H811" t="n">
        <v>0</v>
      </c>
      <c r="I811" t="n">
        <v>0</v>
      </c>
      <c r="J811" t="n">
        <v>0</v>
      </c>
      <c r="K811" t="n">
        <v>0</v>
      </c>
      <c r="L811" t="n">
        <v>0</v>
      </c>
      <c r="M811" t="n">
        <v>0</v>
      </c>
      <c r="N811" t="n">
        <v>0</v>
      </c>
      <c r="O811" t="n">
        <v>0</v>
      </c>
      <c r="P811" t="n">
        <v>0</v>
      </c>
      <c r="Q811" t="n">
        <v>0</v>
      </c>
      <c r="R811" s="2" t="inlineStr"/>
    </row>
    <row r="812" ht="15" customHeight="1">
      <c r="A812" t="inlineStr">
        <is>
          <t>A 18020-2025</t>
        </is>
      </c>
      <c r="B812" s="1" t="n">
        <v>45761.4437962963</v>
      </c>
      <c r="C812" s="1" t="n">
        <v>45958</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33424-2023</t>
        </is>
      </c>
      <c r="B813" s="1" t="n">
        <v>45128.9325</v>
      </c>
      <c r="C813" s="1" t="n">
        <v>45958</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33425-2023</t>
        </is>
      </c>
      <c r="B814" s="1" t="n">
        <v>45128.93540509259</v>
      </c>
      <c r="C814" s="1" t="n">
        <v>45958</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44999.36081018519</v>
      </c>
      <c r="C815" s="1" t="n">
        <v>45958</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43092-2024</t>
        </is>
      </c>
      <c r="B816" s="1" t="n">
        <v>45567</v>
      </c>
      <c r="C816" s="1" t="n">
        <v>45958</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52435-2021</t>
        </is>
      </c>
      <c r="B817" s="1" t="n">
        <v>44466.34962962963</v>
      </c>
      <c r="C817" s="1" t="n">
        <v>45958</v>
      </c>
      <c r="D817" t="inlineStr">
        <is>
          <t>KALMAR LÄN</t>
        </is>
      </c>
      <c r="E817" t="inlineStr">
        <is>
          <t>VIMMERBY</t>
        </is>
      </c>
      <c r="G817" t="n">
        <v>2.8</v>
      </c>
      <c r="H817" t="n">
        <v>0</v>
      </c>
      <c r="I817" t="n">
        <v>0</v>
      </c>
      <c r="J817" t="n">
        <v>0</v>
      </c>
      <c r="K817" t="n">
        <v>0</v>
      </c>
      <c r="L817" t="n">
        <v>0</v>
      </c>
      <c r="M817" t="n">
        <v>0</v>
      </c>
      <c r="N817" t="n">
        <v>0</v>
      </c>
      <c r="O817" t="n">
        <v>0</v>
      </c>
      <c r="P817" t="n">
        <v>0</v>
      </c>
      <c r="Q817" t="n">
        <v>0</v>
      </c>
      <c r="R817" s="2" t="inlineStr"/>
    </row>
    <row r="818" ht="15" customHeight="1">
      <c r="A818" t="inlineStr">
        <is>
          <t>A 35127-2024</t>
        </is>
      </c>
      <c r="B818" s="1" t="n">
        <v>45530.33202546297</v>
      </c>
      <c r="C818" s="1" t="n">
        <v>45958</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60215-2022</t>
        </is>
      </c>
      <c r="B819" s="1" t="n">
        <v>44910.41346064815</v>
      </c>
      <c r="C819" s="1" t="n">
        <v>45958</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29441-2024</t>
        </is>
      </c>
      <c r="B820" s="1" t="n">
        <v>45483.82834490741</v>
      </c>
      <c r="C820" s="1" t="n">
        <v>45958</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6216-2025</t>
        </is>
      </c>
      <c r="B821" s="1" t="n">
        <v>45698.52806712963</v>
      </c>
      <c r="C821" s="1" t="n">
        <v>45958</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62779-2023</t>
        </is>
      </c>
      <c r="B822" s="1" t="n">
        <v>45271.66576388889</v>
      </c>
      <c r="C822" s="1" t="n">
        <v>45958</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52294-2023</t>
        </is>
      </c>
      <c r="B823" s="1" t="n">
        <v>45224.60075231481</v>
      </c>
      <c r="C823" s="1" t="n">
        <v>45958</v>
      </c>
      <c r="D823" t="inlineStr">
        <is>
          <t>KALMAR LÄN</t>
        </is>
      </c>
      <c r="E823" t="inlineStr">
        <is>
          <t>VIMMERBY</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31013-2023</t>
        </is>
      </c>
      <c r="B824" s="1" t="n">
        <v>45113.56574074074</v>
      </c>
      <c r="C824" s="1" t="n">
        <v>45958</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72067-2021</t>
        </is>
      </c>
      <c r="B825" s="1" t="n">
        <v>44540</v>
      </c>
      <c r="C825" s="1" t="n">
        <v>45958</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61538-2022</t>
        </is>
      </c>
      <c r="B826" s="1" t="n">
        <v>44916.55414351852</v>
      </c>
      <c r="C826" s="1" t="n">
        <v>45958</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36155-2023</t>
        </is>
      </c>
      <c r="B827" s="1" t="n">
        <v>45149.60917824074</v>
      </c>
      <c r="C827" s="1" t="n">
        <v>45958</v>
      </c>
      <c r="D827" t="inlineStr">
        <is>
          <t>KALMAR LÄN</t>
        </is>
      </c>
      <c r="E827" t="inlineStr">
        <is>
          <t>VIMMERBY</t>
        </is>
      </c>
      <c r="G827" t="n">
        <v>5</v>
      </c>
      <c r="H827" t="n">
        <v>0</v>
      </c>
      <c r="I827" t="n">
        <v>0</v>
      </c>
      <c r="J827" t="n">
        <v>0</v>
      </c>
      <c r="K827" t="n">
        <v>0</v>
      </c>
      <c r="L827" t="n">
        <v>0</v>
      </c>
      <c r="M827" t="n">
        <v>0</v>
      </c>
      <c r="N827" t="n">
        <v>0</v>
      </c>
      <c r="O827" t="n">
        <v>0</v>
      </c>
      <c r="P827" t="n">
        <v>0</v>
      </c>
      <c r="Q827" t="n">
        <v>0</v>
      </c>
      <c r="R827" s="2" t="inlineStr"/>
    </row>
    <row r="828" ht="15" customHeight="1">
      <c r="A828" t="inlineStr">
        <is>
          <t>A 29173-2024</t>
        </is>
      </c>
      <c r="B828" s="1" t="n">
        <v>45482.52887731481</v>
      </c>
      <c r="C828" s="1" t="n">
        <v>45958</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53542-2022</t>
        </is>
      </c>
      <c r="B829" s="1" t="n">
        <v>44879.62173611111</v>
      </c>
      <c r="C829" s="1" t="n">
        <v>45958</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6807-2025</t>
        </is>
      </c>
      <c r="B830" s="1" t="n">
        <v>45700.68672453704</v>
      </c>
      <c r="C830" s="1" t="n">
        <v>45958</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7047-2022</t>
        </is>
      </c>
      <c r="B831" s="1" t="n">
        <v>44603</v>
      </c>
      <c r="C831" s="1" t="n">
        <v>45958</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35711-2023</t>
        </is>
      </c>
      <c r="B832" s="1" t="n">
        <v>45147.67172453704</v>
      </c>
      <c r="C832" s="1" t="n">
        <v>45958</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5382-2023</t>
        </is>
      </c>
      <c r="B833" s="1" t="n">
        <v>44959.66407407408</v>
      </c>
      <c r="C833" s="1" t="n">
        <v>45958</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40823-2023</t>
        </is>
      </c>
      <c r="B834" s="1" t="n">
        <v>45171.77335648148</v>
      </c>
      <c r="C834" s="1" t="n">
        <v>45958</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6218-2025</t>
        </is>
      </c>
      <c r="B835" s="1" t="n">
        <v>45698.53336805556</v>
      </c>
      <c r="C835" s="1" t="n">
        <v>45958</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30920-2023</t>
        </is>
      </c>
      <c r="B836" s="1" t="n">
        <v>45113.43921296296</v>
      </c>
      <c r="C836" s="1" t="n">
        <v>45958</v>
      </c>
      <c r="D836" t="inlineStr">
        <is>
          <t>KALMAR LÄN</t>
        </is>
      </c>
      <c r="E836" t="inlineStr">
        <is>
          <t>VIMMERBY</t>
        </is>
      </c>
      <c r="G836" t="n">
        <v>3.1</v>
      </c>
      <c r="H836" t="n">
        <v>0</v>
      </c>
      <c r="I836" t="n">
        <v>0</v>
      </c>
      <c r="J836" t="n">
        <v>0</v>
      </c>
      <c r="K836" t="n">
        <v>0</v>
      </c>
      <c r="L836" t="n">
        <v>0</v>
      </c>
      <c r="M836" t="n">
        <v>0</v>
      </c>
      <c r="N836" t="n">
        <v>0</v>
      </c>
      <c r="O836" t="n">
        <v>0</v>
      </c>
      <c r="P836" t="n">
        <v>0</v>
      </c>
      <c r="Q836" t="n">
        <v>0</v>
      </c>
      <c r="R836" s="2" t="inlineStr"/>
    </row>
    <row r="837" ht="15" customHeight="1">
      <c r="A837" t="inlineStr">
        <is>
          <t>A 6857-2023</t>
        </is>
      </c>
      <c r="B837" s="1" t="n">
        <v>44967.45122685185</v>
      </c>
      <c r="C837" s="1" t="n">
        <v>45958</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45958</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10303-2025</t>
        </is>
      </c>
      <c r="B839" s="1" t="n">
        <v>45720.44217592593</v>
      </c>
      <c r="C839" s="1" t="n">
        <v>45958</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60110-2022</t>
        </is>
      </c>
      <c r="B840" s="1" t="n">
        <v>44909</v>
      </c>
      <c r="C840" s="1" t="n">
        <v>45958</v>
      </c>
      <c r="D840" t="inlineStr">
        <is>
          <t>KALMAR LÄN</t>
        </is>
      </c>
      <c r="E840" t="inlineStr">
        <is>
          <t>VIMMERBY</t>
        </is>
      </c>
      <c r="G840" t="n">
        <v>1.7</v>
      </c>
      <c r="H840" t="n">
        <v>0</v>
      </c>
      <c r="I840" t="n">
        <v>0</v>
      </c>
      <c r="J840" t="n">
        <v>0</v>
      </c>
      <c r="K840" t="n">
        <v>0</v>
      </c>
      <c r="L840" t="n">
        <v>0</v>
      </c>
      <c r="M840" t="n">
        <v>0</v>
      </c>
      <c r="N840" t="n">
        <v>0</v>
      </c>
      <c r="O840" t="n">
        <v>0</v>
      </c>
      <c r="P840" t="n">
        <v>0</v>
      </c>
      <c r="Q840" t="n">
        <v>0</v>
      </c>
      <c r="R840" s="2" t="inlineStr"/>
    </row>
    <row r="841" ht="15" customHeight="1">
      <c r="A841" t="inlineStr">
        <is>
          <t>A 15394-2025</t>
        </is>
      </c>
      <c r="B841" s="1" t="n">
        <v>45747.43196759259</v>
      </c>
      <c r="C841" s="1" t="n">
        <v>45958</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15388-2025</t>
        </is>
      </c>
      <c r="B842" s="1" t="n">
        <v>45747.42633101852</v>
      </c>
      <c r="C842" s="1" t="n">
        <v>45958</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15391-2025</t>
        </is>
      </c>
      <c r="B843" s="1" t="n">
        <v>45747.42958333333</v>
      </c>
      <c r="C843" s="1" t="n">
        <v>45958</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6474-2025</t>
        </is>
      </c>
      <c r="B844" s="1" t="n">
        <v>45699.60055555555</v>
      </c>
      <c r="C844" s="1" t="n">
        <v>45958</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32919-2022</t>
        </is>
      </c>
      <c r="B845" s="1" t="n">
        <v>44784.62724537037</v>
      </c>
      <c r="C845" s="1" t="n">
        <v>45958</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56659-2023</t>
        </is>
      </c>
      <c r="B846" s="1" t="n">
        <v>45243.84869212963</v>
      </c>
      <c r="C846" s="1" t="n">
        <v>45958</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13015-2022</t>
        </is>
      </c>
      <c r="B847" s="1" t="n">
        <v>44643</v>
      </c>
      <c r="C847" s="1" t="n">
        <v>45958</v>
      </c>
      <c r="D847" t="inlineStr">
        <is>
          <t>KALMAR LÄN</t>
        </is>
      </c>
      <c r="E847" t="inlineStr">
        <is>
          <t>VIMMERBY</t>
        </is>
      </c>
      <c r="G847" t="n">
        <v>2.4</v>
      </c>
      <c r="H847" t="n">
        <v>0</v>
      </c>
      <c r="I847" t="n">
        <v>0</v>
      </c>
      <c r="J847" t="n">
        <v>0</v>
      </c>
      <c r="K847" t="n">
        <v>0</v>
      </c>
      <c r="L847" t="n">
        <v>0</v>
      </c>
      <c r="M847" t="n">
        <v>0</v>
      </c>
      <c r="N847" t="n">
        <v>0</v>
      </c>
      <c r="O847" t="n">
        <v>0</v>
      </c>
      <c r="P847" t="n">
        <v>0</v>
      </c>
      <c r="Q847" t="n">
        <v>0</v>
      </c>
      <c r="R847" s="2" t="inlineStr"/>
    </row>
    <row r="848" ht="15" customHeight="1">
      <c r="A848" t="inlineStr">
        <is>
          <t>A 17968-2025</t>
        </is>
      </c>
      <c r="B848" s="1" t="n">
        <v>45761.35990740741</v>
      </c>
      <c r="C848" s="1" t="n">
        <v>45958</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6028-2023</t>
        </is>
      </c>
      <c r="B849" s="1" t="n">
        <v>44964.44356481481</v>
      </c>
      <c r="C849" s="1" t="n">
        <v>45958</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55436-2023</t>
        </is>
      </c>
      <c r="B850" s="1" t="n">
        <v>45238.4328587963</v>
      </c>
      <c r="C850" s="1" t="n">
        <v>45958</v>
      </c>
      <c r="D850" t="inlineStr">
        <is>
          <t>KALMAR LÄN</t>
        </is>
      </c>
      <c r="E850" t="inlineStr">
        <is>
          <t>VIMMERBY</t>
        </is>
      </c>
      <c r="G850" t="n">
        <v>5.6</v>
      </c>
      <c r="H850" t="n">
        <v>0</v>
      </c>
      <c r="I850" t="n">
        <v>0</v>
      </c>
      <c r="J850" t="n">
        <v>0</v>
      </c>
      <c r="K850" t="n">
        <v>0</v>
      </c>
      <c r="L850" t="n">
        <v>0</v>
      </c>
      <c r="M850" t="n">
        <v>0</v>
      </c>
      <c r="N850" t="n">
        <v>0</v>
      </c>
      <c r="O850" t="n">
        <v>0</v>
      </c>
      <c r="P850" t="n">
        <v>0</v>
      </c>
      <c r="Q850" t="n">
        <v>0</v>
      </c>
      <c r="R850" s="2" t="inlineStr"/>
    </row>
    <row r="851" ht="15" customHeight="1">
      <c r="A851" t="inlineStr">
        <is>
          <t>A 56582-2022</t>
        </is>
      </c>
      <c r="B851" s="1" t="n">
        <v>44893</v>
      </c>
      <c r="C851" s="1" t="n">
        <v>45958</v>
      </c>
      <c r="D851" t="inlineStr">
        <is>
          <t>KALMAR LÄN</t>
        </is>
      </c>
      <c r="E851" t="inlineStr">
        <is>
          <t>VIMMERBY</t>
        </is>
      </c>
      <c r="G851" t="n">
        <v>2.2</v>
      </c>
      <c r="H851" t="n">
        <v>0</v>
      </c>
      <c r="I851" t="n">
        <v>0</v>
      </c>
      <c r="J851" t="n">
        <v>0</v>
      </c>
      <c r="K851" t="n">
        <v>0</v>
      </c>
      <c r="L851" t="n">
        <v>0</v>
      </c>
      <c r="M851" t="n">
        <v>0</v>
      </c>
      <c r="N851" t="n">
        <v>0</v>
      </c>
      <c r="O851" t="n">
        <v>0</v>
      </c>
      <c r="P851" t="n">
        <v>0</v>
      </c>
      <c r="Q851" t="n">
        <v>0</v>
      </c>
      <c r="R851" s="2" t="inlineStr"/>
    </row>
    <row r="852" ht="15" customHeight="1">
      <c r="A852" t="inlineStr">
        <is>
          <t>A 20-2025</t>
        </is>
      </c>
      <c r="B852" s="1" t="n">
        <v>45658.80232638889</v>
      </c>
      <c r="C852" s="1" t="n">
        <v>45958</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23-2025</t>
        </is>
      </c>
      <c r="B853" s="1" t="n">
        <v>45658.80827546296</v>
      </c>
      <c r="C853" s="1" t="n">
        <v>45958</v>
      </c>
      <c r="D853" t="inlineStr">
        <is>
          <t>KALMAR LÄN</t>
        </is>
      </c>
      <c r="E853" t="inlineStr">
        <is>
          <t>VIMMERBY</t>
        </is>
      </c>
      <c r="G853" t="n">
        <v>1.8</v>
      </c>
      <c r="H853" t="n">
        <v>0</v>
      </c>
      <c r="I853" t="n">
        <v>0</v>
      </c>
      <c r="J853" t="n">
        <v>0</v>
      </c>
      <c r="K853" t="n">
        <v>0</v>
      </c>
      <c r="L853" t="n">
        <v>0</v>
      </c>
      <c r="M853" t="n">
        <v>0</v>
      </c>
      <c r="N853" t="n">
        <v>0</v>
      </c>
      <c r="O853" t="n">
        <v>0</v>
      </c>
      <c r="P853" t="n">
        <v>0</v>
      </c>
      <c r="Q853" t="n">
        <v>0</v>
      </c>
      <c r="R853" s="2" t="inlineStr"/>
    </row>
    <row r="854" ht="15" customHeight="1">
      <c r="A854" t="inlineStr">
        <is>
          <t>A 43962-2024</t>
        </is>
      </c>
      <c r="B854" s="1" t="n">
        <v>45572.48293981481</v>
      </c>
      <c r="C854" s="1" t="n">
        <v>45958</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35713-2023</t>
        </is>
      </c>
      <c r="B855" s="1" t="n">
        <v>45147</v>
      </c>
      <c r="C855" s="1" t="n">
        <v>45958</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40147-2023</t>
        </is>
      </c>
      <c r="B856" s="1" t="n">
        <v>45169</v>
      </c>
      <c r="C856" s="1" t="n">
        <v>45958</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50995-2022</t>
        </is>
      </c>
      <c r="B857" s="1" t="n">
        <v>44867</v>
      </c>
      <c r="C857" s="1" t="n">
        <v>45958</v>
      </c>
      <c r="D857" t="inlineStr">
        <is>
          <t>KALMAR LÄN</t>
        </is>
      </c>
      <c r="E857" t="inlineStr">
        <is>
          <t>VIMMERBY</t>
        </is>
      </c>
      <c r="G857" t="n">
        <v>2.4</v>
      </c>
      <c r="H857" t="n">
        <v>0</v>
      </c>
      <c r="I857" t="n">
        <v>0</v>
      </c>
      <c r="J857" t="n">
        <v>0</v>
      </c>
      <c r="K857" t="n">
        <v>0</v>
      </c>
      <c r="L857" t="n">
        <v>0</v>
      </c>
      <c r="M857" t="n">
        <v>0</v>
      </c>
      <c r="N857" t="n">
        <v>0</v>
      </c>
      <c r="O857" t="n">
        <v>0</v>
      </c>
      <c r="P857" t="n">
        <v>0</v>
      </c>
      <c r="Q857" t="n">
        <v>0</v>
      </c>
      <c r="R857" s="2" t="inlineStr"/>
    </row>
    <row r="858" ht="15" customHeight="1">
      <c r="A858" t="inlineStr">
        <is>
          <t>A 27993-2022</t>
        </is>
      </c>
      <c r="B858" s="1" t="n">
        <v>44745.84396990741</v>
      </c>
      <c r="C858" s="1" t="n">
        <v>45958</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57555-2024</t>
        </is>
      </c>
      <c r="B859" s="1" t="n">
        <v>45630.45069444444</v>
      </c>
      <c r="C859" s="1" t="n">
        <v>45958</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36014-2024</t>
        </is>
      </c>
      <c r="B860" s="1" t="n">
        <v>45533.56108796296</v>
      </c>
      <c r="C860" s="1" t="n">
        <v>45958</v>
      </c>
      <c r="D860" t="inlineStr">
        <is>
          <t>KALMAR LÄN</t>
        </is>
      </c>
      <c r="E860" t="inlineStr">
        <is>
          <t>VIMMERBY</t>
        </is>
      </c>
      <c r="G860" t="n">
        <v>2.3</v>
      </c>
      <c r="H860" t="n">
        <v>0</v>
      </c>
      <c r="I860" t="n">
        <v>0</v>
      </c>
      <c r="J860" t="n">
        <v>0</v>
      </c>
      <c r="K860" t="n">
        <v>0</v>
      </c>
      <c r="L860" t="n">
        <v>0</v>
      </c>
      <c r="M860" t="n">
        <v>0</v>
      </c>
      <c r="N860" t="n">
        <v>0</v>
      </c>
      <c r="O860" t="n">
        <v>0</v>
      </c>
      <c r="P860" t="n">
        <v>0</v>
      </c>
      <c r="Q860" t="n">
        <v>0</v>
      </c>
      <c r="R860" s="2" t="inlineStr"/>
    </row>
    <row r="861" ht="15" customHeight="1">
      <c r="A861" t="inlineStr">
        <is>
          <t>A 36030-2024</t>
        </is>
      </c>
      <c r="B861" s="1" t="n">
        <v>45533.58302083334</v>
      </c>
      <c r="C861" s="1" t="n">
        <v>45958</v>
      </c>
      <c r="D861" t="inlineStr">
        <is>
          <t>KALMAR LÄN</t>
        </is>
      </c>
      <c r="E861" t="inlineStr">
        <is>
          <t>VIMMERBY</t>
        </is>
      </c>
      <c r="F861" t="inlineStr">
        <is>
          <t>Kommuner</t>
        </is>
      </c>
      <c r="G861" t="n">
        <v>4</v>
      </c>
      <c r="H861" t="n">
        <v>0</v>
      </c>
      <c r="I861" t="n">
        <v>0</v>
      </c>
      <c r="J861" t="n">
        <v>0</v>
      </c>
      <c r="K861" t="n">
        <v>0</v>
      </c>
      <c r="L861" t="n">
        <v>0</v>
      </c>
      <c r="M861" t="n">
        <v>0</v>
      </c>
      <c r="N861" t="n">
        <v>0</v>
      </c>
      <c r="O861" t="n">
        <v>0</v>
      </c>
      <c r="P861" t="n">
        <v>0</v>
      </c>
      <c r="Q861" t="n">
        <v>0</v>
      </c>
      <c r="R861" s="2" t="inlineStr"/>
    </row>
    <row r="862">
      <c r="A862" t="inlineStr">
        <is>
          <t>A 32865-2023</t>
        </is>
      </c>
      <c r="B862" s="1" t="n">
        <v>45124</v>
      </c>
      <c r="C862" s="1" t="n">
        <v>45958</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2025-10-28T10:27:03Z</dcterms:created>
  <dcterms:modified xmlns:dcterms="http://purl.org/dc/terms/" xmlns:xsi="http://www.w3.org/2001/XMLSchema-instance" xsi:type="dcterms:W3CDTF">2025-10-28T10:27:04Z</dcterms:modified>
</cp:coreProperties>
</file>