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46017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46017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46017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46017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46017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46017</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46017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46017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46017</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46017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58997-2025</t>
        </is>
      </c>
      <c r="B13" s="1" t="n">
        <v>45987</v>
      </c>
      <c r="C13" s="1" t="n">
        <v>46017</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46824-2025</t>
        </is>
      </c>
      <c r="B14" s="1" t="n">
        <v>45926.90006944445</v>
      </c>
      <c r="C14" s="1" t="n">
        <v>46017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3075-2025</t>
        </is>
      </c>
      <c r="B15" s="1" t="n">
        <v>45678</v>
      </c>
      <c r="C15" s="1" t="n">
        <v>46017</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55604-2025</t>
        </is>
      </c>
      <c r="B16" s="1" t="n">
        <v>45971</v>
      </c>
      <c r="C16" s="1" t="n">
        <v>46017</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15808-2025</t>
        </is>
      </c>
      <c r="B17" s="1" t="n">
        <v>45748</v>
      </c>
      <c r="C17" s="1" t="n">
        <v>46017</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8411-2021</t>
        </is>
      </c>
      <c r="B18" s="1" t="n">
        <v>44245</v>
      </c>
      <c r="C18" s="1" t="n">
        <v>46017</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46017</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46017</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46017</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46017</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46017</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46017</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46017</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14024-2023</t>
        </is>
      </c>
      <c r="B26" s="1" t="n">
        <v>45008.60878472222</v>
      </c>
      <c r="C26" s="1" t="n">
        <v>46017</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2518-2023</t>
        </is>
      </c>
      <c r="B27" s="1" t="n">
        <v>44943</v>
      </c>
      <c r="C27" s="1" t="n">
        <v>46017</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46017</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40684-2025</t>
        </is>
      </c>
      <c r="B29" s="1" t="n">
        <v>45896.86820601852</v>
      </c>
      <c r="C29" s="1" t="n">
        <v>46017</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22825-2023</t>
        </is>
      </c>
      <c r="B30" s="1" t="n">
        <v>45072</v>
      </c>
      <c r="C30" s="1" t="n">
        <v>46017</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42802-2025</t>
        </is>
      </c>
      <c r="B31" s="1" t="n">
        <v>45908</v>
      </c>
      <c r="C31" s="1" t="n">
        <v>46017</v>
      </c>
      <c r="D31" t="inlineStr">
        <is>
          <t>KALMAR LÄN</t>
        </is>
      </c>
      <c r="E31" t="inlineStr">
        <is>
          <t>VIMMERBY</t>
        </is>
      </c>
      <c r="G31" t="n">
        <v>2.8</v>
      </c>
      <c r="H31" t="n">
        <v>1</v>
      </c>
      <c r="I31" t="n">
        <v>1</v>
      </c>
      <c r="J31" t="n">
        <v>0</v>
      </c>
      <c r="K31" t="n">
        <v>0</v>
      </c>
      <c r="L31" t="n">
        <v>0</v>
      </c>
      <c r="M31" t="n">
        <v>0</v>
      </c>
      <c r="N31" t="n">
        <v>0</v>
      </c>
      <c r="O31" t="n">
        <v>0</v>
      </c>
      <c r="P31" t="n">
        <v>0</v>
      </c>
      <c r="Q31" t="n">
        <v>2</v>
      </c>
      <c r="R31" s="2" t="inlineStr">
        <is>
          <t>Tibast
Fläcknycklar</t>
        </is>
      </c>
      <c r="S31">
        <f>HYPERLINK("https://klasma.github.io/Logging_0884/artfynd/A 42802-2025 artfynd.xlsx", "A 42802-2025")</f>
        <v/>
      </c>
      <c r="T31">
        <f>HYPERLINK("https://klasma.github.io/Logging_0884/kartor/A 42802-2025 karta.png", "A 42802-2025")</f>
        <v/>
      </c>
      <c r="V31">
        <f>HYPERLINK("https://klasma.github.io/Logging_0884/klagomål/A 42802-2025 FSC-klagomål.docx", "A 42802-2025")</f>
        <v/>
      </c>
      <c r="W31">
        <f>HYPERLINK("https://klasma.github.io/Logging_0884/klagomålsmail/A 42802-2025 FSC-klagomål mail.docx", "A 42802-2025")</f>
        <v/>
      </c>
      <c r="X31">
        <f>HYPERLINK("https://klasma.github.io/Logging_0884/tillsyn/A 42802-2025 tillsynsbegäran.docx", "A 42802-2025")</f>
        <v/>
      </c>
      <c r="Y31">
        <f>HYPERLINK("https://klasma.github.io/Logging_0884/tillsynsmail/A 42802-2025 tillsynsbegäran mail.docx", "A 42802-2025")</f>
        <v/>
      </c>
    </row>
    <row r="32" ht="15" customHeight="1">
      <c r="A32" t="inlineStr">
        <is>
          <t>A 19158-2023</t>
        </is>
      </c>
      <c r="B32" s="1" t="n">
        <v>45048</v>
      </c>
      <c r="C32" s="1" t="n">
        <v>46017</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46017</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53787-2025</t>
        </is>
      </c>
      <c r="B34" s="1" t="n">
        <v>45960</v>
      </c>
      <c r="C34" s="1" t="n">
        <v>46017</v>
      </c>
      <c r="D34" t="inlineStr">
        <is>
          <t>KALMAR LÄN</t>
        </is>
      </c>
      <c r="E34" t="inlineStr">
        <is>
          <t>VIMMERBY</t>
        </is>
      </c>
      <c r="F34" t="inlineStr">
        <is>
          <t>Övriga statliga verk och myndigheter</t>
        </is>
      </c>
      <c r="G34" t="n">
        <v>1.8</v>
      </c>
      <c r="H34" t="n">
        <v>0</v>
      </c>
      <c r="I34" t="n">
        <v>0</v>
      </c>
      <c r="J34" t="n">
        <v>1</v>
      </c>
      <c r="K34" t="n">
        <v>1</v>
      </c>
      <c r="L34" t="n">
        <v>0</v>
      </c>
      <c r="M34" t="n">
        <v>0</v>
      </c>
      <c r="N34" t="n">
        <v>0</v>
      </c>
      <c r="O34" t="n">
        <v>2</v>
      </c>
      <c r="P34" t="n">
        <v>1</v>
      </c>
      <c r="Q34" t="n">
        <v>2</v>
      </c>
      <c r="R34" s="2" t="inlineStr">
        <is>
          <t>Slåttergubbe
Backklöver</t>
        </is>
      </c>
      <c r="S34">
        <f>HYPERLINK("https://klasma.github.io/Logging_0884/artfynd/A 53787-2025 artfynd.xlsx", "A 53787-2025")</f>
        <v/>
      </c>
      <c r="T34">
        <f>HYPERLINK("https://klasma.github.io/Logging_0884/kartor/A 53787-2025 karta.png", "A 53787-2025")</f>
        <v/>
      </c>
      <c r="V34">
        <f>HYPERLINK("https://klasma.github.io/Logging_0884/klagomål/A 53787-2025 FSC-klagomål.docx", "A 53787-2025")</f>
        <v/>
      </c>
      <c r="W34">
        <f>HYPERLINK("https://klasma.github.io/Logging_0884/klagomålsmail/A 53787-2025 FSC-klagomål mail.docx", "A 53787-2025")</f>
        <v/>
      </c>
      <c r="X34">
        <f>HYPERLINK("https://klasma.github.io/Logging_0884/tillsyn/A 53787-2025 tillsynsbegäran.docx", "A 53787-2025")</f>
        <v/>
      </c>
      <c r="Y34">
        <f>HYPERLINK("https://klasma.github.io/Logging_0884/tillsynsmail/A 53787-2025 tillsynsbegäran mail.docx", "A 53787-2025")</f>
        <v/>
      </c>
    </row>
    <row r="35" ht="15" customHeight="1">
      <c r="A35" t="inlineStr">
        <is>
          <t>A 32396-2021</t>
        </is>
      </c>
      <c r="B35" s="1" t="n">
        <v>44371</v>
      </c>
      <c r="C35" s="1" t="n">
        <v>46017</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15122-2024</t>
        </is>
      </c>
      <c r="B36" s="1" t="n">
        <v>45399.71412037037</v>
      </c>
      <c r="C36" s="1" t="n">
        <v>46017</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32985-2023</t>
        </is>
      </c>
      <c r="B37" s="1" t="n">
        <v>45125</v>
      </c>
      <c r="C37" s="1" t="n">
        <v>46017</v>
      </c>
      <c r="D37" t="inlineStr">
        <is>
          <t>KALMAR LÄN</t>
        </is>
      </c>
      <c r="E37" t="inlineStr">
        <is>
          <t>VIMMERBY</t>
        </is>
      </c>
      <c r="G37" t="n">
        <v>1.9</v>
      </c>
      <c r="H37" t="n">
        <v>0</v>
      </c>
      <c r="I37" t="n">
        <v>0</v>
      </c>
      <c r="J37" t="n">
        <v>0</v>
      </c>
      <c r="K37" t="n">
        <v>0</v>
      </c>
      <c r="L37" t="n">
        <v>1</v>
      </c>
      <c r="M37" t="n">
        <v>0</v>
      </c>
      <c r="N37" t="n">
        <v>0</v>
      </c>
      <c r="O37" t="n">
        <v>1</v>
      </c>
      <c r="P37" t="n">
        <v>1</v>
      </c>
      <c r="Q37" t="n">
        <v>1</v>
      </c>
      <c r="R37" s="2" t="inlineStr">
        <is>
          <t>Ryl</t>
        </is>
      </c>
      <c r="S37">
        <f>HYPERLINK("https://klasma.github.io/Logging_0884/artfynd/A 32985-2023 artfynd.xlsx", "A 32985-2023")</f>
        <v/>
      </c>
      <c r="T37">
        <f>HYPERLINK("https://klasma.github.io/Logging_0884/kartor/A 32985-2023 karta.png", "A 32985-2023")</f>
        <v/>
      </c>
      <c r="V37">
        <f>HYPERLINK("https://klasma.github.io/Logging_0884/klagomål/A 32985-2023 FSC-klagomål.docx", "A 32985-2023")</f>
        <v/>
      </c>
      <c r="W37">
        <f>HYPERLINK("https://klasma.github.io/Logging_0884/klagomålsmail/A 32985-2023 FSC-klagomål mail.docx", "A 32985-2023")</f>
        <v/>
      </c>
      <c r="X37">
        <f>HYPERLINK("https://klasma.github.io/Logging_0884/tillsyn/A 32985-2023 tillsynsbegäran.docx", "A 32985-2023")</f>
        <v/>
      </c>
      <c r="Y37">
        <f>HYPERLINK("https://klasma.github.io/Logging_0884/tillsynsmail/A 32985-2023 tillsynsbegäran mail.docx", "A 32985-2023")</f>
        <v/>
      </c>
    </row>
    <row r="38" ht="15" customHeight="1">
      <c r="A38" t="inlineStr">
        <is>
          <t>A 37930-2021</t>
        </is>
      </c>
      <c r="B38" s="1" t="n">
        <v>44403</v>
      </c>
      <c r="C38" s="1" t="n">
        <v>46017</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28852-2023</t>
        </is>
      </c>
      <c r="B39" s="1" t="n">
        <v>45104</v>
      </c>
      <c r="C39" s="1" t="n">
        <v>46017</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44515-2024</t>
        </is>
      </c>
      <c r="B40" s="1" t="n">
        <v>45574.42767361111</v>
      </c>
      <c r="C40" s="1" t="n">
        <v>46017</v>
      </c>
      <c r="D40" t="inlineStr">
        <is>
          <t>KALMAR LÄN</t>
        </is>
      </c>
      <c r="E40" t="inlineStr">
        <is>
          <t>VIMMERBY</t>
        </is>
      </c>
      <c r="G40" t="n">
        <v>1.4</v>
      </c>
      <c r="H40" t="n">
        <v>1</v>
      </c>
      <c r="I40" t="n">
        <v>0</v>
      </c>
      <c r="J40" t="n">
        <v>0</v>
      </c>
      <c r="K40" t="n">
        <v>1</v>
      </c>
      <c r="L40" t="n">
        <v>0</v>
      </c>
      <c r="M40" t="n">
        <v>0</v>
      </c>
      <c r="N40" t="n">
        <v>0</v>
      </c>
      <c r="O40" t="n">
        <v>1</v>
      </c>
      <c r="P40" t="n">
        <v>1</v>
      </c>
      <c r="Q40" t="n">
        <v>1</v>
      </c>
      <c r="R40" s="2" t="inlineStr">
        <is>
          <t>Knärot</t>
        </is>
      </c>
      <c r="S40">
        <f>HYPERLINK("https://klasma.github.io/Logging_0884/artfynd/A 44515-2024 artfynd.xlsx", "A 44515-2024")</f>
        <v/>
      </c>
      <c r="T40">
        <f>HYPERLINK("https://klasma.github.io/Logging_0884/kartor/A 44515-2024 karta.png", "A 44515-2024")</f>
        <v/>
      </c>
      <c r="U40">
        <f>HYPERLINK("https://klasma.github.io/Logging_0884/knärot/A 44515-2024 karta knärot.png", "A 44515-2024")</f>
        <v/>
      </c>
      <c r="V40">
        <f>HYPERLINK("https://klasma.github.io/Logging_0884/klagomål/A 44515-2024 FSC-klagomål.docx", "A 44515-2024")</f>
        <v/>
      </c>
      <c r="W40">
        <f>HYPERLINK("https://klasma.github.io/Logging_0884/klagomålsmail/A 44515-2024 FSC-klagomål mail.docx", "A 44515-2024")</f>
        <v/>
      </c>
      <c r="X40">
        <f>HYPERLINK("https://klasma.github.io/Logging_0884/tillsyn/A 44515-2024 tillsynsbegäran.docx", "A 44515-2024")</f>
        <v/>
      </c>
      <c r="Y40">
        <f>HYPERLINK("https://klasma.github.io/Logging_0884/tillsynsmail/A 44515-2024 tillsynsbegäran mail.docx", "A 44515-2024")</f>
        <v/>
      </c>
    </row>
    <row r="41" ht="15" customHeight="1">
      <c r="A41" t="inlineStr">
        <is>
          <t>A 40083-2023</t>
        </is>
      </c>
      <c r="B41" s="1" t="n">
        <v>45168</v>
      </c>
      <c r="C41" s="1" t="n">
        <v>46017</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46017</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6841-2021</t>
        </is>
      </c>
      <c r="B43" s="1" t="n">
        <v>44236</v>
      </c>
      <c r="C43" s="1" t="n">
        <v>46017</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61860-2024</t>
        </is>
      </c>
      <c r="B44" s="1" t="n">
        <v>45649</v>
      </c>
      <c r="C44" s="1" t="n">
        <v>46017</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33436-2021</t>
        </is>
      </c>
      <c r="B45" s="1" t="n">
        <v>44377.61104166666</v>
      </c>
      <c r="C45" s="1" t="n">
        <v>46017</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9067-2025</t>
        </is>
      </c>
      <c r="B46" s="1" t="n">
        <v>45713</v>
      </c>
      <c r="C46" s="1" t="n">
        <v>46017</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23602-2023</t>
        </is>
      </c>
      <c r="B47" s="1" t="n">
        <v>45077</v>
      </c>
      <c r="C47" s="1" t="n">
        <v>46017</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57062-2025</t>
        </is>
      </c>
      <c r="B48" s="1" t="n">
        <v>45979.37598379629</v>
      </c>
      <c r="C48" s="1" t="n">
        <v>46017</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52301-2023</t>
        </is>
      </c>
      <c r="B49" s="1" t="n">
        <v>45224</v>
      </c>
      <c r="C49" s="1" t="n">
        <v>46017</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53400-2025</t>
        </is>
      </c>
      <c r="B50" s="1" t="n">
        <v>45959.56684027778</v>
      </c>
      <c r="C50" s="1" t="n">
        <v>46017</v>
      </c>
      <c r="D50" t="inlineStr">
        <is>
          <t>KALMAR LÄN</t>
        </is>
      </c>
      <c r="E50" t="inlineStr">
        <is>
          <t>VIMMERBY</t>
        </is>
      </c>
      <c r="G50" t="n">
        <v>9.199999999999999</v>
      </c>
      <c r="H50" t="n">
        <v>1</v>
      </c>
      <c r="I50" t="n">
        <v>0</v>
      </c>
      <c r="J50" t="n">
        <v>0</v>
      </c>
      <c r="K50" t="n">
        <v>1</v>
      </c>
      <c r="L50" t="n">
        <v>0</v>
      </c>
      <c r="M50" t="n">
        <v>0</v>
      </c>
      <c r="N50" t="n">
        <v>0</v>
      </c>
      <c r="O50" t="n">
        <v>1</v>
      </c>
      <c r="P50" t="n">
        <v>1</v>
      </c>
      <c r="Q50" t="n">
        <v>1</v>
      </c>
      <c r="R50" s="2" t="inlineStr">
        <is>
          <t>Knärot</t>
        </is>
      </c>
      <c r="S50">
        <f>HYPERLINK("https://klasma.github.io/Logging_0884/artfynd/A 53400-2025 artfynd.xlsx", "A 53400-2025")</f>
        <v/>
      </c>
      <c r="T50">
        <f>HYPERLINK("https://klasma.github.io/Logging_0884/kartor/A 53400-2025 karta.png", "A 53400-2025")</f>
        <v/>
      </c>
      <c r="U50">
        <f>HYPERLINK("https://klasma.github.io/Logging_0884/knärot/A 53400-2025 karta knärot.png", "A 53400-2025")</f>
        <v/>
      </c>
      <c r="V50">
        <f>HYPERLINK("https://klasma.github.io/Logging_0884/klagomål/A 53400-2025 FSC-klagomål.docx", "A 53400-2025")</f>
        <v/>
      </c>
      <c r="W50">
        <f>HYPERLINK("https://klasma.github.io/Logging_0884/klagomålsmail/A 53400-2025 FSC-klagomål mail.docx", "A 53400-2025")</f>
        <v/>
      </c>
      <c r="X50">
        <f>HYPERLINK("https://klasma.github.io/Logging_0884/tillsyn/A 53400-2025 tillsynsbegäran.docx", "A 53400-2025")</f>
        <v/>
      </c>
      <c r="Y50">
        <f>HYPERLINK("https://klasma.github.io/Logging_0884/tillsynsmail/A 53400-2025 tillsynsbegäran mail.docx", "A 53400-2025")</f>
        <v/>
      </c>
    </row>
    <row r="51" ht="15" customHeight="1">
      <c r="A51" t="inlineStr">
        <is>
          <t>A 53404-2025</t>
        </is>
      </c>
      <c r="B51" s="1" t="n">
        <v>45959.57126157408</v>
      </c>
      <c r="C51" s="1" t="n">
        <v>46017</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55384-2025</t>
        </is>
      </c>
      <c r="B52" s="1" t="n">
        <v>45971.43178240741</v>
      </c>
      <c r="C52" s="1" t="n">
        <v>46017</v>
      </c>
      <c r="D52" t="inlineStr">
        <is>
          <t>KALMAR LÄN</t>
        </is>
      </c>
      <c r="E52" t="inlineStr">
        <is>
          <t>VIMMERBY</t>
        </is>
      </c>
      <c r="G52" t="n">
        <v>1.7</v>
      </c>
      <c r="H52" t="n">
        <v>1</v>
      </c>
      <c r="I52" t="n">
        <v>0</v>
      </c>
      <c r="J52" t="n">
        <v>1</v>
      </c>
      <c r="K52" t="n">
        <v>0</v>
      </c>
      <c r="L52" t="n">
        <v>0</v>
      </c>
      <c r="M52" t="n">
        <v>0</v>
      </c>
      <c r="N52" t="n">
        <v>0</v>
      </c>
      <c r="O52" t="n">
        <v>1</v>
      </c>
      <c r="P52" t="n">
        <v>0</v>
      </c>
      <c r="Q52" t="n">
        <v>1</v>
      </c>
      <c r="R52" s="2" t="inlineStr">
        <is>
          <t>Talltita</t>
        </is>
      </c>
      <c r="S52">
        <f>HYPERLINK("https://klasma.github.io/Logging_0884/artfynd/A 55384-2025 artfynd.xlsx", "A 55384-2025")</f>
        <v/>
      </c>
      <c r="T52">
        <f>HYPERLINK("https://klasma.github.io/Logging_0884/kartor/A 55384-2025 karta.png", "A 55384-2025")</f>
        <v/>
      </c>
      <c r="V52">
        <f>HYPERLINK("https://klasma.github.io/Logging_0884/klagomål/A 55384-2025 FSC-klagomål.docx", "A 55384-2025")</f>
        <v/>
      </c>
      <c r="W52">
        <f>HYPERLINK("https://klasma.github.io/Logging_0884/klagomålsmail/A 55384-2025 FSC-klagomål mail.docx", "A 55384-2025")</f>
        <v/>
      </c>
      <c r="X52">
        <f>HYPERLINK("https://klasma.github.io/Logging_0884/tillsyn/A 55384-2025 tillsynsbegäran.docx", "A 55384-2025")</f>
        <v/>
      </c>
      <c r="Y52">
        <f>HYPERLINK("https://klasma.github.io/Logging_0884/tillsynsmail/A 55384-2025 tillsynsbegäran mail.docx", "A 55384-2025")</f>
        <v/>
      </c>
      <c r="Z52">
        <f>HYPERLINK("https://klasma.github.io/Logging_0884/fåglar/A 55384-2025 prioriterade fågelarter.docx", "A 55384-2025")</f>
        <v/>
      </c>
    </row>
    <row r="53" ht="15" customHeight="1">
      <c r="A53" t="inlineStr">
        <is>
          <t>A 1201-2025</t>
        </is>
      </c>
      <c r="B53" s="1" t="n">
        <v>45667</v>
      </c>
      <c r="C53" s="1" t="n">
        <v>46017</v>
      </c>
      <c r="D53" t="inlineStr">
        <is>
          <t>KALMAR LÄN</t>
        </is>
      </c>
      <c r="E53" t="inlineStr">
        <is>
          <t>VIMMERBY</t>
        </is>
      </c>
      <c r="G53" t="n">
        <v>6.4</v>
      </c>
      <c r="H53" t="n">
        <v>1</v>
      </c>
      <c r="I53" t="n">
        <v>0</v>
      </c>
      <c r="J53" t="n">
        <v>0</v>
      </c>
      <c r="K53" t="n">
        <v>1</v>
      </c>
      <c r="L53" t="n">
        <v>0</v>
      </c>
      <c r="M53" t="n">
        <v>0</v>
      </c>
      <c r="N53" t="n">
        <v>0</v>
      </c>
      <c r="O53" t="n">
        <v>1</v>
      </c>
      <c r="P53" t="n">
        <v>1</v>
      </c>
      <c r="Q53" t="n">
        <v>1</v>
      </c>
      <c r="R53" s="2" t="inlineStr">
        <is>
          <t>Knärot</t>
        </is>
      </c>
      <c r="S53">
        <f>HYPERLINK("https://klasma.github.io/Logging_0884/artfynd/A 1201-2025 artfynd.xlsx", "A 1201-2025")</f>
        <v/>
      </c>
      <c r="T53">
        <f>HYPERLINK("https://klasma.github.io/Logging_0884/kartor/A 1201-2025 karta.png", "A 1201-2025")</f>
        <v/>
      </c>
      <c r="U53">
        <f>HYPERLINK("https://klasma.github.io/Logging_0884/knärot/A 1201-2025 karta knärot.png", "A 1201-2025")</f>
        <v/>
      </c>
      <c r="V53">
        <f>HYPERLINK("https://klasma.github.io/Logging_0884/klagomål/A 1201-2025 FSC-klagomål.docx", "A 1201-2025")</f>
        <v/>
      </c>
      <c r="W53">
        <f>HYPERLINK("https://klasma.github.io/Logging_0884/klagomålsmail/A 1201-2025 FSC-klagomål mail.docx", "A 1201-2025")</f>
        <v/>
      </c>
      <c r="X53">
        <f>HYPERLINK("https://klasma.github.io/Logging_0884/tillsyn/A 1201-2025 tillsynsbegäran.docx", "A 1201-2025")</f>
        <v/>
      </c>
      <c r="Y53">
        <f>HYPERLINK("https://klasma.github.io/Logging_0884/tillsynsmail/A 1201-2025 tillsynsbegäran mail.docx", "A 1201-2025")</f>
        <v/>
      </c>
    </row>
    <row r="54" ht="15" customHeight="1">
      <c r="A54" t="inlineStr">
        <is>
          <t>A 29183-2025</t>
        </is>
      </c>
      <c r="B54" s="1" t="n">
        <v>45821</v>
      </c>
      <c r="C54" s="1" t="n">
        <v>46017</v>
      </c>
      <c r="D54" t="inlineStr">
        <is>
          <t>KALMAR LÄN</t>
        </is>
      </c>
      <c r="E54" t="inlineStr">
        <is>
          <t>VIMMERBY</t>
        </is>
      </c>
      <c r="G54" t="n">
        <v>2.7</v>
      </c>
      <c r="H54" t="n">
        <v>0</v>
      </c>
      <c r="I54" t="n">
        <v>1</v>
      </c>
      <c r="J54" t="n">
        <v>0</v>
      </c>
      <c r="K54" t="n">
        <v>0</v>
      </c>
      <c r="L54" t="n">
        <v>0</v>
      </c>
      <c r="M54" t="n">
        <v>0</v>
      </c>
      <c r="N54" t="n">
        <v>0</v>
      </c>
      <c r="O54" t="n">
        <v>0</v>
      </c>
      <c r="P54" t="n">
        <v>0</v>
      </c>
      <c r="Q54" t="n">
        <v>1</v>
      </c>
      <c r="R54" s="2" t="inlineStr">
        <is>
          <t>Sårläka</t>
        </is>
      </c>
      <c r="S54">
        <f>HYPERLINK("https://klasma.github.io/Logging_0884/artfynd/A 29183-2025 artfynd.xlsx", "A 29183-2025")</f>
        <v/>
      </c>
      <c r="T54">
        <f>HYPERLINK("https://klasma.github.io/Logging_0884/kartor/A 29183-2025 karta.png", "A 29183-2025")</f>
        <v/>
      </c>
      <c r="V54">
        <f>HYPERLINK("https://klasma.github.io/Logging_0884/klagomål/A 29183-2025 FSC-klagomål.docx", "A 29183-2025")</f>
        <v/>
      </c>
      <c r="W54">
        <f>HYPERLINK("https://klasma.github.io/Logging_0884/klagomålsmail/A 29183-2025 FSC-klagomål mail.docx", "A 29183-2025")</f>
        <v/>
      </c>
      <c r="X54">
        <f>HYPERLINK("https://klasma.github.io/Logging_0884/tillsyn/A 29183-2025 tillsynsbegäran.docx", "A 29183-2025")</f>
        <v/>
      </c>
      <c r="Y54">
        <f>HYPERLINK("https://klasma.github.io/Logging_0884/tillsynsmail/A 29183-2025 tillsynsbegäran mail.docx", "A 29183-2025")</f>
        <v/>
      </c>
    </row>
    <row r="55" ht="15" customHeight="1">
      <c r="A55" t="inlineStr">
        <is>
          <t>A 15092-2021</t>
        </is>
      </c>
      <c r="B55" s="1" t="n">
        <v>44281.79269675926</v>
      </c>
      <c r="C55" s="1" t="n">
        <v>46017</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46017</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46017</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46017</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46017</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46017</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46017</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15903-2021</t>
        </is>
      </c>
      <c r="B62" s="1" t="n">
        <v>44287.33261574074</v>
      </c>
      <c r="C62" s="1" t="n">
        <v>46017</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46017</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1929-2021</t>
        </is>
      </c>
      <c r="B64" s="1" t="n">
        <v>44210</v>
      </c>
      <c r="C64" s="1" t="n">
        <v>46017</v>
      </c>
      <c r="D64" t="inlineStr">
        <is>
          <t>KALMAR LÄN</t>
        </is>
      </c>
      <c r="E64" t="inlineStr">
        <is>
          <t>VIMMERBY</t>
        </is>
      </c>
      <c r="G64" t="n">
        <v>1.6</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46017</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46017</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46017</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46017</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46017</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46017</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46017</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46017</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46017</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46017</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46017</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46017</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46017</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46017</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46017</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46017</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46017</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46017</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46017</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46017</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46017</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46017</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46017</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46017</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46017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46017</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64923-2021</t>
        </is>
      </c>
      <c r="B91" s="1" t="n">
        <v>44512.70245370371</v>
      </c>
      <c r="C91" s="1" t="n">
        <v>46017</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27762-2021</t>
        </is>
      </c>
      <c r="B92" s="1" t="n">
        <v>44354</v>
      </c>
      <c r="C92" s="1" t="n">
        <v>46017</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46017</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33829-2022</t>
        </is>
      </c>
      <c r="B94" s="1" t="n">
        <v>44790</v>
      </c>
      <c r="C94" s="1" t="n">
        <v>46017</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46017</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46017</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46017</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46017</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46017</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46017</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46017</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46017</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46017</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46017</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46017</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46017</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46017</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46017</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46017</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46017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46017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46017</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46017</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46017</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46017</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46017</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46017</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46017</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46017</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46017</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51972-2021</t>
        </is>
      </c>
      <c r="B121" s="1" t="n">
        <v>44463.29439814815</v>
      </c>
      <c r="C121" s="1" t="n">
        <v>46017</v>
      </c>
      <c r="D121" t="inlineStr">
        <is>
          <t>KALMAR LÄN</t>
        </is>
      </c>
      <c r="E121" t="inlineStr">
        <is>
          <t>VIMMERBY</t>
        </is>
      </c>
      <c r="G121" t="n">
        <v>4.5</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46017</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56343-2021</t>
        </is>
      </c>
      <c r="B123" s="1" t="n">
        <v>44480</v>
      </c>
      <c r="C123" s="1" t="n">
        <v>46017</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46017</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23825-2022</t>
        </is>
      </c>
      <c r="B125" s="1" t="n">
        <v>44722.48768518519</v>
      </c>
      <c r="C125" s="1" t="n">
        <v>46017</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39959-2022</t>
        </is>
      </c>
      <c r="B126" s="1" t="n">
        <v>44819</v>
      </c>
      <c r="C126" s="1" t="n">
        <v>46017</v>
      </c>
      <c r="D126" t="inlineStr">
        <is>
          <t>KALMAR LÄN</t>
        </is>
      </c>
      <c r="E126" t="inlineStr">
        <is>
          <t>VIMMERBY</t>
        </is>
      </c>
      <c r="G126" t="n">
        <v>0.9</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46017</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46017</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55674-2021</t>
        </is>
      </c>
      <c r="B129" s="1" t="n">
        <v>44476</v>
      </c>
      <c r="C129" s="1" t="n">
        <v>46017</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40077-2021</t>
        </is>
      </c>
      <c r="B130" s="1" t="n">
        <v>44418</v>
      </c>
      <c r="C130" s="1" t="n">
        <v>46017</v>
      </c>
      <c r="D130" t="inlineStr">
        <is>
          <t>KALMAR LÄN</t>
        </is>
      </c>
      <c r="E130" t="inlineStr">
        <is>
          <t>VIMMERBY</t>
        </is>
      </c>
      <c r="G130" t="n">
        <v>2.9</v>
      </c>
      <c r="H130" t="n">
        <v>0</v>
      </c>
      <c r="I130" t="n">
        <v>0</v>
      </c>
      <c r="J130" t="n">
        <v>0</v>
      </c>
      <c r="K130" t="n">
        <v>0</v>
      </c>
      <c r="L130" t="n">
        <v>0</v>
      </c>
      <c r="M130" t="n">
        <v>0</v>
      </c>
      <c r="N130" t="n">
        <v>0</v>
      </c>
      <c r="O130" t="n">
        <v>0</v>
      </c>
      <c r="P130" t="n">
        <v>0</v>
      </c>
      <c r="Q130" t="n">
        <v>0</v>
      </c>
      <c r="R130" s="2" t="inlineStr"/>
    </row>
    <row r="131" ht="15" customHeight="1">
      <c r="A131" t="inlineStr">
        <is>
          <t>A 47769-2022</t>
        </is>
      </c>
      <c r="B131" s="1" t="n">
        <v>44854</v>
      </c>
      <c r="C131" s="1" t="n">
        <v>46017</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12661-2021</t>
        </is>
      </c>
      <c r="B132" s="1" t="n">
        <v>44270</v>
      </c>
      <c r="C132" s="1" t="n">
        <v>46017</v>
      </c>
      <c r="D132" t="inlineStr">
        <is>
          <t>KALMAR LÄN</t>
        </is>
      </c>
      <c r="E132" t="inlineStr">
        <is>
          <t>VIMMERBY</t>
        </is>
      </c>
      <c r="G132" t="n">
        <v>1.8</v>
      </c>
      <c r="H132" t="n">
        <v>0</v>
      </c>
      <c r="I132" t="n">
        <v>0</v>
      </c>
      <c r="J132" t="n">
        <v>0</v>
      </c>
      <c r="K132" t="n">
        <v>0</v>
      </c>
      <c r="L132" t="n">
        <v>0</v>
      </c>
      <c r="M132" t="n">
        <v>0</v>
      </c>
      <c r="N132" t="n">
        <v>0</v>
      </c>
      <c r="O132" t="n">
        <v>0</v>
      </c>
      <c r="P132" t="n">
        <v>0</v>
      </c>
      <c r="Q132" t="n">
        <v>0</v>
      </c>
      <c r="R132" s="2" t="inlineStr"/>
    </row>
    <row r="133" ht="15" customHeight="1">
      <c r="A133" t="inlineStr">
        <is>
          <t>A 24999-2021</t>
        </is>
      </c>
      <c r="B133" s="1" t="n">
        <v>44341</v>
      </c>
      <c r="C133" s="1" t="n">
        <v>46017</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7917-2022</t>
        </is>
      </c>
      <c r="B134" s="1" t="n">
        <v>44608</v>
      </c>
      <c r="C134" s="1" t="n">
        <v>46017</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18276-2021</t>
        </is>
      </c>
      <c r="B135" s="1" t="n">
        <v>44305.40046296296</v>
      </c>
      <c r="C135" s="1" t="n">
        <v>46017</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47208-2021</t>
        </is>
      </c>
      <c r="B136" s="1" t="n">
        <v>44447.34237268518</v>
      </c>
      <c r="C136" s="1" t="n">
        <v>46017</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47473-2021</t>
        </is>
      </c>
      <c r="B137" s="1" t="n">
        <v>44447</v>
      </c>
      <c r="C137" s="1" t="n">
        <v>46017</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33690-2022</t>
        </is>
      </c>
      <c r="B138" s="1" t="n">
        <v>44789</v>
      </c>
      <c r="C138" s="1" t="n">
        <v>46017</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16705-2021</t>
        </is>
      </c>
      <c r="B139" s="1" t="n">
        <v>44294</v>
      </c>
      <c r="C139" s="1" t="n">
        <v>46017</v>
      </c>
      <c r="D139" t="inlineStr">
        <is>
          <t>KALMAR LÄN</t>
        </is>
      </c>
      <c r="E139" t="inlineStr">
        <is>
          <t>VIMMERBY</t>
        </is>
      </c>
      <c r="G139" t="n">
        <v>2.6</v>
      </c>
      <c r="H139" t="n">
        <v>0</v>
      </c>
      <c r="I139" t="n">
        <v>0</v>
      </c>
      <c r="J139" t="n">
        <v>0</v>
      </c>
      <c r="K139" t="n">
        <v>0</v>
      </c>
      <c r="L139" t="n">
        <v>0</v>
      </c>
      <c r="M139" t="n">
        <v>0</v>
      </c>
      <c r="N139" t="n">
        <v>0</v>
      </c>
      <c r="O139" t="n">
        <v>0</v>
      </c>
      <c r="P139" t="n">
        <v>0</v>
      </c>
      <c r="Q139" t="n">
        <v>0</v>
      </c>
      <c r="R139" s="2" t="inlineStr"/>
    </row>
    <row r="140" ht="15" customHeight="1">
      <c r="A140" t="inlineStr">
        <is>
          <t>A 41056-2022</t>
        </is>
      </c>
      <c r="B140" s="1" t="n">
        <v>44824</v>
      </c>
      <c r="C140" s="1" t="n">
        <v>46017</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31660-2021</t>
        </is>
      </c>
      <c r="B141" s="1" t="n">
        <v>44369</v>
      </c>
      <c r="C141" s="1" t="n">
        <v>46017</v>
      </c>
      <c r="D141" t="inlineStr">
        <is>
          <t>KALMAR LÄN</t>
        </is>
      </c>
      <c r="E141" t="inlineStr">
        <is>
          <t>VIMMERBY</t>
        </is>
      </c>
      <c r="G141" t="n">
        <v>4.2</v>
      </c>
      <c r="H141" t="n">
        <v>0</v>
      </c>
      <c r="I141" t="n">
        <v>0</v>
      </c>
      <c r="J141" t="n">
        <v>0</v>
      </c>
      <c r="K141" t="n">
        <v>0</v>
      </c>
      <c r="L141" t="n">
        <v>0</v>
      </c>
      <c r="M141" t="n">
        <v>0</v>
      </c>
      <c r="N141" t="n">
        <v>0</v>
      </c>
      <c r="O141" t="n">
        <v>0</v>
      </c>
      <c r="P141" t="n">
        <v>0</v>
      </c>
      <c r="Q141" t="n">
        <v>0</v>
      </c>
      <c r="R141" s="2" t="inlineStr"/>
    </row>
    <row r="142" ht="15" customHeight="1">
      <c r="A142" t="inlineStr">
        <is>
          <t>A 48377-2021</t>
        </is>
      </c>
      <c r="B142" s="1" t="n">
        <v>44451.8375</v>
      </c>
      <c r="C142" s="1" t="n">
        <v>46017</v>
      </c>
      <c r="D142" t="inlineStr">
        <is>
          <t>KALMAR LÄN</t>
        </is>
      </c>
      <c r="E142" t="inlineStr">
        <is>
          <t>VIMMERBY</t>
        </is>
      </c>
      <c r="G142" t="n">
        <v>0.4</v>
      </c>
      <c r="H142" t="n">
        <v>0</v>
      </c>
      <c r="I142" t="n">
        <v>0</v>
      </c>
      <c r="J142" t="n">
        <v>0</v>
      </c>
      <c r="K142" t="n">
        <v>0</v>
      </c>
      <c r="L142" t="n">
        <v>0</v>
      </c>
      <c r="M142" t="n">
        <v>0</v>
      </c>
      <c r="N142" t="n">
        <v>0</v>
      </c>
      <c r="O142" t="n">
        <v>0</v>
      </c>
      <c r="P142" t="n">
        <v>0</v>
      </c>
      <c r="Q142" t="n">
        <v>0</v>
      </c>
      <c r="R142" s="2" t="inlineStr"/>
    </row>
    <row r="143" ht="15" customHeight="1">
      <c r="A143" t="inlineStr">
        <is>
          <t>A 40472-2022</t>
        </is>
      </c>
      <c r="B143" s="1" t="n">
        <v>44823</v>
      </c>
      <c r="C143" s="1" t="n">
        <v>46017</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27455-2022</t>
        </is>
      </c>
      <c r="B144" s="1" t="n">
        <v>44742</v>
      </c>
      <c r="C144" s="1" t="n">
        <v>46017</v>
      </c>
      <c r="D144" t="inlineStr">
        <is>
          <t>KALMAR LÄN</t>
        </is>
      </c>
      <c r="E144" t="inlineStr">
        <is>
          <t>VIMMERBY</t>
        </is>
      </c>
      <c r="G144" t="n">
        <v>1.6</v>
      </c>
      <c r="H144" t="n">
        <v>0</v>
      </c>
      <c r="I144" t="n">
        <v>0</v>
      </c>
      <c r="J144" t="n">
        <v>0</v>
      </c>
      <c r="K144" t="n">
        <v>0</v>
      </c>
      <c r="L144" t="n">
        <v>0</v>
      </c>
      <c r="M144" t="n">
        <v>0</v>
      </c>
      <c r="N144" t="n">
        <v>0</v>
      </c>
      <c r="O144" t="n">
        <v>0</v>
      </c>
      <c r="P144" t="n">
        <v>0</v>
      </c>
      <c r="Q144" t="n">
        <v>0</v>
      </c>
      <c r="R144" s="2" t="inlineStr"/>
    </row>
    <row r="145" ht="15" customHeight="1">
      <c r="A145" t="inlineStr">
        <is>
          <t>A 56389-2021</t>
        </is>
      </c>
      <c r="B145" s="1" t="n">
        <v>44480</v>
      </c>
      <c r="C145" s="1" t="n">
        <v>46017</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35316-2021</t>
        </is>
      </c>
      <c r="B146" s="1" t="n">
        <v>44384</v>
      </c>
      <c r="C146" s="1" t="n">
        <v>46017</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33831-2022</t>
        </is>
      </c>
      <c r="B147" s="1" t="n">
        <v>44790.48503472222</v>
      </c>
      <c r="C147" s="1" t="n">
        <v>46017</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46017</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67952-2021</t>
        </is>
      </c>
      <c r="B149" s="1" t="n">
        <v>44525.63913194444</v>
      </c>
      <c r="C149" s="1" t="n">
        <v>46017</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9918-2022</t>
        </is>
      </c>
      <c r="B150" s="1" t="n">
        <v>44620</v>
      </c>
      <c r="C150" s="1" t="n">
        <v>46017</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3330-2021</t>
        </is>
      </c>
      <c r="B151" s="1" t="n">
        <v>44217.79856481482</v>
      </c>
      <c r="C151" s="1" t="n">
        <v>46017</v>
      </c>
      <c r="D151" t="inlineStr">
        <is>
          <t>KALMAR LÄN</t>
        </is>
      </c>
      <c r="E151" t="inlineStr">
        <is>
          <t>VIMMERBY</t>
        </is>
      </c>
      <c r="G151" t="n">
        <v>11.1</v>
      </c>
      <c r="H151" t="n">
        <v>0</v>
      </c>
      <c r="I151" t="n">
        <v>0</v>
      </c>
      <c r="J151" t="n">
        <v>0</v>
      </c>
      <c r="K151" t="n">
        <v>0</v>
      </c>
      <c r="L151" t="n">
        <v>0</v>
      </c>
      <c r="M151" t="n">
        <v>0</v>
      </c>
      <c r="N151" t="n">
        <v>0</v>
      </c>
      <c r="O151" t="n">
        <v>0</v>
      </c>
      <c r="P151" t="n">
        <v>0</v>
      </c>
      <c r="Q151" t="n">
        <v>0</v>
      </c>
      <c r="R151" s="2" t="inlineStr"/>
    </row>
    <row r="152" ht="15" customHeight="1">
      <c r="A152" t="inlineStr">
        <is>
          <t>A 14521-2021</t>
        </is>
      </c>
      <c r="B152" s="1" t="n">
        <v>44279.64934027778</v>
      </c>
      <c r="C152" s="1" t="n">
        <v>46017</v>
      </c>
      <c r="D152" t="inlineStr">
        <is>
          <t>KALMAR LÄN</t>
        </is>
      </c>
      <c r="E152" t="inlineStr">
        <is>
          <t>VIMMERBY</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15533-2022</t>
        </is>
      </c>
      <c r="B153" s="1" t="n">
        <v>44662</v>
      </c>
      <c r="C153" s="1" t="n">
        <v>46017</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165-2022</t>
        </is>
      </c>
      <c r="B154" s="1" t="n">
        <v>44564</v>
      </c>
      <c r="C154" s="1" t="n">
        <v>46017</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618-2021</t>
        </is>
      </c>
      <c r="B155" s="1" t="n">
        <v>44203</v>
      </c>
      <c r="C155" s="1" t="n">
        <v>46017</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34040-2021</t>
        </is>
      </c>
      <c r="B156" s="1" t="n">
        <v>44379</v>
      </c>
      <c r="C156" s="1" t="n">
        <v>46017</v>
      </c>
      <c r="D156" t="inlineStr">
        <is>
          <t>KALMAR LÄN</t>
        </is>
      </c>
      <c r="E156" t="inlineStr">
        <is>
          <t>VIMMERBY</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15200-2021</t>
        </is>
      </c>
      <c r="B157" s="1" t="n">
        <v>44284.44574074074</v>
      </c>
      <c r="C157" s="1" t="n">
        <v>46017</v>
      </c>
      <c r="D157" t="inlineStr">
        <is>
          <t>KALMAR LÄN</t>
        </is>
      </c>
      <c r="E157" t="inlineStr">
        <is>
          <t>VIMMERBY</t>
        </is>
      </c>
      <c r="G157" t="n">
        <v>1.2</v>
      </c>
      <c r="H157" t="n">
        <v>0</v>
      </c>
      <c r="I157" t="n">
        <v>0</v>
      </c>
      <c r="J157" t="n">
        <v>0</v>
      </c>
      <c r="K157" t="n">
        <v>0</v>
      </c>
      <c r="L157" t="n">
        <v>0</v>
      </c>
      <c r="M157" t="n">
        <v>0</v>
      </c>
      <c r="N157" t="n">
        <v>0</v>
      </c>
      <c r="O157" t="n">
        <v>0</v>
      </c>
      <c r="P157" t="n">
        <v>0</v>
      </c>
      <c r="Q157" t="n">
        <v>0</v>
      </c>
      <c r="R157" s="2" t="inlineStr"/>
    </row>
    <row r="158" ht="15" customHeight="1">
      <c r="A158" t="inlineStr">
        <is>
          <t>A 12241-2021</t>
        </is>
      </c>
      <c r="B158" s="1" t="n">
        <v>44266.7240625</v>
      </c>
      <c r="C158" s="1" t="n">
        <v>46017</v>
      </c>
      <c r="D158" t="inlineStr">
        <is>
          <t>KALMAR LÄN</t>
        </is>
      </c>
      <c r="E158" t="inlineStr">
        <is>
          <t>VIMMERBY</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12662-2021</t>
        </is>
      </c>
      <c r="B159" s="1" t="n">
        <v>44270.49743055556</v>
      </c>
      <c r="C159" s="1" t="n">
        <v>46017</v>
      </c>
      <c r="D159" t="inlineStr">
        <is>
          <t>KALMAR LÄN</t>
        </is>
      </c>
      <c r="E159" t="inlineStr">
        <is>
          <t>VIMMERBY</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35198-2021</t>
        </is>
      </c>
      <c r="B160" s="1" t="n">
        <v>44377</v>
      </c>
      <c r="C160" s="1" t="n">
        <v>46017</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12107-2022</t>
        </is>
      </c>
      <c r="B161" s="1" t="n">
        <v>44636</v>
      </c>
      <c r="C161" s="1" t="n">
        <v>46017</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34036-2021</t>
        </is>
      </c>
      <c r="B162" s="1" t="n">
        <v>44379</v>
      </c>
      <c r="C162" s="1" t="n">
        <v>46017</v>
      </c>
      <c r="D162" t="inlineStr">
        <is>
          <t>KALMAR LÄN</t>
        </is>
      </c>
      <c r="E162" t="inlineStr">
        <is>
          <t>VIMMERBY</t>
        </is>
      </c>
      <c r="F162" t="inlineStr">
        <is>
          <t>Sveaskog</t>
        </is>
      </c>
      <c r="G162" t="n">
        <v>7</v>
      </c>
      <c r="H162" t="n">
        <v>0</v>
      </c>
      <c r="I162" t="n">
        <v>0</v>
      </c>
      <c r="J162" t="n">
        <v>0</v>
      </c>
      <c r="K162" t="n">
        <v>0</v>
      </c>
      <c r="L162" t="n">
        <v>0</v>
      </c>
      <c r="M162" t="n">
        <v>0</v>
      </c>
      <c r="N162" t="n">
        <v>0</v>
      </c>
      <c r="O162" t="n">
        <v>0</v>
      </c>
      <c r="P162" t="n">
        <v>0</v>
      </c>
      <c r="Q162" t="n">
        <v>0</v>
      </c>
      <c r="R162" s="2" t="inlineStr"/>
    </row>
    <row r="163" ht="15" customHeight="1">
      <c r="A163" t="inlineStr">
        <is>
          <t>A 39225-2022</t>
        </is>
      </c>
      <c r="B163" s="1" t="n">
        <v>44817.57988425926</v>
      </c>
      <c r="C163" s="1" t="n">
        <v>46017</v>
      </c>
      <c r="D163" t="inlineStr">
        <is>
          <t>KALMAR LÄN</t>
        </is>
      </c>
      <c r="E163" t="inlineStr">
        <is>
          <t>VIMMERBY</t>
        </is>
      </c>
      <c r="G163" t="n">
        <v>2.2</v>
      </c>
      <c r="H163" t="n">
        <v>0</v>
      </c>
      <c r="I163" t="n">
        <v>0</v>
      </c>
      <c r="J163" t="n">
        <v>0</v>
      </c>
      <c r="K163" t="n">
        <v>0</v>
      </c>
      <c r="L163" t="n">
        <v>0</v>
      </c>
      <c r="M163" t="n">
        <v>0</v>
      </c>
      <c r="N163" t="n">
        <v>0</v>
      </c>
      <c r="O163" t="n">
        <v>0</v>
      </c>
      <c r="P163" t="n">
        <v>0</v>
      </c>
      <c r="Q163" t="n">
        <v>0</v>
      </c>
      <c r="R163" s="2" t="inlineStr"/>
    </row>
    <row r="164" ht="15" customHeight="1">
      <c r="A164" t="inlineStr">
        <is>
          <t>A 32603-2021</t>
        </is>
      </c>
      <c r="B164" s="1" t="n">
        <v>44375.38789351852</v>
      </c>
      <c r="C164" s="1" t="n">
        <v>46017</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53145-2022</t>
        </is>
      </c>
      <c r="B165" s="1" t="n">
        <v>44876.48346064815</v>
      </c>
      <c r="C165" s="1" t="n">
        <v>46017</v>
      </c>
      <c r="D165" t="inlineStr">
        <is>
          <t>KALMAR LÄN</t>
        </is>
      </c>
      <c r="E165" t="inlineStr">
        <is>
          <t>VIMMERBY</t>
        </is>
      </c>
      <c r="G165" t="n">
        <v>0.4</v>
      </c>
      <c r="H165" t="n">
        <v>0</v>
      </c>
      <c r="I165" t="n">
        <v>0</v>
      </c>
      <c r="J165" t="n">
        <v>0</v>
      </c>
      <c r="K165" t="n">
        <v>0</v>
      </c>
      <c r="L165" t="n">
        <v>0</v>
      </c>
      <c r="M165" t="n">
        <v>0</v>
      </c>
      <c r="N165" t="n">
        <v>0</v>
      </c>
      <c r="O165" t="n">
        <v>0</v>
      </c>
      <c r="P165" t="n">
        <v>0</v>
      </c>
      <c r="Q165" t="n">
        <v>0</v>
      </c>
      <c r="R165" s="2" t="inlineStr"/>
    </row>
    <row r="166" ht="15" customHeight="1">
      <c r="A166" t="inlineStr">
        <is>
          <t>A 25738-2022</t>
        </is>
      </c>
      <c r="B166" s="1" t="n">
        <v>44733.43092592592</v>
      </c>
      <c r="C166" s="1" t="n">
        <v>46017</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16602-2021</t>
        </is>
      </c>
      <c r="B167" s="1" t="n">
        <v>44294</v>
      </c>
      <c r="C167" s="1" t="n">
        <v>46017</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16607-2021</t>
        </is>
      </c>
      <c r="B168" s="1" t="n">
        <v>44294</v>
      </c>
      <c r="C168" s="1" t="n">
        <v>46017</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17029-2022</t>
        </is>
      </c>
      <c r="B169" s="1" t="n">
        <v>44676.85248842592</v>
      </c>
      <c r="C169" s="1" t="n">
        <v>46017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36117-2021</t>
        </is>
      </c>
      <c r="B170" s="1" t="n">
        <v>44386</v>
      </c>
      <c r="C170" s="1" t="n">
        <v>46017</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42521-2021</t>
        </is>
      </c>
      <c r="B171" s="1" t="n">
        <v>44427</v>
      </c>
      <c r="C171" s="1" t="n">
        <v>46017</v>
      </c>
      <c r="D171" t="inlineStr">
        <is>
          <t>KALMAR LÄN</t>
        </is>
      </c>
      <c r="E171" t="inlineStr">
        <is>
          <t>VIMMERBY</t>
        </is>
      </c>
      <c r="G171" t="n">
        <v>5.4</v>
      </c>
      <c r="H171" t="n">
        <v>0</v>
      </c>
      <c r="I171" t="n">
        <v>0</v>
      </c>
      <c r="J171" t="n">
        <v>0</v>
      </c>
      <c r="K171" t="n">
        <v>0</v>
      </c>
      <c r="L171" t="n">
        <v>0</v>
      </c>
      <c r="M171" t="n">
        <v>0</v>
      </c>
      <c r="N171" t="n">
        <v>0</v>
      </c>
      <c r="O171" t="n">
        <v>0</v>
      </c>
      <c r="P171" t="n">
        <v>0</v>
      </c>
      <c r="Q171" t="n">
        <v>0</v>
      </c>
      <c r="R171" s="2" t="inlineStr"/>
    </row>
    <row r="172" ht="15" customHeight="1">
      <c r="A172" t="inlineStr">
        <is>
          <t>A 7167-2022</t>
        </is>
      </c>
      <c r="B172" s="1" t="n">
        <v>44604</v>
      </c>
      <c r="C172" s="1" t="n">
        <v>46017</v>
      </c>
      <c r="D172" t="inlineStr">
        <is>
          <t>KALMAR LÄN</t>
        </is>
      </c>
      <c r="E172" t="inlineStr">
        <is>
          <t>VIMMERBY</t>
        </is>
      </c>
      <c r="G172" t="n">
        <v>1.7</v>
      </c>
      <c r="H172" t="n">
        <v>0</v>
      </c>
      <c r="I172" t="n">
        <v>0</v>
      </c>
      <c r="J172" t="n">
        <v>0</v>
      </c>
      <c r="K172" t="n">
        <v>0</v>
      </c>
      <c r="L172" t="n">
        <v>0</v>
      </c>
      <c r="M172" t="n">
        <v>0</v>
      </c>
      <c r="N172" t="n">
        <v>0</v>
      </c>
      <c r="O172" t="n">
        <v>0</v>
      </c>
      <c r="P172" t="n">
        <v>0</v>
      </c>
      <c r="Q172" t="n">
        <v>0</v>
      </c>
      <c r="R172" s="2" t="inlineStr"/>
    </row>
    <row r="173" ht="15" customHeight="1">
      <c r="A173" t="inlineStr">
        <is>
          <t>A 8194-2022</t>
        </is>
      </c>
      <c r="B173" s="1" t="n">
        <v>44609</v>
      </c>
      <c r="C173" s="1" t="n">
        <v>46017</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18356-2021</t>
        </is>
      </c>
      <c r="B174" s="1" t="n">
        <v>44305</v>
      </c>
      <c r="C174" s="1" t="n">
        <v>46017</v>
      </c>
      <c r="D174" t="inlineStr">
        <is>
          <t>KALMAR LÄN</t>
        </is>
      </c>
      <c r="E174" t="inlineStr">
        <is>
          <t>VIMMERBY</t>
        </is>
      </c>
      <c r="G174" t="n">
        <v>3.4</v>
      </c>
      <c r="H174" t="n">
        <v>0</v>
      </c>
      <c r="I174" t="n">
        <v>0</v>
      </c>
      <c r="J174" t="n">
        <v>0</v>
      </c>
      <c r="K174" t="n">
        <v>0</v>
      </c>
      <c r="L174" t="n">
        <v>0</v>
      </c>
      <c r="M174" t="n">
        <v>0</v>
      </c>
      <c r="N174" t="n">
        <v>0</v>
      </c>
      <c r="O174" t="n">
        <v>0</v>
      </c>
      <c r="P174" t="n">
        <v>0</v>
      </c>
      <c r="Q174" t="n">
        <v>0</v>
      </c>
      <c r="R174" s="2" t="inlineStr"/>
    </row>
    <row r="175" ht="15" customHeight="1">
      <c r="A175" t="inlineStr">
        <is>
          <t>A 15191-2021</t>
        </is>
      </c>
      <c r="B175" s="1" t="n">
        <v>44284.42348379629</v>
      </c>
      <c r="C175" s="1" t="n">
        <v>46017</v>
      </c>
      <c r="D175" t="inlineStr">
        <is>
          <t>KALMAR LÄN</t>
        </is>
      </c>
      <c r="E175" t="inlineStr">
        <is>
          <t>VIMMERBY</t>
        </is>
      </c>
      <c r="G175" t="n">
        <v>1.3</v>
      </c>
      <c r="H175" t="n">
        <v>0</v>
      </c>
      <c r="I175" t="n">
        <v>0</v>
      </c>
      <c r="J175" t="n">
        <v>0</v>
      </c>
      <c r="K175" t="n">
        <v>0</v>
      </c>
      <c r="L175" t="n">
        <v>0</v>
      </c>
      <c r="M175" t="n">
        <v>0</v>
      </c>
      <c r="N175" t="n">
        <v>0</v>
      </c>
      <c r="O175" t="n">
        <v>0</v>
      </c>
      <c r="P175" t="n">
        <v>0</v>
      </c>
      <c r="Q175" t="n">
        <v>0</v>
      </c>
      <c r="R175" s="2" t="inlineStr"/>
    </row>
    <row r="176" ht="15" customHeight="1">
      <c r="A176" t="inlineStr">
        <is>
          <t>A 40971-2021</t>
        </is>
      </c>
      <c r="B176" s="1" t="n">
        <v>44421</v>
      </c>
      <c r="C176" s="1" t="n">
        <v>46017</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13457-2021</t>
        </is>
      </c>
      <c r="B177" s="1" t="n">
        <v>44273</v>
      </c>
      <c r="C177" s="1" t="n">
        <v>46017</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14278-2021</t>
        </is>
      </c>
      <c r="B178" s="1" t="n">
        <v>44278.63479166666</v>
      </c>
      <c r="C178" s="1" t="n">
        <v>46017</v>
      </c>
      <c r="D178" t="inlineStr">
        <is>
          <t>KALMAR LÄN</t>
        </is>
      </c>
      <c r="E178" t="inlineStr">
        <is>
          <t>VIMMERBY</t>
        </is>
      </c>
      <c r="F178" t="inlineStr">
        <is>
          <t>Övriga statliga verk och myndigheter</t>
        </is>
      </c>
      <c r="G178" t="n">
        <v>0.8</v>
      </c>
      <c r="H178" t="n">
        <v>0</v>
      </c>
      <c r="I178" t="n">
        <v>0</v>
      </c>
      <c r="J178" t="n">
        <v>0</v>
      </c>
      <c r="K178" t="n">
        <v>0</v>
      </c>
      <c r="L178" t="n">
        <v>0</v>
      </c>
      <c r="M178" t="n">
        <v>0</v>
      </c>
      <c r="N178" t="n">
        <v>0</v>
      </c>
      <c r="O178" t="n">
        <v>0</v>
      </c>
      <c r="P178" t="n">
        <v>0</v>
      </c>
      <c r="Q178" t="n">
        <v>0</v>
      </c>
      <c r="R178" s="2" t="inlineStr"/>
    </row>
    <row r="179" ht="15" customHeight="1">
      <c r="A179" t="inlineStr">
        <is>
          <t>A 29180-2024</t>
        </is>
      </c>
      <c r="B179" s="1" t="n">
        <v>45482.54108796296</v>
      </c>
      <c r="C179" s="1" t="n">
        <v>46017</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63244-2021</t>
        </is>
      </c>
      <c r="B180" s="1" t="n">
        <v>44508</v>
      </c>
      <c r="C180" s="1" t="n">
        <v>46017</v>
      </c>
      <c r="D180" t="inlineStr">
        <is>
          <t>KALMAR LÄN</t>
        </is>
      </c>
      <c r="E180" t="inlineStr">
        <is>
          <t>VIMMERBY</t>
        </is>
      </c>
      <c r="F180" t="inlineStr">
        <is>
          <t>Övriga statliga verk och myndigheter</t>
        </is>
      </c>
      <c r="G180" t="n">
        <v>0.6</v>
      </c>
      <c r="H180" t="n">
        <v>0</v>
      </c>
      <c r="I180" t="n">
        <v>0</v>
      </c>
      <c r="J180" t="n">
        <v>0</v>
      </c>
      <c r="K180" t="n">
        <v>0</v>
      </c>
      <c r="L180" t="n">
        <v>0</v>
      </c>
      <c r="M180" t="n">
        <v>0</v>
      </c>
      <c r="N180" t="n">
        <v>0</v>
      </c>
      <c r="O180" t="n">
        <v>0</v>
      </c>
      <c r="P180" t="n">
        <v>0</v>
      </c>
      <c r="Q180" t="n">
        <v>0</v>
      </c>
      <c r="R180" s="2" t="inlineStr"/>
    </row>
    <row r="181" ht="15" customHeight="1">
      <c r="A181" t="inlineStr">
        <is>
          <t>A 46964-2022</t>
        </is>
      </c>
      <c r="B181" s="1" t="n">
        <v>44851.95016203704</v>
      </c>
      <c r="C181" s="1" t="n">
        <v>46017</v>
      </c>
      <c r="D181" t="inlineStr">
        <is>
          <t>KALMAR LÄN</t>
        </is>
      </c>
      <c r="E181" t="inlineStr">
        <is>
          <t>VIMMERBY</t>
        </is>
      </c>
      <c r="G181" t="n">
        <v>0.2</v>
      </c>
      <c r="H181" t="n">
        <v>0</v>
      </c>
      <c r="I181" t="n">
        <v>0</v>
      </c>
      <c r="J181" t="n">
        <v>0</v>
      </c>
      <c r="K181" t="n">
        <v>0</v>
      </c>
      <c r="L181" t="n">
        <v>0</v>
      </c>
      <c r="M181" t="n">
        <v>0</v>
      </c>
      <c r="N181" t="n">
        <v>0</v>
      </c>
      <c r="O181" t="n">
        <v>0</v>
      </c>
      <c r="P181" t="n">
        <v>0</v>
      </c>
      <c r="Q181" t="n">
        <v>0</v>
      </c>
      <c r="R181" s="2" t="inlineStr"/>
    </row>
    <row r="182" ht="15" customHeight="1">
      <c r="A182" t="inlineStr">
        <is>
          <t>A 8453-2022</t>
        </is>
      </c>
      <c r="B182" s="1" t="n">
        <v>44612.86554398148</v>
      </c>
      <c r="C182" s="1" t="n">
        <v>46017</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52433-2021</t>
        </is>
      </c>
      <c r="B183" s="1" t="n">
        <v>44466.34726851852</v>
      </c>
      <c r="C183" s="1" t="n">
        <v>46017</v>
      </c>
      <c r="D183" t="inlineStr">
        <is>
          <t>KALMAR LÄN</t>
        </is>
      </c>
      <c r="E183" t="inlineStr">
        <is>
          <t>VIMMERBY</t>
        </is>
      </c>
      <c r="G183" t="n">
        <v>3.5</v>
      </c>
      <c r="H183" t="n">
        <v>0</v>
      </c>
      <c r="I183" t="n">
        <v>0</v>
      </c>
      <c r="J183" t="n">
        <v>0</v>
      </c>
      <c r="K183" t="n">
        <v>0</v>
      </c>
      <c r="L183" t="n">
        <v>0</v>
      </c>
      <c r="M183" t="n">
        <v>0</v>
      </c>
      <c r="N183" t="n">
        <v>0</v>
      </c>
      <c r="O183" t="n">
        <v>0</v>
      </c>
      <c r="P183" t="n">
        <v>0</v>
      </c>
      <c r="Q183" t="n">
        <v>0</v>
      </c>
      <c r="R183" s="2" t="inlineStr"/>
    </row>
    <row r="184" ht="15" customHeight="1">
      <c r="A184" t="inlineStr">
        <is>
          <t>A 50621-2022</t>
        </is>
      </c>
      <c r="B184" s="1" t="n">
        <v>44866.81100694444</v>
      </c>
      <c r="C184" s="1" t="n">
        <v>46017</v>
      </c>
      <c r="D184" t="inlineStr">
        <is>
          <t>KALMAR LÄN</t>
        </is>
      </c>
      <c r="E184" t="inlineStr">
        <is>
          <t>VIMMERBY</t>
        </is>
      </c>
      <c r="F184" t="inlineStr">
        <is>
          <t>Övriga Aktiebolag</t>
        </is>
      </c>
      <c r="G184" t="n">
        <v>5.1</v>
      </c>
      <c r="H184" t="n">
        <v>0</v>
      </c>
      <c r="I184" t="n">
        <v>0</v>
      </c>
      <c r="J184" t="n">
        <v>0</v>
      </c>
      <c r="K184" t="n">
        <v>0</v>
      </c>
      <c r="L184" t="n">
        <v>0</v>
      </c>
      <c r="M184" t="n">
        <v>0</v>
      </c>
      <c r="N184" t="n">
        <v>0</v>
      </c>
      <c r="O184" t="n">
        <v>0</v>
      </c>
      <c r="P184" t="n">
        <v>0</v>
      </c>
      <c r="Q184" t="n">
        <v>0</v>
      </c>
      <c r="R184" s="2" t="inlineStr"/>
    </row>
    <row r="185" ht="15" customHeight="1">
      <c r="A185" t="inlineStr">
        <is>
          <t>A 13180-2022</t>
        </is>
      </c>
      <c r="B185" s="1" t="n">
        <v>44644</v>
      </c>
      <c r="C185" s="1" t="n">
        <v>46017</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54065-2021</t>
        </is>
      </c>
      <c r="B186" s="1" t="n">
        <v>44470.44232638889</v>
      </c>
      <c r="C186" s="1" t="n">
        <v>46017</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31824-2022</t>
        </is>
      </c>
      <c r="B187" s="1" t="n">
        <v>44776</v>
      </c>
      <c r="C187" s="1" t="n">
        <v>46017</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29783-2024</t>
        </is>
      </c>
      <c r="B188" s="1" t="n">
        <v>45485.45778935185</v>
      </c>
      <c r="C188" s="1" t="n">
        <v>46017</v>
      </c>
      <c r="D188" t="inlineStr">
        <is>
          <t>KALMAR LÄN</t>
        </is>
      </c>
      <c r="E188" t="inlineStr">
        <is>
          <t>VIMMERBY</t>
        </is>
      </c>
      <c r="G188" t="n">
        <v>3.1</v>
      </c>
      <c r="H188" t="n">
        <v>0</v>
      </c>
      <c r="I188" t="n">
        <v>0</v>
      </c>
      <c r="J188" t="n">
        <v>0</v>
      </c>
      <c r="K188" t="n">
        <v>0</v>
      </c>
      <c r="L188" t="n">
        <v>0</v>
      </c>
      <c r="M188" t="n">
        <v>0</v>
      </c>
      <c r="N188" t="n">
        <v>0</v>
      </c>
      <c r="O188" t="n">
        <v>0</v>
      </c>
      <c r="P188" t="n">
        <v>0</v>
      </c>
      <c r="Q188" t="n">
        <v>0</v>
      </c>
      <c r="R188" s="2" t="inlineStr"/>
    </row>
    <row r="189" ht="15" customHeight="1">
      <c r="A189" t="inlineStr">
        <is>
          <t>A 11733-2022</t>
        </is>
      </c>
      <c r="B189" s="1" t="n">
        <v>44634</v>
      </c>
      <c r="C189" s="1" t="n">
        <v>46017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54838-2024</t>
        </is>
      </c>
      <c r="B190" s="1" t="n">
        <v>45618.56787037037</v>
      </c>
      <c r="C190" s="1" t="n">
        <v>46017</v>
      </c>
      <c r="D190" t="inlineStr">
        <is>
          <t>KALMAR LÄN</t>
        </is>
      </c>
      <c r="E190" t="inlineStr">
        <is>
          <t>VIMMERBY</t>
        </is>
      </c>
      <c r="G190" t="n">
        <v>3.3</v>
      </c>
      <c r="H190" t="n">
        <v>0</v>
      </c>
      <c r="I190" t="n">
        <v>0</v>
      </c>
      <c r="J190" t="n">
        <v>0</v>
      </c>
      <c r="K190" t="n">
        <v>0</v>
      </c>
      <c r="L190" t="n">
        <v>0</v>
      </c>
      <c r="M190" t="n">
        <v>0</v>
      </c>
      <c r="N190" t="n">
        <v>0</v>
      </c>
      <c r="O190" t="n">
        <v>0</v>
      </c>
      <c r="P190" t="n">
        <v>0</v>
      </c>
      <c r="Q190" t="n">
        <v>0</v>
      </c>
      <c r="R190" s="2" t="inlineStr"/>
    </row>
    <row r="191" ht="15" customHeight="1">
      <c r="A191" t="inlineStr">
        <is>
          <t>A 25987-2024</t>
        </is>
      </c>
      <c r="B191" s="1" t="n">
        <v>45467.74417824074</v>
      </c>
      <c r="C191" s="1" t="n">
        <v>46017</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7804-2022</t>
        </is>
      </c>
      <c r="B192" s="1" t="n">
        <v>44608.50458333334</v>
      </c>
      <c r="C192" s="1" t="n">
        <v>46017</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39042-2022</t>
        </is>
      </c>
      <c r="B193" s="1" t="n">
        <v>44817</v>
      </c>
      <c r="C193" s="1" t="n">
        <v>46017</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25109-2023</t>
        </is>
      </c>
      <c r="B194" s="1" t="n">
        <v>45086</v>
      </c>
      <c r="C194" s="1" t="n">
        <v>46017</v>
      </c>
      <c r="D194" t="inlineStr">
        <is>
          <t>KALMAR LÄN</t>
        </is>
      </c>
      <c r="E194" t="inlineStr">
        <is>
          <t>VIMMERBY</t>
        </is>
      </c>
      <c r="G194" t="n">
        <v>1.5</v>
      </c>
      <c r="H194" t="n">
        <v>0</v>
      </c>
      <c r="I194" t="n">
        <v>0</v>
      </c>
      <c r="J194" t="n">
        <v>0</v>
      </c>
      <c r="K194" t="n">
        <v>0</v>
      </c>
      <c r="L194" t="n">
        <v>0</v>
      </c>
      <c r="M194" t="n">
        <v>0</v>
      </c>
      <c r="N194" t="n">
        <v>0</v>
      </c>
      <c r="O194" t="n">
        <v>0</v>
      </c>
      <c r="P194" t="n">
        <v>0</v>
      </c>
      <c r="Q194" t="n">
        <v>0</v>
      </c>
      <c r="R194" s="2" t="inlineStr"/>
    </row>
    <row r="195" ht="15" customHeight="1">
      <c r="A195" t="inlineStr">
        <is>
          <t>A 16288-2021</t>
        </is>
      </c>
      <c r="B195" s="1" t="n">
        <v>44292</v>
      </c>
      <c r="C195" s="1" t="n">
        <v>46017</v>
      </c>
      <c r="D195" t="inlineStr">
        <is>
          <t>KALMAR LÄN</t>
        </is>
      </c>
      <c r="E195" t="inlineStr">
        <is>
          <t>VIMMERBY</t>
        </is>
      </c>
      <c r="F195" t="inlineStr">
        <is>
          <t>Övriga Aktiebolag</t>
        </is>
      </c>
      <c r="G195" t="n">
        <v>27.6</v>
      </c>
      <c r="H195" t="n">
        <v>0</v>
      </c>
      <c r="I195" t="n">
        <v>0</v>
      </c>
      <c r="J195" t="n">
        <v>0</v>
      </c>
      <c r="K195" t="n">
        <v>0</v>
      </c>
      <c r="L195" t="n">
        <v>0</v>
      </c>
      <c r="M195" t="n">
        <v>0</v>
      </c>
      <c r="N195" t="n">
        <v>0</v>
      </c>
      <c r="O195" t="n">
        <v>0</v>
      </c>
      <c r="P195" t="n">
        <v>0</v>
      </c>
      <c r="Q195" t="n">
        <v>0</v>
      </c>
      <c r="R195" s="2" t="inlineStr"/>
    </row>
    <row r="196" ht="15" customHeight="1">
      <c r="A196" t="inlineStr">
        <is>
          <t>A 29441-2024</t>
        </is>
      </c>
      <c r="B196" s="1" t="n">
        <v>45483.82834490741</v>
      </c>
      <c r="C196" s="1" t="n">
        <v>46017</v>
      </c>
      <c r="D196" t="inlineStr">
        <is>
          <t>KALMAR LÄN</t>
        </is>
      </c>
      <c r="E196" t="inlineStr">
        <is>
          <t>VIMMERBY</t>
        </is>
      </c>
      <c r="G196" t="n">
        <v>1.3</v>
      </c>
      <c r="H196" t="n">
        <v>0</v>
      </c>
      <c r="I196" t="n">
        <v>0</v>
      </c>
      <c r="J196" t="n">
        <v>0</v>
      </c>
      <c r="K196" t="n">
        <v>0</v>
      </c>
      <c r="L196" t="n">
        <v>0</v>
      </c>
      <c r="M196" t="n">
        <v>0</v>
      </c>
      <c r="N196" t="n">
        <v>0</v>
      </c>
      <c r="O196" t="n">
        <v>0</v>
      </c>
      <c r="P196" t="n">
        <v>0</v>
      </c>
      <c r="Q196" t="n">
        <v>0</v>
      </c>
      <c r="R196" s="2" t="inlineStr"/>
    </row>
    <row r="197" ht="15" customHeight="1">
      <c r="A197" t="inlineStr">
        <is>
          <t>A 25728-2023</t>
        </is>
      </c>
      <c r="B197" s="1" t="n">
        <v>45090.38012731481</v>
      </c>
      <c r="C197" s="1" t="n">
        <v>46017</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62023-2022</t>
        </is>
      </c>
      <c r="B198" s="1" t="n">
        <v>44918.50106481482</v>
      </c>
      <c r="C198" s="1" t="n">
        <v>46017</v>
      </c>
      <c r="D198" t="inlineStr">
        <is>
          <t>KALMAR LÄN</t>
        </is>
      </c>
      <c r="E198" t="inlineStr">
        <is>
          <t>VIMMERBY</t>
        </is>
      </c>
      <c r="G198" t="n">
        <v>0.3</v>
      </c>
      <c r="H198" t="n">
        <v>0</v>
      </c>
      <c r="I198" t="n">
        <v>0</v>
      </c>
      <c r="J198" t="n">
        <v>0</v>
      </c>
      <c r="K198" t="n">
        <v>0</v>
      </c>
      <c r="L198" t="n">
        <v>0</v>
      </c>
      <c r="M198" t="n">
        <v>0</v>
      </c>
      <c r="N198" t="n">
        <v>0</v>
      </c>
      <c r="O198" t="n">
        <v>0</v>
      </c>
      <c r="P198" t="n">
        <v>0</v>
      </c>
      <c r="Q198" t="n">
        <v>0</v>
      </c>
      <c r="R198" s="2" t="inlineStr"/>
    </row>
    <row r="199" ht="15" customHeight="1">
      <c r="A199" t="inlineStr">
        <is>
          <t>A 42850-2022</t>
        </is>
      </c>
      <c r="B199" s="1" t="n">
        <v>44832.67608796297</v>
      </c>
      <c r="C199" s="1" t="n">
        <v>46017</v>
      </c>
      <c r="D199" t="inlineStr">
        <is>
          <t>KALMAR LÄN</t>
        </is>
      </c>
      <c r="E199" t="inlineStr">
        <is>
          <t>VIMMERBY</t>
        </is>
      </c>
      <c r="G199" t="n">
        <v>5.9</v>
      </c>
      <c r="H199" t="n">
        <v>0</v>
      </c>
      <c r="I199" t="n">
        <v>0</v>
      </c>
      <c r="J199" t="n">
        <v>0</v>
      </c>
      <c r="K199" t="n">
        <v>0</v>
      </c>
      <c r="L199" t="n">
        <v>0</v>
      </c>
      <c r="M199" t="n">
        <v>0</v>
      </c>
      <c r="N199" t="n">
        <v>0</v>
      </c>
      <c r="O199" t="n">
        <v>0</v>
      </c>
      <c r="P199" t="n">
        <v>0</v>
      </c>
      <c r="Q199" t="n">
        <v>0</v>
      </c>
      <c r="R199" s="2" t="inlineStr"/>
    </row>
    <row r="200" ht="15" customHeight="1">
      <c r="A200" t="inlineStr">
        <is>
          <t>A 58104-2024</t>
        </is>
      </c>
      <c r="B200" s="1" t="n">
        <v>45632.37459490741</v>
      </c>
      <c r="C200" s="1" t="n">
        <v>46017</v>
      </c>
      <c r="D200" t="inlineStr">
        <is>
          <t>KALMAR LÄN</t>
        </is>
      </c>
      <c r="E200" t="inlineStr">
        <is>
          <t>VIMMERBY</t>
        </is>
      </c>
      <c r="G200" t="n">
        <v>5</v>
      </c>
      <c r="H200" t="n">
        <v>0</v>
      </c>
      <c r="I200" t="n">
        <v>0</v>
      </c>
      <c r="J200" t="n">
        <v>0</v>
      </c>
      <c r="K200" t="n">
        <v>0</v>
      </c>
      <c r="L200" t="n">
        <v>0</v>
      </c>
      <c r="M200" t="n">
        <v>0</v>
      </c>
      <c r="N200" t="n">
        <v>0</v>
      </c>
      <c r="O200" t="n">
        <v>0</v>
      </c>
      <c r="P200" t="n">
        <v>0</v>
      </c>
      <c r="Q200" t="n">
        <v>0</v>
      </c>
      <c r="R200" s="2" t="inlineStr"/>
    </row>
    <row r="201" ht="15" customHeight="1">
      <c r="A201" t="inlineStr">
        <is>
          <t>A 12215-2024</t>
        </is>
      </c>
      <c r="B201" s="1" t="n">
        <v>45378.32185185186</v>
      </c>
      <c r="C201" s="1" t="n">
        <v>46017</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10086-2022</t>
        </is>
      </c>
      <c r="B202" s="1" t="n">
        <v>44621</v>
      </c>
      <c r="C202" s="1" t="n">
        <v>46017</v>
      </c>
      <c r="D202" t="inlineStr">
        <is>
          <t>KALMAR LÄN</t>
        </is>
      </c>
      <c r="E202" t="inlineStr">
        <is>
          <t>VIMMERBY</t>
        </is>
      </c>
      <c r="G202" t="n">
        <v>1.2</v>
      </c>
      <c r="H202" t="n">
        <v>0</v>
      </c>
      <c r="I202" t="n">
        <v>0</v>
      </c>
      <c r="J202" t="n">
        <v>0</v>
      </c>
      <c r="K202" t="n">
        <v>0</v>
      </c>
      <c r="L202" t="n">
        <v>0</v>
      </c>
      <c r="M202" t="n">
        <v>0</v>
      </c>
      <c r="N202" t="n">
        <v>0</v>
      </c>
      <c r="O202" t="n">
        <v>0</v>
      </c>
      <c r="P202" t="n">
        <v>0</v>
      </c>
      <c r="Q202" t="n">
        <v>0</v>
      </c>
      <c r="R202" s="2" t="inlineStr"/>
    </row>
    <row r="203" ht="15" customHeight="1">
      <c r="A203" t="inlineStr">
        <is>
          <t>A 30920-2024</t>
        </is>
      </c>
      <c r="B203" s="1" t="n">
        <v>45498.673125</v>
      </c>
      <c r="C203" s="1" t="n">
        <v>46017</v>
      </c>
      <c r="D203" t="inlineStr">
        <is>
          <t>KALMAR LÄN</t>
        </is>
      </c>
      <c r="E203" t="inlineStr">
        <is>
          <t>VIMMERBY</t>
        </is>
      </c>
      <c r="G203" t="n">
        <v>1.3</v>
      </c>
      <c r="H203" t="n">
        <v>0</v>
      </c>
      <c r="I203" t="n">
        <v>0</v>
      </c>
      <c r="J203" t="n">
        <v>0</v>
      </c>
      <c r="K203" t="n">
        <v>0</v>
      </c>
      <c r="L203" t="n">
        <v>0</v>
      </c>
      <c r="M203" t="n">
        <v>0</v>
      </c>
      <c r="N203" t="n">
        <v>0</v>
      </c>
      <c r="O203" t="n">
        <v>0</v>
      </c>
      <c r="P203" t="n">
        <v>0</v>
      </c>
      <c r="Q203" t="n">
        <v>0</v>
      </c>
      <c r="R203" s="2" t="inlineStr"/>
    </row>
    <row r="204" ht="15" customHeight="1">
      <c r="A204" t="inlineStr">
        <is>
          <t>A 56536-2022</t>
        </is>
      </c>
      <c r="B204" s="1" t="n">
        <v>44893</v>
      </c>
      <c r="C204" s="1" t="n">
        <v>46017</v>
      </c>
      <c r="D204" t="inlineStr">
        <is>
          <t>KALMAR LÄN</t>
        </is>
      </c>
      <c r="E204" t="inlineStr">
        <is>
          <t>VIMMERBY</t>
        </is>
      </c>
      <c r="G204" t="n">
        <v>3.2</v>
      </c>
      <c r="H204" t="n">
        <v>0</v>
      </c>
      <c r="I204" t="n">
        <v>0</v>
      </c>
      <c r="J204" t="n">
        <v>0</v>
      </c>
      <c r="K204" t="n">
        <v>0</v>
      </c>
      <c r="L204" t="n">
        <v>0</v>
      </c>
      <c r="M204" t="n">
        <v>0</v>
      </c>
      <c r="N204" t="n">
        <v>0</v>
      </c>
      <c r="O204" t="n">
        <v>0</v>
      </c>
      <c r="P204" t="n">
        <v>0</v>
      </c>
      <c r="Q204" t="n">
        <v>0</v>
      </c>
      <c r="R204" s="2" t="inlineStr"/>
    </row>
    <row r="205" ht="15" customHeight="1">
      <c r="A205" t="inlineStr">
        <is>
          <t>A 63541-2023</t>
        </is>
      </c>
      <c r="B205" s="1" t="n">
        <v>45275.32266203704</v>
      </c>
      <c r="C205" s="1" t="n">
        <v>46017</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37323-2024</t>
        </is>
      </c>
      <c r="B206" s="1" t="n">
        <v>45540.50098379629</v>
      </c>
      <c r="C206" s="1" t="n">
        <v>46017</v>
      </c>
      <c r="D206" t="inlineStr">
        <is>
          <t>KALMAR LÄN</t>
        </is>
      </c>
      <c r="E206" t="inlineStr">
        <is>
          <t>VIMMERBY</t>
        </is>
      </c>
      <c r="G206" t="n">
        <v>1.2</v>
      </c>
      <c r="H206" t="n">
        <v>0</v>
      </c>
      <c r="I206" t="n">
        <v>0</v>
      </c>
      <c r="J206" t="n">
        <v>0</v>
      </c>
      <c r="K206" t="n">
        <v>0</v>
      </c>
      <c r="L206" t="n">
        <v>0</v>
      </c>
      <c r="M206" t="n">
        <v>0</v>
      </c>
      <c r="N206" t="n">
        <v>0</v>
      </c>
      <c r="O206" t="n">
        <v>0</v>
      </c>
      <c r="P206" t="n">
        <v>0</v>
      </c>
      <c r="Q206" t="n">
        <v>0</v>
      </c>
      <c r="R206" s="2" t="inlineStr"/>
    </row>
    <row r="207" ht="15" customHeight="1">
      <c r="A207" t="inlineStr">
        <is>
          <t>A 37187-2024</t>
        </is>
      </c>
      <c r="B207" s="1" t="n">
        <v>45539.65212962963</v>
      </c>
      <c r="C207" s="1" t="n">
        <v>46017</v>
      </c>
      <c r="D207" t="inlineStr">
        <is>
          <t>KALMAR LÄN</t>
        </is>
      </c>
      <c r="E207" t="inlineStr">
        <is>
          <t>VIMMERBY</t>
        </is>
      </c>
      <c r="G207" t="n">
        <v>2.7</v>
      </c>
      <c r="H207" t="n">
        <v>0</v>
      </c>
      <c r="I207" t="n">
        <v>0</v>
      </c>
      <c r="J207" t="n">
        <v>0</v>
      </c>
      <c r="K207" t="n">
        <v>0</v>
      </c>
      <c r="L207" t="n">
        <v>0</v>
      </c>
      <c r="M207" t="n">
        <v>0</v>
      </c>
      <c r="N207" t="n">
        <v>0</v>
      </c>
      <c r="O207" t="n">
        <v>0</v>
      </c>
      <c r="P207" t="n">
        <v>0</v>
      </c>
      <c r="Q207" t="n">
        <v>0</v>
      </c>
      <c r="R207" s="2" t="inlineStr"/>
    </row>
    <row r="208" ht="15" customHeight="1">
      <c r="A208" t="inlineStr">
        <is>
          <t>A 11429-2022</t>
        </is>
      </c>
      <c r="B208" s="1" t="n">
        <v>44630</v>
      </c>
      <c r="C208" s="1" t="n">
        <v>46017</v>
      </c>
      <c r="D208" t="inlineStr">
        <is>
          <t>KALMAR LÄN</t>
        </is>
      </c>
      <c r="E208" t="inlineStr">
        <is>
          <t>VIMMERBY</t>
        </is>
      </c>
      <c r="G208" t="n">
        <v>2.6</v>
      </c>
      <c r="H208" t="n">
        <v>0</v>
      </c>
      <c r="I208" t="n">
        <v>0</v>
      </c>
      <c r="J208" t="n">
        <v>0</v>
      </c>
      <c r="K208" t="n">
        <v>0</v>
      </c>
      <c r="L208" t="n">
        <v>0</v>
      </c>
      <c r="M208" t="n">
        <v>0</v>
      </c>
      <c r="N208" t="n">
        <v>0</v>
      </c>
      <c r="O208" t="n">
        <v>0</v>
      </c>
      <c r="P208" t="n">
        <v>0</v>
      </c>
      <c r="Q208" t="n">
        <v>0</v>
      </c>
      <c r="R208" s="2" t="inlineStr"/>
    </row>
    <row r="209" ht="15" customHeight="1">
      <c r="A209" t="inlineStr">
        <is>
          <t>A 56582-2022</t>
        </is>
      </c>
      <c r="B209" s="1" t="n">
        <v>44893</v>
      </c>
      <c r="C209" s="1" t="n">
        <v>46017</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12630-2023</t>
        </is>
      </c>
      <c r="B210" s="1" t="n">
        <v>45000.47998842593</v>
      </c>
      <c r="C210" s="1" t="n">
        <v>46017</v>
      </c>
      <c r="D210" t="inlineStr">
        <is>
          <t>KALMAR LÄN</t>
        </is>
      </c>
      <c r="E210" t="inlineStr">
        <is>
          <t>VIMMERBY</t>
        </is>
      </c>
      <c r="G210" t="n">
        <v>2.1</v>
      </c>
      <c r="H210" t="n">
        <v>0</v>
      </c>
      <c r="I210" t="n">
        <v>0</v>
      </c>
      <c r="J210" t="n">
        <v>0</v>
      </c>
      <c r="K210" t="n">
        <v>0</v>
      </c>
      <c r="L210" t="n">
        <v>0</v>
      </c>
      <c r="M210" t="n">
        <v>0</v>
      </c>
      <c r="N210" t="n">
        <v>0</v>
      </c>
      <c r="O210" t="n">
        <v>0</v>
      </c>
      <c r="P210" t="n">
        <v>0</v>
      </c>
      <c r="Q210" t="n">
        <v>0</v>
      </c>
      <c r="R210" s="2" t="inlineStr"/>
    </row>
    <row r="211" ht="15" customHeight="1">
      <c r="A211" t="inlineStr">
        <is>
          <t>A 39584-2024</t>
        </is>
      </c>
      <c r="B211" s="1" t="n">
        <v>45552.36759259259</v>
      </c>
      <c r="C211" s="1" t="n">
        <v>46017</v>
      </c>
      <c r="D211" t="inlineStr">
        <is>
          <t>KALMAR LÄN</t>
        </is>
      </c>
      <c r="E211" t="inlineStr">
        <is>
          <t>VIMMERBY</t>
        </is>
      </c>
      <c r="G211" t="n">
        <v>1.9</v>
      </c>
      <c r="H211" t="n">
        <v>0</v>
      </c>
      <c r="I211" t="n">
        <v>0</v>
      </c>
      <c r="J211" t="n">
        <v>0</v>
      </c>
      <c r="K211" t="n">
        <v>0</v>
      </c>
      <c r="L211" t="n">
        <v>0</v>
      </c>
      <c r="M211" t="n">
        <v>0</v>
      </c>
      <c r="N211" t="n">
        <v>0</v>
      </c>
      <c r="O211" t="n">
        <v>0</v>
      </c>
      <c r="P211" t="n">
        <v>0</v>
      </c>
      <c r="Q211" t="n">
        <v>0</v>
      </c>
      <c r="R211" s="2" t="inlineStr"/>
    </row>
    <row r="212" ht="15" customHeight="1">
      <c r="A212" t="inlineStr">
        <is>
          <t>A 27705-2023</t>
        </is>
      </c>
      <c r="B212" s="1" t="n">
        <v>45098.30535879629</v>
      </c>
      <c r="C212" s="1" t="n">
        <v>46017</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6408-2025</t>
        </is>
      </c>
      <c r="B213" s="1" t="n">
        <v>45699.45671296296</v>
      </c>
      <c r="C213" s="1" t="n">
        <v>46017</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52435-2021</t>
        </is>
      </c>
      <c r="B214" s="1" t="n">
        <v>44466.34962962963</v>
      </c>
      <c r="C214" s="1" t="n">
        <v>46017</v>
      </c>
      <c r="D214" t="inlineStr">
        <is>
          <t>KALMAR LÄN</t>
        </is>
      </c>
      <c r="E214" t="inlineStr">
        <is>
          <t>VIMMERBY</t>
        </is>
      </c>
      <c r="G214" t="n">
        <v>2.8</v>
      </c>
      <c r="H214" t="n">
        <v>0</v>
      </c>
      <c r="I214" t="n">
        <v>0</v>
      </c>
      <c r="J214" t="n">
        <v>0</v>
      </c>
      <c r="K214" t="n">
        <v>0</v>
      </c>
      <c r="L214" t="n">
        <v>0</v>
      </c>
      <c r="M214" t="n">
        <v>0</v>
      </c>
      <c r="N214" t="n">
        <v>0</v>
      </c>
      <c r="O214" t="n">
        <v>0</v>
      </c>
      <c r="P214" t="n">
        <v>0</v>
      </c>
      <c r="Q214" t="n">
        <v>0</v>
      </c>
      <c r="R214" s="2" t="inlineStr"/>
    </row>
    <row r="215" ht="15" customHeight="1">
      <c r="A215" t="inlineStr">
        <is>
          <t>A 29093-2023</t>
        </is>
      </c>
      <c r="B215" s="1" t="n">
        <v>45105</v>
      </c>
      <c r="C215" s="1" t="n">
        <v>46017</v>
      </c>
      <c r="D215" t="inlineStr">
        <is>
          <t>KALMAR LÄN</t>
        </is>
      </c>
      <c r="E215" t="inlineStr">
        <is>
          <t>VIMMERBY</t>
        </is>
      </c>
      <c r="G215" t="n">
        <v>2.9</v>
      </c>
      <c r="H215" t="n">
        <v>0</v>
      </c>
      <c r="I215" t="n">
        <v>0</v>
      </c>
      <c r="J215" t="n">
        <v>0</v>
      </c>
      <c r="K215" t="n">
        <v>0</v>
      </c>
      <c r="L215" t="n">
        <v>0</v>
      </c>
      <c r="M215" t="n">
        <v>0</v>
      </c>
      <c r="N215" t="n">
        <v>0</v>
      </c>
      <c r="O215" t="n">
        <v>0</v>
      </c>
      <c r="P215" t="n">
        <v>0</v>
      </c>
      <c r="Q215" t="n">
        <v>0</v>
      </c>
      <c r="R215" s="2" t="inlineStr"/>
    </row>
    <row r="216" ht="15" customHeight="1">
      <c r="A216" t="inlineStr">
        <is>
          <t>A 11609-2023</t>
        </is>
      </c>
      <c r="B216" s="1" t="n">
        <v>44994.40635416667</v>
      </c>
      <c r="C216" s="1" t="n">
        <v>46017</v>
      </c>
      <c r="D216" t="inlineStr">
        <is>
          <t>KALMAR LÄN</t>
        </is>
      </c>
      <c r="E216" t="inlineStr">
        <is>
          <t>VIMMERBY</t>
        </is>
      </c>
      <c r="G216" t="n">
        <v>4.9</v>
      </c>
      <c r="H216" t="n">
        <v>0</v>
      </c>
      <c r="I216" t="n">
        <v>0</v>
      </c>
      <c r="J216" t="n">
        <v>0</v>
      </c>
      <c r="K216" t="n">
        <v>0</v>
      </c>
      <c r="L216" t="n">
        <v>0</v>
      </c>
      <c r="M216" t="n">
        <v>0</v>
      </c>
      <c r="N216" t="n">
        <v>0</v>
      </c>
      <c r="O216" t="n">
        <v>0</v>
      </c>
      <c r="P216" t="n">
        <v>0</v>
      </c>
      <c r="Q216" t="n">
        <v>0</v>
      </c>
      <c r="R216" s="2" t="inlineStr"/>
    </row>
    <row r="217" ht="15" customHeight="1">
      <c r="A217" t="inlineStr">
        <is>
          <t>A 14220-2021</t>
        </is>
      </c>
      <c r="B217" s="1" t="n">
        <v>44278.54855324074</v>
      </c>
      <c r="C217" s="1" t="n">
        <v>46017</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44464-2024</t>
        </is>
      </c>
      <c r="B218" s="1" t="n">
        <v>45574.35809027778</v>
      </c>
      <c r="C218" s="1" t="n">
        <v>46017</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31013-2023</t>
        </is>
      </c>
      <c r="B219" s="1" t="n">
        <v>45113.56574074074</v>
      </c>
      <c r="C219" s="1" t="n">
        <v>46017</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41066-2024</t>
        </is>
      </c>
      <c r="B220" s="1" t="n">
        <v>45559.38876157408</v>
      </c>
      <c r="C220" s="1" t="n">
        <v>46017</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15388-2025</t>
        </is>
      </c>
      <c r="B221" s="1" t="n">
        <v>45747.42633101852</v>
      </c>
      <c r="C221" s="1" t="n">
        <v>46017</v>
      </c>
      <c r="D221" t="inlineStr">
        <is>
          <t>KALMAR LÄN</t>
        </is>
      </c>
      <c r="E221" t="inlineStr">
        <is>
          <t>VIMMERBY</t>
        </is>
      </c>
      <c r="G221" t="n">
        <v>1.3</v>
      </c>
      <c r="H221" t="n">
        <v>0</v>
      </c>
      <c r="I221" t="n">
        <v>0</v>
      </c>
      <c r="J221" t="n">
        <v>0</v>
      </c>
      <c r="K221" t="n">
        <v>0</v>
      </c>
      <c r="L221" t="n">
        <v>0</v>
      </c>
      <c r="M221" t="n">
        <v>0</v>
      </c>
      <c r="N221" t="n">
        <v>0</v>
      </c>
      <c r="O221" t="n">
        <v>0</v>
      </c>
      <c r="P221" t="n">
        <v>0</v>
      </c>
      <c r="Q221" t="n">
        <v>0</v>
      </c>
      <c r="R221" s="2" t="inlineStr"/>
    </row>
    <row r="222" ht="15" customHeight="1">
      <c r="A222" t="inlineStr">
        <is>
          <t>A 15391-2025</t>
        </is>
      </c>
      <c r="B222" s="1" t="n">
        <v>45747.42958333333</v>
      </c>
      <c r="C222" s="1" t="n">
        <v>46017</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33359-2021</t>
        </is>
      </c>
      <c r="B223" s="1" t="n">
        <v>44377.49684027778</v>
      </c>
      <c r="C223" s="1" t="n">
        <v>46017</v>
      </c>
      <c r="D223" t="inlineStr">
        <is>
          <t>KALMAR LÄN</t>
        </is>
      </c>
      <c r="E223" t="inlineStr">
        <is>
          <t>VIMMERBY</t>
        </is>
      </c>
      <c r="F223" t="inlineStr">
        <is>
          <t>Kommuner</t>
        </is>
      </c>
      <c r="G223" t="n">
        <v>8</v>
      </c>
      <c r="H223" t="n">
        <v>0</v>
      </c>
      <c r="I223" t="n">
        <v>0</v>
      </c>
      <c r="J223" t="n">
        <v>0</v>
      </c>
      <c r="K223" t="n">
        <v>0</v>
      </c>
      <c r="L223" t="n">
        <v>0</v>
      </c>
      <c r="M223" t="n">
        <v>0</v>
      </c>
      <c r="N223" t="n">
        <v>0</v>
      </c>
      <c r="O223" t="n">
        <v>0</v>
      </c>
      <c r="P223" t="n">
        <v>0</v>
      </c>
      <c r="Q223" t="n">
        <v>0</v>
      </c>
      <c r="R223" s="2" t="inlineStr"/>
    </row>
    <row r="224" ht="15" customHeight="1">
      <c r="A224" t="inlineStr">
        <is>
          <t>A 11303-2025</t>
        </is>
      </c>
      <c r="B224" s="1" t="n">
        <v>45726.44471064815</v>
      </c>
      <c r="C224" s="1" t="n">
        <v>46017</v>
      </c>
      <c r="D224" t="inlineStr">
        <is>
          <t>KALMAR LÄN</t>
        </is>
      </c>
      <c r="E224" t="inlineStr">
        <is>
          <t>VIMMERBY</t>
        </is>
      </c>
      <c r="G224" t="n">
        <v>2.1</v>
      </c>
      <c r="H224" t="n">
        <v>0</v>
      </c>
      <c r="I224" t="n">
        <v>0</v>
      </c>
      <c r="J224" t="n">
        <v>0</v>
      </c>
      <c r="K224" t="n">
        <v>0</v>
      </c>
      <c r="L224" t="n">
        <v>0</v>
      </c>
      <c r="M224" t="n">
        <v>0</v>
      </c>
      <c r="N224" t="n">
        <v>0</v>
      </c>
      <c r="O224" t="n">
        <v>0</v>
      </c>
      <c r="P224" t="n">
        <v>0</v>
      </c>
      <c r="Q224" t="n">
        <v>0</v>
      </c>
      <c r="R224" s="2" t="inlineStr"/>
    </row>
    <row r="225" ht="15" customHeight="1">
      <c r="A225" t="inlineStr">
        <is>
          <t>A 43038-2022</t>
        </is>
      </c>
      <c r="B225" s="1" t="n">
        <v>44833.60123842592</v>
      </c>
      <c r="C225" s="1" t="n">
        <v>46017</v>
      </c>
      <c r="D225" t="inlineStr">
        <is>
          <t>KALMAR LÄN</t>
        </is>
      </c>
      <c r="E225" t="inlineStr">
        <is>
          <t>VIMMERBY</t>
        </is>
      </c>
      <c r="G225" t="n">
        <v>4.2</v>
      </c>
      <c r="H225" t="n">
        <v>0</v>
      </c>
      <c r="I225" t="n">
        <v>0</v>
      </c>
      <c r="J225" t="n">
        <v>0</v>
      </c>
      <c r="K225" t="n">
        <v>0</v>
      </c>
      <c r="L225" t="n">
        <v>0</v>
      </c>
      <c r="M225" t="n">
        <v>0</v>
      </c>
      <c r="N225" t="n">
        <v>0</v>
      </c>
      <c r="O225" t="n">
        <v>0</v>
      </c>
      <c r="P225" t="n">
        <v>0</v>
      </c>
      <c r="Q225" t="n">
        <v>0</v>
      </c>
      <c r="R225" s="2" t="inlineStr"/>
    </row>
    <row r="226" ht="15" customHeight="1">
      <c r="A226" t="inlineStr">
        <is>
          <t>A 50087-2023</t>
        </is>
      </c>
      <c r="B226" s="1" t="n">
        <v>45215.59743055556</v>
      </c>
      <c r="C226" s="1" t="n">
        <v>46017</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33681-2022</t>
        </is>
      </c>
      <c r="B227" s="1" t="n">
        <v>44789</v>
      </c>
      <c r="C227" s="1" t="n">
        <v>46017</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3816-2022</t>
        </is>
      </c>
      <c r="B228" s="1" t="n">
        <v>44587</v>
      </c>
      <c r="C228" s="1" t="n">
        <v>46017</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33352-2022</t>
        </is>
      </c>
      <c r="B229" s="1" t="n">
        <v>44788</v>
      </c>
      <c r="C229" s="1" t="n">
        <v>46017</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46234-2024</t>
        </is>
      </c>
      <c r="B230" s="1" t="n">
        <v>45581.57958333333</v>
      </c>
      <c r="C230" s="1" t="n">
        <v>46017</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16825-2024</t>
        </is>
      </c>
      <c r="B231" s="1" t="n">
        <v>45411.47335648148</v>
      </c>
      <c r="C231" s="1" t="n">
        <v>46017</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39053-2024</t>
        </is>
      </c>
      <c r="B232" s="1" t="n">
        <v>45548</v>
      </c>
      <c r="C232" s="1" t="n">
        <v>46017</v>
      </c>
      <c r="D232" t="inlineStr">
        <is>
          <t>KALMAR LÄN</t>
        </is>
      </c>
      <c r="E232" t="inlineStr">
        <is>
          <t>VIMMERBY</t>
        </is>
      </c>
      <c r="G232" t="n">
        <v>5</v>
      </c>
      <c r="H232" t="n">
        <v>0</v>
      </c>
      <c r="I232" t="n">
        <v>0</v>
      </c>
      <c r="J232" t="n">
        <v>0</v>
      </c>
      <c r="K232" t="n">
        <v>0</v>
      </c>
      <c r="L232" t="n">
        <v>0</v>
      </c>
      <c r="M232" t="n">
        <v>0</v>
      </c>
      <c r="N232" t="n">
        <v>0</v>
      </c>
      <c r="O232" t="n">
        <v>0</v>
      </c>
      <c r="P232" t="n">
        <v>0</v>
      </c>
      <c r="Q232" t="n">
        <v>0</v>
      </c>
      <c r="R232" s="2" t="inlineStr"/>
    </row>
    <row r="233" ht="15" customHeight="1">
      <c r="A233" t="inlineStr">
        <is>
          <t>A 1081-2023</t>
        </is>
      </c>
      <c r="B233" s="1" t="n">
        <v>44935</v>
      </c>
      <c r="C233" s="1" t="n">
        <v>46017</v>
      </c>
      <c r="D233" t="inlineStr">
        <is>
          <t>KALMAR LÄN</t>
        </is>
      </c>
      <c r="E233" t="inlineStr">
        <is>
          <t>VIMMERBY</t>
        </is>
      </c>
      <c r="G233" t="n">
        <v>1.3</v>
      </c>
      <c r="H233" t="n">
        <v>0</v>
      </c>
      <c r="I233" t="n">
        <v>0</v>
      </c>
      <c r="J233" t="n">
        <v>0</v>
      </c>
      <c r="K233" t="n">
        <v>0</v>
      </c>
      <c r="L233" t="n">
        <v>0</v>
      </c>
      <c r="M233" t="n">
        <v>0</v>
      </c>
      <c r="N233" t="n">
        <v>0</v>
      </c>
      <c r="O233" t="n">
        <v>0</v>
      </c>
      <c r="P233" t="n">
        <v>0</v>
      </c>
      <c r="Q233" t="n">
        <v>0</v>
      </c>
      <c r="R233" s="2" t="inlineStr"/>
    </row>
    <row r="234" ht="15" customHeight="1">
      <c r="A234" t="inlineStr">
        <is>
          <t>A 15449-2023</t>
        </is>
      </c>
      <c r="B234" s="1" t="n">
        <v>45020</v>
      </c>
      <c r="C234" s="1" t="n">
        <v>46017</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7047-2022</t>
        </is>
      </c>
      <c r="B235" s="1" t="n">
        <v>44603</v>
      </c>
      <c r="C235" s="1" t="n">
        <v>46017</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12499-2023</t>
        </is>
      </c>
      <c r="B236" s="1" t="n">
        <v>44999.86172453704</v>
      </c>
      <c r="C236" s="1" t="n">
        <v>46017</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12500-2023</t>
        </is>
      </c>
      <c r="B237" s="1" t="n">
        <v>44999.8625</v>
      </c>
      <c r="C237" s="1" t="n">
        <v>46017</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12033-2024</t>
        </is>
      </c>
      <c r="B238" s="1" t="n">
        <v>45377.40043981482</v>
      </c>
      <c r="C238" s="1" t="n">
        <v>46017</v>
      </c>
      <c r="D238" t="inlineStr">
        <is>
          <t>KALMAR LÄN</t>
        </is>
      </c>
      <c r="E238" t="inlineStr">
        <is>
          <t>VIMMERBY</t>
        </is>
      </c>
      <c r="G238" t="n">
        <v>1.6</v>
      </c>
      <c r="H238" t="n">
        <v>0</v>
      </c>
      <c r="I238" t="n">
        <v>0</v>
      </c>
      <c r="J238" t="n">
        <v>0</v>
      </c>
      <c r="K238" t="n">
        <v>0</v>
      </c>
      <c r="L238" t="n">
        <v>0</v>
      </c>
      <c r="M238" t="n">
        <v>0</v>
      </c>
      <c r="N238" t="n">
        <v>0</v>
      </c>
      <c r="O238" t="n">
        <v>0</v>
      </c>
      <c r="P238" t="n">
        <v>0</v>
      </c>
      <c r="Q238" t="n">
        <v>0</v>
      </c>
      <c r="R238" s="2" t="inlineStr"/>
    </row>
    <row r="239" ht="15" customHeight="1">
      <c r="A239" t="inlineStr">
        <is>
          <t>A 43594-2024</t>
        </is>
      </c>
      <c r="B239" s="1" t="n">
        <v>45569.44295138889</v>
      </c>
      <c r="C239" s="1" t="n">
        <v>46017</v>
      </c>
      <c r="D239" t="inlineStr">
        <is>
          <t>KALMAR LÄN</t>
        </is>
      </c>
      <c r="E239" t="inlineStr">
        <is>
          <t>VIMMERBY</t>
        </is>
      </c>
      <c r="G239" t="n">
        <v>3.9</v>
      </c>
      <c r="H239" t="n">
        <v>0</v>
      </c>
      <c r="I239" t="n">
        <v>0</v>
      </c>
      <c r="J239" t="n">
        <v>0</v>
      </c>
      <c r="K239" t="n">
        <v>0</v>
      </c>
      <c r="L239" t="n">
        <v>0</v>
      </c>
      <c r="M239" t="n">
        <v>0</v>
      </c>
      <c r="N239" t="n">
        <v>0</v>
      </c>
      <c r="O239" t="n">
        <v>0</v>
      </c>
      <c r="P239" t="n">
        <v>0</v>
      </c>
      <c r="Q239" t="n">
        <v>0</v>
      </c>
      <c r="R239" s="2" t="inlineStr"/>
    </row>
    <row r="240" ht="15" customHeight="1">
      <c r="A240" t="inlineStr">
        <is>
          <t>A 6214-2025</t>
        </is>
      </c>
      <c r="B240" s="1" t="n">
        <v>45698.51711805556</v>
      </c>
      <c r="C240" s="1" t="n">
        <v>46017</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17486-2024</t>
        </is>
      </c>
      <c r="B241" s="1" t="n">
        <v>45415.48979166667</v>
      </c>
      <c r="C241" s="1" t="n">
        <v>46017</v>
      </c>
      <c r="D241" t="inlineStr">
        <is>
          <t>KALMAR LÄN</t>
        </is>
      </c>
      <c r="E241" t="inlineStr">
        <is>
          <t>VIMMERBY</t>
        </is>
      </c>
      <c r="G241" t="n">
        <v>2.6</v>
      </c>
      <c r="H241" t="n">
        <v>0</v>
      </c>
      <c r="I241" t="n">
        <v>0</v>
      </c>
      <c r="J241" t="n">
        <v>0</v>
      </c>
      <c r="K241" t="n">
        <v>0</v>
      </c>
      <c r="L241" t="n">
        <v>0</v>
      </c>
      <c r="M241" t="n">
        <v>0</v>
      </c>
      <c r="N241" t="n">
        <v>0</v>
      </c>
      <c r="O241" t="n">
        <v>0</v>
      </c>
      <c r="P241" t="n">
        <v>0</v>
      </c>
      <c r="Q241" t="n">
        <v>0</v>
      </c>
      <c r="R241" s="2" t="inlineStr"/>
    </row>
    <row r="242" ht="15" customHeight="1">
      <c r="A242" t="inlineStr">
        <is>
          <t>A 6066-2023</t>
        </is>
      </c>
      <c r="B242" s="1" t="n">
        <v>44964.50894675926</v>
      </c>
      <c r="C242" s="1" t="n">
        <v>46017</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49408-2023</t>
        </is>
      </c>
      <c r="B243" s="1" t="n">
        <v>45211.43555555555</v>
      </c>
      <c r="C243" s="1" t="n">
        <v>46017</v>
      </c>
      <c r="D243" t="inlineStr">
        <is>
          <t>KALMAR LÄN</t>
        </is>
      </c>
      <c r="E243" t="inlineStr">
        <is>
          <t>VIMMERBY</t>
        </is>
      </c>
      <c r="G243" t="n">
        <v>13.1</v>
      </c>
      <c r="H243" t="n">
        <v>0</v>
      </c>
      <c r="I243" t="n">
        <v>0</v>
      </c>
      <c r="J243" t="n">
        <v>0</v>
      </c>
      <c r="K243" t="n">
        <v>0</v>
      </c>
      <c r="L243" t="n">
        <v>0</v>
      </c>
      <c r="M243" t="n">
        <v>0</v>
      </c>
      <c r="N243" t="n">
        <v>0</v>
      </c>
      <c r="O243" t="n">
        <v>0</v>
      </c>
      <c r="P243" t="n">
        <v>0</v>
      </c>
      <c r="Q243" t="n">
        <v>0</v>
      </c>
      <c r="R243" s="2" t="inlineStr"/>
    </row>
    <row r="244" ht="15" customHeight="1">
      <c r="A244" t="inlineStr">
        <is>
          <t>A 33103-2024</t>
        </is>
      </c>
      <c r="B244" s="1" t="n">
        <v>45517.8162037037</v>
      </c>
      <c r="C244" s="1" t="n">
        <v>46017</v>
      </c>
      <c r="D244" t="inlineStr">
        <is>
          <t>KALMAR LÄN</t>
        </is>
      </c>
      <c r="E244" t="inlineStr">
        <is>
          <t>VIMMERBY</t>
        </is>
      </c>
      <c r="G244" t="n">
        <v>1.6</v>
      </c>
      <c r="H244" t="n">
        <v>0</v>
      </c>
      <c r="I244" t="n">
        <v>0</v>
      </c>
      <c r="J244" t="n">
        <v>0</v>
      </c>
      <c r="K244" t="n">
        <v>0</v>
      </c>
      <c r="L244" t="n">
        <v>0</v>
      </c>
      <c r="M244" t="n">
        <v>0</v>
      </c>
      <c r="N244" t="n">
        <v>0</v>
      </c>
      <c r="O244" t="n">
        <v>0</v>
      </c>
      <c r="P244" t="n">
        <v>0</v>
      </c>
      <c r="Q244" t="n">
        <v>0</v>
      </c>
      <c r="R244" s="2" t="inlineStr"/>
    </row>
    <row r="245" ht="15" customHeight="1">
      <c r="A245" t="inlineStr">
        <is>
          <t>A 33161-2024</t>
        </is>
      </c>
      <c r="B245" s="1" t="n">
        <v>45518.40657407408</v>
      </c>
      <c r="C245" s="1" t="n">
        <v>46017</v>
      </c>
      <c r="D245" t="inlineStr">
        <is>
          <t>KALMAR LÄN</t>
        </is>
      </c>
      <c r="E245" t="inlineStr">
        <is>
          <t>VIMMERBY</t>
        </is>
      </c>
      <c r="G245" t="n">
        <v>4.7</v>
      </c>
      <c r="H245" t="n">
        <v>0</v>
      </c>
      <c r="I245" t="n">
        <v>0</v>
      </c>
      <c r="J245" t="n">
        <v>0</v>
      </c>
      <c r="K245" t="n">
        <v>0</v>
      </c>
      <c r="L245" t="n">
        <v>0</v>
      </c>
      <c r="M245" t="n">
        <v>0</v>
      </c>
      <c r="N245" t="n">
        <v>0</v>
      </c>
      <c r="O245" t="n">
        <v>0</v>
      </c>
      <c r="P245" t="n">
        <v>0</v>
      </c>
      <c r="Q245" t="n">
        <v>0</v>
      </c>
      <c r="R245" s="2" t="inlineStr"/>
    </row>
    <row r="246" ht="15" customHeight="1">
      <c r="A246" t="inlineStr">
        <is>
          <t>A 12510-2022</t>
        </is>
      </c>
      <c r="B246" s="1" t="n">
        <v>44638.55256944444</v>
      </c>
      <c r="C246" s="1" t="n">
        <v>46017</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14248-2023</t>
        </is>
      </c>
      <c r="B247" s="1" t="n">
        <v>45009</v>
      </c>
      <c r="C247" s="1" t="n">
        <v>46017</v>
      </c>
      <c r="D247" t="inlineStr">
        <is>
          <t>KALMAR LÄN</t>
        </is>
      </c>
      <c r="E247" t="inlineStr">
        <is>
          <t>VIMMERBY</t>
        </is>
      </c>
      <c r="G247" t="n">
        <v>2.6</v>
      </c>
      <c r="H247" t="n">
        <v>0</v>
      </c>
      <c r="I247" t="n">
        <v>0</v>
      </c>
      <c r="J247" t="n">
        <v>0</v>
      </c>
      <c r="K247" t="n">
        <v>0</v>
      </c>
      <c r="L247" t="n">
        <v>0</v>
      </c>
      <c r="M247" t="n">
        <v>0</v>
      </c>
      <c r="N247" t="n">
        <v>0</v>
      </c>
      <c r="O247" t="n">
        <v>0</v>
      </c>
      <c r="P247" t="n">
        <v>0</v>
      </c>
      <c r="Q247" t="n">
        <v>0</v>
      </c>
      <c r="R247" s="2" t="inlineStr"/>
    </row>
    <row r="248" ht="15" customHeight="1">
      <c r="A248" t="inlineStr">
        <is>
          <t>A 27443-2023</t>
        </is>
      </c>
      <c r="B248" s="1" t="n">
        <v>45097.40524305555</v>
      </c>
      <c r="C248" s="1" t="n">
        <v>46017</v>
      </c>
      <c r="D248" t="inlineStr">
        <is>
          <t>KALMAR LÄN</t>
        </is>
      </c>
      <c r="E248" t="inlineStr">
        <is>
          <t>VIMMERBY</t>
        </is>
      </c>
      <c r="F248" t="inlineStr">
        <is>
          <t>Övriga Aktiebolag</t>
        </is>
      </c>
      <c r="G248" t="n">
        <v>2.3</v>
      </c>
      <c r="H248" t="n">
        <v>0</v>
      </c>
      <c r="I248" t="n">
        <v>0</v>
      </c>
      <c r="J248" t="n">
        <v>0</v>
      </c>
      <c r="K248" t="n">
        <v>0</v>
      </c>
      <c r="L248" t="n">
        <v>0</v>
      </c>
      <c r="M248" t="n">
        <v>0</v>
      </c>
      <c r="N248" t="n">
        <v>0</v>
      </c>
      <c r="O248" t="n">
        <v>0</v>
      </c>
      <c r="P248" t="n">
        <v>0</v>
      </c>
      <c r="Q248" t="n">
        <v>0</v>
      </c>
      <c r="R248" s="2" t="inlineStr"/>
    </row>
    <row r="249" ht="15" customHeight="1">
      <c r="A249" t="inlineStr">
        <is>
          <t>A 28395-2023</t>
        </is>
      </c>
      <c r="B249" s="1" t="n">
        <v>45100.4062962963</v>
      </c>
      <c r="C249" s="1" t="n">
        <v>46017</v>
      </c>
      <c r="D249" t="inlineStr">
        <is>
          <t>KALMAR LÄN</t>
        </is>
      </c>
      <c r="E249" t="inlineStr">
        <is>
          <t>VIMMERBY</t>
        </is>
      </c>
      <c r="G249" t="n">
        <v>1.4</v>
      </c>
      <c r="H249" t="n">
        <v>0</v>
      </c>
      <c r="I249" t="n">
        <v>0</v>
      </c>
      <c r="J249" t="n">
        <v>0</v>
      </c>
      <c r="K249" t="n">
        <v>0</v>
      </c>
      <c r="L249" t="n">
        <v>0</v>
      </c>
      <c r="M249" t="n">
        <v>0</v>
      </c>
      <c r="N249" t="n">
        <v>0</v>
      </c>
      <c r="O249" t="n">
        <v>0</v>
      </c>
      <c r="P249" t="n">
        <v>0</v>
      </c>
      <c r="Q249" t="n">
        <v>0</v>
      </c>
      <c r="R249" s="2" t="inlineStr"/>
    </row>
    <row r="250" ht="15" customHeight="1">
      <c r="A250" t="inlineStr">
        <is>
          <t>A 11814-2022</t>
        </is>
      </c>
      <c r="B250" s="1" t="n">
        <v>44634.69703703704</v>
      </c>
      <c r="C250" s="1" t="n">
        <v>46017</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18501-2024</t>
        </is>
      </c>
      <c r="B251" s="1" t="n">
        <v>45425.57538194444</v>
      </c>
      <c r="C251" s="1" t="n">
        <v>46017</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56385-2021</t>
        </is>
      </c>
      <c r="B252" s="1" t="n">
        <v>44480</v>
      </c>
      <c r="C252" s="1" t="n">
        <v>46017</v>
      </c>
      <c r="D252" t="inlineStr">
        <is>
          <t>KALMAR LÄN</t>
        </is>
      </c>
      <c r="E252" t="inlineStr">
        <is>
          <t>VIMMERBY</t>
        </is>
      </c>
      <c r="G252" t="n">
        <v>1.9</v>
      </c>
      <c r="H252" t="n">
        <v>0</v>
      </c>
      <c r="I252" t="n">
        <v>0</v>
      </c>
      <c r="J252" t="n">
        <v>0</v>
      </c>
      <c r="K252" t="n">
        <v>0</v>
      </c>
      <c r="L252" t="n">
        <v>0</v>
      </c>
      <c r="M252" t="n">
        <v>0</v>
      </c>
      <c r="N252" t="n">
        <v>0</v>
      </c>
      <c r="O252" t="n">
        <v>0</v>
      </c>
      <c r="P252" t="n">
        <v>0</v>
      </c>
      <c r="Q252" t="n">
        <v>0</v>
      </c>
      <c r="R252" s="2" t="inlineStr"/>
    </row>
    <row r="253" ht="15" customHeight="1">
      <c r="A253" t="inlineStr">
        <is>
          <t>A 1146-2025</t>
        </is>
      </c>
      <c r="B253" s="1" t="n">
        <v>45666</v>
      </c>
      <c r="C253" s="1" t="n">
        <v>46017</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30400-2023</t>
        </is>
      </c>
      <c r="B254" s="1" t="n">
        <v>45111.48225694444</v>
      </c>
      <c r="C254" s="1" t="n">
        <v>46017</v>
      </c>
      <c r="D254" t="inlineStr">
        <is>
          <t>KALMAR LÄN</t>
        </is>
      </c>
      <c r="E254" t="inlineStr">
        <is>
          <t>VIMMERBY</t>
        </is>
      </c>
      <c r="G254" t="n">
        <v>2.7</v>
      </c>
      <c r="H254" t="n">
        <v>0</v>
      </c>
      <c r="I254" t="n">
        <v>0</v>
      </c>
      <c r="J254" t="n">
        <v>0</v>
      </c>
      <c r="K254" t="n">
        <v>0</v>
      </c>
      <c r="L254" t="n">
        <v>0</v>
      </c>
      <c r="M254" t="n">
        <v>0</v>
      </c>
      <c r="N254" t="n">
        <v>0</v>
      </c>
      <c r="O254" t="n">
        <v>0</v>
      </c>
      <c r="P254" t="n">
        <v>0</v>
      </c>
      <c r="Q254" t="n">
        <v>0</v>
      </c>
      <c r="R254" s="2" t="inlineStr"/>
    </row>
    <row r="255" ht="15" customHeight="1">
      <c r="A255" t="inlineStr">
        <is>
          <t>A 30404-2023</t>
        </is>
      </c>
      <c r="B255" s="1" t="n">
        <v>45111.48636574074</v>
      </c>
      <c r="C255" s="1" t="n">
        <v>46017</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55123-2024</t>
        </is>
      </c>
      <c r="B256" s="1" t="n">
        <v>45621.46103009259</v>
      </c>
      <c r="C256" s="1" t="n">
        <v>46017</v>
      </c>
      <c r="D256" t="inlineStr">
        <is>
          <t>KALMAR LÄN</t>
        </is>
      </c>
      <c r="E256" t="inlineStr">
        <is>
          <t>VIMMERBY</t>
        </is>
      </c>
      <c r="G256" t="n">
        <v>3.1</v>
      </c>
      <c r="H256" t="n">
        <v>0</v>
      </c>
      <c r="I256" t="n">
        <v>0</v>
      </c>
      <c r="J256" t="n">
        <v>0</v>
      </c>
      <c r="K256" t="n">
        <v>0</v>
      </c>
      <c r="L256" t="n">
        <v>0</v>
      </c>
      <c r="M256" t="n">
        <v>0</v>
      </c>
      <c r="N256" t="n">
        <v>0</v>
      </c>
      <c r="O256" t="n">
        <v>0</v>
      </c>
      <c r="P256" t="n">
        <v>0</v>
      </c>
      <c r="Q256" t="n">
        <v>0</v>
      </c>
      <c r="R256" s="2" t="inlineStr"/>
    </row>
    <row r="257" ht="15" customHeight="1">
      <c r="A257" t="inlineStr">
        <is>
          <t>A 31405-2023</t>
        </is>
      </c>
      <c r="B257" s="1" t="n">
        <v>45114.58148148148</v>
      </c>
      <c r="C257" s="1" t="n">
        <v>46017</v>
      </c>
      <c r="D257" t="inlineStr">
        <is>
          <t>KALMAR LÄN</t>
        </is>
      </c>
      <c r="E257" t="inlineStr">
        <is>
          <t>VIMMERBY</t>
        </is>
      </c>
      <c r="G257" t="n">
        <v>2.6</v>
      </c>
      <c r="H257" t="n">
        <v>0</v>
      </c>
      <c r="I257" t="n">
        <v>0</v>
      </c>
      <c r="J257" t="n">
        <v>0</v>
      </c>
      <c r="K257" t="n">
        <v>0</v>
      </c>
      <c r="L257" t="n">
        <v>0</v>
      </c>
      <c r="M257" t="n">
        <v>0</v>
      </c>
      <c r="N257" t="n">
        <v>0</v>
      </c>
      <c r="O257" t="n">
        <v>0</v>
      </c>
      <c r="P257" t="n">
        <v>0</v>
      </c>
      <c r="Q257" t="n">
        <v>0</v>
      </c>
      <c r="R257" s="2" t="inlineStr"/>
    </row>
    <row r="258" ht="15" customHeight="1">
      <c r="A258" t="inlineStr">
        <is>
          <t>A 31053-2022</t>
        </is>
      </c>
      <c r="B258" s="1" t="n">
        <v>44769.45422453704</v>
      </c>
      <c r="C258" s="1" t="n">
        <v>46017</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24738-2021</t>
        </is>
      </c>
      <c r="B259" s="1" t="n">
        <v>44340.58002314815</v>
      </c>
      <c r="C259" s="1" t="n">
        <v>46017</v>
      </c>
      <c r="D259" t="inlineStr">
        <is>
          <t>KALMAR LÄN</t>
        </is>
      </c>
      <c r="E259" t="inlineStr">
        <is>
          <t>VIMMERBY</t>
        </is>
      </c>
      <c r="G259" t="n">
        <v>3.5</v>
      </c>
      <c r="H259" t="n">
        <v>0</v>
      </c>
      <c r="I259" t="n">
        <v>0</v>
      </c>
      <c r="J259" t="n">
        <v>0</v>
      </c>
      <c r="K259" t="n">
        <v>0</v>
      </c>
      <c r="L259" t="n">
        <v>0</v>
      </c>
      <c r="M259" t="n">
        <v>0</v>
      </c>
      <c r="N259" t="n">
        <v>0</v>
      </c>
      <c r="O259" t="n">
        <v>0</v>
      </c>
      <c r="P259" t="n">
        <v>0</v>
      </c>
      <c r="Q259" t="n">
        <v>0</v>
      </c>
      <c r="R259" s="2" t="inlineStr"/>
    </row>
    <row r="260" ht="15" customHeight="1">
      <c r="A260" t="inlineStr">
        <is>
          <t>A 25799-2023</t>
        </is>
      </c>
      <c r="B260" s="1" t="n">
        <v>45090</v>
      </c>
      <c r="C260" s="1" t="n">
        <v>46017</v>
      </c>
      <c r="D260" t="inlineStr">
        <is>
          <t>KALMAR LÄN</t>
        </is>
      </c>
      <c r="E260" t="inlineStr">
        <is>
          <t>VIMMERBY</t>
        </is>
      </c>
      <c r="G260" t="n">
        <v>7.7</v>
      </c>
      <c r="H260" t="n">
        <v>0</v>
      </c>
      <c r="I260" t="n">
        <v>0</v>
      </c>
      <c r="J260" t="n">
        <v>0</v>
      </c>
      <c r="K260" t="n">
        <v>0</v>
      </c>
      <c r="L260" t="n">
        <v>0</v>
      </c>
      <c r="M260" t="n">
        <v>0</v>
      </c>
      <c r="N260" t="n">
        <v>0</v>
      </c>
      <c r="O260" t="n">
        <v>0</v>
      </c>
      <c r="P260" t="n">
        <v>0</v>
      </c>
      <c r="Q260" t="n">
        <v>0</v>
      </c>
      <c r="R260" s="2" t="inlineStr"/>
    </row>
    <row r="261" ht="15" customHeight="1">
      <c r="A261" t="inlineStr">
        <is>
          <t>A 16015-2025</t>
        </is>
      </c>
      <c r="B261" s="1" t="n">
        <v>45749.60487268519</v>
      </c>
      <c r="C261" s="1" t="n">
        <v>46017</v>
      </c>
      <c r="D261" t="inlineStr">
        <is>
          <t>KALMAR LÄN</t>
        </is>
      </c>
      <c r="E261" t="inlineStr">
        <is>
          <t>VIMMERBY</t>
        </is>
      </c>
      <c r="F261" t="inlineStr">
        <is>
          <t>Kyrkan</t>
        </is>
      </c>
      <c r="G261" t="n">
        <v>2.7</v>
      </c>
      <c r="H261" t="n">
        <v>0</v>
      </c>
      <c r="I261" t="n">
        <v>0</v>
      </c>
      <c r="J261" t="n">
        <v>0</v>
      </c>
      <c r="K261" t="n">
        <v>0</v>
      </c>
      <c r="L261" t="n">
        <v>0</v>
      </c>
      <c r="M261" t="n">
        <v>0</v>
      </c>
      <c r="N261" t="n">
        <v>0</v>
      </c>
      <c r="O261" t="n">
        <v>0</v>
      </c>
      <c r="P261" t="n">
        <v>0</v>
      </c>
      <c r="Q261" t="n">
        <v>0</v>
      </c>
      <c r="R261" s="2" t="inlineStr"/>
    </row>
    <row r="262" ht="15" customHeight="1">
      <c r="A262" t="inlineStr">
        <is>
          <t>A 24707-2024</t>
        </is>
      </c>
      <c r="B262" s="1" t="n">
        <v>45460.62172453704</v>
      </c>
      <c r="C262" s="1" t="n">
        <v>46017</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12890-2023</t>
        </is>
      </c>
      <c r="B263" s="1" t="n">
        <v>45001.59209490741</v>
      </c>
      <c r="C263" s="1" t="n">
        <v>46017</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3902-2022</t>
        </is>
      </c>
      <c r="B264" s="1" t="n">
        <v>44587.48847222222</v>
      </c>
      <c r="C264" s="1" t="n">
        <v>46017</v>
      </c>
      <c r="D264" t="inlineStr">
        <is>
          <t>KALMAR LÄN</t>
        </is>
      </c>
      <c r="E264" t="inlineStr">
        <is>
          <t>VIMMERBY</t>
        </is>
      </c>
      <c r="G264" t="n">
        <v>2.6</v>
      </c>
      <c r="H264" t="n">
        <v>0</v>
      </c>
      <c r="I264" t="n">
        <v>0</v>
      </c>
      <c r="J264" t="n">
        <v>0</v>
      </c>
      <c r="K264" t="n">
        <v>0</v>
      </c>
      <c r="L264" t="n">
        <v>0</v>
      </c>
      <c r="M264" t="n">
        <v>0</v>
      </c>
      <c r="N264" t="n">
        <v>0</v>
      </c>
      <c r="O264" t="n">
        <v>0</v>
      </c>
      <c r="P264" t="n">
        <v>0</v>
      </c>
      <c r="Q264" t="n">
        <v>0</v>
      </c>
      <c r="R264" s="2" t="inlineStr"/>
    </row>
    <row r="265" ht="15" customHeight="1">
      <c r="A265" t="inlineStr">
        <is>
          <t>A 57256-2023</t>
        </is>
      </c>
      <c r="B265" s="1" t="n">
        <v>45245.5735300926</v>
      </c>
      <c r="C265" s="1" t="n">
        <v>46017</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23088-2024</t>
        </is>
      </c>
      <c r="B266" s="1" t="n">
        <v>45450.51092592593</v>
      </c>
      <c r="C266" s="1" t="n">
        <v>46017</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89-2023</t>
        </is>
      </c>
      <c r="B267" s="1" t="n">
        <v>44918</v>
      </c>
      <c r="C267" s="1" t="n">
        <v>46017</v>
      </c>
      <c r="D267" t="inlineStr">
        <is>
          <t>KALMAR LÄN</t>
        </is>
      </c>
      <c r="E267" t="inlineStr">
        <is>
          <t>VIMMERBY</t>
        </is>
      </c>
      <c r="G267" t="n">
        <v>16.1</v>
      </c>
      <c r="H267" t="n">
        <v>0</v>
      </c>
      <c r="I267" t="n">
        <v>0</v>
      </c>
      <c r="J267" t="n">
        <v>0</v>
      </c>
      <c r="K267" t="n">
        <v>0</v>
      </c>
      <c r="L267" t="n">
        <v>0</v>
      </c>
      <c r="M267" t="n">
        <v>0</v>
      </c>
      <c r="N267" t="n">
        <v>0</v>
      </c>
      <c r="O267" t="n">
        <v>0</v>
      </c>
      <c r="P267" t="n">
        <v>0</v>
      </c>
      <c r="Q267" t="n">
        <v>0</v>
      </c>
      <c r="R267" s="2" t="inlineStr"/>
    </row>
    <row r="268" ht="15" customHeight="1">
      <c r="A268" t="inlineStr">
        <is>
          <t>A 5382-2023</t>
        </is>
      </c>
      <c r="B268" s="1" t="n">
        <v>44959.66407407408</v>
      </c>
      <c r="C268" s="1" t="n">
        <v>46017</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36049-2024</t>
        </is>
      </c>
      <c r="B269" s="1" t="n">
        <v>45533.61996527778</v>
      </c>
      <c r="C269" s="1" t="n">
        <v>46017</v>
      </c>
      <c r="D269" t="inlineStr">
        <is>
          <t>KALMAR LÄN</t>
        </is>
      </c>
      <c r="E269" t="inlineStr">
        <is>
          <t>VIMMERBY</t>
        </is>
      </c>
      <c r="F269" t="inlineStr">
        <is>
          <t>Kommuner</t>
        </is>
      </c>
      <c r="G269" t="n">
        <v>2.6</v>
      </c>
      <c r="H269" t="n">
        <v>0</v>
      </c>
      <c r="I269" t="n">
        <v>0</v>
      </c>
      <c r="J269" t="n">
        <v>0</v>
      </c>
      <c r="K269" t="n">
        <v>0</v>
      </c>
      <c r="L269" t="n">
        <v>0</v>
      </c>
      <c r="M269" t="n">
        <v>0</v>
      </c>
      <c r="N269" t="n">
        <v>0</v>
      </c>
      <c r="O269" t="n">
        <v>0</v>
      </c>
      <c r="P269" t="n">
        <v>0</v>
      </c>
      <c r="Q269" t="n">
        <v>0</v>
      </c>
      <c r="R269" s="2" t="inlineStr"/>
    </row>
    <row r="270" ht="15" customHeight="1">
      <c r="A270" t="inlineStr">
        <is>
          <t>A 6668-2023</t>
        </is>
      </c>
      <c r="B270" s="1" t="n">
        <v>44966</v>
      </c>
      <c r="C270" s="1" t="n">
        <v>46017</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57189-2022</t>
        </is>
      </c>
      <c r="B271" s="1" t="n">
        <v>44895.62296296296</v>
      </c>
      <c r="C271" s="1" t="n">
        <v>46017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172-2022</t>
        </is>
      </c>
      <c r="B272" s="1" t="n">
        <v>44564.62598379629</v>
      </c>
      <c r="C272" s="1" t="n">
        <v>46017</v>
      </c>
      <c r="D272" t="inlineStr">
        <is>
          <t>KALMAR LÄN</t>
        </is>
      </c>
      <c r="E272" t="inlineStr">
        <is>
          <t>VIMMERBY</t>
        </is>
      </c>
      <c r="G272" t="n">
        <v>2.1</v>
      </c>
      <c r="H272" t="n">
        <v>0</v>
      </c>
      <c r="I272" t="n">
        <v>0</v>
      </c>
      <c r="J272" t="n">
        <v>0</v>
      </c>
      <c r="K272" t="n">
        <v>0</v>
      </c>
      <c r="L272" t="n">
        <v>0</v>
      </c>
      <c r="M272" t="n">
        <v>0</v>
      </c>
      <c r="N272" t="n">
        <v>0</v>
      </c>
      <c r="O272" t="n">
        <v>0</v>
      </c>
      <c r="P272" t="n">
        <v>0</v>
      </c>
      <c r="Q272" t="n">
        <v>0</v>
      </c>
      <c r="R272" s="2" t="inlineStr"/>
    </row>
    <row r="273" ht="15" customHeight="1">
      <c r="A273" t="inlineStr">
        <is>
          <t>A 8454-2022</t>
        </is>
      </c>
      <c r="B273" s="1" t="n">
        <v>44612.86762731482</v>
      </c>
      <c r="C273" s="1" t="n">
        <v>46017</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1987-2024</t>
        </is>
      </c>
      <c r="B274" s="1" t="n">
        <v>45308.61152777778</v>
      </c>
      <c r="C274" s="1" t="n">
        <v>46017</v>
      </c>
      <c r="D274" t="inlineStr">
        <is>
          <t>KALMAR LÄN</t>
        </is>
      </c>
      <c r="E274" t="inlineStr">
        <is>
          <t>VIMMERBY</t>
        </is>
      </c>
      <c r="G274" t="n">
        <v>3</v>
      </c>
      <c r="H274" t="n">
        <v>0</v>
      </c>
      <c r="I274" t="n">
        <v>0</v>
      </c>
      <c r="J274" t="n">
        <v>0</v>
      </c>
      <c r="K274" t="n">
        <v>0</v>
      </c>
      <c r="L274" t="n">
        <v>0</v>
      </c>
      <c r="M274" t="n">
        <v>0</v>
      </c>
      <c r="N274" t="n">
        <v>0</v>
      </c>
      <c r="O274" t="n">
        <v>0</v>
      </c>
      <c r="P274" t="n">
        <v>0</v>
      </c>
      <c r="Q274" t="n">
        <v>0</v>
      </c>
      <c r="R274" s="2" t="inlineStr"/>
    </row>
    <row r="275" ht="15" customHeight="1">
      <c r="A275" t="inlineStr">
        <is>
          <t>A 527-2024</t>
        </is>
      </c>
      <c r="B275" s="1" t="n">
        <v>45299.47513888889</v>
      </c>
      <c r="C275" s="1" t="n">
        <v>46017</v>
      </c>
      <c r="D275" t="inlineStr">
        <is>
          <t>KALMAR LÄN</t>
        </is>
      </c>
      <c r="E275" t="inlineStr">
        <is>
          <t>VIMMERBY</t>
        </is>
      </c>
      <c r="G275" t="n">
        <v>2.2</v>
      </c>
      <c r="H275" t="n">
        <v>0</v>
      </c>
      <c r="I275" t="n">
        <v>0</v>
      </c>
      <c r="J275" t="n">
        <v>0</v>
      </c>
      <c r="K275" t="n">
        <v>0</v>
      </c>
      <c r="L275" t="n">
        <v>0</v>
      </c>
      <c r="M275" t="n">
        <v>0</v>
      </c>
      <c r="N275" t="n">
        <v>0</v>
      </c>
      <c r="O275" t="n">
        <v>0</v>
      </c>
      <c r="P275" t="n">
        <v>0</v>
      </c>
      <c r="Q275" t="n">
        <v>0</v>
      </c>
      <c r="R275" s="2" t="inlineStr"/>
    </row>
    <row r="276" ht="15" customHeight="1">
      <c r="A276" t="inlineStr">
        <is>
          <t>A 30634-2024</t>
        </is>
      </c>
      <c r="B276" s="1" t="n">
        <v>45495</v>
      </c>
      <c r="C276" s="1" t="n">
        <v>46017</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6355-2022</t>
        </is>
      </c>
      <c r="B277" s="1" t="n">
        <v>44600</v>
      </c>
      <c r="C277" s="1" t="n">
        <v>46017</v>
      </c>
      <c r="D277" t="inlineStr">
        <is>
          <t>KALMAR LÄN</t>
        </is>
      </c>
      <c r="E277" t="inlineStr">
        <is>
          <t>VIMMERBY</t>
        </is>
      </c>
      <c r="G277" t="n">
        <v>4.9</v>
      </c>
      <c r="H277" t="n">
        <v>0</v>
      </c>
      <c r="I277" t="n">
        <v>0</v>
      </c>
      <c r="J277" t="n">
        <v>0</v>
      </c>
      <c r="K277" t="n">
        <v>0</v>
      </c>
      <c r="L277" t="n">
        <v>0</v>
      </c>
      <c r="M277" t="n">
        <v>0</v>
      </c>
      <c r="N277" t="n">
        <v>0</v>
      </c>
      <c r="O277" t="n">
        <v>0</v>
      </c>
      <c r="P277" t="n">
        <v>0</v>
      </c>
      <c r="Q277" t="n">
        <v>0</v>
      </c>
      <c r="R277" s="2" t="inlineStr"/>
    </row>
    <row r="278" ht="15" customHeight="1">
      <c r="A278" t="inlineStr">
        <is>
          <t>A 16020-2023</t>
        </is>
      </c>
      <c r="B278" s="1" t="n">
        <v>45026.82216435186</v>
      </c>
      <c r="C278" s="1" t="n">
        <v>46017</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37192-2024</t>
        </is>
      </c>
      <c r="B279" s="1" t="n">
        <v>45539.66027777778</v>
      </c>
      <c r="C279" s="1" t="n">
        <v>46017</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60292-2022</t>
        </is>
      </c>
      <c r="B280" s="1" t="n">
        <v>44910.54231481482</v>
      </c>
      <c r="C280" s="1" t="n">
        <v>46017</v>
      </c>
      <c r="D280" t="inlineStr">
        <is>
          <t>KALMAR LÄN</t>
        </is>
      </c>
      <c r="E280" t="inlineStr">
        <is>
          <t>VIMMERBY</t>
        </is>
      </c>
      <c r="G280" t="n">
        <v>4.4</v>
      </c>
      <c r="H280" t="n">
        <v>0</v>
      </c>
      <c r="I280" t="n">
        <v>0</v>
      </c>
      <c r="J280" t="n">
        <v>0</v>
      </c>
      <c r="K280" t="n">
        <v>0</v>
      </c>
      <c r="L280" t="n">
        <v>0</v>
      </c>
      <c r="M280" t="n">
        <v>0</v>
      </c>
      <c r="N280" t="n">
        <v>0</v>
      </c>
      <c r="O280" t="n">
        <v>0</v>
      </c>
      <c r="P280" t="n">
        <v>0</v>
      </c>
      <c r="Q280" t="n">
        <v>0</v>
      </c>
      <c r="R280" s="2" t="inlineStr"/>
    </row>
    <row r="281" ht="15" customHeight="1">
      <c r="A281" t="inlineStr">
        <is>
          <t>A 58159-2024</t>
        </is>
      </c>
      <c r="B281" s="1" t="n">
        <v>45632.44886574074</v>
      </c>
      <c r="C281" s="1" t="n">
        <v>46017</v>
      </c>
      <c r="D281" t="inlineStr">
        <is>
          <t>KALMAR LÄN</t>
        </is>
      </c>
      <c r="E281" t="inlineStr">
        <is>
          <t>VIMMERBY</t>
        </is>
      </c>
      <c r="G281" t="n">
        <v>7.5</v>
      </c>
      <c r="H281" t="n">
        <v>0</v>
      </c>
      <c r="I281" t="n">
        <v>0</v>
      </c>
      <c r="J281" t="n">
        <v>0</v>
      </c>
      <c r="K281" t="n">
        <v>0</v>
      </c>
      <c r="L281" t="n">
        <v>0</v>
      </c>
      <c r="M281" t="n">
        <v>0</v>
      </c>
      <c r="N281" t="n">
        <v>0</v>
      </c>
      <c r="O281" t="n">
        <v>0</v>
      </c>
      <c r="P281" t="n">
        <v>0</v>
      </c>
      <c r="Q281" t="n">
        <v>0</v>
      </c>
      <c r="R281" s="2" t="inlineStr"/>
    </row>
    <row r="282" ht="15" customHeight="1">
      <c r="A282" t="inlineStr">
        <is>
          <t>A 14359-2025</t>
        </is>
      </c>
      <c r="B282" s="1" t="n">
        <v>45741.37270833334</v>
      </c>
      <c r="C282" s="1" t="n">
        <v>46017</v>
      </c>
      <c r="D282" t="inlineStr">
        <is>
          <t>KALMAR LÄN</t>
        </is>
      </c>
      <c r="E282" t="inlineStr">
        <is>
          <t>VIMMERBY</t>
        </is>
      </c>
      <c r="G282" t="n">
        <v>2</v>
      </c>
      <c r="H282" t="n">
        <v>0</v>
      </c>
      <c r="I282" t="n">
        <v>0</v>
      </c>
      <c r="J282" t="n">
        <v>0</v>
      </c>
      <c r="K282" t="n">
        <v>0</v>
      </c>
      <c r="L282" t="n">
        <v>0</v>
      </c>
      <c r="M282" t="n">
        <v>0</v>
      </c>
      <c r="N282" t="n">
        <v>0</v>
      </c>
      <c r="O282" t="n">
        <v>0</v>
      </c>
      <c r="P282" t="n">
        <v>0</v>
      </c>
      <c r="Q282" t="n">
        <v>0</v>
      </c>
      <c r="R282" s="2" t="inlineStr"/>
    </row>
    <row r="283" ht="15" customHeight="1">
      <c r="A283" t="inlineStr">
        <is>
          <t>A 43034-2024</t>
        </is>
      </c>
      <c r="B283" s="1" t="n">
        <v>45567.42011574074</v>
      </c>
      <c r="C283" s="1" t="n">
        <v>46017</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40256-2024</t>
        </is>
      </c>
      <c r="B284" s="1" t="n">
        <v>45554.62944444444</v>
      </c>
      <c r="C284" s="1" t="n">
        <v>46017</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39578-2024</t>
        </is>
      </c>
      <c r="B285" s="1" t="n">
        <v>45552.36484953704</v>
      </c>
      <c r="C285" s="1" t="n">
        <v>46017</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47063-2022</t>
        </is>
      </c>
      <c r="B286" s="1" t="n">
        <v>44852</v>
      </c>
      <c r="C286" s="1" t="n">
        <v>46017</v>
      </c>
      <c r="D286" t="inlineStr">
        <is>
          <t>KALMAR LÄN</t>
        </is>
      </c>
      <c r="E286" t="inlineStr">
        <is>
          <t>VIMMERBY</t>
        </is>
      </c>
      <c r="G286" t="n">
        <v>2.5</v>
      </c>
      <c r="H286" t="n">
        <v>0</v>
      </c>
      <c r="I286" t="n">
        <v>0</v>
      </c>
      <c r="J286" t="n">
        <v>0</v>
      </c>
      <c r="K286" t="n">
        <v>0</v>
      </c>
      <c r="L286" t="n">
        <v>0</v>
      </c>
      <c r="M286" t="n">
        <v>0</v>
      </c>
      <c r="N286" t="n">
        <v>0</v>
      </c>
      <c r="O286" t="n">
        <v>0</v>
      </c>
      <c r="P286" t="n">
        <v>0</v>
      </c>
      <c r="Q286" t="n">
        <v>0</v>
      </c>
      <c r="R286" s="2" t="inlineStr"/>
    </row>
    <row r="287" ht="15" customHeight="1">
      <c r="A287" t="inlineStr">
        <is>
          <t>A 12819-2024</t>
        </is>
      </c>
      <c r="B287" s="1" t="n">
        <v>45384.66917824074</v>
      </c>
      <c r="C287" s="1" t="n">
        <v>46017</v>
      </c>
      <c r="D287" t="inlineStr">
        <is>
          <t>KALMAR LÄN</t>
        </is>
      </c>
      <c r="E287" t="inlineStr">
        <is>
          <t>VIMMERBY</t>
        </is>
      </c>
      <c r="G287" t="n">
        <v>5.1</v>
      </c>
      <c r="H287" t="n">
        <v>0</v>
      </c>
      <c r="I287" t="n">
        <v>0</v>
      </c>
      <c r="J287" t="n">
        <v>0</v>
      </c>
      <c r="K287" t="n">
        <v>0</v>
      </c>
      <c r="L287" t="n">
        <v>0</v>
      </c>
      <c r="M287" t="n">
        <v>0</v>
      </c>
      <c r="N287" t="n">
        <v>0</v>
      </c>
      <c r="O287" t="n">
        <v>0</v>
      </c>
      <c r="P287" t="n">
        <v>0</v>
      </c>
      <c r="Q287" t="n">
        <v>0</v>
      </c>
      <c r="R287" s="2" t="inlineStr"/>
    </row>
    <row r="288" ht="15" customHeight="1">
      <c r="A288" t="inlineStr">
        <is>
          <t>A 43093-2024</t>
        </is>
      </c>
      <c r="B288" s="1" t="n">
        <v>45567</v>
      </c>
      <c r="C288" s="1" t="n">
        <v>46017</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62779-2023</t>
        </is>
      </c>
      <c r="B289" s="1" t="n">
        <v>45271.66576388889</v>
      </c>
      <c r="C289" s="1" t="n">
        <v>46017</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31382-2023</t>
        </is>
      </c>
      <c r="B290" s="1" t="n">
        <v>45114.55136574074</v>
      </c>
      <c r="C290" s="1" t="n">
        <v>46017</v>
      </c>
      <c r="D290" t="inlineStr">
        <is>
          <t>KALMAR LÄN</t>
        </is>
      </c>
      <c r="E290" t="inlineStr">
        <is>
          <t>VIMMERBY</t>
        </is>
      </c>
      <c r="G290" t="n">
        <v>3.7</v>
      </c>
      <c r="H290" t="n">
        <v>0</v>
      </c>
      <c r="I290" t="n">
        <v>0</v>
      </c>
      <c r="J290" t="n">
        <v>0</v>
      </c>
      <c r="K290" t="n">
        <v>0</v>
      </c>
      <c r="L290" t="n">
        <v>0</v>
      </c>
      <c r="M290" t="n">
        <v>0</v>
      </c>
      <c r="N290" t="n">
        <v>0</v>
      </c>
      <c r="O290" t="n">
        <v>0</v>
      </c>
      <c r="P290" t="n">
        <v>0</v>
      </c>
      <c r="Q290" t="n">
        <v>0</v>
      </c>
      <c r="R290" s="2" t="inlineStr"/>
    </row>
    <row r="291" ht="15" customHeight="1">
      <c r="A291" t="inlineStr">
        <is>
          <t>A 11073-2023</t>
        </is>
      </c>
      <c r="B291" s="1" t="n">
        <v>44992</v>
      </c>
      <c r="C291" s="1" t="n">
        <v>46017</v>
      </c>
      <c r="D291" t="inlineStr">
        <is>
          <t>KALMAR LÄN</t>
        </is>
      </c>
      <c r="E291" t="inlineStr">
        <is>
          <t>VIMMERBY</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35198-2023</t>
        </is>
      </c>
      <c r="B292" s="1" t="n">
        <v>45145</v>
      </c>
      <c r="C292" s="1" t="n">
        <v>46017</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59955-2023</t>
        </is>
      </c>
      <c r="B293" s="1" t="n">
        <v>45257.70313657408</v>
      </c>
      <c r="C293" s="1" t="n">
        <v>46017</v>
      </c>
      <c r="D293" t="inlineStr">
        <is>
          <t>KALMAR LÄN</t>
        </is>
      </c>
      <c r="E293" t="inlineStr">
        <is>
          <t>VIMMERBY</t>
        </is>
      </c>
      <c r="G293" t="n">
        <v>13.8</v>
      </c>
      <c r="H293" t="n">
        <v>0</v>
      </c>
      <c r="I293" t="n">
        <v>0</v>
      </c>
      <c r="J293" t="n">
        <v>0</v>
      </c>
      <c r="K293" t="n">
        <v>0</v>
      </c>
      <c r="L293" t="n">
        <v>0</v>
      </c>
      <c r="M293" t="n">
        <v>0</v>
      </c>
      <c r="N293" t="n">
        <v>0</v>
      </c>
      <c r="O293" t="n">
        <v>0</v>
      </c>
      <c r="P293" t="n">
        <v>0</v>
      </c>
      <c r="Q293" t="n">
        <v>0</v>
      </c>
      <c r="R293" s="2" t="inlineStr"/>
    </row>
    <row r="294" ht="15" customHeight="1">
      <c r="A294" t="inlineStr">
        <is>
          <t>A 46399-2024</t>
        </is>
      </c>
      <c r="B294" s="1" t="n">
        <v>45582.41200231481</v>
      </c>
      <c r="C294" s="1" t="n">
        <v>46017</v>
      </c>
      <c r="D294" t="inlineStr">
        <is>
          <t>KALMAR LÄN</t>
        </is>
      </c>
      <c r="E294" t="inlineStr">
        <is>
          <t>VIMMERBY</t>
        </is>
      </c>
      <c r="G294" t="n">
        <v>4.6</v>
      </c>
      <c r="H294" t="n">
        <v>0</v>
      </c>
      <c r="I294" t="n">
        <v>0</v>
      </c>
      <c r="J294" t="n">
        <v>0</v>
      </c>
      <c r="K294" t="n">
        <v>0</v>
      </c>
      <c r="L294" t="n">
        <v>0</v>
      </c>
      <c r="M294" t="n">
        <v>0</v>
      </c>
      <c r="N294" t="n">
        <v>0</v>
      </c>
      <c r="O294" t="n">
        <v>0</v>
      </c>
      <c r="P294" t="n">
        <v>0</v>
      </c>
      <c r="Q294" t="n">
        <v>0</v>
      </c>
      <c r="R294" s="2" t="inlineStr"/>
    </row>
    <row r="295" ht="15" customHeight="1">
      <c r="A295" t="inlineStr">
        <is>
          <t>A 36802-2021</t>
        </is>
      </c>
      <c r="B295" s="1" t="n">
        <v>44392</v>
      </c>
      <c r="C295" s="1" t="n">
        <v>46017</v>
      </c>
      <c r="D295" t="inlineStr">
        <is>
          <t>KALMAR LÄN</t>
        </is>
      </c>
      <c r="E295" t="inlineStr">
        <is>
          <t>VIMMERBY</t>
        </is>
      </c>
      <c r="F295" t="inlineStr">
        <is>
          <t>Sveaskog</t>
        </is>
      </c>
      <c r="G295" t="n">
        <v>4.6</v>
      </c>
      <c r="H295" t="n">
        <v>0</v>
      </c>
      <c r="I295" t="n">
        <v>0</v>
      </c>
      <c r="J295" t="n">
        <v>0</v>
      </c>
      <c r="K295" t="n">
        <v>0</v>
      </c>
      <c r="L295" t="n">
        <v>0</v>
      </c>
      <c r="M295" t="n">
        <v>0</v>
      </c>
      <c r="N295" t="n">
        <v>0</v>
      </c>
      <c r="O295" t="n">
        <v>0</v>
      </c>
      <c r="P295" t="n">
        <v>0</v>
      </c>
      <c r="Q295" t="n">
        <v>0</v>
      </c>
      <c r="R295" s="2" t="inlineStr"/>
    </row>
    <row r="296" ht="15" customHeight="1">
      <c r="A296" t="inlineStr">
        <is>
          <t>A 3425-2022</t>
        </is>
      </c>
      <c r="B296" s="1" t="n">
        <v>44585.51060185185</v>
      </c>
      <c r="C296" s="1" t="n">
        <v>46017</v>
      </c>
      <c r="D296" t="inlineStr">
        <is>
          <t>KALMAR LÄN</t>
        </is>
      </c>
      <c r="E296" t="inlineStr">
        <is>
          <t>VIMMERBY</t>
        </is>
      </c>
      <c r="G296" t="n">
        <v>1.3</v>
      </c>
      <c r="H296" t="n">
        <v>0</v>
      </c>
      <c r="I296" t="n">
        <v>0</v>
      </c>
      <c r="J296" t="n">
        <v>0</v>
      </c>
      <c r="K296" t="n">
        <v>0</v>
      </c>
      <c r="L296" t="n">
        <v>0</v>
      </c>
      <c r="M296" t="n">
        <v>0</v>
      </c>
      <c r="N296" t="n">
        <v>0</v>
      </c>
      <c r="O296" t="n">
        <v>0</v>
      </c>
      <c r="P296" t="n">
        <v>0</v>
      </c>
      <c r="Q296" t="n">
        <v>0</v>
      </c>
      <c r="R296" s="2" t="inlineStr"/>
    </row>
    <row r="297" ht="15" customHeight="1">
      <c r="A297" t="inlineStr">
        <is>
          <t>A 43962-2024</t>
        </is>
      </c>
      <c r="B297" s="1" t="n">
        <v>45572.48293981481</v>
      </c>
      <c r="C297" s="1" t="n">
        <v>46017</v>
      </c>
      <c r="D297" t="inlineStr">
        <is>
          <t>KALMAR LÄN</t>
        </is>
      </c>
      <c r="E297" t="inlineStr">
        <is>
          <t>VIMMERBY</t>
        </is>
      </c>
      <c r="G297" t="n">
        <v>0.6</v>
      </c>
      <c r="H297" t="n">
        <v>0</v>
      </c>
      <c r="I297" t="n">
        <v>0</v>
      </c>
      <c r="J297" t="n">
        <v>0</v>
      </c>
      <c r="K297" t="n">
        <v>0</v>
      </c>
      <c r="L297" t="n">
        <v>0</v>
      </c>
      <c r="M297" t="n">
        <v>0</v>
      </c>
      <c r="N297" t="n">
        <v>0</v>
      </c>
      <c r="O297" t="n">
        <v>0</v>
      </c>
      <c r="P297" t="n">
        <v>0</v>
      </c>
      <c r="Q297" t="n">
        <v>0</v>
      </c>
      <c r="R297" s="2" t="inlineStr"/>
    </row>
    <row r="298" ht="15" customHeight="1">
      <c r="A298" t="inlineStr">
        <is>
          <t>A 61820-2023</t>
        </is>
      </c>
      <c r="B298" s="1" t="n">
        <v>45266.32614583334</v>
      </c>
      <c r="C298" s="1" t="n">
        <v>46017</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58374-2024</t>
        </is>
      </c>
      <c r="B299" s="1" t="n">
        <v>45632.72635416667</v>
      </c>
      <c r="C299" s="1" t="n">
        <v>46017</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3269-2024</t>
        </is>
      </c>
      <c r="B300" s="1" t="n">
        <v>45317.40372685185</v>
      </c>
      <c r="C300" s="1" t="n">
        <v>46017</v>
      </c>
      <c r="D300" t="inlineStr">
        <is>
          <t>KALMAR LÄN</t>
        </is>
      </c>
      <c r="E300" t="inlineStr">
        <is>
          <t>VIMMERBY</t>
        </is>
      </c>
      <c r="F300" t="inlineStr">
        <is>
          <t>Övriga Aktiebolag</t>
        </is>
      </c>
      <c r="G300" t="n">
        <v>1.7</v>
      </c>
      <c r="H300" t="n">
        <v>0</v>
      </c>
      <c r="I300" t="n">
        <v>0</v>
      </c>
      <c r="J300" t="n">
        <v>0</v>
      </c>
      <c r="K300" t="n">
        <v>0</v>
      </c>
      <c r="L300" t="n">
        <v>0</v>
      </c>
      <c r="M300" t="n">
        <v>0</v>
      </c>
      <c r="N300" t="n">
        <v>0</v>
      </c>
      <c r="O300" t="n">
        <v>0</v>
      </c>
      <c r="P300" t="n">
        <v>0</v>
      </c>
      <c r="Q300" t="n">
        <v>0</v>
      </c>
      <c r="R300" s="2" t="inlineStr"/>
    </row>
    <row r="301" ht="15" customHeight="1">
      <c r="A301" t="inlineStr">
        <is>
          <t>A 12810-2023</t>
        </is>
      </c>
      <c r="B301" s="1" t="n">
        <v>45001.43854166667</v>
      </c>
      <c r="C301" s="1" t="n">
        <v>46017</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7944-2024</t>
        </is>
      </c>
      <c r="B302" s="1" t="n">
        <v>45350.53306712963</v>
      </c>
      <c r="C302" s="1" t="n">
        <v>46017</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2157-2024</t>
        </is>
      </c>
      <c r="B303" s="1" t="n">
        <v>45309.59487268519</v>
      </c>
      <c r="C303" s="1" t="n">
        <v>46017</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9416-2024</t>
        </is>
      </c>
      <c r="B304" s="1" t="n">
        <v>45359.44837962963</v>
      </c>
      <c r="C304" s="1" t="n">
        <v>46017</v>
      </c>
      <c r="D304" t="inlineStr">
        <is>
          <t>KALMAR LÄN</t>
        </is>
      </c>
      <c r="E304" t="inlineStr">
        <is>
          <t>VIMMERBY</t>
        </is>
      </c>
      <c r="G304" t="n">
        <v>3.2</v>
      </c>
      <c r="H304" t="n">
        <v>0</v>
      </c>
      <c r="I304" t="n">
        <v>0</v>
      </c>
      <c r="J304" t="n">
        <v>0</v>
      </c>
      <c r="K304" t="n">
        <v>0</v>
      </c>
      <c r="L304" t="n">
        <v>0</v>
      </c>
      <c r="M304" t="n">
        <v>0</v>
      </c>
      <c r="N304" t="n">
        <v>0</v>
      </c>
      <c r="O304" t="n">
        <v>0</v>
      </c>
      <c r="P304" t="n">
        <v>0</v>
      </c>
      <c r="Q304" t="n">
        <v>0</v>
      </c>
      <c r="R304" s="2" t="inlineStr"/>
    </row>
    <row r="305" ht="15" customHeight="1">
      <c r="A305" t="inlineStr">
        <is>
          <t>A 58318-2021</t>
        </is>
      </c>
      <c r="B305" s="1" t="n">
        <v>44488.35878472222</v>
      </c>
      <c r="C305" s="1" t="n">
        <v>46017</v>
      </c>
      <c r="D305" t="inlineStr">
        <is>
          <t>KALMAR LÄN</t>
        </is>
      </c>
      <c r="E305" t="inlineStr">
        <is>
          <t>VIMMERBY</t>
        </is>
      </c>
      <c r="G305" t="n">
        <v>4</v>
      </c>
      <c r="H305" t="n">
        <v>0</v>
      </c>
      <c r="I305" t="n">
        <v>0</v>
      </c>
      <c r="J305" t="n">
        <v>0</v>
      </c>
      <c r="K305" t="n">
        <v>0</v>
      </c>
      <c r="L305" t="n">
        <v>0</v>
      </c>
      <c r="M305" t="n">
        <v>0</v>
      </c>
      <c r="N305" t="n">
        <v>0</v>
      </c>
      <c r="O305" t="n">
        <v>0</v>
      </c>
      <c r="P305" t="n">
        <v>0</v>
      </c>
      <c r="Q305" t="n">
        <v>0</v>
      </c>
      <c r="R305" s="2" t="inlineStr"/>
    </row>
    <row r="306" ht="15" customHeight="1">
      <c r="A306" t="inlineStr">
        <is>
          <t>A 43068-2023</t>
        </is>
      </c>
      <c r="B306" s="1" t="n">
        <v>45182.78834490741</v>
      </c>
      <c r="C306" s="1" t="n">
        <v>46017</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53083-2021</t>
        </is>
      </c>
      <c r="B307" s="1" t="n">
        <v>44467.83386574074</v>
      </c>
      <c r="C307" s="1" t="n">
        <v>46017</v>
      </c>
      <c r="D307" t="inlineStr">
        <is>
          <t>KALMAR LÄN</t>
        </is>
      </c>
      <c r="E307" t="inlineStr">
        <is>
          <t>VIMMERBY</t>
        </is>
      </c>
      <c r="G307" t="n">
        <v>6.8</v>
      </c>
      <c r="H307" t="n">
        <v>0</v>
      </c>
      <c r="I307" t="n">
        <v>0</v>
      </c>
      <c r="J307" t="n">
        <v>0</v>
      </c>
      <c r="K307" t="n">
        <v>0</v>
      </c>
      <c r="L307" t="n">
        <v>0</v>
      </c>
      <c r="M307" t="n">
        <v>0</v>
      </c>
      <c r="N307" t="n">
        <v>0</v>
      </c>
      <c r="O307" t="n">
        <v>0</v>
      </c>
      <c r="P307" t="n">
        <v>0</v>
      </c>
      <c r="Q307" t="n">
        <v>0</v>
      </c>
      <c r="R307" s="2" t="inlineStr"/>
    </row>
    <row r="308" ht="15" customHeight="1">
      <c r="A308" t="inlineStr">
        <is>
          <t>A 29173-2024</t>
        </is>
      </c>
      <c r="B308" s="1" t="n">
        <v>45482.52887731481</v>
      </c>
      <c r="C308" s="1" t="n">
        <v>46017</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55300-2021</t>
        </is>
      </c>
      <c r="B309" s="1" t="n">
        <v>44475</v>
      </c>
      <c r="C309" s="1" t="n">
        <v>46017</v>
      </c>
      <c r="D309" t="inlineStr">
        <is>
          <t>KALMAR LÄN</t>
        </is>
      </c>
      <c r="E309" t="inlineStr">
        <is>
          <t>VIMMERBY</t>
        </is>
      </c>
      <c r="G309" t="n">
        <v>3.4</v>
      </c>
      <c r="H309" t="n">
        <v>0</v>
      </c>
      <c r="I309" t="n">
        <v>0</v>
      </c>
      <c r="J309" t="n">
        <v>0</v>
      </c>
      <c r="K309" t="n">
        <v>0</v>
      </c>
      <c r="L309" t="n">
        <v>0</v>
      </c>
      <c r="M309" t="n">
        <v>0</v>
      </c>
      <c r="N309" t="n">
        <v>0</v>
      </c>
      <c r="O309" t="n">
        <v>0</v>
      </c>
      <c r="P309" t="n">
        <v>0</v>
      </c>
      <c r="Q309" t="n">
        <v>0</v>
      </c>
      <c r="R309" s="2" t="inlineStr"/>
    </row>
    <row r="310" ht="15" customHeight="1">
      <c r="A310" t="inlineStr">
        <is>
          <t>A 11111-2024</t>
        </is>
      </c>
      <c r="B310" s="1" t="n">
        <v>45371.36359953704</v>
      </c>
      <c r="C310" s="1" t="n">
        <v>46017</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11141-2024</t>
        </is>
      </c>
      <c r="B311" s="1" t="n">
        <v>45371.45865740741</v>
      </c>
      <c r="C311" s="1" t="n">
        <v>46017</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9418-2024</t>
        </is>
      </c>
      <c r="B312" s="1" t="n">
        <v>45359.45038194444</v>
      </c>
      <c r="C312" s="1" t="n">
        <v>46017</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47263-2023</t>
        </is>
      </c>
      <c r="B313" s="1" t="n">
        <v>45202.4209837963</v>
      </c>
      <c r="C313" s="1" t="n">
        <v>46017</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598-2025</t>
        </is>
      </c>
      <c r="B314" s="1" t="n">
        <v>45660</v>
      </c>
      <c r="C314" s="1" t="n">
        <v>46017</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49313-2022</t>
        </is>
      </c>
      <c r="B315" s="1" t="n">
        <v>44861.52505787037</v>
      </c>
      <c r="C315" s="1" t="n">
        <v>46017</v>
      </c>
      <c r="D315" t="inlineStr">
        <is>
          <t>KALMAR LÄN</t>
        </is>
      </c>
      <c r="E315" t="inlineStr">
        <is>
          <t>VIMMERBY</t>
        </is>
      </c>
      <c r="G315" t="n">
        <v>1.9</v>
      </c>
      <c r="H315" t="n">
        <v>0</v>
      </c>
      <c r="I315" t="n">
        <v>0</v>
      </c>
      <c r="J315" t="n">
        <v>0</v>
      </c>
      <c r="K315" t="n">
        <v>0</v>
      </c>
      <c r="L315" t="n">
        <v>0</v>
      </c>
      <c r="M315" t="n">
        <v>0</v>
      </c>
      <c r="N315" t="n">
        <v>0</v>
      </c>
      <c r="O315" t="n">
        <v>0</v>
      </c>
      <c r="P315" t="n">
        <v>0</v>
      </c>
      <c r="Q315" t="n">
        <v>0</v>
      </c>
      <c r="R315" s="2" t="inlineStr"/>
    </row>
    <row r="316" ht="15" customHeight="1">
      <c r="A316" t="inlineStr">
        <is>
          <t>A 35998-2024</t>
        </is>
      </c>
      <c r="B316" s="1" t="n">
        <v>45533.54429398148</v>
      </c>
      <c r="C316" s="1" t="n">
        <v>46017</v>
      </c>
      <c r="D316" t="inlineStr">
        <is>
          <t>KALMAR LÄN</t>
        </is>
      </c>
      <c r="E316" t="inlineStr">
        <is>
          <t>VIMMERBY</t>
        </is>
      </c>
      <c r="G316" t="n">
        <v>8.6</v>
      </c>
      <c r="H316" t="n">
        <v>0</v>
      </c>
      <c r="I316" t="n">
        <v>0</v>
      </c>
      <c r="J316" t="n">
        <v>0</v>
      </c>
      <c r="K316" t="n">
        <v>0</v>
      </c>
      <c r="L316" t="n">
        <v>0</v>
      </c>
      <c r="M316" t="n">
        <v>0</v>
      </c>
      <c r="N316" t="n">
        <v>0</v>
      </c>
      <c r="O316" t="n">
        <v>0</v>
      </c>
      <c r="P316" t="n">
        <v>0</v>
      </c>
      <c r="Q316" t="n">
        <v>0</v>
      </c>
      <c r="R316" s="2" t="inlineStr"/>
    </row>
    <row r="317" ht="15" customHeight="1">
      <c r="A317" t="inlineStr">
        <is>
          <t>A 36040-2024</t>
        </is>
      </c>
      <c r="B317" s="1" t="n">
        <v>45533.60232638889</v>
      </c>
      <c r="C317" s="1" t="n">
        <v>46017</v>
      </c>
      <c r="D317" t="inlineStr">
        <is>
          <t>KALMAR LÄN</t>
        </is>
      </c>
      <c r="E317" t="inlineStr">
        <is>
          <t>VIMMERBY</t>
        </is>
      </c>
      <c r="F317" t="inlineStr">
        <is>
          <t>Kommuner</t>
        </is>
      </c>
      <c r="G317" t="n">
        <v>3.6</v>
      </c>
      <c r="H317" t="n">
        <v>0</v>
      </c>
      <c r="I317" t="n">
        <v>0</v>
      </c>
      <c r="J317" t="n">
        <v>0</v>
      </c>
      <c r="K317" t="n">
        <v>0</v>
      </c>
      <c r="L317" t="n">
        <v>0</v>
      </c>
      <c r="M317" t="n">
        <v>0</v>
      </c>
      <c r="N317" t="n">
        <v>0</v>
      </c>
      <c r="O317" t="n">
        <v>0</v>
      </c>
      <c r="P317" t="n">
        <v>0</v>
      </c>
      <c r="Q317" t="n">
        <v>0</v>
      </c>
      <c r="R317" s="2" t="inlineStr"/>
    </row>
    <row r="318" ht="15" customHeight="1">
      <c r="A318" t="inlineStr">
        <is>
          <t>A 36043-2024</t>
        </is>
      </c>
      <c r="B318" s="1" t="n">
        <v>45533.60770833334</v>
      </c>
      <c r="C318" s="1" t="n">
        <v>46017</v>
      </c>
      <c r="D318" t="inlineStr">
        <is>
          <t>KALMAR LÄN</t>
        </is>
      </c>
      <c r="E318" t="inlineStr">
        <is>
          <t>VIMMERBY</t>
        </is>
      </c>
      <c r="F318" t="inlineStr">
        <is>
          <t>Kommuner</t>
        </is>
      </c>
      <c r="G318" t="n">
        <v>1.5</v>
      </c>
      <c r="H318" t="n">
        <v>0</v>
      </c>
      <c r="I318" t="n">
        <v>0</v>
      </c>
      <c r="J318" t="n">
        <v>0</v>
      </c>
      <c r="K318" t="n">
        <v>0</v>
      </c>
      <c r="L318" t="n">
        <v>0</v>
      </c>
      <c r="M318" t="n">
        <v>0</v>
      </c>
      <c r="N318" t="n">
        <v>0</v>
      </c>
      <c r="O318" t="n">
        <v>0</v>
      </c>
      <c r="P318" t="n">
        <v>0</v>
      </c>
      <c r="Q318" t="n">
        <v>0</v>
      </c>
      <c r="R318" s="2" t="inlineStr"/>
    </row>
    <row r="319" ht="15" customHeight="1">
      <c r="A319" t="inlineStr">
        <is>
          <t>A 12075-2024</t>
        </is>
      </c>
      <c r="B319" s="1" t="n">
        <v>45377</v>
      </c>
      <c r="C319" s="1" t="n">
        <v>46017</v>
      </c>
      <c r="D319" t="inlineStr">
        <is>
          <t>KALMAR LÄN</t>
        </is>
      </c>
      <c r="E319" t="inlineStr">
        <is>
          <t>VIMMERBY</t>
        </is>
      </c>
      <c r="G319" t="n">
        <v>3.7</v>
      </c>
      <c r="H319" t="n">
        <v>0</v>
      </c>
      <c r="I319" t="n">
        <v>0</v>
      </c>
      <c r="J319" t="n">
        <v>0</v>
      </c>
      <c r="K319" t="n">
        <v>0</v>
      </c>
      <c r="L319" t="n">
        <v>0</v>
      </c>
      <c r="M319" t="n">
        <v>0</v>
      </c>
      <c r="N319" t="n">
        <v>0</v>
      </c>
      <c r="O319" t="n">
        <v>0</v>
      </c>
      <c r="P319" t="n">
        <v>0</v>
      </c>
      <c r="Q319" t="n">
        <v>0</v>
      </c>
      <c r="R319" s="2" t="inlineStr"/>
    </row>
    <row r="320" ht="15" customHeight="1">
      <c r="A320" t="inlineStr">
        <is>
          <t>A 22197-2024</t>
        </is>
      </c>
      <c r="B320" s="1" t="n">
        <v>45446.36774305555</v>
      </c>
      <c r="C320" s="1" t="n">
        <v>46017</v>
      </c>
      <c r="D320" t="inlineStr">
        <is>
          <t>KALMAR LÄN</t>
        </is>
      </c>
      <c r="E320" t="inlineStr">
        <is>
          <t>VIMMERBY</t>
        </is>
      </c>
      <c r="F320" t="inlineStr">
        <is>
          <t>Sveaskog</t>
        </is>
      </c>
      <c r="G320" t="n">
        <v>3.2</v>
      </c>
      <c r="H320" t="n">
        <v>0</v>
      </c>
      <c r="I320" t="n">
        <v>0</v>
      </c>
      <c r="J320" t="n">
        <v>0</v>
      </c>
      <c r="K320" t="n">
        <v>0</v>
      </c>
      <c r="L320" t="n">
        <v>0</v>
      </c>
      <c r="M320" t="n">
        <v>0</v>
      </c>
      <c r="N320" t="n">
        <v>0</v>
      </c>
      <c r="O320" t="n">
        <v>0</v>
      </c>
      <c r="P320" t="n">
        <v>0</v>
      </c>
      <c r="Q320" t="n">
        <v>0</v>
      </c>
      <c r="R320" s="2" t="inlineStr"/>
    </row>
    <row r="321" ht="15" customHeight="1">
      <c r="A321" t="inlineStr">
        <is>
          <t>A 2536-2023</t>
        </is>
      </c>
      <c r="B321" s="1" t="n">
        <v>44943.62954861111</v>
      </c>
      <c r="C321" s="1" t="n">
        <v>46017</v>
      </c>
      <c r="D321" t="inlineStr">
        <is>
          <t>KALMAR LÄN</t>
        </is>
      </c>
      <c r="E321" t="inlineStr">
        <is>
          <t>VIMMERBY</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2801-2023</t>
        </is>
      </c>
      <c r="B322" s="1" t="n">
        <v>44944.73487268519</v>
      </c>
      <c r="C322" s="1" t="n">
        <v>46017</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35710-2023</t>
        </is>
      </c>
      <c r="B323" s="1" t="n">
        <v>45147.67096064815</v>
      </c>
      <c r="C323" s="1" t="n">
        <v>46017</v>
      </c>
      <c r="D323" t="inlineStr">
        <is>
          <t>KALMAR LÄN</t>
        </is>
      </c>
      <c r="E323" t="inlineStr">
        <is>
          <t>VIMMERBY</t>
        </is>
      </c>
      <c r="G323" t="n">
        <v>3.1</v>
      </c>
      <c r="H323" t="n">
        <v>0</v>
      </c>
      <c r="I323" t="n">
        <v>0</v>
      </c>
      <c r="J323" t="n">
        <v>0</v>
      </c>
      <c r="K323" t="n">
        <v>0</v>
      </c>
      <c r="L323" t="n">
        <v>0</v>
      </c>
      <c r="M323" t="n">
        <v>0</v>
      </c>
      <c r="N323" t="n">
        <v>0</v>
      </c>
      <c r="O323" t="n">
        <v>0</v>
      </c>
      <c r="P323" t="n">
        <v>0</v>
      </c>
      <c r="Q323" t="n">
        <v>0</v>
      </c>
      <c r="R323" s="2" t="inlineStr"/>
    </row>
    <row r="324" ht="15" customHeight="1">
      <c r="A324" t="inlineStr">
        <is>
          <t>A 35711-2023</t>
        </is>
      </c>
      <c r="B324" s="1" t="n">
        <v>45147.67172453704</v>
      </c>
      <c r="C324" s="1" t="n">
        <v>46017</v>
      </c>
      <c r="D324" t="inlineStr">
        <is>
          <t>KALMAR LÄN</t>
        </is>
      </c>
      <c r="E324" t="inlineStr">
        <is>
          <t>VIMMERBY</t>
        </is>
      </c>
      <c r="G324" t="n">
        <v>1</v>
      </c>
      <c r="H324" t="n">
        <v>0</v>
      </c>
      <c r="I324" t="n">
        <v>0</v>
      </c>
      <c r="J324" t="n">
        <v>0</v>
      </c>
      <c r="K324" t="n">
        <v>0</v>
      </c>
      <c r="L324" t="n">
        <v>0</v>
      </c>
      <c r="M324" t="n">
        <v>0</v>
      </c>
      <c r="N324" t="n">
        <v>0</v>
      </c>
      <c r="O324" t="n">
        <v>0</v>
      </c>
      <c r="P324" t="n">
        <v>0</v>
      </c>
      <c r="Q324" t="n">
        <v>0</v>
      </c>
      <c r="R324" s="2" t="inlineStr"/>
    </row>
    <row r="325" ht="15" customHeight="1">
      <c r="A325" t="inlineStr">
        <is>
          <t>A 17968-2025</t>
        </is>
      </c>
      <c r="B325" s="1" t="n">
        <v>45761.35990740741</v>
      </c>
      <c r="C325" s="1" t="n">
        <v>46017</v>
      </c>
      <c r="D325" t="inlineStr">
        <is>
          <t>KALMAR LÄN</t>
        </is>
      </c>
      <c r="E325" t="inlineStr">
        <is>
          <t>VIMMERBY</t>
        </is>
      </c>
      <c r="G325" t="n">
        <v>3.3</v>
      </c>
      <c r="H325" t="n">
        <v>0</v>
      </c>
      <c r="I325" t="n">
        <v>0</v>
      </c>
      <c r="J325" t="n">
        <v>0</v>
      </c>
      <c r="K325" t="n">
        <v>0</v>
      </c>
      <c r="L325" t="n">
        <v>0</v>
      </c>
      <c r="M325" t="n">
        <v>0</v>
      </c>
      <c r="N325" t="n">
        <v>0</v>
      </c>
      <c r="O325" t="n">
        <v>0</v>
      </c>
      <c r="P325" t="n">
        <v>0</v>
      </c>
      <c r="Q325" t="n">
        <v>0</v>
      </c>
      <c r="R325" s="2" t="inlineStr"/>
    </row>
    <row r="326" ht="15" customHeight="1">
      <c r="A326" t="inlineStr">
        <is>
          <t>A 1799-2025</t>
        </is>
      </c>
      <c r="B326" s="1" t="n">
        <v>45671.46746527778</v>
      </c>
      <c r="C326" s="1" t="n">
        <v>46017</v>
      </c>
      <c r="D326" t="inlineStr">
        <is>
          <t>KALMAR LÄN</t>
        </is>
      </c>
      <c r="E326" t="inlineStr">
        <is>
          <t>VIMMERBY</t>
        </is>
      </c>
      <c r="G326" t="n">
        <v>3.3</v>
      </c>
      <c r="H326" t="n">
        <v>0</v>
      </c>
      <c r="I326" t="n">
        <v>0</v>
      </c>
      <c r="J326" t="n">
        <v>0</v>
      </c>
      <c r="K326" t="n">
        <v>0</v>
      </c>
      <c r="L326" t="n">
        <v>0</v>
      </c>
      <c r="M326" t="n">
        <v>0</v>
      </c>
      <c r="N326" t="n">
        <v>0</v>
      </c>
      <c r="O326" t="n">
        <v>0</v>
      </c>
      <c r="P326" t="n">
        <v>0</v>
      </c>
      <c r="Q326" t="n">
        <v>0</v>
      </c>
      <c r="R326" s="2" t="inlineStr"/>
    </row>
    <row r="327" ht="15" customHeight="1">
      <c r="A327" t="inlineStr">
        <is>
          <t>A 2462-2022</t>
        </is>
      </c>
      <c r="B327" s="1" t="n">
        <v>44579.62225694444</v>
      </c>
      <c r="C327" s="1" t="n">
        <v>46017</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14451-2024</t>
        </is>
      </c>
      <c r="B328" s="1" t="n">
        <v>45394.50028935185</v>
      </c>
      <c r="C328" s="1" t="n">
        <v>46017</v>
      </c>
      <c r="D328" t="inlineStr">
        <is>
          <t>KALMAR LÄN</t>
        </is>
      </c>
      <c r="E328" t="inlineStr">
        <is>
          <t>VIMMERBY</t>
        </is>
      </c>
      <c r="G328" t="n">
        <v>1.9</v>
      </c>
      <c r="H328" t="n">
        <v>0</v>
      </c>
      <c r="I328" t="n">
        <v>0</v>
      </c>
      <c r="J328" t="n">
        <v>0</v>
      </c>
      <c r="K328" t="n">
        <v>0</v>
      </c>
      <c r="L328" t="n">
        <v>0</v>
      </c>
      <c r="M328" t="n">
        <v>0</v>
      </c>
      <c r="N328" t="n">
        <v>0</v>
      </c>
      <c r="O328" t="n">
        <v>0</v>
      </c>
      <c r="P328" t="n">
        <v>0</v>
      </c>
      <c r="Q328" t="n">
        <v>0</v>
      </c>
      <c r="R328" s="2" t="inlineStr"/>
    </row>
    <row r="329" ht="15" customHeight="1">
      <c r="A329" t="inlineStr">
        <is>
          <t>A 10674-2021</t>
        </is>
      </c>
      <c r="B329" s="1" t="n">
        <v>44258</v>
      </c>
      <c r="C329" s="1" t="n">
        <v>46017</v>
      </c>
      <c r="D329" t="inlineStr">
        <is>
          <t>KALMAR LÄN</t>
        </is>
      </c>
      <c r="E329" t="inlineStr">
        <is>
          <t>VIMMERBY</t>
        </is>
      </c>
      <c r="G329" t="n">
        <v>8.4</v>
      </c>
      <c r="H329" t="n">
        <v>0</v>
      </c>
      <c r="I329" t="n">
        <v>0</v>
      </c>
      <c r="J329" t="n">
        <v>0</v>
      </c>
      <c r="K329" t="n">
        <v>0</v>
      </c>
      <c r="L329" t="n">
        <v>0</v>
      </c>
      <c r="M329" t="n">
        <v>0</v>
      </c>
      <c r="N329" t="n">
        <v>0</v>
      </c>
      <c r="O329" t="n">
        <v>0</v>
      </c>
      <c r="P329" t="n">
        <v>0</v>
      </c>
      <c r="Q329" t="n">
        <v>0</v>
      </c>
      <c r="R329" s="2" t="inlineStr"/>
    </row>
    <row r="330" ht="15" customHeight="1">
      <c r="A330" t="inlineStr">
        <is>
          <t>A 34588-2024</t>
        </is>
      </c>
      <c r="B330" s="1" t="n">
        <v>45526.3865625</v>
      </c>
      <c r="C330" s="1" t="n">
        <v>46017</v>
      </c>
      <c r="D330" t="inlineStr">
        <is>
          <t>KALMAR LÄN</t>
        </is>
      </c>
      <c r="E330" t="inlineStr">
        <is>
          <t>VIMMERBY</t>
        </is>
      </c>
      <c r="F330" t="inlineStr">
        <is>
          <t>Övriga Aktiebolag</t>
        </is>
      </c>
      <c r="G330" t="n">
        <v>3.3</v>
      </c>
      <c r="H330" t="n">
        <v>0</v>
      </c>
      <c r="I330" t="n">
        <v>0</v>
      </c>
      <c r="J330" t="n">
        <v>0</v>
      </c>
      <c r="K330" t="n">
        <v>0</v>
      </c>
      <c r="L330" t="n">
        <v>0</v>
      </c>
      <c r="M330" t="n">
        <v>0</v>
      </c>
      <c r="N330" t="n">
        <v>0</v>
      </c>
      <c r="O330" t="n">
        <v>0</v>
      </c>
      <c r="P330" t="n">
        <v>0</v>
      </c>
      <c r="Q330" t="n">
        <v>0</v>
      </c>
      <c r="R330" s="2" t="inlineStr"/>
    </row>
    <row r="331" ht="15" customHeight="1">
      <c r="A331" t="inlineStr">
        <is>
          <t>A 46238-2024</t>
        </is>
      </c>
      <c r="B331" s="1" t="n">
        <v>45581.58418981481</v>
      </c>
      <c r="C331" s="1" t="n">
        <v>46017</v>
      </c>
      <c r="D331" t="inlineStr">
        <is>
          <t>KALMAR LÄN</t>
        </is>
      </c>
      <c r="E331" t="inlineStr">
        <is>
          <t>VIMMERBY</t>
        </is>
      </c>
      <c r="G331" t="n">
        <v>2.1</v>
      </c>
      <c r="H331" t="n">
        <v>0</v>
      </c>
      <c r="I331" t="n">
        <v>0</v>
      </c>
      <c r="J331" t="n">
        <v>0</v>
      </c>
      <c r="K331" t="n">
        <v>0</v>
      </c>
      <c r="L331" t="n">
        <v>0</v>
      </c>
      <c r="M331" t="n">
        <v>0</v>
      </c>
      <c r="N331" t="n">
        <v>0</v>
      </c>
      <c r="O331" t="n">
        <v>0</v>
      </c>
      <c r="P331" t="n">
        <v>0</v>
      </c>
      <c r="Q331" t="n">
        <v>0</v>
      </c>
      <c r="R331" s="2" t="inlineStr"/>
    </row>
    <row r="332" ht="15" customHeight="1">
      <c r="A332" t="inlineStr">
        <is>
          <t>A 50993-2022</t>
        </is>
      </c>
      <c r="B332" s="1" t="n">
        <v>44867</v>
      </c>
      <c r="C332" s="1" t="n">
        <v>46017</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46225-2024</t>
        </is>
      </c>
      <c r="B333" s="1" t="n">
        <v>45581.57333333333</v>
      </c>
      <c r="C333" s="1" t="n">
        <v>46017</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56659-2023</t>
        </is>
      </c>
      <c r="B334" s="1" t="n">
        <v>45243.84869212963</v>
      </c>
      <c r="C334" s="1" t="n">
        <v>46017</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36055-2024</t>
        </is>
      </c>
      <c r="B335" s="1" t="n">
        <v>45533.63056712963</v>
      </c>
      <c r="C335" s="1" t="n">
        <v>46017</v>
      </c>
      <c r="D335" t="inlineStr">
        <is>
          <t>KALMAR LÄN</t>
        </is>
      </c>
      <c r="E335" t="inlineStr">
        <is>
          <t>VIMMERBY</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13015-2022</t>
        </is>
      </c>
      <c r="B336" s="1" t="n">
        <v>44643</v>
      </c>
      <c r="C336" s="1" t="n">
        <v>46017</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4624-2024</t>
        </is>
      </c>
      <c r="B337" s="1" t="n">
        <v>45328.38755787037</v>
      </c>
      <c r="C337" s="1" t="n">
        <v>46017</v>
      </c>
      <c r="D337" t="inlineStr">
        <is>
          <t>KALMAR LÄN</t>
        </is>
      </c>
      <c r="E337" t="inlineStr">
        <is>
          <t>VIMMERBY</t>
        </is>
      </c>
      <c r="G337" t="n">
        <v>1.7</v>
      </c>
      <c r="H337" t="n">
        <v>0</v>
      </c>
      <c r="I337" t="n">
        <v>0</v>
      </c>
      <c r="J337" t="n">
        <v>0</v>
      </c>
      <c r="K337" t="n">
        <v>0</v>
      </c>
      <c r="L337" t="n">
        <v>0</v>
      </c>
      <c r="M337" t="n">
        <v>0</v>
      </c>
      <c r="N337" t="n">
        <v>0</v>
      </c>
      <c r="O337" t="n">
        <v>0</v>
      </c>
      <c r="P337" t="n">
        <v>0</v>
      </c>
      <c r="Q337" t="n">
        <v>0</v>
      </c>
      <c r="R337" s="2" t="inlineStr"/>
    </row>
    <row r="338" ht="15" customHeight="1">
      <c r="A338" t="inlineStr">
        <is>
          <t>A 9129-2025</t>
        </is>
      </c>
      <c r="B338" s="1" t="n">
        <v>45713.92412037037</v>
      </c>
      <c r="C338" s="1" t="n">
        <v>46017</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47859-2024</t>
        </is>
      </c>
      <c r="B339" s="1" t="n">
        <v>45588.67070601852</v>
      </c>
      <c r="C339" s="1" t="n">
        <v>46017</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10807-2024</t>
        </is>
      </c>
      <c r="B340" s="1" t="n">
        <v>45369.62780092593</v>
      </c>
      <c r="C340" s="1" t="n">
        <v>46017</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32835-2022</t>
        </is>
      </c>
      <c r="B341" s="1" t="n">
        <v>44784.42528935185</v>
      </c>
      <c r="C341" s="1" t="n">
        <v>46017</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3331-2023</t>
        </is>
      </c>
      <c r="B342" s="1" t="n">
        <v>44949</v>
      </c>
      <c r="C342" s="1" t="n">
        <v>46017</v>
      </c>
      <c r="D342" t="inlineStr">
        <is>
          <t>KALMAR LÄN</t>
        </is>
      </c>
      <c r="E342" t="inlineStr">
        <is>
          <t>VIMMERBY</t>
        </is>
      </c>
      <c r="G342" t="n">
        <v>6.2</v>
      </c>
      <c r="H342" t="n">
        <v>0</v>
      </c>
      <c r="I342" t="n">
        <v>0</v>
      </c>
      <c r="J342" t="n">
        <v>0</v>
      </c>
      <c r="K342" t="n">
        <v>0</v>
      </c>
      <c r="L342" t="n">
        <v>0</v>
      </c>
      <c r="M342" t="n">
        <v>0</v>
      </c>
      <c r="N342" t="n">
        <v>0</v>
      </c>
      <c r="O342" t="n">
        <v>0</v>
      </c>
      <c r="P342" t="n">
        <v>0</v>
      </c>
      <c r="Q342" t="n">
        <v>0</v>
      </c>
      <c r="R342" s="2" t="inlineStr"/>
    </row>
    <row r="343" ht="15" customHeight="1">
      <c r="A343" t="inlineStr">
        <is>
          <t>A 22643-2023</t>
        </is>
      </c>
      <c r="B343" s="1" t="n">
        <v>45071</v>
      </c>
      <c r="C343" s="1" t="n">
        <v>46017</v>
      </c>
      <c r="D343" t="inlineStr">
        <is>
          <t>KALMAR LÄN</t>
        </is>
      </c>
      <c r="E343" t="inlineStr">
        <is>
          <t>VIMMERBY</t>
        </is>
      </c>
      <c r="G343" t="n">
        <v>3.9</v>
      </c>
      <c r="H343" t="n">
        <v>0</v>
      </c>
      <c r="I343" t="n">
        <v>0</v>
      </c>
      <c r="J343" t="n">
        <v>0</v>
      </c>
      <c r="K343" t="n">
        <v>0</v>
      </c>
      <c r="L343" t="n">
        <v>0</v>
      </c>
      <c r="M343" t="n">
        <v>0</v>
      </c>
      <c r="N343" t="n">
        <v>0</v>
      </c>
      <c r="O343" t="n">
        <v>0</v>
      </c>
      <c r="P343" t="n">
        <v>0</v>
      </c>
      <c r="Q343" t="n">
        <v>0</v>
      </c>
      <c r="R343" s="2" t="inlineStr"/>
    </row>
    <row r="344" ht="15" customHeight="1">
      <c r="A344" t="inlineStr">
        <is>
          <t>A 40828-2023</t>
        </is>
      </c>
      <c r="B344" s="1" t="n">
        <v>45171.96248842592</v>
      </c>
      <c r="C344" s="1" t="n">
        <v>46017</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41896-2023</t>
        </is>
      </c>
      <c r="B345" s="1" t="n">
        <v>45176.72427083334</v>
      </c>
      <c r="C345" s="1" t="n">
        <v>46017</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16734-2023</t>
        </is>
      </c>
      <c r="B346" s="1" t="n">
        <v>45030.71012731481</v>
      </c>
      <c r="C346" s="1" t="n">
        <v>46017</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43606-2024</t>
        </is>
      </c>
      <c r="B347" s="1" t="n">
        <v>45569.45017361111</v>
      </c>
      <c r="C347" s="1" t="n">
        <v>46017</v>
      </c>
      <c r="D347" t="inlineStr">
        <is>
          <t>KALMAR LÄN</t>
        </is>
      </c>
      <c r="E347" t="inlineStr">
        <is>
          <t>VIMMERBY</t>
        </is>
      </c>
      <c r="G347" t="n">
        <v>1</v>
      </c>
      <c r="H347" t="n">
        <v>0</v>
      </c>
      <c r="I347" t="n">
        <v>0</v>
      </c>
      <c r="J347" t="n">
        <v>0</v>
      </c>
      <c r="K347" t="n">
        <v>0</v>
      </c>
      <c r="L347" t="n">
        <v>0</v>
      </c>
      <c r="M347" t="n">
        <v>0</v>
      </c>
      <c r="N347" t="n">
        <v>0</v>
      </c>
      <c r="O347" t="n">
        <v>0</v>
      </c>
      <c r="P347" t="n">
        <v>0</v>
      </c>
      <c r="Q347" t="n">
        <v>0</v>
      </c>
      <c r="R347" s="2" t="inlineStr"/>
    </row>
    <row r="348" ht="15" customHeight="1">
      <c r="A348" t="inlineStr">
        <is>
          <t>A 12325-2023</t>
        </is>
      </c>
      <c r="B348" s="1" t="n">
        <v>44999.35858796296</v>
      </c>
      <c r="C348" s="1" t="n">
        <v>46017</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8945-2025</t>
        </is>
      </c>
      <c r="B349" s="1" t="n">
        <v>45713.45311342592</v>
      </c>
      <c r="C349" s="1" t="n">
        <v>46017</v>
      </c>
      <c r="D349" t="inlineStr">
        <is>
          <t>KALMAR LÄN</t>
        </is>
      </c>
      <c r="E349" t="inlineStr">
        <is>
          <t>VIMMERBY</t>
        </is>
      </c>
      <c r="G349" t="n">
        <v>0.6</v>
      </c>
      <c r="H349" t="n">
        <v>0</v>
      </c>
      <c r="I349" t="n">
        <v>0</v>
      </c>
      <c r="J349" t="n">
        <v>0</v>
      </c>
      <c r="K349" t="n">
        <v>0</v>
      </c>
      <c r="L349" t="n">
        <v>0</v>
      </c>
      <c r="M349" t="n">
        <v>0</v>
      </c>
      <c r="N349" t="n">
        <v>0</v>
      </c>
      <c r="O349" t="n">
        <v>0</v>
      </c>
      <c r="P349" t="n">
        <v>0</v>
      </c>
      <c r="Q349" t="n">
        <v>0</v>
      </c>
      <c r="R349" s="2" t="inlineStr"/>
    </row>
    <row r="350" ht="15" customHeight="1">
      <c r="A350" t="inlineStr">
        <is>
          <t>A 64143-2021</t>
        </is>
      </c>
      <c r="B350" s="1" t="n">
        <v>44510.52157407408</v>
      </c>
      <c r="C350" s="1" t="n">
        <v>46017</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9720-2023</t>
        </is>
      </c>
      <c r="B351" s="1" t="n">
        <v>44984</v>
      </c>
      <c r="C351" s="1" t="n">
        <v>46017</v>
      </c>
      <c r="D351" t="inlineStr">
        <is>
          <t>KALMAR LÄN</t>
        </is>
      </c>
      <c r="E351" t="inlineStr">
        <is>
          <t>VIMMERBY</t>
        </is>
      </c>
      <c r="G351" t="n">
        <v>4.4</v>
      </c>
      <c r="H351" t="n">
        <v>0</v>
      </c>
      <c r="I351" t="n">
        <v>0</v>
      </c>
      <c r="J351" t="n">
        <v>0</v>
      </c>
      <c r="K351" t="n">
        <v>0</v>
      </c>
      <c r="L351" t="n">
        <v>0</v>
      </c>
      <c r="M351" t="n">
        <v>0</v>
      </c>
      <c r="N351" t="n">
        <v>0</v>
      </c>
      <c r="O351" t="n">
        <v>0</v>
      </c>
      <c r="P351" t="n">
        <v>0</v>
      </c>
      <c r="Q351" t="n">
        <v>0</v>
      </c>
      <c r="R351" s="2" t="inlineStr"/>
    </row>
    <row r="352" ht="15" customHeight="1">
      <c r="A352" t="inlineStr">
        <is>
          <t>A 5938-2022</t>
        </is>
      </c>
      <c r="B352" s="1" t="n">
        <v>44598</v>
      </c>
      <c r="C352" s="1" t="n">
        <v>46017</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1687-2023</t>
        </is>
      </c>
      <c r="B353" s="1" t="n">
        <v>44938</v>
      </c>
      <c r="C353" s="1" t="n">
        <v>46017</v>
      </c>
      <c r="D353" t="inlineStr">
        <is>
          <t>KALMAR LÄN</t>
        </is>
      </c>
      <c r="E353" t="inlineStr">
        <is>
          <t>VIMMERBY</t>
        </is>
      </c>
      <c r="F353" t="inlineStr">
        <is>
          <t>Kommuner</t>
        </is>
      </c>
      <c r="G353" t="n">
        <v>2.5</v>
      </c>
      <c r="H353" t="n">
        <v>0</v>
      </c>
      <c r="I353" t="n">
        <v>0</v>
      </c>
      <c r="J353" t="n">
        <v>0</v>
      </c>
      <c r="K353" t="n">
        <v>0</v>
      </c>
      <c r="L353" t="n">
        <v>0</v>
      </c>
      <c r="M353" t="n">
        <v>0</v>
      </c>
      <c r="N353" t="n">
        <v>0</v>
      </c>
      <c r="O353" t="n">
        <v>0</v>
      </c>
      <c r="P353" t="n">
        <v>0</v>
      </c>
      <c r="Q353" t="n">
        <v>0</v>
      </c>
      <c r="R353" s="2" t="inlineStr"/>
    </row>
    <row r="354" ht="15" customHeight="1">
      <c r="A354" t="inlineStr">
        <is>
          <t>A 29440-2024</t>
        </is>
      </c>
      <c r="B354" s="1" t="n">
        <v>45483.82479166667</v>
      </c>
      <c r="C354" s="1" t="n">
        <v>46017</v>
      </c>
      <c r="D354" t="inlineStr">
        <is>
          <t>KALMAR LÄN</t>
        </is>
      </c>
      <c r="E354" t="inlineStr">
        <is>
          <t>VIMMERBY</t>
        </is>
      </c>
      <c r="G354" t="n">
        <v>4.5</v>
      </c>
      <c r="H354" t="n">
        <v>0</v>
      </c>
      <c r="I354" t="n">
        <v>0</v>
      </c>
      <c r="J354" t="n">
        <v>0</v>
      </c>
      <c r="K354" t="n">
        <v>0</v>
      </c>
      <c r="L354" t="n">
        <v>0</v>
      </c>
      <c r="M354" t="n">
        <v>0</v>
      </c>
      <c r="N354" t="n">
        <v>0</v>
      </c>
      <c r="O354" t="n">
        <v>0</v>
      </c>
      <c r="P354" t="n">
        <v>0</v>
      </c>
      <c r="Q354" t="n">
        <v>0</v>
      </c>
      <c r="R354" s="2" t="inlineStr"/>
    </row>
    <row r="355" ht="15" customHeight="1">
      <c r="A355" t="inlineStr">
        <is>
          <t>A 30921-2024</t>
        </is>
      </c>
      <c r="B355" s="1" t="n">
        <v>45498</v>
      </c>
      <c r="C355" s="1" t="n">
        <v>46017</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40665-2023</t>
        </is>
      </c>
      <c r="B356" s="1" t="n">
        <v>45170</v>
      </c>
      <c r="C356" s="1" t="n">
        <v>46017</v>
      </c>
      <c r="D356" t="inlineStr">
        <is>
          <t>KALMAR LÄN</t>
        </is>
      </c>
      <c r="E356" t="inlineStr">
        <is>
          <t>VIMMERBY</t>
        </is>
      </c>
      <c r="G356" t="n">
        <v>2.6</v>
      </c>
      <c r="H356" t="n">
        <v>0</v>
      </c>
      <c r="I356" t="n">
        <v>0</v>
      </c>
      <c r="J356" t="n">
        <v>0</v>
      </c>
      <c r="K356" t="n">
        <v>0</v>
      </c>
      <c r="L356" t="n">
        <v>0</v>
      </c>
      <c r="M356" t="n">
        <v>0</v>
      </c>
      <c r="N356" t="n">
        <v>0</v>
      </c>
      <c r="O356" t="n">
        <v>0</v>
      </c>
      <c r="P356" t="n">
        <v>0</v>
      </c>
      <c r="Q356" t="n">
        <v>0</v>
      </c>
      <c r="R356" s="2" t="inlineStr"/>
    </row>
    <row r="357" ht="15" customHeight="1">
      <c r="A357" t="inlineStr">
        <is>
          <t>A 13307-2025</t>
        </is>
      </c>
      <c r="B357" s="1" t="n">
        <v>45735.58024305556</v>
      </c>
      <c r="C357" s="1" t="n">
        <v>46017</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34597-2022</t>
        </is>
      </c>
      <c r="B358" s="1" t="n">
        <v>44795</v>
      </c>
      <c r="C358" s="1" t="n">
        <v>46017</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40079-2023</t>
        </is>
      </c>
      <c r="B359" s="1" t="n">
        <v>45168.89298611111</v>
      </c>
      <c r="C359" s="1" t="n">
        <v>46017</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53482-2022</t>
        </is>
      </c>
      <c r="B360" s="1" t="n">
        <v>44879</v>
      </c>
      <c r="C360" s="1" t="n">
        <v>46017</v>
      </c>
      <c r="D360" t="inlineStr">
        <is>
          <t>KALMAR LÄN</t>
        </is>
      </c>
      <c r="E360" t="inlineStr">
        <is>
          <t>VIMMERBY</t>
        </is>
      </c>
      <c r="G360" t="n">
        <v>10.1</v>
      </c>
      <c r="H360" t="n">
        <v>0</v>
      </c>
      <c r="I360" t="n">
        <v>0</v>
      </c>
      <c r="J360" t="n">
        <v>0</v>
      </c>
      <c r="K360" t="n">
        <v>0</v>
      </c>
      <c r="L360" t="n">
        <v>0</v>
      </c>
      <c r="M360" t="n">
        <v>0</v>
      </c>
      <c r="N360" t="n">
        <v>0</v>
      </c>
      <c r="O360" t="n">
        <v>0</v>
      </c>
      <c r="P360" t="n">
        <v>0</v>
      </c>
      <c r="Q360" t="n">
        <v>0</v>
      </c>
      <c r="R360" s="2" t="inlineStr"/>
    </row>
    <row r="361" ht="15" customHeight="1">
      <c r="A361" t="inlineStr">
        <is>
          <t>A 28034-2022</t>
        </is>
      </c>
      <c r="B361" s="1" t="n">
        <v>44746.38834490741</v>
      </c>
      <c r="C361" s="1" t="n">
        <v>46017</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19833-2023</t>
        </is>
      </c>
      <c r="B362" s="1" t="n">
        <v>45052</v>
      </c>
      <c r="C362" s="1" t="n">
        <v>46017</v>
      </c>
      <c r="D362" t="inlineStr">
        <is>
          <t>KALMAR LÄN</t>
        </is>
      </c>
      <c r="E362" t="inlineStr">
        <is>
          <t>VIMMERBY</t>
        </is>
      </c>
      <c r="G362" t="n">
        <v>6.7</v>
      </c>
      <c r="H362" t="n">
        <v>0</v>
      </c>
      <c r="I362" t="n">
        <v>0</v>
      </c>
      <c r="J362" t="n">
        <v>0</v>
      </c>
      <c r="K362" t="n">
        <v>0</v>
      </c>
      <c r="L362" t="n">
        <v>0</v>
      </c>
      <c r="M362" t="n">
        <v>0</v>
      </c>
      <c r="N362" t="n">
        <v>0</v>
      </c>
      <c r="O362" t="n">
        <v>0</v>
      </c>
      <c r="P362" t="n">
        <v>0</v>
      </c>
      <c r="Q362" t="n">
        <v>0</v>
      </c>
      <c r="R362" s="2" t="inlineStr"/>
    </row>
    <row r="363" ht="15" customHeight="1">
      <c r="A363" t="inlineStr">
        <is>
          <t>A 55605-2024</t>
        </is>
      </c>
      <c r="B363" s="1" t="n">
        <v>45622</v>
      </c>
      <c r="C363" s="1" t="n">
        <v>46017</v>
      </c>
      <c r="D363" t="inlineStr">
        <is>
          <t>KALMAR LÄN</t>
        </is>
      </c>
      <c r="E363" t="inlineStr">
        <is>
          <t>VIMMERBY</t>
        </is>
      </c>
      <c r="G363" t="n">
        <v>1.1</v>
      </c>
      <c r="H363" t="n">
        <v>0</v>
      </c>
      <c r="I363" t="n">
        <v>0</v>
      </c>
      <c r="J363" t="n">
        <v>0</v>
      </c>
      <c r="K363" t="n">
        <v>0</v>
      </c>
      <c r="L363" t="n">
        <v>0</v>
      </c>
      <c r="M363" t="n">
        <v>0</v>
      </c>
      <c r="N363" t="n">
        <v>0</v>
      </c>
      <c r="O363" t="n">
        <v>0</v>
      </c>
      <c r="P363" t="n">
        <v>0</v>
      </c>
      <c r="Q363" t="n">
        <v>0</v>
      </c>
      <c r="R363" s="2" t="inlineStr"/>
    </row>
    <row r="364" ht="15" customHeight="1">
      <c r="A364" t="inlineStr">
        <is>
          <t>A 42165-2024</t>
        </is>
      </c>
      <c r="B364" s="1" t="n">
        <v>45562.46342592593</v>
      </c>
      <c r="C364" s="1" t="n">
        <v>46017</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40260-2024</t>
        </is>
      </c>
      <c r="B365" s="1" t="n">
        <v>45554.63225694445</v>
      </c>
      <c r="C365" s="1" t="n">
        <v>46017</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10787-2025</t>
        </is>
      </c>
      <c r="B366" s="1" t="n">
        <v>45722.48915509259</v>
      </c>
      <c r="C366" s="1" t="n">
        <v>46017</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58577-2024</t>
        </is>
      </c>
      <c r="B367" s="1" t="n">
        <v>45635.4874537037</v>
      </c>
      <c r="C367" s="1" t="n">
        <v>46017</v>
      </c>
      <c r="D367" t="inlineStr">
        <is>
          <t>KALMAR LÄN</t>
        </is>
      </c>
      <c r="E367" t="inlineStr">
        <is>
          <t>VIMMERBY</t>
        </is>
      </c>
      <c r="G367" t="n">
        <v>1.1</v>
      </c>
      <c r="H367" t="n">
        <v>0</v>
      </c>
      <c r="I367" t="n">
        <v>0</v>
      </c>
      <c r="J367" t="n">
        <v>0</v>
      </c>
      <c r="K367" t="n">
        <v>0</v>
      </c>
      <c r="L367" t="n">
        <v>0</v>
      </c>
      <c r="M367" t="n">
        <v>0</v>
      </c>
      <c r="N367" t="n">
        <v>0</v>
      </c>
      <c r="O367" t="n">
        <v>0</v>
      </c>
      <c r="P367" t="n">
        <v>0</v>
      </c>
      <c r="Q367" t="n">
        <v>0</v>
      </c>
      <c r="R367" s="2" t="inlineStr"/>
    </row>
    <row r="368" ht="15" customHeight="1">
      <c r="A368" t="inlineStr">
        <is>
          <t>A 20129-2024</t>
        </is>
      </c>
      <c r="B368" s="1" t="n">
        <v>45434.55831018519</v>
      </c>
      <c r="C368" s="1" t="n">
        <v>46017</v>
      </c>
      <c r="D368" t="inlineStr">
        <is>
          <t>KALMAR LÄN</t>
        </is>
      </c>
      <c r="E368" t="inlineStr">
        <is>
          <t>VIMMERBY</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20137-2024</t>
        </is>
      </c>
      <c r="B369" s="1" t="n">
        <v>45434.56398148148</v>
      </c>
      <c r="C369" s="1" t="n">
        <v>46017</v>
      </c>
      <c r="D369" t="inlineStr">
        <is>
          <t>KALMAR LÄN</t>
        </is>
      </c>
      <c r="E369" t="inlineStr">
        <is>
          <t>VIMMERBY</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38198-2024</t>
        </is>
      </c>
      <c r="B370" s="1" t="n">
        <v>45545.49508101852</v>
      </c>
      <c r="C370" s="1" t="n">
        <v>46017</v>
      </c>
      <c r="D370" t="inlineStr">
        <is>
          <t>KALMAR LÄN</t>
        </is>
      </c>
      <c r="E370" t="inlineStr">
        <is>
          <t>VIMMERBY</t>
        </is>
      </c>
      <c r="G370" t="n">
        <v>7.9</v>
      </c>
      <c r="H370" t="n">
        <v>0</v>
      </c>
      <c r="I370" t="n">
        <v>0</v>
      </c>
      <c r="J370" t="n">
        <v>0</v>
      </c>
      <c r="K370" t="n">
        <v>0</v>
      </c>
      <c r="L370" t="n">
        <v>0</v>
      </c>
      <c r="M370" t="n">
        <v>0</v>
      </c>
      <c r="N370" t="n">
        <v>0</v>
      </c>
      <c r="O370" t="n">
        <v>0</v>
      </c>
      <c r="P370" t="n">
        <v>0</v>
      </c>
      <c r="Q370" t="n">
        <v>0</v>
      </c>
      <c r="R370" s="2" t="inlineStr"/>
    </row>
    <row r="371" ht="15" customHeight="1">
      <c r="A371" t="inlineStr">
        <is>
          <t>A 43617-2024</t>
        </is>
      </c>
      <c r="B371" s="1" t="n">
        <v>45569.47494212963</v>
      </c>
      <c r="C371" s="1" t="n">
        <v>46017</v>
      </c>
      <c r="D371" t="inlineStr">
        <is>
          <t>KALMAR LÄN</t>
        </is>
      </c>
      <c r="E371" t="inlineStr">
        <is>
          <t>VIMMERBY</t>
        </is>
      </c>
      <c r="G371" t="n">
        <v>2.7</v>
      </c>
      <c r="H371" t="n">
        <v>0</v>
      </c>
      <c r="I371" t="n">
        <v>0</v>
      </c>
      <c r="J371" t="n">
        <v>0</v>
      </c>
      <c r="K371" t="n">
        <v>0</v>
      </c>
      <c r="L371" t="n">
        <v>0</v>
      </c>
      <c r="M371" t="n">
        <v>0</v>
      </c>
      <c r="N371" t="n">
        <v>0</v>
      </c>
      <c r="O371" t="n">
        <v>0</v>
      </c>
      <c r="P371" t="n">
        <v>0</v>
      </c>
      <c r="Q371" t="n">
        <v>0</v>
      </c>
      <c r="R371" s="2" t="inlineStr"/>
    </row>
    <row r="372" ht="15" customHeight="1">
      <c r="A372" t="inlineStr">
        <is>
          <t>A 23095-2023</t>
        </is>
      </c>
      <c r="B372" s="1" t="n">
        <v>45075.43059027778</v>
      </c>
      <c r="C372" s="1" t="n">
        <v>46017</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32919-2022</t>
        </is>
      </c>
      <c r="B373" s="1" t="n">
        <v>44784.62724537037</v>
      </c>
      <c r="C373" s="1" t="n">
        <v>46017</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17084-2025</t>
        </is>
      </c>
      <c r="B374" s="1" t="n">
        <v>45755.64450231481</v>
      </c>
      <c r="C374" s="1" t="n">
        <v>46017</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56022-2024</t>
        </is>
      </c>
      <c r="B375" s="1" t="n">
        <v>45623.95947916667</v>
      </c>
      <c r="C375" s="1" t="n">
        <v>46017</v>
      </c>
      <c r="D375" t="inlineStr">
        <is>
          <t>KALMAR LÄN</t>
        </is>
      </c>
      <c r="E375" t="inlineStr">
        <is>
          <t>VIMMERBY</t>
        </is>
      </c>
      <c r="G375" t="n">
        <v>0.3</v>
      </c>
      <c r="H375" t="n">
        <v>0</v>
      </c>
      <c r="I375" t="n">
        <v>0</v>
      </c>
      <c r="J375" t="n">
        <v>0</v>
      </c>
      <c r="K375" t="n">
        <v>0</v>
      </c>
      <c r="L375" t="n">
        <v>0</v>
      </c>
      <c r="M375" t="n">
        <v>0</v>
      </c>
      <c r="N375" t="n">
        <v>0</v>
      </c>
      <c r="O375" t="n">
        <v>0</v>
      </c>
      <c r="P375" t="n">
        <v>0</v>
      </c>
      <c r="Q375" t="n">
        <v>0</v>
      </c>
      <c r="R375" s="2" t="inlineStr"/>
    </row>
    <row r="376" ht="15" customHeight="1">
      <c r="A376" t="inlineStr">
        <is>
          <t>A 11928-2022</t>
        </is>
      </c>
      <c r="B376" s="1" t="n">
        <v>44635</v>
      </c>
      <c r="C376" s="1" t="n">
        <v>46017</v>
      </c>
      <c r="D376" t="inlineStr">
        <is>
          <t>KALMAR LÄN</t>
        </is>
      </c>
      <c r="E376" t="inlineStr">
        <is>
          <t>VIMMERBY</t>
        </is>
      </c>
      <c r="G376" t="n">
        <v>2.8</v>
      </c>
      <c r="H376" t="n">
        <v>0</v>
      </c>
      <c r="I376" t="n">
        <v>0</v>
      </c>
      <c r="J376" t="n">
        <v>0</v>
      </c>
      <c r="K376" t="n">
        <v>0</v>
      </c>
      <c r="L376" t="n">
        <v>0</v>
      </c>
      <c r="M376" t="n">
        <v>0</v>
      </c>
      <c r="N376" t="n">
        <v>0</v>
      </c>
      <c r="O376" t="n">
        <v>0</v>
      </c>
      <c r="P376" t="n">
        <v>0</v>
      </c>
      <c r="Q376" t="n">
        <v>0</v>
      </c>
      <c r="R376" s="2" t="inlineStr"/>
    </row>
    <row r="377" ht="15" customHeight="1">
      <c r="A377" t="inlineStr">
        <is>
          <t>A 7068-2024</t>
        </is>
      </c>
      <c r="B377" s="1" t="n">
        <v>45343.68038194445</v>
      </c>
      <c r="C377" s="1" t="n">
        <v>46017</v>
      </c>
      <c r="D377" t="inlineStr">
        <is>
          <t>KALMAR LÄN</t>
        </is>
      </c>
      <c r="E377" t="inlineStr">
        <is>
          <t>VIMMERBY</t>
        </is>
      </c>
      <c r="G377" t="n">
        <v>2.5</v>
      </c>
      <c r="H377" t="n">
        <v>0</v>
      </c>
      <c r="I377" t="n">
        <v>0</v>
      </c>
      <c r="J377" t="n">
        <v>0</v>
      </c>
      <c r="K377" t="n">
        <v>0</v>
      </c>
      <c r="L377" t="n">
        <v>0</v>
      </c>
      <c r="M377" t="n">
        <v>0</v>
      </c>
      <c r="N377" t="n">
        <v>0</v>
      </c>
      <c r="O377" t="n">
        <v>0</v>
      </c>
      <c r="P377" t="n">
        <v>0</v>
      </c>
      <c r="Q377" t="n">
        <v>0</v>
      </c>
      <c r="R377" s="2" t="inlineStr"/>
    </row>
    <row r="378" ht="15" customHeight="1">
      <c r="A378" t="inlineStr">
        <is>
          <t>A 12596-2021</t>
        </is>
      </c>
      <c r="B378" s="1" t="n">
        <v>44270.39765046296</v>
      </c>
      <c r="C378" s="1" t="n">
        <v>46017</v>
      </c>
      <c r="D378" t="inlineStr">
        <is>
          <t>KALMAR LÄN</t>
        </is>
      </c>
      <c r="E378" t="inlineStr">
        <is>
          <t>VIMMERBY</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32655-2023</t>
        </is>
      </c>
      <c r="B379" s="1" t="n">
        <v>45121.61318287037</v>
      </c>
      <c r="C379" s="1" t="n">
        <v>46017</v>
      </c>
      <c r="D379" t="inlineStr">
        <is>
          <t>KALMAR LÄN</t>
        </is>
      </c>
      <c r="E379" t="inlineStr">
        <is>
          <t>VIMMERBY</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5527-2022</t>
        </is>
      </c>
      <c r="B380" s="1" t="n">
        <v>44595.583125</v>
      </c>
      <c r="C380" s="1" t="n">
        <v>46017</v>
      </c>
      <c r="D380" t="inlineStr">
        <is>
          <t>KALMAR LÄN</t>
        </is>
      </c>
      <c r="E380" t="inlineStr">
        <is>
          <t>VIMMERBY</t>
        </is>
      </c>
      <c r="G380" t="n">
        <v>3.6</v>
      </c>
      <c r="H380" t="n">
        <v>0</v>
      </c>
      <c r="I380" t="n">
        <v>0</v>
      </c>
      <c r="J380" t="n">
        <v>0</v>
      </c>
      <c r="K380" t="n">
        <v>0</v>
      </c>
      <c r="L380" t="n">
        <v>0</v>
      </c>
      <c r="M380" t="n">
        <v>0</v>
      </c>
      <c r="N380" t="n">
        <v>0</v>
      </c>
      <c r="O380" t="n">
        <v>0</v>
      </c>
      <c r="P380" t="n">
        <v>0</v>
      </c>
      <c r="Q380" t="n">
        <v>0</v>
      </c>
      <c r="R380" s="2" t="inlineStr"/>
    </row>
    <row r="381" ht="15" customHeight="1">
      <c r="A381" t="inlineStr">
        <is>
          <t>A 54409-2024</t>
        </is>
      </c>
      <c r="B381" s="1" t="n">
        <v>45617.47570601852</v>
      </c>
      <c r="C381" s="1" t="n">
        <v>46017</v>
      </c>
      <c r="D381" t="inlineStr">
        <is>
          <t>KALMAR LÄN</t>
        </is>
      </c>
      <c r="E381" t="inlineStr">
        <is>
          <t>VIMMERBY</t>
        </is>
      </c>
      <c r="G381" t="n">
        <v>4.3</v>
      </c>
      <c r="H381" t="n">
        <v>0</v>
      </c>
      <c r="I381" t="n">
        <v>0</v>
      </c>
      <c r="J381" t="n">
        <v>0</v>
      </c>
      <c r="K381" t="n">
        <v>0</v>
      </c>
      <c r="L381" t="n">
        <v>0</v>
      </c>
      <c r="M381" t="n">
        <v>0</v>
      </c>
      <c r="N381" t="n">
        <v>0</v>
      </c>
      <c r="O381" t="n">
        <v>0</v>
      </c>
      <c r="P381" t="n">
        <v>0</v>
      </c>
      <c r="Q381" t="n">
        <v>0</v>
      </c>
      <c r="R381" s="2" t="inlineStr"/>
    </row>
    <row r="382" ht="15" customHeight="1">
      <c r="A382" t="inlineStr">
        <is>
          <t>A 49461-2023</t>
        </is>
      </c>
      <c r="B382" s="1" t="n">
        <v>45211.52642361111</v>
      </c>
      <c r="C382" s="1" t="n">
        <v>46017</v>
      </c>
      <c r="D382" t="inlineStr">
        <is>
          <t>KALMAR LÄN</t>
        </is>
      </c>
      <c r="E382" t="inlineStr">
        <is>
          <t>VIMMERBY</t>
        </is>
      </c>
      <c r="G382" t="n">
        <v>1.5</v>
      </c>
      <c r="H382" t="n">
        <v>0</v>
      </c>
      <c r="I382" t="n">
        <v>0</v>
      </c>
      <c r="J382" t="n">
        <v>0</v>
      </c>
      <c r="K382" t="n">
        <v>0</v>
      </c>
      <c r="L382" t="n">
        <v>0</v>
      </c>
      <c r="M382" t="n">
        <v>0</v>
      </c>
      <c r="N382" t="n">
        <v>0</v>
      </c>
      <c r="O382" t="n">
        <v>0</v>
      </c>
      <c r="P382" t="n">
        <v>0</v>
      </c>
      <c r="Q382" t="n">
        <v>0</v>
      </c>
      <c r="R382" s="2" t="inlineStr"/>
    </row>
    <row r="383" ht="15" customHeight="1">
      <c r="A383" t="inlineStr">
        <is>
          <t>A 49474-2023</t>
        </is>
      </c>
      <c r="B383" s="1" t="n">
        <v>45211.541875</v>
      </c>
      <c r="C383" s="1" t="n">
        <v>46017</v>
      </c>
      <c r="D383" t="inlineStr">
        <is>
          <t>KALMAR LÄN</t>
        </is>
      </c>
      <c r="E383" t="inlineStr">
        <is>
          <t>VIMMERBY</t>
        </is>
      </c>
      <c r="G383" t="n">
        <v>3.6</v>
      </c>
      <c r="H383" t="n">
        <v>0</v>
      </c>
      <c r="I383" t="n">
        <v>0</v>
      </c>
      <c r="J383" t="n">
        <v>0</v>
      </c>
      <c r="K383" t="n">
        <v>0</v>
      </c>
      <c r="L383" t="n">
        <v>0</v>
      </c>
      <c r="M383" t="n">
        <v>0</v>
      </c>
      <c r="N383" t="n">
        <v>0</v>
      </c>
      <c r="O383" t="n">
        <v>0</v>
      </c>
      <c r="P383" t="n">
        <v>0</v>
      </c>
      <c r="Q383" t="n">
        <v>0</v>
      </c>
      <c r="R383" s="2" t="inlineStr"/>
    </row>
    <row r="384" ht="15" customHeight="1">
      <c r="A384" t="inlineStr">
        <is>
          <t>A 22264-2023</t>
        </is>
      </c>
      <c r="B384" s="1" t="n">
        <v>45070.3665625</v>
      </c>
      <c r="C384" s="1" t="n">
        <v>46017</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22266-2023</t>
        </is>
      </c>
      <c r="B385" s="1" t="n">
        <v>45070</v>
      </c>
      <c r="C385" s="1" t="n">
        <v>46017</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61861-2024</t>
        </is>
      </c>
      <c r="B386" s="1" t="n">
        <v>45650.37370370371</v>
      </c>
      <c r="C386" s="1" t="n">
        <v>46017</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50091-2023</t>
        </is>
      </c>
      <c r="B387" s="1" t="n">
        <v>45215.60199074074</v>
      </c>
      <c r="C387" s="1" t="n">
        <v>46017</v>
      </c>
      <c r="D387" t="inlineStr">
        <is>
          <t>KALMAR LÄN</t>
        </is>
      </c>
      <c r="E387" t="inlineStr">
        <is>
          <t>VIMMERBY</t>
        </is>
      </c>
      <c r="G387" t="n">
        <v>1.7</v>
      </c>
      <c r="H387" t="n">
        <v>0</v>
      </c>
      <c r="I387" t="n">
        <v>0</v>
      </c>
      <c r="J387" t="n">
        <v>0</v>
      </c>
      <c r="K387" t="n">
        <v>0</v>
      </c>
      <c r="L387" t="n">
        <v>0</v>
      </c>
      <c r="M387" t="n">
        <v>0</v>
      </c>
      <c r="N387" t="n">
        <v>0</v>
      </c>
      <c r="O387" t="n">
        <v>0</v>
      </c>
      <c r="P387" t="n">
        <v>0</v>
      </c>
      <c r="Q387" t="n">
        <v>0</v>
      </c>
      <c r="R387" s="2" t="inlineStr"/>
    </row>
    <row r="388" ht="15" customHeight="1">
      <c r="A388" t="inlineStr">
        <is>
          <t>A 10303-2025</t>
        </is>
      </c>
      <c r="B388" s="1" t="n">
        <v>45720.44217592593</v>
      </c>
      <c r="C388" s="1" t="n">
        <v>46017</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11027-2023</t>
        </is>
      </c>
      <c r="B389" s="1" t="n">
        <v>44991.89657407408</v>
      </c>
      <c r="C389" s="1" t="n">
        <v>46017</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45846-2023</t>
        </is>
      </c>
      <c r="B390" s="1" t="n">
        <v>45195.58452546296</v>
      </c>
      <c r="C390" s="1" t="n">
        <v>46017</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8167-2024</t>
        </is>
      </c>
      <c r="B391" s="1" t="n">
        <v>45351.6062962963</v>
      </c>
      <c r="C391" s="1" t="n">
        <v>46017</v>
      </c>
      <c r="D391" t="inlineStr">
        <is>
          <t>KALMAR LÄN</t>
        </is>
      </c>
      <c r="E391" t="inlineStr">
        <is>
          <t>VIMMERBY</t>
        </is>
      </c>
      <c r="G391" t="n">
        <v>3.8</v>
      </c>
      <c r="H391" t="n">
        <v>0</v>
      </c>
      <c r="I391" t="n">
        <v>0</v>
      </c>
      <c r="J391" t="n">
        <v>0</v>
      </c>
      <c r="K391" t="n">
        <v>0</v>
      </c>
      <c r="L391" t="n">
        <v>0</v>
      </c>
      <c r="M391" t="n">
        <v>0</v>
      </c>
      <c r="N391" t="n">
        <v>0</v>
      </c>
      <c r="O391" t="n">
        <v>0</v>
      </c>
      <c r="P391" t="n">
        <v>0</v>
      </c>
      <c r="Q391" t="n">
        <v>0</v>
      </c>
      <c r="R391" s="2" t="inlineStr"/>
    </row>
    <row r="392" ht="15" customHeight="1">
      <c r="A392" t="inlineStr">
        <is>
          <t>A 9475-2023</t>
        </is>
      </c>
      <c r="B392" s="1" t="n">
        <v>44981.58834490741</v>
      </c>
      <c r="C392" s="1" t="n">
        <v>46017</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38604-2025</t>
        </is>
      </c>
      <c r="B393" s="1" t="n">
        <v>45884.50613425926</v>
      </c>
      <c r="C393" s="1" t="n">
        <v>46017</v>
      </c>
      <c r="D393" t="inlineStr">
        <is>
          <t>KALMAR LÄN</t>
        </is>
      </c>
      <c r="E393" t="inlineStr">
        <is>
          <t>VIMMERBY</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49382-2023</t>
        </is>
      </c>
      <c r="B394" s="1" t="n">
        <v>45208</v>
      </c>
      <c r="C394" s="1" t="n">
        <v>46017</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12121-2025</t>
        </is>
      </c>
      <c r="B395" s="1" t="n">
        <v>45729.36868055556</v>
      </c>
      <c r="C395" s="1" t="n">
        <v>46017</v>
      </c>
      <c r="D395" t="inlineStr">
        <is>
          <t>KALMAR LÄN</t>
        </is>
      </c>
      <c r="E395" t="inlineStr">
        <is>
          <t>VIMMERBY</t>
        </is>
      </c>
      <c r="G395" t="n">
        <v>4.3</v>
      </c>
      <c r="H395" t="n">
        <v>0</v>
      </c>
      <c r="I395" t="n">
        <v>0</v>
      </c>
      <c r="J395" t="n">
        <v>0</v>
      </c>
      <c r="K395" t="n">
        <v>0</v>
      </c>
      <c r="L395" t="n">
        <v>0</v>
      </c>
      <c r="M395" t="n">
        <v>0</v>
      </c>
      <c r="N395" t="n">
        <v>0</v>
      </c>
      <c r="O395" t="n">
        <v>0</v>
      </c>
      <c r="P395" t="n">
        <v>0</v>
      </c>
      <c r="Q395" t="n">
        <v>0</v>
      </c>
      <c r="R395" s="2" t="inlineStr"/>
    </row>
    <row r="396" ht="15" customHeight="1">
      <c r="A396" t="inlineStr">
        <is>
          <t>A 35846-2023</t>
        </is>
      </c>
      <c r="B396" s="1" t="n">
        <v>45148</v>
      </c>
      <c r="C396" s="1" t="n">
        <v>46017</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35913-2023</t>
        </is>
      </c>
      <c r="B397" s="1" t="n">
        <v>45148</v>
      </c>
      <c r="C397" s="1" t="n">
        <v>46017</v>
      </c>
      <c r="D397" t="inlineStr">
        <is>
          <t>KALMAR LÄN</t>
        </is>
      </c>
      <c r="E397" t="inlineStr">
        <is>
          <t>VIMMERBY</t>
        </is>
      </c>
      <c r="G397" t="n">
        <v>6.9</v>
      </c>
      <c r="H397" t="n">
        <v>0</v>
      </c>
      <c r="I397" t="n">
        <v>0</v>
      </c>
      <c r="J397" t="n">
        <v>0</v>
      </c>
      <c r="K397" t="n">
        <v>0</v>
      </c>
      <c r="L397" t="n">
        <v>0</v>
      </c>
      <c r="M397" t="n">
        <v>0</v>
      </c>
      <c r="N397" t="n">
        <v>0</v>
      </c>
      <c r="O397" t="n">
        <v>0</v>
      </c>
      <c r="P397" t="n">
        <v>0</v>
      </c>
      <c r="Q397" t="n">
        <v>0</v>
      </c>
      <c r="R397" s="2" t="inlineStr"/>
    </row>
    <row r="398" ht="15" customHeight="1">
      <c r="A398" t="inlineStr">
        <is>
          <t>A 43092-2024</t>
        </is>
      </c>
      <c r="B398" s="1" t="n">
        <v>45567</v>
      </c>
      <c r="C398" s="1" t="n">
        <v>46017</v>
      </c>
      <c r="D398" t="inlineStr">
        <is>
          <t>KALMAR LÄN</t>
        </is>
      </c>
      <c r="E398" t="inlineStr">
        <is>
          <t>VIMMERBY</t>
        </is>
      </c>
      <c r="G398" t="n">
        <v>2.7</v>
      </c>
      <c r="H398" t="n">
        <v>0</v>
      </c>
      <c r="I398" t="n">
        <v>0</v>
      </c>
      <c r="J398" t="n">
        <v>0</v>
      </c>
      <c r="K398" t="n">
        <v>0</v>
      </c>
      <c r="L398" t="n">
        <v>0</v>
      </c>
      <c r="M398" t="n">
        <v>0</v>
      </c>
      <c r="N398" t="n">
        <v>0</v>
      </c>
      <c r="O398" t="n">
        <v>0</v>
      </c>
      <c r="P398" t="n">
        <v>0</v>
      </c>
      <c r="Q398" t="n">
        <v>0</v>
      </c>
      <c r="R398" s="2" t="inlineStr"/>
    </row>
    <row r="399" ht="15" customHeight="1">
      <c r="A399" t="inlineStr">
        <is>
          <t>A 38757-2023</t>
        </is>
      </c>
      <c r="B399" s="1" t="n">
        <v>45163.41376157408</v>
      </c>
      <c r="C399" s="1" t="n">
        <v>46017</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20136-2024</t>
        </is>
      </c>
      <c r="B400" s="1" t="n">
        <v>45434.56291666667</v>
      </c>
      <c r="C400" s="1" t="n">
        <v>46017</v>
      </c>
      <c r="D400" t="inlineStr">
        <is>
          <t>KALMAR LÄN</t>
        </is>
      </c>
      <c r="E400" t="inlineStr">
        <is>
          <t>VIMMERBY</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11619-2023</t>
        </is>
      </c>
      <c r="B401" s="1" t="n">
        <v>44994.42113425926</v>
      </c>
      <c r="C401" s="1" t="n">
        <v>46017</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5074-2023</t>
        </is>
      </c>
      <c r="B402" s="1" t="n">
        <v>44958.61047453704</v>
      </c>
      <c r="C402" s="1" t="n">
        <v>46017</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6368-2023</t>
        </is>
      </c>
      <c r="B403" s="1" t="n">
        <v>44965</v>
      </c>
      <c r="C403" s="1" t="n">
        <v>46017</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24283-2023</t>
        </is>
      </c>
      <c r="B404" s="1" t="n">
        <v>45079.87827546296</v>
      </c>
      <c r="C404" s="1" t="n">
        <v>46017</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5701-2024</t>
        </is>
      </c>
      <c r="B405" s="1" t="n">
        <v>45334.78826388889</v>
      </c>
      <c r="C405" s="1" t="n">
        <v>46017</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11661-2023</t>
        </is>
      </c>
      <c r="B406" s="1" t="n">
        <v>44994.46908564815</v>
      </c>
      <c r="C406" s="1" t="n">
        <v>46017</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36155-2023</t>
        </is>
      </c>
      <c r="B407" s="1" t="n">
        <v>45149.60917824074</v>
      </c>
      <c r="C407" s="1" t="n">
        <v>46017</v>
      </c>
      <c r="D407" t="inlineStr">
        <is>
          <t>KALMAR LÄN</t>
        </is>
      </c>
      <c r="E407" t="inlineStr">
        <is>
          <t>VIMMERBY</t>
        </is>
      </c>
      <c r="G407" t="n">
        <v>5</v>
      </c>
      <c r="H407" t="n">
        <v>0</v>
      </c>
      <c r="I407" t="n">
        <v>0</v>
      </c>
      <c r="J407" t="n">
        <v>0</v>
      </c>
      <c r="K407" t="n">
        <v>0</v>
      </c>
      <c r="L407" t="n">
        <v>0</v>
      </c>
      <c r="M407" t="n">
        <v>0</v>
      </c>
      <c r="N407" t="n">
        <v>0</v>
      </c>
      <c r="O407" t="n">
        <v>0</v>
      </c>
      <c r="P407" t="n">
        <v>0</v>
      </c>
      <c r="Q407" t="n">
        <v>0</v>
      </c>
      <c r="R407" s="2" t="inlineStr"/>
    </row>
    <row r="408" ht="15" customHeight="1">
      <c r="A408" t="inlineStr">
        <is>
          <t>A 59598-2023</t>
        </is>
      </c>
      <c r="B408" s="1" t="n">
        <v>45254.62489583333</v>
      </c>
      <c r="C408" s="1" t="n">
        <v>46017</v>
      </c>
      <c r="D408" t="inlineStr">
        <is>
          <t>KALMAR LÄN</t>
        </is>
      </c>
      <c r="E408" t="inlineStr">
        <is>
          <t>VIMMERBY</t>
        </is>
      </c>
      <c r="F408" t="inlineStr">
        <is>
          <t>Övriga Aktiebolag</t>
        </is>
      </c>
      <c r="G408" t="n">
        <v>4</v>
      </c>
      <c r="H408" t="n">
        <v>0</v>
      </c>
      <c r="I408" t="n">
        <v>0</v>
      </c>
      <c r="J408" t="n">
        <v>0</v>
      </c>
      <c r="K408" t="n">
        <v>0</v>
      </c>
      <c r="L408" t="n">
        <v>0</v>
      </c>
      <c r="M408" t="n">
        <v>0</v>
      </c>
      <c r="N408" t="n">
        <v>0</v>
      </c>
      <c r="O408" t="n">
        <v>0</v>
      </c>
      <c r="P408" t="n">
        <v>0</v>
      </c>
      <c r="Q408" t="n">
        <v>0</v>
      </c>
      <c r="R408" s="2" t="inlineStr"/>
    </row>
    <row r="409" ht="15" customHeight="1">
      <c r="A409" t="inlineStr">
        <is>
          <t>A 7797-2023</t>
        </is>
      </c>
      <c r="B409" s="1" t="n">
        <v>44973.43075231482</v>
      </c>
      <c r="C409" s="1" t="n">
        <v>46017</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40147-2023</t>
        </is>
      </c>
      <c r="B410" s="1" t="n">
        <v>45169</v>
      </c>
      <c r="C410" s="1" t="n">
        <v>46017</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30920-2023</t>
        </is>
      </c>
      <c r="B411" s="1" t="n">
        <v>45113.43921296296</v>
      </c>
      <c r="C411" s="1" t="n">
        <v>46017</v>
      </c>
      <c r="D411" t="inlineStr">
        <is>
          <t>KALMAR LÄN</t>
        </is>
      </c>
      <c r="E411" t="inlineStr">
        <is>
          <t>VIMMERBY</t>
        </is>
      </c>
      <c r="G411" t="n">
        <v>3.1</v>
      </c>
      <c r="H411" t="n">
        <v>0</v>
      </c>
      <c r="I411" t="n">
        <v>0</v>
      </c>
      <c r="J411" t="n">
        <v>0</v>
      </c>
      <c r="K411" t="n">
        <v>0</v>
      </c>
      <c r="L411" t="n">
        <v>0</v>
      </c>
      <c r="M411" t="n">
        <v>0</v>
      </c>
      <c r="N411" t="n">
        <v>0</v>
      </c>
      <c r="O411" t="n">
        <v>0</v>
      </c>
      <c r="P411" t="n">
        <v>0</v>
      </c>
      <c r="Q411" t="n">
        <v>0</v>
      </c>
      <c r="R411" s="2" t="inlineStr"/>
    </row>
    <row r="412" ht="15" customHeight="1">
      <c r="A412" t="inlineStr">
        <is>
          <t>A 24655-2021</t>
        </is>
      </c>
      <c r="B412" s="1" t="n">
        <v>44340</v>
      </c>
      <c r="C412" s="1" t="n">
        <v>46017</v>
      </c>
      <c r="D412" t="inlineStr">
        <is>
          <t>KALMAR LÄN</t>
        </is>
      </c>
      <c r="E412" t="inlineStr">
        <is>
          <t>VIMMERBY</t>
        </is>
      </c>
      <c r="G412" t="n">
        <v>14.9</v>
      </c>
      <c r="H412" t="n">
        <v>0</v>
      </c>
      <c r="I412" t="n">
        <v>0</v>
      </c>
      <c r="J412" t="n">
        <v>0</v>
      </c>
      <c r="K412" t="n">
        <v>0</v>
      </c>
      <c r="L412" t="n">
        <v>0</v>
      </c>
      <c r="M412" t="n">
        <v>0</v>
      </c>
      <c r="N412" t="n">
        <v>0</v>
      </c>
      <c r="O412" t="n">
        <v>0</v>
      </c>
      <c r="P412" t="n">
        <v>0</v>
      </c>
      <c r="Q412" t="n">
        <v>0</v>
      </c>
      <c r="R412" s="2" t="inlineStr"/>
    </row>
    <row r="413" ht="15" customHeight="1">
      <c r="A413" t="inlineStr">
        <is>
          <t>A 8410-2023</t>
        </is>
      </c>
      <c r="B413" s="1" t="n">
        <v>44977</v>
      </c>
      <c r="C413" s="1" t="n">
        <v>46017</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6028-2023</t>
        </is>
      </c>
      <c r="B414" s="1" t="n">
        <v>44964.44356481481</v>
      </c>
      <c r="C414" s="1" t="n">
        <v>46017</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52823-2024</t>
        </is>
      </c>
      <c r="B415" s="1" t="n">
        <v>45610.59094907407</v>
      </c>
      <c r="C415" s="1" t="n">
        <v>46017</v>
      </c>
      <c r="D415" t="inlineStr">
        <is>
          <t>KALMAR LÄN</t>
        </is>
      </c>
      <c r="E415" t="inlineStr">
        <is>
          <t>VIMMERBY</t>
        </is>
      </c>
      <c r="G415" t="n">
        <v>0.6</v>
      </c>
      <c r="H415" t="n">
        <v>0</v>
      </c>
      <c r="I415" t="n">
        <v>0</v>
      </c>
      <c r="J415" t="n">
        <v>0</v>
      </c>
      <c r="K415" t="n">
        <v>0</v>
      </c>
      <c r="L415" t="n">
        <v>0</v>
      </c>
      <c r="M415" t="n">
        <v>0</v>
      </c>
      <c r="N415" t="n">
        <v>0</v>
      </c>
      <c r="O415" t="n">
        <v>0</v>
      </c>
      <c r="P415" t="n">
        <v>0</v>
      </c>
      <c r="Q415" t="n">
        <v>0</v>
      </c>
      <c r="R415" s="2" t="inlineStr"/>
    </row>
    <row r="416" ht="15" customHeight="1">
      <c r="A416" t="inlineStr">
        <is>
          <t>A 29726-2025</t>
        </is>
      </c>
      <c r="B416" s="1" t="n">
        <v>45825.57805555555</v>
      </c>
      <c r="C416" s="1" t="n">
        <v>46017</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40929-2022</t>
        </is>
      </c>
      <c r="B417" s="1" t="n">
        <v>44825.4336574074</v>
      </c>
      <c r="C417" s="1" t="n">
        <v>46017</v>
      </c>
      <c r="D417" t="inlineStr">
        <is>
          <t>KALMAR LÄN</t>
        </is>
      </c>
      <c r="E417" t="inlineStr">
        <is>
          <t>VIMMERBY</t>
        </is>
      </c>
      <c r="G417" t="n">
        <v>2.5</v>
      </c>
      <c r="H417" t="n">
        <v>0</v>
      </c>
      <c r="I417" t="n">
        <v>0</v>
      </c>
      <c r="J417" t="n">
        <v>0</v>
      </c>
      <c r="K417" t="n">
        <v>0</v>
      </c>
      <c r="L417" t="n">
        <v>0</v>
      </c>
      <c r="M417" t="n">
        <v>0</v>
      </c>
      <c r="N417" t="n">
        <v>0</v>
      </c>
      <c r="O417" t="n">
        <v>0</v>
      </c>
      <c r="P417" t="n">
        <v>0</v>
      </c>
      <c r="Q417" t="n">
        <v>0</v>
      </c>
      <c r="R417" s="2" t="inlineStr"/>
    </row>
    <row r="418" ht="15" customHeight="1">
      <c r="A418" t="inlineStr">
        <is>
          <t>A 56853-2022</t>
        </is>
      </c>
      <c r="B418" s="1" t="n">
        <v>44894.49538194444</v>
      </c>
      <c r="C418" s="1" t="n">
        <v>46017</v>
      </c>
      <c r="D418" t="inlineStr">
        <is>
          <t>KALMAR LÄN</t>
        </is>
      </c>
      <c r="E418" t="inlineStr">
        <is>
          <t>VIMMERBY</t>
        </is>
      </c>
      <c r="G418" t="n">
        <v>4.3</v>
      </c>
      <c r="H418" t="n">
        <v>0</v>
      </c>
      <c r="I418" t="n">
        <v>0</v>
      </c>
      <c r="J418" t="n">
        <v>0</v>
      </c>
      <c r="K418" t="n">
        <v>0</v>
      </c>
      <c r="L418" t="n">
        <v>0</v>
      </c>
      <c r="M418" t="n">
        <v>0</v>
      </c>
      <c r="N418" t="n">
        <v>0</v>
      </c>
      <c r="O418" t="n">
        <v>0</v>
      </c>
      <c r="P418" t="n">
        <v>0</v>
      </c>
      <c r="Q418" t="n">
        <v>0</v>
      </c>
      <c r="R418" s="2" t="inlineStr"/>
    </row>
    <row r="419" ht="15" customHeight="1">
      <c r="A419" t="inlineStr">
        <is>
          <t>A 11152-2023</t>
        </is>
      </c>
      <c r="B419" s="1" t="n">
        <v>44992</v>
      </c>
      <c r="C419" s="1" t="n">
        <v>46017</v>
      </c>
      <c r="D419" t="inlineStr">
        <is>
          <t>KALMAR LÄN</t>
        </is>
      </c>
      <c r="E419" t="inlineStr">
        <is>
          <t>VIMMERBY</t>
        </is>
      </c>
      <c r="G419" t="n">
        <v>10.6</v>
      </c>
      <c r="H419" t="n">
        <v>0</v>
      </c>
      <c r="I419" t="n">
        <v>0</v>
      </c>
      <c r="J419" t="n">
        <v>0</v>
      </c>
      <c r="K419" t="n">
        <v>0</v>
      </c>
      <c r="L419" t="n">
        <v>0</v>
      </c>
      <c r="M419" t="n">
        <v>0</v>
      </c>
      <c r="N419" t="n">
        <v>0</v>
      </c>
      <c r="O419" t="n">
        <v>0</v>
      </c>
      <c r="P419" t="n">
        <v>0</v>
      </c>
      <c r="Q419" t="n">
        <v>0</v>
      </c>
      <c r="R419" s="2" t="inlineStr"/>
    </row>
    <row r="420" ht="15" customHeight="1">
      <c r="A420" t="inlineStr">
        <is>
          <t>A 63950-2023</t>
        </is>
      </c>
      <c r="B420" s="1" t="n">
        <v>45278</v>
      </c>
      <c r="C420" s="1" t="n">
        <v>46017</v>
      </c>
      <c r="D420" t="inlineStr">
        <is>
          <t>KALMAR LÄN</t>
        </is>
      </c>
      <c r="E420" t="inlineStr">
        <is>
          <t>VIMMERBY</t>
        </is>
      </c>
      <c r="F420" t="inlineStr">
        <is>
          <t>Kyrkan</t>
        </is>
      </c>
      <c r="G420" t="n">
        <v>2.7</v>
      </c>
      <c r="H420" t="n">
        <v>0</v>
      </c>
      <c r="I420" t="n">
        <v>0</v>
      </c>
      <c r="J420" t="n">
        <v>0</v>
      </c>
      <c r="K420" t="n">
        <v>0</v>
      </c>
      <c r="L420" t="n">
        <v>0</v>
      </c>
      <c r="M420" t="n">
        <v>0</v>
      </c>
      <c r="N420" t="n">
        <v>0</v>
      </c>
      <c r="O420" t="n">
        <v>0</v>
      </c>
      <c r="P420" t="n">
        <v>0</v>
      </c>
      <c r="Q420" t="n">
        <v>0</v>
      </c>
      <c r="R420" s="2" t="inlineStr"/>
    </row>
    <row r="421" ht="15" customHeight="1">
      <c r="A421" t="inlineStr">
        <is>
          <t>A 15550-2023</t>
        </is>
      </c>
      <c r="B421" s="1" t="n">
        <v>45020</v>
      </c>
      <c r="C421" s="1" t="n">
        <v>46017</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38964-2025</t>
        </is>
      </c>
      <c r="B422" s="1" t="n">
        <v>45887.68759259259</v>
      </c>
      <c r="C422" s="1" t="n">
        <v>46017</v>
      </c>
      <c r="D422" t="inlineStr">
        <is>
          <t>KALMAR LÄN</t>
        </is>
      </c>
      <c r="E422" t="inlineStr">
        <is>
          <t>VIMMERBY</t>
        </is>
      </c>
      <c r="G422" t="n">
        <v>7.5</v>
      </c>
      <c r="H422" t="n">
        <v>0</v>
      </c>
      <c r="I422" t="n">
        <v>0</v>
      </c>
      <c r="J422" t="n">
        <v>0</v>
      </c>
      <c r="K422" t="n">
        <v>0</v>
      </c>
      <c r="L422" t="n">
        <v>0</v>
      </c>
      <c r="M422" t="n">
        <v>0</v>
      </c>
      <c r="N422" t="n">
        <v>0</v>
      </c>
      <c r="O422" t="n">
        <v>0</v>
      </c>
      <c r="P422" t="n">
        <v>0</v>
      </c>
      <c r="Q422" t="n">
        <v>0</v>
      </c>
      <c r="R422" s="2" t="inlineStr"/>
    </row>
    <row r="423" ht="15" customHeight="1">
      <c r="A423" t="inlineStr">
        <is>
          <t>A 33380-2023</t>
        </is>
      </c>
      <c r="B423" s="1" t="n">
        <v>45128</v>
      </c>
      <c r="C423" s="1" t="n">
        <v>46017</v>
      </c>
      <c r="D423" t="inlineStr">
        <is>
          <t>KALMAR LÄN</t>
        </is>
      </c>
      <c r="E423" t="inlineStr">
        <is>
          <t>VIMMERBY</t>
        </is>
      </c>
      <c r="G423" t="n">
        <v>5.2</v>
      </c>
      <c r="H423" t="n">
        <v>0</v>
      </c>
      <c r="I423" t="n">
        <v>0</v>
      </c>
      <c r="J423" t="n">
        <v>0</v>
      </c>
      <c r="K423" t="n">
        <v>0</v>
      </c>
      <c r="L423" t="n">
        <v>0</v>
      </c>
      <c r="M423" t="n">
        <v>0</v>
      </c>
      <c r="N423" t="n">
        <v>0</v>
      </c>
      <c r="O423" t="n">
        <v>0</v>
      </c>
      <c r="P423" t="n">
        <v>0</v>
      </c>
      <c r="Q423" t="n">
        <v>0</v>
      </c>
      <c r="R423" s="2" t="inlineStr"/>
    </row>
    <row r="424" ht="15" customHeight="1">
      <c r="A424" t="inlineStr">
        <is>
          <t>A 46144-2023</t>
        </is>
      </c>
      <c r="B424" s="1" t="n">
        <v>45196.57247685185</v>
      </c>
      <c r="C424" s="1" t="n">
        <v>46017</v>
      </c>
      <c r="D424" t="inlineStr">
        <is>
          <t>KALMAR LÄN</t>
        </is>
      </c>
      <c r="E424" t="inlineStr">
        <is>
          <t>VIMMERBY</t>
        </is>
      </c>
      <c r="G424" t="n">
        <v>6.5</v>
      </c>
      <c r="H424" t="n">
        <v>0</v>
      </c>
      <c r="I424" t="n">
        <v>0</v>
      </c>
      <c r="J424" t="n">
        <v>0</v>
      </c>
      <c r="K424" t="n">
        <v>0</v>
      </c>
      <c r="L424" t="n">
        <v>0</v>
      </c>
      <c r="M424" t="n">
        <v>0</v>
      </c>
      <c r="N424" t="n">
        <v>0</v>
      </c>
      <c r="O424" t="n">
        <v>0</v>
      </c>
      <c r="P424" t="n">
        <v>0</v>
      </c>
      <c r="Q424" t="n">
        <v>0</v>
      </c>
      <c r="R424" s="2" t="inlineStr"/>
    </row>
    <row r="425" ht="15" customHeight="1">
      <c r="A425" t="inlineStr">
        <is>
          <t>A 24096-2024</t>
        </is>
      </c>
      <c r="B425" s="1" t="n">
        <v>45456.59289351852</v>
      </c>
      <c r="C425" s="1" t="n">
        <v>46017</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54787-2023</t>
        </is>
      </c>
      <c r="B426" s="1" t="n">
        <v>45236</v>
      </c>
      <c r="C426" s="1" t="n">
        <v>46017</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15715-2022</t>
        </is>
      </c>
      <c r="B427" s="1" t="n">
        <v>44663</v>
      </c>
      <c r="C427" s="1" t="n">
        <v>46017</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43774-2023</t>
        </is>
      </c>
      <c r="B428" s="1" t="n">
        <v>45187</v>
      </c>
      <c r="C428" s="1" t="n">
        <v>46017</v>
      </c>
      <c r="D428" t="inlineStr">
        <is>
          <t>KALMAR LÄN</t>
        </is>
      </c>
      <c r="E428" t="inlineStr">
        <is>
          <t>VIMMERBY</t>
        </is>
      </c>
      <c r="G428" t="n">
        <v>3.4</v>
      </c>
      <c r="H428" t="n">
        <v>0</v>
      </c>
      <c r="I428" t="n">
        <v>0</v>
      </c>
      <c r="J428" t="n">
        <v>0</v>
      </c>
      <c r="K428" t="n">
        <v>0</v>
      </c>
      <c r="L428" t="n">
        <v>0</v>
      </c>
      <c r="M428" t="n">
        <v>0</v>
      </c>
      <c r="N428" t="n">
        <v>0</v>
      </c>
      <c r="O428" t="n">
        <v>0</v>
      </c>
      <c r="P428" t="n">
        <v>0</v>
      </c>
      <c r="Q428" t="n">
        <v>0</v>
      </c>
      <c r="R428" s="2" t="inlineStr"/>
    </row>
    <row r="429" ht="15" customHeight="1">
      <c r="A429" t="inlineStr">
        <is>
          <t>A 31355-2023</t>
        </is>
      </c>
      <c r="B429" s="1" t="n">
        <v>45114.49505787037</v>
      </c>
      <c r="C429" s="1" t="n">
        <v>46017</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43705-2023</t>
        </is>
      </c>
      <c r="B430" s="1" t="n">
        <v>45187.42854166667</v>
      </c>
      <c r="C430" s="1" t="n">
        <v>46017</v>
      </c>
      <c r="D430" t="inlineStr">
        <is>
          <t>KALMAR LÄN</t>
        </is>
      </c>
      <c r="E430" t="inlineStr">
        <is>
          <t>VIMMERBY</t>
        </is>
      </c>
      <c r="G430" t="n">
        <v>1.2</v>
      </c>
      <c r="H430" t="n">
        <v>0</v>
      </c>
      <c r="I430" t="n">
        <v>0</v>
      </c>
      <c r="J430" t="n">
        <v>0</v>
      </c>
      <c r="K430" t="n">
        <v>0</v>
      </c>
      <c r="L430" t="n">
        <v>0</v>
      </c>
      <c r="M430" t="n">
        <v>0</v>
      </c>
      <c r="N430" t="n">
        <v>0</v>
      </c>
      <c r="O430" t="n">
        <v>0</v>
      </c>
      <c r="P430" t="n">
        <v>0</v>
      </c>
      <c r="Q430" t="n">
        <v>0</v>
      </c>
      <c r="R430" s="2" t="inlineStr"/>
    </row>
    <row r="431" ht="15" customHeight="1">
      <c r="A431" t="inlineStr">
        <is>
          <t>A 7932-2025</t>
        </is>
      </c>
      <c r="B431" s="1" t="n">
        <v>45707.3793287037</v>
      </c>
      <c r="C431" s="1" t="n">
        <v>46017</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18330-2023</t>
        </is>
      </c>
      <c r="B432" s="1" t="n">
        <v>45041</v>
      </c>
      <c r="C432" s="1" t="n">
        <v>46017</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13532-2025</t>
        </is>
      </c>
      <c r="B433" s="1" t="n">
        <v>45736.50743055555</v>
      </c>
      <c r="C433" s="1" t="n">
        <v>46017</v>
      </c>
      <c r="D433" t="inlineStr">
        <is>
          <t>KALMAR LÄN</t>
        </is>
      </c>
      <c r="E433" t="inlineStr">
        <is>
          <t>VIMMERBY</t>
        </is>
      </c>
      <c r="G433" t="n">
        <v>3.6</v>
      </c>
      <c r="H433" t="n">
        <v>0</v>
      </c>
      <c r="I433" t="n">
        <v>0</v>
      </c>
      <c r="J433" t="n">
        <v>0</v>
      </c>
      <c r="K433" t="n">
        <v>0</v>
      </c>
      <c r="L433" t="n">
        <v>0</v>
      </c>
      <c r="M433" t="n">
        <v>0</v>
      </c>
      <c r="N433" t="n">
        <v>0</v>
      </c>
      <c r="O433" t="n">
        <v>0</v>
      </c>
      <c r="P433" t="n">
        <v>0</v>
      </c>
      <c r="Q433" t="n">
        <v>0</v>
      </c>
      <c r="R433" s="2" t="inlineStr"/>
    </row>
    <row r="434" ht="15" customHeight="1">
      <c r="A434" t="inlineStr">
        <is>
          <t>A 58100-2024</t>
        </is>
      </c>
      <c r="B434" s="1" t="n">
        <v>45632.36706018518</v>
      </c>
      <c r="C434" s="1" t="n">
        <v>46017</v>
      </c>
      <c r="D434" t="inlineStr">
        <is>
          <t>KALMAR LÄN</t>
        </is>
      </c>
      <c r="E434" t="inlineStr">
        <is>
          <t>VIMMERBY</t>
        </is>
      </c>
      <c r="G434" t="n">
        <v>0.9</v>
      </c>
      <c r="H434" t="n">
        <v>0</v>
      </c>
      <c r="I434" t="n">
        <v>0</v>
      </c>
      <c r="J434" t="n">
        <v>0</v>
      </c>
      <c r="K434" t="n">
        <v>0</v>
      </c>
      <c r="L434" t="n">
        <v>0</v>
      </c>
      <c r="M434" t="n">
        <v>0</v>
      </c>
      <c r="N434" t="n">
        <v>0</v>
      </c>
      <c r="O434" t="n">
        <v>0</v>
      </c>
      <c r="P434" t="n">
        <v>0</v>
      </c>
      <c r="Q434" t="n">
        <v>0</v>
      </c>
      <c r="R434" s="2" t="inlineStr"/>
    </row>
    <row r="435" ht="15" customHeight="1">
      <c r="A435" t="inlineStr">
        <is>
          <t>A 27993-2022</t>
        </is>
      </c>
      <c r="B435" s="1" t="n">
        <v>44745.84396990741</v>
      </c>
      <c r="C435" s="1" t="n">
        <v>46017</v>
      </c>
      <c r="D435" t="inlineStr">
        <is>
          <t>KALMAR LÄN</t>
        </is>
      </c>
      <c r="E435" t="inlineStr">
        <is>
          <t>VIMMERBY</t>
        </is>
      </c>
      <c r="G435" t="n">
        <v>2.8</v>
      </c>
      <c r="H435" t="n">
        <v>0</v>
      </c>
      <c r="I435" t="n">
        <v>0</v>
      </c>
      <c r="J435" t="n">
        <v>0</v>
      </c>
      <c r="K435" t="n">
        <v>0</v>
      </c>
      <c r="L435" t="n">
        <v>0</v>
      </c>
      <c r="M435" t="n">
        <v>0</v>
      </c>
      <c r="N435" t="n">
        <v>0</v>
      </c>
      <c r="O435" t="n">
        <v>0</v>
      </c>
      <c r="P435" t="n">
        <v>0</v>
      </c>
      <c r="Q435" t="n">
        <v>0</v>
      </c>
      <c r="R435" s="2" t="inlineStr"/>
    </row>
    <row r="436" ht="15" customHeight="1">
      <c r="A436" t="inlineStr">
        <is>
          <t>A 39801-2025</t>
        </is>
      </c>
      <c r="B436" s="1" t="n">
        <v>45891.50216435185</v>
      </c>
      <c r="C436" s="1" t="n">
        <v>46017</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38969-2023</t>
        </is>
      </c>
      <c r="B437" s="1" t="n">
        <v>45163.63621527778</v>
      </c>
      <c r="C437" s="1" t="n">
        <v>46017</v>
      </c>
      <c r="D437" t="inlineStr">
        <is>
          <t>KALMAR LÄN</t>
        </is>
      </c>
      <c r="E437" t="inlineStr">
        <is>
          <t>VIMMERBY</t>
        </is>
      </c>
      <c r="F437" t="inlineStr">
        <is>
          <t>Sveaskog</t>
        </is>
      </c>
      <c r="G437" t="n">
        <v>2.4</v>
      </c>
      <c r="H437" t="n">
        <v>0</v>
      </c>
      <c r="I437" t="n">
        <v>0</v>
      </c>
      <c r="J437" t="n">
        <v>0</v>
      </c>
      <c r="K437" t="n">
        <v>0</v>
      </c>
      <c r="L437" t="n">
        <v>0</v>
      </c>
      <c r="M437" t="n">
        <v>0</v>
      </c>
      <c r="N437" t="n">
        <v>0</v>
      </c>
      <c r="O437" t="n">
        <v>0</v>
      </c>
      <c r="P437" t="n">
        <v>0</v>
      </c>
      <c r="Q437" t="n">
        <v>0</v>
      </c>
      <c r="R437" s="2" t="inlineStr"/>
    </row>
    <row r="438" ht="15" customHeight="1">
      <c r="A438" t="inlineStr">
        <is>
          <t>A 39807-2025</t>
        </is>
      </c>
      <c r="B438" s="1" t="n">
        <v>45891.50986111111</v>
      </c>
      <c r="C438" s="1" t="n">
        <v>46017</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53752-2024</t>
        </is>
      </c>
      <c r="B439" s="1" t="n">
        <v>45615.48927083334</v>
      </c>
      <c r="C439" s="1" t="n">
        <v>46017</v>
      </c>
      <c r="D439" t="inlineStr">
        <is>
          <t>KALMAR LÄN</t>
        </is>
      </c>
      <c r="E439" t="inlineStr">
        <is>
          <t>VIMMERBY</t>
        </is>
      </c>
      <c r="G439" t="n">
        <v>2.4</v>
      </c>
      <c r="H439" t="n">
        <v>0</v>
      </c>
      <c r="I439" t="n">
        <v>0</v>
      </c>
      <c r="J439" t="n">
        <v>0</v>
      </c>
      <c r="K439" t="n">
        <v>0</v>
      </c>
      <c r="L439" t="n">
        <v>0</v>
      </c>
      <c r="M439" t="n">
        <v>0</v>
      </c>
      <c r="N439" t="n">
        <v>0</v>
      </c>
      <c r="O439" t="n">
        <v>0</v>
      </c>
      <c r="P439" t="n">
        <v>0</v>
      </c>
      <c r="Q439" t="n">
        <v>0</v>
      </c>
      <c r="R439" s="2" t="inlineStr"/>
    </row>
    <row r="440" ht="15" customHeight="1">
      <c r="A440" t="inlineStr">
        <is>
          <t>A 39736-2025</t>
        </is>
      </c>
      <c r="B440" s="1" t="n">
        <v>45891</v>
      </c>
      <c r="C440" s="1" t="n">
        <v>46017</v>
      </c>
      <c r="D440" t="inlineStr">
        <is>
          <t>KALMAR LÄN</t>
        </is>
      </c>
      <c r="E440" t="inlineStr">
        <is>
          <t>VIMMERBY</t>
        </is>
      </c>
      <c r="G440" t="n">
        <v>12.8</v>
      </c>
      <c r="H440" t="n">
        <v>0</v>
      </c>
      <c r="I440" t="n">
        <v>0</v>
      </c>
      <c r="J440" t="n">
        <v>0</v>
      </c>
      <c r="K440" t="n">
        <v>0</v>
      </c>
      <c r="L440" t="n">
        <v>0</v>
      </c>
      <c r="M440" t="n">
        <v>0</v>
      </c>
      <c r="N440" t="n">
        <v>0</v>
      </c>
      <c r="O440" t="n">
        <v>0</v>
      </c>
      <c r="P440" t="n">
        <v>0</v>
      </c>
      <c r="Q440" t="n">
        <v>0</v>
      </c>
      <c r="R440" s="2" t="inlineStr"/>
    </row>
    <row r="441" ht="15" customHeight="1">
      <c r="A441" t="inlineStr">
        <is>
          <t>A 39803-2025</t>
        </is>
      </c>
      <c r="B441" s="1" t="n">
        <v>45891.50525462963</v>
      </c>
      <c r="C441" s="1" t="n">
        <v>46017</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1978-2024</t>
        </is>
      </c>
      <c r="B442" s="1" t="n">
        <v>45308.59001157407</v>
      </c>
      <c r="C442" s="1" t="n">
        <v>46017</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6399-2025</t>
        </is>
      </c>
      <c r="B443" s="1" t="n">
        <v>45699.44291666667</v>
      </c>
      <c r="C443" s="1" t="n">
        <v>46017</v>
      </c>
      <c r="D443" t="inlineStr">
        <is>
          <t>KALMAR LÄN</t>
        </is>
      </c>
      <c r="E443" t="inlineStr">
        <is>
          <t>VIMMERBY</t>
        </is>
      </c>
      <c r="G443" t="n">
        <v>3.1</v>
      </c>
      <c r="H443" t="n">
        <v>0</v>
      </c>
      <c r="I443" t="n">
        <v>0</v>
      </c>
      <c r="J443" t="n">
        <v>0</v>
      </c>
      <c r="K443" t="n">
        <v>0</v>
      </c>
      <c r="L443" t="n">
        <v>0</v>
      </c>
      <c r="M443" t="n">
        <v>0</v>
      </c>
      <c r="N443" t="n">
        <v>0</v>
      </c>
      <c r="O443" t="n">
        <v>0</v>
      </c>
      <c r="P443" t="n">
        <v>0</v>
      </c>
      <c r="Q443" t="n">
        <v>0</v>
      </c>
      <c r="R443" s="2" t="inlineStr"/>
    </row>
    <row r="444" ht="15" customHeight="1">
      <c r="A444" t="inlineStr">
        <is>
          <t>A 39889-2025</t>
        </is>
      </c>
      <c r="B444" s="1" t="n">
        <v>45891</v>
      </c>
      <c r="C444" s="1" t="n">
        <v>46017</v>
      </c>
      <c r="D444" t="inlineStr">
        <is>
          <t>KALMAR LÄN</t>
        </is>
      </c>
      <c r="E444" t="inlineStr">
        <is>
          <t>VIMMERBY</t>
        </is>
      </c>
      <c r="G444" t="n">
        <v>4.5</v>
      </c>
      <c r="H444" t="n">
        <v>0</v>
      </c>
      <c r="I444" t="n">
        <v>0</v>
      </c>
      <c r="J444" t="n">
        <v>0</v>
      </c>
      <c r="K444" t="n">
        <v>0</v>
      </c>
      <c r="L444" t="n">
        <v>0</v>
      </c>
      <c r="M444" t="n">
        <v>0</v>
      </c>
      <c r="N444" t="n">
        <v>0</v>
      </c>
      <c r="O444" t="n">
        <v>0</v>
      </c>
      <c r="P444" t="n">
        <v>0</v>
      </c>
      <c r="Q444" t="n">
        <v>0</v>
      </c>
      <c r="R444" s="2" t="inlineStr"/>
    </row>
    <row r="445" ht="15" customHeight="1">
      <c r="A445" t="inlineStr">
        <is>
          <t>A 41311-2023</t>
        </is>
      </c>
      <c r="B445" s="1" t="n">
        <v>45174</v>
      </c>
      <c r="C445" s="1" t="n">
        <v>46017</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13015-2023</t>
        </is>
      </c>
      <c r="B446" s="1" t="n">
        <v>45002</v>
      </c>
      <c r="C446" s="1" t="n">
        <v>46017</v>
      </c>
      <c r="D446" t="inlineStr">
        <is>
          <t>KALMAR LÄN</t>
        </is>
      </c>
      <c r="E446" t="inlineStr">
        <is>
          <t>VIMMERBY</t>
        </is>
      </c>
      <c r="G446" t="n">
        <v>3.2</v>
      </c>
      <c r="H446" t="n">
        <v>0</v>
      </c>
      <c r="I446" t="n">
        <v>0</v>
      </c>
      <c r="J446" t="n">
        <v>0</v>
      </c>
      <c r="K446" t="n">
        <v>0</v>
      </c>
      <c r="L446" t="n">
        <v>0</v>
      </c>
      <c r="M446" t="n">
        <v>0</v>
      </c>
      <c r="N446" t="n">
        <v>0</v>
      </c>
      <c r="O446" t="n">
        <v>0</v>
      </c>
      <c r="P446" t="n">
        <v>0</v>
      </c>
      <c r="Q446" t="n">
        <v>0</v>
      </c>
      <c r="R446" s="2" t="inlineStr"/>
    </row>
    <row r="447" ht="15" customHeight="1">
      <c r="A447" t="inlineStr">
        <is>
          <t>A 58728-2024</t>
        </is>
      </c>
      <c r="B447" s="1" t="n">
        <v>45635.66695601852</v>
      </c>
      <c r="C447" s="1" t="n">
        <v>46017</v>
      </c>
      <c r="D447" t="inlineStr">
        <is>
          <t>KALMAR LÄN</t>
        </is>
      </c>
      <c r="E447" t="inlineStr">
        <is>
          <t>VIMMERBY</t>
        </is>
      </c>
      <c r="G447" t="n">
        <v>0.4</v>
      </c>
      <c r="H447" t="n">
        <v>0</v>
      </c>
      <c r="I447" t="n">
        <v>0</v>
      </c>
      <c r="J447" t="n">
        <v>0</v>
      </c>
      <c r="K447" t="n">
        <v>0</v>
      </c>
      <c r="L447" t="n">
        <v>0</v>
      </c>
      <c r="M447" t="n">
        <v>0</v>
      </c>
      <c r="N447" t="n">
        <v>0</v>
      </c>
      <c r="O447" t="n">
        <v>0</v>
      </c>
      <c r="P447" t="n">
        <v>0</v>
      </c>
      <c r="Q447" t="n">
        <v>0</v>
      </c>
      <c r="R447" s="2" t="inlineStr"/>
    </row>
    <row r="448" ht="15" customHeight="1">
      <c r="A448" t="inlineStr">
        <is>
          <t>A 43242-2024</t>
        </is>
      </c>
      <c r="B448" s="1" t="n">
        <v>45568.30189814815</v>
      </c>
      <c r="C448" s="1" t="n">
        <v>46017</v>
      </c>
      <c r="D448" t="inlineStr">
        <is>
          <t>KALMAR LÄN</t>
        </is>
      </c>
      <c r="E448" t="inlineStr">
        <is>
          <t>VIMMERBY</t>
        </is>
      </c>
      <c r="G448" t="n">
        <v>2.6</v>
      </c>
      <c r="H448" t="n">
        <v>0</v>
      </c>
      <c r="I448" t="n">
        <v>0</v>
      </c>
      <c r="J448" t="n">
        <v>0</v>
      </c>
      <c r="K448" t="n">
        <v>0</v>
      </c>
      <c r="L448" t="n">
        <v>0</v>
      </c>
      <c r="M448" t="n">
        <v>0</v>
      </c>
      <c r="N448" t="n">
        <v>0</v>
      </c>
      <c r="O448" t="n">
        <v>0</v>
      </c>
      <c r="P448" t="n">
        <v>0</v>
      </c>
      <c r="Q448" t="n">
        <v>0</v>
      </c>
      <c r="R448" s="2" t="inlineStr"/>
    </row>
    <row r="449" ht="15" customHeight="1">
      <c r="A449" t="inlineStr">
        <is>
          <t>A 16983-2023</t>
        </is>
      </c>
      <c r="B449" s="1" t="n">
        <v>45033.76043981482</v>
      </c>
      <c r="C449" s="1" t="n">
        <v>46017</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10785-2025</t>
        </is>
      </c>
      <c r="B450" s="1" t="n">
        <v>45722.48634259259</v>
      </c>
      <c r="C450" s="1" t="n">
        <v>46017</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6405-2025</t>
        </is>
      </c>
      <c r="B451" s="1" t="n">
        <v>45699.45392361111</v>
      </c>
      <c r="C451" s="1" t="n">
        <v>46017</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36843-2023</t>
        </is>
      </c>
      <c r="B452" s="1" t="n">
        <v>45154.49831018518</v>
      </c>
      <c r="C452" s="1" t="n">
        <v>46017</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40970-2025</t>
        </is>
      </c>
      <c r="B453" s="1" t="n">
        <v>45897.88706018519</v>
      </c>
      <c r="C453" s="1" t="n">
        <v>46017</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40973-2025</t>
        </is>
      </c>
      <c r="B454" s="1" t="n">
        <v>45897.89737268518</v>
      </c>
      <c r="C454" s="1" t="n">
        <v>46017</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57486-2024</t>
        </is>
      </c>
      <c r="B455" s="1" t="n">
        <v>45630.35827546296</v>
      </c>
      <c r="C455" s="1" t="n">
        <v>46017</v>
      </c>
      <c r="D455" t="inlineStr">
        <is>
          <t>KALMAR LÄN</t>
        </is>
      </c>
      <c r="E455" t="inlineStr">
        <is>
          <t>VIMMERBY</t>
        </is>
      </c>
      <c r="G455" t="n">
        <v>0.4</v>
      </c>
      <c r="H455" t="n">
        <v>0</v>
      </c>
      <c r="I455" t="n">
        <v>0</v>
      </c>
      <c r="J455" t="n">
        <v>0</v>
      </c>
      <c r="K455" t="n">
        <v>0</v>
      </c>
      <c r="L455" t="n">
        <v>0</v>
      </c>
      <c r="M455" t="n">
        <v>0</v>
      </c>
      <c r="N455" t="n">
        <v>0</v>
      </c>
      <c r="O455" t="n">
        <v>0</v>
      </c>
      <c r="P455" t="n">
        <v>0</v>
      </c>
      <c r="Q455" t="n">
        <v>0</v>
      </c>
      <c r="R455" s="2" t="inlineStr"/>
    </row>
    <row r="456" ht="15" customHeight="1">
      <c r="A456" t="inlineStr">
        <is>
          <t>A 41224-2025</t>
        </is>
      </c>
      <c r="B456" s="1" t="n">
        <v>45898.58861111111</v>
      </c>
      <c r="C456" s="1" t="n">
        <v>46017</v>
      </c>
      <c r="D456" t="inlineStr">
        <is>
          <t>KALMAR LÄN</t>
        </is>
      </c>
      <c r="E456" t="inlineStr">
        <is>
          <t>VIMMERBY</t>
        </is>
      </c>
      <c r="G456" t="n">
        <v>4.4</v>
      </c>
      <c r="H456" t="n">
        <v>0</v>
      </c>
      <c r="I456" t="n">
        <v>0</v>
      </c>
      <c r="J456" t="n">
        <v>0</v>
      </c>
      <c r="K456" t="n">
        <v>0</v>
      </c>
      <c r="L456" t="n">
        <v>0</v>
      </c>
      <c r="M456" t="n">
        <v>0</v>
      </c>
      <c r="N456" t="n">
        <v>0</v>
      </c>
      <c r="O456" t="n">
        <v>0</v>
      </c>
      <c r="P456" t="n">
        <v>0</v>
      </c>
      <c r="Q456" t="n">
        <v>0</v>
      </c>
      <c r="R456" s="2" t="inlineStr"/>
    </row>
    <row r="457" ht="15" customHeight="1">
      <c r="A457" t="inlineStr">
        <is>
          <t>A 18020-2025</t>
        </is>
      </c>
      <c r="B457" s="1" t="n">
        <v>45761.4437962963</v>
      </c>
      <c r="C457" s="1" t="n">
        <v>46017</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585-2024</t>
        </is>
      </c>
      <c r="B458" s="1" t="n">
        <v>45299.62576388889</v>
      </c>
      <c r="C458" s="1" t="n">
        <v>46017</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44423-2023</t>
        </is>
      </c>
      <c r="B459" s="1" t="n">
        <v>45189</v>
      </c>
      <c r="C459" s="1" t="n">
        <v>46017</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20-2025</t>
        </is>
      </c>
      <c r="B460" s="1" t="n">
        <v>45658.80232638889</v>
      </c>
      <c r="C460" s="1" t="n">
        <v>46017</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23-2025</t>
        </is>
      </c>
      <c r="B461" s="1" t="n">
        <v>45658.80827546296</v>
      </c>
      <c r="C461" s="1" t="n">
        <v>46017</v>
      </c>
      <c r="D461" t="inlineStr">
        <is>
          <t>KALMAR LÄN</t>
        </is>
      </c>
      <c r="E461" t="inlineStr">
        <is>
          <t>VIMMERBY</t>
        </is>
      </c>
      <c r="G461" t="n">
        <v>1.8</v>
      </c>
      <c r="H461" t="n">
        <v>0</v>
      </c>
      <c r="I461" t="n">
        <v>0</v>
      </c>
      <c r="J461" t="n">
        <v>0</v>
      </c>
      <c r="K461" t="n">
        <v>0</v>
      </c>
      <c r="L461" t="n">
        <v>0</v>
      </c>
      <c r="M461" t="n">
        <v>0</v>
      </c>
      <c r="N461" t="n">
        <v>0</v>
      </c>
      <c r="O461" t="n">
        <v>0</v>
      </c>
      <c r="P461" t="n">
        <v>0</v>
      </c>
      <c r="Q461" t="n">
        <v>0</v>
      </c>
      <c r="R461" s="2" t="inlineStr"/>
    </row>
    <row r="462" ht="15" customHeight="1">
      <c r="A462" t="inlineStr">
        <is>
          <t>A 21496-2023</t>
        </is>
      </c>
      <c r="B462" s="1" t="n">
        <v>45063.49936342592</v>
      </c>
      <c r="C462" s="1" t="n">
        <v>46017</v>
      </c>
      <c r="D462" t="inlineStr">
        <is>
          <t>KALMAR LÄN</t>
        </is>
      </c>
      <c r="E462" t="inlineStr">
        <is>
          <t>VIMMERBY</t>
        </is>
      </c>
      <c r="G462" t="n">
        <v>1.1</v>
      </c>
      <c r="H462" t="n">
        <v>0</v>
      </c>
      <c r="I462" t="n">
        <v>0</v>
      </c>
      <c r="J462" t="n">
        <v>0</v>
      </c>
      <c r="K462" t="n">
        <v>0</v>
      </c>
      <c r="L462" t="n">
        <v>0</v>
      </c>
      <c r="M462" t="n">
        <v>0</v>
      </c>
      <c r="N462" t="n">
        <v>0</v>
      </c>
      <c r="O462" t="n">
        <v>0</v>
      </c>
      <c r="P462" t="n">
        <v>0</v>
      </c>
      <c r="Q462" t="n">
        <v>0</v>
      </c>
      <c r="R462" s="2" t="inlineStr"/>
    </row>
    <row r="463" ht="15" customHeight="1">
      <c r="A463" t="inlineStr">
        <is>
          <t>A 6802-2025</t>
        </is>
      </c>
      <c r="B463" s="1" t="n">
        <v>45700.68289351852</v>
      </c>
      <c r="C463" s="1" t="n">
        <v>46017</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40925-2025</t>
        </is>
      </c>
      <c r="B464" s="1" t="n">
        <v>45897.64208333333</v>
      </c>
      <c r="C464" s="1" t="n">
        <v>46017</v>
      </c>
      <c r="D464" t="inlineStr">
        <is>
          <t>KALMAR LÄN</t>
        </is>
      </c>
      <c r="E464" t="inlineStr">
        <is>
          <t>VIMMERBY</t>
        </is>
      </c>
      <c r="G464" t="n">
        <v>1.9</v>
      </c>
      <c r="H464" t="n">
        <v>0</v>
      </c>
      <c r="I464" t="n">
        <v>0</v>
      </c>
      <c r="J464" t="n">
        <v>0</v>
      </c>
      <c r="K464" t="n">
        <v>0</v>
      </c>
      <c r="L464" t="n">
        <v>0</v>
      </c>
      <c r="M464" t="n">
        <v>0</v>
      </c>
      <c r="N464" t="n">
        <v>0</v>
      </c>
      <c r="O464" t="n">
        <v>0</v>
      </c>
      <c r="P464" t="n">
        <v>0</v>
      </c>
      <c r="Q464" t="n">
        <v>0</v>
      </c>
      <c r="R464" s="2" t="inlineStr"/>
    </row>
    <row r="465" ht="15" customHeight="1">
      <c r="A465" t="inlineStr">
        <is>
          <t>A 31056-2022</t>
        </is>
      </c>
      <c r="B465" s="1" t="n">
        <v>44769.45805555556</v>
      </c>
      <c r="C465" s="1" t="n">
        <v>46017</v>
      </c>
      <c r="D465" t="inlineStr">
        <is>
          <t>KALMAR LÄN</t>
        </is>
      </c>
      <c r="E465" t="inlineStr">
        <is>
          <t>VIMMERBY</t>
        </is>
      </c>
      <c r="G465" t="n">
        <v>2</v>
      </c>
      <c r="H465" t="n">
        <v>0</v>
      </c>
      <c r="I465" t="n">
        <v>0</v>
      </c>
      <c r="J465" t="n">
        <v>0</v>
      </c>
      <c r="K465" t="n">
        <v>0</v>
      </c>
      <c r="L465" t="n">
        <v>0</v>
      </c>
      <c r="M465" t="n">
        <v>0</v>
      </c>
      <c r="N465" t="n">
        <v>0</v>
      </c>
      <c r="O465" t="n">
        <v>0</v>
      </c>
      <c r="P465" t="n">
        <v>0</v>
      </c>
      <c r="Q465" t="n">
        <v>0</v>
      </c>
      <c r="R465" s="2" t="inlineStr"/>
    </row>
    <row r="466" ht="15" customHeight="1">
      <c r="A466" t="inlineStr">
        <is>
          <t>A 40921-2025</t>
        </is>
      </c>
      <c r="B466" s="1" t="n">
        <v>45897.63520833333</v>
      </c>
      <c r="C466" s="1" t="n">
        <v>46017</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41199-2023</t>
        </is>
      </c>
      <c r="B467" s="1" t="n">
        <v>45174.40454861111</v>
      </c>
      <c r="C467" s="1" t="n">
        <v>46017</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40971-2025</t>
        </is>
      </c>
      <c r="B468" s="1" t="n">
        <v>45897.88836805556</v>
      </c>
      <c r="C468" s="1" t="n">
        <v>46017</v>
      </c>
      <c r="D468" t="inlineStr">
        <is>
          <t>KALMAR LÄN</t>
        </is>
      </c>
      <c r="E468" t="inlineStr">
        <is>
          <t>VIMMERBY</t>
        </is>
      </c>
      <c r="G468" t="n">
        <v>1.5</v>
      </c>
      <c r="H468" t="n">
        <v>0</v>
      </c>
      <c r="I468" t="n">
        <v>0</v>
      </c>
      <c r="J468" t="n">
        <v>0</v>
      </c>
      <c r="K468" t="n">
        <v>0</v>
      </c>
      <c r="L468" t="n">
        <v>0</v>
      </c>
      <c r="M468" t="n">
        <v>0</v>
      </c>
      <c r="N468" t="n">
        <v>0</v>
      </c>
      <c r="O468" t="n">
        <v>0</v>
      </c>
      <c r="P468" t="n">
        <v>0</v>
      </c>
      <c r="Q468" t="n">
        <v>0</v>
      </c>
      <c r="R468" s="2" t="inlineStr"/>
    </row>
    <row r="469" ht="15" customHeight="1">
      <c r="A469" t="inlineStr">
        <is>
          <t>A 56020-2024</t>
        </is>
      </c>
      <c r="B469" s="1" t="n">
        <v>45623.9525462963</v>
      </c>
      <c r="C469" s="1" t="n">
        <v>46017</v>
      </c>
      <c r="D469" t="inlineStr">
        <is>
          <t>KALMAR LÄN</t>
        </is>
      </c>
      <c r="E469" t="inlineStr">
        <is>
          <t>VIMMERBY</t>
        </is>
      </c>
      <c r="G469" t="n">
        <v>1</v>
      </c>
      <c r="H469" t="n">
        <v>0</v>
      </c>
      <c r="I469" t="n">
        <v>0</v>
      </c>
      <c r="J469" t="n">
        <v>0</v>
      </c>
      <c r="K469" t="n">
        <v>0</v>
      </c>
      <c r="L469" t="n">
        <v>0</v>
      </c>
      <c r="M469" t="n">
        <v>0</v>
      </c>
      <c r="N469" t="n">
        <v>0</v>
      </c>
      <c r="O469" t="n">
        <v>0</v>
      </c>
      <c r="P469" t="n">
        <v>0</v>
      </c>
      <c r="Q469" t="n">
        <v>0</v>
      </c>
      <c r="R469" s="2" t="inlineStr"/>
    </row>
    <row r="470" ht="15" customHeight="1">
      <c r="A470" t="inlineStr">
        <is>
          <t>A 33842-2022</t>
        </is>
      </c>
      <c r="B470" s="1" t="n">
        <v>44790.49523148148</v>
      </c>
      <c r="C470" s="1" t="n">
        <v>46017</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60675-2023</t>
        </is>
      </c>
      <c r="B471" s="1" t="n">
        <v>45260.4716550926</v>
      </c>
      <c r="C471" s="1" t="n">
        <v>46017</v>
      </c>
      <c r="D471" t="inlineStr">
        <is>
          <t>KALMAR LÄN</t>
        </is>
      </c>
      <c r="E471" t="inlineStr">
        <is>
          <t>VIMMERBY</t>
        </is>
      </c>
      <c r="G471" t="n">
        <v>1.2</v>
      </c>
      <c r="H471" t="n">
        <v>0</v>
      </c>
      <c r="I471" t="n">
        <v>0</v>
      </c>
      <c r="J471" t="n">
        <v>0</v>
      </c>
      <c r="K471" t="n">
        <v>0</v>
      </c>
      <c r="L471" t="n">
        <v>0</v>
      </c>
      <c r="M471" t="n">
        <v>0</v>
      </c>
      <c r="N471" t="n">
        <v>0</v>
      </c>
      <c r="O471" t="n">
        <v>0</v>
      </c>
      <c r="P471" t="n">
        <v>0</v>
      </c>
      <c r="Q471" t="n">
        <v>0</v>
      </c>
      <c r="R471" s="2" t="inlineStr"/>
    </row>
    <row r="472" ht="15" customHeight="1">
      <c r="A472" t="inlineStr">
        <is>
          <t>A 36014-2024</t>
        </is>
      </c>
      <c r="B472" s="1" t="n">
        <v>45533.56108796296</v>
      </c>
      <c r="C472" s="1" t="n">
        <v>46017</v>
      </c>
      <c r="D472" t="inlineStr">
        <is>
          <t>KALMAR LÄN</t>
        </is>
      </c>
      <c r="E472" t="inlineStr">
        <is>
          <t>VIMMERBY</t>
        </is>
      </c>
      <c r="G472" t="n">
        <v>2.3</v>
      </c>
      <c r="H472" t="n">
        <v>0</v>
      </c>
      <c r="I472" t="n">
        <v>0</v>
      </c>
      <c r="J472" t="n">
        <v>0</v>
      </c>
      <c r="K472" t="n">
        <v>0</v>
      </c>
      <c r="L472" t="n">
        <v>0</v>
      </c>
      <c r="M472" t="n">
        <v>0</v>
      </c>
      <c r="N472" t="n">
        <v>0</v>
      </c>
      <c r="O472" t="n">
        <v>0</v>
      </c>
      <c r="P472" t="n">
        <v>0</v>
      </c>
      <c r="Q472" t="n">
        <v>0</v>
      </c>
      <c r="R472" s="2" t="inlineStr"/>
    </row>
    <row r="473" ht="15" customHeight="1">
      <c r="A473" t="inlineStr">
        <is>
          <t>A 36030-2024</t>
        </is>
      </c>
      <c r="B473" s="1" t="n">
        <v>45533.58302083334</v>
      </c>
      <c r="C473" s="1" t="n">
        <v>46017</v>
      </c>
      <c r="D473" t="inlineStr">
        <is>
          <t>KALMAR LÄN</t>
        </is>
      </c>
      <c r="E473" t="inlineStr">
        <is>
          <t>VIMMERBY</t>
        </is>
      </c>
      <c r="F473" t="inlineStr">
        <is>
          <t>Kommuner</t>
        </is>
      </c>
      <c r="G473" t="n">
        <v>4</v>
      </c>
      <c r="H473" t="n">
        <v>0</v>
      </c>
      <c r="I473" t="n">
        <v>0</v>
      </c>
      <c r="J473" t="n">
        <v>0</v>
      </c>
      <c r="K473" t="n">
        <v>0</v>
      </c>
      <c r="L473" t="n">
        <v>0</v>
      </c>
      <c r="M473" t="n">
        <v>0</v>
      </c>
      <c r="N473" t="n">
        <v>0</v>
      </c>
      <c r="O473" t="n">
        <v>0</v>
      </c>
      <c r="P473" t="n">
        <v>0</v>
      </c>
      <c r="Q473" t="n">
        <v>0</v>
      </c>
      <c r="R473" s="2" t="inlineStr"/>
    </row>
    <row r="474" ht="15" customHeight="1">
      <c r="A474" t="inlineStr">
        <is>
          <t>A 40095-2022</t>
        </is>
      </c>
      <c r="B474" s="1" t="n">
        <v>44820</v>
      </c>
      <c r="C474" s="1" t="n">
        <v>46017</v>
      </c>
      <c r="D474" t="inlineStr">
        <is>
          <t>KALMAR LÄN</t>
        </is>
      </c>
      <c r="E474" t="inlineStr">
        <is>
          <t>VIMMERBY</t>
        </is>
      </c>
      <c r="G474" t="n">
        <v>2.4</v>
      </c>
      <c r="H474" t="n">
        <v>0</v>
      </c>
      <c r="I474" t="n">
        <v>0</v>
      </c>
      <c r="J474" t="n">
        <v>0</v>
      </c>
      <c r="K474" t="n">
        <v>0</v>
      </c>
      <c r="L474" t="n">
        <v>0</v>
      </c>
      <c r="M474" t="n">
        <v>0</v>
      </c>
      <c r="N474" t="n">
        <v>0</v>
      </c>
      <c r="O474" t="n">
        <v>0</v>
      </c>
      <c r="P474" t="n">
        <v>0</v>
      </c>
      <c r="Q474" t="n">
        <v>0</v>
      </c>
      <c r="R474" s="2" t="inlineStr"/>
    </row>
    <row r="475" ht="15" customHeight="1">
      <c r="A475" t="inlineStr">
        <is>
          <t>A 41591-2025</t>
        </is>
      </c>
      <c r="B475" s="1" t="n">
        <v>45901.6327662037</v>
      </c>
      <c r="C475" s="1" t="n">
        <v>46017</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19537-2022</t>
        </is>
      </c>
      <c r="B476" s="1" t="n">
        <v>44693.62822916666</v>
      </c>
      <c r="C476" s="1" t="n">
        <v>46017</v>
      </c>
      <c r="D476" t="inlineStr">
        <is>
          <t>KALMAR LÄN</t>
        </is>
      </c>
      <c r="E476" t="inlineStr">
        <is>
          <t>VIMMERBY</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72701-2021</t>
        </is>
      </c>
      <c r="B477" s="1" t="n">
        <v>44546</v>
      </c>
      <c r="C477" s="1" t="n">
        <v>46017</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52294-2023</t>
        </is>
      </c>
      <c r="B478" s="1" t="n">
        <v>45224.60075231481</v>
      </c>
      <c r="C478" s="1" t="n">
        <v>46017</v>
      </c>
      <c r="D478" t="inlineStr">
        <is>
          <t>KALMAR LÄN</t>
        </is>
      </c>
      <c r="E478" t="inlineStr">
        <is>
          <t>VIMMERBY</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41589-2025</t>
        </is>
      </c>
      <c r="B479" s="1" t="n">
        <v>45901.63219907408</v>
      </c>
      <c r="C479" s="1" t="n">
        <v>46017</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61355-2024</t>
        </is>
      </c>
      <c r="B480" s="1" t="n">
        <v>45646.38200231481</v>
      </c>
      <c r="C480" s="1" t="n">
        <v>46017</v>
      </c>
      <c r="D480" t="inlineStr">
        <is>
          <t>KALMAR LÄN</t>
        </is>
      </c>
      <c r="E480" t="inlineStr">
        <is>
          <t>VIMMERBY</t>
        </is>
      </c>
      <c r="G480" t="n">
        <v>2.7</v>
      </c>
      <c r="H480" t="n">
        <v>0</v>
      </c>
      <c r="I480" t="n">
        <v>0</v>
      </c>
      <c r="J480" t="n">
        <v>0</v>
      </c>
      <c r="K480" t="n">
        <v>0</v>
      </c>
      <c r="L480" t="n">
        <v>0</v>
      </c>
      <c r="M480" t="n">
        <v>0</v>
      </c>
      <c r="N480" t="n">
        <v>0</v>
      </c>
      <c r="O480" t="n">
        <v>0</v>
      </c>
      <c r="P480" t="n">
        <v>0</v>
      </c>
      <c r="Q480" t="n">
        <v>0</v>
      </c>
      <c r="R480" s="2" t="inlineStr"/>
    </row>
    <row r="481" ht="15" customHeight="1">
      <c r="A481" t="inlineStr">
        <is>
          <t>A 57311-2023</t>
        </is>
      </c>
      <c r="B481" s="1" t="n">
        <v>45245.63574074074</v>
      </c>
      <c r="C481" s="1" t="n">
        <v>46017</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64428-2023</t>
        </is>
      </c>
      <c r="B482" s="1" t="n">
        <v>45280.66769675926</v>
      </c>
      <c r="C482" s="1" t="n">
        <v>46017</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4527-2023</t>
        </is>
      </c>
      <c r="B483" s="1" t="n">
        <v>44956</v>
      </c>
      <c r="C483" s="1" t="n">
        <v>46017</v>
      </c>
      <c r="D483" t="inlineStr">
        <is>
          <t>KALMAR LÄN</t>
        </is>
      </c>
      <c r="E483" t="inlineStr">
        <is>
          <t>VIMMERBY</t>
        </is>
      </c>
      <c r="F483" t="inlineStr">
        <is>
          <t>Kommuner</t>
        </is>
      </c>
      <c r="G483" t="n">
        <v>8.5</v>
      </c>
      <c r="H483" t="n">
        <v>0</v>
      </c>
      <c r="I483" t="n">
        <v>0</v>
      </c>
      <c r="J483" t="n">
        <v>0</v>
      </c>
      <c r="K483" t="n">
        <v>0</v>
      </c>
      <c r="L483" t="n">
        <v>0</v>
      </c>
      <c r="M483" t="n">
        <v>0</v>
      </c>
      <c r="N483" t="n">
        <v>0</v>
      </c>
      <c r="O483" t="n">
        <v>0</v>
      </c>
      <c r="P483" t="n">
        <v>0</v>
      </c>
      <c r="Q483" t="n">
        <v>0</v>
      </c>
      <c r="R483" s="2" t="inlineStr"/>
    </row>
    <row r="484" ht="15" customHeight="1">
      <c r="A484" t="inlineStr">
        <is>
          <t>A 33374-2021</t>
        </is>
      </c>
      <c r="B484" s="1" t="n">
        <v>44377</v>
      </c>
      <c r="C484" s="1" t="n">
        <v>46017</v>
      </c>
      <c r="D484" t="inlineStr">
        <is>
          <t>KALMAR LÄN</t>
        </is>
      </c>
      <c r="E484" t="inlineStr">
        <is>
          <t>VIMMERBY</t>
        </is>
      </c>
      <c r="G484" t="n">
        <v>3.3</v>
      </c>
      <c r="H484" t="n">
        <v>0</v>
      </c>
      <c r="I484" t="n">
        <v>0</v>
      </c>
      <c r="J484" t="n">
        <v>0</v>
      </c>
      <c r="K484" t="n">
        <v>0</v>
      </c>
      <c r="L484" t="n">
        <v>0</v>
      </c>
      <c r="M484" t="n">
        <v>0</v>
      </c>
      <c r="N484" t="n">
        <v>0</v>
      </c>
      <c r="O484" t="n">
        <v>0</v>
      </c>
      <c r="P484" t="n">
        <v>0</v>
      </c>
      <c r="Q484" t="n">
        <v>0</v>
      </c>
      <c r="R484" s="2" t="inlineStr"/>
    </row>
    <row r="485" ht="15" customHeight="1">
      <c r="A485" t="inlineStr">
        <is>
          <t>A 3268-2024</t>
        </is>
      </c>
      <c r="B485" s="1" t="n">
        <v>45317</v>
      </c>
      <c r="C485" s="1" t="n">
        <v>46017</v>
      </c>
      <c r="D485" t="inlineStr">
        <is>
          <t>KALMAR LÄN</t>
        </is>
      </c>
      <c r="E485" t="inlineStr">
        <is>
          <t>VIMMERBY</t>
        </is>
      </c>
      <c r="F485" t="inlineStr">
        <is>
          <t>Övriga Aktiebolag</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10759-2023</t>
        </is>
      </c>
      <c r="B486" s="1" t="n">
        <v>44988</v>
      </c>
      <c r="C486" s="1" t="n">
        <v>46017</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18899-2025</t>
        </is>
      </c>
      <c r="B487" s="1" t="n">
        <v>45764.44931712963</v>
      </c>
      <c r="C487" s="1" t="n">
        <v>46017</v>
      </c>
      <c r="D487" t="inlineStr">
        <is>
          <t>KALMAR LÄN</t>
        </is>
      </c>
      <c r="E487" t="inlineStr">
        <is>
          <t>VIMMERBY</t>
        </is>
      </c>
      <c r="F487" t="inlineStr">
        <is>
          <t>Kommuner</t>
        </is>
      </c>
      <c r="G487" t="n">
        <v>4</v>
      </c>
      <c r="H487" t="n">
        <v>0</v>
      </c>
      <c r="I487" t="n">
        <v>0</v>
      </c>
      <c r="J487" t="n">
        <v>0</v>
      </c>
      <c r="K487" t="n">
        <v>0</v>
      </c>
      <c r="L487" t="n">
        <v>0</v>
      </c>
      <c r="M487" t="n">
        <v>0</v>
      </c>
      <c r="N487" t="n">
        <v>0</v>
      </c>
      <c r="O487" t="n">
        <v>0</v>
      </c>
      <c r="P487" t="n">
        <v>0</v>
      </c>
      <c r="Q487" t="n">
        <v>0</v>
      </c>
      <c r="R487" s="2" t="inlineStr"/>
    </row>
    <row r="488" ht="15" customHeight="1">
      <c r="A488" t="inlineStr">
        <is>
          <t>A 34090-2025</t>
        </is>
      </c>
      <c r="B488" s="1" t="n">
        <v>45845</v>
      </c>
      <c r="C488" s="1" t="n">
        <v>46017</v>
      </c>
      <c r="D488" t="inlineStr">
        <is>
          <t>KALMAR LÄN</t>
        </is>
      </c>
      <c r="E488" t="inlineStr">
        <is>
          <t>VIMMERBY</t>
        </is>
      </c>
      <c r="G488" t="n">
        <v>2.8</v>
      </c>
      <c r="H488" t="n">
        <v>0</v>
      </c>
      <c r="I488" t="n">
        <v>0</v>
      </c>
      <c r="J488" t="n">
        <v>0</v>
      </c>
      <c r="K488" t="n">
        <v>0</v>
      </c>
      <c r="L488" t="n">
        <v>0</v>
      </c>
      <c r="M488" t="n">
        <v>0</v>
      </c>
      <c r="N488" t="n">
        <v>0</v>
      </c>
      <c r="O488" t="n">
        <v>0</v>
      </c>
      <c r="P488" t="n">
        <v>0</v>
      </c>
      <c r="Q488" t="n">
        <v>0</v>
      </c>
      <c r="R488" s="2" t="inlineStr"/>
    </row>
    <row r="489" ht="15" customHeight="1">
      <c r="A489" t="inlineStr">
        <is>
          <t>A 51408-2023</t>
        </is>
      </c>
      <c r="B489" s="1" t="n">
        <v>45219.69356481481</v>
      </c>
      <c r="C489" s="1" t="n">
        <v>46017</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41735-2025</t>
        </is>
      </c>
      <c r="B490" s="1" t="n">
        <v>45902.47164351852</v>
      </c>
      <c r="C490" s="1" t="n">
        <v>46017</v>
      </c>
      <c r="D490" t="inlineStr">
        <is>
          <t>KALMAR LÄN</t>
        </is>
      </c>
      <c r="E490" t="inlineStr">
        <is>
          <t>VIMMERBY</t>
        </is>
      </c>
      <c r="G490" t="n">
        <v>3</v>
      </c>
      <c r="H490" t="n">
        <v>0</v>
      </c>
      <c r="I490" t="n">
        <v>0</v>
      </c>
      <c r="J490" t="n">
        <v>0</v>
      </c>
      <c r="K490" t="n">
        <v>0</v>
      </c>
      <c r="L490" t="n">
        <v>0</v>
      </c>
      <c r="M490" t="n">
        <v>0</v>
      </c>
      <c r="N490" t="n">
        <v>0</v>
      </c>
      <c r="O490" t="n">
        <v>0</v>
      </c>
      <c r="P490" t="n">
        <v>0</v>
      </c>
      <c r="Q490" t="n">
        <v>0</v>
      </c>
      <c r="R490" s="2" t="inlineStr"/>
    </row>
    <row r="491" ht="15" customHeight="1">
      <c r="A491" t="inlineStr">
        <is>
          <t>A 12586-2021</t>
        </is>
      </c>
      <c r="B491" s="1" t="n">
        <v>44270.38002314815</v>
      </c>
      <c r="C491" s="1" t="n">
        <v>46017</v>
      </c>
      <c r="D491" t="inlineStr">
        <is>
          <t>KALMAR LÄN</t>
        </is>
      </c>
      <c r="E491" t="inlineStr">
        <is>
          <t>VIMMERBY</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12480-2024</t>
        </is>
      </c>
      <c r="B492" s="1" t="n">
        <v>45379</v>
      </c>
      <c r="C492" s="1" t="n">
        <v>46017</v>
      </c>
      <c r="D492" t="inlineStr">
        <is>
          <t>KALMAR LÄN</t>
        </is>
      </c>
      <c r="E492" t="inlineStr">
        <is>
          <t>VIMMERBY</t>
        </is>
      </c>
      <c r="G492" t="n">
        <v>2.8</v>
      </c>
      <c r="H492" t="n">
        <v>0</v>
      </c>
      <c r="I492" t="n">
        <v>0</v>
      </c>
      <c r="J492" t="n">
        <v>0</v>
      </c>
      <c r="K492" t="n">
        <v>0</v>
      </c>
      <c r="L492" t="n">
        <v>0</v>
      </c>
      <c r="M492" t="n">
        <v>0</v>
      </c>
      <c r="N492" t="n">
        <v>0</v>
      </c>
      <c r="O492" t="n">
        <v>0</v>
      </c>
      <c r="P492" t="n">
        <v>0</v>
      </c>
      <c r="Q492" t="n">
        <v>0</v>
      </c>
      <c r="R492" s="2" t="inlineStr"/>
    </row>
    <row r="493" ht="15" customHeight="1">
      <c r="A493" t="inlineStr">
        <is>
          <t>A 52588-2023</t>
        </is>
      </c>
      <c r="B493" s="1" t="n">
        <v>45225.60192129629</v>
      </c>
      <c r="C493" s="1" t="n">
        <v>46017</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55236-2023</t>
        </is>
      </c>
      <c r="B494" s="1" t="n">
        <v>45237.63225694445</v>
      </c>
      <c r="C494" s="1" t="n">
        <v>46017</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55245-2023</t>
        </is>
      </c>
      <c r="B495" s="1" t="n">
        <v>45237.64408564815</v>
      </c>
      <c r="C495" s="1" t="n">
        <v>46017</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32614-2023</t>
        </is>
      </c>
      <c r="B496" s="1" t="n">
        <v>45121</v>
      </c>
      <c r="C496" s="1" t="n">
        <v>46017</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61939-2021</t>
        </is>
      </c>
      <c r="B497" s="1" t="n">
        <v>44502</v>
      </c>
      <c r="C497" s="1" t="n">
        <v>46017</v>
      </c>
      <c r="D497" t="inlineStr">
        <is>
          <t>KALMAR LÄN</t>
        </is>
      </c>
      <c r="E497" t="inlineStr">
        <is>
          <t>VIMMERBY</t>
        </is>
      </c>
      <c r="G497" t="n">
        <v>2.7</v>
      </c>
      <c r="H497" t="n">
        <v>0</v>
      </c>
      <c r="I497" t="n">
        <v>0</v>
      </c>
      <c r="J497" t="n">
        <v>0</v>
      </c>
      <c r="K497" t="n">
        <v>0</v>
      </c>
      <c r="L497" t="n">
        <v>0</v>
      </c>
      <c r="M497" t="n">
        <v>0</v>
      </c>
      <c r="N497" t="n">
        <v>0</v>
      </c>
      <c r="O497" t="n">
        <v>0</v>
      </c>
      <c r="P497" t="n">
        <v>0</v>
      </c>
      <c r="Q497" t="n">
        <v>0</v>
      </c>
      <c r="R497" s="2" t="inlineStr"/>
    </row>
    <row r="498" ht="15" customHeight="1">
      <c r="A498" t="inlineStr">
        <is>
          <t>A 19111-2025</t>
        </is>
      </c>
      <c r="B498" s="1" t="n">
        <v>45768.65611111111</v>
      </c>
      <c r="C498" s="1" t="n">
        <v>46017</v>
      </c>
      <c r="D498" t="inlineStr">
        <is>
          <t>KALMAR LÄN</t>
        </is>
      </c>
      <c r="E498" t="inlineStr">
        <is>
          <t>VIMMERBY</t>
        </is>
      </c>
      <c r="G498" t="n">
        <v>6.2</v>
      </c>
      <c r="H498" t="n">
        <v>0</v>
      </c>
      <c r="I498" t="n">
        <v>0</v>
      </c>
      <c r="J498" t="n">
        <v>0</v>
      </c>
      <c r="K498" t="n">
        <v>0</v>
      </c>
      <c r="L498" t="n">
        <v>0</v>
      </c>
      <c r="M498" t="n">
        <v>0</v>
      </c>
      <c r="N498" t="n">
        <v>0</v>
      </c>
      <c r="O498" t="n">
        <v>0</v>
      </c>
      <c r="P498" t="n">
        <v>0</v>
      </c>
      <c r="Q498" t="n">
        <v>0</v>
      </c>
      <c r="R498" s="2" t="inlineStr"/>
    </row>
    <row r="499" ht="15" customHeight="1">
      <c r="A499" t="inlineStr">
        <is>
          <t>A 25370-2022</t>
        </is>
      </c>
      <c r="B499" s="1" t="n">
        <v>44732.3659837963</v>
      </c>
      <c r="C499" s="1" t="n">
        <v>46017</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42828-2025</t>
        </is>
      </c>
      <c r="B500" s="1" t="n">
        <v>45908.57716435185</v>
      </c>
      <c r="C500" s="1" t="n">
        <v>46017</v>
      </c>
      <c r="D500" t="inlineStr">
        <is>
          <t>KALMAR LÄN</t>
        </is>
      </c>
      <c r="E500" t="inlineStr">
        <is>
          <t>VIMMERBY</t>
        </is>
      </c>
      <c r="G500" t="n">
        <v>5.2</v>
      </c>
      <c r="H500" t="n">
        <v>0</v>
      </c>
      <c r="I500" t="n">
        <v>0</v>
      </c>
      <c r="J500" t="n">
        <v>0</v>
      </c>
      <c r="K500" t="n">
        <v>0</v>
      </c>
      <c r="L500" t="n">
        <v>0</v>
      </c>
      <c r="M500" t="n">
        <v>0</v>
      </c>
      <c r="N500" t="n">
        <v>0</v>
      </c>
      <c r="O500" t="n">
        <v>0</v>
      </c>
      <c r="P500" t="n">
        <v>0</v>
      </c>
      <c r="Q500" t="n">
        <v>0</v>
      </c>
      <c r="R500" s="2" t="inlineStr"/>
    </row>
    <row r="501" ht="15" customHeight="1">
      <c r="A501" t="inlineStr">
        <is>
          <t>A 42794-2025</t>
        </is>
      </c>
      <c r="B501" s="1" t="n">
        <v>45908</v>
      </c>
      <c r="C501" s="1" t="n">
        <v>46017</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33838-2022</t>
        </is>
      </c>
      <c r="B502" s="1" t="n">
        <v>44790.49040509259</v>
      </c>
      <c r="C502" s="1" t="n">
        <v>46017</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6218-2025</t>
        </is>
      </c>
      <c r="B503" s="1" t="n">
        <v>45698.53336805556</v>
      </c>
      <c r="C503" s="1" t="n">
        <v>46017</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46017</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4058-2024</t>
        </is>
      </c>
      <c r="B505" s="1" t="n">
        <v>45323.53744212963</v>
      </c>
      <c r="C505" s="1" t="n">
        <v>46017</v>
      </c>
      <c r="D505" t="inlineStr">
        <is>
          <t>KALMAR LÄN</t>
        </is>
      </c>
      <c r="E505" t="inlineStr">
        <is>
          <t>VIMMERBY</t>
        </is>
      </c>
      <c r="G505" t="n">
        <v>6.5</v>
      </c>
      <c r="H505" t="n">
        <v>0</v>
      </c>
      <c r="I505" t="n">
        <v>0</v>
      </c>
      <c r="J505" t="n">
        <v>0</v>
      </c>
      <c r="K505" t="n">
        <v>0</v>
      </c>
      <c r="L505" t="n">
        <v>0</v>
      </c>
      <c r="M505" t="n">
        <v>0</v>
      </c>
      <c r="N505" t="n">
        <v>0</v>
      </c>
      <c r="O505" t="n">
        <v>0</v>
      </c>
      <c r="P505" t="n">
        <v>0</v>
      </c>
      <c r="Q505" t="n">
        <v>0</v>
      </c>
      <c r="R505" s="2" t="inlineStr"/>
    </row>
    <row r="506" ht="15" customHeight="1">
      <c r="A506" t="inlineStr">
        <is>
          <t>A 36008-2024</t>
        </is>
      </c>
      <c r="B506" s="1" t="n">
        <v>45533.55362268518</v>
      </c>
      <c r="C506" s="1" t="n">
        <v>46017</v>
      </c>
      <c r="D506" t="inlineStr">
        <is>
          <t>KALMAR LÄN</t>
        </is>
      </c>
      <c r="E506" t="inlineStr">
        <is>
          <t>VIMMERBY</t>
        </is>
      </c>
      <c r="G506" t="n">
        <v>3.7</v>
      </c>
      <c r="H506" t="n">
        <v>0</v>
      </c>
      <c r="I506" t="n">
        <v>0</v>
      </c>
      <c r="J506" t="n">
        <v>0</v>
      </c>
      <c r="K506" t="n">
        <v>0</v>
      </c>
      <c r="L506" t="n">
        <v>0</v>
      </c>
      <c r="M506" t="n">
        <v>0</v>
      </c>
      <c r="N506" t="n">
        <v>0</v>
      </c>
      <c r="O506" t="n">
        <v>0</v>
      </c>
      <c r="P506" t="n">
        <v>0</v>
      </c>
      <c r="Q506" t="n">
        <v>0</v>
      </c>
      <c r="R506" s="2" t="inlineStr"/>
    </row>
    <row r="507" ht="15" customHeight="1">
      <c r="A507" t="inlineStr">
        <is>
          <t>A 18669-2025</t>
        </is>
      </c>
      <c r="B507" s="1" t="n">
        <v>45763.59436342592</v>
      </c>
      <c r="C507" s="1" t="n">
        <v>46017</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8540-2024</t>
        </is>
      </c>
      <c r="B508" s="1" t="n">
        <v>45355.54138888889</v>
      </c>
      <c r="C508" s="1" t="n">
        <v>46017</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42820-2025</t>
        </is>
      </c>
      <c r="B509" s="1" t="n">
        <v>45908</v>
      </c>
      <c r="C509" s="1" t="n">
        <v>46017</v>
      </c>
      <c r="D509" t="inlineStr">
        <is>
          <t>KALMAR LÄN</t>
        </is>
      </c>
      <c r="E509" t="inlineStr">
        <is>
          <t>VIMMERBY</t>
        </is>
      </c>
      <c r="G509" t="n">
        <v>1.2</v>
      </c>
      <c r="H509" t="n">
        <v>0</v>
      </c>
      <c r="I509" t="n">
        <v>0</v>
      </c>
      <c r="J509" t="n">
        <v>0</v>
      </c>
      <c r="K509" t="n">
        <v>0</v>
      </c>
      <c r="L509" t="n">
        <v>0</v>
      </c>
      <c r="M509" t="n">
        <v>0</v>
      </c>
      <c r="N509" t="n">
        <v>0</v>
      </c>
      <c r="O509" t="n">
        <v>0</v>
      </c>
      <c r="P509" t="n">
        <v>0</v>
      </c>
      <c r="Q509" t="n">
        <v>0</v>
      </c>
      <c r="R509" s="2" t="inlineStr"/>
    </row>
    <row r="510" ht="15" customHeight="1">
      <c r="A510" t="inlineStr">
        <is>
          <t>A 9623-2024</t>
        </is>
      </c>
      <c r="B510" s="1" t="n">
        <v>45361.87975694444</v>
      </c>
      <c r="C510" s="1" t="n">
        <v>46017</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5146-2024</t>
        </is>
      </c>
      <c r="B511" s="1" t="n">
        <v>45330</v>
      </c>
      <c r="C511" s="1" t="n">
        <v>46017</v>
      </c>
      <c r="D511" t="inlineStr">
        <is>
          <t>KALMAR LÄN</t>
        </is>
      </c>
      <c r="E511" t="inlineStr">
        <is>
          <t>VIMMERBY</t>
        </is>
      </c>
      <c r="G511" t="n">
        <v>5.3</v>
      </c>
      <c r="H511" t="n">
        <v>0</v>
      </c>
      <c r="I511" t="n">
        <v>0</v>
      </c>
      <c r="J511" t="n">
        <v>0</v>
      </c>
      <c r="K511" t="n">
        <v>0</v>
      </c>
      <c r="L511" t="n">
        <v>0</v>
      </c>
      <c r="M511" t="n">
        <v>0</v>
      </c>
      <c r="N511" t="n">
        <v>0</v>
      </c>
      <c r="O511" t="n">
        <v>0</v>
      </c>
      <c r="P511" t="n">
        <v>0</v>
      </c>
      <c r="Q511" t="n">
        <v>0</v>
      </c>
      <c r="R511" s="2" t="inlineStr"/>
    </row>
    <row r="512" ht="15" customHeight="1">
      <c r="A512" t="inlineStr">
        <is>
          <t>A 5148-2024</t>
        </is>
      </c>
      <c r="B512" s="1" t="n">
        <v>45330</v>
      </c>
      <c r="C512" s="1" t="n">
        <v>46017</v>
      </c>
      <c r="D512" t="inlineStr">
        <is>
          <t>KALMAR LÄN</t>
        </is>
      </c>
      <c r="E512" t="inlineStr">
        <is>
          <t>VIMMERBY</t>
        </is>
      </c>
      <c r="G512" t="n">
        <v>5.6</v>
      </c>
      <c r="H512" t="n">
        <v>0</v>
      </c>
      <c r="I512" t="n">
        <v>0</v>
      </c>
      <c r="J512" t="n">
        <v>0</v>
      </c>
      <c r="K512" t="n">
        <v>0</v>
      </c>
      <c r="L512" t="n">
        <v>0</v>
      </c>
      <c r="M512" t="n">
        <v>0</v>
      </c>
      <c r="N512" t="n">
        <v>0</v>
      </c>
      <c r="O512" t="n">
        <v>0</v>
      </c>
      <c r="P512" t="n">
        <v>0</v>
      </c>
      <c r="Q512" t="n">
        <v>0</v>
      </c>
      <c r="R512" s="2" t="inlineStr"/>
    </row>
    <row r="513" ht="15" customHeight="1">
      <c r="A513" t="inlineStr">
        <is>
          <t>A 44179-2022</t>
        </is>
      </c>
      <c r="B513" s="1" t="n">
        <v>44839.4528125</v>
      </c>
      <c r="C513" s="1" t="n">
        <v>46017</v>
      </c>
      <c r="D513" t="inlineStr">
        <is>
          <t>KALMAR LÄN</t>
        </is>
      </c>
      <c r="E513" t="inlineStr">
        <is>
          <t>VIMMERBY</t>
        </is>
      </c>
      <c r="G513" t="n">
        <v>2.8</v>
      </c>
      <c r="H513" t="n">
        <v>0</v>
      </c>
      <c r="I513" t="n">
        <v>0</v>
      </c>
      <c r="J513" t="n">
        <v>0</v>
      </c>
      <c r="K513" t="n">
        <v>0</v>
      </c>
      <c r="L513" t="n">
        <v>0</v>
      </c>
      <c r="M513" t="n">
        <v>0</v>
      </c>
      <c r="N513" t="n">
        <v>0</v>
      </c>
      <c r="O513" t="n">
        <v>0</v>
      </c>
      <c r="P513" t="n">
        <v>0</v>
      </c>
      <c r="Q513" t="n">
        <v>0</v>
      </c>
      <c r="R513" s="2" t="inlineStr"/>
    </row>
    <row r="514" ht="15" customHeight="1">
      <c r="A514" t="inlineStr">
        <is>
          <t>A 50648-2023</t>
        </is>
      </c>
      <c r="B514" s="1" t="n">
        <v>45217.47834490741</v>
      </c>
      <c r="C514" s="1" t="n">
        <v>46017</v>
      </c>
      <c r="D514" t="inlineStr">
        <is>
          <t>KALMAR LÄN</t>
        </is>
      </c>
      <c r="E514" t="inlineStr">
        <is>
          <t>VIMMERBY</t>
        </is>
      </c>
      <c r="G514" t="n">
        <v>1.6</v>
      </c>
      <c r="H514" t="n">
        <v>0</v>
      </c>
      <c r="I514" t="n">
        <v>0</v>
      </c>
      <c r="J514" t="n">
        <v>0</v>
      </c>
      <c r="K514" t="n">
        <v>0</v>
      </c>
      <c r="L514" t="n">
        <v>0</v>
      </c>
      <c r="M514" t="n">
        <v>0</v>
      </c>
      <c r="N514" t="n">
        <v>0</v>
      </c>
      <c r="O514" t="n">
        <v>0</v>
      </c>
      <c r="P514" t="n">
        <v>0</v>
      </c>
      <c r="Q514" t="n">
        <v>0</v>
      </c>
      <c r="R514" s="2" t="inlineStr"/>
    </row>
    <row r="515" ht="15" customHeight="1">
      <c r="A515" t="inlineStr">
        <is>
          <t>A 34060-2025</t>
        </is>
      </c>
      <c r="B515" s="1" t="n">
        <v>45845.42015046296</v>
      </c>
      <c r="C515" s="1" t="n">
        <v>46017</v>
      </c>
      <c r="D515" t="inlineStr">
        <is>
          <t>KALMAR LÄN</t>
        </is>
      </c>
      <c r="E515" t="inlineStr">
        <is>
          <t>VIMMERBY</t>
        </is>
      </c>
      <c r="G515" t="n">
        <v>5.7</v>
      </c>
      <c r="H515" t="n">
        <v>0</v>
      </c>
      <c r="I515" t="n">
        <v>0</v>
      </c>
      <c r="J515" t="n">
        <v>0</v>
      </c>
      <c r="K515" t="n">
        <v>0</v>
      </c>
      <c r="L515" t="n">
        <v>0</v>
      </c>
      <c r="M515" t="n">
        <v>0</v>
      </c>
      <c r="N515" t="n">
        <v>0</v>
      </c>
      <c r="O515" t="n">
        <v>0</v>
      </c>
      <c r="P515" t="n">
        <v>0</v>
      </c>
      <c r="Q515" t="n">
        <v>0</v>
      </c>
      <c r="R515" s="2" t="inlineStr"/>
    </row>
    <row r="516" ht="15" customHeight="1">
      <c r="A516" t="inlineStr">
        <is>
          <t>A 2121-2022</t>
        </is>
      </c>
      <c r="B516" s="1" t="n">
        <v>44578.32717592592</v>
      </c>
      <c r="C516" s="1" t="n">
        <v>46017</v>
      </c>
      <c r="D516" t="inlineStr">
        <is>
          <t>KALMAR LÄN</t>
        </is>
      </c>
      <c r="E516" t="inlineStr">
        <is>
          <t>VIMMERBY</t>
        </is>
      </c>
      <c r="G516" t="n">
        <v>2</v>
      </c>
      <c r="H516" t="n">
        <v>0</v>
      </c>
      <c r="I516" t="n">
        <v>0</v>
      </c>
      <c r="J516" t="n">
        <v>0</v>
      </c>
      <c r="K516" t="n">
        <v>0</v>
      </c>
      <c r="L516" t="n">
        <v>0</v>
      </c>
      <c r="M516" t="n">
        <v>0</v>
      </c>
      <c r="N516" t="n">
        <v>0</v>
      </c>
      <c r="O516" t="n">
        <v>0</v>
      </c>
      <c r="P516" t="n">
        <v>0</v>
      </c>
      <c r="Q516" t="n">
        <v>0</v>
      </c>
      <c r="R516" s="2" t="inlineStr"/>
    </row>
    <row r="517" ht="15" customHeight="1">
      <c r="A517" t="inlineStr">
        <is>
          <t>A 57799-2022</t>
        </is>
      </c>
      <c r="B517" s="1" t="n">
        <v>44897</v>
      </c>
      <c r="C517" s="1" t="n">
        <v>46017</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15394-2025</t>
        </is>
      </c>
      <c r="B518" s="1" t="n">
        <v>45747.43196759259</v>
      </c>
      <c r="C518" s="1" t="n">
        <v>46017</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12588-2025</t>
        </is>
      </c>
      <c r="B519" s="1" t="n">
        <v>45732.76936342593</v>
      </c>
      <c r="C519" s="1" t="n">
        <v>46017</v>
      </c>
      <c r="D519" t="inlineStr">
        <is>
          <t>KALMAR LÄN</t>
        </is>
      </c>
      <c r="E519" t="inlineStr">
        <is>
          <t>VIMMERBY</t>
        </is>
      </c>
      <c r="G519" t="n">
        <v>1.6</v>
      </c>
      <c r="H519" t="n">
        <v>0</v>
      </c>
      <c r="I519" t="n">
        <v>0</v>
      </c>
      <c r="J519" t="n">
        <v>0</v>
      </c>
      <c r="K519" t="n">
        <v>0</v>
      </c>
      <c r="L519" t="n">
        <v>0</v>
      </c>
      <c r="M519" t="n">
        <v>0</v>
      </c>
      <c r="N519" t="n">
        <v>0</v>
      </c>
      <c r="O519" t="n">
        <v>0</v>
      </c>
      <c r="P519" t="n">
        <v>0</v>
      </c>
      <c r="Q519" t="n">
        <v>0</v>
      </c>
      <c r="R519" s="2" t="inlineStr"/>
    </row>
    <row r="520" ht="15" customHeight="1">
      <c r="A520" t="inlineStr">
        <is>
          <t>A 25979-2023</t>
        </is>
      </c>
      <c r="B520" s="1" t="n">
        <v>45090.89653935185</v>
      </c>
      <c r="C520" s="1" t="n">
        <v>46017</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25980-2023</t>
        </is>
      </c>
      <c r="B521" s="1" t="n">
        <v>45090.89880787037</v>
      </c>
      <c r="C521" s="1" t="n">
        <v>46017</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26318-2023</t>
        </is>
      </c>
      <c r="B522" s="1" t="n">
        <v>45091.67936342592</v>
      </c>
      <c r="C522" s="1" t="n">
        <v>46017</v>
      </c>
      <c r="D522" t="inlineStr">
        <is>
          <t>KALMAR LÄN</t>
        </is>
      </c>
      <c r="E522" t="inlineStr">
        <is>
          <t>VIMMERBY</t>
        </is>
      </c>
      <c r="G522" t="n">
        <v>3.8</v>
      </c>
      <c r="H522" t="n">
        <v>0</v>
      </c>
      <c r="I522" t="n">
        <v>0</v>
      </c>
      <c r="J522" t="n">
        <v>0</v>
      </c>
      <c r="K522" t="n">
        <v>0</v>
      </c>
      <c r="L522" t="n">
        <v>0</v>
      </c>
      <c r="M522" t="n">
        <v>0</v>
      </c>
      <c r="N522" t="n">
        <v>0</v>
      </c>
      <c r="O522" t="n">
        <v>0</v>
      </c>
      <c r="P522" t="n">
        <v>0</v>
      </c>
      <c r="Q522" t="n">
        <v>0</v>
      </c>
      <c r="R522" s="2" t="inlineStr"/>
    </row>
    <row r="523" ht="15" customHeight="1">
      <c r="A523" t="inlineStr">
        <is>
          <t>A 60437-2023</t>
        </is>
      </c>
      <c r="B523" s="1" t="n">
        <v>45259.51916666667</v>
      </c>
      <c r="C523" s="1" t="n">
        <v>46017</v>
      </c>
      <c r="D523" t="inlineStr">
        <is>
          <t>KALMAR LÄN</t>
        </is>
      </c>
      <c r="E523" t="inlineStr">
        <is>
          <t>VIMMERBY</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60438-2023</t>
        </is>
      </c>
      <c r="B524" s="1" t="n">
        <v>45259.52020833334</v>
      </c>
      <c r="C524" s="1" t="n">
        <v>46017</v>
      </c>
      <c r="D524" t="inlineStr">
        <is>
          <t>KALMAR LÄN</t>
        </is>
      </c>
      <c r="E524" t="inlineStr">
        <is>
          <t>VIMMERBY</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43617-2025</t>
        </is>
      </c>
      <c r="B525" s="1" t="n">
        <v>45911.67798611111</v>
      </c>
      <c r="C525" s="1" t="n">
        <v>46017</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46921-2023</t>
        </is>
      </c>
      <c r="B526" s="1" t="n">
        <v>45201.39996527778</v>
      </c>
      <c r="C526" s="1" t="n">
        <v>46017</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10837-2023</t>
        </is>
      </c>
      <c r="B527" s="1" t="n">
        <v>44991.30547453704</v>
      </c>
      <c r="C527" s="1" t="n">
        <v>46017</v>
      </c>
      <c r="D527" t="inlineStr">
        <is>
          <t>KALMAR LÄN</t>
        </is>
      </c>
      <c r="E527" t="inlineStr">
        <is>
          <t>VIMMERBY</t>
        </is>
      </c>
      <c r="G527" t="n">
        <v>7.3</v>
      </c>
      <c r="H527" t="n">
        <v>0</v>
      </c>
      <c r="I527" t="n">
        <v>0</v>
      </c>
      <c r="J527" t="n">
        <v>0</v>
      </c>
      <c r="K527" t="n">
        <v>0</v>
      </c>
      <c r="L527" t="n">
        <v>0</v>
      </c>
      <c r="M527" t="n">
        <v>0</v>
      </c>
      <c r="N527" t="n">
        <v>0</v>
      </c>
      <c r="O527" t="n">
        <v>0</v>
      </c>
      <c r="P527" t="n">
        <v>0</v>
      </c>
      <c r="Q527" t="n">
        <v>0</v>
      </c>
      <c r="R527" s="2" t="inlineStr"/>
    </row>
    <row r="528" ht="15" customHeight="1">
      <c r="A528" t="inlineStr">
        <is>
          <t>A 10838-2023</t>
        </is>
      </c>
      <c r="B528" s="1" t="n">
        <v>44991</v>
      </c>
      <c r="C528" s="1" t="n">
        <v>46017</v>
      </c>
      <c r="D528" t="inlineStr">
        <is>
          <t>KALMAR LÄN</t>
        </is>
      </c>
      <c r="E528" t="inlineStr">
        <is>
          <t>VIMMERBY</t>
        </is>
      </c>
      <c r="G528" t="n">
        <v>5.1</v>
      </c>
      <c r="H528" t="n">
        <v>0</v>
      </c>
      <c r="I528" t="n">
        <v>0</v>
      </c>
      <c r="J528" t="n">
        <v>0</v>
      </c>
      <c r="K528" t="n">
        <v>0</v>
      </c>
      <c r="L528" t="n">
        <v>0</v>
      </c>
      <c r="M528" t="n">
        <v>0</v>
      </c>
      <c r="N528" t="n">
        <v>0</v>
      </c>
      <c r="O528" t="n">
        <v>0</v>
      </c>
      <c r="P528" t="n">
        <v>0</v>
      </c>
      <c r="Q528" t="n">
        <v>0</v>
      </c>
      <c r="R528" s="2" t="inlineStr"/>
    </row>
    <row r="529" ht="15" customHeight="1">
      <c r="A529" t="inlineStr">
        <is>
          <t>A 6321-2023</t>
        </is>
      </c>
      <c r="B529" s="1" t="n">
        <v>44965.4815162037</v>
      </c>
      <c r="C529" s="1" t="n">
        <v>46017</v>
      </c>
      <c r="D529" t="inlineStr">
        <is>
          <t>KALMAR LÄN</t>
        </is>
      </c>
      <c r="E529" t="inlineStr">
        <is>
          <t>VIMMERBY</t>
        </is>
      </c>
      <c r="G529" t="n">
        <v>1.8</v>
      </c>
      <c r="H529" t="n">
        <v>0</v>
      </c>
      <c r="I529" t="n">
        <v>0</v>
      </c>
      <c r="J529" t="n">
        <v>0</v>
      </c>
      <c r="K529" t="n">
        <v>0</v>
      </c>
      <c r="L529" t="n">
        <v>0</v>
      </c>
      <c r="M529" t="n">
        <v>0</v>
      </c>
      <c r="N529" t="n">
        <v>0</v>
      </c>
      <c r="O529" t="n">
        <v>0</v>
      </c>
      <c r="P529" t="n">
        <v>0</v>
      </c>
      <c r="Q529" t="n">
        <v>0</v>
      </c>
      <c r="R529" s="2" t="inlineStr"/>
    </row>
    <row r="530" ht="15" customHeight="1">
      <c r="A530" t="inlineStr">
        <is>
          <t>A 7758-2024</t>
        </is>
      </c>
      <c r="B530" s="1" t="n">
        <v>45349.54434027777</v>
      </c>
      <c r="C530" s="1" t="n">
        <v>46017</v>
      </c>
      <c r="D530" t="inlineStr">
        <is>
          <t>KALMAR LÄN</t>
        </is>
      </c>
      <c r="E530" t="inlineStr">
        <is>
          <t>VIMMERBY</t>
        </is>
      </c>
      <c r="G530" t="n">
        <v>3.5</v>
      </c>
      <c r="H530" t="n">
        <v>0</v>
      </c>
      <c r="I530" t="n">
        <v>0</v>
      </c>
      <c r="J530" t="n">
        <v>0</v>
      </c>
      <c r="K530" t="n">
        <v>0</v>
      </c>
      <c r="L530" t="n">
        <v>0</v>
      </c>
      <c r="M530" t="n">
        <v>0</v>
      </c>
      <c r="N530" t="n">
        <v>0</v>
      </c>
      <c r="O530" t="n">
        <v>0</v>
      </c>
      <c r="P530" t="n">
        <v>0</v>
      </c>
      <c r="Q530" t="n">
        <v>0</v>
      </c>
      <c r="R530" s="2" t="inlineStr"/>
    </row>
    <row r="531" ht="15" customHeight="1">
      <c r="A531" t="inlineStr">
        <is>
          <t>A 43465-2025</t>
        </is>
      </c>
      <c r="B531" s="1" t="n">
        <v>45911.47138888889</v>
      </c>
      <c r="C531" s="1" t="n">
        <v>46017</v>
      </c>
      <c r="D531" t="inlineStr">
        <is>
          <t>KALMAR LÄN</t>
        </is>
      </c>
      <c r="E531" t="inlineStr">
        <is>
          <t>VIMMERBY</t>
        </is>
      </c>
      <c r="G531" t="n">
        <v>0.7</v>
      </c>
      <c r="H531" t="n">
        <v>0</v>
      </c>
      <c r="I531" t="n">
        <v>0</v>
      </c>
      <c r="J531" t="n">
        <v>0</v>
      </c>
      <c r="K531" t="n">
        <v>0</v>
      </c>
      <c r="L531" t="n">
        <v>0</v>
      </c>
      <c r="M531" t="n">
        <v>0</v>
      </c>
      <c r="N531" t="n">
        <v>0</v>
      </c>
      <c r="O531" t="n">
        <v>0</v>
      </c>
      <c r="P531" t="n">
        <v>0</v>
      </c>
      <c r="Q531" t="n">
        <v>0</v>
      </c>
      <c r="R531" s="2" t="inlineStr"/>
    </row>
    <row r="532" ht="15" customHeight="1">
      <c r="A532" t="inlineStr">
        <is>
          <t>A 30912-2023</t>
        </is>
      </c>
      <c r="B532" s="1" t="n">
        <v>45113.41633101852</v>
      </c>
      <c r="C532" s="1" t="n">
        <v>46017</v>
      </c>
      <c r="D532" t="inlineStr">
        <is>
          <t>KALMAR LÄN</t>
        </is>
      </c>
      <c r="E532" t="inlineStr">
        <is>
          <t>VIMMERBY</t>
        </is>
      </c>
      <c r="G532" t="n">
        <v>5</v>
      </c>
      <c r="H532" t="n">
        <v>0</v>
      </c>
      <c r="I532" t="n">
        <v>0</v>
      </c>
      <c r="J532" t="n">
        <v>0</v>
      </c>
      <c r="K532" t="n">
        <v>0</v>
      </c>
      <c r="L532" t="n">
        <v>0</v>
      </c>
      <c r="M532" t="n">
        <v>0</v>
      </c>
      <c r="N532" t="n">
        <v>0</v>
      </c>
      <c r="O532" t="n">
        <v>0</v>
      </c>
      <c r="P532" t="n">
        <v>0</v>
      </c>
      <c r="Q532" t="n">
        <v>0</v>
      </c>
      <c r="R532" s="2" t="inlineStr"/>
    </row>
    <row r="533" ht="15" customHeight="1">
      <c r="A533" t="inlineStr">
        <is>
          <t>A 7456-2024</t>
        </is>
      </c>
      <c r="B533" s="1" t="n">
        <v>45345.83557870371</v>
      </c>
      <c r="C533" s="1" t="n">
        <v>46017</v>
      </c>
      <c r="D533" t="inlineStr">
        <is>
          <t>KALMAR LÄN</t>
        </is>
      </c>
      <c r="E533" t="inlineStr">
        <is>
          <t>VIMMERBY</t>
        </is>
      </c>
      <c r="G533" t="n">
        <v>4.1</v>
      </c>
      <c r="H533" t="n">
        <v>0</v>
      </c>
      <c r="I533" t="n">
        <v>0</v>
      </c>
      <c r="J533" t="n">
        <v>0</v>
      </c>
      <c r="K533" t="n">
        <v>0</v>
      </c>
      <c r="L533" t="n">
        <v>0</v>
      </c>
      <c r="M533" t="n">
        <v>0</v>
      </c>
      <c r="N533" t="n">
        <v>0</v>
      </c>
      <c r="O533" t="n">
        <v>0</v>
      </c>
      <c r="P533" t="n">
        <v>0</v>
      </c>
      <c r="Q533" t="n">
        <v>0</v>
      </c>
      <c r="R533" s="2" t="inlineStr"/>
    </row>
    <row r="534" ht="15" customHeight="1">
      <c r="A534" t="inlineStr">
        <is>
          <t>A 55436-2023</t>
        </is>
      </c>
      <c r="B534" s="1" t="n">
        <v>45238.4328587963</v>
      </c>
      <c r="C534" s="1" t="n">
        <v>46017</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6082-2022</t>
        </is>
      </c>
      <c r="B535" s="1" t="n">
        <v>44599</v>
      </c>
      <c r="C535" s="1" t="n">
        <v>46017</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21507-2023</t>
        </is>
      </c>
      <c r="B536" s="1" t="n">
        <v>45063.508125</v>
      </c>
      <c r="C536" s="1" t="n">
        <v>46017</v>
      </c>
      <c r="D536" t="inlineStr">
        <is>
          <t>KALMAR LÄN</t>
        </is>
      </c>
      <c r="E536" t="inlineStr">
        <is>
          <t>VIMMERBY</t>
        </is>
      </c>
      <c r="G536" t="n">
        <v>2.8</v>
      </c>
      <c r="H536" t="n">
        <v>0</v>
      </c>
      <c r="I536" t="n">
        <v>0</v>
      </c>
      <c r="J536" t="n">
        <v>0</v>
      </c>
      <c r="K536" t="n">
        <v>0</v>
      </c>
      <c r="L536" t="n">
        <v>0</v>
      </c>
      <c r="M536" t="n">
        <v>0</v>
      </c>
      <c r="N536" t="n">
        <v>0</v>
      </c>
      <c r="O536" t="n">
        <v>0</v>
      </c>
      <c r="P536" t="n">
        <v>0</v>
      </c>
      <c r="Q536" t="n">
        <v>0</v>
      </c>
      <c r="R536" s="2" t="inlineStr"/>
    </row>
    <row r="537" ht="15" customHeight="1">
      <c r="A537" t="inlineStr">
        <is>
          <t>A 51187-2023</t>
        </is>
      </c>
      <c r="B537" s="1" t="n">
        <v>45219.40528935185</v>
      </c>
      <c r="C537" s="1" t="n">
        <v>46017</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46979-2023</t>
        </is>
      </c>
      <c r="B538" s="1" t="n">
        <v>45201</v>
      </c>
      <c r="C538" s="1" t="n">
        <v>46017</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2596-2025</t>
        </is>
      </c>
      <c r="B539" s="1" t="n">
        <v>45674.71810185185</v>
      </c>
      <c r="C539" s="1" t="n">
        <v>46017</v>
      </c>
      <c r="D539" t="inlineStr">
        <is>
          <t>KALMAR LÄN</t>
        </is>
      </c>
      <c r="E539" t="inlineStr">
        <is>
          <t>VIMMERBY</t>
        </is>
      </c>
      <c r="G539" t="n">
        <v>9</v>
      </c>
      <c r="H539" t="n">
        <v>0</v>
      </c>
      <c r="I539" t="n">
        <v>0</v>
      </c>
      <c r="J539" t="n">
        <v>0</v>
      </c>
      <c r="K539" t="n">
        <v>0</v>
      </c>
      <c r="L539" t="n">
        <v>0</v>
      </c>
      <c r="M539" t="n">
        <v>0</v>
      </c>
      <c r="N539" t="n">
        <v>0</v>
      </c>
      <c r="O539" t="n">
        <v>0</v>
      </c>
      <c r="P539" t="n">
        <v>0</v>
      </c>
      <c r="Q539" t="n">
        <v>0</v>
      </c>
      <c r="R539" s="2" t="inlineStr"/>
    </row>
    <row r="540" ht="15" customHeight="1">
      <c r="A540" t="inlineStr">
        <is>
          <t>A 44329-2025</t>
        </is>
      </c>
      <c r="B540" s="1" t="n">
        <v>45916.41019675926</v>
      </c>
      <c r="C540" s="1" t="n">
        <v>46017</v>
      </c>
      <c r="D540" t="inlineStr">
        <is>
          <t>KALMAR LÄN</t>
        </is>
      </c>
      <c r="E540" t="inlineStr">
        <is>
          <t>VIMMERBY</t>
        </is>
      </c>
      <c r="G540" t="n">
        <v>4.3</v>
      </c>
      <c r="H540" t="n">
        <v>0</v>
      </c>
      <c r="I540" t="n">
        <v>0</v>
      </c>
      <c r="J540" t="n">
        <v>0</v>
      </c>
      <c r="K540" t="n">
        <v>0</v>
      </c>
      <c r="L540" t="n">
        <v>0</v>
      </c>
      <c r="M540" t="n">
        <v>0</v>
      </c>
      <c r="N540" t="n">
        <v>0</v>
      </c>
      <c r="O540" t="n">
        <v>0</v>
      </c>
      <c r="P540" t="n">
        <v>0</v>
      </c>
      <c r="Q540" t="n">
        <v>0</v>
      </c>
      <c r="R540" s="2" t="inlineStr"/>
    </row>
    <row r="541" ht="15" customHeight="1">
      <c r="A541" t="inlineStr">
        <is>
          <t>A 47855-2024</t>
        </is>
      </c>
      <c r="B541" s="1" t="n">
        <v>45588.66457175926</v>
      </c>
      <c r="C541" s="1" t="n">
        <v>46017</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63583-2023</t>
        </is>
      </c>
      <c r="B542" s="1" t="n">
        <v>45275.41833333333</v>
      </c>
      <c r="C542" s="1" t="n">
        <v>46017</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13290-2025</t>
        </is>
      </c>
      <c r="B543" s="1" t="n">
        <v>45735.56751157407</v>
      </c>
      <c r="C543" s="1" t="n">
        <v>46017</v>
      </c>
      <c r="D543" t="inlineStr">
        <is>
          <t>KALMAR LÄN</t>
        </is>
      </c>
      <c r="E543" t="inlineStr">
        <is>
          <t>VIMMERBY</t>
        </is>
      </c>
      <c r="G543" t="n">
        <v>0.8</v>
      </c>
      <c r="H543" t="n">
        <v>0</v>
      </c>
      <c r="I543" t="n">
        <v>0</v>
      </c>
      <c r="J543" t="n">
        <v>0</v>
      </c>
      <c r="K543" t="n">
        <v>0</v>
      </c>
      <c r="L543" t="n">
        <v>0</v>
      </c>
      <c r="M543" t="n">
        <v>0</v>
      </c>
      <c r="N543" t="n">
        <v>0</v>
      </c>
      <c r="O543" t="n">
        <v>0</v>
      </c>
      <c r="P543" t="n">
        <v>0</v>
      </c>
      <c r="Q543" t="n">
        <v>0</v>
      </c>
      <c r="R543" s="2" t="inlineStr"/>
    </row>
    <row r="544" ht="15" customHeight="1">
      <c r="A544" t="inlineStr">
        <is>
          <t>A 45560-2021</t>
        </is>
      </c>
      <c r="B544" s="1" t="n">
        <v>44440</v>
      </c>
      <c r="C544" s="1" t="n">
        <v>46017</v>
      </c>
      <c r="D544" t="inlineStr">
        <is>
          <t>KALMAR LÄN</t>
        </is>
      </c>
      <c r="E544" t="inlineStr">
        <is>
          <t>VIMMERBY</t>
        </is>
      </c>
      <c r="G544" t="n">
        <v>1.3</v>
      </c>
      <c r="H544" t="n">
        <v>0</v>
      </c>
      <c r="I544" t="n">
        <v>0</v>
      </c>
      <c r="J544" t="n">
        <v>0</v>
      </c>
      <c r="K544" t="n">
        <v>0</v>
      </c>
      <c r="L544" t="n">
        <v>0</v>
      </c>
      <c r="M544" t="n">
        <v>0</v>
      </c>
      <c r="N544" t="n">
        <v>0</v>
      </c>
      <c r="O544" t="n">
        <v>0</v>
      </c>
      <c r="P544" t="n">
        <v>0</v>
      </c>
      <c r="Q544" t="n">
        <v>0</v>
      </c>
      <c r="R544" s="2" t="inlineStr"/>
    </row>
    <row r="545" ht="15" customHeight="1">
      <c r="A545" t="inlineStr">
        <is>
          <t>A 44517-2025</t>
        </is>
      </c>
      <c r="B545" s="1" t="n">
        <v>45916.7103587963</v>
      </c>
      <c r="C545" s="1" t="n">
        <v>46017</v>
      </c>
      <c r="D545" t="inlineStr">
        <is>
          <t>KALMAR LÄN</t>
        </is>
      </c>
      <c r="E545" t="inlineStr">
        <is>
          <t>VIMMERBY</t>
        </is>
      </c>
      <c r="G545" t="n">
        <v>0.9</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46017</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16622-2025</t>
        </is>
      </c>
      <c r="B547" s="1" t="n">
        <v>45754.33641203704</v>
      </c>
      <c r="C547" s="1" t="n">
        <v>46017</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46522-2022</t>
        </is>
      </c>
      <c r="B548" s="1" t="n">
        <v>44848.59133101852</v>
      </c>
      <c r="C548" s="1" t="n">
        <v>46017</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21109-2024</t>
        </is>
      </c>
      <c r="B549" s="1" t="n">
        <v>45440.28329861111</v>
      </c>
      <c r="C549" s="1" t="n">
        <v>46017</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44091-2025</t>
        </is>
      </c>
      <c r="B550" s="1" t="n">
        <v>45915.55950231481</v>
      </c>
      <c r="C550" s="1" t="n">
        <v>46017</v>
      </c>
      <c r="D550" t="inlineStr">
        <is>
          <t>KALMAR LÄN</t>
        </is>
      </c>
      <c r="E550" t="inlineStr">
        <is>
          <t>VIMMERBY</t>
        </is>
      </c>
      <c r="G550" t="n">
        <v>0.8</v>
      </c>
      <c r="H550" t="n">
        <v>0</v>
      </c>
      <c r="I550" t="n">
        <v>0</v>
      </c>
      <c r="J550" t="n">
        <v>0</v>
      </c>
      <c r="K550" t="n">
        <v>0</v>
      </c>
      <c r="L550" t="n">
        <v>0</v>
      </c>
      <c r="M550" t="n">
        <v>0</v>
      </c>
      <c r="N550" t="n">
        <v>0</v>
      </c>
      <c r="O550" t="n">
        <v>0</v>
      </c>
      <c r="P550" t="n">
        <v>0</v>
      </c>
      <c r="Q550" t="n">
        <v>0</v>
      </c>
      <c r="R550" s="2" t="inlineStr"/>
    </row>
    <row r="551" ht="15" customHeight="1">
      <c r="A551" t="inlineStr">
        <is>
          <t>A 33815-2022</t>
        </is>
      </c>
      <c r="B551" s="1" t="n">
        <v>44790.45876157407</v>
      </c>
      <c r="C551" s="1" t="n">
        <v>46017</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44095-2025</t>
        </is>
      </c>
      <c r="B552" s="1" t="n">
        <v>45915.56430555556</v>
      </c>
      <c r="C552" s="1" t="n">
        <v>46017</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49461-2022</t>
        </is>
      </c>
      <c r="B553" s="1" t="n">
        <v>44861</v>
      </c>
      <c r="C553" s="1" t="n">
        <v>46017</v>
      </c>
      <c r="D553" t="inlineStr">
        <is>
          <t>KALMAR LÄN</t>
        </is>
      </c>
      <c r="E553" t="inlineStr">
        <is>
          <t>VIMMERBY</t>
        </is>
      </c>
      <c r="G553" t="n">
        <v>3.2</v>
      </c>
      <c r="H553" t="n">
        <v>0</v>
      </c>
      <c r="I553" t="n">
        <v>0</v>
      </c>
      <c r="J553" t="n">
        <v>0</v>
      </c>
      <c r="K553" t="n">
        <v>0</v>
      </c>
      <c r="L553" t="n">
        <v>0</v>
      </c>
      <c r="M553" t="n">
        <v>0</v>
      </c>
      <c r="N553" t="n">
        <v>0</v>
      </c>
      <c r="O553" t="n">
        <v>0</v>
      </c>
      <c r="P553" t="n">
        <v>0</v>
      </c>
      <c r="Q553" t="n">
        <v>0</v>
      </c>
      <c r="R553" s="2" t="inlineStr"/>
    </row>
    <row r="554" ht="15" customHeight="1">
      <c r="A554" t="inlineStr">
        <is>
          <t>A 53542-2022</t>
        </is>
      </c>
      <c r="B554" s="1" t="n">
        <v>44879.62173611111</v>
      </c>
      <c r="C554" s="1" t="n">
        <v>46017</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31340-2023</t>
        </is>
      </c>
      <c r="B555" s="1" t="n">
        <v>45114.47895833333</v>
      </c>
      <c r="C555" s="1" t="n">
        <v>46017</v>
      </c>
      <c r="D555" t="inlineStr">
        <is>
          <t>KALMAR LÄN</t>
        </is>
      </c>
      <c r="E555" t="inlineStr">
        <is>
          <t>VIMMERBY</t>
        </is>
      </c>
      <c r="G555" t="n">
        <v>1.8</v>
      </c>
      <c r="H555" t="n">
        <v>0</v>
      </c>
      <c r="I555" t="n">
        <v>0</v>
      </c>
      <c r="J555" t="n">
        <v>0</v>
      </c>
      <c r="K555" t="n">
        <v>0</v>
      </c>
      <c r="L555" t="n">
        <v>0</v>
      </c>
      <c r="M555" t="n">
        <v>0</v>
      </c>
      <c r="N555" t="n">
        <v>0</v>
      </c>
      <c r="O555" t="n">
        <v>0</v>
      </c>
      <c r="P555" t="n">
        <v>0</v>
      </c>
      <c r="Q555" t="n">
        <v>0</v>
      </c>
      <c r="R555" s="2" t="inlineStr"/>
    </row>
    <row r="556" ht="15" customHeight="1">
      <c r="A556" t="inlineStr">
        <is>
          <t>A 35713-2023</t>
        </is>
      </c>
      <c r="B556" s="1" t="n">
        <v>45147</v>
      </c>
      <c r="C556" s="1" t="n">
        <v>46017</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29168-2024</t>
        </is>
      </c>
      <c r="B557" s="1" t="n">
        <v>45482.49870370371</v>
      </c>
      <c r="C557" s="1" t="n">
        <v>46017</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29186-2024</t>
        </is>
      </c>
      <c r="B558" s="1" t="n">
        <v>45482.54844907407</v>
      </c>
      <c r="C558" s="1" t="n">
        <v>46017</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35895-2024</t>
        </is>
      </c>
      <c r="B559" s="1" t="n">
        <v>45533.38870370371</v>
      </c>
      <c r="C559" s="1" t="n">
        <v>46017</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12590-2025</t>
        </is>
      </c>
      <c r="B560" s="1" t="n">
        <v>45732.79925925926</v>
      </c>
      <c r="C560" s="1" t="n">
        <v>46017</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10424-2023</t>
        </is>
      </c>
      <c r="B561" s="1" t="n">
        <v>44987.54104166666</v>
      </c>
      <c r="C561" s="1" t="n">
        <v>46017</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30318-2023</t>
        </is>
      </c>
      <c r="B562" s="1" t="n">
        <v>45111.30824074074</v>
      </c>
      <c r="C562" s="1" t="n">
        <v>46017</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44742-2025</t>
        </is>
      </c>
      <c r="B563" s="1" t="n">
        <v>45917.67054398148</v>
      </c>
      <c r="C563" s="1" t="n">
        <v>46017</v>
      </c>
      <c r="D563" t="inlineStr">
        <is>
          <t>KALMAR LÄN</t>
        </is>
      </c>
      <c r="E563" t="inlineStr">
        <is>
          <t>VIMMERBY</t>
        </is>
      </c>
      <c r="G563" t="n">
        <v>4.7</v>
      </c>
      <c r="H563" t="n">
        <v>0</v>
      </c>
      <c r="I563" t="n">
        <v>0</v>
      </c>
      <c r="J563" t="n">
        <v>0</v>
      </c>
      <c r="K563" t="n">
        <v>0</v>
      </c>
      <c r="L563" t="n">
        <v>0</v>
      </c>
      <c r="M563" t="n">
        <v>0</v>
      </c>
      <c r="N563" t="n">
        <v>0</v>
      </c>
      <c r="O563" t="n">
        <v>0</v>
      </c>
      <c r="P563" t="n">
        <v>0</v>
      </c>
      <c r="Q563" t="n">
        <v>0</v>
      </c>
      <c r="R563" s="2" t="inlineStr"/>
    </row>
    <row r="564" ht="15" customHeight="1">
      <c r="A564" t="inlineStr">
        <is>
          <t>A 41896-2025</t>
        </is>
      </c>
      <c r="B564" s="1" t="n">
        <v>45903.38800925926</v>
      </c>
      <c r="C564" s="1" t="n">
        <v>46017</v>
      </c>
      <c r="D564" t="inlineStr">
        <is>
          <t>KALMAR LÄN</t>
        </is>
      </c>
      <c r="E564" t="inlineStr">
        <is>
          <t>VIMMERBY</t>
        </is>
      </c>
      <c r="G564" t="n">
        <v>2.9</v>
      </c>
      <c r="H564" t="n">
        <v>0</v>
      </c>
      <c r="I564" t="n">
        <v>0</v>
      </c>
      <c r="J564" t="n">
        <v>0</v>
      </c>
      <c r="K564" t="n">
        <v>0</v>
      </c>
      <c r="L564" t="n">
        <v>0</v>
      </c>
      <c r="M564" t="n">
        <v>0</v>
      </c>
      <c r="N564" t="n">
        <v>0</v>
      </c>
      <c r="O564" t="n">
        <v>0</v>
      </c>
      <c r="P564" t="n">
        <v>0</v>
      </c>
      <c r="Q564" t="n">
        <v>0</v>
      </c>
      <c r="R564" s="2" t="inlineStr"/>
    </row>
    <row r="565" ht="15" customHeight="1">
      <c r="A565" t="inlineStr">
        <is>
          <t>A 43186-2021</t>
        </is>
      </c>
      <c r="B565" s="1" t="n">
        <v>44431.84840277778</v>
      </c>
      <c r="C565" s="1" t="n">
        <v>46017</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60215-2022</t>
        </is>
      </c>
      <c r="B566" s="1" t="n">
        <v>44910.41346064815</v>
      </c>
      <c r="C566" s="1" t="n">
        <v>46017</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60230-2022</t>
        </is>
      </c>
      <c r="B567" s="1" t="n">
        <v>44910</v>
      </c>
      <c r="C567" s="1" t="n">
        <v>46017</v>
      </c>
      <c r="D567" t="inlineStr">
        <is>
          <t>KALMAR LÄN</t>
        </is>
      </c>
      <c r="E567" t="inlineStr">
        <is>
          <t>VIMMERBY</t>
        </is>
      </c>
      <c r="G567" t="n">
        <v>11.3</v>
      </c>
      <c r="H567" t="n">
        <v>0</v>
      </c>
      <c r="I567" t="n">
        <v>0</v>
      </c>
      <c r="J567" t="n">
        <v>0</v>
      </c>
      <c r="K567" t="n">
        <v>0</v>
      </c>
      <c r="L567" t="n">
        <v>0</v>
      </c>
      <c r="M567" t="n">
        <v>0</v>
      </c>
      <c r="N567" t="n">
        <v>0</v>
      </c>
      <c r="O567" t="n">
        <v>0</v>
      </c>
      <c r="P567" t="n">
        <v>0</v>
      </c>
      <c r="Q567" t="n">
        <v>0</v>
      </c>
      <c r="R567" s="2" t="inlineStr"/>
    </row>
    <row r="568" ht="15" customHeight="1">
      <c r="A568" t="inlineStr">
        <is>
          <t>A 5925-2022</t>
        </is>
      </c>
      <c r="B568" s="1" t="n">
        <v>44598.7384837963</v>
      </c>
      <c r="C568" s="1" t="n">
        <v>46017</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845-2023</t>
        </is>
      </c>
      <c r="B569" s="1" t="n">
        <v>44931</v>
      </c>
      <c r="C569" s="1" t="n">
        <v>46017</v>
      </c>
      <c r="D569" t="inlineStr">
        <is>
          <t>KALMAR LÄN</t>
        </is>
      </c>
      <c r="E569" t="inlineStr">
        <is>
          <t>VIMMERBY</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16119-2023</t>
        </is>
      </c>
      <c r="B570" s="1" t="n">
        <v>45027.59450231482</v>
      </c>
      <c r="C570" s="1" t="n">
        <v>46017</v>
      </c>
      <c r="D570" t="inlineStr">
        <is>
          <t>KALMAR LÄN</t>
        </is>
      </c>
      <c r="E570" t="inlineStr">
        <is>
          <t>VIMMERBY</t>
        </is>
      </c>
      <c r="F570" t="inlineStr">
        <is>
          <t>Kommuner</t>
        </is>
      </c>
      <c r="G570" t="n">
        <v>4.4</v>
      </c>
      <c r="H570" t="n">
        <v>0</v>
      </c>
      <c r="I570" t="n">
        <v>0</v>
      </c>
      <c r="J570" t="n">
        <v>0</v>
      </c>
      <c r="K570" t="n">
        <v>0</v>
      </c>
      <c r="L570" t="n">
        <v>0</v>
      </c>
      <c r="M570" t="n">
        <v>0</v>
      </c>
      <c r="N570" t="n">
        <v>0</v>
      </c>
      <c r="O570" t="n">
        <v>0</v>
      </c>
      <c r="P570" t="n">
        <v>0</v>
      </c>
      <c r="Q570" t="n">
        <v>0</v>
      </c>
      <c r="R570" s="2" t="inlineStr"/>
    </row>
    <row r="571" ht="15" customHeight="1">
      <c r="A571" t="inlineStr">
        <is>
          <t>A 30588-2023</t>
        </is>
      </c>
      <c r="B571" s="1" t="n">
        <v>45112.33599537037</v>
      </c>
      <c r="C571" s="1" t="n">
        <v>46017</v>
      </c>
      <c r="D571" t="inlineStr">
        <is>
          <t>KALMAR LÄN</t>
        </is>
      </c>
      <c r="E571" t="inlineStr">
        <is>
          <t>VIMMERBY</t>
        </is>
      </c>
      <c r="G571" t="n">
        <v>2.7</v>
      </c>
      <c r="H571" t="n">
        <v>0</v>
      </c>
      <c r="I571" t="n">
        <v>0</v>
      </c>
      <c r="J571" t="n">
        <v>0</v>
      </c>
      <c r="K571" t="n">
        <v>0</v>
      </c>
      <c r="L571" t="n">
        <v>0</v>
      </c>
      <c r="M571" t="n">
        <v>0</v>
      </c>
      <c r="N571" t="n">
        <v>0</v>
      </c>
      <c r="O571" t="n">
        <v>0</v>
      </c>
      <c r="P571" t="n">
        <v>0</v>
      </c>
      <c r="Q571" t="n">
        <v>0</v>
      </c>
      <c r="R571" s="2" t="inlineStr"/>
    </row>
    <row r="572" ht="15" customHeight="1">
      <c r="A572" t="inlineStr">
        <is>
          <t>A 45319-2025</t>
        </is>
      </c>
      <c r="B572" s="1" t="n">
        <v>45921.95611111111</v>
      </c>
      <c r="C572" s="1" t="n">
        <v>46017</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45320-2025</t>
        </is>
      </c>
      <c r="B573" s="1" t="n">
        <v>45921.96395833333</v>
      </c>
      <c r="C573" s="1" t="n">
        <v>46017</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33340-2023</t>
        </is>
      </c>
      <c r="B574" s="1" t="n">
        <v>45128.37305555555</v>
      </c>
      <c r="C574" s="1" t="n">
        <v>46017</v>
      </c>
      <c r="D574" t="inlineStr">
        <is>
          <t>KALMAR LÄN</t>
        </is>
      </c>
      <c r="E574" t="inlineStr">
        <is>
          <t>VIMMERBY</t>
        </is>
      </c>
      <c r="G574" t="n">
        <v>1.5</v>
      </c>
      <c r="H574" t="n">
        <v>0</v>
      </c>
      <c r="I574" t="n">
        <v>0</v>
      </c>
      <c r="J574" t="n">
        <v>0</v>
      </c>
      <c r="K574" t="n">
        <v>0</v>
      </c>
      <c r="L574" t="n">
        <v>0</v>
      </c>
      <c r="M574" t="n">
        <v>0</v>
      </c>
      <c r="N574" t="n">
        <v>0</v>
      </c>
      <c r="O574" t="n">
        <v>0</v>
      </c>
      <c r="P574" t="n">
        <v>0</v>
      </c>
      <c r="Q574" t="n">
        <v>0</v>
      </c>
      <c r="R574" s="2" t="inlineStr"/>
    </row>
    <row r="575" ht="15" customHeight="1">
      <c r="A575" t="inlineStr">
        <is>
          <t>A 45528-2021</t>
        </is>
      </c>
      <c r="B575" s="1" t="n">
        <v>44440.60415509259</v>
      </c>
      <c r="C575" s="1" t="n">
        <v>46017</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29017-2024</t>
        </is>
      </c>
      <c r="B576" s="1" t="n">
        <v>45481.56722222222</v>
      </c>
      <c r="C576" s="1" t="n">
        <v>46017</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45114-2025</t>
        </is>
      </c>
      <c r="B577" s="1" t="n">
        <v>45919.42387731482</v>
      </c>
      <c r="C577" s="1" t="n">
        <v>46017</v>
      </c>
      <c r="D577" t="inlineStr">
        <is>
          <t>KALMAR LÄN</t>
        </is>
      </c>
      <c r="E577" t="inlineStr">
        <is>
          <t>VIMMERBY</t>
        </is>
      </c>
      <c r="G577" t="n">
        <v>2.7</v>
      </c>
      <c r="H577" t="n">
        <v>0</v>
      </c>
      <c r="I577" t="n">
        <v>0</v>
      </c>
      <c r="J577" t="n">
        <v>0</v>
      </c>
      <c r="K577" t="n">
        <v>0</v>
      </c>
      <c r="L577" t="n">
        <v>0</v>
      </c>
      <c r="M577" t="n">
        <v>0</v>
      </c>
      <c r="N577" t="n">
        <v>0</v>
      </c>
      <c r="O577" t="n">
        <v>0</v>
      </c>
      <c r="P577" t="n">
        <v>0</v>
      </c>
      <c r="Q577" t="n">
        <v>0</v>
      </c>
      <c r="R577" s="2" t="inlineStr"/>
    </row>
    <row r="578" ht="15" customHeight="1">
      <c r="A578" t="inlineStr">
        <is>
          <t>A 58046-2022</t>
        </is>
      </c>
      <c r="B578" s="1" t="n">
        <v>44900.57393518519</v>
      </c>
      <c r="C578" s="1" t="n">
        <v>46017</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14548-2024</t>
        </is>
      </c>
      <c r="B579" s="1" t="n">
        <v>45394.66887731481</v>
      </c>
      <c r="C579" s="1" t="n">
        <v>46017</v>
      </c>
      <c r="D579" t="inlineStr">
        <is>
          <t>KALMAR LÄN</t>
        </is>
      </c>
      <c r="E579" t="inlineStr">
        <is>
          <t>VIMMERBY</t>
        </is>
      </c>
      <c r="G579" t="n">
        <v>0.9</v>
      </c>
      <c r="H579" t="n">
        <v>0</v>
      </c>
      <c r="I579" t="n">
        <v>0</v>
      </c>
      <c r="J579" t="n">
        <v>0</v>
      </c>
      <c r="K579" t="n">
        <v>0</v>
      </c>
      <c r="L579" t="n">
        <v>0</v>
      </c>
      <c r="M579" t="n">
        <v>0</v>
      </c>
      <c r="N579" t="n">
        <v>0</v>
      </c>
      <c r="O579" t="n">
        <v>0</v>
      </c>
      <c r="P579" t="n">
        <v>0</v>
      </c>
      <c r="Q579" t="n">
        <v>0</v>
      </c>
      <c r="R579" s="2" t="inlineStr"/>
    </row>
    <row r="580" ht="15" customHeight="1">
      <c r="A580" t="inlineStr">
        <is>
          <t>A 16516-2023</t>
        </is>
      </c>
      <c r="B580" s="1" t="n">
        <v>45029</v>
      </c>
      <c r="C580" s="1" t="n">
        <v>46017</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46118-2025</t>
        </is>
      </c>
      <c r="B581" s="1" t="n">
        <v>45924.57697916667</v>
      </c>
      <c r="C581" s="1" t="n">
        <v>46017</v>
      </c>
      <c r="D581" t="inlineStr">
        <is>
          <t>KALMAR LÄN</t>
        </is>
      </c>
      <c r="E581" t="inlineStr">
        <is>
          <t>VIMMERBY</t>
        </is>
      </c>
      <c r="G581" t="n">
        <v>2.9</v>
      </c>
      <c r="H581" t="n">
        <v>0</v>
      </c>
      <c r="I581" t="n">
        <v>0</v>
      </c>
      <c r="J581" t="n">
        <v>0</v>
      </c>
      <c r="K581" t="n">
        <v>0</v>
      </c>
      <c r="L581" t="n">
        <v>0</v>
      </c>
      <c r="M581" t="n">
        <v>0</v>
      </c>
      <c r="N581" t="n">
        <v>0</v>
      </c>
      <c r="O581" t="n">
        <v>0</v>
      </c>
      <c r="P581" t="n">
        <v>0</v>
      </c>
      <c r="Q581" t="n">
        <v>0</v>
      </c>
      <c r="R581" s="2" t="inlineStr"/>
    </row>
    <row r="582" ht="15" customHeight="1">
      <c r="A582" t="inlineStr">
        <is>
          <t>A 2510-2023</t>
        </is>
      </c>
      <c r="B582" s="1" t="n">
        <v>44943.57309027778</v>
      </c>
      <c r="C582" s="1" t="n">
        <v>46017</v>
      </c>
      <c r="D582" t="inlineStr">
        <is>
          <t>KALMAR LÄN</t>
        </is>
      </c>
      <c r="E582" t="inlineStr">
        <is>
          <t>VIMMERBY</t>
        </is>
      </c>
      <c r="G582" t="n">
        <v>8.6</v>
      </c>
      <c r="H582" t="n">
        <v>0</v>
      </c>
      <c r="I582" t="n">
        <v>0</v>
      </c>
      <c r="J582" t="n">
        <v>0</v>
      </c>
      <c r="K582" t="n">
        <v>0</v>
      </c>
      <c r="L582" t="n">
        <v>0</v>
      </c>
      <c r="M582" t="n">
        <v>0</v>
      </c>
      <c r="N582" t="n">
        <v>0</v>
      </c>
      <c r="O582" t="n">
        <v>0</v>
      </c>
      <c r="P582" t="n">
        <v>0</v>
      </c>
      <c r="Q582" t="n">
        <v>0</v>
      </c>
      <c r="R582" s="2" t="inlineStr"/>
    </row>
    <row r="583" ht="15" customHeight="1">
      <c r="A583" t="inlineStr">
        <is>
          <t>A 48120-2022</t>
        </is>
      </c>
      <c r="B583" s="1" t="n">
        <v>44857.65989583333</v>
      </c>
      <c r="C583" s="1" t="n">
        <v>46017</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44585.50431712963</v>
      </c>
      <c r="C584" s="1" t="n">
        <v>46017</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11074-2023</t>
        </is>
      </c>
      <c r="B585" s="1" t="n">
        <v>44992.34151620371</v>
      </c>
      <c r="C585" s="1" t="n">
        <v>46017</v>
      </c>
      <c r="D585" t="inlineStr">
        <is>
          <t>KALMAR LÄN</t>
        </is>
      </c>
      <c r="E585" t="inlineStr">
        <is>
          <t>VIMMERBY</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71631-2021</t>
        </is>
      </c>
      <c r="B586" s="1" t="n">
        <v>44542.90072916666</v>
      </c>
      <c r="C586" s="1" t="n">
        <v>46017</v>
      </c>
      <c r="D586" t="inlineStr">
        <is>
          <t>KALMAR LÄN</t>
        </is>
      </c>
      <c r="E586" t="inlineStr">
        <is>
          <t>VIMMERBY</t>
        </is>
      </c>
      <c r="G586" t="n">
        <v>0.9</v>
      </c>
      <c r="H586" t="n">
        <v>0</v>
      </c>
      <c r="I586" t="n">
        <v>0</v>
      </c>
      <c r="J586" t="n">
        <v>0</v>
      </c>
      <c r="K586" t="n">
        <v>0</v>
      </c>
      <c r="L586" t="n">
        <v>0</v>
      </c>
      <c r="M586" t="n">
        <v>0</v>
      </c>
      <c r="N586" t="n">
        <v>0</v>
      </c>
      <c r="O586" t="n">
        <v>0</v>
      </c>
      <c r="P586" t="n">
        <v>0</v>
      </c>
      <c r="Q586" t="n">
        <v>0</v>
      </c>
      <c r="R586" s="2" t="inlineStr"/>
    </row>
    <row r="587" ht="15" customHeight="1">
      <c r="A587" t="inlineStr">
        <is>
          <t>A 48373-2021</t>
        </is>
      </c>
      <c r="B587" s="1" t="n">
        <v>44451</v>
      </c>
      <c r="C587" s="1" t="n">
        <v>46017</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7485-2024</t>
        </is>
      </c>
      <c r="B588" s="1" t="n">
        <v>45346.67184027778</v>
      </c>
      <c r="C588" s="1" t="n">
        <v>46017</v>
      </c>
      <c r="D588" t="inlineStr">
        <is>
          <t>KALMAR LÄN</t>
        </is>
      </c>
      <c r="E588" t="inlineStr">
        <is>
          <t>VIMMERBY</t>
        </is>
      </c>
      <c r="G588" t="n">
        <v>1.9</v>
      </c>
      <c r="H588" t="n">
        <v>0</v>
      </c>
      <c r="I588" t="n">
        <v>0</v>
      </c>
      <c r="J588" t="n">
        <v>0</v>
      </c>
      <c r="K588" t="n">
        <v>0</v>
      </c>
      <c r="L588" t="n">
        <v>0</v>
      </c>
      <c r="M588" t="n">
        <v>0</v>
      </c>
      <c r="N588" t="n">
        <v>0</v>
      </c>
      <c r="O588" t="n">
        <v>0</v>
      </c>
      <c r="P588" t="n">
        <v>0</v>
      </c>
      <c r="Q588" t="n">
        <v>0</v>
      </c>
      <c r="R588" s="2" t="inlineStr"/>
    </row>
    <row r="589" ht="15" customHeight="1">
      <c r="A589" t="inlineStr">
        <is>
          <t>A 49039-2021</t>
        </is>
      </c>
      <c r="B589" s="1" t="n">
        <v>44453.56578703703</v>
      </c>
      <c r="C589" s="1" t="n">
        <v>46017</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42918-2021</t>
        </is>
      </c>
      <c r="B590" s="1" t="n">
        <v>44431</v>
      </c>
      <c r="C590" s="1" t="n">
        <v>46017</v>
      </c>
      <c r="D590" t="inlineStr">
        <is>
          <t>KALMAR LÄN</t>
        </is>
      </c>
      <c r="E590" t="inlineStr">
        <is>
          <t>VIMMERBY</t>
        </is>
      </c>
      <c r="G590" t="n">
        <v>1.6</v>
      </c>
      <c r="H590" t="n">
        <v>0</v>
      </c>
      <c r="I590" t="n">
        <v>0</v>
      </c>
      <c r="J590" t="n">
        <v>0</v>
      </c>
      <c r="K590" t="n">
        <v>0</v>
      </c>
      <c r="L590" t="n">
        <v>0</v>
      </c>
      <c r="M590" t="n">
        <v>0</v>
      </c>
      <c r="N590" t="n">
        <v>0</v>
      </c>
      <c r="O590" t="n">
        <v>0</v>
      </c>
      <c r="P590" t="n">
        <v>0</v>
      </c>
      <c r="Q590" t="n">
        <v>0</v>
      </c>
      <c r="R590" s="2" t="inlineStr"/>
    </row>
    <row r="591" ht="15" customHeight="1">
      <c r="A591" t="inlineStr">
        <is>
          <t>A 529-2022</t>
        </is>
      </c>
      <c r="B591" s="1" t="n">
        <v>44566</v>
      </c>
      <c r="C591" s="1" t="n">
        <v>46017</v>
      </c>
      <c r="D591" t="inlineStr">
        <is>
          <t>KALMAR LÄN</t>
        </is>
      </c>
      <c r="E591" t="inlineStr">
        <is>
          <t>VIMMERBY</t>
        </is>
      </c>
      <c r="G591" t="n">
        <v>1.5</v>
      </c>
      <c r="H591" t="n">
        <v>0</v>
      </c>
      <c r="I591" t="n">
        <v>0</v>
      </c>
      <c r="J591" t="n">
        <v>0</v>
      </c>
      <c r="K591" t="n">
        <v>0</v>
      </c>
      <c r="L591" t="n">
        <v>0</v>
      </c>
      <c r="M591" t="n">
        <v>0</v>
      </c>
      <c r="N591" t="n">
        <v>0</v>
      </c>
      <c r="O591" t="n">
        <v>0</v>
      </c>
      <c r="P591" t="n">
        <v>0</v>
      </c>
      <c r="Q591" t="n">
        <v>0</v>
      </c>
      <c r="R591" s="2" t="inlineStr"/>
    </row>
    <row r="592" ht="15" customHeight="1">
      <c r="A592" t="inlineStr">
        <is>
          <t>A 6574-2023</t>
        </is>
      </c>
      <c r="B592" s="1" t="n">
        <v>44966</v>
      </c>
      <c r="C592" s="1" t="n">
        <v>46017</v>
      </c>
      <c r="D592" t="inlineStr">
        <is>
          <t>KALMAR LÄN</t>
        </is>
      </c>
      <c r="E592" t="inlineStr">
        <is>
          <t>VIMMERBY</t>
        </is>
      </c>
      <c r="G592" t="n">
        <v>2.5</v>
      </c>
      <c r="H592" t="n">
        <v>0</v>
      </c>
      <c r="I592" t="n">
        <v>0</v>
      </c>
      <c r="J592" t="n">
        <v>0</v>
      </c>
      <c r="K592" t="n">
        <v>0</v>
      </c>
      <c r="L592" t="n">
        <v>0</v>
      </c>
      <c r="M592" t="n">
        <v>0</v>
      </c>
      <c r="N592" t="n">
        <v>0</v>
      </c>
      <c r="O592" t="n">
        <v>0</v>
      </c>
      <c r="P592" t="n">
        <v>0</v>
      </c>
      <c r="Q592" t="n">
        <v>0</v>
      </c>
      <c r="R592" s="2" t="inlineStr"/>
    </row>
    <row r="593" ht="15" customHeight="1">
      <c r="A593" t="inlineStr">
        <is>
          <t>A 45854-2025</t>
        </is>
      </c>
      <c r="B593" s="1" t="n">
        <v>45923</v>
      </c>
      <c r="C593" s="1" t="n">
        <v>46017</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45855-2025</t>
        </is>
      </c>
      <c r="B594" s="1" t="n">
        <v>45923</v>
      </c>
      <c r="C594" s="1" t="n">
        <v>46017</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20054-2023</t>
        </is>
      </c>
      <c r="B595" s="1" t="n">
        <v>45054.6750462963</v>
      </c>
      <c r="C595" s="1" t="n">
        <v>46017</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46361-2025</t>
        </is>
      </c>
      <c r="B596" s="1" t="n">
        <v>45925.49670138889</v>
      </c>
      <c r="C596" s="1" t="n">
        <v>46017</v>
      </c>
      <c r="D596" t="inlineStr">
        <is>
          <t>KALMAR LÄN</t>
        </is>
      </c>
      <c r="E596" t="inlineStr">
        <is>
          <t>VIMMERBY</t>
        </is>
      </c>
      <c r="G596" t="n">
        <v>4.2</v>
      </c>
      <c r="H596" t="n">
        <v>0</v>
      </c>
      <c r="I596" t="n">
        <v>0</v>
      </c>
      <c r="J596" t="n">
        <v>0</v>
      </c>
      <c r="K596" t="n">
        <v>0</v>
      </c>
      <c r="L596" t="n">
        <v>0</v>
      </c>
      <c r="M596" t="n">
        <v>0</v>
      </c>
      <c r="N596" t="n">
        <v>0</v>
      </c>
      <c r="O596" t="n">
        <v>0</v>
      </c>
      <c r="P596" t="n">
        <v>0</v>
      </c>
      <c r="Q596" t="n">
        <v>0</v>
      </c>
      <c r="R596" s="2" t="inlineStr"/>
    </row>
    <row r="597" ht="15" customHeight="1">
      <c r="A597" t="inlineStr">
        <is>
          <t>A 46365-2025</t>
        </is>
      </c>
      <c r="B597" s="1" t="n">
        <v>45925.50075231482</v>
      </c>
      <c r="C597" s="1" t="n">
        <v>46017</v>
      </c>
      <c r="D597" t="inlineStr">
        <is>
          <t>KALMAR LÄN</t>
        </is>
      </c>
      <c r="E597" t="inlineStr">
        <is>
          <t>VIMMERBY</t>
        </is>
      </c>
      <c r="G597" t="n">
        <v>5.6</v>
      </c>
      <c r="H597" t="n">
        <v>0</v>
      </c>
      <c r="I597" t="n">
        <v>0</v>
      </c>
      <c r="J597" t="n">
        <v>0</v>
      </c>
      <c r="K597" t="n">
        <v>0</v>
      </c>
      <c r="L597" t="n">
        <v>0</v>
      </c>
      <c r="M597" t="n">
        <v>0</v>
      </c>
      <c r="N597" t="n">
        <v>0</v>
      </c>
      <c r="O597" t="n">
        <v>0</v>
      </c>
      <c r="P597" t="n">
        <v>0</v>
      </c>
      <c r="Q597" t="n">
        <v>0</v>
      </c>
      <c r="R597" s="2" t="inlineStr"/>
    </row>
    <row r="598" ht="15" customHeight="1">
      <c r="A598" t="inlineStr">
        <is>
          <t>A 14855-2025</t>
        </is>
      </c>
      <c r="B598" s="1" t="n">
        <v>45743.41148148148</v>
      </c>
      <c r="C598" s="1" t="n">
        <v>46017</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60951-2023</t>
        </is>
      </c>
      <c r="B599" s="1" t="n">
        <v>45261.44914351852</v>
      </c>
      <c r="C599" s="1" t="n">
        <v>46017</v>
      </c>
      <c r="D599" t="inlineStr">
        <is>
          <t>KALMAR LÄN</t>
        </is>
      </c>
      <c r="E599" t="inlineStr">
        <is>
          <t>VIMMERBY</t>
        </is>
      </c>
      <c r="G599" t="n">
        <v>4.3</v>
      </c>
      <c r="H599" t="n">
        <v>0</v>
      </c>
      <c r="I599" t="n">
        <v>0</v>
      </c>
      <c r="J599" t="n">
        <v>0</v>
      </c>
      <c r="K599" t="n">
        <v>0</v>
      </c>
      <c r="L599" t="n">
        <v>0</v>
      </c>
      <c r="M599" t="n">
        <v>0</v>
      </c>
      <c r="N599" t="n">
        <v>0</v>
      </c>
      <c r="O599" t="n">
        <v>0</v>
      </c>
      <c r="P599" t="n">
        <v>0</v>
      </c>
      <c r="Q599" t="n">
        <v>0</v>
      </c>
      <c r="R599" s="2" t="inlineStr"/>
    </row>
    <row r="600" ht="15" customHeight="1">
      <c r="A600" t="inlineStr">
        <is>
          <t>A 58750-2022</t>
        </is>
      </c>
      <c r="B600" s="1" t="n">
        <v>44903.33363425926</v>
      </c>
      <c r="C600" s="1" t="n">
        <v>46017</v>
      </c>
      <c r="D600" t="inlineStr">
        <is>
          <t>KALMAR LÄN</t>
        </is>
      </c>
      <c r="E600" t="inlineStr">
        <is>
          <t>VIMMERBY</t>
        </is>
      </c>
      <c r="G600" t="n">
        <v>3.3</v>
      </c>
      <c r="H600" t="n">
        <v>0</v>
      </c>
      <c r="I600" t="n">
        <v>0</v>
      </c>
      <c r="J600" t="n">
        <v>0</v>
      </c>
      <c r="K600" t="n">
        <v>0</v>
      </c>
      <c r="L600" t="n">
        <v>0</v>
      </c>
      <c r="M600" t="n">
        <v>0</v>
      </c>
      <c r="N600" t="n">
        <v>0</v>
      </c>
      <c r="O600" t="n">
        <v>0</v>
      </c>
      <c r="P600" t="n">
        <v>0</v>
      </c>
      <c r="Q600" t="n">
        <v>0</v>
      </c>
      <c r="R600" s="2" t="inlineStr"/>
    </row>
    <row r="601" ht="15" customHeight="1">
      <c r="A601" t="inlineStr">
        <is>
          <t>A 19162-2023</t>
        </is>
      </c>
      <c r="B601" s="1" t="n">
        <v>45048.59699074074</v>
      </c>
      <c r="C601" s="1" t="n">
        <v>46017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45856-2025</t>
        </is>
      </c>
      <c r="B602" s="1" t="n">
        <v>45923</v>
      </c>
      <c r="C602" s="1" t="n">
        <v>46017</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31209-2024</t>
        </is>
      </c>
      <c r="B603" s="1" t="n">
        <v>45503.5658912037</v>
      </c>
      <c r="C603" s="1" t="n">
        <v>46017</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46887-2025</t>
        </is>
      </c>
      <c r="B604" s="1" t="n">
        <v>45929.3672337963</v>
      </c>
      <c r="C604" s="1" t="n">
        <v>46017</v>
      </c>
      <c r="D604" t="inlineStr">
        <is>
          <t>KALMAR LÄN</t>
        </is>
      </c>
      <c r="E604" t="inlineStr">
        <is>
          <t>VIMMERBY</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5864-2022</t>
        </is>
      </c>
      <c r="B605" s="1" t="n">
        <v>44596</v>
      </c>
      <c r="C605" s="1" t="n">
        <v>46017</v>
      </c>
      <c r="D605" t="inlineStr">
        <is>
          <t>KALMAR LÄN</t>
        </is>
      </c>
      <c r="E605" t="inlineStr">
        <is>
          <t>VIMMERBY</t>
        </is>
      </c>
      <c r="G605" t="n">
        <v>0.7</v>
      </c>
      <c r="H605" t="n">
        <v>0</v>
      </c>
      <c r="I605" t="n">
        <v>0</v>
      </c>
      <c r="J605" t="n">
        <v>0</v>
      </c>
      <c r="K605" t="n">
        <v>0</v>
      </c>
      <c r="L605" t="n">
        <v>0</v>
      </c>
      <c r="M605" t="n">
        <v>0</v>
      </c>
      <c r="N605" t="n">
        <v>0</v>
      </c>
      <c r="O605" t="n">
        <v>0</v>
      </c>
      <c r="P605" t="n">
        <v>0</v>
      </c>
      <c r="Q605" t="n">
        <v>0</v>
      </c>
      <c r="R605" s="2" t="inlineStr"/>
    </row>
    <row r="606" ht="15" customHeight="1">
      <c r="A606" t="inlineStr">
        <is>
          <t>A 47227-2025</t>
        </is>
      </c>
      <c r="B606" s="1" t="n">
        <v>45930.39769675926</v>
      </c>
      <c r="C606" s="1" t="n">
        <v>46017</v>
      </c>
      <c r="D606" t="inlineStr">
        <is>
          <t>KALMAR LÄN</t>
        </is>
      </c>
      <c r="E606" t="inlineStr">
        <is>
          <t>VIMMERBY</t>
        </is>
      </c>
      <c r="G606" t="n">
        <v>1.3</v>
      </c>
      <c r="H606" t="n">
        <v>0</v>
      </c>
      <c r="I606" t="n">
        <v>0</v>
      </c>
      <c r="J606" t="n">
        <v>0</v>
      </c>
      <c r="K606" t="n">
        <v>0</v>
      </c>
      <c r="L606" t="n">
        <v>0</v>
      </c>
      <c r="M606" t="n">
        <v>0</v>
      </c>
      <c r="N606" t="n">
        <v>0</v>
      </c>
      <c r="O606" t="n">
        <v>0</v>
      </c>
      <c r="P606" t="n">
        <v>0</v>
      </c>
      <c r="Q606" t="n">
        <v>0</v>
      </c>
      <c r="R606" s="2" t="inlineStr"/>
    </row>
    <row r="607" ht="15" customHeight="1">
      <c r="A607" t="inlineStr">
        <is>
          <t>A 52755-2022</t>
        </is>
      </c>
      <c r="B607" s="1" t="n">
        <v>44875.27736111111</v>
      </c>
      <c r="C607" s="1" t="n">
        <v>46017</v>
      </c>
      <c r="D607" t="inlineStr">
        <is>
          <t>KALMAR LÄN</t>
        </is>
      </c>
      <c r="E607" t="inlineStr">
        <is>
          <t>VIMMERBY</t>
        </is>
      </c>
      <c r="G607" t="n">
        <v>1.1</v>
      </c>
      <c r="H607" t="n">
        <v>0</v>
      </c>
      <c r="I607" t="n">
        <v>0</v>
      </c>
      <c r="J607" t="n">
        <v>0</v>
      </c>
      <c r="K607" t="n">
        <v>0</v>
      </c>
      <c r="L607" t="n">
        <v>0</v>
      </c>
      <c r="M607" t="n">
        <v>0</v>
      </c>
      <c r="N607" t="n">
        <v>0</v>
      </c>
      <c r="O607" t="n">
        <v>0</v>
      </c>
      <c r="P607" t="n">
        <v>0</v>
      </c>
      <c r="Q607" t="n">
        <v>0</v>
      </c>
      <c r="R607" s="2" t="inlineStr"/>
    </row>
    <row r="608" ht="15" customHeight="1">
      <c r="A608" t="inlineStr">
        <is>
          <t>A 2260-2022</t>
        </is>
      </c>
      <c r="B608" s="1" t="n">
        <v>44578.62943287037</v>
      </c>
      <c r="C608" s="1" t="n">
        <v>46017</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3938-2023</t>
        </is>
      </c>
      <c r="B609" s="1" t="n">
        <v>44952.35775462963</v>
      </c>
      <c r="C609" s="1" t="n">
        <v>46017</v>
      </c>
      <c r="D609" t="inlineStr">
        <is>
          <t>KALMAR LÄN</t>
        </is>
      </c>
      <c r="E609" t="inlineStr">
        <is>
          <t>VIMMERBY</t>
        </is>
      </c>
      <c r="G609" t="n">
        <v>0.9</v>
      </c>
      <c r="H609" t="n">
        <v>0</v>
      </c>
      <c r="I609" t="n">
        <v>0</v>
      </c>
      <c r="J609" t="n">
        <v>0</v>
      </c>
      <c r="K609" t="n">
        <v>0</v>
      </c>
      <c r="L609" t="n">
        <v>0</v>
      </c>
      <c r="M609" t="n">
        <v>0</v>
      </c>
      <c r="N609" t="n">
        <v>0</v>
      </c>
      <c r="O609" t="n">
        <v>0</v>
      </c>
      <c r="P609" t="n">
        <v>0</v>
      </c>
      <c r="Q609" t="n">
        <v>0</v>
      </c>
      <c r="R609" s="2" t="inlineStr"/>
    </row>
    <row r="610" ht="15" customHeight="1">
      <c r="A610" t="inlineStr">
        <is>
          <t>A 26937-2023</t>
        </is>
      </c>
      <c r="B610" s="1" t="n">
        <v>45093.62777777778</v>
      </c>
      <c r="C610" s="1" t="n">
        <v>46017</v>
      </c>
      <c r="D610" t="inlineStr">
        <is>
          <t>KALMAR LÄN</t>
        </is>
      </c>
      <c r="E610" t="inlineStr">
        <is>
          <t>VIMMERBY</t>
        </is>
      </c>
      <c r="F610" t="inlineStr">
        <is>
          <t>Sveaskog</t>
        </is>
      </c>
      <c r="G610" t="n">
        <v>14.5</v>
      </c>
      <c r="H610" t="n">
        <v>0</v>
      </c>
      <c r="I610" t="n">
        <v>0</v>
      </c>
      <c r="J610" t="n">
        <v>0</v>
      </c>
      <c r="K610" t="n">
        <v>0</v>
      </c>
      <c r="L610" t="n">
        <v>0</v>
      </c>
      <c r="M610" t="n">
        <v>0</v>
      </c>
      <c r="N610" t="n">
        <v>0</v>
      </c>
      <c r="O610" t="n">
        <v>0</v>
      </c>
      <c r="P610" t="n">
        <v>0</v>
      </c>
      <c r="Q610" t="n">
        <v>0</v>
      </c>
      <c r="R610" s="2" t="inlineStr"/>
    </row>
    <row r="611" ht="15" customHeight="1">
      <c r="A611" t="inlineStr">
        <is>
          <t>A 50085-2023</t>
        </is>
      </c>
      <c r="B611" s="1" t="n">
        <v>45215.5959375</v>
      </c>
      <c r="C611" s="1" t="n">
        <v>46017</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50860-2022</t>
        </is>
      </c>
      <c r="B612" s="1" t="n">
        <v>44867</v>
      </c>
      <c r="C612" s="1" t="n">
        <v>46017</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53483-2022</t>
        </is>
      </c>
      <c r="B613" s="1" t="n">
        <v>44879.55940972222</v>
      </c>
      <c r="C613" s="1" t="n">
        <v>46017</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11219-2023</t>
        </is>
      </c>
      <c r="B614" s="1" t="n">
        <v>44992.62498842592</v>
      </c>
      <c r="C614" s="1" t="n">
        <v>46017</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58962-2022</t>
        </is>
      </c>
      <c r="B615" s="1" t="n">
        <v>44903</v>
      </c>
      <c r="C615" s="1" t="n">
        <v>46017</v>
      </c>
      <c r="D615" t="inlineStr">
        <is>
          <t>KALMAR LÄN</t>
        </is>
      </c>
      <c r="E615" t="inlineStr">
        <is>
          <t>VIMMERBY</t>
        </is>
      </c>
      <c r="G615" t="n">
        <v>1.1</v>
      </c>
      <c r="H615" t="n">
        <v>0</v>
      </c>
      <c r="I615" t="n">
        <v>0</v>
      </c>
      <c r="J615" t="n">
        <v>0</v>
      </c>
      <c r="K615" t="n">
        <v>0</v>
      </c>
      <c r="L615" t="n">
        <v>0</v>
      </c>
      <c r="M615" t="n">
        <v>0</v>
      </c>
      <c r="N615" t="n">
        <v>0</v>
      </c>
      <c r="O615" t="n">
        <v>0</v>
      </c>
      <c r="P615" t="n">
        <v>0</v>
      </c>
      <c r="Q615" t="n">
        <v>0</v>
      </c>
      <c r="R615" s="2" t="inlineStr"/>
    </row>
    <row r="616" ht="15" customHeight="1">
      <c r="A616" t="inlineStr">
        <is>
          <t>A 47965-2025</t>
        </is>
      </c>
      <c r="B616" s="1" t="n">
        <v>45932.59597222223</v>
      </c>
      <c r="C616" s="1" t="n">
        <v>46017</v>
      </c>
      <c r="D616" t="inlineStr">
        <is>
          <t>KALMAR LÄN</t>
        </is>
      </c>
      <c r="E616" t="inlineStr">
        <is>
          <t>VIMMERBY</t>
        </is>
      </c>
      <c r="G616" t="n">
        <v>2.2</v>
      </c>
      <c r="H616" t="n">
        <v>0</v>
      </c>
      <c r="I616" t="n">
        <v>0</v>
      </c>
      <c r="J616" t="n">
        <v>0</v>
      </c>
      <c r="K616" t="n">
        <v>0</v>
      </c>
      <c r="L616" t="n">
        <v>0</v>
      </c>
      <c r="M616" t="n">
        <v>0</v>
      </c>
      <c r="N616" t="n">
        <v>0</v>
      </c>
      <c r="O616" t="n">
        <v>0</v>
      </c>
      <c r="P616" t="n">
        <v>0</v>
      </c>
      <c r="Q616" t="n">
        <v>0</v>
      </c>
      <c r="R616" s="2" t="inlineStr"/>
    </row>
    <row r="617" ht="15" customHeight="1">
      <c r="A617" t="inlineStr">
        <is>
          <t>A 58967-2022</t>
        </is>
      </c>
      <c r="B617" s="1" t="n">
        <v>44896</v>
      </c>
      <c r="C617" s="1" t="n">
        <v>46017</v>
      </c>
      <c r="D617" t="inlineStr">
        <is>
          <t>KALMAR LÄN</t>
        </is>
      </c>
      <c r="E617" t="inlineStr">
        <is>
          <t>VIMMERBY</t>
        </is>
      </c>
      <c r="G617" t="n">
        <v>5</v>
      </c>
      <c r="H617" t="n">
        <v>0</v>
      </c>
      <c r="I617" t="n">
        <v>0</v>
      </c>
      <c r="J617" t="n">
        <v>0</v>
      </c>
      <c r="K617" t="n">
        <v>0</v>
      </c>
      <c r="L617" t="n">
        <v>0</v>
      </c>
      <c r="M617" t="n">
        <v>0</v>
      </c>
      <c r="N617" t="n">
        <v>0</v>
      </c>
      <c r="O617" t="n">
        <v>0</v>
      </c>
      <c r="P617" t="n">
        <v>0</v>
      </c>
      <c r="Q617" t="n">
        <v>0</v>
      </c>
      <c r="R617" s="2" t="inlineStr"/>
    </row>
    <row r="618" ht="15" customHeight="1">
      <c r="A618" t="inlineStr">
        <is>
          <t>A 57682-2022</t>
        </is>
      </c>
      <c r="B618" s="1" t="n">
        <v>44890</v>
      </c>
      <c r="C618" s="1" t="n">
        <v>46017</v>
      </c>
      <c r="D618" t="inlineStr">
        <is>
          <t>KALMAR LÄN</t>
        </is>
      </c>
      <c r="E618" t="inlineStr">
        <is>
          <t>VIMMERBY</t>
        </is>
      </c>
      <c r="G618" t="n">
        <v>1.5</v>
      </c>
      <c r="H618" t="n">
        <v>0</v>
      </c>
      <c r="I618" t="n">
        <v>0</v>
      </c>
      <c r="J618" t="n">
        <v>0</v>
      </c>
      <c r="K618" t="n">
        <v>0</v>
      </c>
      <c r="L618" t="n">
        <v>0</v>
      </c>
      <c r="M618" t="n">
        <v>0</v>
      </c>
      <c r="N618" t="n">
        <v>0</v>
      </c>
      <c r="O618" t="n">
        <v>0</v>
      </c>
      <c r="P618" t="n">
        <v>0</v>
      </c>
      <c r="Q618" t="n">
        <v>0</v>
      </c>
      <c r="R618" s="2" t="inlineStr"/>
    </row>
    <row r="619" ht="15" customHeight="1">
      <c r="A619" t="inlineStr">
        <is>
          <t>A 47955-2025</t>
        </is>
      </c>
      <c r="B619" s="1" t="n">
        <v>45932.58896990741</v>
      </c>
      <c r="C619" s="1" t="n">
        <v>46017</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40823-2023</t>
        </is>
      </c>
      <c r="B620" s="1" t="n">
        <v>45171.77335648148</v>
      </c>
      <c r="C620" s="1" t="n">
        <v>46017</v>
      </c>
      <c r="D620" t="inlineStr">
        <is>
          <t>KALMAR LÄN</t>
        </is>
      </c>
      <c r="E620" t="inlineStr">
        <is>
          <t>VIMMERBY</t>
        </is>
      </c>
      <c r="G620" t="n">
        <v>2.7</v>
      </c>
      <c r="H620" t="n">
        <v>0</v>
      </c>
      <c r="I620" t="n">
        <v>0</v>
      </c>
      <c r="J620" t="n">
        <v>0</v>
      </c>
      <c r="K620" t="n">
        <v>0</v>
      </c>
      <c r="L620" t="n">
        <v>0</v>
      </c>
      <c r="M620" t="n">
        <v>0</v>
      </c>
      <c r="N620" t="n">
        <v>0</v>
      </c>
      <c r="O620" t="n">
        <v>0</v>
      </c>
      <c r="P620" t="n">
        <v>0</v>
      </c>
      <c r="Q620" t="n">
        <v>0</v>
      </c>
      <c r="R620" s="2" t="inlineStr"/>
    </row>
    <row r="621" ht="15" customHeight="1">
      <c r="A621" t="inlineStr">
        <is>
          <t>A 4076-2022</t>
        </is>
      </c>
      <c r="B621" s="1" t="n">
        <v>44588.37998842593</v>
      </c>
      <c r="C621" s="1" t="n">
        <v>46017</v>
      </c>
      <c r="D621" t="inlineStr">
        <is>
          <t>KALMAR LÄN</t>
        </is>
      </c>
      <c r="E621" t="inlineStr">
        <is>
          <t>VIMMERBY</t>
        </is>
      </c>
      <c r="G621" t="n">
        <v>3</v>
      </c>
      <c r="H621" t="n">
        <v>0</v>
      </c>
      <c r="I621" t="n">
        <v>0</v>
      </c>
      <c r="J621" t="n">
        <v>0</v>
      </c>
      <c r="K621" t="n">
        <v>0</v>
      </c>
      <c r="L621" t="n">
        <v>0</v>
      </c>
      <c r="M621" t="n">
        <v>0</v>
      </c>
      <c r="N621" t="n">
        <v>0</v>
      </c>
      <c r="O621" t="n">
        <v>0</v>
      </c>
      <c r="P621" t="n">
        <v>0</v>
      </c>
      <c r="Q621" t="n">
        <v>0</v>
      </c>
      <c r="R621" s="2" t="inlineStr"/>
    </row>
    <row r="622" ht="15" customHeight="1">
      <c r="A622" t="inlineStr">
        <is>
          <t>A 4122-2022</t>
        </is>
      </c>
      <c r="B622" s="1" t="n">
        <v>44588</v>
      </c>
      <c r="C622" s="1" t="n">
        <v>46017</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6850-2023</t>
        </is>
      </c>
      <c r="B623" s="1" t="n">
        <v>44967.44255787037</v>
      </c>
      <c r="C623" s="1" t="n">
        <v>46017</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6358-2022</t>
        </is>
      </c>
      <c r="B624" s="1" t="n">
        <v>44600</v>
      </c>
      <c r="C624" s="1" t="n">
        <v>46017</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48299-2025</t>
        </is>
      </c>
      <c r="B625" s="1" t="n">
        <v>45933.60982638889</v>
      </c>
      <c r="C625" s="1" t="n">
        <v>46017</v>
      </c>
      <c r="D625" t="inlineStr">
        <is>
          <t>KALMAR LÄN</t>
        </is>
      </c>
      <c r="E625" t="inlineStr">
        <is>
          <t>VIMMERBY</t>
        </is>
      </c>
      <c r="G625" t="n">
        <v>1.8</v>
      </c>
      <c r="H625" t="n">
        <v>0</v>
      </c>
      <c r="I625" t="n">
        <v>0</v>
      </c>
      <c r="J625" t="n">
        <v>0</v>
      </c>
      <c r="K625" t="n">
        <v>0</v>
      </c>
      <c r="L625" t="n">
        <v>0</v>
      </c>
      <c r="M625" t="n">
        <v>0</v>
      </c>
      <c r="N625" t="n">
        <v>0</v>
      </c>
      <c r="O625" t="n">
        <v>0</v>
      </c>
      <c r="P625" t="n">
        <v>0</v>
      </c>
      <c r="Q625" t="n">
        <v>0</v>
      </c>
      <c r="R625" s="2" t="inlineStr"/>
    </row>
    <row r="626" ht="15" customHeight="1">
      <c r="A626" t="inlineStr">
        <is>
          <t>A 9624-2024</t>
        </is>
      </c>
      <c r="B626" s="1" t="n">
        <v>45361.90282407407</v>
      </c>
      <c r="C626" s="1" t="n">
        <v>46017</v>
      </c>
      <c r="D626" t="inlineStr">
        <is>
          <t>KALMAR LÄN</t>
        </is>
      </c>
      <c r="E626" t="inlineStr">
        <is>
          <t>VIMMERBY</t>
        </is>
      </c>
      <c r="G626" t="n">
        <v>3.8</v>
      </c>
      <c r="H626" t="n">
        <v>0</v>
      </c>
      <c r="I626" t="n">
        <v>0</v>
      </c>
      <c r="J626" t="n">
        <v>0</v>
      </c>
      <c r="K626" t="n">
        <v>0</v>
      </c>
      <c r="L626" t="n">
        <v>0</v>
      </c>
      <c r="M626" t="n">
        <v>0</v>
      </c>
      <c r="N626" t="n">
        <v>0</v>
      </c>
      <c r="O626" t="n">
        <v>0</v>
      </c>
      <c r="P626" t="n">
        <v>0</v>
      </c>
      <c r="Q626" t="n">
        <v>0</v>
      </c>
      <c r="R626" s="2" t="inlineStr"/>
    </row>
    <row r="627" ht="15" customHeight="1">
      <c r="A627" t="inlineStr">
        <is>
          <t>A 43853-2023</t>
        </is>
      </c>
      <c r="B627" s="1" t="n">
        <v>45187.60813657408</v>
      </c>
      <c r="C627" s="1" t="n">
        <v>46017</v>
      </c>
      <c r="D627" t="inlineStr">
        <is>
          <t>KALMAR LÄN</t>
        </is>
      </c>
      <c r="E627" t="inlineStr">
        <is>
          <t>VIMMERBY</t>
        </is>
      </c>
      <c r="G627" t="n">
        <v>1.4</v>
      </c>
      <c r="H627" t="n">
        <v>0</v>
      </c>
      <c r="I627" t="n">
        <v>0</v>
      </c>
      <c r="J627" t="n">
        <v>0</v>
      </c>
      <c r="K627" t="n">
        <v>0</v>
      </c>
      <c r="L627" t="n">
        <v>0</v>
      </c>
      <c r="M627" t="n">
        <v>0</v>
      </c>
      <c r="N627" t="n">
        <v>0</v>
      </c>
      <c r="O627" t="n">
        <v>0</v>
      </c>
      <c r="P627" t="n">
        <v>0</v>
      </c>
      <c r="Q627" t="n">
        <v>0</v>
      </c>
      <c r="R627" s="2" t="inlineStr"/>
    </row>
    <row r="628" ht="15" customHeight="1">
      <c r="A628" t="inlineStr">
        <is>
          <t>A 52327-2023</t>
        </is>
      </c>
      <c r="B628" s="1" t="n">
        <v>45224.6515162037</v>
      </c>
      <c r="C628" s="1" t="n">
        <v>46017</v>
      </c>
      <c r="D628" t="inlineStr">
        <is>
          <t>KALMAR LÄN</t>
        </is>
      </c>
      <c r="E628" t="inlineStr">
        <is>
          <t>VIMMERBY</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48723-2025</t>
        </is>
      </c>
      <c r="B629" s="1" t="n">
        <v>45936.65121527778</v>
      </c>
      <c r="C629" s="1" t="n">
        <v>46017</v>
      </c>
      <c r="D629" t="inlineStr">
        <is>
          <t>KALMAR LÄN</t>
        </is>
      </c>
      <c r="E629" t="inlineStr">
        <is>
          <t>VIMMERBY</t>
        </is>
      </c>
      <c r="G629" t="n">
        <v>3</v>
      </c>
      <c r="H629" t="n">
        <v>0</v>
      </c>
      <c r="I629" t="n">
        <v>0</v>
      </c>
      <c r="J629" t="n">
        <v>0</v>
      </c>
      <c r="K629" t="n">
        <v>0</v>
      </c>
      <c r="L629" t="n">
        <v>0</v>
      </c>
      <c r="M629" t="n">
        <v>0</v>
      </c>
      <c r="N629" t="n">
        <v>0</v>
      </c>
      <c r="O629" t="n">
        <v>0</v>
      </c>
      <c r="P629" t="n">
        <v>0</v>
      </c>
      <c r="Q629" t="n">
        <v>0</v>
      </c>
      <c r="R629" s="2" t="inlineStr"/>
    </row>
    <row r="630" ht="15" customHeight="1">
      <c r="A630" t="inlineStr">
        <is>
          <t>A 7075-2021</t>
        </is>
      </c>
      <c r="B630" s="1" t="n">
        <v>44237</v>
      </c>
      <c r="C630" s="1" t="n">
        <v>46017</v>
      </c>
      <c r="D630" t="inlineStr">
        <is>
          <t>KALMAR LÄN</t>
        </is>
      </c>
      <c r="E630" t="inlineStr">
        <is>
          <t>VIMMERBY</t>
        </is>
      </c>
      <c r="G630" t="n">
        <v>3.6</v>
      </c>
      <c r="H630" t="n">
        <v>0</v>
      </c>
      <c r="I630" t="n">
        <v>0</v>
      </c>
      <c r="J630" t="n">
        <v>0</v>
      </c>
      <c r="K630" t="n">
        <v>0</v>
      </c>
      <c r="L630" t="n">
        <v>0</v>
      </c>
      <c r="M630" t="n">
        <v>0</v>
      </c>
      <c r="N630" t="n">
        <v>0</v>
      </c>
      <c r="O630" t="n">
        <v>0</v>
      </c>
      <c r="P630" t="n">
        <v>0</v>
      </c>
      <c r="Q630" t="n">
        <v>0</v>
      </c>
      <c r="R630" s="2" t="inlineStr"/>
    </row>
    <row r="631" ht="15" customHeight="1">
      <c r="A631" t="inlineStr">
        <is>
          <t>A 48673-2021</t>
        </is>
      </c>
      <c r="B631" s="1" t="n">
        <v>44452</v>
      </c>
      <c r="C631" s="1" t="n">
        <v>46017</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48600-2025</t>
        </is>
      </c>
      <c r="B632" s="1" t="n">
        <v>45935</v>
      </c>
      <c r="C632" s="1" t="n">
        <v>46017</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14137-2023</t>
        </is>
      </c>
      <c r="B633" s="1" t="n">
        <v>45009.4671875</v>
      </c>
      <c r="C633" s="1" t="n">
        <v>46017</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7630-2025</t>
        </is>
      </c>
      <c r="B634" s="1" t="n">
        <v>45705.74418981482</v>
      </c>
      <c r="C634" s="1" t="n">
        <v>46017</v>
      </c>
      <c r="D634" t="inlineStr">
        <is>
          <t>KALMAR LÄN</t>
        </is>
      </c>
      <c r="E634" t="inlineStr">
        <is>
          <t>VIMMERBY</t>
        </is>
      </c>
      <c r="G634" t="n">
        <v>2.5</v>
      </c>
      <c r="H634" t="n">
        <v>0</v>
      </c>
      <c r="I634" t="n">
        <v>0</v>
      </c>
      <c r="J634" t="n">
        <v>0</v>
      </c>
      <c r="K634" t="n">
        <v>0</v>
      </c>
      <c r="L634" t="n">
        <v>0</v>
      </c>
      <c r="M634" t="n">
        <v>0</v>
      </c>
      <c r="N634" t="n">
        <v>0</v>
      </c>
      <c r="O634" t="n">
        <v>0</v>
      </c>
      <c r="P634" t="n">
        <v>0</v>
      </c>
      <c r="Q634" t="n">
        <v>0</v>
      </c>
      <c r="R634" s="2" t="inlineStr"/>
    </row>
    <row r="635" ht="15" customHeight="1">
      <c r="A635" t="inlineStr">
        <is>
          <t>A 29616-2022</t>
        </is>
      </c>
      <c r="B635" s="1" t="n">
        <v>44754</v>
      </c>
      <c r="C635" s="1" t="n">
        <v>46017</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29348-2023</t>
        </is>
      </c>
      <c r="B636" s="1" t="n">
        <v>45106.25025462963</v>
      </c>
      <c r="C636" s="1" t="n">
        <v>46017</v>
      </c>
      <c r="D636" t="inlineStr">
        <is>
          <t>KALMAR LÄN</t>
        </is>
      </c>
      <c r="E636" t="inlineStr">
        <is>
          <t>VIMMERBY</t>
        </is>
      </c>
      <c r="G636" t="n">
        <v>2.4</v>
      </c>
      <c r="H636" t="n">
        <v>0</v>
      </c>
      <c r="I636" t="n">
        <v>0</v>
      </c>
      <c r="J636" t="n">
        <v>0</v>
      </c>
      <c r="K636" t="n">
        <v>0</v>
      </c>
      <c r="L636" t="n">
        <v>0</v>
      </c>
      <c r="M636" t="n">
        <v>0</v>
      </c>
      <c r="N636" t="n">
        <v>0</v>
      </c>
      <c r="O636" t="n">
        <v>0</v>
      </c>
      <c r="P636" t="n">
        <v>0</v>
      </c>
      <c r="Q636" t="n">
        <v>0</v>
      </c>
      <c r="R636" s="2" t="inlineStr"/>
    </row>
    <row r="637" ht="15" customHeight="1">
      <c r="A637" t="inlineStr">
        <is>
          <t>A 28403-2023</t>
        </is>
      </c>
      <c r="B637" s="1" t="n">
        <v>45100.85270833333</v>
      </c>
      <c r="C637" s="1" t="n">
        <v>46017</v>
      </c>
      <c r="D637" t="inlineStr">
        <is>
          <t>KALMAR LÄN</t>
        </is>
      </c>
      <c r="E637" t="inlineStr">
        <is>
          <t>VIMMERBY</t>
        </is>
      </c>
      <c r="G637" t="n">
        <v>1.8</v>
      </c>
      <c r="H637" t="n">
        <v>0</v>
      </c>
      <c r="I637" t="n">
        <v>0</v>
      </c>
      <c r="J637" t="n">
        <v>0</v>
      </c>
      <c r="K637" t="n">
        <v>0</v>
      </c>
      <c r="L637" t="n">
        <v>0</v>
      </c>
      <c r="M637" t="n">
        <v>0</v>
      </c>
      <c r="N637" t="n">
        <v>0</v>
      </c>
      <c r="O637" t="n">
        <v>0</v>
      </c>
      <c r="P637" t="n">
        <v>0</v>
      </c>
      <c r="Q637" t="n">
        <v>0</v>
      </c>
      <c r="R637" s="2" t="inlineStr"/>
    </row>
    <row r="638" ht="15" customHeight="1">
      <c r="A638" t="inlineStr">
        <is>
          <t>A 17511-2024</t>
        </is>
      </c>
      <c r="B638" s="1" t="n">
        <v>45415.57682870371</v>
      </c>
      <c r="C638" s="1" t="n">
        <v>46017</v>
      </c>
      <c r="D638" t="inlineStr">
        <is>
          <t>KALMAR LÄN</t>
        </is>
      </c>
      <c r="E638" t="inlineStr">
        <is>
          <t>VIMMERBY</t>
        </is>
      </c>
      <c r="G638" t="n">
        <v>5.3</v>
      </c>
      <c r="H638" t="n">
        <v>0</v>
      </c>
      <c r="I638" t="n">
        <v>0</v>
      </c>
      <c r="J638" t="n">
        <v>0</v>
      </c>
      <c r="K638" t="n">
        <v>0</v>
      </c>
      <c r="L638" t="n">
        <v>0</v>
      </c>
      <c r="M638" t="n">
        <v>0</v>
      </c>
      <c r="N638" t="n">
        <v>0</v>
      </c>
      <c r="O638" t="n">
        <v>0</v>
      </c>
      <c r="P638" t="n">
        <v>0</v>
      </c>
      <c r="Q638" t="n">
        <v>0</v>
      </c>
      <c r="R638" s="2" t="inlineStr"/>
    </row>
    <row r="639" ht="15" customHeight="1">
      <c r="A639" t="inlineStr">
        <is>
          <t>A 48408-2025</t>
        </is>
      </c>
      <c r="B639" s="1" t="n">
        <v>45934.40527777778</v>
      </c>
      <c r="C639" s="1" t="n">
        <v>46017</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48409-2025</t>
        </is>
      </c>
      <c r="B640" s="1" t="n">
        <v>45934.41387731482</v>
      </c>
      <c r="C640" s="1" t="n">
        <v>46017</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38780-2021</t>
        </is>
      </c>
      <c r="B641" s="1" t="n">
        <v>44410</v>
      </c>
      <c r="C641" s="1" t="n">
        <v>46017</v>
      </c>
      <c r="D641" t="inlineStr">
        <is>
          <t>KALMAR LÄN</t>
        </is>
      </c>
      <c r="E641" t="inlineStr">
        <is>
          <t>VIMMERBY</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30503-2023</t>
        </is>
      </c>
      <c r="B642" s="1" t="n">
        <v>45111</v>
      </c>
      <c r="C642" s="1" t="n">
        <v>46017</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66022-2021</t>
        </is>
      </c>
      <c r="B643" s="1" t="n">
        <v>44517</v>
      </c>
      <c r="C643" s="1" t="n">
        <v>46017</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48712-2025</t>
        </is>
      </c>
      <c r="B644" s="1" t="n">
        <v>45936.63373842592</v>
      </c>
      <c r="C644" s="1" t="n">
        <v>46017</v>
      </c>
      <c r="D644" t="inlineStr">
        <is>
          <t>KALMAR LÄN</t>
        </is>
      </c>
      <c r="E644" t="inlineStr">
        <is>
          <t>VIMMERBY</t>
        </is>
      </c>
      <c r="G644" t="n">
        <v>3</v>
      </c>
      <c r="H644" t="n">
        <v>0</v>
      </c>
      <c r="I644" t="n">
        <v>0</v>
      </c>
      <c r="J644" t="n">
        <v>0</v>
      </c>
      <c r="K644" t="n">
        <v>0</v>
      </c>
      <c r="L644" t="n">
        <v>0</v>
      </c>
      <c r="M644" t="n">
        <v>0</v>
      </c>
      <c r="N644" t="n">
        <v>0</v>
      </c>
      <c r="O644" t="n">
        <v>0</v>
      </c>
      <c r="P644" t="n">
        <v>0</v>
      </c>
      <c r="Q644" t="n">
        <v>0</v>
      </c>
      <c r="R644" s="2" t="inlineStr"/>
    </row>
    <row r="645" ht="15" customHeight="1">
      <c r="A645" t="inlineStr">
        <is>
          <t>A 29973-2023</t>
        </is>
      </c>
      <c r="B645" s="1" t="n">
        <v>45108.703125</v>
      </c>
      <c r="C645" s="1" t="n">
        <v>46017</v>
      </c>
      <c r="D645" t="inlineStr">
        <is>
          <t>KALMAR LÄN</t>
        </is>
      </c>
      <c r="E645" t="inlineStr">
        <is>
          <t>VIMMERBY</t>
        </is>
      </c>
      <c r="G645" t="n">
        <v>4</v>
      </c>
      <c r="H645" t="n">
        <v>0</v>
      </c>
      <c r="I645" t="n">
        <v>0</v>
      </c>
      <c r="J645" t="n">
        <v>0</v>
      </c>
      <c r="K645" t="n">
        <v>0</v>
      </c>
      <c r="L645" t="n">
        <v>0</v>
      </c>
      <c r="M645" t="n">
        <v>0</v>
      </c>
      <c r="N645" t="n">
        <v>0</v>
      </c>
      <c r="O645" t="n">
        <v>0</v>
      </c>
      <c r="P645" t="n">
        <v>0</v>
      </c>
      <c r="Q645" t="n">
        <v>0</v>
      </c>
      <c r="R645" s="2" t="inlineStr"/>
    </row>
    <row r="646" ht="15" customHeight="1">
      <c r="A646" t="inlineStr">
        <is>
          <t>A 60110-2022</t>
        </is>
      </c>
      <c r="B646" s="1" t="n">
        <v>44909</v>
      </c>
      <c r="C646" s="1" t="n">
        <v>46017</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30070-2023</t>
        </is>
      </c>
      <c r="B647" s="1" t="n">
        <v>45110.4275</v>
      </c>
      <c r="C647" s="1" t="n">
        <v>46017</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59300-2024</t>
        </is>
      </c>
      <c r="B648" s="1" t="n">
        <v>45637.66542824074</v>
      </c>
      <c r="C648" s="1" t="n">
        <v>46017</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46078-2023</t>
        </is>
      </c>
      <c r="B649" s="1" t="n">
        <v>45196</v>
      </c>
      <c r="C649" s="1" t="n">
        <v>46017</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19445-2021</t>
        </is>
      </c>
      <c r="B650" s="1" t="n">
        <v>44310</v>
      </c>
      <c r="C650" s="1" t="n">
        <v>46017</v>
      </c>
      <c r="D650" t="inlineStr">
        <is>
          <t>KALMAR LÄN</t>
        </is>
      </c>
      <c r="E650" t="inlineStr">
        <is>
          <t>VIMMERBY</t>
        </is>
      </c>
      <c r="G650" t="n">
        <v>6.8</v>
      </c>
      <c r="H650" t="n">
        <v>0</v>
      </c>
      <c r="I650" t="n">
        <v>0</v>
      </c>
      <c r="J650" t="n">
        <v>0</v>
      </c>
      <c r="K650" t="n">
        <v>0</v>
      </c>
      <c r="L650" t="n">
        <v>0</v>
      </c>
      <c r="M650" t="n">
        <v>0</v>
      </c>
      <c r="N650" t="n">
        <v>0</v>
      </c>
      <c r="O650" t="n">
        <v>0</v>
      </c>
      <c r="P650" t="n">
        <v>0</v>
      </c>
      <c r="Q650" t="n">
        <v>0</v>
      </c>
      <c r="R650" s="2" t="inlineStr"/>
    </row>
    <row r="651" ht="15" customHeight="1">
      <c r="A651" t="inlineStr">
        <is>
          <t>A 7643-2022</t>
        </is>
      </c>
      <c r="B651" s="1" t="n">
        <v>44607</v>
      </c>
      <c r="C651" s="1" t="n">
        <v>46017</v>
      </c>
      <c r="D651" t="inlineStr">
        <is>
          <t>KALMAR LÄN</t>
        </is>
      </c>
      <c r="E651" t="inlineStr">
        <is>
          <t>VIMMERBY</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27761-2024</t>
        </is>
      </c>
      <c r="B652" s="1" t="n">
        <v>45475.49018518518</v>
      </c>
      <c r="C652" s="1" t="n">
        <v>46017</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3494-2023</t>
        </is>
      </c>
      <c r="B653" s="1" t="n">
        <v>44949</v>
      </c>
      <c r="C653" s="1" t="n">
        <v>46017</v>
      </c>
      <c r="D653" t="inlineStr">
        <is>
          <t>KALMAR LÄN</t>
        </is>
      </c>
      <c r="E653" t="inlineStr">
        <is>
          <t>VIMMERBY</t>
        </is>
      </c>
      <c r="F653" t="inlineStr">
        <is>
          <t>Kyrkan</t>
        </is>
      </c>
      <c r="G653" t="n">
        <v>0.8</v>
      </c>
      <c r="H653" t="n">
        <v>0</v>
      </c>
      <c r="I653" t="n">
        <v>0</v>
      </c>
      <c r="J653" t="n">
        <v>0</v>
      </c>
      <c r="K653" t="n">
        <v>0</v>
      </c>
      <c r="L653" t="n">
        <v>0</v>
      </c>
      <c r="M653" t="n">
        <v>0</v>
      </c>
      <c r="N653" t="n">
        <v>0</v>
      </c>
      <c r="O653" t="n">
        <v>0</v>
      </c>
      <c r="P653" t="n">
        <v>0</v>
      </c>
      <c r="Q653" t="n">
        <v>0</v>
      </c>
      <c r="R653" s="2" t="inlineStr"/>
    </row>
    <row r="654" ht="15" customHeight="1">
      <c r="A654" t="inlineStr">
        <is>
          <t>A 32633-2023</t>
        </is>
      </c>
      <c r="B654" s="1" t="n">
        <v>45121.58699074074</v>
      </c>
      <c r="C654" s="1" t="n">
        <v>46017</v>
      </c>
      <c r="D654" t="inlineStr">
        <is>
          <t>KALMAR LÄN</t>
        </is>
      </c>
      <c r="E654" t="inlineStr">
        <is>
          <t>VIMMERBY</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21028-2023</t>
        </is>
      </c>
      <c r="B655" s="1" t="n">
        <v>45061</v>
      </c>
      <c r="C655" s="1" t="n">
        <v>46017</v>
      </c>
      <c r="D655" t="inlineStr">
        <is>
          <t>KALMAR LÄN</t>
        </is>
      </c>
      <c r="E655" t="inlineStr">
        <is>
          <t>VIMMERBY</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18329-2023</t>
        </is>
      </c>
      <c r="B656" s="1" t="n">
        <v>45041.63380787037</v>
      </c>
      <c r="C656" s="1" t="n">
        <v>46017</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5720-2023</t>
        </is>
      </c>
      <c r="B657" s="1" t="n">
        <v>44961</v>
      </c>
      <c r="C657" s="1" t="n">
        <v>46017</v>
      </c>
      <c r="D657" t="inlineStr">
        <is>
          <t>KALMAR LÄN</t>
        </is>
      </c>
      <c r="E657" t="inlineStr">
        <is>
          <t>VIMMERBY</t>
        </is>
      </c>
      <c r="G657" t="n">
        <v>1.4</v>
      </c>
      <c r="H657" t="n">
        <v>0</v>
      </c>
      <c r="I657" t="n">
        <v>0</v>
      </c>
      <c r="J657" t="n">
        <v>0</v>
      </c>
      <c r="K657" t="n">
        <v>0</v>
      </c>
      <c r="L657" t="n">
        <v>0</v>
      </c>
      <c r="M657" t="n">
        <v>0</v>
      </c>
      <c r="N657" t="n">
        <v>0</v>
      </c>
      <c r="O657" t="n">
        <v>0</v>
      </c>
      <c r="P657" t="n">
        <v>0</v>
      </c>
      <c r="Q657" t="n">
        <v>0</v>
      </c>
      <c r="R657" s="2" t="inlineStr"/>
    </row>
    <row r="658" ht="15" customHeight="1">
      <c r="A658" t="inlineStr">
        <is>
          <t>A 43601-2024</t>
        </is>
      </c>
      <c r="B658" s="1" t="n">
        <v>45569.44684027778</v>
      </c>
      <c r="C658" s="1" t="n">
        <v>46017</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61538-2022</t>
        </is>
      </c>
      <c r="B659" s="1" t="n">
        <v>44916.55414351852</v>
      </c>
      <c r="C659" s="1" t="n">
        <v>46017</v>
      </c>
      <c r="D659" t="inlineStr">
        <is>
          <t>KALMAR LÄN</t>
        </is>
      </c>
      <c r="E659" t="inlineStr">
        <is>
          <t>VIMMERBY</t>
        </is>
      </c>
      <c r="G659" t="n">
        <v>1.5</v>
      </c>
      <c r="H659" t="n">
        <v>0</v>
      </c>
      <c r="I659" t="n">
        <v>0</v>
      </c>
      <c r="J659" t="n">
        <v>0</v>
      </c>
      <c r="K659" t="n">
        <v>0</v>
      </c>
      <c r="L659" t="n">
        <v>0</v>
      </c>
      <c r="M659" t="n">
        <v>0</v>
      </c>
      <c r="N659" t="n">
        <v>0</v>
      </c>
      <c r="O659" t="n">
        <v>0</v>
      </c>
      <c r="P659" t="n">
        <v>0</v>
      </c>
      <c r="Q659" t="n">
        <v>0</v>
      </c>
      <c r="R659" s="2" t="inlineStr"/>
    </row>
    <row r="660" ht="15" customHeight="1">
      <c r="A660" t="inlineStr">
        <is>
          <t>A 694-2024</t>
        </is>
      </c>
      <c r="B660" s="1" t="n">
        <v>45300.3794212963</v>
      </c>
      <c r="C660" s="1" t="n">
        <v>46017</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64203-2021</t>
        </is>
      </c>
      <c r="B661" s="1" t="n">
        <v>44510.60921296296</v>
      </c>
      <c r="C661" s="1" t="n">
        <v>46017</v>
      </c>
      <c r="D661" t="inlineStr">
        <is>
          <t>KALMAR LÄN</t>
        </is>
      </c>
      <c r="E661" t="inlineStr">
        <is>
          <t>VIMMERBY</t>
        </is>
      </c>
      <c r="F661" t="inlineStr">
        <is>
          <t>Övriga Aktiebolag</t>
        </is>
      </c>
      <c r="G661" t="n">
        <v>5.4</v>
      </c>
      <c r="H661" t="n">
        <v>0</v>
      </c>
      <c r="I661" t="n">
        <v>0</v>
      </c>
      <c r="J661" t="n">
        <v>0</v>
      </c>
      <c r="K661" t="n">
        <v>0</v>
      </c>
      <c r="L661" t="n">
        <v>0</v>
      </c>
      <c r="M661" t="n">
        <v>0</v>
      </c>
      <c r="N661" t="n">
        <v>0</v>
      </c>
      <c r="O661" t="n">
        <v>0</v>
      </c>
      <c r="P661" t="n">
        <v>0</v>
      </c>
      <c r="Q661" t="n">
        <v>0</v>
      </c>
      <c r="R661" s="2" t="inlineStr"/>
    </row>
    <row r="662" ht="15" customHeight="1">
      <c r="A662" t="inlineStr">
        <is>
          <t>A 57114-2023</t>
        </is>
      </c>
      <c r="B662" s="1" t="n">
        <v>45245.36174768519</v>
      </c>
      <c r="C662" s="1" t="n">
        <v>46017</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13813-2024</t>
        </is>
      </c>
      <c r="B663" s="1" t="n">
        <v>45391.41310185185</v>
      </c>
      <c r="C663" s="1" t="n">
        <v>46017</v>
      </c>
      <c r="D663" t="inlineStr">
        <is>
          <t>KALMAR LÄN</t>
        </is>
      </c>
      <c r="E663" t="inlineStr">
        <is>
          <t>VIMMERBY</t>
        </is>
      </c>
      <c r="G663" t="n">
        <v>0.4</v>
      </c>
      <c r="H663" t="n">
        <v>0</v>
      </c>
      <c r="I663" t="n">
        <v>0</v>
      </c>
      <c r="J663" t="n">
        <v>0</v>
      </c>
      <c r="K663" t="n">
        <v>0</v>
      </c>
      <c r="L663" t="n">
        <v>0</v>
      </c>
      <c r="M663" t="n">
        <v>0</v>
      </c>
      <c r="N663" t="n">
        <v>0</v>
      </c>
      <c r="O663" t="n">
        <v>0</v>
      </c>
      <c r="P663" t="n">
        <v>0</v>
      </c>
      <c r="Q663" t="n">
        <v>0</v>
      </c>
      <c r="R663" s="2" t="inlineStr"/>
    </row>
    <row r="664" ht="15" customHeight="1">
      <c r="A664" t="inlineStr">
        <is>
          <t>A 25234-2023</t>
        </is>
      </c>
      <c r="B664" s="1" t="n">
        <v>45086.63194444445</v>
      </c>
      <c r="C664" s="1" t="n">
        <v>46017</v>
      </c>
      <c r="D664" t="inlineStr">
        <is>
          <t>KALMAR LÄN</t>
        </is>
      </c>
      <c r="E664" t="inlineStr">
        <is>
          <t>VIMMERBY</t>
        </is>
      </c>
      <c r="G664" t="n">
        <v>2.1</v>
      </c>
      <c r="H664" t="n">
        <v>0</v>
      </c>
      <c r="I664" t="n">
        <v>0</v>
      </c>
      <c r="J664" t="n">
        <v>0</v>
      </c>
      <c r="K664" t="n">
        <v>0</v>
      </c>
      <c r="L664" t="n">
        <v>0</v>
      </c>
      <c r="M664" t="n">
        <v>0</v>
      </c>
      <c r="N664" t="n">
        <v>0</v>
      </c>
      <c r="O664" t="n">
        <v>0</v>
      </c>
      <c r="P664" t="n">
        <v>0</v>
      </c>
      <c r="Q664" t="n">
        <v>0</v>
      </c>
      <c r="R664" s="2" t="inlineStr"/>
    </row>
    <row r="665" ht="15" customHeight="1">
      <c r="A665" t="inlineStr">
        <is>
          <t>A 25236-2023</t>
        </is>
      </c>
      <c r="B665" s="1" t="n">
        <v>45086.63334490741</v>
      </c>
      <c r="C665" s="1" t="n">
        <v>46017</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12327-2023</t>
        </is>
      </c>
      <c r="B666" s="1" t="n">
        <v>44999.36081018519</v>
      </c>
      <c r="C666" s="1" t="n">
        <v>46017</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25244-2023</t>
        </is>
      </c>
      <c r="B667" s="1" t="n">
        <v>45086</v>
      </c>
      <c r="C667" s="1" t="n">
        <v>46017</v>
      </c>
      <c r="D667" t="inlineStr">
        <is>
          <t>KALMAR LÄN</t>
        </is>
      </c>
      <c r="E667" t="inlineStr">
        <is>
          <t>VIMMERBY</t>
        </is>
      </c>
      <c r="G667" t="n">
        <v>4.7</v>
      </c>
      <c r="H667" t="n">
        <v>0</v>
      </c>
      <c r="I667" t="n">
        <v>0</v>
      </c>
      <c r="J667" t="n">
        <v>0</v>
      </c>
      <c r="K667" t="n">
        <v>0</v>
      </c>
      <c r="L667" t="n">
        <v>0</v>
      </c>
      <c r="M667" t="n">
        <v>0</v>
      </c>
      <c r="N667" t="n">
        <v>0</v>
      </c>
      <c r="O667" t="n">
        <v>0</v>
      </c>
      <c r="P667" t="n">
        <v>0</v>
      </c>
      <c r="Q667" t="n">
        <v>0</v>
      </c>
      <c r="R667" s="2" t="inlineStr"/>
    </row>
    <row r="668" ht="15" customHeight="1">
      <c r="A668" t="inlineStr">
        <is>
          <t>A 30633-2024</t>
        </is>
      </c>
      <c r="B668" s="1" t="n">
        <v>45495</v>
      </c>
      <c r="C668" s="1" t="n">
        <v>46017</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33424-2023</t>
        </is>
      </c>
      <c r="B669" s="1" t="n">
        <v>45128.9325</v>
      </c>
      <c r="C669" s="1" t="n">
        <v>46017</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1016-2024</t>
        </is>
      </c>
      <c r="B670" s="1" t="n">
        <v>45301</v>
      </c>
      <c r="C670" s="1" t="n">
        <v>46017</v>
      </c>
      <c r="D670" t="inlineStr">
        <is>
          <t>KALMAR LÄN</t>
        </is>
      </c>
      <c r="E670" t="inlineStr">
        <is>
          <t>VIMMERBY</t>
        </is>
      </c>
      <c r="G670" t="n">
        <v>1</v>
      </c>
      <c r="H670" t="n">
        <v>0</v>
      </c>
      <c r="I670" t="n">
        <v>0</v>
      </c>
      <c r="J670" t="n">
        <v>0</v>
      </c>
      <c r="K670" t="n">
        <v>0</v>
      </c>
      <c r="L670" t="n">
        <v>0</v>
      </c>
      <c r="M670" t="n">
        <v>0</v>
      </c>
      <c r="N670" t="n">
        <v>0</v>
      </c>
      <c r="O670" t="n">
        <v>0</v>
      </c>
      <c r="P670" t="n">
        <v>0</v>
      </c>
      <c r="Q670" t="n">
        <v>0</v>
      </c>
      <c r="R670" s="2" t="inlineStr"/>
    </row>
    <row r="671" ht="15" customHeight="1">
      <c r="A671" t="inlineStr">
        <is>
          <t>A 1024-2024</t>
        </is>
      </c>
      <c r="B671" s="1" t="n">
        <v>45301.68237268519</v>
      </c>
      <c r="C671" s="1" t="n">
        <v>46017</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27758-2024</t>
        </is>
      </c>
      <c r="B672" s="1" t="n">
        <v>45475.48303240741</v>
      </c>
      <c r="C672" s="1" t="n">
        <v>46017</v>
      </c>
      <c r="D672" t="inlineStr">
        <is>
          <t>KALMAR LÄN</t>
        </is>
      </c>
      <c r="E672" t="inlineStr">
        <is>
          <t>VIMMERBY</t>
        </is>
      </c>
      <c r="G672" t="n">
        <v>2.6</v>
      </c>
      <c r="H672" t="n">
        <v>0</v>
      </c>
      <c r="I672" t="n">
        <v>0</v>
      </c>
      <c r="J672" t="n">
        <v>0</v>
      </c>
      <c r="K672" t="n">
        <v>0</v>
      </c>
      <c r="L672" t="n">
        <v>0</v>
      </c>
      <c r="M672" t="n">
        <v>0</v>
      </c>
      <c r="N672" t="n">
        <v>0</v>
      </c>
      <c r="O672" t="n">
        <v>0</v>
      </c>
      <c r="P672" t="n">
        <v>0</v>
      </c>
      <c r="Q672" t="n">
        <v>0</v>
      </c>
      <c r="R672" s="2" t="inlineStr"/>
    </row>
    <row r="673" ht="15" customHeight="1">
      <c r="A673" t="inlineStr">
        <is>
          <t>A 33425-2023</t>
        </is>
      </c>
      <c r="B673" s="1" t="n">
        <v>45128.93540509259</v>
      </c>
      <c r="C673" s="1" t="n">
        <v>46017</v>
      </c>
      <c r="D673" t="inlineStr">
        <is>
          <t>KALMAR LÄN</t>
        </is>
      </c>
      <c r="E673" t="inlineStr">
        <is>
          <t>VIMMERBY</t>
        </is>
      </c>
      <c r="G673" t="n">
        <v>1.4</v>
      </c>
      <c r="H673" t="n">
        <v>0</v>
      </c>
      <c r="I673" t="n">
        <v>0</v>
      </c>
      <c r="J673" t="n">
        <v>0</v>
      </c>
      <c r="K673" t="n">
        <v>0</v>
      </c>
      <c r="L673" t="n">
        <v>0</v>
      </c>
      <c r="M673" t="n">
        <v>0</v>
      </c>
      <c r="N673" t="n">
        <v>0</v>
      </c>
      <c r="O673" t="n">
        <v>0</v>
      </c>
      <c r="P673" t="n">
        <v>0</v>
      </c>
      <c r="Q673" t="n">
        <v>0</v>
      </c>
      <c r="R673" s="2" t="inlineStr"/>
    </row>
    <row r="674" ht="15" customHeight="1">
      <c r="A674" t="inlineStr">
        <is>
          <t>A 3609-2024</t>
        </is>
      </c>
      <c r="B674" s="1" t="n">
        <v>45320.89128472222</v>
      </c>
      <c r="C674" s="1" t="n">
        <v>46017</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23341-2022</t>
        </is>
      </c>
      <c r="B675" s="1" t="n">
        <v>44720.53898148148</v>
      </c>
      <c r="C675" s="1" t="n">
        <v>46017</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8086-2021</t>
        </is>
      </c>
      <c r="B676" s="1" t="n">
        <v>44243</v>
      </c>
      <c r="C676" s="1" t="n">
        <v>46017</v>
      </c>
      <c r="D676" t="inlineStr">
        <is>
          <t>KALMAR LÄN</t>
        </is>
      </c>
      <c r="E676" t="inlineStr">
        <is>
          <t>VIMMERBY</t>
        </is>
      </c>
      <c r="G676" t="n">
        <v>4.1</v>
      </c>
      <c r="H676" t="n">
        <v>0</v>
      </c>
      <c r="I676" t="n">
        <v>0</v>
      </c>
      <c r="J676" t="n">
        <v>0</v>
      </c>
      <c r="K676" t="n">
        <v>0</v>
      </c>
      <c r="L676" t="n">
        <v>0</v>
      </c>
      <c r="M676" t="n">
        <v>0</v>
      </c>
      <c r="N676" t="n">
        <v>0</v>
      </c>
      <c r="O676" t="n">
        <v>0</v>
      </c>
      <c r="P676" t="n">
        <v>0</v>
      </c>
      <c r="Q676" t="n">
        <v>0</v>
      </c>
      <c r="R676" s="2" t="inlineStr"/>
    </row>
    <row r="677" ht="15" customHeight="1">
      <c r="A677" t="inlineStr">
        <is>
          <t>A 71793-2021</t>
        </is>
      </c>
      <c r="B677" s="1" t="n">
        <v>44539</v>
      </c>
      <c r="C677" s="1" t="n">
        <v>46017</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49871-2025</t>
        </is>
      </c>
      <c r="B678" s="1" t="n">
        <v>45940.54104166666</v>
      </c>
      <c r="C678" s="1" t="n">
        <v>46017</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73938-2021</t>
        </is>
      </c>
      <c r="B679" s="1" t="n">
        <v>44553</v>
      </c>
      <c r="C679" s="1" t="n">
        <v>46017</v>
      </c>
      <c r="D679" t="inlineStr">
        <is>
          <t>KALMAR LÄN</t>
        </is>
      </c>
      <c r="E679" t="inlineStr">
        <is>
          <t>VIMMERBY</t>
        </is>
      </c>
      <c r="G679" t="n">
        <v>3.2</v>
      </c>
      <c r="H679" t="n">
        <v>0</v>
      </c>
      <c r="I679" t="n">
        <v>0</v>
      </c>
      <c r="J679" t="n">
        <v>0</v>
      </c>
      <c r="K679" t="n">
        <v>0</v>
      </c>
      <c r="L679" t="n">
        <v>0</v>
      </c>
      <c r="M679" t="n">
        <v>0</v>
      </c>
      <c r="N679" t="n">
        <v>0</v>
      </c>
      <c r="O679" t="n">
        <v>0</v>
      </c>
      <c r="P679" t="n">
        <v>0</v>
      </c>
      <c r="Q679" t="n">
        <v>0</v>
      </c>
      <c r="R679" s="2" t="inlineStr"/>
    </row>
    <row r="680" ht="15" customHeight="1">
      <c r="A680" t="inlineStr">
        <is>
          <t>A 58435-2025</t>
        </is>
      </c>
      <c r="B680" s="1" t="n">
        <v>45985.61501157407</v>
      </c>
      <c r="C680" s="1" t="n">
        <v>46017</v>
      </c>
      <c r="D680" t="inlineStr">
        <is>
          <t>KALMAR LÄN</t>
        </is>
      </c>
      <c r="E680" t="inlineStr">
        <is>
          <t>VIMMERBY</t>
        </is>
      </c>
      <c r="G680" t="n">
        <v>1.3</v>
      </c>
      <c r="H680" t="n">
        <v>0</v>
      </c>
      <c r="I680" t="n">
        <v>0</v>
      </c>
      <c r="J680" t="n">
        <v>0</v>
      </c>
      <c r="K680" t="n">
        <v>0</v>
      </c>
      <c r="L680" t="n">
        <v>0</v>
      </c>
      <c r="M680" t="n">
        <v>0</v>
      </c>
      <c r="N680" t="n">
        <v>0</v>
      </c>
      <c r="O680" t="n">
        <v>0</v>
      </c>
      <c r="P680" t="n">
        <v>0</v>
      </c>
      <c r="Q680" t="n">
        <v>0</v>
      </c>
      <c r="R680" s="2" t="inlineStr"/>
    </row>
    <row r="681" ht="15" customHeight="1">
      <c r="A681" t="inlineStr">
        <is>
          <t>A 6069-2023</t>
        </is>
      </c>
      <c r="B681" s="1" t="n">
        <v>44964.5115162037</v>
      </c>
      <c r="C681" s="1" t="n">
        <v>46017</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57728-2025</t>
        </is>
      </c>
      <c r="B682" s="1" t="n">
        <v>45981</v>
      </c>
      <c r="C682" s="1" t="n">
        <v>46017</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8650-2022</t>
        </is>
      </c>
      <c r="B683" s="1" t="n">
        <v>44613</v>
      </c>
      <c r="C683" s="1" t="n">
        <v>46017</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58498-2025</t>
        </is>
      </c>
      <c r="B684" s="1" t="n">
        <v>45985.68671296296</v>
      </c>
      <c r="C684" s="1" t="n">
        <v>46017</v>
      </c>
      <c r="D684" t="inlineStr">
        <is>
          <t>KALMAR LÄN</t>
        </is>
      </c>
      <c r="E684" t="inlineStr">
        <is>
          <t>VIMMERBY</t>
        </is>
      </c>
      <c r="G684" t="n">
        <v>2.1</v>
      </c>
      <c r="H684" t="n">
        <v>0</v>
      </c>
      <c r="I684" t="n">
        <v>0</v>
      </c>
      <c r="J684" t="n">
        <v>0</v>
      </c>
      <c r="K684" t="n">
        <v>0</v>
      </c>
      <c r="L684" t="n">
        <v>0</v>
      </c>
      <c r="M684" t="n">
        <v>0</v>
      </c>
      <c r="N684" t="n">
        <v>0</v>
      </c>
      <c r="O684" t="n">
        <v>0</v>
      </c>
      <c r="P684" t="n">
        <v>0</v>
      </c>
      <c r="Q684" t="n">
        <v>0</v>
      </c>
      <c r="R684" s="2" t="inlineStr"/>
    </row>
    <row r="685" ht="15" customHeight="1">
      <c r="A685" t="inlineStr">
        <is>
          <t>A 58501-2025</t>
        </is>
      </c>
      <c r="B685" s="1" t="n">
        <v>45985.69153935185</v>
      </c>
      <c r="C685" s="1" t="n">
        <v>46017</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58500-2025</t>
        </is>
      </c>
      <c r="B686" s="1" t="n">
        <v>45985.69008101852</v>
      </c>
      <c r="C686" s="1" t="n">
        <v>46017</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58503-2025</t>
        </is>
      </c>
      <c r="B687" s="1" t="n">
        <v>45985.69509259259</v>
      </c>
      <c r="C687" s="1" t="n">
        <v>46017</v>
      </c>
      <c r="D687" t="inlineStr">
        <is>
          <t>KALMAR LÄN</t>
        </is>
      </c>
      <c r="E687" t="inlineStr">
        <is>
          <t>VIMMERBY</t>
        </is>
      </c>
      <c r="G687" t="n">
        <v>1.6</v>
      </c>
      <c r="H687" t="n">
        <v>0</v>
      </c>
      <c r="I687" t="n">
        <v>0</v>
      </c>
      <c r="J687" t="n">
        <v>0</v>
      </c>
      <c r="K687" t="n">
        <v>0</v>
      </c>
      <c r="L687" t="n">
        <v>0</v>
      </c>
      <c r="M687" t="n">
        <v>0</v>
      </c>
      <c r="N687" t="n">
        <v>0</v>
      </c>
      <c r="O687" t="n">
        <v>0</v>
      </c>
      <c r="P687" t="n">
        <v>0</v>
      </c>
      <c r="Q687" t="n">
        <v>0</v>
      </c>
      <c r="R687" s="2" t="inlineStr"/>
    </row>
    <row r="688" ht="15" customHeight="1">
      <c r="A688" t="inlineStr">
        <is>
          <t>A 32865-2023</t>
        </is>
      </c>
      <c r="B688" s="1" t="n">
        <v>45124</v>
      </c>
      <c r="C688" s="1" t="n">
        <v>46017</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22194-2024</t>
        </is>
      </c>
      <c r="B689" s="1" t="n">
        <v>45446.36482638889</v>
      </c>
      <c r="C689" s="1" t="n">
        <v>46017</v>
      </c>
      <c r="D689" t="inlineStr">
        <is>
          <t>KALMAR LÄN</t>
        </is>
      </c>
      <c r="E689" t="inlineStr">
        <is>
          <t>VIMMERBY</t>
        </is>
      </c>
      <c r="F689" t="inlineStr">
        <is>
          <t>Sveaskog</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50995-2022</t>
        </is>
      </c>
      <c r="B690" s="1" t="n">
        <v>44867</v>
      </c>
      <c r="C690" s="1" t="n">
        <v>46017</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17926-2025</t>
        </is>
      </c>
      <c r="B691" s="1" t="n">
        <v>45759.38987268518</v>
      </c>
      <c r="C691" s="1" t="n">
        <v>46017</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11147-2023</t>
        </is>
      </c>
      <c r="B692" s="1" t="n">
        <v>44992</v>
      </c>
      <c r="C692" s="1" t="n">
        <v>46017</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27122-2023</t>
        </is>
      </c>
      <c r="B693" s="1" t="n">
        <v>45096.45247685185</v>
      </c>
      <c r="C693" s="1" t="n">
        <v>46017</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35127-2024</t>
        </is>
      </c>
      <c r="B694" s="1" t="n">
        <v>45530.33202546297</v>
      </c>
      <c r="C694" s="1" t="n">
        <v>46017</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30402-2023</t>
        </is>
      </c>
      <c r="B695" s="1" t="n">
        <v>45111.48395833333</v>
      </c>
      <c r="C695" s="1" t="n">
        <v>46017</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58446-2025</t>
        </is>
      </c>
      <c r="B696" s="1" t="n">
        <v>45985.62168981481</v>
      </c>
      <c r="C696" s="1" t="n">
        <v>46017</v>
      </c>
      <c r="D696" t="inlineStr">
        <is>
          <t>KALMAR LÄN</t>
        </is>
      </c>
      <c r="E696" t="inlineStr">
        <is>
          <t>VIMMERBY</t>
        </is>
      </c>
      <c r="G696" t="n">
        <v>0.5</v>
      </c>
      <c r="H696" t="n">
        <v>0</v>
      </c>
      <c r="I696" t="n">
        <v>0</v>
      </c>
      <c r="J696" t="n">
        <v>0</v>
      </c>
      <c r="K696" t="n">
        <v>0</v>
      </c>
      <c r="L696" t="n">
        <v>0</v>
      </c>
      <c r="M696" t="n">
        <v>0</v>
      </c>
      <c r="N696" t="n">
        <v>0</v>
      </c>
      <c r="O696" t="n">
        <v>0</v>
      </c>
      <c r="P696" t="n">
        <v>0</v>
      </c>
      <c r="Q696" t="n">
        <v>0</v>
      </c>
      <c r="R696" s="2" t="inlineStr"/>
    </row>
    <row r="697" ht="15" customHeight="1">
      <c r="A697" t="inlineStr">
        <is>
          <t>A 58514-2025</t>
        </is>
      </c>
      <c r="B697" s="1" t="n">
        <v>45985.70513888889</v>
      </c>
      <c r="C697" s="1" t="n">
        <v>46017</v>
      </c>
      <c r="D697" t="inlineStr">
        <is>
          <t>KALMAR LÄN</t>
        </is>
      </c>
      <c r="E697" t="inlineStr">
        <is>
          <t>VIMMERBY</t>
        </is>
      </c>
      <c r="G697" t="n">
        <v>3.7</v>
      </c>
      <c r="H697" t="n">
        <v>0</v>
      </c>
      <c r="I697" t="n">
        <v>0</v>
      </c>
      <c r="J697" t="n">
        <v>0</v>
      </c>
      <c r="K697" t="n">
        <v>0</v>
      </c>
      <c r="L697" t="n">
        <v>0</v>
      </c>
      <c r="M697" t="n">
        <v>0</v>
      </c>
      <c r="N697" t="n">
        <v>0</v>
      </c>
      <c r="O697" t="n">
        <v>0</v>
      </c>
      <c r="P697" t="n">
        <v>0</v>
      </c>
      <c r="Q697" t="n">
        <v>0</v>
      </c>
      <c r="R697" s="2" t="inlineStr"/>
    </row>
    <row r="698" ht="15" customHeight="1">
      <c r="A698" t="inlineStr">
        <is>
          <t>A 50324-2025</t>
        </is>
      </c>
      <c r="B698" s="1" t="n">
        <v>45944.45962962963</v>
      </c>
      <c r="C698" s="1" t="n">
        <v>46017</v>
      </c>
      <c r="D698" t="inlineStr">
        <is>
          <t>KALMAR LÄN</t>
        </is>
      </c>
      <c r="E698" t="inlineStr">
        <is>
          <t>VIMMERBY</t>
        </is>
      </c>
      <c r="G698" t="n">
        <v>2.1</v>
      </c>
      <c r="H698" t="n">
        <v>0</v>
      </c>
      <c r="I698" t="n">
        <v>0</v>
      </c>
      <c r="J698" t="n">
        <v>0</v>
      </c>
      <c r="K698" t="n">
        <v>0</v>
      </c>
      <c r="L698" t="n">
        <v>0</v>
      </c>
      <c r="M698" t="n">
        <v>0</v>
      </c>
      <c r="N698" t="n">
        <v>0</v>
      </c>
      <c r="O698" t="n">
        <v>0</v>
      </c>
      <c r="P698" t="n">
        <v>0</v>
      </c>
      <c r="Q698" t="n">
        <v>0</v>
      </c>
      <c r="R698" s="2" t="inlineStr"/>
    </row>
    <row r="699" ht="15" customHeight="1">
      <c r="A699" t="inlineStr">
        <is>
          <t>A 16676-2023</t>
        </is>
      </c>
      <c r="B699" s="1" t="n">
        <v>45028</v>
      </c>
      <c r="C699" s="1" t="n">
        <v>46017</v>
      </c>
      <c r="D699" t="inlineStr">
        <is>
          <t>KALMAR LÄN</t>
        </is>
      </c>
      <c r="E699" t="inlineStr">
        <is>
          <t>VIMMERBY</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47842-2024</t>
        </is>
      </c>
      <c r="B700" s="1" t="n">
        <v>45588.65545138889</v>
      </c>
      <c r="C700" s="1" t="n">
        <v>46017</v>
      </c>
      <c r="D700" t="inlineStr">
        <is>
          <t>KALMAR LÄN</t>
        </is>
      </c>
      <c r="E700" t="inlineStr">
        <is>
          <t>VIMMERBY</t>
        </is>
      </c>
      <c r="G700" t="n">
        <v>2.4</v>
      </c>
      <c r="H700" t="n">
        <v>0</v>
      </c>
      <c r="I700" t="n">
        <v>0</v>
      </c>
      <c r="J700" t="n">
        <v>0</v>
      </c>
      <c r="K700" t="n">
        <v>0</v>
      </c>
      <c r="L700" t="n">
        <v>0</v>
      </c>
      <c r="M700" t="n">
        <v>0</v>
      </c>
      <c r="N700" t="n">
        <v>0</v>
      </c>
      <c r="O700" t="n">
        <v>0</v>
      </c>
      <c r="P700" t="n">
        <v>0</v>
      </c>
      <c r="Q700" t="n">
        <v>0</v>
      </c>
      <c r="R700" s="2" t="inlineStr"/>
    </row>
    <row r="701" ht="15" customHeight="1">
      <c r="A701" t="inlineStr">
        <is>
          <t>A 23263-2024</t>
        </is>
      </c>
      <c r="B701" s="1" t="n">
        <v>45453.36854166666</v>
      </c>
      <c r="C701" s="1" t="n">
        <v>46017</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6857-2023</t>
        </is>
      </c>
      <c r="B702" s="1" t="n">
        <v>44967.45122685185</v>
      </c>
      <c r="C702" s="1" t="n">
        <v>46017</v>
      </c>
      <c r="D702" t="inlineStr">
        <is>
          <t>KALMAR LÄN</t>
        </is>
      </c>
      <c r="E702" t="inlineStr">
        <is>
          <t>VIMMERBY</t>
        </is>
      </c>
      <c r="G702" t="n">
        <v>2.1</v>
      </c>
      <c r="H702" t="n">
        <v>0</v>
      </c>
      <c r="I702" t="n">
        <v>0</v>
      </c>
      <c r="J702" t="n">
        <v>0</v>
      </c>
      <c r="K702" t="n">
        <v>0</v>
      </c>
      <c r="L702" t="n">
        <v>0</v>
      </c>
      <c r="M702" t="n">
        <v>0</v>
      </c>
      <c r="N702" t="n">
        <v>0</v>
      </c>
      <c r="O702" t="n">
        <v>0</v>
      </c>
      <c r="P702" t="n">
        <v>0</v>
      </c>
      <c r="Q702" t="n">
        <v>0</v>
      </c>
      <c r="R702" s="2" t="inlineStr"/>
    </row>
    <row r="703" ht="15" customHeight="1">
      <c r="A703" t="inlineStr">
        <is>
          <t>A 58442-2025</t>
        </is>
      </c>
      <c r="B703" s="1" t="n">
        <v>45985.61635416667</v>
      </c>
      <c r="C703" s="1" t="n">
        <v>46017</v>
      </c>
      <c r="D703" t="inlineStr">
        <is>
          <t>KALMAR LÄN</t>
        </is>
      </c>
      <c r="E703" t="inlineStr">
        <is>
          <t>VIMMERBY</t>
        </is>
      </c>
      <c r="G703" t="n">
        <v>0.8</v>
      </c>
      <c r="H703" t="n">
        <v>0</v>
      </c>
      <c r="I703" t="n">
        <v>0</v>
      </c>
      <c r="J703" t="n">
        <v>0</v>
      </c>
      <c r="K703" t="n">
        <v>0</v>
      </c>
      <c r="L703" t="n">
        <v>0</v>
      </c>
      <c r="M703" t="n">
        <v>0</v>
      </c>
      <c r="N703" t="n">
        <v>0</v>
      </c>
      <c r="O703" t="n">
        <v>0</v>
      </c>
      <c r="P703" t="n">
        <v>0</v>
      </c>
      <c r="Q703" t="n">
        <v>0</v>
      </c>
      <c r="R703" s="2" t="inlineStr"/>
    </row>
    <row r="704" ht="15" customHeight="1">
      <c r="A704" t="inlineStr">
        <is>
          <t>A 49488-2023</t>
        </is>
      </c>
      <c r="B704" s="1" t="n">
        <v>45211.55472222222</v>
      </c>
      <c r="C704" s="1" t="n">
        <v>46017</v>
      </c>
      <c r="D704" t="inlineStr">
        <is>
          <t>KALMAR LÄN</t>
        </is>
      </c>
      <c r="E704" t="inlineStr">
        <is>
          <t>VIMMERBY</t>
        </is>
      </c>
      <c r="F704" t="inlineStr">
        <is>
          <t>Sveaskog</t>
        </is>
      </c>
      <c r="G704" t="n">
        <v>6.2</v>
      </c>
      <c r="H704" t="n">
        <v>0</v>
      </c>
      <c r="I704" t="n">
        <v>0</v>
      </c>
      <c r="J704" t="n">
        <v>0</v>
      </c>
      <c r="K704" t="n">
        <v>0</v>
      </c>
      <c r="L704" t="n">
        <v>0</v>
      </c>
      <c r="M704" t="n">
        <v>0</v>
      </c>
      <c r="N704" t="n">
        <v>0</v>
      </c>
      <c r="O704" t="n">
        <v>0</v>
      </c>
      <c r="P704" t="n">
        <v>0</v>
      </c>
      <c r="Q704" t="n">
        <v>0</v>
      </c>
      <c r="R704" s="2" t="inlineStr"/>
    </row>
    <row r="705" ht="15" customHeight="1">
      <c r="A705" t="inlineStr">
        <is>
          <t>A 58841-2025</t>
        </is>
      </c>
      <c r="B705" s="1" t="n">
        <v>45987.36275462963</v>
      </c>
      <c r="C705" s="1" t="n">
        <v>46017</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46224-2024</t>
        </is>
      </c>
      <c r="B706" s="1" t="n">
        <v>45581.57016203704</v>
      </c>
      <c r="C706" s="1" t="n">
        <v>46017</v>
      </c>
      <c r="D706" t="inlineStr">
        <is>
          <t>KALMAR LÄN</t>
        </is>
      </c>
      <c r="E706" t="inlineStr">
        <is>
          <t>VIMMERBY</t>
        </is>
      </c>
      <c r="G706" t="n">
        <v>3.1</v>
      </c>
      <c r="H706" t="n">
        <v>0</v>
      </c>
      <c r="I706" t="n">
        <v>0</v>
      </c>
      <c r="J706" t="n">
        <v>0</v>
      </c>
      <c r="K706" t="n">
        <v>0</v>
      </c>
      <c r="L706" t="n">
        <v>0</v>
      </c>
      <c r="M706" t="n">
        <v>0</v>
      </c>
      <c r="N706" t="n">
        <v>0</v>
      </c>
      <c r="O706" t="n">
        <v>0</v>
      </c>
      <c r="P706" t="n">
        <v>0</v>
      </c>
      <c r="Q706" t="n">
        <v>0</v>
      </c>
      <c r="R706" s="2" t="inlineStr"/>
    </row>
    <row r="707" ht="15" customHeight="1">
      <c r="A707" t="inlineStr">
        <is>
          <t>A 59768-2024</t>
        </is>
      </c>
      <c r="B707" s="1" t="n">
        <v>45639.56185185185</v>
      </c>
      <c r="C707" s="1" t="n">
        <v>46017</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59039-2025</t>
        </is>
      </c>
      <c r="B708" s="1" t="n">
        <v>45988.36790509259</v>
      </c>
      <c r="C708" s="1" t="n">
        <v>46017</v>
      </c>
      <c r="D708" t="inlineStr">
        <is>
          <t>KALMAR LÄN</t>
        </is>
      </c>
      <c r="E708" t="inlineStr">
        <is>
          <t>VIMMERBY</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29013-2024</t>
        </is>
      </c>
      <c r="B709" s="1" t="n">
        <v>45481.55984953704</v>
      </c>
      <c r="C709" s="1" t="n">
        <v>46017</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72067-2021</t>
        </is>
      </c>
      <c r="B710" s="1" t="n">
        <v>44540</v>
      </c>
      <c r="C710" s="1" t="n">
        <v>46017</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58858-2025</t>
        </is>
      </c>
      <c r="B711" s="1" t="n">
        <v>45987.4243287037</v>
      </c>
      <c r="C711" s="1" t="n">
        <v>46017</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41158-2023</t>
        </is>
      </c>
      <c r="B712" s="1" t="n">
        <v>45174.31395833333</v>
      </c>
      <c r="C712" s="1" t="n">
        <v>46017</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37028-2024</t>
        </is>
      </c>
      <c r="B713" s="1" t="n">
        <v>45539.38744212963</v>
      </c>
      <c r="C713" s="1" t="n">
        <v>46017</v>
      </c>
      <c r="D713" t="inlineStr">
        <is>
          <t>KALMAR LÄN</t>
        </is>
      </c>
      <c r="E713" t="inlineStr">
        <is>
          <t>VIMMERBY</t>
        </is>
      </c>
      <c r="G713" t="n">
        <v>5.2</v>
      </c>
      <c r="H713" t="n">
        <v>0</v>
      </c>
      <c r="I713" t="n">
        <v>0</v>
      </c>
      <c r="J713" t="n">
        <v>0</v>
      </c>
      <c r="K713" t="n">
        <v>0</v>
      </c>
      <c r="L713" t="n">
        <v>0</v>
      </c>
      <c r="M713" t="n">
        <v>0</v>
      </c>
      <c r="N713" t="n">
        <v>0</v>
      </c>
      <c r="O713" t="n">
        <v>0</v>
      </c>
      <c r="P713" t="n">
        <v>0</v>
      </c>
      <c r="Q713" t="n">
        <v>0</v>
      </c>
      <c r="R713" s="2" t="inlineStr"/>
    </row>
    <row r="714" ht="15" customHeight="1">
      <c r="A714" t="inlineStr">
        <is>
          <t>A 33383-2023</t>
        </is>
      </c>
      <c r="B714" s="1" t="n">
        <v>45128.58414351852</v>
      </c>
      <c r="C714" s="1" t="n">
        <v>46017</v>
      </c>
      <c r="D714" t="inlineStr">
        <is>
          <t>KALMAR LÄN</t>
        </is>
      </c>
      <c r="E714" t="inlineStr">
        <is>
          <t>VIMMERBY</t>
        </is>
      </c>
      <c r="G714" t="n">
        <v>2.3</v>
      </c>
      <c r="H714" t="n">
        <v>0</v>
      </c>
      <c r="I714" t="n">
        <v>0</v>
      </c>
      <c r="J714" t="n">
        <v>0</v>
      </c>
      <c r="K714" t="n">
        <v>0</v>
      </c>
      <c r="L714" t="n">
        <v>0</v>
      </c>
      <c r="M714" t="n">
        <v>0</v>
      </c>
      <c r="N714" t="n">
        <v>0</v>
      </c>
      <c r="O714" t="n">
        <v>0</v>
      </c>
      <c r="P714" t="n">
        <v>0</v>
      </c>
      <c r="Q714" t="n">
        <v>0</v>
      </c>
      <c r="R714" s="2" t="inlineStr"/>
    </row>
    <row r="715" ht="15" customHeight="1">
      <c r="A715" t="inlineStr">
        <is>
          <t>A 22198-2024</t>
        </is>
      </c>
      <c r="B715" s="1" t="n">
        <v>45446.36865740741</v>
      </c>
      <c r="C715" s="1" t="n">
        <v>46017</v>
      </c>
      <c r="D715" t="inlineStr">
        <is>
          <t>KALMAR LÄN</t>
        </is>
      </c>
      <c r="E715" t="inlineStr">
        <is>
          <t>VIMMERBY</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9511-2023</t>
        </is>
      </c>
      <c r="B716" s="1" t="n">
        <v>44981.64725694444</v>
      </c>
      <c r="C716" s="1" t="n">
        <v>46017</v>
      </c>
      <c r="D716" t="inlineStr">
        <is>
          <t>KALMAR LÄN</t>
        </is>
      </c>
      <c r="E716" t="inlineStr">
        <is>
          <t>VIMMERBY</t>
        </is>
      </c>
      <c r="G716" t="n">
        <v>3.5</v>
      </c>
      <c r="H716" t="n">
        <v>0</v>
      </c>
      <c r="I716" t="n">
        <v>0</v>
      </c>
      <c r="J716" t="n">
        <v>0</v>
      </c>
      <c r="K716" t="n">
        <v>0</v>
      </c>
      <c r="L716" t="n">
        <v>0</v>
      </c>
      <c r="M716" t="n">
        <v>0</v>
      </c>
      <c r="N716" t="n">
        <v>0</v>
      </c>
      <c r="O716" t="n">
        <v>0</v>
      </c>
      <c r="P716" t="n">
        <v>0</v>
      </c>
      <c r="Q716" t="n">
        <v>0</v>
      </c>
      <c r="R716" s="2" t="inlineStr"/>
    </row>
    <row r="717" ht="15" customHeight="1">
      <c r="A717" t="inlineStr">
        <is>
          <t>A 59037-2025</t>
        </is>
      </c>
      <c r="B717" s="1" t="n">
        <v>45988.36508101852</v>
      </c>
      <c r="C717" s="1" t="n">
        <v>46017</v>
      </c>
      <c r="D717" t="inlineStr">
        <is>
          <t>KALMAR LÄN</t>
        </is>
      </c>
      <c r="E717" t="inlineStr">
        <is>
          <t>VIMMERBY</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59068-2025</t>
        </is>
      </c>
      <c r="B718" s="1" t="n">
        <v>45988.41725694444</v>
      </c>
      <c r="C718" s="1" t="n">
        <v>46017</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50544-2025</t>
        </is>
      </c>
      <c r="B719" s="1" t="n">
        <v>45945.50736111111</v>
      </c>
      <c r="C719" s="1" t="n">
        <v>46017</v>
      </c>
      <c r="D719" t="inlineStr">
        <is>
          <t>KALMAR LÄN</t>
        </is>
      </c>
      <c r="E719" t="inlineStr">
        <is>
          <t>VIMMERBY</t>
        </is>
      </c>
      <c r="G719" t="n">
        <v>0.8</v>
      </c>
      <c r="H719" t="n">
        <v>0</v>
      </c>
      <c r="I719" t="n">
        <v>0</v>
      </c>
      <c r="J719" t="n">
        <v>0</v>
      </c>
      <c r="K719" t="n">
        <v>0</v>
      </c>
      <c r="L719" t="n">
        <v>0</v>
      </c>
      <c r="M719" t="n">
        <v>0</v>
      </c>
      <c r="N719" t="n">
        <v>0</v>
      </c>
      <c r="O719" t="n">
        <v>0</v>
      </c>
      <c r="P719" t="n">
        <v>0</v>
      </c>
      <c r="Q719" t="n">
        <v>0</v>
      </c>
      <c r="R719" s="2" t="inlineStr"/>
    </row>
    <row r="720" ht="15" customHeight="1">
      <c r="A720" t="inlineStr">
        <is>
          <t>A 59034-2025</t>
        </is>
      </c>
      <c r="B720" s="1" t="n">
        <v>45988.36243055556</v>
      </c>
      <c r="C720" s="1" t="n">
        <v>46017</v>
      </c>
      <c r="D720" t="inlineStr">
        <is>
          <t>KALMAR LÄN</t>
        </is>
      </c>
      <c r="E720" t="inlineStr">
        <is>
          <t>VIMMERBY</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4297-2022</t>
        </is>
      </c>
      <c r="B721" s="1" t="n">
        <v>44588</v>
      </c>
      <c r="C721" s="1" t="n">
        <v>46017</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51062-2025</t>
        </is>
      </c>
      <c r="B722" s="1" t="n">
        <v>45947.44685185186</v>
      </c>
      <c r="C722" s="1" t="n">
        <v>46017</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34205-2023</t>
        </is>
      </c>
      <c r="B723" s="1" t="n">
        <v>45138</v>
      </c>
      <c r="C723" s="1" t="n">
        <v>46017</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57091-2022</t>
        </is>
      </c>
      <c r="B724" s="1" t="n">
        <v>44895.46524305556</v>
      </c>
      <c r="C724" s="1" t="n">
        <v>46017</v>
      </c>
      <c r="D724" t="inlineStr">
        <is>
          <t>KALMAR LÄN</t>
        </is>
      </c>
      <c r="E724" t="inlineStr">
        <is>
          <t>VIMMERBY</t>
        </is>
      </c>
      <c r="G724" t="n">
        <v>2.6</v>
      </c>
      <c r="H724" t="n">
        <v>0</v>
      </c>
      <c r="I724" t="n">
        <v>0</v>
      </c>
      <c r="J724" t="n">
        <v>0</v>
      </c>
      <c r="K724" t="n">
        <v>0</v>
      </c>
      <c r="L724" t="n">
        <v>0</v>
      </c>
      <c r="M724" t="n">
        <v>0</v>
      </c>
      <c r="N724" t="n">
        <v>0</v>
      </c>
      <c r="O724" t="n">
        <v>0</v>
      </c>
      <c r="P724" t="n">
        <v>0</v>
      </c>
      <c r="Q724" t="n">
        <v>0</v>
      </c>
      <c r="R724" s="2" t="inlineStr"/>
    </row>
    <row r="725" ht="15" customHeight="1">
      <c r="A725" t="inlineStr">
        <is>
          <t>A 2604-2025</t>
        </is>
      </c>
      <c r="B725" s="1" t="n">
        <v>45674.74094907408</v>
      </c>
      <c r="C725" s="1" t="n">
        <v>46017</v>
      </c>
      <c r="D725" t="inlineStr">
        <is>
          <t>KALMAR LÄN</t>
        </is>
      </c>
      <c r="E725" t="inlineStr">
        <is>
          <t>VIMMERBY</t>
        </is>
      </c>
      <c r="G725" t="n">
        <v>7.6</v>
      </c>
      <c r="H725" t="n">
        <v>0</v>
      </c>
      <c r="I725" t="n">
        <v>0</v>
      </c>
      <c r="J725" t="n">
        <v>0</v>
      </c>
      <c r="K725" t="n">
        <v>0</v>
      </c>
      <c r="L725" t="n">
        <v>0</v>
      </c>
      <c r="M725" t="n">
        <v>0</v>
      </c>
      <c r="N725" t="n">
        <v>0</v>
      </c>
      <c r="O725" t="n">
        <v>0</v>
      </c>
      <c r="P725" t="n">
        <v>0</v>
      </c>
      <c r="Q725" t="n">
        <v>0</v>
      </c>
      <c r="R725" s="2" t="inlineStr"/>
    </row>
    <row r="726" ht="15" customHeight="1">
      <c r="A726" t="inlineStr">
        <is>
          <t>A 6807-2025</t>
        </is>
      </c>
      <c r="B726" s="1" t="n">
        <v>45700.68672453704</v>
      </c>
      <c r="C726" s="1" t="n">
        <v>46017</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38851-2023</t>
        </is>
      </c>
      <c r="B727" s="1" t="n">
        <v>45163</v>
      </c>
      <c r="C727" s="1" t="n">
        <v>46017</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59579-2025</t>
        </is>
      </c>
      <c r="B728" s="1" t="n">
        <v>45992.30569444445</v>
      </c>
      <c r="C728" s="1" t="n">
        <v>46017</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23252-2024</t>
        </is>
      </c>
      <c r="B729" s="1" t="n">
        <v>45453.36067129629</v>
      </c>
      <c r="C729" s="1" t="n">
        <v>46017</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5792-2023</t>
        </is>
      </c>
      <c r="B730" s="1" t="n">
        <v>44963.44769675926</v>
      </c>
      <c r="C730" s="1" t="n">
        <v>46017</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2797-2023</t>
        </is>
      </c>
      <c r="B731" s="1" t="n">
        <v>44944.71386574074</v>
      </c>
      <c r="C731" s="1" t="n">
        <v>46017</v>
      </c>
      <c r="D731" t="inlineStr">
        <is>
          <t>KALMAR LÄN</t>
        </is>
      </c>
      <c r="E731" t="inlineStr">
        <is>
          <t>VIMMERBY</t>
        </is>
      </c>
      <c r="G731" t="n">
        <v>3.4</v>
      </c>
      <c r="H731" t="n">
        <v>0</v>
      </c>
      <c r="I731" t="n">
        <v>0</v>
      </c>
      <c r="J731" t="n">
        <v>0</v>
      </c>
      <c r="K731" t="n">
        <v>0</v>
      </c>
      <c r="L731" t="n">
        <v>0</v>
      </c>
      <c r="M731" t="n">
        <v>0</v>
      </c>
      <c r="N731" t="n">
        <v>0</v>
      </c>
      <c r="O731" t="n">
        <v>0</v>
      </c>
      <c r="P731" t="n">
        <v>0</v>
      </c>
      <c r="Q731" t="n">
        <v>0</v>
      </c>
      <c r="R731" s="2" t="inlineStr"/>
    </row>
    <row r="732" ht="15" customHeight="1">
      <c r="A732" t="inlineStr">
        <is>
          <t>A 2799-2023</t>
        </is>
      </c>
      <c r="B732" s="1" t="n">
        <v>44944.72100694444</v>
      </c>
      <c r="C732" s="1" t="n">
        <v>46017</v>
      </c>
      <c r="D732" t="inlineStr">
        <is>
          <t>KALMAR LÄN</t>
        </is>
      </c>
      <c r="E732" t="inlineStr">
        <is>
          <t>VIMMERBY</t>
        </is>
      </c>
      <c r="G732" t="n">
        <v>1.3</v>
      </c>
      <c r="H732" t="n">
        <v>0</v>
      </c>
      <c r="I732" t="n">
        <v>0</v>
      </c>
      <c r="J732" t="n">
        <v>0</v>
      </c>
      <c r="K732" t="n">
        <v>0</v>
      </c>
      <c r="L732" t="n">
        <v>0</v>
      </c>
      <c r="M732" t="n">
        <v>0</v>
      </c>
      <c r="N732" t="n">
        <v>0</v>
      </c>
      <c r="O732" t="n">
        <v>0</v>
      </c>
      <c r="P732" t="n">
        <v>0</v>
      </c>
      <c r="Q732" t="n">
        <v>0</v>
      </c>
      <c r="R732" s="2" t="inlineStr"/>
    </row>
    <row r="733" ht="15" customHeight="1">
      <c r="A733" t="inlineStr">
        <is>
          <t>A 55716-2023</t>
        </is>
      </c>
      <c r="B733" s="1" t="n">
        <v>45232</v>
      </c>
      <c r="C733" s="1" t="n">
        <v>46017</v>
      </c>
      <c r="D733" t="inlineStr">
        <is>
          <t>KALMAR LÄN</t>
        </is>
      </c>
      <c r="E733" t="inlineStr">
        <is>
          <t>VIMMERBY</t>
        </is>
      </c>
      <c r="G733" t="n">
        <v>2.3</v>
      </c>
      <c r="H733" t="n">
        <v>0</v>
      </c>
      <c r="I733" t="n">
        <v>0</v>
      </c>
      <c r="J733" t="n">
        <v>0</v>
      </c>
      <c r="K733" t="n">
        <v>0</v>
      </c>
      <c r="L733" t="n">
        <v>0</v>
      </c>
      <c r="M733" t="n">
        <v>0</v>
      </c>
      <c r="N733" t="n">
        <v>0</v>
      </c>
      <c r="O733" t="n">
        <v>0</v>
      </c>
      <c r="P733" t="n">
        <v>0</v>
      </c>
      <c r="Q733" t="n">
        <v>0</v>
      </c>
      <c r="R733" s="2" t="inlineStr"/>
    </row>
    <row r="734" ht="15" customHeight="1">
      <c r="A734" t="inlineStr">
        <is>
          <t>A 6220-2025</t>
        </is>
      </c>
      <c r="B734" s="1" t="n">
        <v>45698.53725694444</v>
      </c>
      <c r="C734" s="1" t="n">
        <v>46017</v>
      </c>
      <c r="D734" t="inlineStr">
        <is>
          <t>KALMAR LÄN</t>
        </is>
      </c>
      <c r="E734" t="inlineStr">
        <is>
          <t>VIMMERBY</t>
        </is>
      </c>
      <c r="G734" t="n">
        <v>0.6</v>
      </c>
      <c r="H734" t="n">
        <v>0</v>
      </c>
      <c r="I734" t="n">
        <v>0</v>
      </c>
      <c r="J734" t="n">
        <v>0</v>
      </c>
      <c r="K734" t="n">
        <v>0</v>
      </c>
      <c r="L734" t="n">
        <v>0</v>
      </c>
      <c r="M734" t="n">
        <v>0</v>
      </c>
      <c r="N734" t="n">
        <v>0</v>
      </c>
      <c r="O734" t="n">
        <v>0</v>
      </c>
      <c r="P734" t="n">
        <v>0</v>
      </c>
      <c r="Q734" t="n">
        <v>0</v>
      </c>
      <c r="R734" s="2" t="inlineStr"/>
    </row>
    <row r="735" ht="15" customHeight="1">
      <c r="A735" t="inlineStr">
        <is>
          <t>A 34386-2024</t>
        </is>
      </c>
      <c r="B735" s="1" t="n">
        <v>45525.41762731481</v>
      </c>
      <c r="C735" s="1" t="n">
        <v>46017</v>
      </c>
      <c r="D735" t="inlineStr">
        <is>
          <t>KALMAR LÄN</t>
        </is>
      </c>
      <c r="E735" t="inlineStr">
        <is>
          <t>VIMMERBY</t>
        </is>
      </c>
      <c r="G735" t="n">
        <v>0.3</v>
      </c>
      <c r="H735" t="n">
        <v>0</v>
      </c>
      <c r="I735" t="n">
        <v>0</v>
      </c>
      <c r="J735" t="n">
        <v>0</v>
      </c>
      <c r="K735" t="n">
        <v>0</v>
      </c>
      <c r="L735" t="n">
        <v>0</v>
      </c>
      <c r="M735" t="n">
        <v>0</v>
      </c>
      <c r="N735" t="n">
        <v>0</v>
      </c>
      <c r="O735" t="n">
        <v>0</v>
      </c>
      <c r="P735" t="n">
        <v>0</v>
      </c>
      <c r="Q735" t="n">
        <v>0</v>
      </c>
      <c r="R735" s="2" t="inlineStr"/>
    </row>
    <row r="736" ht="15" customHeight="1">
      <c r="A736" t="inlineStr">
        <is>
          <t>A 42429-2024</t>
        </is>
      </c>
      <c r="B736" s="1" t="n">
        <v>45565.40657407408</v>
      </c>
      <c r="C736" s="1" t="n">
        <v>46017</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11946-2025</t>
        </is>
      </c>
      <c r="B737" s="1" t="n">
        <v>45728.54832175926</v>
      </c>
      <c r="C737" s="1" t="n">
        <v>46017</v>
      </c>
      <c r="D737" t="inlineStr">
        <is>
          <t>KALMAR LÄN</t>
        </is>
      </c>
      <c r="E737" t="inlineStr">
        <is>
          <t>VIMMERBY</t>
        </is>
      </c>
      <c r="G737" t="n">
        <v>0.4</v>
      </c>
      <c r="H737" t="n">
        <v>0</v>
      </c>
      <c r="I737" t="n">
        <v>0</v>
      </c>
      <c r="J737" t="n">
        <v>0</v>
      </c>
      <c r="K737" t="n">
        <v>0</v>
      </c>
      <c r="L737" t="n">
        <v>0</v>
      </c>
      <c r="M737" t="n">
        <v>0</v>
      </c>
      <c r="N737" t="n">
        <v>0</v>
      </c>
      <c r="O737" t="n">
        <v>0</v>
      </c>
      <c r="P737" t="n">
        <v>0</v>
      </c>
      <c r="Q737" t="n">
        <v>0</v>
      </c>
      <c r="R737" s="2" t="inlineStr"/>
    </row>
    <row r="738" ht="15" customHeight="1">
      <c r="A738" t="inlineStr">
        <is>
          <t>A 58278-2023</t>
        </is>
      </c>
      <c r="B738" s="1" t="n">
        <v>45250.5278587963</v>
      </c>
      <c r="C738" s="1" t="n">
        <v>46017</v>
      </c>
      <c r="D738" t="inlineStr">
        <is>
          <t>KALMAR LÄN</t>
        </is>
      </c>
      <c r="E738" t="inlineStr">
        <is>
          <t>VIMMERBY</t>
        </is>
      </c>
      <c r="G738" t="n">
        <v>1.8</v>
      </c>
      <c r="H738" t="n">
        <v>0</v>
      </c>
      <c r="I738" t="n">
        <v>0</v>
      </c>
      <c r="J738" t="n">
        <v>0</v>
      </c>
      <c r="K738" t="n">
        <v>0</v>
      </c>
      <c r="L738" t="n">
        <v>0</v>
      </c>
      <c r="M738" t="n">
        <v>0</v>
      </c>
      <c r="N738" t="n">
        <v>0</v>
      </c>
      <c r="O738" t="n">
        <v>0</v>
      </c>
      <c r="P738" t="n">
        <v>0</v>
      </c>
      <c r="Q738" t="n">
        <v>0</v>
      </c>
      <c r="R738" s="2" t="inlineStr"/>
    </row>
    <row r="739" ht="15" customHeight="1">
      <c r="A739" t="inlineStr">
        <is>
          <t>A 36259-2022</t>
        </is>
      </c>
      <c r="B739" s="1" t="n">
        <v>44803.59118055556</v>
      </c>
      <c r="C739" s="1" t="n">
        <v>46017</v>
      </c>
      <c r="D739" t="inlineStr">
        <is>
          <t>KALMAR LÄN</t>
        </is>
      </c>
      <c r="E739" t="inlineStr">
        <is>
          <t>VIMMERBY</t>
        </is>
      </c>
      <c r="G739" t="n">
        <v>3.9</v>
      </c>
      <c r="H739" t="n">
        <v>0</v>
      </c>
      <c r="I739" t="n">
        <v>0</v>
      </c>
      <c r="J739" t="n">
        <v>0</v>
      </c>
      <c r="K739" t="n">
        <v>0</v>
      </c>
      <c r="L739" t="n">
        <v>0</v>
      </c>
      <c r="M739" t="n">
        <v>0</v>
      </c>
      <c r="N739" t="n">
        <v>0</v>
      </c>
      <c r="O739" t="n">
        <v>0</v>
      </c>
      <c r="P739" t="n">
        <v>0</v>
      </c>
      <c r="Q739" t="n">
        <v>0</v>
      </c>
      <c r="R739" s="2" t="inlineStr"/>
    </row>
    <row r="740" ht="15" customHeight="1">
      <c r="A740" t="inlineStr">
        <is>
          <t>A 59943-2023</t>
        </is>
      </c>
      <c r="B740" s="1" t="n">
        <v>45257.67958333333</v>
      </c>
      <c r="C740" s="1" t="n">
        <v>46017</v>
      </c>
      <c r="D740" t="inlineStr">
        <is>
          <t>KALMAR LÄN</t>
        </is>
      </c>
      <c r="E740" t="inlineStr">
        <is>
          <t>VIMMERBY</t>
        </is>
      </c>
      <c r="G740" t="n">
        <v>6.4</v>
      </c>
      <c r="H740" t="n">
        <v>0</v>
      </c>
      <c r="I740" t="n">
        <v>0</v>
      </c>
      <c r="J740" t="n">
        <v>0</v>
      </c>
      <c r="K740" t="n">
        <v>0</v>
      </c>
      <c r="L740" t="n">
        <v>0</v>
      </c>
      <c r="M740" t="n">
        <v>0</v>
      </c>
      <c r="N740" t="n">
        <v>0</v>
      </c>
      <c r="O740" t="n">
        <v>0</v>
      </c>
      <c r="P740" t="n">
        <v>0</v>
      </c>
      <c r="Q740" t="n">
        <v>0</v>
      </c>
      <c r="R740" s="2" t="inlineStr"/>
    </row>
    <row r="741" ht="15" customHeight="1">
      <c r="A741" t="inlineStr">
        <is>
          <t>A 15493-2023</t>
        </is>
      </c>
      <c r="B741" s="1" t="n">
        <v>45018</v>
      </c>
      <c r="C741" s="1" t="n">
        <v>46017</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36526-2023</t>
        </is>
      </c>
      <c r="B742" s="1" t="n">
        <v>45153.32778935185</v>
      </c>
      <c r="C742" s="1" t="n">
        <v>46017</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17988-2025</t>
        </is>
      </c>
      <c r="B743" s="1" t="n">
        <v>45761.39600694444</v>
      </c>
      <c r="C743" s="1" t="n">
        <v>46017</v>
      </c>
      <c r="D743" t="inlineStr">
        <is>
          <t>KALMAR LÄN</t>
        </is>
      </c>
      <c r="E743" t="inlineStr">
        <is>
          <t>VIMMERBY</t>
        </is>
      </c>
      <c r="G743" t="n">
        <v>2.8</v>
      </c>
      <c r="H743" t="n">
        <v>0</v>
      </c>
      <c r="I743" t="n">
        <v>0</v>
      </c>
      <c r="J743" t="n">
        <v>0</v>
      </c>
      <c r="K743" t="n">
        <v>0</v>
      </c>
      <c r="L743" t="n">
        <v>0</v>
      </c>
      <c r="M743" t="n">
        <v>0</v>
      </c>
      <c r="N743" t="n">
        <v>0</v>
      </c>
      <c r="O743" t="n">
        <v>0</v>
      </c>
      <c r="P743" t="n">
        <v>0</v>
      </c>
      <c r="Q743" t="n">
        <v>0</v>
      </c>
      <c r="R743" s="2" t="inlineStr"/>
    </row>
    <row r="744" ht="15" customHeight="1">
      <c r="A744" t="inlineStr">
        <is>
          <t>A 51881-2024</t>
        </is>
      </c>
      <c r="B744" s="1" t="n">
        <v>45607.56773148148</v>
      </c>
      <c r="C744" s="1" t="n">
        <v>46017</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1021-2024</t>
        </is>
      </c>
      <c r="B745" s="1" t="n">
        <v>45301.67736111111</v>
      </c>
      <c r="C745" s="1" t="n">
        <v>46017</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32569-2024</t>
        </is>
      </c>
      <c r="B746" s="1" t="n">
        <v>45513.55840277778</v>
      </c>
      <c r="C746" s="1" t="n">
        <v>46017</v>
      </c>
      <c r="D746" t="inlineStr">
        <is>
          <t>KALMAR LÄN</t>
        </is>
      </c>
      <c r="E746" t="inlineStr">
        <is>
          <t>VIMMERBY</t>
        </is>
      </c>
      <c r="G746" t="n">
        <v>3.7</v>
      </c>
      <c r="H746" t="n">
        <v>0</v>
      </c>
      <c r="I746" t="n">
        <v>0</v>
      </c>
      <c r="J746" t="n">
        <v>0</v>
      </c>
      <c r="K746" t="n">
        <v>0</v>
      </c>
      <c r="L746" t="n">
        <v>0</v>
      </c>
      <c r="M746" t="n">
        <v>0</v>
      </c>
      <c r="N746" t="n">
        <v>0</v>
      </c>
      <c r="O746" t="n">
        <v>0</v>
      </c>
      <c r="P746" t="n">
        <v>0</v>
      </c>
      <c r="Q746" t="n">
        <v>0</v>
      </c>
      <c r="R746" s="2" t="inlineStr"/>
    </row>
    <row r="747" ht="15" customHeight="1">
      <c r="A747" t="inlineStr">
        <is>
          <t>A 32575-2024</t>
        </is>
      </c>
      <c r="B747" s="1" t="n">
        <v>45513.56527777778</v>
      </c>
      <c r="C747" s="1" t="n">
        <v>46017</v>
      </c>
      <c r="D747" t="inlineStr">
        <is>
          <t>KALMAR LÄN</t>
        </is>
      </c>
      <c r="E747" t="inlineStr">
        <is>
          <t>VIMMERBY</t>
        </is>
      </c>
      <c r="G747" t="n">
        <v>1.5</v>
      </c>
      <c r="H747" t="n">
        <v>0</v>
      </c>
      <c r="I747" t="n">
        <v>0</v>
      </c>
      <c r="J747" t="n">
        <v>0</v>
      </c>
      <c r="K747" t="n">
        <v>0</v>
      </c>
      <c r="L747" t="n">
        <v>0</v>
      </c>
      <c r="M747" t="n">
        <v>0</v>
      </c>
      <c r="N747" t="n">
        <v>0</v>
      </c>
      <c r="O747" t="n">
        <v>0</v>
      </c>
      <c r="P747" t="n">
        <v>0</v>
      </c>
      <c r="Q747" t="n">
        <v>0</v>
      </c>
      <c r="R747" s="2" t="inlineStr"/>
    </row>
    <row r="748" ht="15" customHeight="1">
      <c r="A748" t="inlineStr">
        <is>
          <t>A 30063-2023</t>
        </is>
      </c>
      <c r="B748" s="1" t="n">
        <v>45110.4184375</v>
      </c>
      <c r="C748" s="1" t="n">
        <v>46017</v>
      </c>
      <c r="D748" t="inlineStr">
        <is>
          <t>KALMAR LÄN</t>
        </is>
      </c>
      <c r="E748" t="inlineStr">
        <is>
          <t>VIMMERBY</t>
        </is>
      </c>
      <c r="G748" t="n">
        <v>1.2</v>
      </c>
      <c r="H748" t="n">
        <v>0</v>
      </c>
      <c r="I748" t="n">
        <v>0</v>
      </c>
      <c r="J748" t="n">
        <v>0</v>
      </c>
      <c r="K748" t="n">
        <v>0</v>
      </c>
      <c r="L748" t="n">
        <v>0</v>
      </c>
      <c r="M748" t="n">
        <v>0</v>
      </c>
      <c r="N748" t="n">
        <v>0</v>
      </c>
      <c r="O748" t="n">
        <v>0</v>
      </c>
      <c r="P748" t="n">
        <v>0</v>
      </c>
      <c r="Q748" t="n">
        <v>0</v>
      </c>
      <c r="R748" s="2" t="inlineStr"/>
    </row>
    <row r="749" ht="15" customHeight="1">
      <c r="A749" t="inlineStr">
        <is>
          <t>A 51993-2025</t>
        </is>
      </c>
      <c r="B749" s="1" t="n">
        <v>45952.58194444444</v>
      </c>
      <c r="C749" s="1" t="n">
        <v>46017</v>
      </c>
      <c r="D749" t="inlineStr">
        <is>
          <t>KALMAR LÄN</t>
        </is>
      </c>
      <c r="E749" t="inlineStr">
        <is>
          <t>VIMMERBY</t>
        </is>
      </c>
      <c r="G749" t="n">
        <v>2.8</v>
      </c>
      <c r="H749" t="n">
        <v>0</v>
      </c>
      <c r="I749" t="n">
        <v>0</v>
      </c>
      <c r="J749" t="n">
        <v>0</v>
      </c>
      <c r="K749" t="n">
        <v>0</v>
      </c>
      <c r="L749" t="n">
        <v>0</v>
      </c>
      <c r="M749" t="n">
        <v>0</v>
      </c>
      <c r="N749" t="n">
        <v>0</v>
      </c>
      <c r="O749" t="n">
        <v>0</v>
      </c>
      <c r="P749" t="n">
        <v>0</v>
      </c>
      <c r="Q749" t="n">
        <v>0</v>
      </c>
      <c r="R749" s="2" t="inlineStr"/>
    </row>
    <row r="750" ht="15" customHeight="1">
      <c r="A750" t="inlineStr">
        <is>
          <t>A 17482-2024</t>
        </is>
      </c>
      <c r="B750" s="1" t="n">
        <v>45415.47848379629</v>
      </c>
      <c r="C750" s="1" t="n">
        <v>46017</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29350-2023</t>
        </is>
      </c>
      <c r="B751" s="1" t="n">
        <v>45106</v>
      </c>
      <c r="C751" s="1" t="n">
        <v>46017</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29351-2023</t>
        </is>
      </c>
      <c r="B752" s="1" t="n">
        <v>45106.2610300926</v>
      </c>
      <c r="C752" s="1" t="n">
        <v>46017</v>
      </c>
      <c r="D752" t="inlineStr">
        <is>
          <t>KALMAR LÄN</t>
        </is>
      </c>
      <c r="E752" t="inlineStr">
        <is>
          <t>VIMMERBY</t>
        </is>
      </c>
      <c r="G752" t="n">
        <v>0.4</v>
      </c>
      <c r="H752" t="n">
        <v>0</v>
      </c>
      <c r="I752" t="n">
        <v>0</v>
      </c>
      <c r="J752" t="n">
        <v>0</v>
      </c>
      <c r="K752" t="n">
        <v>0</v>
      </c>
      <c r="L752" t="n">
        <v>0</v>
      </c>
      <c r="M752" t="n">
        <v>0</v>
      </c>
      <c r="N752" t="n">
        <v>0</v>
      </c>
      <c r="O752" t="n">
        <v>0</v>
      </c>
      <c r="P752" t="n">
        <v>0</v>
      </c>
      <c r="Q752" t="n">
        <v>0</v>
      </c>
      <c r="R752" s="2" t="inlineStr"/>
    </row>
    <row r="753" ht="15" customHeight="1">
      <c r="A753" t="inlineStr">
        <is>
          <t>A 13817-2024</t>
        </is>
      </c>
      <c r="B753" s="1" t="n">
        <v>45391.41976851852</v>
      </c>
      <c r="C753" s="1" t="n">
        <v>46017</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30406-2023</t>
        </is>
      </c>
      <c r="B754" s="1" t="n">
        <v>45111.48787037037</v>
      </c>
      <c r="C754" s="1" t="n">
        <v>46017</v>
      </c>
      <c r="D754" t="inlineStr">
        <is>
          <t>KALMAR LÄN</t>
        </is>
      </c>
      <c r="E754" t="inlineStr">
        <is>
          <t>VIMMERBY</t>
        </is>
      </c>
      <c r="G754" t="n">
        <v>2.4</v>
      </c>
      <c r="H754" t="n">
        <v>0</v>
      </c>
      <c r="I754" t="n">
        <v>0</v>
      </c>
      <c r="J754" t="n">
        <v>0</v>
      </c>
      <c r="K754" t="n">
        <v>0</v>
      </c>
      <c r="L754" t="n">
        <v>0</v>
      </c>
      <c r="M754" t="n">
        <v>0</v>
      </c>
      <c r="N754" t="n">
        <v>0</v>
      </c>
      <c r="O754" t="n">
        <v>0</v>
      </c>
      <c r="P754" t="n">
        <v>0</v>
      </c>
      <c r="Q754" t="n">
        <v>0</v>
      </c>
      <c r="R754" s="2" t="inlineStr"/>
    </row>
    <row r="755" ht="15" customHeight="1">
      <c r="A755" t="inlineStr">
        <is>
          <t>A 60180-2025</t>
        </is>
      </c>
      <c r="B755" s="1" t="n">
        <v>45994.46428240741</v>
      </c>
      <c r="C755" s="1" t="n">
        <v>46017</v>
      </c>
      <c r="D755" t="inlineStr">
        <is>
          <t>KALMAR LÄN</t>
        </is>
      </c>
      <c r="E755" t="inlineStr">
        <is>
          <t>VIMMERBY</t>
        </is>
      </c>
      <c r="G755" t="n">
        <v>6.8</v>
      </c>
      <c r="H755" t="n">
        <v>0</v>
      </c>
      <c r="I755" t="n">
        <v>0</v>
      </c>
      <c r="J755" t="n">
        <v>0</v>
      </c>
      <c r="K755" t="n">
        <v>0</v>
      </c>
      <c r="L755" t="n">
        <v>0</v>
      </c>
      <c r="M755" t="n">
        <v>0</v>
      </c>
      <c r="N755" t="n">
        <v>0</v>
      </c>
      <c r="O755" t="n">
        <v>0</v>
      </c>
      <c r="P755" t="n">
        <v>0</v>
      </c>
      <c r="Q755" t="n">
        <v>0</v>
      </c>
      <c r="R755" s="2" t="inlineStr"/>
    </row>
    <row r="756" ht="15" customHeight="1">
      <c r="A756" t="inlineStr">
        <is>
          <t>A 6474-2025</t>
        </is>
      </c>
      <c r="B756" s="1" t="n">
        <v>45699.60055555555</v>
      </c>
      <c r="C756" s="1" t="n">
        <v>46017</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29020-2024</t>
        </is>
      </c>
      <c r="B757" s="1" t="n">
        <v>45481.58048611111</v>
      </c>
      <c r="C757" s="1" t="n">
        <v>46017</v>
      </c>
      <c r="D757" t="inlineStr">
        <is>
          <t>KALMAR LÄN</t>
        </is>
      </c>
      <c r="E757" t="inlineStr">
        <is>
          <t>VIMMERBY</t>
        </is>
      </c>
      <c r="G757" t="n">
        <v>2.3</v>
      </c>
      <c r="H757" t="n">
        <v>0</v>
      </c>
      <c r="I757" t="n">
        <v>0</v>
      </c>
      <c r="J757" t="n">
        <v>0</v>
      </c>
      <c r="K757" t="n">
        <v>0</v>
      </c>
      <c r="L757" t="n">
        <v>0</v>
      </c>
      <c r="M757" t="n">
        <v>0</v>
      </c>
      <c r="N757" t="n">
        <v>0</v>
      </c>
      <c r="O757" t="n">
        <v>0</v>
      </c>
      <c r="P757" t="n">
        <v>0</v>
      </c>
      <c r="Q757" t="n">
        <v>0</v>
      </c>
      <c r="R757" s="2" t="inlineStr"/>
    </row>
    <row r="758" ht="15" customHeight="1">
      <c r="A758" t="inlineStr">
        <is>
          <t>A 51990-2025</t>
        </is>
      </c>
      <c r="B758" s="1" t="n">
        <v>45952.58061342593</v>
      </c>
      <c r="C758" s="1" t="n">
        <v>46017</v>
      </c>
      <c r="D758" t="inlineStr">
        <is>
          <t>KALMAR LÄN</t>
        </is>
      </c>
      <c r="E758" t="inlineStr">
        <is>
          <t>VIMMERBY</t>
        </is>
      </c>
      <c r="G758" t="n">
        <v>2.4</v>
      </c>
      <c r="H758" t="n">
        <v>0</v>
      </c>
      <c r="I758" t="n">
        <v>0</v>
      </c>
      <c r="J758" t="n">
        <v>0</v>
      </c>
      <c r="K758" t="n">
        <v>0</v>
      </c>
      <c r="L758" t="n">
        <v>0</v>
      </c>
      <c r="M758" t="n">
        <v>0</v>
      </c>
      <c r="N758" t="n">
        <v>0</v>
      </c>
      <c r="O758" t="n">
        <v>0</v>
      </c>
      <c r="P758" t="n">
        <v>0</v>
      </c>
      <c r="Q758" t="n">
        <v>0</v>
      </c>
      <c r="R758" s="2" t="inlineStr"/>
    </row>
    <row r="759" ht="15" customHeight="1">
      <c r="A759" t="inlineStr">
        <is>
          <t>A 17-2025</t>
        </is>
      </c>
      <c r="B759" s="1" t="n">
        <v>45658.78774305555</v>
      </c>
      <c r="C759" s="1" t="n">
        <v>46017</v>
      </c>
      <c r="D759" t="inlineStr">
        <is>
          <t>KALMAR LÄN</t>
        </is>
      </c>
      <c r="E759" t="inlineStr">
        <is>
          <t>VIMMERBY</t>
        </is>
      </c>
      <c r="G759" t="n">
        <v>4.4</v>
      </c>
      <c r="H759" t="n">
        <v>0</v>
      </c>
      <c r="I759" t="n">
        <v>0</v>
      </c>
      <c r="J759" t="n">
        <v>0</v>
      </c>
      <c r="K759" t="n">
        <v>0</v>
      </c>
      <c r="L759" t="n">
        <v>0</v>
      </c>
      <c r="M759" t="n">
        <v>0</v>
      </c>
      <c r="N759" t="n">
        <v>0</v>
      </c>
      <c r="O759" t="n">
        <v>0</v>
      </c>
      <c r="P759" t="n">
        <v>0</v>
      </c>
      <c r="Q759" t="n">
        <v>0</v>
      </c>
      <c r="R759" s="2" t="inlineStr"/>
    </row>
    <row r="760" ht="15" customHeight="1">
      <c r="A760" t="inlineStr">
        <is>
          <t>A 57555-2024</t>
        </is>
      </c>
      <c r="B760" s="1" t="n">
        <v>45630.45069444444</v>
      </c>
      <c r="C760" s="1" t="n">
        <v>46017</v>
      </c>
      <c r="D760" t="inlineStr">
        <is>
          <t>KALMAR LÄN</t>
        </is>
      </c>
      <c r="E760" t="inlineStr">
        <is>
          <t>VIMMERBY</t>
        </is>
      </c>
      <c r="G760" t="n">
        <v>1.1</v>
      </c>
      <c r="H760" t="n">
        <v>0</v>
      </c>
      <c r="I760" t="n">
        <v>0</v>
      </c>
      <c r="J760" t="n">
        <v>0</v>
      </c>
      <c r="K760" t="n">
        <v>0</v>
      </c>
      <c r="L760" t="n">
        <v>0</v>
      </c>
      <c r="M760" t="n">
        <v>0</v>
      </c>
      <c r="N760" t="n">
        <v>0</v>
      </c>
      <c r="O760" t="n">
        <v>0</v>
      </c>
      <c r="P760" t="n">
        <v>0</v>
      </c>
      <c r="Q760" t="n">
        <v>0</v>
      </c>
      <c r="R760" s="2" t="inlineStr"/>
    </row>
    <row r="761" ht="15" customHeight="1">
      <c r="A761" t="inlineStr">
        <is>
          <t>A 52473-2025</t>
        </is>
      </c>
      <c r="B761" s="1" t="n">
        <v>45954.45947916667</v>
      </c>
      <c r="C761" s="1" t="n">
        <v>46017</v>
      </c>
      <c r="D761" t="inlineStr">
        <is>
          <t>KALMAR LÄN</t>
        </is>
      </c>
      <c r="E761" t="inlineStr">
        <is>
          <t>VIMMERBY</t>
        </is>
      </c>
      <c r="G761" t="n">
        <v>2.4</v>
      </c>
      <c r="H761" t="n">
        <v>0</v>
      </c>
      <c r="I761" t="n">
        <v>0</v>
      </c>
      <c r="J761" t="n">
        <v>0</v>
      </c>
      <c r="K761" t="n">
        <v>0</v>
      </c>
      <c r="L761" t="n">
        <v>0</v>
      </c>
      <c r="M761" t="n">
        <v>0</v>
      </c>
      <c r="N761" t="n">
        <v>0</v>
      </c>
      <c r="O761" t="n">
        <v>0</v>
      </c>
      <c r="P761" t="n">
        <v>0</v>
      </c>
      <c r="Q761" t="n">
        <v>0</v>
      </c>
      <c r="R761" s="2" t="inlineStr"/>
    </row>
    <row r="762" ht="15" customHeight="1">
      <c r="A762" t="inlineStr">
        <is>
          <t>A 52480-2025</t>
        </is>
      </c>
      <c r="B762" s="1" t="n">
        <v>45954.47172453703</v>
      </c>
      <c r="C762" s="1" t="n">
        <v>46017</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18411-2021</t>
        </is>
      </c>
      <c r="B763" s="1" t="n">
        <v>44302</v>
      </c>
      <c r="C763" s="1" t="n">
        <v>46017</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52279-2023</t>
        </is>
      </c>
      <c r="B764" s="1" t="n">
        <v>45224</v>
      </c>
      <c r="C764" s="1" t="n">
        <v>46017</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52324-2023</t>
        </is>
      </c>
      <c r="B765" s="1" t="n">
        <v>45224.64659722222</v>
      </c>
      <c r="C765" s="1" t="n">
        <v>46017</v>
      </c>
      <c r="D765" t="inlineStr">
        <is>
          <t>KALMAR LÄN</t>
        </is>
      </c>
      <c r="E765" t="inlineStr">
        <is>
          <t>VIMMERBY</t>
        </is>
      </c>
      <c r="F765" t="inlineStr">
        <is>
          <t>Sveaskog</t>
        </is>
      </c>
      <c r="G765" t="n">
        <v>2.9</v>
      </c>
      <c r="H765" t="n">
        <v>0</v>
      </c>
      <c r="I765" t="n">
        <v>0</v>
      </c>
      <c r="J765" t="n">
        <v>0</v>
      </c>
      <c r="K765" t="n">
        <v>0</v>
      </c>
      <c r="L765" t="n">
        <v>0</v>
      </c>
      <c r="M765" t="n">
        <v>0</v>
      </c>
      <c r="N765" t="n">
        <v>0</v>
      </c>
      <c r="O765" t="n">
        <v>0</v>
      </c>
      <c r="P765" t="n">
        <v>0</v>
      </c>
      <c r="Q765" t="n">
        <v>0</v>
      </c>
      <c r="R765" s="2" t="inlineStr"/>
    </row>
    <row r="766" ht="15" customHeight="1">
      <c r="A766" t="inlineStr">
        <is>
          <t>A 52466-2025</t>
        </is>
      </c>
      <c r="B766" s="1" t="n">
        <v>45954.44707175926</v>
      </c>
      <c r="C766" s="1" t="n">
        <v>46017</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60297-2025</t>
        </is>
      </c>
      <c r="B767" s="1" t="n">
        <v>45994</v>
      </c>
      <c r="C767" s="1" t="n">
        <v>46017</v>
      </c>
      <c r="D767" t="inlineStr">
        <is>
          <t>KALMAR LÄN</t>
        </is>
      </c>
      <c r="E767" t="inlineStr">
        <is>
          <t>VIMMERBY</t>
        </is>
      </c>
      <c r="G767" t="n">
        <v>4.2</v>
      </c>
      <c r="H767" t="n">
        <v>0</v>
      </c>
      <c r="I767" t="n">
        <v>0</v>
      </c>
      <c r="J767" t="n">
        <v>0</v>
      </c>
      <c r="K767" t="n">
        <v>0</v>
      </c>
      <c r="L767" t="n">
        <v>0</v>
      </c>
      <c r="M767" t="n">
        <v>0</v>
      </c>
      <c r="N767" t="n">
        <v>0</v>
      </c>
      <c r="O767" t="n">
        <v>0</v>
      </c>
      <c r="P767" t="n">
        <v>0</v>
      </c>
      <c r="Q767" t="n">
        <v>0</v>
      </c>
      <c r="R767" s="2" t="inlineStr"/>
    </row>
    <row r="768" ht="15" customHeight="1">
      <c r="A768" t="inlineStr">
        <is>
          <t>A 52516-2025</t>
        </is>
      </c>
      <c r="B768" s="1" t="n">
        <v>45954.51412037037</v>
      </c>
      <c r="C768" s="1" t="n">
        <v>46017</v>
      </c>
      <c r="D768" t="inlineStr">
        <is>
          <t>KALMAR LÄN</t>
        </is>
      </c>
      <c r="E768" t="inlineStr">
        <is>
          <t>VIMMERBY</t>
        </is>
      </c>
      <c r="G768" t="n">
        <v>2.8</v>
      </c>
      <c r="H768" t="n">
        <v>0</v>
      </c>
      <c r="I768" t="n">
        <v>0</v>
      </c>
      <c r="J768" t="n">
        <v>0</v>
      </c>
      <c r="K768" t="n">
        <v>0</v>
      </c>
      <c r="L768" t="n">
        <v>0</v>
      </c>
      <c r="M768" t="n">
        <v>0</v>
      </c>
      <c r="N768" t="n">
        <v>0</v>
      </c>
      <c r="O768" t="n">
        <v>0</v>
      </c>
      <c r="P768" t="n">
        <v>0</v>
      </c>
      <c r="Q768" t="n">
        <v>0</v>
      </c>
      <c r="R768" s="2" t="inlineStr"/>
    </row>
    <row r="769" ht="15" customHeight="1">
      <c r="A769" t="inlineStr">
        <is>
          <t>A 32639-2023</t>
        </is>
      </c>
      <c r="B769" s="1" t="n">
        <v>45121.5965162037</v>
      </c>
      <c r="C769" s="1" t="n">
        <v>46017</v>
      </c>
      <c r="D769" t="inlineStr">
        <is>
          <t>KALMAR LÄN</t>
        </is>
      </c>
      <c r="E769" t="inlineStr">
        <is>
          <t>VIMMERBY</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32642-2023</t>
        </is>
      </c>
      <c r="B770" s="1" t="n">
        <v>45121.59954861111</v>
      </c>
      <c r="C770" s="1" t="n">
        <v>46017</v>
      </c>
      <c r="D770" t="inlineStr">
        <is>
          <t>KALMAR LÄN</t>
        </is>
      </c>
      <c r="E770" t="inlineStr">
        <is>
          <t>VIMMERBY</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32651-2023</t>
        </is>
      </c>
      <c r="B771" s="1" t="n">
        <v>45121.6096875</v>
      </c>
      <c r="C771" s="1" t="n">
        <v>46017</v>
      </c>
      <c r="D771" t="inlineStr">
        <is>
          <t>KALMAR LÄN</t>
        </is>
      </c>
      <c r="E771" t="inlineStr">
        <is>
          <t>VIMMERBY</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40730-2024</t>
        </is>
      </c>
      <c r="B772" s="1" t="n">
        <v>45558.44914351852</v>
      </c>
      <c r="C772" s="1" t="n">
        <v>46017</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52465-2025</t>
        </is>
      </c>
      <c r="B773" s="1" t="n">
        <v>45954.44543981482</v>
      </c>
      <c r="C773" s="1" t="n">
        <v>46017</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9643-2023</t>
        </is>
      </c>
      <c r="B774" s="1" t="n">
        <v>44984</v>
      </c>
      <c r="C774" s="1" t="n">
        <v>46017</v>
      </c>
      <c r="D774" t="inlineStr">
        <is>
          <t>KALMAR LÄN</t>
        </is>
      </c>
      <c r="E774" t="inlineStr">
        <is>
          <t>VIMMERBY</t>
        </is>
      </c>
      <c r="G774" t="n">
        <v>2</v>
      </c>
      <c r="H774" t="n">
        <v>0</v>
      </c>
      <c r="I774" t="n">
        <v>0</v>
      </c>
      <c r="J774" t="n">
        <v>0</v>
      </c>
      <c r="K774" t="n">
        <v>0</v>
      </c>
      <c r="L774" t="n">
        <v>0</v>
      </c>
      <c r="M774" t="n">
        <v>0</v>
      </c>
      <c r="N774" t="n">
        <v>0</v>
      </c>
      <c r="O774" t="n">
        <v>0</v>
      </c>
      <c r="P774" t="n">
        <v>0</v>
      </c>
      <c r="Q774" t="n">
        <v>0</v>
      </c>
      <c r="R774" s="2" t="inlineStr"/>
    </row>
    <row r="775" ht="15" customHeight="1">
      <c r="A775" t="inlineStr">
        <is>
          <t>A 56213-2024</t>
        </is>
      </c>
      <c r="B775" s="1" t="n">
        <v>45624.60141203704</v>
      </c>
      <c r="C775" s="1" t="n">
        <v>46017</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20126-2024</t>
        </is>
      </c>
      <c r="B776" s="1" t="n">
        <v>45434.55471064815</v>
      </c>
      <c r="C776" s="1" t="n">
        <v>46017</v>
      </c>
      <c r="D776" t="inlineStr">
        <is>
          <t>KALMAR LÄN</t>
        </is>
      </c>
      <c r="E776" t="inlineStr">
        <is>
          <t>VIMMERBY</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19865-2021</t>
        </is>
      </c>
      <c r="B777" s="1" t="n">
        <v>44312</v>
      </c>
      <c r="C777" s="1" t="n">
        <v>46017</v>
      </c>
      <c r="D777" t="inlineStr">
        <is>
          <t>KALMAR LÄN</t>
        </is>
      </c>
      <c r="E777" t="inlineStr">
        <is>
          <t>VIMMERBY</t>
        </is>
      </c>
      <c r="G777" t="n">
        <v>8.6</v>
      </c>
      <c r="H777" t="n">
        <v>0</v>
      </c>
      <c r="I777" t="n">
        <v>0</v>
      </c>
      <c r="J777" t="n">
        <v>0</v>
      </c>
      <c r="K777" t="n">
        <v>0</v>
      </c>
      <c r="L777" t="n">
        <v>0</v>
      </c>
      <c r="M777" t="n">
        <v>0</v>
      </c>
      <c r="N777" t="n">
        <v>0</v>
      </c>
      <c r="O777" t="n">
        <v>0</v>
      </c>
      <c r="P777" t="n">
        <v>0</v>
      </c>
      <c r="Q777" t="n">
        <v>0</v>
      </c>
      <c r="R777" s="2" t="inlineStr"/>
    </row>
    <row r="778" ht="15" customHeight="1">
      <c r="A778" t="inlineStr">
        <is>
          <t>A 9694-2023</t>
        </is>
      </c>
      <c r="B778" s="1" t="n">
        <v>44984.45895833334</v>
      </c>
      <c r="C778" s="1" t="n">
        <v>46017</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9710-2023</t>
        </is>
      </c>
      <c r="B779" s="1" t="n">
        <v>44984</v>
      </c>
      <c r="C779" s="1" t="n">
        <v>46017</v>
      </c>
      <c r="D779" t="inlineStr">
        <is>
          <t>KALMAR LÄN</t>
        </is>
      </c>
      <c r="E779" t="inlineStr">
        <is>
          <t>VIMMERBY</t>
        </is>
      </c>
      <c r="G779" t="n">
        <v>3.7</v>
      </c>
      <c r="H779" t="n">
        <v>0</v>
      </c>
      <c r="I779" t="n">
        <v>0</v>
      </c>
      <c r="J779" t="n">
        <v>0</v>
      </c>
      <c r="K779" t="n">
        <v>0</v>
      </c>
      <c r="L779" t="n">
        <v>0</v>
      </c>
      <c r="M779" t="n">
        <v>0</v>
      </c>
      <c r="N779" t="n">
        <v>0</v>
      </c>
      <c r="O779" t="n">
        <v>0</v>
      </c>
      <c r="P779" t="n">
        <v>0</v>
      </c>
      <c r="Q779" t="n">
        <v>0</v>
      </c>
      <c r="R779" s="2" t="inlineStr"/>
    </row>
    <row r="780" ht="15" customHeight="1">
      <c r="A780" t="inlineStr">
        <is>
          <t>A 6216-2025</t>
        </is>
      </c>
      <c r="B780" s="1" t="n">
        <v>45698.52806712963</v>
      </c>
      <c r="C780" s="1" t="n">
        <v>46017</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25582-2024</t>
        </is>
      </c>
      <c r="B781" s="1" t="n">
        <v>45463</v>
      </c>
      <c r="C781" s="1" t="n">
        <v>46017</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57578-2024</t>
        </is>
      </c>
      <c r="B782" s="1" t="n">
        <v>45630.47564814815</v>
      </c>
      <c r="C782" s="1" t="n">
        <v>46017</v>
      </c>
      <c r="D782" t="inlineStr">
        <is>
          <t>KALMAR LÄN</t>
        </is>
      </c>
      <c r="E782" t="inlineStr">
        <is>
          <t>VIMMERBY</t>
        </is>
      </c>
      <c r="G782" t="n">
        <v>2.6</v>
      </c>
      <c r="H782" t="n">
        <v>0</v>
      </c>
      <c r="I782" t="n">
        <v>0</v>
      </c>
      <c r="J782" t="n">
        <v>0</v>
      </c>
      <c r="K782" t="n">
        <v>0</v>
      </c>
      <c r="L782" t="n">
        <v>0</v>
      </c>
      <c r="M782" t="n">
        <v>0</v>
      </c>
      <c r="N782" t="n">
        <v>0</v>
      </c>
      <c r="O782" t="n">
        <v>0</v>
      </c>
      <c r="P782" t="n">
        <v>0</v>
      </c>
      <c r="Q782" t="n">
        <v>0</v>
      </c>
      <c r="R782" s="2" t="inlineStr"/>
    </row>
    <row r="783" ht="15" customHeight="1">
      <c r="A783" t="inlineStr">
        <is>
          <t>A 52475-2025</t>
        </is>
      </c>
      <c r="B783" s="1" t="n">
        <v>45954.468125</v>
      </c>
      <c r="C783" s="1" t="n">
        <v>46017</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53220-2025</t>
        </is>
      </c>
      <c r="B784" s="1" t="n">
        <v>45958.60146990741</v>
      </c>
      <c r="C784" s="1" t="n">
        <v>46017</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22399-2025</t>
        </is>
      </c>
      <c r="B785" s="1" t="n">
        <v>45786.52996527778</v>
      </c>
      <c r="C785" s="1" t="n">
        <v>46017</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52451-2025</t>
        </is>
      </c>
      <c r="B786" s="1" t="n">
        <v>45954.42326388889</v>
      </c>
      <c r="C786" s="1" t="n">
        <v>46017</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53393-2025</t>
        </is>
      </c>
      <c r="B787" s="1" t="n">
        <v>45959.55284722222</v>
      </c>
      <c r="C787" s="1" t="n">
        <v>46017</v>
      </c>
      <c r="D787" t="inlineStr">
        <is>
          <t>KALMAR LÄN</t>
        </is>
      </c>
      <c r="E787" t="inlineStr">
        <is>
          <t>VIMMERBY</t>
        </is>
      </c>
      <c r="G787" t="n">
        <v>1</v>
      </c>
      <c r="H787" t="n">
        <v>0</v>
      </c>
      <c r="I787" t="n">
        <v>0</v>
      </c>
      <c r="J787" t="n">
        <v>0</v>
      </c>
      <c r="K787" t="n">
        <v>0</v>
      </c>
      <c r="L787" t="n">
        <v>0</v>
      </c>
      <c r="M787" t="n">
        <v>0</v>
      </c>
      <c r="N787" t="n">
        <v>0</v>
      </c>
      <c r="O787" t="n">
        <v>0</v>
      </c>
      <c r="P787" t="n">
        <v>0</v>
      </c>
      <c r="Q787" t="n">
        <v>0</v>
      </c>
      <c r="R787" s="2" t="inlineStr"/>
    </row>
    <row r="788" ht="15" customHeight="1">
      <c r="A788" t="inlineStr">
        <is>
          <t>A 53398-2025</t>
        </is>
      </c>
      <c r="B788" s="1" t="n">
        <v>45959.56247685185</v>
      </c>
      <c r="C788" s="1" t="n">
        <v>46017</v>
      </c>
      <c r="D788" t="inlineStr">
        <is>
          <t>KALMAR LÄN</t>
        </is>
      </c>
      <c r="E788" t="inlineStr">
        <is>
          <t>VIMMERBY</t>
        </is>
      </c>
      <c r="G788" t="n">
        <v>0.8</v>
      </c>
      <c r="H788" t="n">
        <v>0</v>
      </c>
      <c r="I788" t="n">
        <v>0</v>
      </c>
      <c r="J788" t="n">
        <v>0</v>
      </c>
      <c r="K788" t="n">
        <v>0</v>
      </c>
      <c r="L788" t="n">
        <v>0</v>
      </c>
      <c r="M788" t="n">
        <v>0</v>
      </c>
      <c r="N788" t="n">
        <v>0</v>
      </c>
      <c r="O788" t="n">
        <v>0</v>
      </c>
      <c r="P788" t="n">
        <v>0</v>
      </c>
      <c r="Q788" t="n">
        <v>0</v>
      </c>
      <c r="R788" s="2" t="inlineStr"/>
    </row>
    <row r="789" ht="15" customHeight="1">
      <c r="A789" t="inlineStr">
        <is>
          <t>A 53397-2025</t>
        </is>
      </c>
      <c r="B789" s="1" t="n">
        <v>45959.55918981481</v>
      </c>
      <c r="C789" s="1" t="n">
        <v>46017</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53416-2025</t>
        </is>
      </c>
      <c r="B790" s="1" t="n">
        <v>45959.58387731481</v>
      </c>
      <c r="C790" s="1" t="n">
        <v>46017</v>
      </c>
      <c r="D790" t="inlineStr">
        <is>
          <t>KALMAR LÄN</t>
        </is>
      </c>
      <c r="E790" t="inlineStr">
        <is>
          <t>VIMMERBY</t>
        </is>
      </c>
      <c r="G790" t="n">
        <v>4.4</v>
      </c>
      <c r="H790" t="n">
        <v>0</v>
      </c>
      <c r="I790" t="n">
        <v>0</v>
      </c>
      <c r="J790" t="n">
        <v>0</v>
      </c>
      <c r="K790" t="n">
        <v>0</v>
      </c>
      <c r="L790" t="n">
        <v>0</v>
      </c>
      <c r="M790" t="n">
        <v>0</v>
      </c>
      <c r="N790" t="n">
        <v>0</v>
      </c>
      <c r="O790" t="n">
        <v>0</v>
      </c>
      <c r="P790" t="n">
        <v>0</v>
      </c>
      <c r="Q790" t="n">
        <v>0</v>
      </c>
      <c r="R790" s="2" t="inlineStr"/>
    </row>
    <row r="791" ht="15" customHeight="1">
      <c r="A791" t="inlineStr">
        <is>
          <t>A 61726-2025</t>
        </is>
      </c>
      <c r="B791" s="1" t="n">
        <v>46002.58822916666</v>
      </c>
      <c r="C791" s="1" t="n">
        <v>46017</v>
      </c>
      <c r="D791" t="inlineStr">
        <is>
          <t>KALMAR LÄN</t>
        </is>
      </c>
      <c r="E791" t="inlineStr">
        <is>
          <t>VIMMERBY</t>
        </is>
      </c>
      <c r="F791" t="inlineStr">
        <is>
          <t>Sveaskog</t>
        </is>
      </c>
      <c r="G791" t="n">
        <v>0.2</v>
      </c>
      <c r="H791" t="n">
        <v>0</v>
      </c>
      <c r="I791" t="n">
        <v>0</v>
      </c>
      <c r="J791" t="n">
        <v>0</v>
      </c>
      <c r="K791" t="n">
        <v>0</v>
      </c>
      <c r="L791" t="n">
        <v>0</v>
      </c>
      <c r="M791" t="n">
        <v>0</v>
      </c>
      <c r="N791" t="n">
        <v>0</v>
      </c>
      <c r="O791" t="n">
        <v>0</v>
      </c>
      <c r="P791" t="n">
        <v>0</v>
      </c>
      <c r="Q791" t="n">
        <v>0</v>
      </c>
      <c r="R791" s="2" t="inlineStr"/>
    </row>
    <row r="792" ht="15" customHeight="1">
      <c r="A792" t="inlineStr">
        <is>
          <t>A 61725-2025</t>
        </is>
      </c>
      <c r="B792" s="1" t="n">
        <v>46002.58680555555</v>
      </c>
      <c r="C792" s="1" t="n">
        <v>46017</v>
      </c>
      <c r="D792" t="inlineStr">
        <is>
          <t>KALMAR LÄN</t>
        </is>
      </c>
      <c r="E792" t="inlineStr">
        <is>
          <t>VIMMERBY</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22397-2025</t>
        </is>
      </c>
      <c r="B793" s="1" t="n">
        <v>45786.52878472222</v>
      </c>
      <c r="C793" s="1" t="n">
        <v>46017</v>
      </c>
      <c r="D793" t="inlineStr">
        <is>
          <t>KALMAR LÄN</t>
        </is>
      </c>
      <c r="E793" t="inlineStr">
        <is>
          <t>VIMMERBY</t>
        </is>
      </c>
      <c r="G793" t="n">
        <v>0.8</v>
      </c>
      <c r="H793" t="n">
        <v>0</v>
      </c>
      <c r="I793" t="n">
        <v>0</v>
      </c>
      <c r="J793" t="n">
        <v>0</v>
      </c>
      <c r="K793" t="n">
        <v>0</v>
      </c>
      <c r="L793" t="n">
        <v>0</v>
      </c>
      <c r="M793" t="n">
        <v>0</v>
      </c>
      <c r="N793" t="n">
        <v>0</v>
      </c>
      <c r="O793" t="n">
        <v>0</v>
      </c>
      <c r="P793" t="n">
        <v>0</v>
      </c>
      <c r="Q793" t="n">
        <v>0</v>
      </c>
      <c r="R793" s="2" t="inlineStr"/>
    </row>
    <row r="794" ht="15" customHeight="1">
      <c r="A794" t="inlineStr">
        <is>
          <t>A 53413-2025</t>
        </is>
      </c>
      <c r="B794" s="1" t="n">
        <v>45959.5787037037</v>
      </c>
      <c r="C794" s="1" t="n">
        <v>46017</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61790-2025</t>
        </is>
      </c>
      <c r="B795" s="1" t="n">
        <v>46002.68768518518</v>
      </c>
      <c r="C795" s="1" t="n">
        <v>46017</v>
      </c>
      <c r="D795" t="inlineStr">
        <is>
          <t>KALMAR LÄN</t>
        </is>
      </c>
      <c r="E795" t="inlineStr">
        <is>
          <t>VIMMERBY</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11442-2025</t>
        </is>
      </c>
      <c r="B796" s="1" t="n">
        <v>45726.62721064815</v>
      </c>
      <c r="C796" s="1" t="n">
        <v>46017</v>
      </c>
      <c r="D796" t="inlineStr">
        <is>
          <t>KALMAR LÄN</t>
        </is>
      </c>
      <c r="E796" t="inlineStr">
        <is>
          <t>VIMMERBY</t>
        </is>
      </c>
      <c r="G796" t="n">
        <v>2.6</v>
      </c>
      <c r="H796" t="n">
        <v>0</v>
      </c>
      <c r="I796" t="n">
        <v>0</v>
      </c>
      <c r="J796" t="n">
        <v>0</v>
      </c>
      <c r="K796" t="n">
        <v>0</v>
      </c>
      <c r="L796" t="n">
        <v>0</v>
      </c>
      <c r="M796" t="n">
        <v>0</v>
      </c>
      <c r="N796" t="n">
        <v>0</v>
      </c>
      <c r="O796" t="n">
        <v>0</v>
      </c>
      <c r="P796" t="n">
        <v>0</v>
      </c>
      <c r="Q796" t="n">
        <v>0</v>
      </c>
      <c r="R796" s="2" t="inlineStr"/>
    </row>
    <row r="797" ht="15" customHeight="1">
      <c r="A797" t="inlineStr">
        <is>
          <t>A 6307-2025</t>
        </is>
      </c>
      <c r="B797" s="1" t="n">
        <v>45698.69016203703</v>
      </c>
      <c r="C797" s="1" t="n">
        <v>46017</v>
      </c>
      <c r="D797" t="inlineStr">
        <is>
          <t>KALMAR LÄN</t>
        </is>
      </c>
      <c r="E797" t="inlineStr">
        <is>
          <t>VIMMERBY</t>
        </is>
      </c>
      <c r="G797" t="n">
        <v>3</v>
      </c>
      <c r="H797" t="n">
        <v>0</v>
      </c>
      <c r="I797" t="n">
        <v>0</v>
      </c>
      <c r="J797" t="n">
        <v>0</v>
      </c>
      <c r="K797" t="n">
        <v>0</v>
      </c>
      <c r="L797" t="n">
        <v>0</v>
      </c>
      <c r="M797" t="n">
        <v>0</v>
      </c>
      <c r="N797" t="n">
        <v>0</v>
      </c>
      <c r="O797" t="n">
        <v>0</v>
      </c>
      <c r="P797" t="n">
        <v>0</v>
      </c>
      <c r="Q797" t="n">
        <v>0</v>
      </c>
      <c r="R797" s="2" t="inlineStr"/>
    </row>
    <row r="798" ht="15" customHeight="1">
      <c r="A798" t="inlineStr">
        <is>
          <t>A 53396-2025</t>
        </is>
      </c>
      <c r="B798" s="1" t="n">
        <v>45959.55577546296</v>
      </c>
      <c r="C798" s="1" t="n">
        <v>46017</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53788-2025</t>
        </is>
      </c>
      <c r="B799" s="1" t="n">
        <v>45960</v>
      </c>
      <c r="C799" s="1" t="n">
        <v>46017</v>
      </c>
      <c r="D799" t="inlineStr">
        <is>
          <t>KALMAR LÄN</t>
        </is>
      </c>
      <c r="E799" t="inlineStr">
        <is>
          <t>VIMMERBY</t>
        </is>
      </c>
      <c r="F799" t="inlineStr">
        <is>
          <t>Övriga statliga verk och myndigheter</t>
        </is>
      </c>
      <c r="G799" t="n">
        <v>6.3</v>
      </c>
      <c r="H799" t="n">
        <v>0</v>
      </c>
      <c r="I799" t="n">
        <v>0</v>
      </c>
      <c r="J799" t="n">
        <v>0</v>
      </c>
      <c r="K799" t="n">
        <v>0</v>
      </c>
      <c r="L799" t="n">
        <v>0</v>
      </c>
      <c r="M799" t="n">
        <v>0</v>
      </c>
      <c r="N799" t="n">
        <v>0</v>
      </c>
      <c r="O799" t="n">
        <v>0</v>
      </c>
      <c r="P799" t="n">
        <v>0</v>
      </c>
      <c r="Q799" t="n">
        <v>0</v>
      </c>
      <c r="R799" s="2" t="inlineStr"/>
    </row>
    <row r="800" ht="15" customHeight="1">
      <c r="A800" t="inlineStr">
        <is>
          <t>A 53927-2025</t>
        </is>
      </c>
      <c r="B800" s="1" t="n">
        <v>45961.46740740741</v>
      </c>
      <c r="C800" s="1" t="n">
        <v>46017</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53933-2025</t>
        </is>
      </c>
      <c r="B801" s="1" t="n">
        <v>45961.47650462963</v>
      </c>
      <c r="C801" s="1" t="n">
        <v>46017</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54236-2025</t>
        </is>
      </c>
      <c r="B802" s="1" t="n">
        <v>45964.62671296296</v>
      </c>
      <c r="C802" s="1" t="n">
        <v>46017</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53923-2025</t>
        </is>
      </c>
      <c r="B803" s="1" t="n">
        <v>45961.4569212963</v>
      </c>
      <c r="C803" s="1" t="n">
        <v>46017</v>
      </c>
      <c r="D803" t="inlineStr">
        <is>
          <t>KALMAR LÄN</t>
        </is>
      </c>
      <c r="E803" t="inlineStr">
        <is>
          <t>VIMMERBY</t>
        </is>
      </c>
      <c r="G803" t="n">
        <v>2.4</v>
      </c>
      <c r="H803" t="n">
        <v>0</v>
      </c>
      <c r="I803" t="n">
        <v>0</v>
      </c>
      <c r="J803" t="n">
        <v>0</v>
      </c>
      <c r="K803" t="n">
        <v>0</v>
      </c>
      <c r="L803" t="n">
        <v>0</v>
      </c>
      <c r="M803" t="n">
        <v>0</v>
      </c>
      <c r="N803" t="n">
        <v>0</v>
      </c>
      <c r="O803" t="n">
        <v>0</v>
      </c>
      <c r="P803" t="n">
        <v>0</v>
      </c>
      <c r="Q803" t="n">
        <v>0</v>
      </c>
      <c r="R803" s="2" t="inlineStr"/>
    </row>
    <row r="804" ht="15" customHeight="1">
      <c r="A804" t="inlineStr">
        <is>
          <t>A 53920-2025</t>
        </is>
      </c>
      <c r="B804" s="1" t="n">
        <v>45961.44951388889</v>
      </c>
      <c r="C804" s="1" t="n">
        <v>46017</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23394-2025</t>
        </is>
      </c>
      <c r="B805" s="1" t="n">
        <v>45791.89865740741</v>
      </c>
      <c r="C805" s="1" t="n">
        <v>46017</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54234-2025</t>
        </is>
      </c>
      <c r="B806" s="1" t="n">
        <v>45964.62486111111</v>
      </c>
      <c r="C806" s="1" t="n">
        <v>46017</v>
      </c>
      <c r="D806" t="inlineStr">
        <is>
          <t>KALMAR LÄN</t>
        </is>
      </c>
      <c r="E806" t="inlineStr">
        <is>
          <t>VIMMERBY</t>
        </is>
      </c>
      <c r="G806" t="n">
        <v>4.1</v>
      </c>
      <c r="H806" t="n">
        <v>0</v>
      </c>
      <c r="I806" t="n">
        <v>0</v>
      </c>
      <c r="J806" t="n">
        <v>0</v>
      </c>
      <c r="K806" t="n">
        <v>0</v>
      </c>
      <c r="L806" t="n">
        <v>0</v>
      </c>
      <c r="M806" t="n">
        <v>0</v>
      </c>
      <c r="N806" t="n">
        <v>0</v>
      </c>
      <c r="O806" t="n">
        <v>0</v>
      </c>
      <c r="P806" t="n">
        <v>0</v>
      </c>
      <c r="Q806" t="n">
        <v>0</v>
      </c>
      <c r="R806" s="2" t="inlineStr"/>
    </row>
    <row r="807" ht="15" customHeight="1">
      <c r="A807" t="inlineStr">
        <is>
          <t>A 53789-2025</t>
        </is>
      </c>
      <c r="B807" s="1" t="n">
        <v>45960</v>
      </c>
      <c r="C807" s="1" t="n">
        <v>46017</v>
      </c>
      <c r="D807" t="inlineStr">
        <is>
          <t>KALMAR LÄN</t>
        </is>
      </c>
      <c r="E807" t="inlineStr">
        <is>
          <t>VIMMERBY</t>
        </is>
      </c>
      <c r="F807" t="inlineStr">
        <is>
          <t>Övriga statliga verk och myndigheter</t>
        </is>
      </c>
      <c r="G807" t="n">
        <v>1.6</v>
      </c>
      <c r="H807" t="n">
        <v>0</v>
      </c>
      <c r="I807" t="n">
        <v>0</v>
      </c>
      <c r="J807" t="n">
        <v>0</v>
      </c>
      <c r="K807" t="n">
        <v>0</v>
      </c>
      <c r="L807" t="n">
        <v>0</v>
      </c>
      <c r="M807" t="n">
        <v>0</v>
      </c>
      <c r="N807" t="n">
        <v>0</v>
      </c>
      <c r="O807" t="n">
        <v>0</v>
      </c>
      <c r="P807" t="n">
        <v>0</v>
      </c>
      <c r="Q807" t="n">
        <v>0</v>
      </c>
      <c r="R807" s="2" t="inlineStr"/>
    </row>
    <row r="808" ht="15" customHeight="1">
      <c r="A808" t="inlineStr">
        <is>
          <t>A 53903-2025</t>
        </is>
      </c>
      <c r="B808" s="1" t="n">
        <v>45961.43738425926</v>
      </c>
      <c r="C808" s="1" t="n">
        <v>46017</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54737-2025</t>
        </is>
      </c>
      <c r="B809" s="1" t="n">
        <v>45966.56826388889</v>
      </c>
      <c r="C809" s="1" t="n">
        <v>46017</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23984-2025</t>
        </is>
      </c>
      <c r="B810" s="1" t="n">
        <v>45796</v>
      </c>
      <c r="C810" s="1" t="n">
        <v>46017</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54813-2025</t>
        </is>
      </c>
      <c r="B811" s="1" t="n">
        <v>45966.64881944445</v>
      </c>
      <c r="C811" s="1" t="n">
        <v>46017</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51278-2024</t>
        </is>
      </c>
      <c r="B812" s="1" t="n">
        <v>45603.74959490741</v>
      </c>
      <c r="C812" s="1" t="n">
        <v>46017</v>
      </c>
      <c r="D812" t="inlineStr">
        <is>
          <t>KALMAR LÄN</t>
        </is>
      </c>
      <c r="E812" t="inlineStr">
        <is>
          <t>VIMMERBY</t>
        </is>
      </c>
      <c r="G812" t="n">
        <v>3.4</v>
      </c>
      <c r="H812" t="n">
        <v>0</v>
      </c>
      <c r="I812" t="n">
        <v>0</v>
      </c>
      <c r="J812" t="n">
        <v>0</v>
      </c>
      <c r="K812" t="n">
        <v>0</v>
      </c>
      <c r="L812" t="n">
        <v>0</v>
      </c>
      <c r="M812" t="n">
        <v>0</v>
      </c>
      <c r="N812" t="n">
        <v>0</v>
      </c>
      <c r="O812" t="n">
        <v>0</v>
      </c>
      <c r="P812" t="n">
        <v>0</v>
      </c>
      <c r="Q812" t="n">
        <v>0</v>
      </c>
      <c r="R812" s="2" t="inlineStr"/>
    </row>
    <row r="813" ht="15" customHeight="1">
      <c r="A813" t="inlineStr">
        <is>
          <t>A 35082-2024</t>
        </is>
      </c>
      <c r="B813" s="1" t="n">
        <v>45527.68784722222</v>
      </c>
      <c r="C813" s="1" t="n">
        <v>46017</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44582-2024</t>
        </is>
      </c>
      <c r="B814" s="1" t="n">
        <v>45574.49298611111</v>
      </c>
      <c r="C814" s="1" t="n">
        <v>46017</v>
      </c>
      <c r="D814" t="inlineStr">
        <is>
          <t>KALMAR LÄN</t>
        </is>
      </c>
      <c r="E814" t="inlineStr">
        <is>
          <t>VIMMERBY</t>
        </is>
      </c>
      <c r="G814" t="n">
        <v>1.1</v>
      </c>
      <c r="H814" t="n">
        <v>0</v>
      </c>
      <c r="I814" t="n">
        <v>0</v>
      </c>
      <c r="J814" t="n">
        <v>0</v>
      </c>
      <c r="K814" t="n">
        <v>0</v>
      </c>
      <c r="L814" t="n">
        <v>0</v>
      </c>
      <c r="M814" t="n">
        <v>0</v>
      </c>
      <c r="N814" t="n">
        <v>0</v>
      </c>
      <c r="O814" t="n">
        <v>0</v>
      </c>
      <c r="P814" t="n">
        <v>0</v>
      </c>
      <c r="Q814" t="n">
        <v>0</v>
      </c>
      <c r="R814" s="2" t="inlineStr"/>
    </row>
    <row r="815" ht="15" customHeight="1">
      <c r="A815" t="inlineStr">
        <is>
          <t>A 9456-2025</t>
        </is>
      </c>
      <c r="B815" s="1" t="n">
        <v>45715.44159722222</v>
      </c>
      <c r="C815" s="1" t="n">
        <v>46017</v>
      </c>
      <c r="D815" t="inlineStr">
        <is>
          <t>KALMAR LÄN</t>
        </is>
      </c>
      <c r="E815" t="inlineStr">
        <is>
          <t>VIMMERBY</t>
        </is>
      </c>
      <c r="G815" t="n">
        <v>1.5</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44992.4255787037</v>
      </c>
      <c r="C816" s="1" t="n">
        <v>46017</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58724-2024</t>
        </is>
      </c>
      <c r="B817" s="1" t="n">
        <v>45635.66409722222</v>
      </c>
      <c r="C817" s="1" t="n">
        <v>46017</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15494-2024</t>
        </is>
      </c>
      <c r="B818" s="1" t="n">
        <v>45401.53033564815</v>
      </c>
      <c r="C818" s="1" t="n">
        <v>46017</v>
      </c>
      <c r="D818" t="inlineStr">
        <is>
          <t>KALMAR LÄN</t>
        </is>
      </c>
      <c r="E818" t="inlineStr">
        <is>
          <t>VIMMERBY</t>
        </is>
      </c>
      <c r="G818" t="n">
        <v>3.2</v>
      </c>
      <c r="H818" t="n">
        <v>0</v>
      </c>
      <c r="I818" t="n">
        <v>0</v>
      </c>
      <c r="J818" t="n">
        <v>0</v>
      </c>
      <c r="K818" t="n">
        <v>0</v>
      </c>
      <c r="L818" t="n">
        <v>0</v>
      </c>
      <c r="M818" t="n">
        <v>0</v>
      </c>
      <c r="N818" t="n">
        <v>0</v>
      </c>
      <c r="O818" t="n">
        <v>0</v>
      </c>
      <c r="P818" t="n">
        <v>0</v>
      </c>
      <c r="Q818" t="n">
        <v>0</v>
      </c>
      <c r="R818" s="2" t="inlineStr"/>
    </row>
    <row r="819" ht="15" customHeight="1">
      <c r="A819" t="inlineStr">
        <is>
          <t>A 55385-2025</t>
        </is>
      </c>
      <c r="B819" s="1" t="n">
        <v>45971.43350694444</v>
      </c>
      <c r="C819" s="1" t="n">
        <v>46017</v>
      </c>
      <c r="D819" t="inlineStr">
        <is>
          <t>KALMAR LÄN</t>
        </is>
      </c>
      <c r="E819" t="inlineStr">
        <is>
          <t>VIMMERBY</t>
        </is>
      </c>
      <c r="G819" t="n">
        <v>5</v>
      </c>
      <c r="H819" t="n">
        <v>0</v>
      </c>
      <c r="I819" t="n">
        <v>0</v>
      </c>
      <c r="J819" t="n">
        <v>0</v>
      </c>
      <c r="K819" t="n">
        <v>0</v>
      </c>
      <c r="L819" t="n">
        <v>0</v>
      </c>
      <c r="M819" t="n">
        <v>0</v>
      </c>
      <c r="N819" t="n">
        <v>0</v>
      </c>
      <c r="O819" t="n">
        <v>0</v>
      </c>
      <c r="P819" t="n">
        <v>0</v>
      </c>
      <c r="Q819" t="n">
        <v>0</v>
      </c>
      <c r="R819" s="2" t="inlineStr"/>
    </row>
    <row r="820" ht="15" customHeight="1">
      <c r="A820" t="inlineStr">
        <is>
          <t>A 26039-2025</t>
        </is>
      </c>
      <c r="B820" s="1" t="n">
        <v>45804.6953587963</v>
      </c>
      <c r="C820" s="1" t="n">
        <v>46017</v>
      </c>
      <c r="D820" t="inlineStr">
        <is>
          <t>KALMAR LÄN</t>
        </is>
      </c>
      <c r="E820" t="inlineStr">
        <is>
          <t>VIMMERBY</t>
        </is>
      </c>
      <c r="F820" t="inlineStr">
        <is>
          <t>Sveaskog</t>
        </is>
      </c>
      <c r="G820" t="n">
        <v>5.2</v>
      </c>
      <c r="H820" t="n">
        <v>0</v>
      </c>
      <c r="I820" t="n">
        <v>0</v>
      </c>
      <c r="J820" t="n">
        <v>0</v>
      </c>
      <c r="K820" t="n">
        <v>0</v>
      </c>
      <c r="L820" t="n">
        <v>0</v>
      </c>
      <c r="M820" t="n">
        <v>0</v>
      </c>
      <c r="N820" t="n">
        <v>0</v>
      </c>
      <c r="O820" t="n">
        <v>0</v>
      </c>
      <c r="P820" t="n">
        <v>0</v>
      </c>
      <c r="Q820" t="n">
        <v>0</v>
      </c>
      <c r="R820" s="2" t="inlineStr"/>
    </row>
    <row r="821" ht="15" customHeight="1">
      <c r="A821" t="inlineStr">
        <is>
          <t>A 26046-2025</t>
        </is>
      </c>
      <c r="B821" s="1" t="n">
        <v>45804.708125</v>
      </c>
      <c r="C821" s="1" t="n">
        <v>46017</v>
      </c>
      <c r="D821" t="inlineStr">
        <is>
          <t>KALMAR LÄN</t>
        </is>
      </c>
      <c r="E821" t="inlineStr">
        <is>
          <t>VIMMERBY</t>
        </is>
      </c>
      <c r="F821" t="inlineStr">
        <is>
          <t>Sveaskog</t>
        </is>
      </c>
      <c r="G821" t="n">
        <v>5.1</v>
      </c>
      <c r="H821" t="n">
        <v>0</v>
      </c>
      <c r="I821" t="n">
        <v>0</v>
      </c>
      <c r="J821" t="n">
        <v>0</v>
      </c>
      <c r="K821" t="n">
        <v>0</v>
      </c>
      <c r="L821" t="n">
        <v>0</v>
      </c>
      <c r="M821" t="n">
        <v>0</v>
      </c>
      <c r="N821" t="n">
        <v>0</v>
      </c>
      <c r="O821" t="n">
        <v>0</v>
      </c>
      <c r="P821" t="n">
        <v>0</v>
      </c>
      <c r="Q821" t="n">
        <v>0</v>
      </c>
      <c r="R821" s="2" t="inlineStr"/>
    </row>
    <row r="822" ht="15" customHeight="1">
      <c r="A822" t="inlineStr">
        <is>
          <t>A 25792-2025</t>
        </is>
      </c>
      <c r="B822" s="1" t="n">
        <v>45804.39141203704</v>
      </c>
      <c r="C822" s="1" t="n">
        <v>46017</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25830-2025</t>
        </is>
      </c>
      <c r="B823" s="1" t="n">
        <v>45804.44519675926</v>
      </c>
      <c r="C823" s="1" t="n">
        <v>46017</v>
      </c>
      <c r="D823" t="inlineStr">
        <is>
          <t>KALMAR LÄN</t>
        </is>
      </c>
      <c r="E823" t="inlineStr">
        <is>
          <t>VIMMERBY</t>
        </is>
      </c>
      <c r="G823" t="n">
        <v>4.9</v>
      </c>
      <c r="H823" t="n">
        <v>0</v>
      </c>
      <c r="I823" t="n">
        <v>0</v>
      </c>
      <c r="J823" t="n">
        <v>0</v>
      </c>
      <c r="K823" t="n">
        <v>0</v>
      </c>
      <c r="L823" t="n">
        <v>0</v>
      </c>
      <c r="M823" t="n">
        <v>0</v>
      </c>
      <c r="N823" t="n">
        <v>0</v>
      </c>
      <c r="O823" t="n">
        <v>0</v>
      </c>
      <c r="P823" t="n">
        <v>0</v>
      </c>
      <c r="Q823" t="n">
        <v>0</v>
      </c>
      <c r="R823" s="2" t="inlineStr"/>
    </row>
    <row r="824" ht="15" customHeight="1">
      <c r="A824" t="inlineStr">
        <is>
          <t>A 55602-2025</t>
        </is>
      </c>
      <c r="B824" s="1" t="n">
        <v>45971</v>
      </c>
      <c r="C824" s="1" t="n">
        <v>46017</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26124-2025</t>
        </is>
      </c>
      <c r="B825" s="1" t="n">
        <v>45805.39247685186</v>
      </c>
      <c r="C825" s="1" t="n">
        <v>46017</v>
      </c>
      <c r="D825" t="inlineStr">
        <is>
          <t>KALMAR LÄN</t>
        </is>
      </c>
      <c r="E825" t="inlineStr">
        <is>
          <t>VIMMERBY</t>
        </is>
      </c>
      <c r="G825" t="n">
        <v>6.6</v>
      </c>
      <c r="H825" t="n">
        <v>0</v>
      </c>
      <c r="I825" t="n">
        <v>0</v>
      </c>
      <c r="J825" t="n">
        <v>0</v>
      </c>
      <c r="K825" t="n">
        <v>0</v>
      </c>
      <c r="L825" t="n">
        <v>0</v>
      </c>
      <c r="M825" t="n">
        <v>0</v>
      </c>
      <c r="N825" t="n">
        <v>0</v>
      </c>
      <c r="O825" t="n">
        <v>0</v>
      </c>
      <c r="P825" t="n">
        <v>0</v>
      </c>
      <c r="Q825" t="n">
        <v>0</v>
      </c>
      <c r="R825" s="2" t="inlineStr"/>
    </row>
    <row r="826" ht="15" customHeight="1">
      <c r="A826" t="inlineStr">
        <is>
          <t>A 63711-2025</t>
        </is>
      </c>
      <c r="B826" s="1" t="n">
        <v>46014.62724537037</v>
      </c>
      <c r="C826" s="1" t="n">
        <v>46017</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26254-2025</t>
        </is>
      </c>
      <c r="B827" s="1" t="n">
        <v>45805</v>
      </c>
      <c r="C827" s="1" t="n">
        <v>46017</v>
      </c>
      <c r="D827" t="inlineStr">
        <is>
          <t>KALMAR LÄN</t>
        </is>
      </c>
      <c r="E827" t="inlineStr">
        <is>
          <t>VIMMERBY</t>
        </is>
      </c>
      <c r="G827" t="n">
        <v>2</v>
      </c>
      <c r="H827" t="n">
        <v>0</v>
      </c>
      <c r="I827" t="n">
        <v>0</v>
      </c>
      <c r="J827" t="n">
        <v>0</v>
      </c>
      <c r="K827" t="n">
        <v>0</v>
      </c>
      <c r="L827" t="n">
        <v>0</v>
      </c>
      <c r="M827" t="n">
        <v>0</v>
      </c>
      <c r="N827" t="n">
        <v>0</v>
      </c>
      <c r="O827" t="n">
        <v>0</v>
      </c>
      <c r="P827" t="n">
        <v>0</v>
      </c>
      <c r="Q827" t="n">
        <v>0</v>
      </c>
      <c r="R827" s="2" t="inlineStr"/>
    </row>
    <row r="828" ht="15" customHeight="1">
      <c r="A828" t="inlineStr">
        <is>
          <t>A 55603-2025</t>
        </is>
      </c>
      <c r="B828" s="1" t="n">
        <v>45971</v>
      </c>
      <c r="C828" s="1" t="n">
        <v>46017</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55605-2025</t>
        </is>
      </c>
      <c r="B829" s="1" t="n">
        <v>45971</v>
      </c>
      <c r="C829" s="1" t="n">
        <v>46017</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26207-2025</t>
        </is>
      </c>
      <c r="B830" s="1" t="n">
        <v>45805.52983796296</v>
      </c>
      <c r="C830" s="1" t="n">
        <v>46017</v>
      </c>
      <c r="D830" t="inlineStr">
        <is>
          <t>KALMAR LÄN</t>
        </is>
      </c>
      <c r="E830" t="inlineStr">
        <is>
          <t>VIMMERBY</t>
        </is>
      </c>
      <c r="G830" t="n">
        <v>0.7</v>
      </c>
      <c r="H830" t="n">
        <v>0</v>
      </c>
      <c r="I830" t="n">
        <v>0</v>
      </c>
      <c r="J830" t="n">
        <v>0</v>
      </c>
      <c r="K830" t="n">
        <v>0</v>
      </c>
      <c r="L830" t="n">
        <v>0</v>
      </c>
      <c r="M830" t="n">
        <v>0</v>
      </c>
      <c r="N830" t="n">
        <v>0</v>
      </c>
      <c r="O830" t="n">
        <v>0</v>
      </c>
      <c r="P830" t="n">
        <v>0</v>
      </c>
      <c r="Q830" t="n">
        <v>0</v>
      </c>
      <c r="R830" s="2" t="inlineStr"/>
    </row>
    <row r="831" ht="15" customHeight="1">
      <c r="A831" t="inlineStr">
        <is>
          <t>A 28290-2025</t>
        </is>
      </c>
      <c r="B831" s="1" t="n">
        <v>45818.59261574074</v>
      </c>
      <c r="C831" s="1" t="n">
        <v>46017</v>
      </c>
      <c r="D831" t="inlineStr">
        <is>
          <t>KALMAR LÄN</t>
        </is>
      </c>
      <c r="E831" t="inlineStr">
        <is>
          <t>VIMMERBY</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28280-2025</t>
        </is>
      </c>
      <c r="B832" s="1" t="n">
        <v>45818.5862037037</v>
      </c>
      <c r="C832" s="1" t="n">
        <v>46017</v>
      </c>
      <c r="D832" t="inlineStr">
        <is>
          <t>KALMAR LÄN</t>
        </is>
      </c>
      <c r="E832" t="inlineStr">
        <is>
          <t>VIMMERBY</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28286-2025</t>
        </is>
      </c>
      <c r="B833" s="1" t="n">
        <v>45818.58993055556</v>
      </c>
      <c r="C833" s="1" t="n">
        <v>46017</v>
      </c>
      <c r="D833" t="inlineStr">
        <is>
          <t>KALMAR LÄN</t>
        </is>
      </c>
      <c r="E833" t="inlineStr">
        <is>
          <t>VIMMERBY</t>
        </is>
      </c>
      <c r="F833" t="inlineStr">
        <is>
          <t>Sveaskog</t>
        </is>
      </c>
      <c r="G833" t="n">
        <v>8</v>
      </c>
      <c r="H833" t="n">
        <v>0</v>
      </c>
      <c r="I833" t="n">
        <v>0</v>
      </c>
      <c r="J833" t="n">
        <v>0</v>
      </c>
      <c r="K833" t="n">
        <v>0</v>
      </c>
      <c r="L833" t="n">
        <v>0</v>
      </c>
      <c r="M833" t="n">
        <v>0</v>
      </c>
      <c r="N833" t="n">
        <v>0</v>
      </c>
      <c r="O833" t="n">
        <v>0</v>
      </c>
      <c r="P833" t="n">
        <v>0</v>
      </c>
      <c r="Q833" t="n">
        <v>0</v>
      </c>
      <c r="R833" s="2" t="inlineStr"/>
    </row>
    <row r="834" ht="15" customHeight="1">
      <c r="A834" t="inlineStr">
        <is>
          <t>A 28282-2025</t>
        </is>
      </c>
      <c r="B834" s="1" t="n">
        <v>45818.58769675926</v>
      </c>
      <c r="C834" s="1" t="n">
        <v>46017</v>
      </c>
      <c r="D834" t="inlineStr">
        <is>
          <t>KALMAR LÄN</t>
        </is>
      </c>
      <c r="E834" t="inlineStr">
        <is>
          <t>VIMMERBY</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28294-2025</t>
        </is>
      </c>
      <c r="B835" s="1" t="n">
        <v>45818.595625</v>
      </c>
      <c r="C835" s="1" t="n">
        <v>46017</v>
      </c>
      <c r="D835" t="inlineStr">
        <is>
          <t>KALMAR LÄN</t>
        </is>
      </c>
      <c r="E835" t="inlineStr">
        <is>
          <t>VIMMERBY</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28713-2025</t>
        </is>
      </c>
      <c r="B836" s="1" t="n">
        <v>45820.33930555556</v>
      </c>
      <c r="C836" s="1" t="n">
        <v>46017</v>
      </c>
      <c r="D836" t="inlineStr">
        <is>
          <t>KALMAR LÄN</t>
        </is>
      </c>
      <c r="E836" t="inlineStr">
        <is>
          <t>VIMMERBY</t>
        </is>
      </c>
      <c r="G836" t="n">
        <v>2.3</v>
      </c>
      <c r="H836" t="n">
        <v>0</v>
      </c>
      <c r="I836" t="n">
        <v>0</v>
      </c>
      <c r="J836" t="n">
        <v>0</v>
      </c>
      <c r="K836" t="n">
        <v>0</v>
      </c>
      <c r="L836" t="n">
        <v>0</v>
      </c>
      <c r="M836" t="n">
        <v>0</v>
      </c>
      <c r="N836" t="n">
        <v>0</v>
      </c>
      <c r="O836" t="n">
        <v>0</v>
      </c>
      <c r="P836" t="n">
        <v>0</v>
      </c>
      <c r="Q836" t="n">
        <v>0</v>
      </c>
      <c r="R836" s="2" t="inlineStr"/>
    </row>
    <row r="837" ht="15" customHeight="1">
      <c r="A837" t="inlineStr">
        <is>
          <t>A 28712-2025</t>
        </is>
      </c>
      <c r="B837" s="1" t="n">
        <v>45820.33708333333</v>
      </c>
      <c r="C837" s="1" t="n">
        <v>46017</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28714-2025</t>
        </is>
      </c>
      <c r="B838" s="1" t="n">
        <v>45820.34128472222</v>
      </c>
      <c r="C838" s="1" t="n">
        <v>46017</v>
      </c>
      <c r="D838" t="inlineStr">
        <is>
          <t>KALMAR LÄN</t>
        </is>
      </c>
      <c r="E838" t="inlineStr">
        <is>
          <t>VIMMERBY</t>
        </is>
      </c>
      <c r="G838" t="n">
        <v>1.8</v>
      </c>
      <c r="H838" t="n">
        <v>0</v>
      </c>
      <c r="I838" t="n">
        <v>0</v>
      </c>
      <c r="J838" t="n">
        <v>0</v>
      </c>
      <c r="K838" t="n">
        <v>0</v>
      </c>
      <c r="L838" t="n">
        <v>0</v>
      </c>
      <c r="M838" t="n">
        <v>0</v>
      </c>
      <c r="N838" t="n">
        <v>0</v>
      </c>
      <c r="O838" t="n">
        <v>0</v>
      </c>
      <c r="P838" t="n">
        <v>0</v>
      </c>
      <c r="Q838" t="n">
        <v>0</v>
      </c>
      <c r="R838" s="2" t="inlineStr"/>
    </row>
    <row r="839" ht="15" customHeight="1">
      <c r="A839" t="inlineStr">
        <is>
          <t>A 28620-2025</t>
        </is>
      </c>
      <c r="B839" s="1" t="n">
        <v>45819.61060185185</v>
      </c>
      <c r="C839" s="1" t="n">
        <v>46017</v>
      </c>
      <c r="D839" t="inlineStr">
        <is>
          <t>KALMAR LÄN</t>
        </is>
      </c>
      <c r="E839" t="inlineStr">
        <is>
          <t>VIMMERBY</t>
        </is>
      </c>
      <c r="G839" t="n">
        <v>5.6</v>
      </c>
      <c r="H839" t="n">
        <v>0</v>
      </c>
      <c r="I839" t="n">
        <v>0</v>
      </c>
      <c r="J839" t="n">
        <v>0</v>
      </c>
      <c r="K839" t="n">
        <v>0</v>
      </c>
      <c r="L839" t="n">
        <v>0</v>
      </c>
      <c r="M839" t="n">
        <v>0</v>
      </c>
      <c r="N839" t="n">
        <v>0</v>
      </c>
      <c r="O839" t="n">
        <v>0</v>
      </c>
      <c r="P839" t="n">
        <v>0</v>
      </c>
      <c r="Q839" t="n">
        <v>0</v>
      </c>
      <c r="R839" s="2" t="inlineStr"/>
    </row>
    <row r="840" ht="15" customHeight="1">
      <c r="A840" t="inlineStr">
        <is>
          <t>A 29727-2025</t>
        </is>
      </c>
      <c r="B840" s="1" t="n">
        <v>45825.5796875</v>
      </c>
      <c r="C840" s="1" t="n">
        <v>46017</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29737-2025</t>
        </is>
      </c>
      <c r="B841" s="1" t="n">
        <v>45825.58672453704</v>
      </c>
      <c r="C841" s="1" t="n">
        <v>46017</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30293-2025</t>
        </is>
      </c>
      <c r="B842" s="1" t="n">
        <v>45827</v>
      </c>
      <c r="C842" s="1" t="n">
        <v>46017</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30290-2025</t>
        </is>
      </c>
      <c r="B843" s="1" t="n">
        <v>45827</v>
      </c>
      <c r="C843" s="1" t="n">
        <v>46017</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30850-2025</t>
        </is>
      </c>
      <c r="B844" s="1" t="n">
        <v>45831</v>
      </c>
      <c r="C844" s="1" t="n">
        <v>46017</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30882-2025</t>
        </is>
      </c>
      <c r="B845" s="1" t="n">
        <v>45832.34540509259</v>
      </c>
      <c r="C845" s="1" t="n">
        <v>46017</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30971-2025</t>
        </is>
      </c>
      <c r="B846" s="1" t="n">
        <v>45832.46146990741</v>
      </c>
      <c r="C846" s="1" t="n">
        <v>46017</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31552-2025</t>
        </is>
      </c>
      <c r="B847" s="1" t="n">
        <v>45833.64563657407</v>
      </c>
      <c r="C847" s="1" t="n">
        <v>46017</v>
      </c>
      <c r="D847" t="inlineStr">
        <is>
          <t>KALMAR LÄN</t>
        </is>
      </c>
      <c r="E847" t="inlineStr">
        <is>
          <t>VIMMERBY</t>
        </is>
      </c>
      <c r="G847" t="n">
        <v>1.7</v>
      </c>
      <c r="H847" t="n">
        <v>0</v>
      </c>
      <c r="I847" t="n">
        <v>0</v>
      </c>
      <c r="J847" t="n">
        <v>0</v>
      </c>
      <c r="K847" t="n">
        <v>0</v>
      </c>
      <c r="L847" t="n">
        <v>0</v>
      </c>
      <c r="M847" t="n">
        <v>0</v>
      </c>
      <c r="N847" t="n">
        <v>0</v>
      </c>
      <c r="O847" t="n">
        <v>0</v>
      </c>
      <c r="P847" t="n">
        <v>0</v>
      </c>
      <c r="Q847" t="n">
        <v>0</v>
      </c>
      <c r="R847" s="2" t="inlineStr"/>
    </row>
    <row r="848" ht="15" customHeight="1">
      <c r="A848" t="inlineStr">
        <is>
          <t>A 31555-2025</t>
        </is>
      </c>
      <c r="B848" s="1" t="n">
        <v>45833.64814814815</v>
      </c>
      <c r="C848" s="1" t="n">
        <v>46017</v>
      </c>
      <c r="D848" t="inlineStr">
        <is>
          <t>KALMAR LÄN</t>
        </is>
      </c>
      <c r="E848" t="inlineStr">
        <is>
          <t>VIMMERBY</t>
        </is>
      </c>
      <c r="G848" t="n">
        <v>1.8</v>
      </c>
      <c r="H848" t="n">
        <v>0</v>
      </c>
      <c r="I848" t="n">
        <v>0</v>
      </c>
      <c r="J848" t="n">
        <v>0</v>
      </c>
      <c r="K848" t="n">
        <v>0</v>
      </c>
      <c r="L848" t="n">
        <v>0</v>
      </c>
      <c r="M848" t="n">
        <v>0</v>
      </c>
      <c r="N848" t="n">
        <v>0</v>
      </c>
      <c r="O848" t="n">
        <v>0</v>
      </c>
      <c r="P848" t="n">
        <v>0</v>
      </c>
      <c r="Q848" t="n">
        <v>0</v>
      </c>
      <c r="R848" s="2" t="inlineStr"/>
    </row>
    <row r="849" ht="15" customHeight="1">
      <c r="A849" t="inlineStr">
        <is>
          <t>A 31870-2025</t>
        </is>
      </c>
      <c r="B849" s="1" t="n">
        <v>45834.64667824074</v>
      </c>
      <c r="C849" s="1" t="n">
        <v>46017</v>
      </c>
      <c r="D849" t="inlineStr">
        <is>
          <t>KALMAR LÄN</t>
        </is>
      </c>
      <c r="E849" t="inlineStr">
        <is>
          <t>VIMMERBY</t>
        </is>
      </c>
      <c r="F849" t="inlineStr">
        <is>
          <t>Sveaskog</t>
        </is>
      </c>
      <c r="G849" t="n">
        <v>3.5</v>
      </c>
      <c r="H849" t="n">
        <v>0</v>
      </c>
      <c r="I849" t="n">
        <v>0</v>
      </c>
      <c r="J849" t="n">
        <v>0</v>
      </c>
      <c r="K849" t="n">
        <v>0</v>
      </c>
      <c r="L849" t="n">
        <v>0</v>
      </c>
      <c r="M849" t="n">
        <v>0</v>
      </c>
      <c r="N849" t="n">
        <v>0</v>
      </c>
      <c r="O849" t="n">
        <v>0</v>
      </c>
      <c r="P849" t="n">
        <v>0</v>
      </c>
      <c r="Q849" t="n">
        <v>0</v>
      </c>
      <c r="R849" s="2" t="inlineStr"/>
    </row>
    <row r="850" ht="15" customHeight="1">
      <c r="A850" t="inlineStr">
        <is>
          <t>A 8559-2025</t>
        </is>
      </c>
      <c r="B850" s="1" t="n">
        <v>45709.62280092593</v>
      </c>
      <c r="C850" s="1" t="n">
        <v>46017</v>
      </c>
      <c r="D850" t="inlineStr">
        <is>
          <t>KALMAR LÄN</t>
        </is>
      </c>
      <c r="E850" t="inlineStr">
        <is>
          <t>VIMMERBY</t>
        </is>
      </c>
      <c r="G850" t="n">
        <v>8.9</v>
      </c>
      <c r="H850" t="n">
        <v>0</v>
      </c>
      <c r="I850" t="n">
        <v>0</v>
      </c>
      <c r="J850" t="n">
        <v>0</v>
      </c>
      <c r="K850" t="n">
        <v>0</v>
      </c>
      <c r="L850" t="n">
        <v>0</v>
      </c>
      <c r="M850" t="n">
        <v>0</v>
      </c>
      <c r="N850" t="n">
        <v>0</v>
      </c>
      <c r="O850" t="n">
        <v>0</v>
      </c>
      <c r="P850" t="n">
        <v>0</v>
      </c>
      <c r="Q850" t="n">
        <v>0</v>
      </c>
      <c r="R850" s="2" t="inlineStr"/>
    </row>
    <row r="851" ht="15" customHeight="1">
      <c r="A851" t="inlineStr">
        <is>
          <t>A 31872-2025</t>
        </is>
      </c>
      <c r="B851" s="1" t="n">
        <v>45834.65040509259</v>
      </c>
      <c r="C851" s="1" t="n">
        <v>46017</v>
      </c>
      <c r="D851" t="inlineStr">
        <is>
          <t>KALMAR LÄN</t>
        </is>
      </c>
      <c r="E851" t="inlineStr">
        <is>
          <t>VIMMERBY</t>
        </is>
      </c>
      <c r="F851" t="inlineStr">
        <is>
          <t>Sveaskog</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31876-2025</t>
        </is>
      </c>
      <c r="B852" s="1" t="n">
        <v>45834.65197916667</v>
      </c>
      <c r="C852" s="1" t="n">
        <v>46017</v>
      </c>
      <c r="D852" t="inlineStr">
        <is>
          <t>KALMAR LÄN</t>
        </is>
      </c>
      <c r="E852" t="inlineStr">
        <is>
          <t>VIMMERBY</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31551-2025</t>
        </is>
      </c>
      <c r="B853" s="1" t="n">
        <v>45833.64237268519</v>
      </c>
      <c r="C853" s="1" t="n">
        <v>46017</v>
      </c>
      <c r="D853" t="inlineStr">
        <is>
          <t>KALMAR LÄN</t>
        </is>
      </c>
      <c r="E853" t="inlineStr">
        <is>
          <t>VIMMERBY</t>
        </is>
      </c>
      <c r="G853" t="n">
        <v>1.9</v>
      </c>
      <c r="H853" t="n">
        <v>0</v>
      </c>
      <c r="I853" t="n">
        <v>0</v>
      </c>
      <c r="J853" t="n">
        <v>0</v>
      </c>
      <c r="K853" t="n">
        <v>0</v>
      </c>
      <c r="L853" t="n">
        <v>0</v>
      </c>
      <c r="M853" t="n">
        <v>0</v>
      </c>
      <c r="N853" t="n">
        <v>0</v>
      </c>
      <c r="O853" t="n">
        <v>0</v>
      </c>
      <c r="P853" t="n">
        <v>0</v>
      </c>
      <c r="Q853" t="n">
        <v>0</v>
      </c>
      <c r="R853" s="2" t="inlineStr"/>
    </row>
    <row r="854" ht="15" customHeight="1">
      <c r="A854" t="inlineStr">
        <is>
          <t>A 31987-2025</t>
        </is>
      </c>
      <c r="B854" s="1" t="n">
        <v>45835.36229166666</v>
      </c>
      <c r="C854" s="1" t="n">
        <v>46017</v>
      </c>
      <c r="D854" t="inlineStr">
        <is>
          <t>KALMAR LÄN</t>
        </is>
      </c>
      <c r="E854" t="inlineStr">
        <is>
          <t>VIMMERBY</t>
        </is>
      </c>
      <c r="F854" t="inlineStr">
        <is>
          <t>Kyrkan</t>
        </is>
      </c>
      <c r="G854" t="n">
        <v>1.2</v>
      </c>
      <c r="H854" t="n">
        <v>0</v>
      </c>
      <c r="I854" t="n">
        <v>0</v>
      </c>
      <c r="J854" t="n">
        <v>0</v>
      </c>
      <c r="K854" t="n">
        <v>0</v>
      </c>
      <c r="L854" t="n">
        <v>0</v>
      </c>
      <c r="M854" t="n">
        <v>0</v>
      </c>
      <c r="N854" t="n">
        <v>0</v>
      </c>
      <c r="O854" t="n">
        <v>0</v>
      </c>
      <c r="P854" t="n">
        <v>0</v>
      </c>
      <c r="Q854" t="n">
        <v>0</v>
      </c>
      <c r="R854" s="2" t="inlineStr"/>
    </row>
    <row r="855" ht="15" customHeight="1">
      <c r="A855" t="inlineStr">
        <is>
          <t>A 32120-2025</t>
        </is>
      </c>
      <c r="B855" s="1" t="n">
        <v>45835.4924537037</v>
      </c>
      <c r="C855" s="1" t="n">
        <v>46017</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32116-2025</t>
        </is>
      </c>
      <c r="B856" s="1" t="n">
        <v>45835.48862268519</v>
      </c>
      <c r="C856" s="1" t="n">
        <v>46017</v>
      </c>
      <c r="D856" t="inlineStr">
        <is>
          <t>KALMAR LÄN</t>
        </is>
      </c>
      <c r="E856" t="inlineStr">
        <is>
          <t>VIMMERBY</t>
        </is>
      </c>
      <c r="G856" t="n">
        <v>0.9</v>
      </c>
      <c r="H856" t="n">
        <v>0</v>
      </c>
      <c r="I856" t="n">
        <v>0</v>
      </c>
      <c r="J856" t="n">
        <v>0</v>
      </c>
      <c r="K856" t="n">
        <v>0</v>
      </c>
      <c r="L856" t="n">
        <v>0</v>
      </c>
      <c r="M856" t="n">
        <v>0</v>
      </c>
      <c r="N856" t="n">
        <v>0</v>
      </c>
      <c r="O856" t="n">
        <v>0</v>
      </c>
      <c r="P856" t="n">
        <v>0</v>
      </c>
      <c r="Q856" t="n">
        <v>0</v>
      </c>
      <c r="R856" s="2" t="inlineStr"/>
    </row>
    <row r="857" ht="15" customHeight="1">
      <c r="A857" t="inlineStr">
        <is>
          <t>A 32380-2025</t>
        </is>
      </c>
      <c r="B857" s="1" t="n">
        <v>45837.77701388889</v>
      </c>
      <c r="C857" s="1" t="n">
        <v>46017</v>
      </c>
      <c r="D857" t="inlineStr">
        <is>
          <t>KALMAR LÄN</t>
        </is>
      </c>
      <c r="E857" t="inlineStr">
        <is>
          <t>VIMMERBY</t>
        </is>
      </c>
      <c r="G857" t="n">
        <v>3.1</v>
      </c>
      <c r="H857" t="n">
        <v>0</v>
      </c>
      <c r="I857" t="n">
        <v>0</v>
      </c>
      <c r="J857" t="n">
        <v>0</v>
      </c>
      <c r="K857" t="n">
        <v>0</v>
      </c>
      <c r="L857" t="n">
        <v>0</v>
      </c>
      <c r="M857" t="n">
        <v>0</v>
      </c>
      <c r="N857" t="n">
        <v>0</v>
      </c>
      <c r="O857" t="n">
        <v>0</v>
      </c>
      <c r="P857" t="n">
        <v>0</v>
      </c>
      <c r="Q857" t="n">
        <v>0</v>
      </c>
      <c r="R857" s="2" t="inlineStr"/>
    </row>
    <row r="858" ht="15" customHeight="1">
      <c r="A858" t="inlineStr">
        <is>
          <t>A 32109-2025</t>
        </is>
      </c>
      <c r="B858" s="1" t="n">
        <v>45835.48267361111</v>
      </c>
      <c r="C858" s="1" t="n">
        <v>46017</v>
      </c>
      <c r="D858" t="inlineStr">
        <is>
          <t>KALMAR LÄN</t>
        </is>
      </c>
      <c r="E858" t="inlineStr">
        <is>
          <t>VIMMERBY</t>
        </is>
      </c>
      <c r="G858" t="n">
        <v>2.5</v>
      </c>
      <c r="H858" t="n">
        <v>0</v>
      </c>
      <c r="I858" t="n">
        <v>0</v>
      </c>
      <c r="J858" t="n">
        <v>0</v>
      </c>
      <c r="K858" t="n">
        <v>0</v>
      </c>
      <c r="L858" t="n">
        <v>0</v>
      </c>
      <c r="M858" t="n">
        <v>0</v>
      </c>
      <c r="N858" t="n">
        <v>0</v>
      </c>
      <c r="O858" t="n">
        <v>0</v>
      </c>
      <c r="P858" t="n">
        <v>0</v>
      </c>
      <c r="Q858" t="n">
        <v>0</v>
      </c>
      <c r="R858" s="2" t="inlineStr"/>
    </row>
    <row r="859" ht="15" customHeight="1">
      <c r="A859" t="inlineStr">
        <is>
          <t>A 32113-2025</t>
        </is>
      </c>
      <c r="B859" s="1" t="n">
        <v>45835.48445601852</v>
      </c>
      <c r="C859" s="1" t="n">
        <v>46017</v>
      </c>
      <c r="D859" t="inlineStr">
        <is>
          <t>KALMAR LÄN</t>
        </is>
      </c>
      <c r="E859" t="inlineStr">
        <is>
          <t>VIMMERBY</t>
        </is>
      </c>
      <c r="G859" t="n">
        <v>3.5</v>
      </c>
      <c r="H859" t="n">
        <v>0</v>
      </c>
      <c r="I859" t="n">
        <v>0</v>
      </c>
      <c r="J859" t="n">
        <v>0</v>
      </c>
      <c r="K859" t="n">
        <v>0</v>
      </c>
      <c r="L859" t="n">
        <v>0</v>
      </c>
      <c r="M859" t="n">
        <v>0</v>
      </c>
      <c r="N859" t="n">
        <v>0</v>
      </c>
      <c r="O859" t="n">
        <v>0</v>
      </c>
      <c r="P859" t="n">
        <v>0</v>
      </c>
      <c r="Q859" t="n">
        <v>0</v>
      </c>
      <c r="R859" s="2" t="inlineStr"/>
    </row>
    <row r="860" ht="15" customHeight="1">
      <c r="A860" t="inlineStr">
        <is>
          <t>A 32077-2025</t>
        </is>
      </c>
      <c r="B860" s="1" t="n">
        <v>45835.45099537037</v>
      </c>
      <c r="C860" s="1" t="n">
        <v>46017</v>
      </c>
      <c r="D860" t="inlineStr">
        <is>
          <t>KALMAR LÄN</t>
        </is>
      </c>
      <c r="E860" t="inlineStr">
        <is>
          <t>VIMMERBY</t>
        </is>
      </c>
      <c r="G860" t="n">
        <v>1.8</v>
      </c>
      <c r="H860" t="n">
        <v>0</v>
      </c>
      <c r="I860" t="n">
        <v>0</v>
      </c>
      <c r="J860" t="n">
        <v>0</v>
      </c>
      <c r="K860" t="n">
        <v>0</v>
      </c>
      <c r="L860" t="n">
        <v>0</v>
      </c>
      <c r="M860" t="n">
        <v>0</v>
      </c>
      <c r="N860" t="n">
        <v>0</v>
      </c>
      <c r="O860" t="n">
        <v>0</v>
      </c>
      <c r="P860" t="n">
        <v>0</v>
      </c>
      <c r="Q860" t="n">
        <v>0</v>
      </c>
      <c r="R860" s="2" t="inlineStr"/>
    </row>
    <row r="861" ht="15" customHeight="1">
      <c r="A861" t="inlineStr">
        <is>
          <t>A 32064-2025</t>
        </is>
      </c>
      <c r="B861" s="1" t="n">
        <v>45835.44709490741</v>
      </c>
      <c r="C861" s="1" t="n">
        <v>46017</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32065-2025</t>
        </is>
      </c>
      <c r="B862" s="1" t="n">
        <v>45835.44732638889</v>
      </c>
      <c r="C862" s="1" t="n">
        <v>46017</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33186-2025</t>
        </is>
      </c>
      <c r="B863" s="1" t="n">
        <v>45840.59474537037</v>
      </c>
      <c r="C863" s="1" t="n">
        <v>46017</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30977-2025</t>
        </is>
      </c>
      <c r="B864" s="1" t="n">
        <v>45832.46649305556</v>
      </c>
      <c r="C864" s="1" t="n">
        <v>46017</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33695-2025</t>
        </is>
      </c>
      <c r="B865" s="1" t="n">
        <v>45841.70569444444</v>
      </c>
      <c r="C865" s="1" t="n">
        <v>46017</v>
      </c>
      <c r="D865" t="inlineStr">
        <is>
          <t>KALMAR LÄN</t>
        </is>
      </c>
      <c r="E865" t="inlineStr">
        <is>
          <t>VIMMERBY</t>
        </is>
      </c>
      <c r="G865" t="n">
        <v>2.7</v>
      </c>
      <c r="H865" t="n">
        <v>0</v>
      </c>
      <c r="I865" t="n">
        <v>0</v>
      </c>
      <c r="J865" t="n">
        <v>0</v>
      </c>
      <c r="K865" t="n">
        <v>0</v>
      </c>
      <c r="L865" t="n">
        <v>0</v>
      </c>
      <c r="M865" t="n">
        <v>0</v>
      </c>
      <c r="N865" t="n">
        <v>0</v>
      </c>
      <c r="O865" t="n">
        <v>0</v>
      </c>
      <c r="P865" t="n">
        <v>0</v>
      </c>
      <c r="Q865" t="n">
        <v>0</v>
      </c>
      <c r="R865" s="2" t="inlineStr"/>
    </row>
    <row r="866" ht="15" customHeight="1">
      <c r="A866" t="inlineStr">
        <is>
          <t>A 33698-2025</t>
        </is>
      </c>
      <c r="B866" s="1" t="n">
        <v>45841.70868055556</v>
      </c>
      <c r="C866" s="1" t="n">
        <v>46017</v>
      </c>
      <c r="D866" t="inlineStr">
        <is>
          <t>KALMAR LÄN</t>
        </is>
      </c>
      <c r="E866" t="inlineStr">
        <is>
          <t>VIMMERBY</t>
        </is>
      </c>
      <c r="G866" t="n">
        <v>3.7</v>
      </c>
      <c r="H866" t="n">
        <v>0</v>
      </c>
      <c r="I866" t="n">
        <v>0</v>
      </c>
      <c r="J866" t="n">
        <v>0</v>
      </c>
      <c r="K866" t="n">
        <v>0</v>
      </c>
      <c r="L866" t="n">
        <v>0</v>
      </c>
      <c r="M866" t="n">
        <v>0</v>
      </c>
      <c r="N866" t="n">
        <v>0</v>
      </c>
      <c r="O866" t="n">
        <v>0</v>
      </c>
      <c r="P866" t="n">
        <v>0</v>
      </c>
      <c r="Q866" t="n">
        <v>0</v>
      </c>
      <c r="R866" s="2" t="inlineStr"/>
    </row>
    <row r="867" ht="15" customHeight="1">
      <c r="A867" t="inlineStr">
        <is>
          <t>A 33696-2025</t>
        </is>
      </c>
      <c r="B867" s="1" t="n">
        <v>45841.7072337963</v>
      </c>
      <c r="C867" s="1" t="n">
        <v>46017</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28702-2025</t>
        </is>
      </c>
      <c r="B868" s="1" t="n">
        <v>45820.03976851852</v>
      </c>
      <c r="C868" s="1" t="n">
        <v>46017</v>
      </c>
      <c r="D868" t="inlineStr">
        <is>
          <t>KALMAR LÄN</t>
        </is>
      </c>
      <c r="E868" t="inlineStr">
        <is>
          <t>VIMMERBY</t>
        </is>
      </c>
      <c r="G868" t="n">
        <v>2.1</v>
      </c>
      <c r="H868" t="n">
        <v>0</v>
      </c>
      <c r="I868" t="n">
        <v>0</v>
      </c>
      <c r="J868" t="n">
        <v>0</v>
      </c>
      <c r="K868" t="n">
        <v>0</v>
      </c>
      <c r="L868" t="n">
        <v>0</v>
      </c>
      <c r="M868" t="n">
        <v>0</v>
      </c>
      <c r="N868" t="n">
        <v>0</v>
      </c>
      <c r="O868" t="n">
        <v>0</v>
      </c>
      <c r="P868" t="n">
        <v>0</v>
      </c>
      <c r="Q868" t="n">
        <v>0</v>
      </c>
      <c r="R868" s="2" t="inlineStr"/>
    </row>
    <row r="869" ht="15" customHeight="1">
      <c r="A869" t="inlineStr">
        <is>
          <t>A 34071-2025</t>
        </is>
      </c>
      <c r="B869" s="1" t="n">
        <v>45845.43803240741</v>
      </c>
      <c r="C869" s="1" t="n">
        <v>46017</v>
      </c>
      <c r="D869" t="inlineStr">
        <is>
          <t>KALMAR LÄN</t>
        </is>
      </c>
      <c r="E869" t="inlineStr">
        <is>
          <t>VIMMERBY</t>
        </is>
      </c>
      <c r="G869" t="n">
        <v>6.8</v>
      </c>
      <c r="H869" t="n">
        <v>0</v>
      </c>
      <c r="I869" t="n">
        <v>0</v>
      </c>
      <c r="J869" t="n">
        <v>0</v>
      </c>
      <c r="K869" t="n">
        <v>0</v>
      </c>
      <c r="L869" t="n">
        <v>0</v>
      </c>
      <c r="M869" t="n">
        <v>0</v>
      </c>
      <c r="N869" t="n">
        <v>0</v>
      </c>
      <c r="O869" t="n">
        <v>0</v>
      </c>
      <c r="P869" t="n">
        <v>0</v>
      </c>
      <c r="Q869" t="n">
        <v>0</v>
      </c>
      <c r="R869" s="2" t="inlineStr"/>
    </row>
    <row r="870" ht="15" customHeight="1">
      <c r="A870" t="inlineStr">
        <is>
          <t>A 34106-2025</t>
        </is>
      </c>
      <c r="B870" s="1" t="n">
        <v>45845.49414351852</v>
      </c>
      <c r="C870" s="1" t="n">
        <v>46017</v>
      </c>
      <c r="D870" t="inlineStr">
        <is>
          <t>KALMAR LÄN</t>
        </is>
      </c>
      <c r="E870" t="inlineStr">
        <is>
          <t>VIMMERBY</t>
        </is>
      </c>
      <c r="G870" t="n">
        <v>6</v>
      </c>
      <c r="H870" t="n">
        <v>0</v>
      </c>
      <c r="I870" t="n">
        <v>0</v>
      </c>
      <c r="J870" t="n">
        <v>0</v>
      </c>
      <c r="K870" t="n">
        <v>0</v>
      </c>
      <c r="L870" t="n">
        <v>0</v>
      </c>
      <c r="M870" t="n">
        <v>0</v>
      </c>
      <c r="N870" t="n">
        <v>0</v>
      </c>
      <c r="O870" t="n">
        <v>0</v>
      </c>
      <c r="P870" t="n">
        <v>0</v>
      </c>
      <c r="Q870" t="n">
        <v>0</v>
      </c>
      <c r="R870" s="2" t="inlineStr"/>
    </row>
    <row r="871" ht="15" customHeight="1">
      <c r="A871" t="inlineStr">
        <is>
          <t>A 26956-2025</t>
        </is>
      </c>
      <c r="B871" s="1" t="n">
        <v>45811.45460648148</v>
      </c>
      <c r="C871" s="1" t="n">
        <v>46017</v>
      </c>
      <c r="D871" t="inlineStr">
        <is>
          <t>KALMAR LÄN</t>
        </is>
      </c>
      <c r="E871" t="inlineStr">
        <is>
          <t>VIMMERBY</t>
        </is>
      </c>
      <c r="G871" t="n">
        <v>1.1</v>
      </c>
      <c r="H871" t="n">
        <v>0</v>
      </c>
      <c r="I871" t="n">
        <v>0</v>
      </c>
      <c r="J871" t="n">
        <v>0</v>
      </c>
      <c r="K871" t="n">
        <v>0</v>
      </c>
      <c r="L871" t="n">
        <v>0</v>
      </c>
      <c r="M871" t="n">
        <v>0</v>
      </c>
      <c r="N871" t="n">
        <v>0</v>
      </c>
      <c r="O871" t="n">
        <v>0</v>
      </c>
      <c r="P871" t="n">
        <v>0</v>
      </c>
      <c r="Q871" t="n">
        <v>0</v>
      </c>
      <c r="R871" s="2" t="inlineStr"/>
    </row>
    <row r="872" ht="15" customHeight="1">
      <c r="A872" t="inlineStr">
        <is>
          <t>A 34628-2025</t>
        </is>
      </c>
      <c r="B872" s="1" t="n">
        <v>45847.91280092593</v>
      </c>
      <c r="C872" s="1" t="n">
        <v>46017</v>
      </c>
      <c r="D872" t="inlineStr">
        <is>
          <t>KALMAR LÄN</t>
        </is>
      </c>
      <c r="E872" t="inlineStr">
        <is>
          <t>VIMMERBY</t>
        </is>
      </c>
      <c r="G872" t="n">
        <v>4.2</v>
      </c>
      <c r="H872" t="n">
        <v>0</v>
      </c>
      <c r="I872" t="n">
        <v>0</v>
      </c>
      <c r="J872" t="n">
        <v>0</v>
      </c>
      <c r="K872" t="n">
        <v>0</v>
      </c>
      <c r="L872" t="n">
        <v>0</v>
      </c>
      <c r="M872" t="n">
        <v>0</v>
      </c>
      <c r="N872" t="n">
        <v>0</v>
      </c>
      <c r="O872" t="n">
        <v>0</v>
      </c>
      <c r="P872" t="n">
        <v>0</v>
      </c>
      <c r="Q872" t="n">
        <v>0</v>
      </c>
      <c r="R872" s="2" t="inlineStr"/>
    </row>
    <row r="873" ht="15" customHeight="1">
      <c r="A873" t="inlineStr">
        <is>
          <t>A 35270-2025</t>
        </is>
      </c>
      <c r="B873" s="1" t="n">
        <v>45853.87112268519</v>
      </c>
      <c r="C873" s="1" t="n">
        <v>46017</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35271-2025</t>
        </is>
      </c>
      <c r="B874" s="1" t="n">
        <v>45853.87599537037</v>
      </c>
      <c r="C874" s="1" t="n">
        <v>46017</v>
      </c>
      <c r="D874" t="inlineStr">
        <is>
          <t>KALMAR LÄN</t>
        </is>
      </c>
      <c r="E874" t="inlineStr">
        <is>
          <t>VIMMERBY</t>
        </is>
      </c>
      <c r="G874" t="n">
        <v>0.4</v>
      </c>
      <c r="H874" t="n">
        <v>0</v>
      </c>
      <c r="I874" t="n">
        <v>0</v>
      </c>
      <c r="J874" t="n">
        <v>0</v>
      </c>
      <c r="K874" t="n">
        <v>0</v>
      </c>
      <c r="L874" t="n">
        <v>0</v>
      </c>
      <c r="M874" t="n">
        <v>0</v>
      </c>
      <c r="N874" t="n">
        <v>0</v>
      </c>
      <c r="O874" t="n">
        <v>0</v>
      </c>
      <c r="P874" t="n">
        <v>0</v>
      </c>
      <c r="Q874" t="n">
        <v>0</v>
      </c>
      <c r="R874" s="2" t="inlineStr"/>
    </row>
    <row r="875" ht="15" customHeight="1">
      <c r="A875" t="inlineStr">
        <is>
          <t>A 35272-2025</t>
        </is>
      </c>
      <c r="B875" s="1" t="n">
        <v>45853.88070601852</v>
      </c>
      <c r="C875" s="1" t="n">
        <v>46017</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16953-2025</t>
        </is>
      </c>
      <c r="B876" s="1" t="n">
        <v>45755.44333333334</v>
      </c>
      <c r="C876" s="1" t="n">
        <v>46017</v>
      </c>
      <c r="D876" t="inlineStr">
        <is>
          <t>KALMAR LÄN</t>
        </is>
      </c>
      <c r="E876" t="inlineStr">
        <is>
          <t>VIMMERBY</t>
        </is>
      </c>
      <c r="G876" t="n">
        <v>2</v>
      </c>
      <c r="H876" t="n">
        <v>0</v>
      </c>
      <c r="I876" t="n">
        <v>0</v>
      </c>
      <c r="J876" t="n">
        <v>0</v>
      </c>
      <c r="K876" t="n">
        <v>0</v>
      </c>
      <c r="L876" t="n">
        <v>0</v>
      </c>
      <c r="M876" t="n">
        <v>0</v>
      </c>
      <c r="N876" t="n">
        <v>0</v>
      </c>
      <c r="O876" t="n">
        <v>0</v>
      </c>
      <c r="P876" t="n">
        <v>0</v>
      </c>
      <c r="Q876" t="n">
        <v>0</v>
      </c>
      <c r="R876" s="2" t="inlineStr"/>
    </row>
    <row r="877" ht="15" customHeight="1">
      <c r="A877" t="inlineStr">
        <is>
          <t>A 35597-2025</t>
        </is>
      </c>
      <c r="B877" s="1" t="n">
        <v>45858.66019675926</v>
      </c>
      <c r="C877" s="1" t="n">
        <v>46017</v>
      </c>
      <c r="D877" t="inlineStr">
        <is>
          <t>KALMAR LÄN</t>
        </is>
      </c>
      <c r="E877" t="inlineStr">
        <is>
          <t>VIMMERBY</t>
        </is>
      </c>
      <c r="G877" t="n">
        <v>6.4</v>
      </c>
      <c r="H877" t="n">
        <v>0</v>
      </c>
      <c r="I877" t="n">
        <v>0</v>
      </c>
      <c r="J877" t="n">
        <v>0</v>
      </c>
      <c r="K877" t="n">
        <v>0</v>
      </c>
      <c r="L877" t="n">
        <v>0</v>
      </c>
      <c r="M877" t="n">
        <v>0</v>
      </c>
      <c r="N877" t="n">
        <v>0</v>
      </c>
      <c r="O877" t="n">
        <v>0</v>
      </c>
      <c r="P877" t="n">
        <v>0</v>
      </c>
      <c r="Q877" t="n">
        <v>0</v>
      </c>
      <c r="R877" s="2" t="inlineStr"/>
    </row>
    <row r="878" ht="15" customHeight="1">
      <c r="A878" t="inlineStr">
        <is>
          <t>A 35596-2025</t>
        </is>
      </c>
      <c r="B878" s="1" t="n">
        <v>45858.60641203704</v>
      </c>
      <c r="C878" s="1" t="n">
        <v>46017</v>
      </c>
      <c r="D878" t="inlineStr">
        <is>
          <t>KALMAR LÄN</t>
        </is>
      </c>
      <c r="E878" t="inlineStr">
        <is>
          <t>VIMMERBY</t>
        </is>
      </c>
      <c r="G878" t="n">
        <v>2.8</v>
      </c>
      <c r="H878" t="n">
        <v>0</v>
      </c>
      <c r="I878" t="n">
        <v>0</v>
      </c>
      <c r="J878" t="n">
        <v>0</v>
      </c>
      <c r="K878" t="n">
        <v>0</v>
      </c>
      <c r="L878" t="n">
        <v>0</v>
      </c>
      <c r="M878" t="n">
        <v>0</v>
      </c>
      <c r="N878" t="n">
        <v>0</v>
      </c>
      <c r="O878" t="n">
        <v>0</v>
      </c>
      <c r="P878" t="n">
        <v>0</v>
      </c>
      <c r="Q878" t="n">
        <v>0</v>
      </c>
      <c r="R878" s="2" t="inlineStr"/>
    </row>
    <row r="879" ht="15" customHeight="1">
      <c r="A879" t="inlineStr">
        <is>
          <t>A 19502-2025</t>
        </is>
      </c>
      <c r="B879" s="1" t="n">
        <v>45769</v>
      </c>
      <c r="C879" s="1" t="n">
        <v>46017</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36273-2025</t>
        </is>
      </c>
      <c r="B880" s="1" t="n">
        <v>45867.63094907408</v>
      </c>
      <c r="C880" s="1" t="n">
        <v>46017</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36299-2025</t>
        </is>
      </c>
      <c r="B881" s="1" t="n">
        <v>45867.69346064814</v>
      </c>
      <c r="C881" s="1" t="n">
        <v>46017</v>
      </c>
      <c r="D881" t="inlineStr">
        <is>
          <t>KALMAR LÄN</t>
        </is>
      </c>
      <c r="E881" t="inlineStr">
        <is>
          <t>VIMMERBY</t>
        </is>
      </c>
      <c r="G881" t="n">
        <v>7.6</v>
      </c>
      <c r="H881" t="n">
        <v>0</v>
      </c>
      <c r="I881" t="n">
        <v>0</v>
      </c>
      <c r="J881" t="n">
        <v>0</v>
      </c>
      <c r="K881" t="n">
        <v>0</v>
      </c>
      <c r="L881" t="n">
        <v>0</v>
      </c>
      <c r="M881" t="n">
        <v>0</v>
      </c>
      <c r="N881" t="n">
        <v>0</v>
      </c>
      <c r="O881" t="n">
        <v>0</v>
      </c>
      <c r="P881" t="n">
        <v>0</v>
      </c>
      <c r="Q881" t="n">
        <v>0</v>
      </c>
      <c r="R881" s="2" t="inlineStr"/>
    </row>
    <row r="882" ht="15" customHeight="1">
      <c r="A882" t="inlineStr">
        <is>
          <t>A 36221-2025</t>
        </is>
      </c>
      <c r="B882" s="1" t="n">
        <v>45867.50792824074</v>
      </c>
      <c r="C882" s="1" t="n">
        <v>46017</v>
      </c>
      <c r="D882" t="inlineStr">
        <is>
          <t>KALMAR LÄN</t>
        </is>
      </c>
      <c r="E882" t="inlineStr">
        <is>
          <t>VIMMERBY</t>
        </is>
      </c>
      <c r="G882" t="n">
        <v>2.5</v>
      </c>
      <c r="H882" t="n">
        <v>0</v>
      </c>
      <c r="I882" t="n">
        <v>0</v>
      </c>
      <c r="J882" t="n">
        <v>0</v>
      </c>
      <c r="K882" t="n">
        <v>0</v>
      </c>
      <c r="L882" t="n">
        <v>0</v>
      </c>
      <c r="M882" t="n">
        <v>0</v>
      </c>
      <c r="N882" t="n">
        <v>0</v>
      </c>
      <c r="O882" t="n">
        <v>0</v>
      </c>
      <c r="P882" t="n">
        <v>0</v>
      </c>
      <c r="Q882" t="n">
        <v>0</v>
      </c>
      <c r="R882" s="2" t="inlineStr"/>
    </row>
    <row r="883" ht="15" customHeight="1">
      <c r="A883" t="inlineStr">
        <is>
          <t>A 36226-2025</t>
        </is>
      </c>
      <c r="B883" s="1" t="n">
        <v>45867.51630787037</v>
      </c>
      <c r="C883" s="1" t="n">
        <v>46017</v>
      </c>
      <c r="D883" t="inlineStr">
        <is>
          <t>KALMAR LÄN</t>
        </is>
      </c>
      <c r="E883" t="inlineStr">
        <is>
          <t>VIMMERBY</t>
        </is>
      </c>
      <c r="G883" t="n">
        <v>3.1</v>
      </c>
      <c r="H883" t="n">
        <v>0</v>
      </c>
      <c r="I883" t="n">
        <v>0</v>
      </c>
      <c r="J883" t="n">
        <v>0</v>
      </c>
      <c r="K883" t="n">
        <v>0</v>
      </c>
      <c r="L883" t="n">
        <v>0</v>
      </c>
      <c r="M883" t="n">
        <v>0</v>
      </c>
      <c r="N883" t="n">
        <v>0</v>
      </c>
      <c r="O883" t="n">
        <v>0</v>
      </c>
      <c r="P883" t="n">
        <v>0</v>
      </c>
      <c r="Q883" t="n">
        <v>0</v>
      </c>
      <c r="R883" s="2" t="inlineStr"/>
    </row>
    <row r="884" ht="15" customHeight="1">
      <c r="A884" t="inlineStr">
        <is>
          <t>A 36297-2025</t>
        </is>
      </c>
      <c r="B884" s="1" t="n">
        <v>45867.68625</v>
      </c>
      <c r="C884" s="1" t="n">
        <v>46017</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36246-2025</t>
        </is>
      </c>
      <c r="B885" s="1" t="n">
        <v>45867.56320601852</v>
      </c>
      <c r="C885" s="1" t="n">
        <v>46017</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36282-2025</t>
        </is>
      </c>
      <c r="B886" s="1" t="n">
        <v>45867.64663194444</v>
      </c>
      <c r="C886" s="1" t="n">
        <v>46017</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36538-2025</t>
        </is>
      </c>
      <c r="B887" s="1" t="n">
        <v>45869.62276620371</v>
      </c>
      <c r="C887" s="1" t="n">
        <v>46017</v>
      </c>
      <c r="D887" t="inlineStr">
        <is>
          <t>KALMAR LÄN</t>
        </is>
      </c>
      <c r="E887" t="inlineStr">
        <is>
          <t>VIMMERBY</t>
        </is>
      </c>
      <c r="G887" t="n">
        <v>2.6</v>
      </c>
      <c r="H887" t="n">
        <v>0</v>
      </c>
      <c r="I887" t="n">
        <v>0</v>
      </c>
      <c r="J887" t="n">
        <v>0</v>
      </c>
      <c r="K887" t="n">
        <v>0</v>
      </c>
      <c r="L887" t="n">
        <v>0</v>
      </c>
      <c r="M887" t="n">
        <v>0</v>
      </c>
      <c r="N887" t="n">
        <v>0</v>
      </c>
      <c r="O887" t="n">
        <v>0</v>
      </c>
      <c r="P887" t="n">
        <v>0</v>
      </c>
      <c r="Q887" t="n">
        <v>0</v>
      </c>
      <c r="R887" s="2" t="inlineStr"/>
    </row>
    <row r="888" ht="15" customHeight="1">
      <c r="A888" t="inlineStr">
        <is>
          <t>A 36598-2025</t>
        </is>
      </c>
      <c r="B888" s="1" t="n">
        <v>45870.51708333333</v>
      </c>
      <c r="C888" s="1" t="n">
        <v>46017</v>
      </c>
      <c r="D888" t="inlineStr">
        <is>
          <t>KALMAR LÄN</t>
        </is>
      </c>
      <c r="E888" t="inlineStr">
        <is>
          <t>VIMMERBY</t>
        </is>
      </c>
      <c r="G888" t="n">
        <v>3.7</v>
      </c>
      <c r="H888" t="n">
        <v>0</v>
      </c>
      <c r="I888" t="n">
        <v>0</v>
      </c>
      <c r="J888" t="n">
        <v>0</v>
      </c>
      <c r="K888" t="n">
        <v>0</v>
      </c>
      <c r="L888" t="n">
        <v>0</v>
      </c>
      <c r="M888" t="n">
        <v>0</v>
      </c>
      <c r="N888" t="n">
        <v>0</v>
      </c>
      <c r="O888" t="n">
        <v>0</v>
      </c>
      <c r="P888" t="n">
        <v>0</v>
      </c>
      <c r="Q888" t="n">
        <v>0</v>
      </c>
      <c r="R888" s="2" t="inlineStr"/>
    </row>
    <row r="889" ht="15" customHeight="1">
      <c r="A889" t="inlineStr">
        <is>
          <t>A 36602-2025</t>
        </is>
      </c>
      <c r="B889" s="1" t="n">
        <v>45870.52111111111</v>
      </c>
      <c r="C889" s="1" t="n">
        <v>46017</v>
      </c>
      <c r="D889" t="inlineStr">
        <is>
          <t>KALMAR LÄN</t>
        </is>
      </c>
      <c r="E889" t="inlineStr">
        <is>
          <t>VIMMERBY</t>
        </is>
      </c>
      <c r="G889" t="n">
        <v>0.6</v>
      </c>
      <c r="H889" t="n">
        <v>0</v>
      </c>
      <c r="I889" t="n">
        <v>0</v>
      </c>
      <c r="J889" t="n">
        <v>0</v>
      </c>
      <c r="K889" t="n">
        <v>0</v>
      </c>
      <c r="L889" t="n">
        <v>0</v>
      </c>
      <c r="M889" t="n">
        <v>0</v>
      </c>
      <c r="N889" t="n">
        <v>0</v>
      </c>
      <c r="O889" t="n">
        <v>0</v>
      </c>
      <c r="P889" t="n">
        <v>0</v>
      </c>
      <c r="Q889" t="n">
        <v>0</v>
      </c>
      <c r="R889" s="2" t="inlineStr"/>
    </row>
    <row r="890" ht="15" customHeight="1">
      <c r="A890" t="inlineStr">
        <is>
          <t>A 36600-2025</t>
        </is>
      </c>
      <c r="B890" s="1" t="n">
        <v>45870.51958333333</v>
      </c>
      <c r="C890" s="1" t="n">
        <v>46017</v>
      </c>
      <c r="D890" t="inlineStr">
        <is>
          <t>KALMAR LÄN</t>
        </is>
      </c>
      <c r="E890" t="inlineStr">
        <is>
          <t>VIMMERBY</t>
        </is>
      </c>
      <c r="G890" t="n">
        <v>2</v>
      </c>
      <c r="H890" t="n">
        <v>0</v>
      </c>
      <c r="I890" t="n">
        <v>0</v>
      </c>
      <c r="J890" t="n">
        <v>0</v>
      </c>
      <c r="K890" t="n">
        <v>0</v>
      </c>
      <c r="L890" t="n">
        <v>0</v>
      </c>
      <c r="M890" t="n">
        <v>0</v>
      </c>
      <c r="N890" t="n">
        <v>0</v>
      </c>
      <c r="O890" t="n">
        <v>0</v>
      </c>
      <c r="P890" t="n">
        <v>0</v>
      </c>
      <c r="Q890" t="n">
        <v>0</v>
      </c>
      <c r="R890" s="2" t="inlineStr"/>
    </row>
    <row r="891" ht="15" customHeight="1">
      <c r="A891" t="inlineStr">
        <is>
          <t>A 36601-2025</t>
        </is>
      </c>
      <c r="B891" s="1" t="n">
        <v>45870.52005787037</v>
      </c>
      <c r="C891" s="1" t="n">
        <v>46017</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36603-2025</t>
        </is>
      </c>
      <c r="B892" s="1" t="n">
        <v>45870.52142361111</v>
      </c>
      <c r="C892" s="1" t="n">
        <v>46017</v>
      </c>
      <c r="D892" t="inlineStr">
        <is>
          <t>KALMAR LÄN</t>
        </is>
      </c>
      <c r="E892" t="inlineStr">
        <is>
          <t>VIMMERBY</t>
        </is>
      </c>
      <c r="G892" t="n">
        <v>1.6</v>
      </c>
      <c r="H892" t="n">
        <v>0</v>
      </c>
      <c r="I892" t="n">
        <v>0</v>
      </c>
      <c r="J892" t="n">
        <v>0</v>
      </c>
      <c r="K892" t="n">
        <v>0</v>
      </c>
      <c r="L892" t="n">
        <v>0</v>
      </c>
      <c r="M892" t="n">
        <v>0</v>
      </c>
      <c r="N892" t="n">
        <v>0</v>
      </c>
      <c r="O892" t="n">
        <v>0</v>
      </c>
      <c r="P892" t="n">
        <v>0</v>
      </c>
      <c r="Q892" t="n">
        <v>0</v>
      </c>
      <c r="R892" s="2" t="inlineStr"/>
    </row>
    <row r="893" ht="15" customHeight="1">
      <c r="A893" t="inlineStr">
        <is>
          <t>A 36934-2025</t>
        </is>
      </c>
      <c r="B893" s="1" t="n">
        <v>45874.57109953704</v>
      </c>
      <c r="C893" s="1" t="n">
        <v>46017</v>
      </c>
      <c r="D893" t="inlineStr">
        <is>
          <t>KALMAR LÄN</t>
        </is>
      </c>
      <c r="E893" t="inlineStr">
        <is>
          <t>VIMMERBY</t>
        </is>
      </c>
      <c r="G893" t="n">
        <v>4.2</v>
      </c>
      <c r="H893" t="n">
        <v>0</v>
      </c>
      <c r="I893" t="n">
        <v>0</v>
      </c>
      <c r="J893" t="n">
        <v>0</v>
      </c>
      <c r="K893" t="n">
        <v>0</v>
      </c>
      <c r="L893" t="n">
        <v>0</v>
      </c>
      <c r="M893" t="n">
        <v>0</v>
      </c>
      <c r="N893" t="n">
        <v>0</v>
      </c>
      <c r="O893" t="n">
        <v>0</v>
      </c>
      <c r="P893" t="n">
        <v>0</v>
      </c>
      <c r="Q893" t="n">
        <v>0</v>
      </c>
      <c r="R893" s="2" t="inlineStr"/>
    </row>
    <row r="894" ht="15" customHeight="1">
      <c r="A894" t="inlineStr">
        <is>
          <t>A 37088-2025</t>
        </is>
      </c>
      <c r="B894" s="1" t="n">
        <v>45875.45716435185</v>
      </c>
      <c r="C894" s="1" t="n">
        <v>46017</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37102-2025</t>
        </is>
      </c>
      <c r="B895" s="1" t="n">
        <v>45875.47454861111</v>
      </c>
      <c r="C895" s="1" t="n">
        <v>46017</v>
      </c>
      <c r="D895" t="inlineStr">
        <is>
          <t>KALMAR LÄN</t>
        </is>
      </c>
      <c r="E895" t="inlineStr">
        <is>
          <t>VIMMERBY</t>
        </is>
      </c>
      <c r="G895" t="n">
        <v>1.3</v>
      </c>
      <c r="H895" t="n">
        <v>0</v>
      </c>
      <c r="I895" t="n">
        <v>0</v>
      </c>
      <c r="J895" t="n">
        <v>0</v>
      </c>
      <c r="K895" t="n">
        <v>0</v>
      </c>
      <c r="L895" t="n">
        <v>0</v>
      </c>
      <c r="M895" t="n">
        <v>0</v>
      </c>
      <c r="N895" t="n">
        <v>0</v>
      </c>
      <c r="O895" t="n">
        <v>0</v>
      </c>
      <c r="P895" t="n">
        <v>0</v>
      </c>
      <c r="Q895" t="n">
        <v>0</v>
      </c>
      <c r="R895" s="2" t="inlineStr"/>
    </row>
    <row r="896" ht="15" customHeight="1">
      <c r="A896" t="inlineStr">
        <is>
          <t>A 37079-2025</t>
        </is>
      </c>
      <c r="B896" s="1" t="n">
        <v>45875.42716435185</v>
      </c>
      <c r="C896" s="1" t="n">
        <v>46017</v>
      </c>
      <c r="D896" t="inlineStr">
        <is>
          <t>KALMAR LÄN</t>
        </is>
      </c>
      <c r="E896" t="inlineStr">
        <is>
          <t>VIMMERBY</t>
        </is>
      </c>
      <c r="G896" t="n">
        <v>0.8</v>
      </c>
      <c r="H896" t="n">
        <v>0</v>
      </c>
      <c r="I896" t="n">
        <v>0</v>
      </c>
      <c r="J896" t="n">
        <v>0</v>
      </c>
      <c r="K896" t="n">
        <v>0</v>
      </c>
      <c r="L896" t="n">
        <v>0</v>
      </c>
      <c r="M896" t="n">
        <v>0</v>
      </c>
      <c r="N896" t="n">
        <v>0</v>
      </c>
      <c r="O896" t="n">
        <v>0</v>
      </c>
      <c r="P896" t="n">
        <v>0</v>
      </c>
      <c r="Q896" t="n">
        <v>0</v>
      </c>
      <c r="R896" s="2" t="inlineStr"/>
    </row>
    <row r="897" ht="15" customHeight="1">
      <c r="A897" t="inlineStr">
        <is>
          <t>A 37668-2025</t>
        </is>
      </c>
      <c r="B897" s="1" t="n">
        <v>45880.51550925926</v>
      </c>
      <c r="C897" s="1" t="n">
        <v>46017</v>
      </c>
      <c r="D897" t="inlineStr">
        <is>
          <t>KALMAR LÄN</t>
        </is>
      </c>
      <c r="E897" t="inlineStr">
        <is>
          <t>VIMMERBY</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37578-2025</t>
        </is>
      </c>
      <c r="B898" s="1" t="n">
        <v>45880.38380787037</v>
      </c>
      <c r="C898" s="1" t="n">
        <v>46017</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37866-2025</t>
        </is>
      </c>
      <c r="B899" s="1" t="n">
        <v>45881</v>
      </c>
      <c r="C899" s="1" t="n">
        <v>46017</v>
      </c>
      <c r="D899" t="inlineStr">
        <is>
          <t>KALMAR LÄN</t>
        </is>
      </c>
      <c r="E899" t="inlineStr">
        <is>
          <t>VIMMERBY</t>
        </is>
      </c>
      <c r="G899" t="n">
        <v>3.4</v>
      </c>
      <c r="H899" t="n">
        <v>0</v>
      </c>
      <c r="I899" t="n">
        <v>0</v>
      </c>
      <c r="J899" t="n">
        <v>0</v>
      </c>
      <c r="K899" t="n">
        <v>0</v>
      </c>
      <c r="L899" t="n">
        <v>0</v>
      </c>
      <c r="M899" t="n">
        <v>0</v>
      </c>
      <c r="N899" t="n">
        <v>0</v>
      </c>
      <c r="O899" t="n">
        <v>0</v>
      </c>
      <c r="P899" t="n">
        <v>0</v>
      </c>
      <c r="Q899" t="n">
        <v>0</v>
      </c>
      <c r="R899" s="2" t="inlineStr"/>
    </row>
    <row r="900">
      <c r="A900" t="inlineStr">
        <is>
          <t>A 37939-2025</t>
        </is>
      </c>
      <c r="B900" s="1" t="n">
        <v>45881.59877314815</v>
      </c>
      <c r="C900" s="1" t="n">
        <v>46017</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2025-12-26T09:32:43Z</dcterms:created>
  <dcterms:modified xmlns:dcterms="http://purl.org/dc/terms/" xmlns:xsi="http://www.w3.org/2001/XMLSchema-instance" xsi:type="dcterms:W3CDTF">2025-12-26T09:32:43Z</dcterms:modified>
</cp:coreProperties>
</file>