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45922</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45922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45922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3075-2025</t>
        </is>
      </c>
      <c r="B11" s="1" t="n">
        <v>45678.64175925926</v>
      </c>
      <c r="C11" s="1" t="n">
        <v>45922</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15808-2025</t>
        </is>
      </c>
      <c r="B12" s="1" t="n">
        <v>45748</v>
      </c>
      <c r="C12" s="1" t="n">
        <v>45922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45922</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8411-2021</t>
        </is>
      </c>
      <c r="B14" s="1" t="n">
        <v>44245</v>
      </c>
      <c r="C14" s="1" t="n">
        <v>45922</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45922</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45922</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45922</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45922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45922</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45922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45922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2518-2023</t>
        </is>
      </c>
      <c r="B24" s="1" t="n">
        <v>44943</v>
      </c>
      <c r="C24" s="1" t="n">
        <v>45922</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45922</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40684-2025</t>
        </is>
      </c>
      <c r="B26" s="1" t="n">
        <v>45896.86820601852</v>
      </c>
      <c r="C26" s="1" t="n">
        <v>45922</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17935-2025</t>
        </is>
      </c>
      <c r="B27" s="1" t="n">
        <v>45760.34877314815</v>
      </c>
      <c r="C27" s="1" t="n">
        <v>45922</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45922</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42802-2025</t>
        </is>
      </c>
      <c r="B29" s="1" t="n">
        <v>45908</v>
      </c>
      <c r="C29" s="1" t="n">
        <v>45922</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45922</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45922</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45922</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1201-2025</t>
        </is>
      </c>
      <c r="B33" s="1" t="n">
        <v>45667</v>
      </c>
      <c r="C33" s="1" t="n">
        <v>45922</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37930-2021</t>
        </is>
      </c>
      <c r="B34" s="1" t="n">
        <v>44403</v>
      </c>
      <c r="C34" s="1" t="n">
        <v>45922</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40083-2023</t>
        </is>
      </c>
      <c r="B35" s="1" t="n">
        <v>45168</v>
      </c>
      <c r="C35" s="1" t="n">
        <v>45922</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45922</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33436-2021</t>
        </is>
      </c>
      <c r="B37" s="1" t="n">
        <v>44377.61104166666</v>
      </c>
      <c r="C37" s="1" t="n">
        <v>45922</v>
      </c>
      <c r="D37" t="inlineStr">
        <is>
          <t>KALMAR LÄN</t>
        </is>
      </c>
      <c r="E37" t="inlineStr">
        <is>
          <t>VIMMERBY</t>
        </is>
      </c>
      <c r="G37" t="n">
        <v>11.8</v>
      </c>
      <c r="H37" t="n">
        <v>1</v>
      </c>
      <c r="I37" t="n">
        <v>0</v>
      </c>
      <c r="J37" t="n">
        <v>0</v>
      </c>
      <c r="K37" t="n">
        <v>1</v>
      </c>
      <c r="L37" t="n">
        <v>0</v>
      </c>
      <c r="M37" t="n">
        <v>0</v>
      </c>
      <c r="N37" t="n">
        <v>0</v>
      </c>
      <c r="O37" t="n">
        <v>1</v>
      </c>
      <c r="P37" t="n">
        <v>1</v>
      </c>
      <c r="Q37" t="n">
        <v>1</v>
      </c>
      <c r="R37" s="2" t="inlineStr">
        <is>
          <t>Knärot</t>
        </is>
      </c>
      <c r="S37">
        <f>HYPERLINK("https://klasma.github.io/Logging_0884/artfynd/A 33436-2021 artfynd.xlsx", "A 33436-2021")</f>
        <v/>
      </c>
      <c r="T37">
        <f>HYPERLINK("https://klasma.github.io/Logging_0884/kartor/A 33436-2021 karta.png", "A 33436-2021")</f>
        <v/>
      </c>
      <c r="U37">
        <f>HYPERLINK("https://klasma.github.io/Logging_0884/knärot/A 33436-2021 karta knärot.png", "A 33436-2021")</f>
        <v/>
      </c>
      <c r="V37">
        <f>HYPERLINK("https://klasma.github.io/Logging_0884/klagomål/A 33436-2021 FSC-klagomål.docx", "A 33436-2021")</f>
        <v/>
      </c>
      <c r="W37">
        <f>HYPERLINK("https://klasma.github.io/Logging_0884/klagomålsmail/A 33436-2021 FSC-klagomål mail.docx", "A 33436-2021")</f>
        <v/>
      </c>
      <c r="X37">
        <f>HYPERLINK("https://klasma.github.io/Logging_0884/tillsyn/A 33436-2021 tillsynsbegäran.docx", "A 33436-2021")</f>
        <v/>
      </c>
      <c r="Y37">
        <f>HYPERLINK("https://klasma.github.io/Logging_0884/tillsynsmail/A 33436-2021 tillsynsbegäran mail.docx", "A 33436-2021")</f>
        <v/>
      </c>
    </row>
    <row r="38" ht="15" customHeight="1">
      <c r="A38" t="inlineStr">
        <is>
          <t>A 23602-2023</t>
        </is>
      </c>
      <c r="B38" s="1" t="n">
        <v>45077</v>
      </c>
      <c r="C38" s="1" t="n">
        <v>45922</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29183-2025</t>
        </is>
      </c>
      <c r="B39" s="1" t="n">
        <v>45821</v>
      </c>
      <c r="C39" s="1" t="n">
        <v>45922</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32985-2023</t>
        </is>
      </c>
      <c r="B40" s="1" t="n">
        <v>45125</v>
      </c>
      <c r="C40" s="1" t="n">
        <v>45922</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61860-2024</t>
        </is>
      </c>
      <c r="B41" s="1" t="n">
        <v>45649</v>
      </c>
      <c r="C41" s="1" t="n">
        <v>45922</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28852-2023</t>
        </is>
      </c>
      <c r="B42" s="1" t="n">
        <v>45104</v>
      </c>
      <c r="C42" s="1" t="n">
        <v>45922</v>
      </c>
      <c r="D42" t="inlineStr">
        <is>
          <t>KALMAR LÄN</t>
        </is>
      </c>
      <c r="E42" t="inlineStr">
        <is>
          <t>VIMMERBY</t>
        </is>
      </c>
      <c r="G42" t="n">
        <v>0.7</v>
      </c>
      <c r="H42" t="n">
        <v>0</v>
      </c>
      <c r="I42" t="n">
        <v>1</v>
      </c>
      <c r="J42" t="n">
        <v>0</v>
      </c>
      <c r="K42" t="n">
        <v>0</v>
      </c>
      <c r="L42" t="n">
        <v>0</v>
      </c>
      <c r="M42" t="n">
        <v>0</v>
      </c>
      <c r="N42" t="n">
        <v>0</v>
      </c>
      <c r="O42" t="n">
        <v>0</v>
      </c>
      <c r="P42" t="n">
        <v>0</v>
      </c>
      <c r="Q42" t="n">
        <v>1</v>
      </c>
      <c r="R42" s="2" t="inlineStr">
        <is>
          <t>Tibast</t>
        </is>
      </c>
      <c r="S42">
        <f>HYPERLINK("https://klasma.github.io/Logging_0884/artfynd/A 28852-2023 artfynd.xlsx", "A 28852-2023")</f>
        <v/>
      </c>
      <c r="T42">
        <f>HYPERLINK("https://klasma.github.io/Logging_0884/kartor/A 28852-2023 karta.png", "A 28852-2023")</f>
        <v/>
      </c>
      <c r="V42">
        <f>HYPERLINK("https://klasma.github.io/Logging_0884/klagomål/A 28852-2023 FSC-klagomål.docx", "A 28852-2023")</f>
        <v/>
      </c>
      <c r="W42">
        <f>HYPERLINK("https://klasma.github.io/Logging_0884/klagomålsmail/A 28852-2023 FSC-klagomål mail.docx", "A 28852-2023")</f>
        <v/>
      </c>
      <c r="X42">
        <f>HYPERLINK("https://klasma.github.io/Logging_0884/tillsyn/A 28852-2023 tillsynsbegäran.docx", "A 28852-2023")</f>
        <v/>
      </c>
      <c r="Y42">
        <f>HYPERLINK("https://klasma.github.io/Logging_0884/tillsynsmail/A 28852-2023 tillsynsbegäran mail.docx", "A 28852-2023")</f>
        <v/>
      </c>
    </row>
    <row r="43" ht="15" customHeight="1">
      <c r="A43" t="inlineStr">
        <is>
          <t>A 15122-2024</t>
        </is>
      </c>
      <c r="B43" s="1" t="n">
        <v>45399.71412037037</v>
      </c>
      <c r="C43" s="1" t="n">
        <v>45922</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52301-2023</t>
        </is>
      </c>
      <c r="B44" s="1" t="n">
        <v>45224</v>
      </c>
      <c r="C44" s="1" t="n">
        <v>45922</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38602-2025</t>
        </is>
      </c>
      <c r="B45" s="1" t="n">
        <v>45884.50331018519</v>
      </c>
      <c r="C45" s="1" t="n">
        <v>45922</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44515-2024</t>
        </is>
      </c>
      <c r="B46" s="1" t="n">
        <v>45574.42767361111</v>
      </c>
      <c r="C46" s="1" t="n">
        <v>45922</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6841-2021</t>
        </is>
      </c>
      <c r="B47" s="1" t="n">
        <v>44236</v>
      </c>
      <c r="C47" s="1" t="n">
        <v>45922</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49059-2020</t>
        </is>
      </c>
      <c r="B48" s="1" t="n">
        <v>44102</v>
      </c>
      <c r="C48" s="1" t="n">
        <v>45922</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45922</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45922</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45922</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56754-2021</t>
        </is>
      </c>
      <c r="B52" s="1" t="n">
        <v>44481.47483796296</v>
      </c>
      <c r="C52" s="1" t="n">
        <v>45922</v>
      </c>
      <c r="D52" t="inlineStr">
        <is>
          <t>KALMAR LÄN</t>
        </is>
      </c>
      <c r="E52" t="inlineStr">
        <is>
          <t>VIMMERBY</t>
        </is>
      </c>
      <c r="G52" t="n">
        <v>1.4</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45922</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45922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45922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1929-2021</t>
        </is>
      </c>
      <c r="B56" s="1" t="n">
        <v>44210</v>
      </c>
      <c r="C56" s="1" t="n">
        <v>45922</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45922</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45922</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45922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45922</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45922</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49186-2020</t>
        </is>
      </c>
      <c r="B63" s="1" t="n">
        <v>44105</v>
      </c>
      <c r="C63" s="1" t="n">
        <v>45922</v>
      </c>
      <c r="D63" t="inlineStr">
        <is>
          <t>KALMAR LÄN</t>
        </is>
      </c>
      <c r="E63" t="inlineStr">
        <is>
          <t>VIMMERBY</t>
        </is>
      </c>
      <c r="F63" t="inlineStr">
        <is>
          <t>Sveaskog</t>
        </is>
      </c>
      <c r="G63" t="n">
        <v>3.8</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45922</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45922</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45922</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45922</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45922</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45922</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45922</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45922</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45922</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45922</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45922</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45922</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45922</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45922</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45922</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45922</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45922</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45922</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45922</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45922</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45922</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45922</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45922</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45922</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45922</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45922</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45922</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45922</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45922</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45922</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45922</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45922</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45922</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45922</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45922</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45922</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45922</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45922</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45922</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45922</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45922</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45922</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45922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45922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45922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45922</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45922</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45922</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45922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45922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45922</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45922</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45922</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45922</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45922</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45922</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45922</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45922</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45922</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45922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45922</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45922</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45922</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11814-2022</t>
        </is>
      </c>
      <c r="B133" s="1" t="n">
        <v>44634.69703703704</v>
      </c>
      <c r="C133" s="1" t="n">
        <v>45922</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45922</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24738-2021</t>
        </is>
      </c>
      <c r="B135" s="1" t="n">
        <v>44340.58002314815</v>
      </c>
      <c r="C135" s="1" t="n">
        <v>45922</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45922</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8454-2022</t>
        </is>
      </c>
      <c r="B137" s="1" t="n">
        <v>44612.86762731482</v>
      </c>
      <c r="C137" s="1" t="n">
        <v>45922</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40077-2021</t>
        </is>
      </c>
      <c r="B138" s="1" t="n">
        <v>44418</v>
      </c>
      <c r="C138" s="1" t="n">
        <v>45922</v>
      </c>
      <c r="D138" t="inlineStr">
        <is>
          <t>KALMAR LÄN</t>
        </is>
      </c>
      <c r="E138" t="inlineStr">
        <is>
          <t>VIMMERBY</t>
        </is>
      </c>
      <c r="G138" t="n">
        <v>2.9</v>
      </c>
      <c r="H138" t="n">
        <v>0</v>
      </c>
      <c r="I138" t="n">
        <v>0</v>
      </c>
      <c r="J138" t="n">
        <v>0</v>
      </c>
      <c r="K138" t="n">
        <v>0</v>
      </c>
      <c r="L138" t="n">
        <v>0</v>
      </c>
      <c r="M138" t="n">
        <v>0</v>
      </c>
      <c r="N138" t="n">
        <v>0</v>
      </c>
      <c r="O138" t="n">
        <v>0</v>
      </c>
      <c r="P138" t="n">
        <v>0</v>
      </c>
      <c r="Q138" t="n">
        <v>0</v>
      </c>
      <c r="R138" s="2" t="inlineStr"/>
    </row>
    <row r="139" ht="15" customHeight="1">
      <c r="A139" t="inlineStr">
        <is>
          <t>A 65887-2021</t>
        </is>
      </c>
      <c r="B139" s="1" t="n">
        <v>44517</v>
      </c>
      <c r="C139" s="1" t="n">
        <v>45922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41056-2022</t>
        </is>
      </c>
      <c r="B140" s="1" t="n">
        <v>44824</v>
      </c>
      <c r="C140" s="1" t="n">
        <v>45922</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31660-2021</t>
        </is>
      </c>
      <c r="B141" s="1" t="n">
        <v>44369</v>
      </c>
      <c r="C141" s="1" t="n">
        <v>45922</v>
      </c>
      <c r="D141" t="inlineStr">
        <is>
          <t>KALMAR LÄN</t>
        </is>
      </c>
      <c r="E141" t="inlineStr">
        <is>
          <t>VIMMERBY</t>
        </is>
      </c>
      <c r="G141" t="n">
        <v>4.2</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45922</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27455-2022</t>
        </is>
      </c>
      <c r="B143" s="1" t="n">
        <v>44742</v>
      </c>
      <c r="C143" s="1" t="n">
        <v>45922</v>
      </c>
      <c r="D143" t="inlineStr">
        <is>
          <t>KALMAR LÄN</t>
        </is>
      </c>
      <c r="E143" t="inlineStr">
        <is>
          <t>VIMMERBY</t>
        </is>
      </c>
      <c r="G143" t="n">
        <v>1.6</v>
      </c>
      <c r="H143" t="n">
        <v>0</v>
      </c>
      <c r="I143" t="n">
        <v>0</v>
      </c>
      <c r="J143" t="n">
        <v>0</v>
      </c>
      <c r="K143" t="n">
        <v>0</v>
      </c>
      <c r="L143" t="n">
        <v>0</v>
      </c>
      <c r="M143" t="n">
        <v>0</v>
      </c>
      <c r="N143" t="n">
        <v>0</v>
      </c>
      <c r="O143" t="n">
        <v>0</v>
      </c>
      <c r="P143" t="n">
        <v>0</v>
      </c>
      <c r="Q143" t="n">
        <v>0</v>
      </c>
      <c r="R143" s="2" t="inlineStr"/>
    </row>
    <row r="144" ht="15" customHeight="1">
      <c r="A144" t="inlineStr">
        <is>
          <t>A 47769-2022</t>
        </is>
      </c>
      <c r="B144" s="1" t="n">
        <v>44854</v>
      </c>
      <c r="C144" s="1" t="n">
        <v>45922</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39959-2022</t>
        </is>
      </c>
      <c r="B145" s="1" t="n">
        <v>44819</v>
      </c>
      <c r="C145" s="1" t="n">
        <v>45922</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10086-2022</t>
        </is>
      </c>
      <c r="B146" s="1" t="n">
        <v>44621</v>
      </c>
      <c r="C146" s="1" t="n">
        <v>45922</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3330-2021</t>
        </is>
      </c>
      <c r="B147" s="1" t="n">
        <v>44217.79856481482</v>
      </c>
      <c r="C147" s="1" t="n">
        <v>45922</v>
      </c>
      <c r="D147" t="inlineStr">
        <is>
          <t>KALMAR LÄN</t>
        </is>
      </c>
      <c r="E147" t="inlineStr">
        <is>
          <t>VIMMERBY</t>
        </is>
      </c>
      <c r="G147" t="n">
        <v>11.1</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45922</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45922</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65564-2020</t>
        </is>
      </c>
      <c r="B150" s="1" t="n">
        <v>44172</v>
      </c>
      <c r="C150" s="1" t="n">
        <v>45922</v>
      </c>
      <c r="D150" t="inlineStr">
        <is>
          <t>KALMAR LÄN</t>
        </is>
      </c>
      <c r="E150" t="inlineStr">
        <is>
          <t>VIMMERBY</t>
        </is>
      </c>
      <c r="G150" t="n">
        <v>4.1</v>
      </c>
      <c r="H150" t="n">
        <v>0</v>
      </c>
      <c r="I150" t="n">
        <v>0</v>
      </c>
      <c r="J150" t="n">
        <v>0</v>
      </c>
      <c r="K150" t="n">
        <v>0</v>
      </c>
      <c r="L150" t="n">
        <v>0</v>
      </c>
      <c r="M150" t="n">
        <v>0</v>
      </c>
      <c r="N150" t="n">
        <v>0</v>
      </c>
      <c r="O150" t="n">
        <v>0</v>
      </c>
      <c r="P150" t="n">
        <v>0</v>
      </c>
      <c r="Q150" t="n">
        <v>0</v>
      </c>
      <c r="R150" s="2" t="inlineStr"/>
    </row>
    <row r="151" ht="15" customHeight="1">
      <c r="A151" t="inlineStr">
        <is>
          <t>A 12661-2021</t>
        </is>
      </c>
      <c r="B151" s="1" t="n">
        <v>44270</v>
      </c>
      <c r="C151" s="1" t="n">
        <v>45922</v>
      </c>
      <c r="D151" t="inlineStr">
        <is>
          <t>KALMAR LÄN</t>
        </is>
      </c>
      <c r="E151" t="inlineStr">
        <is>
          <t>VIMMERBY</t>
        </is>
      </c>
      <c r="G151" t="n">
        <v>1.8</v>
      </c>
      <c r="H151" t="n">
        <v>0</v>
      </c>
      <c r="I151" t="n">
        <v>0</v>
      </c>
      <c r="J151" t="n">
        <v>0</v>
      </c>
      <c r="K151" t="n">
        <v>0</v>
      </c>
      <c r="L151" t="n">
        <v>0</v>
      </c>
      <c r="M151" t="n">
        <v>0</v>
      </c>
      <c r="N151" t="n">
        <v>0</v>
      </c>
      <c r="O151" t="n">
        <v>0</v>
      </c>
      <c r="P151" t="n">
        <v>0</v>
      </c>
      <c r="Q151" t="n">
        <v>0</v>
      </c>
      <c r="R151" s="2" t="inlineStr"/>
    </row>
    <row r="152" ht="15" customHeight="1">
      <c r="A152" t="inlineStr">
        <is>
          <t>A 24999-2021</t>
        </is>
      </c>
      <c r="B152" s="1" t="n">
        <v>44341</v>
      </c>
      <c r="C152" s="1" t="n">
        <v>45922</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7917-2022</t>
        </is>
      </c>
      <c r="B153" s="1" t="n">
        <v>44608</v>
      </c>
      <c r="C153" s="1" t="n">
        <v>45922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47208-2021</t>
        </is>
      </c>
      <c r="B154" s="1" t="n">
        <v>44447.34237268518</v>
      </c>
      <c r="C154" s="1" t="n">
        <v>45922</v>
      </c>
      <c r="D154" t="inlineStr">
        <is>
          <t>KALMAR LÄN</t>
        </is>
      </c>
      <c r="E154" t="inlineStr">
        <is>
          <t>VIMMERBY</t>
        </is>
      </c>
      <c r="G154" t="n">
        <v>1.4</v>
      </c>
      <c r="H154" t="n">
        <v>0</v>
      </c>
      <c r="I154" t="n">
        <v>0</v>
      </c>
      <c r="J154" t="n">
        <v>0</v>
      </c>
      <c r="K154" t="n">
        <v>0</v>
      </c>
      <c r="L154" t="n">
        <v>0</v>
      </c>
      <c r="M154" t="n">
        <v>0</v>
      </c>
      <c r="N154" t="n">
        <v>0</v>
      </c>
      <c r="O154" t="n">
        <v>0</v>
      </c>
      <c r="P154" t="n">
        <v>0</v>
      </c>
      <c r="Q154" t="n">
        <v>0</v>
      </c>
      <c r="R154" s="2" t="inlineStr"/>
    </row>
    <row r="155" ht="15" customHeight="1">
      <c r="A155" t="inlineStr">
        <is>
          <t>A 35316-2021</t>
        </is>
      </c>
      <c r="B155" s="1" t="n">
        <v>44384</v>
      </c>
      <c r="C155" s="1" t="n">
        <v>45922</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33831-2022</t>
        </is>
      </c>
      <c r="B156" s="1" t="n">
        <v>44790.48503472222</v>
      </c>
      <c r="C156" s="1" t="n">
        <v>45922</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16705-2021</t>
        </is>
      </c>
      <c r="B157" s="1" t="n">
        <v>44294</v>
      </c>
      <c r="C157" s="1" t="n">
        <v>45922</v>
      </c>
      <c r="D157" t="inlineStr">
        <is>
          <t>KALMAR LÄN</t>
        </is>
      </c>
      <c r="E157" t="inlineStr">
        <is>
          <t>VIMMERBY</t>
        </is>
      </c>
      <c r="G157" t="n">
        <v>2.6</v>
      </c>
      <c r="H157" t="n">
        <v>0</v>
      </c>
      <c r="I157" t="n">
        <v>0</v>
      </c>
      <c r="J157" t="n">
        <v>0</v>
      </c>
      <c r="K157" t="n">
        <v>0</v>
      </c>
      <c r="L157" t="n">
        <v>0</v>
      </c>
      <c r="M157" t="n">
        <v>0</v>
      </c>
      <c r="N157" t="n">
        <v>0</v>
      </c>
      <c r="O157" t="n">
        <v>0</v>
      </c>
      <c r="P157" t="n">
        <v>0</v>
      </c>
      <c r="Q157" t="n">
        <v>0</v>
      </c>
      <c r="R157" s="2" t="inlineStr"/>
    </row>
    <row r="158" ht="15" customHeight="1">
      <c r="A158" t="inlineStr">
        <is>
          <t>A 51977-2020</t>
        </is>
      </c>
      <c r="B158" s="1" t="n">
        <v>44116</v>
      </c>
      <c r="C158" s="1" t="n">
        <v>45922</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45922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53145-2022</t>
        </is>
      </c>
      <c r="B160" s="1" t="n">
        <v>44876.48346064815</v>
      </c>
      <c r="C160" s="1" t="n">
        <v>45922</v>
      </c>
      <c r="D160" t="inlineStr">
        <is>
          <t>KALMAR LÄN</t>
        </is>
      </c>
      <c r="E160" t="inlineStr">
        <is>
          <t>VIMMERBY</t>
        </is>
      </c>
      <c r="G160" t="n">
        <v>0.4</v>
      </c>
      <c r="H160" t="n">
        <v>0</v>
      </c>
      <c r="I160" t="n">
        <v>0</v>
      </c>
      <c r="J160" t="n">
        <v>0</v>
      </c>
      <c r="K160" t="n">
        <v>0</v>
      </c>
      <c r="L160" t="n">
        <v>0</v>
      </c>
      <c r="M160" t="n">
        <v>0</v>
      </c>
      <c r="N160" t="n">
        <v>0</v>
      </c>
      <c r="O160" t="n">
        <v>0</v>
      </c>
      <c r="P160" t="n">
        <v>0</v>
      </c>
      <c r="Q160" t="n">
        <v>0</v>
      </c>
      <c r="R160" s="2" t="inlineStr"/>
    </row>
    <row r="161" ht="15" customHeight="1">
      <c r="A161" t="inlineStr">
        <is>
          <t>A 25738-2022</t>
        </is>
      </c>
      <c r="B161" s="1" t="n">
        <v>44733.43092592592</v>
      </c>
      <c r="C161" s="1" t="n">
        <v>45922</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56389-2021</t>
        </is>
      </c>
      <c r="B162" s="1" t="n">
        <v>44480</v>
      </c>
      <c r="C162" s="1" t="n">
        <v>45922</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45922</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67952-2021</t>
        </is>
      </c>
      <c r="B164" s="1" t="n">
        <v>44525.63913194444</v>
      </c>
      <c r="C164" s="1" t="n">
        <v>45922</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14521-2021</t>
        </is>
      </c>
      <c r="B165" s="1" t="n">
        <v>44279.64934027778</v>
      </c>
      <c r="C165" s="1" t="n">
        <v>45922</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15533-2022</t>
        </is>
      </c>
      <c r="B166" s="1" t="n">
        <v>44662</v>
      </c>
      <c r="C166" s="1" t="n">
        <v>45922</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46527-2020</t>
        </is>
      </c>
      <c r="B167" s="1" t="n">
        <v>44095</v>
      </c>
      <c r="C167" s="1" t="n">
        <v>45922</v>
      </c>
      <c r="D167" t="inlineStr">
        <is>
          <t>KALMAR LÄN</t>
        </is>
      </c>
      <c r="E167" t="inlineStr">
        <is>
          <t>VIMMERBY</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618-2021</t>
        </is>
      </c>
      <c r="B168" s="1" t="n">
        <v>44203</v>
      </c>
      <c r="C168" s="1" t="n">
        <v>45922</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165-2022</t>
        </is>
      </c>
      <c r="B169" s="1" t="n">
        <v>44564</v>
      </c>
      <c r="C169" s="1" t="n">
        <v>45922</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12241-2021</t>
        </is>
      </c>
      <c r="B170" s="1" t="n">
        <v>44266.7240625</v>
      </c>
      <c r="C170" s="1" t="n">
        <v>45922</v>
      </c>
      <c r="D170" t="inlineStr">
        <is>
          <t>KALMAR LÄN</t>
        </is>
      </c>
      <c r="E170" t="inlineStr">
        <is>
          <t>VIMMERBY</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12662-2021</t>
        </is>
      </c>
      <c r="B171" s="1" t="n">
        <v>44270.49743055556</v>
      </c>
      <c r="C171" s="1" t="n">
        <v>45922</v>
      </c>
      <c r="D171" t="inlineStr">
        <is>
          <t>KALMAR LÄN</t>
        </is>
      </c>
      <c r="E171" t="inlineStr">
        <is>
          <t>VIMMERBY</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32603-2021</t>
        </is>
      </c>
      <c r="B172" s="1" t="n">
        <v>44375.38789351852</v>
      </c>
      <c r="C172" s="1" t="n">
        <v>45922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34040-2021</t>
        </is>
      </c>
      <c r="B173" s="1" t="n">
        <v>44379</v>
      </c>
      <c r="C173" s="1" t="n">
        <v>45922</v>
      </c>
      <c r="D173" t="inlineStr">
        <is>
          <t>KALMAR LÄN</t>
        </is>
      </c>
      <c r="E173" t="inlineStr">
        <is>
          <t>VIMMERBY</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15200-2021</t>
        </is>
      </c>
      <c r="B174" s="1" t="n">
        <v>44284.44574074074</v>
      </c>
      <c r="C174" s="1" t="n">
        <v>45922</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45922</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45922</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23825-2022</t>
        </is>
      </c>
      <c r="B177" s="1" t="n">
        <v>44722.48768518519</v>
      </c>
      <c r="C177" s="1" t="n">
        <v>45922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12107-2022</t>
        </is>
      </c>
      <c r="B178" s="1" t="n">
        <v>44636</v>
      </c>
      <c r="C178" s="1" t="n">
        <v>45922</v>
      </c>
      <c r="D178" t="inlineStr">
        <is>
          <t>KALMAR LÄN</t>
        </is>
      </c>
      <c r="E178" t="inlineStr">
        <is>
          <t>VIMMERBY</t>
        </is>
      </c>
      <c r="G178" t="n">
        <v>1.8</v>
      </c>
      <c r="H178" t="n">
        <v>0</v>
      </c>
      <c r="I178" t="n">
        <v>0</v>
      </c>
      <c r="J178" t="n">
        <v>0</v>
      </c>
      <c r="K178" t="n">
        <v>0</v>
      </c>
      <c r="L178" t="n">
        <v>0</v>
      </c>
      <c r="M178" t="n">
        <v>0</v>
      </c>
      <c r="N178" t="n">
        <v>0</v>
      </c>
      <c r="O178" t="n">
        <v>0</v>
      </c>
      <c r="P178" t="n">
        <v>0</v>
      </c>
      <c r="Q178" t="n">
        <v>0</v>
      </c>
      <c r="R178" s="2" t="inlineStr"/>
    </row>
    <row r="179" ht="15" customHeight="1">
      <c r="A179" t="inlineStr">
        <is>
          <t>A 39225-2022</t>
        </is>
      </c>
      <c r="B179" s="1" t="n">
        <v>44817.57988425926</v>
      </c>
      <c r="C179" s="1" t="n">
        <v>45922</v>
      </c>
      <c r="D179" t="inlineStr">
        <is>
          <t>KALMAR LÄN</t>
        </is>
      </c>
      <c r="E179" t="inlineStr">
        <is>
          <t>VIMMERBY</t>
        </is>
      </c>
      <c r="G179" t="n">
        <v>2.2</v>
      </c>
      <c r="H179" t="n">
        <v>0</v>
      </c>
      <c r="I179" t="n">
        <v>0</v>
      </c>
      <c r="J179" t="n">
        <v>0</v>
      </c>
      <c r="K179" t="n">
        <v>0</v>
      </c>
      <c r="L179" t="n">
        <v>0</v>
      </c>
      <c r="M179" t="n">
        <v>0</v>
      </c>
      <c r="N179" t="n">
        <v>0</v>
      </c>
      <c r="O179" t="n">
        <v>0</v>
      </c>
      <c r="P179" t="n">
        <v>0</v>
      </c>
      <c r="Q179" t="n">
        <v>0</v>
      </c>
      <c r="R179" s="2" t="inlineStr"/>
    </row>
    <row r="180" ht="15" customHeight="1">
      <c r="A180" t="inlineStr">
        <is>
          <t>A 8194-2022</t>
        </is>
      </c>
      <c r="B180" s="1" t="n">
        <v>44609</v>
      </c>
      <c r="C180" s="1" t="n">
        <v>45922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15191-2021</t>
        </is>
      </c>
      <c r="B181" s="1" t="n">
        <v>44284.42348379629</v>
      </c>
      <c r="C181" s="1" t="n">
        <v>45922</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16602-2021</t>
        </is>
      </c>
      <c r="B182" s="1" t="n">
        <v>44294</v>
      </c>
      <c r="C182" s="1" t="n">
        <v>45922</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16607-2021</t>
        </is>
      </c>
      <c r="B183" s="1" t="n">
        <v>44294</v>
      </c>
      <c r="C183" s="1" t="n">
        <v>45922</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17029-2022</t>
        </is>
      </c>
      <c r="B184" s="1" t="n">
        <v>44676.85248842592</v>
      </c>
      <c r="C184" s="1" t="n">
        <v>45922</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45922</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45922</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46964-2022</t>
        </is>
      </c>
      <c r="B187" s="1" t="n">
        <v>44851.95016203704</v>
      </c>
      <c r="C187" s="1" t="n">
        <v>45922</v>
      </c>
      <c r="D187" t="inlineStr">
        <is>
          <t>KALMAR LÄN</t>
        </is>
      </c>
      <c r="E187" t="inlineStr">
        <is>
          <t>VIMMERBY</t>
        </is>
      </c>
      <c r="G187" t="n">
        <v>0.2</v>
      </c>
      <c r="H187" t="n">
        <v>0</v>
      </c>
      <c r="I187" t="n">
        <v>0</v>
      </c>
      <c r="J187" t="n">
        <v>0</v>
      </c>
      <c r="K187" t="n">
        <v>0</v>
      </c>
      <c r="L187" t="n">
        <v>0</v>
      </c>
      <c r="M187" t="n">
        <v>0</v>
      </c>
      <c r="N187" t="n">
        <v>0</v>
      </c>
      <c r="O187" t="n">
        <v>0</v>
      </c>
      <c r="P187" t="n">
        <v>0</v>
      </c>
      <c r="Q187" t="n">
        <v>0</v>
      </c>
      <c r="R187" s="2" t="inlineStr"/>
    </row>
    <row r="188" ht="15" customHeight="1">
      <c r="A188" t="inlineStr">
        <is>
          <t>A 7167-2022</t>
        </is>
      </c>
      <c r="B188" s="1" t="n">
        <v>44604</v>
      </c>
      <c r="C188" s="1" t="n">
        <v>45922</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45922</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45922</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18356-2021</t>
        </is>
      </c>
      <c r="B191" s="1" t="n">
        <v>44305</v>
      </c>
      <c r="C191" s="1" t="n">
        <v>45922</v>
      </c>
      <c r="D191" t="inlineStr">
        <is>
          <t>KALMAR LÄN</t>
        </is>
      </c>
      <c r="E191" t="inlineStr">
        <is>
          <t>VIMMERBY</t>
        </is>
      </c>
      <c r="G191" t="n">
        <v>3.4</v>
      </c>
      <c r="H191" t="n">
        <v>0</v>
      </c>
      <c r="I191" t="n">
        <v>0</v>
      </c>
      <c r="J191" t="n">
        <v>0</v>
      </c>
      <c r="K191" t="n">
        <v>0</v>
      </c>
      <c r="L191" t="n">
        <v>0</v>
      </c>
      <c r="M191" t="n">
        <v>0</v>
      </c>
      <c r="N191" t="n">
        <v>0</v>
      </c>
      <c r="O191" t="n">
        <v>0</v>
      </c>
      <c r="P191" t="n">
        <v>0</v>
      </c>
      <c r="Q191" t="n">
        <v>0</v>
      </c>
      <c r="R191" s="2" t="inlineStr"/>
    </row>
    <row r="192" ht="15" customHeight="1">
      <c r="A192" t="inlineStr">
        <is>
          <t>A 13180-2022</t>
        </is>
      </c>
      <c r="B192" s="1" t="n">
        <v>44644</v>
      </c>
      <c r="C192" s="1" t="n">
        <v>45922</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8453-2022</t>
        </is>
      </c>
      <c r="B193" s="1" t="n">
        <v>44612.86554398148</v>
      </c>
      <c r="C193" s="1" t="n">
        <v>45922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52433-2021</t>
        </is>
      </c>
      <c r="B194" s="1" t="n">
        <v>44466.34726851852</v>
      </c>
      <c r="C194" s="1" t="n">
        <v>45922</v>
      </c>
      <c r="D194" t="inlineStr">
        <is>
          <t>KALMAR LÄN</t>
        </is>
      </c>
      <c r="E194" t="inlineStr">
        <is>
          <t>VIMMERBY</t>
        </is>
      </c>
      <c r="G194" t="n">
        <v>3.5</v>
      </c>
      <c r="H194" t="n">
        <v>0</v>
      </c>
      <c r="I194" t="n">
        <v>0</v>
      </c>
      <c r="J194" t="n">
        <v>0</v>
      </c>
      <c r="K194" t="n">
        <v>0</v>
      </c>
      <c r="L194" t="n">
        <v>0</v>
      </c>
      <c r="M194" t="n">
        <v>0</v>
      </c>
      <c r="N194" t="n">
        <v>0</v>
      </c>
      <c r="O194" t="n">
        <v>0</v>
      </c>
      <c r="P194" t="n">
        <v>0</v>
      </c>
      <c r="Q194" t="n">
        <v>0</v>
      </c>
      <c r="R194" s="2" t="inlineStr"/>
    </row>
    <row r="195" ht="15" customHeight="1">
      <c r="A195" t="inlineStr">
        <is>
          <t>A 50621-2022</t>
        </is>
      </c>
      <c r="B195" s="1" t="n">
        <v>44866.81100694444</v>
      </c>
      <c r="C195" s="1" t="n">
        <v>45922</v>
      </c>
      <c r="D195" t="inlineStr">
        <is>
          <t>KALMAR LÄN</t>
        </is>
      </c>
      <c r="E195" t="inlineStr">
        <is>
          <t>VIMMERBY</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57948-2020</t>
        </is>
      </c>
      <c r="B196" s="1" t="n">
        <v>44142</v>
      </c>
      <c r="C196" s="1" t="n">
        <v>45922</v>
      </c>
      <c r="D196" t="inlineStr">
        <is>
          <t>KALMAR LÄN</t>
        </is>
      </c>
      <c r="E196" t="inlineStr">
        <is>
          <t>VIMMERBY</t>
        </is>
      </c>
      <c r="G196" t="n">
        <v>7.1</v>
      </c>
      <c r="H196" t="n">
        <v>0</v>
      </c>
      <c r="I196" t="n">
        <v>0</v>
      </c>
      <c r="J196" t="n">
        <v>0</v>
      </c>
      <c r="K196" t="n">
        <v>0</v>
      </c>
      <c r="L196" t="n">
        <v>0</v>
      </c>
      <c r="M196" t="n">
        <v>0</v>
      </c>
      <c r="N196" t="n">
        <v>0</v>
      </c>
      <c r="O196" t="n">
        <v>0</v>
      </c>
      <c r="P196" t="n">
        <v>0</v>
      </c>
      <c r="Q196" t="n">
        <v>0</v>
      </c>
      <c r="R196" s="2" t="inlineStr"/>
    </row>
    <row r="197" ht="15" customHeight="1">
      <c r="A197" t="inlineStr">
        <is>
          <t>A 54065-2021</t>
        </is>
      </c>
      <c r="B197" s="1" t="n">
        <v>44470.44232638889</v>
      </c>
      <c r="C197" s="1" t="n">
        <v>45922</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31824-2022</t>
        </is>
      </c>
      <c r="B198" s="1" t="n">
        <v>44776</v>
      </c>
      <c r="C198" s="1" t="n">
        <v>45922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35001-2021</t>
        </is>
      </c>
      <c r="B199" s="1" t="n">
        <v>44383</v>
      </c>
      <c r="C199" s="1" t="n">
        <v>45922</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11733-2022</t>
        </is>
      </c>
      <c r="B200" s="1" t="n">
        <v>44634</v>
      </c>
      <c r="C200" s="1" t="n">
        <v>45922</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18276-2021</t>
        </is>
      </c>
      <c r="B201" s="1" t="n">
        <v>44305.40046296296</v>
      </c>
      <c r="C201" s="1" t="n">
        <v>45922</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55674-2021</t>
        </is>
      </c>
      <c r="B202" s="1" t="n">
        <v>44476</v>
      </c>
      <c r="C202" s="1" t="n">
        <v>45922</v>
      </c>
      <c r="D202" t="inlineStr">
        <is>
          <t>KALMAR LÄN</t>
        </is>
      </c>
      <c r="E202" t="inlineStr">
        <is>
          <t>VIMMERBY</t>
        </is>
      </c>
      <c r="G202" t="n">
        <v>2.1</v>
      </c>
      <c r="H202" t="n">
        <v>0</v>
      </c>
      <c r="I202" t="n">
        <v>0</v>
      </c>
      <c r="J202" t="n">
        <v>0</v>
      </c>
      <c r="K202" t="n">
        <v>0</v>
      </c>
      <c r="L202" t="n">
        <v>0</v>
      </c>
      <c r="M202" t="n">
        <v>0</v>
      </c>
      <c r="N202" t="n">
        <v>0</v>
      </c>
      <c r="O202" t="n">
        <v>0</v>
      </c>
      <c r="P202" t="n">
        <v>0</v>
      </c>
      <c r="Q202" t="n">
        <v>0</v>
      </c>
      <c r="R202" s="2" t="inlineStr"/>
    </row>
    <row r="203" ht="15" customHeight="1">
      <c r="A203" t="inlineStr">
        <is>
          <t>A 47473-2021</t>
        </is>
      </c>
      <c r="B203" s="1" t="n">
        <v>44447</v>
      </c>
      <c r="C203" s="1" t="n">
        <v>45922</v>
      </c>
      <c r="D203" t="inlineStr">
        <is>
          <t>KALMAR LÄN</t>
        </is>
      </c>
      <c r="E203" t="inlineStr">
        <is>
          <t>VIMMERBY</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7804-2022</t>
        </is>
      </c>
      <c r="B204" s="1" t="n">
        <v>44608.50458333334</v>
      </c>
      <c r="C204" s="1" t="n">
        <v>45922</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39042-2022</t>
        </is>
      </c>
      <c r="B205" s="1" t="n">
        <v>44817</v>
      </c>
      <c r="C205" s="1" t="n">
        <v>45922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40076-2021</t>
        </is>
      </c>
      <c r="B206" s="1" t="n">
        <v>44418</v>
      </c>
      <c r="C206" s="1" t="n">
        <v>45922</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16288-2021</t>
        </is>
      </c>
      <c r="B207" s="1" t="n">
        <v>44292</v>
      </c>
      <c r="C207" s="1" t="n">
        <v>45922</v>
      </c>
      <c r="D207" t="inlineStr">
        <is>
          <t>KALMAR LÄN</t>
        </is>
      </c>
      <c r="E207" t="inlineStr">
        <is>
          <t>VIMMERBY</t>
        </is>
      </c>
      <c r="F207" t="inlineStr">
        <is>
          <t>Övriga Aktiebolag</t>
        </is>
      </c>
      <c r="G207" t="n">
        <v>27.6</v>
      </c>
      <c r="H207" t="n">
        <v>0</v>
      </c>
      <c r="I207" t="n">
        <v>0</v>
      </c>
      <c r="J207" t="n">
        <v>0</v>
      </c>
      <c r="K207" t="n">
        <v>0</v>
      </c>
      <c r="L207" t="n">
        <v>0</v>
      </c>
      <c r="M207" t="n">
        <v>0</v>
      </c>
      <c r="N207" t="n">
        <v>0</v>
      </c>
      <c r="O207" t="n">
        <v>0</v>
      </c>
      <c r="P207" t="n">
        <v>0</v>
      </c>
      <c r="Q207" t="n">
        <v>0</v>
      </c>
      <c r="R207" s="2" t="inlineStr"/>
    </row>
    <row r="208" ht="15" customHeight="1">
      <c r="A208" t="inlineStr">
        <is>
          <t>A 49313-2022</t>
        </is>
      </c>
      <c r="B208" s="1" t="n">
        <v>44861.52505787037</v>
      </c>
      <c r="C208" s="1" t="n">
        <v>45922</v>
      </c>
      <c r="D208" t="inlineStr">
        <is>
          <t>KALMAR LÄN</t>
        </is>
      </c>
      <c r="E208" t="inlineStr">
        <is>
          <t>VIMMERBY</t>
        </is>
      </c>
      <c r="G208" t="n">
        <v>1.9</v>
      </c>
      <c r="H208" t="n">
        <v>0</v>
      </c>
      <c r="I208" t="n">
        <v>0</v>
      </c>
      <c r="J208" t="n">
        <v>0</v>
      </c>
      <c r="K208" t="n">
        <v>0</v>
      </c>
      <c r="L208" t="n">
        <v>0</v>
      </c>
      <c r="M208" t="n">
        <v>0</v>
      </c>
      <c r="N208" t="n">
        <v>0</v>
      </c>
      <c r="O208" t="n">
        <v>0</v>
      </c>
      <c r="P208" t="n">
        <v>0</v>
      </c>
      <c r="Q208" t="n">
        <v>0</v>
      </c>
      <c r="R208" s="2" t="inlineStr"/>
    </row>
    <row r="209" ht="15" customHeight="1">
      <c r="A209" t="inlineStr">
        <is>
          <t>A 1987-2024</t>
        </is>
      </c>
      <c r="B209" s="1" t="n">
        <v>45308.61152777778</v>
      </c>
      <c r="C209" s="1" t="n">
        <v>45922</v>
      </c>
      <c r="D209" t="inlineStr">
        <is>
          <t>KALMAR LÄN</t>
        </is>
      </c>
      <c r="E209" t="inlineStr">
        <is>
          <t>VIMMERBY</t>
        </is>
      </c>
      <c r="G209" t="n">
        <v>3</v>
      </c>
      <c r="H209" t="n">
        <v>0</v>
      </c>
      <c r="I209" t="n">
        <v>0</v>
      </c>
      <c r="J209" t="n">
        <v>0</v>
      </c>
      <c r="K209" t="n">
        <v>0</v>
      </c>
      <c r="L209" t="n">
        <v>0</v>
      </c>
      <c r="M209" t="n">
        <v>0</v>
      </c>
      <c r="N209" t="n">
        <v>0</v>
      </c>
      <c r="O209" t="n">
        <v>0</v>
      </c>
      <c r="P209" t="n">
        <v>0</v>
      </c>
      <c r="Q209" t="n">
        <v>0</v>
      </c>
      <c r="R209" s="2" t="inlineStr"/>
    </row>
    <row r="210" ht="15" customHeight="1">
      <c r="A210" t="inlineStr">
        <is>
          <t>A 4076-2022</t>
        </is>
      </c>
      <c r="B210" s="1" t="n">
        <v>44588.37998842593</v>
      </c>
      <c r="C210" s="1" t="n">
        <v>45922</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4122-2022</t>
        </is>
      </c>
      <c r="B211" s="1" t="n">
        <v>44588</v>
      </c>
      <c r="C211" s="1" t="n">
        <v>45922</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50648-2023</t>
        </is>
      </c>
      <c r="B212" s="1" t="n">
        <v>45217.47834490741</v>
      </c>
      <c r="C212" s="1" t="n">
        <v>45922</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58374-2024</t>
        </is>
      </c>
      <c r="B213" s="1" t="n">
        <v>45632.72635416667</v>
      </c>
      <c r="C213" s="1" t="n">
        <v>45922</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11111-2023</t>
        </is>
      </c>
      <c r="B214" s="1" t="n">
        <v>44992.4255787037</v>
      </c>
      <c r="C214" s="1" t="n">
        <v>45922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529-2022</t>
        </is>
      </c>
      <c r="B215" s="1" t="n">
        <v>44566</v>
      </c>
      <c r="C215" s="1" t="n">
        <v>45922</v>
      </c>
      <c r="D215" t="inlineStr">
        <is>
          <t>KALMAR LÄN</t>
        </is>
      </c>
      <c r="E215" t="inlineStr">
        <is>
          <t>VIMMERBY</t>
        </is>
      </c>
      <c r="G215" t="n">
        <v>1.5</v>
      </c>
      <c r="H215" t="n">
        <v>0</v>
      </c>
      <c r="I215" t="n">
        <v>0</v>
      </c>
      <c r="J215" t="n">
        <v>0</v>
      </c>
      <c r="K215" t="n">
        <v>0</v>
      </c>
      <c r="L215" t="n">
        <v>0</v>
      </c>
      <c r="M215" t="n">
        <v>0</v>
      </c>
      <c r="N215" t="n">
        <v>0</v>
      </c>
      <c r="O215" t="n">
        <v>0</v>
      </c>
      <c r="P215" t="n">
        <v>0</v>
      </c>
      <c r="Q215" t="n">
        <v>0</v>
      </c>
      <c r="R215" s="2" t="inlineStr"/>
    </row>
    <row r="216" ht="15" customHeight="1">
      <c r="A216" t="inlineStr">
        <is>
          <t>A 58318-2021</t>
        </is>
      </c>
      <c r="B216" s="1" t="n">
        <v>44488.35878472222</v>
      </c>
      <c r="C216" s="1" t="n">
        <v>45922</v>
      </c>
      <c r="D216" t="inlineStr">
        <is>
          <t>KALMAR LÄN</t>
        </is>
      </c>
      <c r="E216" t="inlineStr">
        <is>
          <t>VIMMERBY</t>
        </is>
      </c>
      <c r="G216" t="n">
        <v>4</v>
      </c>
      <c r="H216" t="n">
        <v>0</v>
      </c>
      <c r="I216" t="n">
        <v>0</v>
      </c>
      <c r="J216" t="n">
        <v>0</v>
      </c>
      <c r="K216" t="n">
        <v>0</v>
      </c>
      <c r="L216" t="n">
        <v>0</v>
      </c>
      <c r="M216" t="n">
        <v>0</v>
      </c>
      <c r="N216" t="n">
        <v>0</v>
      </c>
      <c r="O216" t="n">
        <v>0</v>
      </c>
      <c r="P216" t="n">
        <v>0</v>
      </c>
      <c r="Q216" t="n">
        <v>0</v>
      </c>
      <c r="R216" s="2" t="inlineStr"/>
    </row>
    <row r="217" ht="15" customHeight="1">
      <c r="A217" t="inlineStr">
        <is>
          <t>A 89-2023</t>
        </is>
      </c>
      <c r="B217" s="1" t="n">
        <v>44918</v>
      </c>
      <c r="C217" s="1" t="n">
        <v>45922</v>
      </c>
      <c r="D217" t="inlineStr">
        <is>
          <t>KALMAR LÄN</t>
        </is>
      </c>
      <c r="E217" t="inlineStr">
        <is>
          <t>VIMMERBY</t>
        </is>
      </c>
      <c r="G217" t="n">
        <v>16.1</v>
      </c>
      <c r="H217" t="n">
        <v>0</v>
      </c>
      <c r="I217" t="n">
        <v>0</v>
      </c>
      <c r="J217" t="n">
        <v>0</v>
      </c>
      <c r="K217" t="n">
        <v>0</v>
      </c>
      <c r="L217" t="n">
        <v>0</v>
      </c>
      <c r="M217" t="n">
        <v>0</v>
      </c>
      <c r="N217" t="n">
        <v>0</v>
      </c>
      <c r="O217" t="n">
        <v>0</v>
      </c>
      <c r="P217" t="n">
        <v>0</v>
      </c>
      <c r="Q217" t="n">
        <v>0</v>
      </c>
      <c r="R217" s="2" t="inlineStr"/>
    </row>
    <row r="218" ht="15" customHeight="1">
      <c r="A218" t="inlineStr">
        <is>
          <t>A 23088-2024</t>
        </is>
      </c>
      <c r="B218" s="1" t="n">
        <v>45450.51092592593</v>
      </c>
      <c r="C218" s="1" t="n">
        <v>45922</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21507-2023</t>
        </is>
      </c>
      <c r="B219" s="1" t="n">
        <v>45063.508125</v>
      </c>
      <c r="C219" s="1" t="n">
        <v>45922</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57189-2022</t>
        </is>
      </c>
      <c r="B220" s="1" t="n">
        <v>44895.62296296296</v>
      </c>
      <c r="C220" s="1" t="n">
        <v>45922</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48673-2021</t>
        </is>
      </c>
      <c r="B221" s="1" t="n">
        <v>44452</v>
      </c>
      <c r="C221" s="1" t="n">
        <v>45922</v>
      </c>
      <c r="D221" t="inlineStr">
        <is>
          <t>KALMAR LÄN</t>
        </is>
      </c>
      <c r="E221" t="inlineStr">
        <is>
          <t>VIMMERBY</t>
        </is>
      </c>
      <c r="G221" t="n">
        <v>1.3</v>
      </c>
      <c r="H221" t="n">
        <v>0</v>
      </c>
      <c r="I221" t="n">
        <v>0</v>
      </c>
      <c r="J221" t="n">
        <v>0</v>
      </c>
      <c r="K221" t="n">
        <v>0</v>
      </c>
      <c r="L221" t="n">
        <v>0</v>
      </c>
      <c r="M221" t="n">
        <v>0</v>
      </c>
      <c r="N221" t="n">
        <v>0</v>
      </c>
      <c r="O221" t="n">
        <v>0</v>
      </c>
      <c r="P221" t="n">
        <v>0</v>
      </c>
      <c r="Q221" t="n">
        <v>0</v>
      </c>
      <c r="R221" s="2" t="inlineStr"/>
    </row>
    <row r="222" ht="15" customHeight="1">
      <c r="A222" t="inlineStr">
        <is>
          <t>A 38851-2023</t>
        </is>
      </c>
      <c r="B222" s="1" t="n">
        <v>45163</v>
      </c>
      <c r="C222" s="1" t="n">
        <v>45922</v>
      </c>
      <c r="D222" t="inlineStr">
        <is>
          <t>KALMAR LÄN</t>
        </is>
      </c>
      <c r="E222" t="inlineStr">
        <is>
          <t>VIMMERBY</t>
        </is>
      </c>
      <c r="G222" t="n">
        <v>4.3</v>
      </c>
      <c r="H222" t="n">
        <v>0</v>
      </c>
      <c r="I222" t="n">
        <v>0</v>
      </c>
      <c r="J222" t="n">
        <v>0</v>
      </c>
      <c r="K222" t="n">
        <v>0</v>
      </c>
      <c r="L222" t="n">
        <v>0</v>
      </c>
      <c r="M222" t="n">
        <v>0</v>
      </c>
      <c r="N222" t="n">
        <v>0</v>
      </c>
      <c r="O222" t="n">
        <v>0</v>
      </c>
      <c r="P222" t="n">
        <v>0</v>
      </c>
      <c r="Q222" t="n">
        <v>0</v>
      </c>
      <c r="R222" s="2" t="inlineStr"/>
    </row>
    <row r="223" ht="15" customHeight="1">
      <c r="A223" t="inlineStr">
        <is>
          <t>A 14248-2023</t>
        </is>
      </c>
      <c r="B223" s="1" t="n">
        <v>45009</v>
      </c>
      <c r="C223" s="1" t="n">
        <v>45922</v>
      </c>
      <c r="D223" t="inlineStr">
        <is>
          <t>KALMAR LÄN</t>
        </is>
      </c>
      <c r="E223" t="inlineStr">
        <is>
          <t>VIMMERBY</t>
        </is>
      </c>
      <c r="G223" t="n">
        <v>2.6</v>
      </c>
      <c r="H223" t="n">
        <v>0</v>
      </c>
      <c r="I223" t="n">
        <v>0</v>
      </c>
      <c r="J223" t="n">
        <v>0</v>
      </c>
      <c r="K223" t="n">
        <v>0</v>
      </c>
      <c r="L223" t="n">
        <v>0</v>
      </c>
      <c r="M223" t="n">
        <v>0</v>
      </c>
      <c r="N223" t="n">
        <v>0</v>
      </c>
      <c r="O223" t="n">
        <v>0</v>
      </c>
      <c r="P223" t="n">
        <v>0</v>
      </c>
      <c r="Q223" t="n">
        <v>0</v>
      </c>
      <c r="R223" s="2" t="inlineStr"/>
    </row>
    <row r="224" ht="15" customHeight="1">
      <c r="A224" t="inlineStr">
        <is>
          <t>A 12480-2024</t>
        </is>
      </c>
      <c r="B224" s="1" t="n">
        <v>45379</v>
      </c>
      <c r="C224" s="1" t="n">
        <v>45922</v>
      </c>
      <c r="D224" t="inlineStr">
        <is>
          <t>KALMAR LÄN</t>
        </is>
      </c>
      <c r="E224" t="inlineStr">
        <is>
          <t>VIMMERBY</t>
        </is>
      </c>
      <c r="G224" t="n">
        <v>2.8</v>
      </c>
      <c r="H224" t="n">
        <v>0</v>
      </c>
      <c r="I224" t="n">
        <v>0</v>
      </c>
      <c r="J224" t="n">
        <v>0</v>
      </c>
      <c r="K224" t="n">
        <v>0</v>
      </c>
      <c r="L224" t="n">
        <v>0</v>
      </c>
      <c r="M224" t="n">
        <v>0</v>
      </c>
      <c r="N224" t="n">
        <v>0</v>
      </c>
      <c r="O224" t="n">
        <v>0</v>
      </c>
      <c r="P224" t="n">
        <v>0</v>
      </c>
      <c r="Q224" t="n">
        <v>0</v>
      </c>
      <c r="R224" s="2" t="inlineStr"/>
    </row>
    <row r="225" ht="15" customHeight="1">
      <c r="A225" t="inlineStr">
        <is>
          <t>A 10759-2023</t>
        </is>
      </c>
      <c r="B225" s="1" t="n">
        <v>44988</v>
      </c>
      <c r="C225" s="1" t="n">
        <v>45922</v>
      </c>
      <c r="D225" t="inlineStr">
        <is>
          <t>KALMAR LÄN</t>
        </is>
      </c>
      <c r="E225" t="inlineStr">
        <is>
          <t>VIMMERBY</t>
        </is>
      </c>
      <c r="G225" t="n">
        <v>0.4</v>
      </c>
      <c r="H225" t="n">
        <v>0</v>
      </c>
      <c r="I225" t="n">
        <v>0</v>
      </c>
      <c r="J225" t="n">
        <v>0</v>
      </c>
      <c r="K225" t="n">
        <v>0</v>
      </c>
      <c r="L225" t="n">
        <v>0</v>
      </c>
      <c r="M225" t="n">
        <v>0</v>
      </c>
      <c r="N225" t="n">
        <v>0</v>
      </c>
      <c r="O225" t="n">
        <v>0</v>
      </c>
      <c r="P225" t="n">
        <v>0</v>
      </c>
      <c r="Q225" t="n">
        <v>0</v>
      </c>
      <c r="R225" s="2" t="inlineStr"/>
    </row>
    <row r="226" ht="15" customHeight="1">
      <c r="A226" t="inlineStr">
        <is>
          <t>A 63583-2023</t>
        </is>
      </c>
      <c r="B226" s="1" t="n">
        <v>45275.41833333333</v>
      </c>
      <c r="C226" s="1" t="n">
        <v>45922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30402-2023</t>
        </is>
      </c>
      <c r="B227" s="1" t="n">
        <v>45111.48395833333</v>
      </c>
      <c r="C227" s="1" t="n">
        <v>45922</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10211-2025</t>
        </is>
      </c>
      <c r="B228" s="1" t="n">
        <v>45719.84378472222</v>
      </c>
      <c r="C228" s="1" t="n">
        <v>45922</v>
      </c>
      <c r="D228" t="inlineStr">
        <is>
          <t>KALMAR LÄN</t>
        </is>
      </c>
      <c r="E228" t="inlineStr">
        <is>
          <t>VIMMERBY</t>
        </is>
      </c>
      <c r="G228" t="n">
        <v>1.7</v>
      </c>
      <c r="H228" t="n">
        <v>0</v>
      </c>
      <c r="I228" t="n">
        <v>0</v>
      </c>
      <c r="J228" t="n">
        <v>0</v>
      </c>
      <c r="K228" t="n">
        <v>0</v>
      </c>
      <c r="L228" t="n">
        <v>0</v>
      </c>
      <c r="M228" t="n">
        <v>0</v>
      </c>
      <c r="N228" t="n">
        <v>0</v>
      </c>
      <c r="O228" t="n">
        <v>0</v>
      </c>
      <c r="P228" t="n">
        <v>0</v>
      </c>
      <c r="Q228" t="n">
        <v>0</v>
      </c>
      <c r="R228" s="2" t="inlineStr"/>
    </row>
    <row r="229" ht="15" customHeight="1">
      <c r="A229" t="inlineStr">
        <is>
          <t>A 40079-2023</t>
        </is>
      </c>
      <c r="B229" s="1" t="n">
        <v>45168.89298611111</v>
      </c>
      <c r="C229" s="1" t="n">
        <v>45922</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44582-2024</t>
        </is>
      </c>
      <c r="B230" s="1" t="n">
        <v>45574.49298611111</v>
      </c>
      <c r="C230" s="1" t="n">
        <v>45922</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43774-2023</t>
        </is>
      </c>
      <c r="B231" s="1" t="n">
        <v>45187</v>
      </c>
      <c r="C231" s="1" t="n">
        <v>45922</v>
      </c>
      <c r="D231" t="inlineStr">
        <is>
          <t>KALMAR LÄN</t>
        </is>
      </c>
      <c r="E231" t="inlineStr">
        <is>
          <t>VIMMERBY</t>
        </is>
      </c>
      <c r="G231" t="n">
        <v>3.4</v>
      </c>
      <c r="H231" t="n">
        <v>0</v>
      </c>
      <c r="I231" t="n">
        <v>0</v>
      </c>
      <c r="J231" t="n">
        <v>0</v>
      </c>
      <c r="K231" t="n">
        <v>0</v>
      </c>
      <c r="L231" t="n">
        <v>0</v>
      </c>
      <c r="M231" t="n">
        <v>0</v>
      </c>
      <c r="N231" t="n">
        <v>0</v>
      </c>
      <c r="O231" t="n">
        <v>0</v>
      </c>
      <c r="P231" t="n">
        <v>0</v>
      </c>
      <c r="Q231" t="n">
        <v>0</v>
      </c>
      <c r="R231" s="2" t="inlineStr"/>
    </row>
    <row r="232" ht="15" customHeight="1">
      <c r="A232" t="inlineStr">
        <is>
          <t>A 29616-2022</t>
        </is>
      </c>
      <c r="B232" s="1" t="n">
        <v>44754</v>
      </c>
      <c r="C232" s="1" t="n">
        <v>45922</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15494-2024</t>
        </is>
      </c>
      <c r="B233" s="1" t="n">
        <v>45401.53033564815</v>
      </c>
      <c r="C233" s="1" t="n">
        <v>45922</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40095-2022</t>
        </is>
      </c>
      <c r="B234" s="1" t="n">
        <v>44820</v>
      </c>
      <c r="C234" s="1" t="n">
        <v>45922</v>
      </c>
      <c r="D234" t="inlineStr">
        <is>
          <t>KALMAR LÄN</t>
        </is>
      </c>
      <c r="E234" t="inlineStr">
        <is>
          <t>VIMMERBY</t>
        </is>
      </c>
      <c r="G234" t="n">
        <v>2.4</v>
      </c>
      <c r="H234" t="n">
        <v>0</v>
      </c>
      <c r="I234" t="n">
        <v>0</v>
      </c>
      <c r="J234" t="n">
        <v>0</v>
      </c>
      <c r="K234" t="n">
        <v>0</v>
      </c>
      <c r="L234" t="n">
        <v>0</v>
      </c>
      <c r="M234" t="n">
        <v>0</v>
      </c>
      <c r="N234" t="n">
        <v>0</v>
      </c>
      <c r="O234" t="n">
        <v>0</v>
      </c>
      <c r="P234" t="n">
        <v>0</v>
      </c>
      <c r="Q234" t="n">
        <v>0</v>
      </c>
      <c r="R234" s="2" t="inlineStr"/>
    </row>
    <row r="235" ht="15" customHeight="1">
      <c r="A235" t="inlineStr">
        <is>
          <t>A 39578-2024</t>
        </is>
      </c>
      <c r="B235" s="1" t="n">
        <v>45552.36484953704</v>
      </c>
      <c r="C235" s="1" t="n">
        <v>45922</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24707-2024</t>
        </is>
      </c>
      <c r="B236" s="1" t="n">
        <v>45460.62172453704</v>
      </c>
      <c r="C236" s="1" t="n">
        <v>45922</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11609-2023</t>
        </is>
      </c>
      <c r="B237" s="1" t="n">
        <v>44994.40635416667</v>
      </c>
      <c r="C237" s="1" t="n">
        <v>45922</v>
      </c>
      <c r="D237" t="inlineStr">
        <is>
          <t>KALMAR LÄN</t>
        </is>
      </c>
      <c r="E237" t="inlineStr">
        <is>
          <t>VIMMERBY</t>
        </is>
      </c>
      <c r="G237" t="n">
        <v>4.9</v>
      </c>
      <c r="H237" t="n">
        <v>0</v>
      </c>
      <c r="I237" t="n">
        <v>0</v>
      </c>
      <c r="J237" t="n">
        <v>0</v>
      </c>
      <c r="K237" t="n">
        <v>0</v>
      </c>
      <c r="L237" t="n">
        <v>0</v>
      </c>
      <c r="M237" t="n">
        <v>0</v>
      </c>
      <c r="N237" t="n">
        <v>0</v>
      </c>
      <c r="O237" t="n">
        <v>0</v>
      </c>
      <c r="P237" t="n">
        <v>0</v>
      </c>
      <c r="Q237" t="n">
        <v>0</v>
      </c>
      <c r="R237" s="2" t="inlineStr"/>
    </row>
    <row r="238" ht="15" customHeight="1">
      <c r="A238" t="inlineStr">
        <is>
          <t>A 50085-2023</t>
        </is>
      </c>
      <c r="B238" s="1" t="n">
        <v>45215.5959375</v>
      </c>
      <c r="C238" s="1" t="n">
        <v>45922</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50087-2023</t>
        </is>
      </c>
      <c r="B239" s="1" t="n">
        <v>45215.59743055556</v>
      </c>
      <c r="C239" s="1" t="n">
        <v>45922</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8167-2024</t>
        </is>
      </c>
      <c r="B240" s="1" t="n">
        <v>45351.6062962963</v>
      </c>
      <c r="C240" s="1" t="n">
        <v>45922</v>
      </c>
      <c r="D240" t="inlineStr">
        <is>
          <t>KALMAR LÄN</t>
        </is>
      </c>
      <c r="E240" t="inlineStr">
        <is>
          <t>VIMMERBY</t>
        </is>
      </c>
      <c r="G240" t="n">
        <v>3.8</v>
      </c>
      <c r="H240" t="n">
        <v>0</v>
      </c>
      <c r="I240" t="n">
        <v>0</v>
      </c>
      <c r="J240" t="n">
        <v>0</v>
      </c>
      <c r="K240" t="n">
        <v>0</v>
      </c>
      <c r="L240" t="n">
        <v>0</v>
      </c>
      <c r="M240" t="n">
        <v>0</v>
      </c>
      <c r="N240" t="n">
        <v>0</v>
      </c>
      <c r="O240" t="n">
        <v>0</v>
      </c>
      <c r="P240" t="n">
        <v>0</v>
      </c>
      <c r="Q240" t="n">
        <v>0</v>
      </c>
      <c r="R240" s="2" t="inlineStr"/>
    </row>
    <row r="241" ht="15" customHeight="1">
      <c r="A241" t="inlineStr">
        <is>
          <t>A 65961-2020</t>
        </is>
      </c>
      <c r="B241" s="1" t="n">
        <v>44175.39748842592</v>
      </c>
      <c r="C241" s="1" t="n">
        <v>45922</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16983-2023</t>
        </is>
      </c>
      <c r="B242" s="1" t="n">
        <v>45033.76043981482</v>
      </c>
      <c r="C242" s="1" t="n">
        <v>45922</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46144-2023</t>
        </is>
      </c>
      <c r="B243" s="1" t="n">
        <v>45196.57247685185</v>
      </c>
      <c r="C243" s="1" t="n">
        <v>45922</v>
      </c>
      <c r="D243" t="inlineStr">
        <is>
          <t>KALMAR LÄN</t>
        </is>
      </c>
      <c r="E243" t="inlineStr">
        <is>
          <t>VIMMERBY</t>
        </is>
      </c>
      <c r="G243" t="n">
        <v>6.5</v>
      </c>
      <c r="H243" t="n">
        <v>0</v>
      </c>
      <c r="I243" t="n">
        <v>0</v>
      </c>
      <c r="J243" t="n">
        <v>0</v>
      </c>
      <c r="K243" t="n">
        <v>0</v>
      </c>
      <c r="L243" t="n">
        <v>0</v>
      </c>
      <c r="M243" t="n">
        <v>0</v>
      </c>
      <c r="N243" t="n">
        <v>0</v>
      </c>
      <c r="O243" t="n">
        <v>0</v>
      </c>
      <c r="P243" t="n">
        <v>0</v>
      </c>
      <c r="Q243" t="n">
        <v>0</v>
      </c>
      <c r="R243" s="2" t="inlineStr"/>
    </row>
    <row r="244" ht="15" customHeight="1">
      <c r="A244" t="inlineStr">
        <is>
          <t>A 31056-2022</t>
        </is>
      </c>
      <c r="B244" s="1" t="n">
        <v>44769.45805555556</v>
      </c>
      <c r="C244" s="1" t="n">
        <v>45922</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33383-2023</t>
        </is>
      </c>
      <c r="B245" s="1" t="n">
        <v>45128.58414351852</v>
      </c>
      <c r="C245" s="1" t="n">
        <v>45922</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58724-2024</t>
        </is>
      </c>
      <c r="B246" s="1" t="n">
        <v>45635.66409722222</v>
      </c>
      <c r="C246" s="1" t="n">
        <v>45922</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40828-2023</t>
        </is>
      </c>
      <c r="B247" s="1" t="n">
        <v>45171.96248842592</v>
      </c>
      <c r="C247" s="1" t="n">
        <v>45922</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61861-2024</t>
        </is>
      </c>
      <c r="B248" s="1" t="n">
        <v>45650.37370370371</v>
      </c>
      <c r="C248" s="1" t="n">
        <v>45922</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25792-2025</t>
        </is>
      </c>
      <c r="B249" s="1" t="n">
        <v>45804.39141203704</v>
      </c>
      <c r="C249" s="1" t="n">
        <v>45922</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2604-2025</t>
        </is>
      </c>
      <c r="B250" s="1" t="n">
        <v>45674.74094907408</v>
      </c>
      <c r="C250" s="1" t="n">
        <v>45922</v>
      </c>
      <c r="D250" t="inlineStr">
        <is>
          <t>KALMAR LÄN</t>
        </is>
      </c>
      <c r="E250" t="inlineStr">
        <is>
          <t>VIMMERBY</t>
        </is>
      </c>
      <c r="G250" t="n">
        <v>7.6</v>
      </c>
      <c r="H250" t="n">
        <v>0</v>
      </c>
      <c r="I250" t="n">
        <v>0</v>
      </c>
      <c r="J250" t="n">
        <v>0</v>
      </c>
      <c r="K250" t="n">
        <v>0</v>
      </c>
      <c r="L250" t="n">
        <v>0</v>
      </c>
      <c r="M250" t="n">
        <v>0</v>
      </c>
      <c r="N250" t="n">
        <v>0</v>
      </c>
      <c r="O250" t="n">
        <v>0</v>
      </c>
      <c r="P250" t="n">
        <v>0</v>
      </c>
      <c r="Q250" t="n">
        <v>0</v>
      </c>
      <c r="R250" s="2" t="inlineStr"/>
    </row>
    <row r="251" ht="15" customHeight="1">
      <c r="A251" t="inlineStr">
        <is>
          <t>A 26039-2025</t>
        </is>
      </c>
      <c r="B251" s="1" t="n">
        <v>45804.6953587963</v>
      </c>
      <c r="C251" s="1" t="n">
        <v>45922</v>
      </c>
      <c r="D251" t="inlineStr">
        <is>
          <t>KALMAR LÄN</t>
        </is>
      </c>
      <c r="E251" t="inlineStr">
        <is>
          <t>VIMMERBY</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8650-2022</t>
        </is>
      </c>
      <c r="B252" s="1" t="n">
        <v>44613</v>
      </c>
      <c r="C252" s="1" t="n">
        <v>45922</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31382-2023</t>
        </is>
      </c>
      <c r="B253" s="1" t="n">
        <v>45114.55136574074</v>
      </c>
      <c r="C253" s="1" t="n">
        <v>45922</v>
      </c>
      <c r="D253" t="inlineStr">
        <is>
          <t>KALMAR LÄN</t>
        </is>
      </c>
      <c r="E253" t="inlineStr">
        <is>
          <t>VIMMERBY</t>
        </is>
      </c>
      <c r="G253" t="n">
        <v>3.7</v>
      </c>
      <c r="H253" t="n">
        <v>0</v>
      </c>
      <c r="I253" t="n">
        <v>0</v>
      </c>
      <c r="J253" t="n">
        <v>0</v>
      </c>
      <c r="K253" t="n">
        <v>0</v>
      </c>
      <c r="L253" t="n">
        <v>0</v>
      </c>
      <c r="M253" t="n">
        <v>0</v>
      </c>
      <c r="N253" t="n">
        <v>0</v>
      </c>
      <c r="O253" t="n">
        <v>0</v>
      </c>
      <c r="P253" t="n">
        <v>0</v>
      </c>
      <c r="Q253" t="n">
        <v>0</v>
      </c>
      <c r="R253" s="2" t="inlineStr"/>
    </row>
    <row r="254" ht="15" customHeight="1">
      <c r="A254" t="inlineStr">
        <is>
          <t>A 33340-2023</t>
        </is>
      </c>
      <c r="B254" s="1" t="n">
        <v>45128.37305555555</v>
      </c>
      <c r="C254" s="1" t="n">
        <v>45922</v>
      </c>
      <c r="D254" t="inlineStr">
        <is>
          <t>KALMAR LÄN</t>
        </is>
      </c>
      <c r="E254" t="inlineStr">
        <is>
          <t>VIMMERBY</t>
        </is>
      </c>
      <c r="G254" t="n">
        <v>1.5</v>
      </c>
      <c r="H254" t="n">
        <v>0</v>
      </c>
      <c r="I254" t="n">
        <v>0</v>
      </c>
      <c r="J254" t="n">
        <v>0</v>
      </c>
      <c r="K254" t="n">
        <v>0</v>
      </c>
      <c r="L254" t="n">
        <v>0</v>
      </c>
      <c r="M254" t="n">
        <v>0</v>
      </c>
      <c r="N254" t="n">
        <v>0</v>
      </c>
      <c r="O254" t="n">
        <v>0</v>
      </c>
      <c r="P254" t="n">
        <v>0</v>
      </c>
      <c r="Q254" t="n">
        <v>0</v>
      </c>
      <c r="R254" s="2" t="inlineStr"/>
    </row>
    <row r="255" ht="15" customHeight="1">
      <c r="A255" t="inlineStr">
        <is>
          <t>A 44423-2023</t>
        </is>
      </c>
      <c r="B255" s="1" t="n">
        <v>45189</v>
      </c>
      <c r="C255" s="1" t="n">
        <v>45922</v>
      </c>
      <c r="D255" t="inlineStr">
        <is>
          <t>KALMAR LÄN</t>
        </is>
      </c>
      <c r="E255" t="inlineStr">
        <is>
          <t>VIMMERBY</t>
        </is>
      </c>
      <c r="G255" t="n">
        <v>0.7</v>
      </c>
      <c r="H255" t="n">
        <v>0</v>
      </c>
      <c r="I255" t="n">
        <v>0</v>
      </c>
      <c r="J255" t="n">
        <v>0</v>
      </c>
      <c r="K255" t="n">
        <v>0</v>
      </c>
      <c r="L255" t="n">
        <v>0</v>
      </c>
      <c r="M255" t="n">
        <v>0</v>
      </c>
      <c r="N255" t="n">
        <v>0</v>
      </c>
      <c r="O255" t="n">
        <v>0</v>
      </c>
      <c r="P255" t="n">
        <v>0</v>
      </c>
      <c r="Q255" t="n">
        <v>0</v>
      </c>
      <c r="R255" s="2" t="inlineStr"/>
    </row>
    <row r="256" ht="15" customHeight="1">
      <c r="A256" t="inlineStr">
        <is>
          <t>A 56213-2024</t>
        </is>
      </c>
      <c r="B256" s="1" t="n">
        <v>45624.60141203704</v>
      </c>
      <c r="C256" s="1" t="n">
        <v>45922</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26046-2025</t>
        </is>
      </c>
      <c r="B257" s="1" t="n">
        <v>45804.708125</v>
      </c>
      <c r="C257" s="1" t="n">
        <v>45922</v>
      </c>
      <c r="D257" t="inlineStr">
        <is>
          <t>KALMAR LÄN</t>
        </is>
      </c>
      <c r="E257" t="inlineStr">
        <is>
          <t>VIMMERBY</t>
        </is>
      </c>
      <c r="F257" t="inlineStr">
        <is>
          <t>Sveaskog</t>
        </is>
      </c>
      <c r="G257" t="n">
        <v>5.1</v>
      </c>
      <c r="H257" t="n">
        <v>0</v>
      </c>
      <c r="I257" t="n">
        <v>0</v>
      </c>
      <c r="J257" t="n">
        <v>0</v>
      </c>
      <c r="K257" t="n">
        <v>0</v>
      </c>
      <c r="L257" t="n">
        <v>0</v>
      </c>
      <c r="M257" t="n">
        <v>0</v>
      </c>
      <c r="N257" t="n">
        <v>0</v>
      </c>
      <c r="O257" t="n">
        <v>0</v>
      </c>
      <c r="P257" t="n">
        <v>0</v>
      </c>
      <c r="Q257" t="n">
        <v>0</v>
      </c>
      <c r="R257" s="2" t="inlineStr"/>
    </row>
    <row r="258" ht="15" customHeight="1">
      <c r="A258" t="inlineStr">
        <is>
          <t>A 54409-2024</t>
        </is>
      </c>
      <c r="B258" s="1" t="n">
        <v>45617.47570601852</v>
      </c>
      <c r="C258" s="1" t="n">
        <v>45922</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26124-2025</t>
        </is>
      </c>
      <c r="B259" s="1" t="n">
        <v>45805.39247685186</v>
      </c>
      <c r="C259" s="1" t="n">
        <v>45922</v>
      </c>
      <c r="D259" t="inlineStr">
        <is>
          <t>KALMAR LÄN</t>
        </is>
      </c>
      <c r="E259" t="inlineStr">
        <is>
          <t>VIMMERBY</t>
        </is>
      </c>
      <c r="G259" t="n">
        <v>6.6</v>
      </c>
      <c r="H259" t="n">
        <v>0</v>
      </c>
      <c r="I259" t="n">
        <v>0</v>
      </c>
      <c r="J259" t="n">
        <v>0</v>
      </c>
      <c r="K259" t="n">
        <v>0</v>
      </c>
      <c r="L259" t="n">
        <v>0</v>
      </c>
      <c r="M259" t="n">
        <v>0</v>
      </c>
      <c r="N259" t="n">
        <v>0</v>
      </c>
      <c r="O259" t="n">
        <v>0</v>
      </c>
      <c r="P259" t="n">
        <v>0</v>
      </c>
      <c r="Q259" t="n">
        <v>0</v>
      </c>
      <c r="R259" s="2" t="inlineStr"/>
    </row>
    <row r="260" ht="15" customHeight="1">
      <c r="A260" t="inlineStr">
        <is>
          <t>A 37323-2024</t>
        </is>
      </c>
      <c r="B260" s="1" t="n">
        <v>45540.50098379629</v>
      </c>
      <c r="C260" s="1" t="n">
        <v>45922</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37192-2024</t>
        </is>
      </c>
      <c r="B261" s="1" t="n">
        <v>45539.66027777778</v>
      </c>
      <c r="C261" s="1" t="n">
        <v>45922</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16825-2024</t>
        </is>
      </c>
      <c r="B262" s="1" t="n">
        <v>45411.47335648148</v>
      </c>
      <c r="C262" s="1" t="n">
        <v>45922</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7643-2022</t>
        </is>
      </c>
      <c r="B263" s="1" t="n">
        <v>44607</v>
      </c>
      <c r="C263" s="1" t="n">
        <v>45922</v>
      </c>
      <c r="D263" t="inlineStr">
        <is>
          <t>KALMAR LÄN</t>
        </is>
      </c>
      <c r="E263" t="inlineStr">
        <is>
          <t>VIMMERBY</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26207-2025</t>
        </is>
      </c>
      <c r="B264" s="1" t="n">
        <v>45805.52983796296</v>
      </c>
      <c r="C264" s="1" t="n">
        <v>45922</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42429-2024</t>
        </is>
      </c>
      <c r="B265" s="1" t="n">
        <v>45565.40657407408</v>
      </c>
      <c r="C265" s="1" t="n">
        <v>45922</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11027-2023</t>
        </is>
      </c>
      <c r="B266" s="1" t="n">
        <v>44991.89657407408</v>
      </c>
      <c r="C266" s="1" t="n">
        <v>45922</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25830-2025</t>
        </is>
      </c>
      <c r="B267" s="1" t="n">
        <v>45804.44519675926</v>
      </c>
      <c r="C267" s="1" t="n">
        <v>45922</v>
      </c>
      <c r="D267" t="inlineStr">
        <is>
          <t>KALMAR LÄN</t>
        </is>
      </c>
      <c r="E267" t="inlineStr">
        <is>
          <t>VIMMERBY</t>
        </is>
      </c>
      <c r="G267" t="n">
        <v>4.9</v>
      </c>
      <c r="H267" t="n">
        <v>0</v>
      </c>
      <c r="I267" t="n">
        <v>0</v>
      </c>
      <c r="J267" t="n">
        <v>0</v>
      </c>
      <c r="K267" t="n">
        <v>0</v>
      </c>
      <c r="L267" t="n">
        <v>0</v>
      </c>
      <c r="M267" t="n">
        <v>0</v>
      </c>
      <c r="N267" t="n">
        <v>0</v>
      </c>
      <c r="O267" t="n">
        <v>0</v>
      </c>
      <c r="P267" t="n">
        <v>0</v>
      </c>
      <c r="Q267" t="n">
        <v>0</v>
      </c>
      <c r="R267" s="2" t="inlineStr"/>
    </row>
    <row r="268" ht="15" customHeight="1">
      <c r="A268" t="inlineStr">
        <is>
          <t>A 26254-2025</t>
        </is>
      </c>
      <c r="B268" s="1" t="n">
        <v>45805</v>
      </c>
      <c r="C268" s="1" t="n">
        <v>45922</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53483-2022</t>
        </is>
      </c>
      <c r="B269" s="1" t="n">
        <v>44879.55940972222</v>
      </c>
      <c r="C269" s="1" t="n">
        <v>45922</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18899-2025</t>
        </is>
      </c>
      <c r="B270" s="1" t="n">
        <v>45764.44931712963</v>
      </c>
      <c r="C270" s="1" t="n">
        <v>45922</v>
      </c>
      <c r="D270" t="inlineStr">
        <is>
          <t>KALMAR LÄN</t>
        </is>
      </c>
      <c r="E270" t="inlineStr">
        <is>
          <t>VIMMERBY</t>
        </is>
      </c>
      <c r="F270" t="inlineStr">
        <is>
          <t>Kommuner</t>
        </is>
      </c>
      <c r="G270" t="n">
        <v>4</v>
      </c>
      <c r="H270" t="n">
        <v>0</v>
      </c>
      <c r="I270" t="n">
        <v>0</v>
      </c>
      <c r="J270" t="n">
        <v>0</v>
      </c>
      <c r="K270" t="n">
        <v>0</v>
      </c>
      <c r="L270" t="n">
        <v>0</v>
      </c>
      <c r="M270" t="n">
        <v>0</v>
      </c>
      <c r="N270" t="n">
        <v>0</v>
      </c>
      <c r="O270" t="n">
        <v>0</v>
      </c>
      <c r="P270" t="n">
        <v>0</v>
      </c>
      <c r="Q270" t="n">
        <v>0</v>
      </c>
      <c r="R270" s="2" t="inlineStr"/>
    </row>
    <row r="271" ht="15" customHeight="1">
      <c r="A271" t="inlineStr">
        <is>
          <t>A 20054-2023</t>
        </is>
      </c>
      <c r="B271" s="1" t="n">
        <v>45054.6750462963</v>
      </c>
      <c r="C271" s="1" t="n">
        <v>45922</v>
      </c>
      <c r="D271" t="inlineStr">
        <is>
          <t>KALMAR LÄN</t>
        </is>
      </c>
      <c r="E271" t="inlineStr">
        <is>
          <t>VIMMERBY</t>
        </is>
      </c>
      <c r="G271" t="n">
        <v>2.4</v>
      </c>
      <c r="H271" t="n">
        <v>0</v>
      </c>
      <c r="I271" t="n">
        <v>0</v>
      </c>
      <c r="J271" t="n">
        <v>0</v>
      </c>
      <c r="K271" t="n">
        <v>0</v>
      </c>
      <c r="L271" t="n">
        <v>0</v>
      </c>
      <c r="M271" t="n">
        <v>0</v>
      </c>
      <c r="N271" t="n">
        <v>0</v>
      </c>
      <c r="O271" t="n">
        <v>0</v>
      </c>
      <c r="P271" t="n">
        <v>0</v>
      </c>
      <c r="Q271" t="n">
        <v>0</v>
      </c>
      <c r="R271" s="2" t="inlineStr"/>
    </row>
    <row r="272" ht="15" customHeight="1">
      <c r="A272" t="inlineStr">
        <is>
          <t>A 29180-2024</t>
        </is>
      </c>
      <c r="B272" s="1" t="n">
        <v>45482.54108796296</v>
      </c>
      <c r="C272" s="1" t="n">
        <v>45922</v>
      </c>
      <c r="D272" t="inlineStr">
        <is>
          <t>KALMAR LÄN</t>
        </is>
      </c>
      <c r="E272" t="inlineStr">
        <is>
          <t>VIMMERBY</t>
        </is>
      </c>
      <c r="G272" t="n">
        <v>3.8</v>
      </c>
      <c r="H272" t="n">
        <v>0</v>
      </c>
      <c r="I272" t="n">
        <v>0</v>
      </c>
      <c r="J272" t="n">
        <v>0</v>
      </c>
      <c r="K272" t="n">
        <v>0</v>
      </c>
      <c r="L272" t="n">
        <v>0</v>
      </c>
      <c r="M272" t="n">
        <v>0</v>
      </c>
      <c r="N272" t="n">
        <v>0</v>
      </c>
      <c r="O272" t="n">
        <v>0</v>
      </c>
      <c r="P272" t="n">
        <v>0</v>
      </c>
      <c r="Q272" t="n">
        <v>0</v>
      </c>
      <c r="R272" s="2" t="inlineStr"/>
    </row>
    <row r="273" ht="15" customHeight="1">
      <c r="A273" t="inlineStr">
        <is>
          <t>A 58962-2022</t>
        </is>
      </c>
      <c r="B273" s="1" t="n">
        <v>44903</v>
      </c>
      <c r="C273" s="1" t="n">
        <v>45922</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10837-2023</t>
        </is>
      </c>
      <c r="B274" s="1" t="n">
        <v>44991.30547453704</v>
      </c>
      <c r="C274" s="1" t="n">
        <v>45922</v>
      </c>
      <c r="D274" t="inlineStr">
        <is>
          <t>KALMAR LÄN</t>
        </is>
      </c>
      <c r="E274" t="inlineStr">
        <is>
          <t>VIMMERBY</t>
        </is>
      </c>
      <c r="G274" t="n">
        <v>7.3</v>
      </c>
      <c r="H274" t="n">
        <v>0</v>
      </c>
      <c r="I274" t="n">
        <v>0</v>
      </c>
      <c r="J274" t="n">
        <v>0</v>
      </c>
      <c r="K274" t="n">
        <v>0</v>
      </c>
      <c r="L274" t="n">
        <v>0</v>
      </c>
      <c r="M274" t="n">
        <v>0</v>
      </c>
      <c r="N274" t="n">
        <v>0</v>
      </c>
      <c r="O274" t="n">
        <v>0</v>
      </c>
      <c r="P274" t="n">
        <v>0</v>
      </c>
      <c r="Q274" t="n">
        <v>0</v>
      </c>
      <c r="R274" s="2" t="inlineStr"/>
    </row>
    <row r="275" ht="15" customHeight="1">
      <c r="A275" t="inlineStr">
        <is>
          <t>A 10838-2023</t>
        </is>
      </c>
      <c r="B275" s="1" t="n">
        <v>44991</v>
      </c>
      <c r="C275" s="1" t="n">
        <v>45922</v>
      </c>
      <c r="D275" t="inlineStr">
        <is>
          <t>KALMAR LÄN</t>
        </is>
      </c>
      <c r="E275" t="inlineStr">
        <is>
          <t>VIMMERBY</t>
        </is>
      </c>
      <c r="G275" t="n">
        <v>5.1</v>
      </c>
      <c r="H275" t="n">
        <v>0</v>
      </c>
      <c r="I275" t="n">
        <v>0</v>
      </c>
      <c r="J275" t="n">
        <v>0</v>
      </c>
      <c r="K275" t="n">
        <v>0</v>
      </c>
      <c r="L275" t="n">
        <v>0</v>
      </c>
      <c r="M275" t="n">
        <v>0</v>
      </c>
      <c r="N275" t="n">
        <v>0</v>
      </c>
      <c r="O275" t="n">
        <v>0</v>
      </c>
      <c r="P275" t="n">
        <v>0</v>
      </c>
      <c r="Q275" t="n">
        <v>0</v>
      </c>
      <c r="R275" s="2" t="inlineStr"/>
    </row>
    <row r="276" ht="15" customHeight="1">
      <c r="A276" t="inlineStr">
        <is>
          <t>A 45846-2023</t>
        </is>
      </c>
      <c r="B276" s="1" t="n">
        <v>45195.58452546296</v>
      </c>
      <c r="C276" s="1" t="n">
        <v>45922</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16020-2023</t>
        </is>
      </c>
      <c r="B277" s="1" t="n">
        <v>45026.82216435186</v>
      </c>
      <c r="C277" s="1" t="n">
        <v>45922</v>
      </c>
      <c r="D277" t="inlineStr">
        <is>
          <t>KALMAR LÄN</t>
        </is>
      </c>
      <c r="E277" t="inlineStr">
        <is>
          <t>VIMMERBY</t>
        </is>
      </c>
      <c r="G277" t="n">
        <v>1.1</v>
      </c>
      <c r="H277" t="n">
        <v>0</v>
      </c>
      <c r="I277" t="n">
        <v>0</v>
      </c>
      <c r="J277" t="n">
        <v>0</v>
      </c>
      <c r="K277" t="n">
        <v>0</v>
      </c>
      <c r="L277" t="n">
        <v>0</v>
      </c>
      <c r="M277" t="n">
        <v>0</v>
      </c>
      <c r="N277" t="n">
        <v>0</v>
      </c>
      <c r="O277" t="n">
        <v>0</v>
      </c>
      <c r="P277" t="n">
        <v>0</v>
      </c>
      <c r="Q277" t="n">
        <v>0</v>
      </c>
      <c r="R277" s="2" t="inlineStr"/>
    </row>
    <row r="278" ht="15" customHeight="1">
      <c r="A278" t="inlineStr">
        <is>
          <t>A 18501-2024</t>
        </is>
      </c>
      <c r="B278" s="1" t="n">
        <v>45425.57538194444</v>
      </c>
      <c r="C278" s="1" t="n">
        <v>45922</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27758-2024</t>
        </is>
      </c>
      <c r="B279" s="1" t="n">
        <v>45475.48303240741</v>
      </c>
      <c r="C279" s="1" t="n">
        <v>45922</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13307-2025</t>
        </is>
      </c>
      <c r="B280" s="1" t="n">
        <v>45735.58024305556</v>
      </c>
      <c r="C280" s="1" t="n">
        <v>45922</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61820-2023</t>
        </is>
      </c>
      <c r="B281" s="1" t="n">
        <v>45266.32614583334</v>
      </c>
      <c r="C281" s="1" t="n">
        <v>45922</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55716-2023</t>
        </is>
      </c>
      <c r="B282" s="1" t="n">
        <v>45232</v>
      </c>
      <c r="C282" s="1" t="n">
        <v>45922</v>
      </c>
      <c r="D282" t="inlineStr">
        <is>
          <t>KALMAR LÄN</t>
        </is>
      </c>
      <c r="E282" t="inlineStr">
        <is>
          <t>VIMMERBY</t>
        </is>
      </c>
      <c r="G282" t="n">
        <v>2.3</v>
      </c>
      <c r="H282" t="n">
        <v>0</v>
      </c>
      <c r="I282" t="n">
        <v>0</v>
      </c>
      <c r="J282" t="n">
        <v>0</v>
      </c>
      <c r="K282" t="n">
        <v>0</v>
      </c>
      <c r="L282" t="n">
        <v>0</v>
      </c>
      <c r="M282" t="n">
        <v>0</v>
      </c>
      <c r="N282" t="n">
        <v>0</v>
      </c>
      <c r="O282" t="n">
        <v>0</v>
      </c>
      <c r="P282" t="n">
        <v>0</v>
      </c>
      <c r="Q282" t="n">
        <v>0</v>
      </c>
      <c r="R282" s="2" t="inlineStr"/>
    </row>
    <row r="283" ht="15" customHeight="1">
      <c r="A283" t="inlineStr">
        <is>
          <t>A 18329-2023</t>
        </is>
      </c>
      <c r="B283" s="1" t="n">
        <v>45041.63380787037</v>
      </c>
      <c r="C283" s="1" t="n">
        <v>45922</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13015-2023</t>
        </is>
      </c>
      <c r="B284" s="1" t="n">
        <v>45002</v>
      </c>
      <c r="C284" s="1" t="n">
        <v>45922</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29186-2024</t>
        </is>
      </c>
      <c r="B285" s="1" t="n">
        <v>45482.54844907407</v>
      </c>
      <c r="C285" s="1" t="n">
        <v>45922</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50993-2022</t>
        </is>
      </c>
      <c r="B286" s="1" t="n">
        <v>44867</v>
      </c>
      <c r="C286" s="1" t="n">
        <v>45922</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54787-2023</t>
        </is>
      </c>
      <c r="B287" s="1" t="n">
        <v>45236</v>
      </c>
      <c r="C287" s="1" t="n">
        <v>45922</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32614-2023</t>
        </is>
      </c>
      <c r="B288" s="1" t="n">
        <v>45121</v>
      </c>
      <c r="C288" s="1" t="n">
        <v>45922</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6850-2023</t>
        </is>
      </c>
      <c r="B289" s="1" t="n">
        <v>44967.44255787037</v>
      </c>
      <c r="C289" s="1" t="n">
        <v>45922</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58750-2022</t>
        </is>
      </c>
      <c r="B290" s="1" t="n">
        <v>44903.33363425926</v>
      </c>
      <c r="C290" s="1" t="n">
        <v>45922</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41158-2023</t>
        </is>
      </c>
      <c r="B291" s="1" t="n">
        <v>45174.31395833333</v>
      </c>
      <c r="C291" s="1" t="n">
        <v>45922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2510-2023</t>
        </is>
      </c>
      <c r="B292" s="1" t="n">
        <v>44943.57309027778</v>
      </c>
      <c r="C292" s="1" t="n">
        <v>45922</v>
      </c>
      <c r="D292" t="inlineStr">
        <is>
          <t>KALMAR LÄN</t>
        </is>
      </c>
      <c r="E292" t="inlineStr">
        <is>
          <t>VIMMERBY</t>
        </is>
      </c>
      <c r="G292" t="n">
        <v>8.6</v>
      </c>
      <c r="H292" t="n">
        <v>0</v>
      </c>
      <c r="I292" t="n">
        <v>0</v>
      </c>
      <c r="J292" t="n">
        <v>0</v>
      </c>
      <c r="K292" t="n">
        <v>0</v>
      </c>
      <c r="L292" t="n">
        <v>0</v>
      </c>
      <c r="M292" t="n">
        <v>0</v>
      </c>
      <c r="N292" t="n">
        <v>0</v>
      </c>
      <c r="O292" t="n">
        <v>0</v>
      </c>
      <c r="P292" t="n">
        <v>0</v>
      </c>
      <c r="Q292" t="n">
        <v>0</v>
      </c>
      <c r="R292" s="2" t="inlineStr"/>
    </row>
    <row r="293" ht="15" customHeight="1">
      <c r="A293" t="inlineStr">
        <is>
          <t>A 3269-2024</t>
        </is>
      </c>
      <c r="B293" s="1" t="n">
        <v>45317.40372685185</v>
      </c>
      <c r="C293" s="1" t="n">
        <v>45922</v>
      </c>
      <c r="D293" t="inlineStr">
        <is>
          <t>KALMAR LÄN</t>
        </is>
      </c>
      <c r="E293" t="inlineStr">
        <is>
          <t>VIMMERBY</t>
        </is>
      </c>
      <c r="F293" t="inlineStr">
        <is>
          <t>Övriga Aktiebolag</t>
        </is>
      </c>
      <c r="G293" t="n">
        <v>1.7</v>
      </c>
      <c r="H293" t="n">
        <v>0</v>
      </c>
      <c r="I293" t="n">
        <v>0</v>
      </c>
      <c r="J293" t="n">
        <v>0</v>
      </c>
      <c r="K293" t="n">
        <v>0</v>
      </c>
      <c r="L293" t="n">
        <v>0</v>
      </c>
      <c r="M293" t="n">
        <v>0</v>
      </c>
      <c r="N293" t="n">
        <v>0</v>
      </c>
      <c r="O293" t="n">
        <v>0</v>
      </c>
      <c r="P293" t="n">
        <v>0</v>
      </c>
      <c r="Q293" t="n">
        <v>0</v>
      </c>
      <c r="R293" s="2" t="inlineStr"/>
    </row>
    <row r="294" ht="15" customHeight="1">
      <c r="A294" t="inlineStr">
        <is>
          <t>A 48120-2022</t>
        </is>
      </c>
      <c r="B294" s="1" t="n">
        <v>44857.65989583333</v>
      </c>
      <c r="C294" s="1" t="n">
        <v>45922</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13290-2025</t>
        </is>
      </c>
      <c r="B295" s="1" t="n">
        <v>45735.56751157407</v>
      </c>
      <c r="C295" s="1" t="n">
        <v>45922</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6368-2023</t>
        </is>
      </c>
      <c r="B296" s="1" t="n">
        <v>44965</v>
      </c>
      <c r="C296" s="1" t="n">
        <v>45922</v>
      </c>
      <c r="D296" t="inlineStr">
        <is>
          <t>KALMAR LÄN</t>
        </is>
      </c>
      <c r="E296" t="inlineStr">
        <is>
          <t>VIMMERBY</t>
        </is>
      </c>
      <c r="G296" t="n">
        <v>1.3</v>
      </c>
      <c r="H296" t="n">
        <v>0</v>
      </c>
      <c r="I296" t="n">
        <v>0</v>
      </c>
      <c r="J296" t="n">
        <v>0</v>
      </c>
      <c r="K296" t="n">
        <v>0</v>
      </c>
      <c r="L296" t="n">
        <v>0</v>
      </c>
      <c r="M296" t="n">
        <v>0</v>
      </c>
      <c r="N296" t="n">
        <v>0</v>
      </c>
      <c r="O296" t="n">
        <v>0</v>
      </c>
      <c r="P296" t="n">
        <v>0</v>
      </c>
      <c r="Q296" t="n">
        <v>0</v>
      </c>
      <c r="R296" s="2" t="inlineStr"/>
    </row>
    <row r="297" ht="15" customHeight="1">
      <c r="A297" t="inlineStr">
        <is>
          <t>A 9416-2024</t>
        </is>
      </c>
      <c r="B297" s="1" t="n">
        <v>45359.44837962963</v>
      </c>
      <c r="C297" s="1" t="n">
        <v>45922</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45560-2021</t>
        </is>
      </c>
      <c r="B298" s="1" t="n">
        <v>44440</v>
      </c>
      <c r="C298" s="1" t="n">
        <v>45922</v>
      </c>
      <c r="D298" t="inlineStr">
        <is>
          <t>KALMAR LÄN</t>
        </is>
      </c>
      <c r="E298" t="inlineStr">
        <is>
          <t>VIMMERBY</t>
        </is>
      </c>
      <c r="G298" t="n">
        <v>1.3</v>
      </c>
      <c r="H298" t="n">
        <v>0</v>
      </c>
      <c r="I298" t="n">
        <v>0</v>
      </c>
      <c r="J298" t="n">
        <v>0</v>
      </c>
      <c r="K298" t="n">
        <v>0</v>
      </c>
      <c r="L298" t="n">
        <v>0</v>
      </c>
      <c r="M298" t="n">
        <v>0</v>
      </c>
      <c r="N298" t="n">
        <v>0</v>
      </c>
      <c r="O298" t="n">
        <v>0</v>
      </c>
      <c r="P298" t="n">
        <v>0</v>
      </c>
      <c r="Q298" t="n">
        <v>0</v>
      </c>
      <c r="R298" s="2" t="inlineStr"/>
    </row>
    <row r="299" ht="15" customHeight="1">
      <c r="A299" t="inlineStr">
        <is>
          <t>A 2797-2023</t>
        </is>
      </c>
      <c r="B299" s="1" t="n">
        <v>44944.71386574074</v>
      </c>
      <c r="C299" s="1" t="n">
        <v>45922</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2799-2023</t>
        </is>
      </c>
      <c r="B300" s="1" t="n">
        <v>44944.72100694444</v>
      </c>
      <c r="C300" s="1" t="n">
        <v>45922</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19162-2023</t>
        </is>
      </c>
      <c r="B301" s="1" t="n">
        <v>45048.59699074074</v>
      </c>
      <c r="C301" s="1" t="n">
        <v>45922</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25987-2024</t>
        </is>
      </c>
      <c r="B302" s="1" t="n">
        <v>45467.74417824074</v>
      </c>
      <c r="C302" s="1" t="n">
        <v>45922</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22194-2024</t>
        </is>
      </c>
      <c r="B303" s="1" t="n">
        <v>45446.36482638889</v>
      </c>
      <c r="C303" s="1" t="n">
        <v>45922</v>
      </c>
      <c r="D303" t="inlineStr">
        <is>
          <t>KALMAR LÄN</t>
        </is>
      </c>
      <c r="E303" t="inlineStr">
        <is>
          <t>VIMMERBY</t>
        </is>
      </c>
      <c r="F303" t="inlineStr">
        <is>
          <t>Sveaskog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19865-2021</t>
        </is>
      </c>
      <c r="B304" s="1" t="n">
        <v>44312</v>
      </c>
      <c r="C304" s="1" t="n">
        <v>45922</v>
      </c>
      <c r="D304" t="inlineStr">
        <is>
          <t>KALMAR LÄN</t>
        </is>
      </c>
      <c r="E304" t="inlineStr">
        <is>
          <t>VIMMERBY</t>
        </is>
      </c>
      <c r="G304" t="n">
        <v>8.6</v>
      </c>
      <c r="H304" t="n">
        <v>0</v>
      </c>
      <c r="I304" t="n">
        <v>0</v>
      </c>
      <c r="J304" t="n">
        <v>0</v>
      </c>
      <c r="K304" t="n">
        <v>0</v>
      </c>
      <c r="L304" t="n">
        <v>0</v>
      </c>
      <c r="M304" t="n">
        <v>0</v>
      </c>
      <c r="N304" t="n">
        <v>0</v>
      </c>
      <c r="O304" t="n">
        <v>0</v>
      </c>
      <c r="P304" t="n">
        <v>0</v>
      </c>
      <c r="Q304" t="n">
        <v>0</v>
      </c>
      <c r="R304" s="2" t="inlineStr"/>
    </row>
    <row r="305" ht="15" customHeight="1">
      <c r="A305" t="inlineStr">
        <is>
          <t>A 12630-2023</t>
        </is>
      </c>
      <c r="B305" s="1" t="n">
        <v>45000.47998842593</v>
      </c>
      <c r="C305" s="1" t="n">
        <v>45922</v>
      </c>
      <c r="D305" t="inlineStr">
        <is>
          <t>KALMAR LÄN</t>
        </is>
      </c>
      <c r="E305" t="inlineStr">
        <is>
          <t>VIMMERBY</t>
        </is>
      </c>
      <c r="G305" t="n">
        <v>2.1</v>
      </c>
      <c r="H305" t="n">
        <v>0</v>
      </c>
      <c r="I305" t="n">
        <v>0</v>
      </c>
      <c r="J305" t="n">
        <v>0</v>
      </c>
      <c r="K305" t="n">
        <v>0</v>
      </c>
      <c r="L305" t="n">
        <v>0</v>
      </c>
      <c r="M305" t="n">
        <v>0</v>
      </c>
      <c r="N305" t="n">
        <v>0</v>
      </c>
      <c r="O305" t="n">
        <v>0</v>
      </c>
      <c r="P305" t="n">
        <v>0</v>
      </c>
      <c r="Q305" t="n">
        <v>0</v>
      </c>
      <c r="R305" s="2" t="inlineStr"/>
    </row>
    <row r="306" ht="15" customHeight="1">
      <c r="A306" t="inlineStr">
        <is>
          <t>A 40256-2024</t>
        </is>
      </c>
      <c r="B306" s="1" t="n">
        <v>45554.62944444444</v>
      </c>
      <c r="C306" s="1" t="n">
        <v>45922</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21109-2024</t>
        </is>
      </c>
      <c r="B307" s="1" t="n">
        <v>45440.28329861111</v>
      </c>
      <c r="C307" s="1" t="n">
        <v>45922</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30634-2024</t>
        </is>
      </c>
      <c r="B308" s="1" t="n">
        <v>45495</v>
      </c>
      <c r="C308" s="1" t="n">
        <v>45922</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40260-2024</t>
        </is>
      </c>
      <c r="B309" s="1" t="n">
        <v>45554.63225694445</v>
      </c>
      <c r="C309" s="1" t="n">
        <v>45922</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59943-2023</t>
        </is>
      </c>
      <c r="B310" s="1" t="n">
        <v>45257.67958333333</v>
      </c>
      <c r="C310" s="1" t="n">
        <v>45922</v>
      </c>
      <c r="D310" t="inlineStr">
        <is>
          <t>KALMAR LÄN</t>
        </is>
      </c>
      <c r="E310" t="inlineStr">
        <is>
          <t>VIMMERBY</t>
        </is>
      </c>
      <c r="G310" t="n">
        <v>6.4</v>
      </c>
      <c r="H310" t="n">
        <v>0</v>
      </c>
      <c r="I310" t="n">
        <v>0</v>
      </c>
      <c r="J310" t="n">
        <v>0</v>
      </c>
      <c r="K310" t="n">
        <v>0</v>
      </c>
      <c r="L310" t="n">
        <v>0</v>
      </c>
      <c r="M310" t="n">
        <v>0</v>
      </c>
      <c r="N310" t="n">
        <v>0</v>
      </c>
      <c r="O310" t="n">
        <v>0</v>
      </c>
      <c r="P310" t="n">
        <v>0</v>
      </c>
      <c r="Q310" t="n">
        <v>0</v>
      </c>
      <c r="R310" s="2" t="inlineStr"/>
    </row>
    <row r="311" ht="15" customHeight="1">
      <c r="A311" t="inlineStr">
        <is>
          <t>A 9475-2023</t>
        </is>
      </c>
      <c r="B311" s="1" t="n">
        <v>44981.58834490741</v>
      </c>
      <c r="C311" s="1" t="n">
        <v>45922</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5527-2022</t>
        </is>
      </c>
      <c r="B312" s="1" t="n">
        <v>44595.583125</v>
      </c>
      <c r="C312" s="1" t="n">
        <v>45922</v>
      </c>
      <c r="D312" t="inlineStr">
        <is>
          <t>KALMAR LÄN</t>
        </is>
      </c>
      <c r="E312" t="inlineStr">
        <is>
          <t>VIMMERBY</t>
        </is>
      </c>
      <c r="G312" t="n">
        <v>3.6</v>
      </c>
      <c r="H312" t="n">
        <v>0</v>
      </c>
      <c r="I312" t="n">
        <v>0</v>
      </c>
      <c r="J312" t="n">
        <v>0</v>
      </c>
      <c r="K312" t="n">
        <v>0</v>
      </c>
      <c r="L312" t="n">
        <v>0</v>
      </c>
      <c r="M312" t="n">
        <v>0</v>
      </c>
      <c r="N312" t="n">
        <v>0</v>
      </c>
      <c r="O312" t="n">
        <v>0</v>
      </c>
      <c r="P312" t="n">
        <v>0</v>
      </c>
      <c r="Q312" t="n">
        <v>0</v>
      </c>
      <c r="R312" s="2" t="inlineStr"/>
    </row>
    <row r="313" ht="15" customHeight="1">
      <c r="A313" t="inlineStr">
        <is>
          <t>A 12325-2023</t>
        </is>
      </c>
      <c r="B313" s="1" t="n">
        <v>44999.35858796296</v>
      </c>
      <c r="C313" s="1" t="n">
        <v>45922</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1016-2024</t>
        </is>
      </c>
      <c r="B314" s="1" t="n">
        <v>45301</v>
      </c>
      <c r="C314" s="1" t="n">
        <v>45922</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58104-2024</t>
        </is>
      </c>
      <c r="B315" s="1" t="n">
        <v>45632.37459490741</v>
      </c>
      <c r="C315" s="1" t="n">
        <v>45922</v>
      </c>
      <c r="D315" t="inlineStr">
        <is>
          <t>KALMAR LÄN</t>
        </is>
      </c>
      <c r="E315" t="inlineStr">
        <is>
          <t>VIMMERBY</t>
        </is>
      </c>
      <c r="G315" t="n">
        <v>5</v>
      </c>
      <c r="H315" t="n">
        <v>0</v>
      </c>
      <c r="I315" t="n">
        <v>0</v>
      </c>
      <c r="J315" t="n">
        <v>0</v>
      </c>
      <c r="K315" t="n">
        <v>0</v>
      </c>
      <c r="L315" t="n">
        <v>0</v>
      </c>
      <c r="M315" t="n">
        <v>0</v>
      </c>
      <c r="N315" t="n">
        <v>0</v>
      </c>
      <c r="O315" t="n">
        <v>0</v>
      </c>
      <c r="P315" t="n">
        <v>0</v>
      </c>
      <c r="Q315" t="n">
        <v>0</v>
      </c>
      <c r="R315" s="2" t="inlineStr"/>
    </row>
    <row r="316" ht="15" customHeight="1">
      <c r="A316" t="inlineStr">
        <is>
          <t>A 11946-2025</t>
        </is>
      </c>
      <c r="B316" s="1" t="n">
        <v>45728.54832175926</v>
      </c>
      <c r="C316" s="1" t="n">
        <v>45922</v>
      </c>
      <c r="D316" t="inlineStr">
        <is>
          <t>KALMAR LÄN</t>
        </is>
      </c>
      <c r="E316" t="inlineStr">
        <is>
          <t>VIMMERBY</t>
        </is>
      </c>
      <c r="G316" t="n">
        <v>0.4</v>
      </c>
      <c r="H316" t="n">
        <v>0</v>
      </c>
      <c r="I316" t="n">
        <v>0</v>
      </c>
      <c r="J316" t="n">
        <v>0</v>
      </c>
      <c r="K316" t="n">
        <v>0</v>
      </c>
      <c r="L316" t="n">
        <v>0</v>
      </c>
      <c r="M316" t="n">
        <v>0</v>
      </c>
      <c r="N316" t="n">
        <v>0</v>
      </c>
      <c r="O316" t="n">
        <v>0</v>
      </c>
      <c r="P316" t="n">
        <v>0</v>
      </c>
      <c r="Q316" t="n">
        <v>0</v>
      </c>
      <c r="R316" s="2" t="inlineStr"/>
    </row>
    <row r="317" ht="15" customHeight="1">
      <c r="A317" t="inlineStr">
        <is>
          <t>A 19537-2022</t>
        </is>
      </c>
      <c r="B317" s="1" t="n">
        <v>44693.62822916666</v>
      </c>
      <c r="C317" s="1" t="n">
        <v>45922</v>
      </c>
      <c r="D317" t="inlineStr">
        <is>
          <t>KALMAR LÄN</t>
        </is>
      </c>
      <c r="E317" t="inlineStr">
        <is>
          <t>VIMMERBY</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33681-2022</t>
        </is>
      </c>
      <c r="B318" s="1" t="n">
        <v>44789</v>
      </c>
      <c r="C318" s="1" t="n">
        <v>45922</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5074-2023</t>
        </is>
      </c>
      <c r="B319" s="1" t="n">
        <v>44958.61047453704</v>
      </c>
      <c r="C319" s="1" t="n">
        <v>45922</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51187-2023</t>
        </is>
      </c>
      <c r="B320" s="1" t="n">
        <v>45219.40528935185</v>
      </c>
      <c r="C320" s="1" t="n">
        <v>45922</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36259-2022</t>
        </is>
      </c>
      <c r="B321" s="1" t="n">
        <v>44803.59118055556</v>
      </c>
      <c r="C321" s="1" t="n">
        <v>45922</v>
      </c>
      <c r="D321" t="inlineStr">
        <is>
          <t>KALMAR LÄN</t>
        </is>
      </c>
      <c r="E321" t="inlineStr">
        <is>
          <t>VIMMERBY</t>
        </is>
      </c>
      <c r="G321" t="n">
        <v>3.9</v>
      </c>
      <c r="H321" t="n">
        <v>0</v>
      </c>
      <c r="I321" t="n">
        <v>0</v>
      </c>
      <c r="J321" t="n">
        <v>0</v>
      </c>
      <c r="K321" t="n">
        <v>0</v>
      </c>
      <c r="L321" t="n">
        <v>0</v>
      </c>
      <c r="M321" t="n">
        <v>0</v>
      </c>
      <c r="N321" t="n">
        <v>0</v>
      </c>
      <c r="O321" t="n">
        <v>0</v>
      </c>
      <c r="P321" t="n">
        <v>0</v>
      </c>
      <c r="Q321" t="n">
        <v>0</v>
      </c>
      <c r="R321" s="2" t="inlineStr"/>
    </row>
    <row r="322" ht="15" customHeight="1">
      <c r="A322" t="inlineStr">
        <is>
          <t>A 43034-2024</t>
        </is>
      </c>
      <c r="B322" s="1" t="n">
        <v>45567.42011574074</v>
      </c>
      <c r="C322" s="1" t="n">
        <v>45922</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15715-2022</t>
        </is>
      </c>
      <c r="B323" s="1" t="n">
        <v>44663</v>
      </c>
      <c r="C323" s="1" t="n">
        <v>45922</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43093-2024</t>
        </is>
      </c>
      <c r="B324" s="1" t="n">
        <v>45567</v>
      </c>
      <c r="C324" s="1" t="n">
        <v>45922</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56022-2024</t>
        </is>
      </c>
      <c r="B325" s="1" t="n">
        <v>45623.95947916667</v>
      </c>
      <c r="C325" s="1" t="n">
        <v>45922</v>
      </c>
      <c r="D325" t="inlineStr">
        <is>
          <t>KALMAR LÄN</t>
        </is>
      </c>
      <c r="E325" t="inlineStr">
        <is>
          <t>VIMMERBY</t>
        </is>
      </c>
      <c r="G325" t="n">
        <v>0.3</v>
      </c>
      <c r="H325" t="n">
        <v>0</v>
      </c>
      <c r="I325" t="n">
        <v>0</v>
      </c>
      <c r="J325" t="n">
        <v>0</v>
      </c>
      <c r="K325" t="n">
        <v>0</v>
      </c>
      <c r="L325" t="n">
        <v>0</v>
      </c>
      <c r="M325" t="n">
        <v>0</v>
      </c>
      <c r="N325" t="n">
        <v>0</v>
      </c>
      <c r="O325" t="n">
        <v>0</v>
      </c>
      <c r="P325" t="n">
        <v>0</v>
      </c>
      <c r="Q325" t="n">
        <v>0</v>
      </c>
      <c r="R325" s="2" t="inlineStr"/>
    </row>
    <row r="326" ht="15" customHeight="1">
      <c r="A326" t="inlineStr">
        <is>
          <t>A 18330-2023</t>
        </is>
      </c>
      <c r="B326" s="1" t="n">
        <v>45041</v>
      </c>
      <c r="C326" s="1" t="n">
        <v>45922</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3902-2022</t>
        </is>
      </c>
      <c r="B327" s="1" t="n">
        <v>44587.48847222222</v>
      </c>
      <c r="C327" s="1" t="n">
        <v>45922</v>
      </c>
      <c r="D327" t="inlineStr">
        <is>
          <t>KALMAR LÄN</t>
        </is>
      </c>
      <c r="E327" t="inlineStr">
        <is>
          <t>VIMMERBY</t>
        </is>
      </c>
      <c r="G327" t="n">
        <v>2.6</v>
      </c>
      <c r="H327" t="n">
        <v>0</v>
      </c>
      <c r="I327" t="n">
        <v>0</v>
      </c>
      <c r="J327" t="n">
        <v>0</v>
      </c>
      <c r="K327" t="n">
        <v>0</v>
      </c>
      <c r="L327" t="n">
        <v>0</v>
      </c>
      <c r="M327" t="n">
        <v>0</v>
      </c>
      <c r="N327" t="n">
        <v>0</v>
      </c>
      <c r="O327" t="n">
        <v>0</v>
      </c>
      <c r="P327" t="n">
        <v>0</v>
      </c>
      <c r="Q327" t="n">
        <v>0</v>
      </c>
      <c r="R327" s="2" t="inlineStr"/>
    </row>
    <row r="328" ht="15" customHeight="1">
      <c r="A328" t="inlineStr">
        <is>
          <t>A 30070-2023</t>
        </is>
      </c>
      <c r="B328" s="1" t="n">
        <v>45110.4275</v>
      </c>
      <c r="C328" s="1" t="n">
        <v>45922</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20126-2024</t>
        </is>
      </c>
      <c r="B329" s="1" t="n">
        <v>45434.55471064815</v>
      </c>
      <c r="C329" s="1" t="n">
        <v>45922</v>
      </c>
      <c r="D329" t="inlineStr">
        <is>
          <t>KALMAR LÄN</t>
        </is>
      </c>
      <c r="E329" t="inlineStr">
        <is>
          <t>VIMMERBY</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20136-2024</t>
        </is>
      </c>
      <c r="B330" s="1" t="n">
        <v>45434.56291666667</v>
      </c>
      <c r="C330" s="1" t="n">
        <v>45922</v>
      </c>
      <c r="D330" t="inlineStr">
        <is>
          <t>KALMAR LÄN</t>
        </is>
      </c>
      <c r="E330" t="inlineStr">
        <is>
          <t>VIMMERBY</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46921-2023</t>
        </is>
      </c>
      <c r="B331" s="1" t="n">
        <v>45201.39996527778</v>
      </c>
      <c r="C331" s="1" t="n">
        <v>45922</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25236-2023</t>
        </is>
      </c>
      <c r="B332" s="1" t="n">
        <v>45086.63334490741</v>
      </c>
      <c r="C332" s="1" t="n">
        <v>45922</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6082-2022</t>
        </is>
      </c>
      <c r="B333" s="1" t="n">
        <v>44599</v>
      </c>
      <c r="C333" s="1" t="n">
        <v>45922</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60951-2023</t>
        </is>
      </c>
      <c r="B334" s="1" t="n">
        <v>45261.44914351852</v>
      </c>
      <c r="C334" s="1" t="n">
        <v>45922</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60292-2022</t>
        </is>
      </c>
      <c r="B335" s="1" t="n">
        <v>44910.54231481482</v>
      </c>
      <c r="C335" s="1" t="n">
        <v>45922</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2801-2023</t>
        </is>
      </c>
      <c r="B336" s="1" t="n">
        <v>44944.73487268519</v>
      </c>
      <c r="C336" s="1" t="n">
        <v>45922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5146-2024</t>
        </is>
      </c>
      <c r="B337" s="1" t="n">
        <v>45330</v>
      </c>
      <c r="C337" s="1" t="n">
        <v>45922</v>
      </c>
      <c r="D337" t="inlineStr">
        <is>
          <t>KALMAR LÄN</t>
        </is>
      </c>
      <c r="E337" t="inlineStr">
        <is>
          <t>VIMMERBY</t>
        </is>
      </c>
      <c r="G337" t="n">
        <v>5.3</v>
      </c>
      <c r="H337" t="n">
        <v>0</v>
      </c>
      <c r="I337" t="n">
        <v>0</v>
      </c>
      <c r="J337" t="n">
        <v>0</v>
      </c>
      <c r="K337" t="n">
        <v>0</v>
      </c>
      <c r="L337" t="n">
        <v>0</v>
      </c>
      <c r="M337" t="n">
        <v>0</v>
      </c>
      <c r="N337" t="n">
        <v>0</v>
      </c>
      <c r="O337" t="n">
        <v>0</v>
      </c>
      <c r="P337" t="n">
        <v>0</v>
      </c>
      <c r="Q337" t="n">
        <v>0</v>
      </c>
      <c r="R337" s="2" t="inlineStr"/>
    </row>
    <row r="338" ht="15" customHeight="1">
      <c r="A338" t="inlineStr">
        <is>
          <t>A 5148-2024</t>
        </is>
      </c>
      <c r="B338" s="1" t="n">
        <v>45330</v>
      </c>
      <c r="C338" s="1" t="n">
        <v>45922</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58278-2023</t>
        </is>
      </c>
      <c r="B339" s="1" t="n">
        <v>45250.5278587963</v>
      </c>
      <c r="C339" s="1" t="n">
        <v>45922</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22266-2023</t>
        </is>
      </c>
      <c r="B340" s="1" t="n">
        <v>45070</v>
      </c>
      <c r="C340" s="1" t="n">
        <v>45922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52588-2023</t>
        </is>
      </c>
      <c r="B341" s="1" t="n">
        <v>45225.60192129629</v>
      </c>
      <c r="C341" s="1" t="n">
        <v>45922</v>
      </c>
      <c r="D341" t="inlineStr">
        <is>
          <t>KALMAR LÄN</t>
        </is>
      </c>
      <c r="E341" t="inlineStr">
        <is>
          <t>VIMMERBY</t>
        </is>
      </c>
      <c r="G341" t="n">
        <v>2.9</v>
      </c>
      <c r="H341" t="n">
        <v>0</v>
      </c>
      <c r="I341" t="n">
        <v>0</v>
      </c>
      <c r="J341" t="n">
        <v>0</v>
      </c>
      <c r="K341" t="n">
        <v>0</v>
      </c>
      <c r="L341" t="n">
        <v>0</v>
      </c>
      <c r="M341" t="n">
        <v>0</v>
      </c>
      <c r="N341" t="n">
        <v>0</v>
      </c>
      <c r="O341" t="n">
        <v>0</v>
      </c>
      <c r="P341" t="n">
        <v>0</v>
      </c>
      <c r="Q341" t="n">
        <v>0</v>
      </c>
      <c r="R341" s="2" t="inlineStr"/>
    </row>
    <row r="342" ht="15" customHeight="1">
      <c r="A342" t="inlineStr">
        <is>
          <t>A 6802-2025</t>
        </is>
      </c>
      <c r="B342" s="1" t="n">
        <v>45700.68289351852</v>
      </c>
      <c r="C342" s="1" t="n">
        <v>45922</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71793-2021</t>
        </is>
      </c>
      <c r="B343" s="1" t="n">
        <v>44539</v>
      </c>
      <c r="C343" s="1" t="n">
        <v>45922</v>
      </c>
      <c r="D343" t="inlineStr">
        <is>
          <t>KALMAR LÄN</t>
        </is>
      </c>
      <c r="E343" t="inlineStr">
        <is>
          <t>VIMMERBY</t>
        </is>
      </c>
      <c r="G343" t="n">
        <v>2.7</v>
      </c>
      <c r="H343" t="n">
        <v>0</v>
      </c>
      <c r="I343" t="n">
        <v>0</v>
      </c>
      <c r="J343" t="n">
        <v>0</v>
      </c>
      <c r="K343" t="n">
        <v>0</v>
      </c>
      <c r="L343" t="n">
        <v>0</v>
      </c>
      <c r="M343" t="n">
        <v>0</v>
      </c>
      <c r="N343" t="n">
        <v>0</v>
      </c>
      <c r="O343" t="n">
        <v>0</v>
      </c>
      <c r="P343" t="n">
        <v>0</v>
      </c>
      <c r="Q343" t="n">
        <v>0</v>
      </c>
      <c r="R343" s="2" t="inlineStr"/>
    </row>
    <row r="344" ht="15" customHeight="1">
      <c r="A344" t="inlineStr">
        <is>
          <t>A 31209-2024</t>
        </is>
      </c>
      <c r="B344" s="1" t="n">
        <v>45503.5658912037</v>
      </c>
      <c r="C344" s="1" t="n">
        <v>45922</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527-2024</t>
        </is>
      </c>
      <c r="B345" s="1" t="n">
        <v>45299.47513888889</v>
      </c>
      <c r="C345" s="1" t="n">
        <v>45922</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60230-2022</t>
        </is>
      </c>
      <c r="B346" s="1" t="n">
        <v>44910</v>
      </c>
      <c r="C346" s="1" t="n">
        <v>45922</v>
      </c>
      <c r="D346" t="inlineStr">
        <is>
          <t>KALMAR LÄN</t>
        </is>
      </c>
      <c r="E346" t="inlineStr">
        <is>
          <t>VIMMERBY</t>
        </is>
      </c>
      <c r="G346" t="n">
        <v>11.3</v>
      </c>
      <c r="H346" t="n">
        <v>0</v>
      </c>
      <c r="I346" t="n">
        <v>0</v>
      </c>
      <c r="J346" t="n">
        <v>0</v>
      </c>
      <c r="K346" t="n">
        <v>0</v>
      </c>
      <c r="L346" t="n">
        <v>0</v>
      </c>
      <c r="M346" t="n">
        <v>0</v>
      </c>
      <c r="N346" t="n">
        <v>0</v>
      </c>
      <c r="O346" t="n">
        <v>0</v>
      </c>
      <c r="P346" t="n">
        <v>0</v>
      </c>
      <c r="Q346" t="n">
        <v>0</v>
      </c>
      <c r="R346" s="2" t="inlineStr"/>
    </row>
    <row r="347" ht="15" customHeight="1">
      <c r="A347" t="inlineStr">
        <is>
          <t>A 7485-2024</t>
        </is>
      </c>
      <c r="B347" s="1" t="n">
        <v>45346.67184027778</v>
      </c>
      <c r="C347" s="1" t="n">
        <v>45922</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5925-2022</t>
        </is>
      </c>
      <c r="B348" s="1" t="n">
        <v>44598.7384837963</v>
      </c>
      <c r="C348" s="1" t="n">
        <v>45922</v>
      </c>
      <c r="D348" t="inlineStr">
        <is>
          <t>KALMAR LÄN</t>
        </is>
      </c>
      <c r="E348" t="inlineStr">
        <is>
          <t>VIMMERBY</t>
        </is>
      </c>
      <c r="G348" t="n">
        <v>2.1</v>
      </c>
      <c r="H348" t="n">
        <v>0</v>
      </c>
      <c r="I348" t="n">
        <v>0</v>
      </c>
      <c r="J348" t="n">
        <v>0</v>
      </c>
      <c r="K348" t="n">
        <v>0</v>
      </c>
      <c r="L348" t="n">
        <v>0</v>
      </c>
      <c r="M348" t="n">
        <v>0</v>
      </c>
      <c r="N348" t="n">
        <v>0</v>
      </c>
      <c r="O348" t="n">
        <v>0</v>
      </c>
      <c r="P348" t="n">
        <v>0</v>
      </c>
      <c r="Q348" t="n">
        <v>0</v>
      </c>
      <c r="R348" s="2" t="inlineStr"/>
    </row>
    <row r="349" ht="15" customHeight="1">
      <c r="A349" t="inlineStr">
        <is>
          <t>A 4527-2023</t>
        </is>
      </c>
      <c r="B349" s="1" t="n">
        <v>44956</v>
      </c>
      <c r="C349" s="1" t="n">
        <v>45922</v>
      </c>
      <c r="D349" t="inlineStr">
        <is>
          <t>KALMAR LÄN</t>
        </is>
      </c>
      <c r="E349" t="inlineStr">
        <is>
          <t>VIMMERBY</t>
        </is>
      </c>
      <c r="F349" t="inlineStr">
        <is>
          <t>Kommuner</t>
        </is>
      </c>
      <c r="G349" t="n">
        <v>8.5</v>
      </c>
      <c r="H349" t="n">
        <v>0</v>
      </c>
      <c r="I349" t="n">
        <v>0</v>
      </c>
      <c r="J349" t="n">
        <v>0</v>
      </c>
      <c r="K349" t="n">
        <v>0</v>
      </c>
      <c r="L349" t="n">
        <v>0</v>
      </c>
      <c r="M349" t="n">
        <v>0</v>
      </c>
      <c r="N349" t="n">
        <v>0</v>
      </c>
      <c r="O349" t="n">
        <v>0</v>
      </c>
      <c r="P349" t="n">
        <v>0</v>
      </c>
      <c r="Q349" t="n">
        <v>0</v>
      </c>
      <c r="R349" s="2" t="inlineStr"/>
    </row>
    <row r="350" ht="15" customHeight="1">
      <c r="A350" t="inlineStr">
        <is>
          <t>A 12586-2021</t>
        </is>
      </c>
      <c r="B350" s="1" t="n">
        <v>44270.38002314815</v>
      </c>
      <c r="C350" s="1" t="n">
        <v>45922</v>
      </c>
      <c r="D350" t="inlineStr">
        <is>
          <t>KALMAR LÄN</t>
        </is>
      </c>
      <c r="E350" t="inlineStr">
        <is>
          <t>VIMMERBY</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5864-2022</t>
        </is>
      </c>
      <c r="B351" s="1" t="n">
        <v>44596</v>
      </c>
      <c r="C351" s="1" t="n">
        <v>45922</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30912-2023</t>
        </is>
      </c>
      <c r="B352" s="1" t="n">
        <v>45113.41633101852</v>
      </c>
      <c r="C352" s="1" t="n">
        <v>45922</v>
      </c>
      <c r="D352" t="inlineStr">
        <is>
          <t>KALMAR LÄN</t>
        </is>
      </c>
      <c r="E352" t="inlineStr">
        <is>
          <t>VIMMERBY</t>
        </is>
      </c>
      <c r="G352" t="n">
        <v>5</v>
      </c>
      <c r="H352" t="n">
        <v>0</v>
      </c>
      <c r="I352" t="n">
        <v>0</v>
      </c>
      <c r="J352" t="n">
        <v>0</v>
      </c>
      <c r="K352" t="n">
        <v>0</v>
      </c>
      <c r="L352" t="n">
        <v>0</v>
      </c>
      <c r="M352" t="n">
        <v>0</v>
      </c>
      <c r="N352" t="n">
        <v>0</v>
      </c>
      <c r="O352" t="n">
        <v>0</v>
      </c>
      <c r="P352" t="n">
        <v>0</v>
      </c>
      <c r="Q352" t="n">
        <v>0</v>
      </c>
      <c r="R352" s="2" t="inlineStr"/>
    </row>
    <row r="353" ht="15" customHeight="1">
      <c r="A353" t="inlineStr">
        <is>
          <t>A 1146-2025</t>
        </is>
      </c>
      <c r="B353" s="1" t="n">
        <v>45666</v>
      </c>
      <c r="C353" s="1" t="n">
        <v>45922</v>
      </c>
      <c r="D353" t="inlineStr">
        <is>
          <t>KALMAR LÄN</t>
        </is>
      </c>
      <c r="E353" t="inlineStr">
        <is>
          <t>VIMMERBY</t>
        </is>
      </c>
      <c r="G353" t="n">
        <v>4</v>
      </c>
      <c r="H353" t="n">
        <v>0</v>
      </c>
      <c r="I353" t="n">
        <v>0</v>
      </c>
      <c r="J353" t="n">
        <v>0</v>
      </c>
      <c r="K353" t="n">
        <v>0</v>
      </c>
      <c r="L353" t="n">
        <v>0</v>
      </c>
      <c r="M353" t="n">
        <v>0</v>
      </c>
      <c r="N353" t="n">
        <v>0</v>
      </c>
      <c r="O353" t="n">
        <v>0</v>
      </c>
      <c r="P353" t="n">
        <v>0</v>
      </c>
      <c r="Q353" t="n">
        <v>0</v>
      </c>
      <c r="R353" s="2" t="inlineStr"/>
    </row>
    <row r="354" ht="15" customHeight="1">
      <c r="A354" t="inlineStr">
        <is>
          <t>A 46522-2022</t>
        </is>
      </c>
      <c r="B354" s="1" t="n">
        <v>44848.59133101852</v>
      </c>
      <c r="C354" s="1" t="n">
        <v>45922</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41066-2024</t>
        </is>
      </c>
      <c r="B355" s="1" t="n">
        <v>45559.38876157408</v>
      </c>
      <c r="C355" s="1" t="n">
        <v>45922</v>
      </c>
      <c r="D355" t="inlineStr">
        <is>
          <t>KALMAR LÄN</t>
        </is>
      </c>
      <c r="E355" t="inlineStr">
        <is>
          <t>VIMMERBY</t>
        </is>
      </c>
      <c r="G355" t="n">
        <v>2.4</v>
      </c>
      <c r="H355" t="n">
        <v>0</v>
      </c>
      <c r="I355" t="n">
        <v>0</v>
      </c>
      <c r="J355" t="n">
        <v>0</v>
      </c>
      <c r="K355" t="n">
        <v>0</v>
      </c>
      <c r="L355" t="n">
        <v>0</v>
      </c>
      <c r="M355" t="n">
        <v>0</v>
      </c>
      <c r="N355" t="n">
        <v>0</v>
      </c>
      <c r="O355" t="n">
        <v>0</v>
      </c>
      <c r="P355" t="n">
        <v>0</v>
      </c>
      <c r="Q355" t="n">
        <v>0</v>
      </c>
      <c r="R355" s="2" t="inlineStr"/>
    </row>
    <row r="356" ht="15" customHeight="1">
      <c r="A356" t="inlineStr">
        <is>
          <t>A 52279-2023</t>
        </is>
      </c>
      <c r="B356" s="1" t="n">
        <v>45224</v>
      </c>
      <c r="C356" s="1" t="n">
        <v>45922</v>
      </c>
      <c r="D356" t="inlineStr">
        <is>
          <t>KALMAR LÄN</t>
        </is>
      </c>
      <c r="E356" t="inlineStr">
        <is>
          <t>VIMMERBY</t>
        </is>
      </c>
      <c r="G356" t="n">
        <v>1.8</v>
      </c>
      <c r="H356" t="n">
        <v>0</v>
      </c>
      <c r="I356" t="n">
        <v>0</v>
      </c>
      <c r="J356" t="n">
        <v>0</v>
      </c>
      <c r="K356" t="n">
        <v>0</v>
      </c>
      <c r="L356" t="n">
        <v>0</v>
      </c>
      <c r="M356" t="n">
        <v>0</v>
      </c>
      <c r="N356" t="n">
        <v>0</v>
      </c>
      <c r="O356" t="n">
        <v>0</v>
      </c>
      <c r="P356" t="n">
        <v>0</v>
      </c>
      <c r="Q356" t="n">
        <v>0</v>
      </c>
      <c r="R356" s="2" t="inlineStr"/>
    </row>
    <row r="357" ht="15" customHeight="1">
      <c r="A357" t="inlineStr">
        <is>
          <t>A 17486-2024</t>
        </is>
      </c>
      <c r="B357" s="1" t="n">
        <v>45415.48979166667</v>
      </c>
      <c r="C357" s="1" t="n">
        <v>45922</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12590-2025</t>
        </is>
      </c>
      <c r="B358" s="1" t="n">
        <v>45732.79925925926</v>
      </c>
      <c r="C358" s="1" t="n">
        <v>45922</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71631-2021</t>
        </is>
      </c>
      <c r="B359" s="1" t="n">
        <v>44542.90072916666</v>
      </c>
      <c r="C359" s="1" t="n">
        <v>45922</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35710-2023</t>
        </is>
      </c>
      <c r="B360" s="1" t="n">
        <v>45147.67096064815</v>
      </c>
      <c r="C360" s="1" t="n">
        <v>45922</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62023-2022</t>
        </is>
      </c>
      <c r="B361" s="1" t="n">
        <v>44918.50106481482</v>
      </c>
      <c r="C361" s="1" t="n">
        <v>45922</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52823-2024</t>
        </is>
      </c>
      <c r="B362" s="1" t="n">
        <v>45610.59094907407</v>
      </c>
      <c r="C362" s="1" t="n">
        <v>45922</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11147-2023</t>
        </is>
      </c>
      <c r="B363" s="1" t="n">
        <v>44992</v>
      </c>
      <c r="C363" s="1" t="n">
        <v>45922</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19833-2023</t>
        </is>
      </c>
      <c r="B364" s="1" t="n">
        <v>45052</v>
      </c>
      <c r="C364" s="1" t="n">
        <v>45922</v>
      </c>
      <c r="D364" t="inlineStr">
        <is>
          <t>KALMAR LÄN</t>
        </is>
      </c>
      <c r="E364" t="inlineStr">
        <is>
          <t>VIMMERBY</t>
        </is>
      </c>
      <c r="G364" t="n">
        <v>6.7</v>
      </c>
      <c r="H364" t="n">
        <v>0</v>
      </c>
      <c r="I364" t="n">
        <v>0</v>
      </c>
      <c r="J364" t="n">
        <v>0</v>
      </c>
      <c r="K364" t="n">
        <v>0</v>
      </c>
      <c r="L364" t="n">
        <v>0</v>
      </c>
      <c r="M364" t="n">
        <v>0</v>
      </c>
      <c r="N364" t="n">
        <v>0</v>
      </c>
      <c r="O364" t="n">
        <v>0</v>
      </c>
      <c r="P364" t="n">
        <v>0</v>
      </c>
      <c r="Q364" t="n">
        <v>0</v>
      </c>
      <c r="R364" s="2" t="inlineStr"/>
    </row>
    <row r="365" ht="15" customHeight="1">
      <c r="A365" t="inlineStr">
        <is>
          <t>A 16015-2025</t>
        </is>
      </c>
      <c r="B365" s="1" t="n">
        <v>45749.60487268519</v>
      </c>
      <c r="C365" s="1" t="n">
        <v>45922</v>
      </c>
      <c r="D365" t="inlineStr">
        <is>
          <t>KALMAR LÄN</t>
        </is>
      </c>
      <c r="E365" t="inlineStr">
        <is>
          <t>VIMMERBY</t>
        </is>
      </c>
      <c r="F365" t="inlineStr">
        <is>
          <t>Kyrkan</t>
        </is>
      </c>
      <c r="G365" t="n">
        <v>2.7</v>
      </c>
      <c r="H365" t="n">
        <v>0</v>
      </c>
      <c r="I365" t="n">
        <v>0</v>
      </c>
      <c r="J365" t="n">
        <v>0</v>
      </c>
      <c r="K365" t="n">
        <v>0</v>
      </c>
      <c r="L365" t="n">
        <v>0</v>
      </c>
      <c r="M365" t="n">
        <v>0</v>
      </c>
      <c r="N365" t="n">
        <v>0</v>
      </c>
      <c r="O365" t="n">
        <v>0</v>
      </c>
      <c r="P365" t="n">
        <v>0</v>
      </c>
      <c r="Q365" t="n">
        <v>0</v>
      </c>
      <c r="R365" s="2" t="inlineStr"/>
    </row>
    <row r="366" ht="15" customHeight="1">
      <c r="A366" t="inlineStr">
        <is>
          <t>A 9694-2023</t>
        </is>
      </c>
      <c r="B366" s="1" t="n">
        <v>44984.45895833334</v>
      </c>
      <c r="C366" s="1" t="n">
        <v>45922</v>
      </c>
      <c r="D366" t="inlineStr">
        <is>
          <t>KALMAR LÄN</t>
        </is>
      </c>
      <c r="E366" t="inlineStr">
        <is>
          <t>VIMMERBY</t>
        </is>
      </c>
      <c r="G366" t="n">
        <v>2.1</v>
      </c>
      <c r="H366" t="n">
        <v>0</v>
      </c>
      <c r="I366" t="n">
        <v>0</v>
      </c>
      <c r="J366" t="n">
        <v>0</v>
      </c>
      <c r="K366" t="n">
        <v>0</v>
      </c>
      <c r="L366" t="n">
        <v>0</v>
      </c>
      <c r="M366" t="n">
        <v>0</v>
      </c>
      <c r="N366" t="n">
        <v>0</v>
      </c>
      <c r="O366" t="n">
        <v>0</v>
      </c>
      <c r="P366" t="n">
        <v>0</v>
      </c>
      <c r="Q366" t="n">
        <v>0</v>
      </c>
      <c r="R366" s="2" t="inlineStr"/>
    </row>
    <row r="367" ht="15" customHeight="1">
      <c r="A367" t="inlineStr">
        <is>
          <t>A 27718-2025</t>
        </is>
      </c>
      <c r="B367" s="1" t="n">
        <v>45814.38221064815</v>
      </c>
      <c r="C367" s="1" t="n">
        <v>45922</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22198-2024</t>
        </is>
      </c>
      <c r="B368" s="1" t="n">
        <v>45446.36865740741</v>
      </c>
      <c r="C368" s="1" t="n">
        <v>45922</v>
      </c>
      <c r="D368" t="inlineStr">
        <is>
          <t>KALMAR LÄN</t>
        </is>
      </c>
      <c r="E368" t="inlineStr">
        <is>
          <t>VIMMERBY</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57311-2023</t>
        </is>
      </c>
      <c r="B369" s="1" t="n">
        <v>45245.63574074074</v>
      </c>
      <c r="C369" s="1" t="n">
        <v>45922</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12588-2025</t>
        </is>
      </c>
      <c r="B370" s="1" t="n">
        <v>45732.76936342593</v>
      </c>
      <c r="C370" s="1" t="n">
        <v>45922</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7932-2025</t>
        </is>
      </c>
      <c r="B371" s="1" t="n">
        <v>45707.3793287037</v>
      </c>
      <c r="C371" s="1" t="n">
        <v>45922</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16119-2023</t>
        </is>
      </c>
      <c r="B372" s="1" t="n">
        <v>45027.59450231482</v>
      </c>
      <c r="C372" s="1" t="n">
        <v>45922</v>
      </c>
      <c r="D372" t="inlineStr">
        <is>
          <t>KALMAR LÄN</t>
        </is>
      </c>
      <c r="E372" t="inlineStr">
        <is>
          <t>VIMMERBY</t>
        </is>
      </c>
      <c r="F372" t="inlineStr">
        <is>
          <t>Kommuner</t>
        </is>
      </c>
      <c r="G372" t="n">
        <v>4.4</v>
      </c>
      <c r="H372" t="n">
        <v>0</v>
      </c>
      <c r="I372" t="n">
        <v>0</v>
      </c>
      <c r="J372" t="n">
        <v>0</v>
      </c>
      <c r="K372" t="n">
        <v>0</v>
      </c>
      <c r="L372" t="n">
        <v>0</v>
      </c>
      <c r="M372" t="n">
        <v>0</v>
      </c>
      <c r="N372" t="n">
        <v>0</v>
      </c>
      <c r="O372" t="n">
        <v>0</v>
      </c>
      <c r="P372" t="n">
        <v>0</v>
      </c>
      <c r="Q372" t="n">
        <v>0</v>
      </c>
      <c r="R372" s="2" t="inlineStr"/>
    </row>
    <row r="373" ht="15" customHeight="1">
      <c r="A373" t="inlineStr">
        <is>
          <t>A 27719-2025</t>
        </is>
      </c>
      <c r="B373" s="1" t="n">
        <v>45814.3865625</v>
      </c>
      <c r="C373" s="1" t="n">
        <v>45922</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2121-2022</t>
        </is>
      </c>
      <c r="B374" s="1" t="n">
        <v>44578.32717592592</v>
      </c>
      <c r="C374" s="1" t="n">
        <v>45922</v>
      </c>
      <c r="D374" t="inlineStr">
        <is>
          <t>KALMAR LÄN</t>
        </is>
      </c>
      <c r="E374" t="inlineStr">
        <is>
          <t>VIMMERBY</t>
        </is>
      </c>
      <c r="G374" t="n">
        <v>2</v>
      </c>
      <c r="H374" t="n">
        <v>0</v>
      </c>
      <c r="I374" t="n">
        <v>0</v>
      </c>
      <c r="J374" t="n">
        <v>0</v>
      </c>
      <c r="K374" t="n">
        <v>0</v>
      </c>
      <c r="L374" t="n">
        <v>0</v>
      </c>
      <c r="M374" t="n">
        <v>0</v>
      </c>
      <c r="N374" t="n">
        <v>0</v>
      </c>
      <c r="O374" t="n">
        <v>0</v>
      </c>
      <c r="P374" t="n">
        <v>0</v>
      </c>
      <c r="Q374" t="n">
        <v>0</v>
      </c>
      <c r="R374" s="2" t="inlineStr"/>
    </row>
    <row r="375" ht="15" customHeight="1">
      <c r="A375" t="inlineStr">
        <is>
          <t>A 52327-2023</t>
        </is>
      </c>
      <c r="B375" s="1" t="n">
        <v>45224.6515162037</v>
      </c>
      <c r="C375" s="1" t="n">
        <v>45922</v>
      </c>
      <c r="D375" t="inlineStr">
        <is>
          <t>KALMAR LÄN</t>
        </is>
      </c>
      <c r="E375" t="inlineStr">
        <is>
          <t>VIMMERBY</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34386-2024</t>
        </is>
      </c>
      <c r="B376" s="1" t="n">
        <v>45525.41762731481</v>
      </c>
      <c r="C376" s="1" t="n">
        <v>45922</v>
      </c>
      <c r="D376" t="inlineStr">
        <is>
          <t>KALMAR LÄN</t>
        </is>
      </c>
      <c r="E376" t="inlineStr">
        <is>
          <t>VIMMERBY</t>
        </is>
      </c>
      <c r="G376" t="n">
        <v>0.3</v>
      </c>
      <c r="H376" t="n">
        <v>0</v>
      </c>
      <c r="I376" t="n">
        <v>0</v>
      </c>
      <c r="J376" t="n">
        <v>0</v>
      </c>
      <c r="K376" t="n">
        <v>0</v>
      </c>
      <c r="L376" t="n">
        <v>0</v>
      </c>
      <c r="M376" t="n">
        <v>0</v>
      </c>
      <c r="N376" t="n">
        <v>0</v>
      </c>
      <c r="O376" t="n">
        <v>0</v>
      </c>
      <c r="P376" t="n">
        <v>0</v>
      </c>
      <c r="Q376" t="n">
        <v>0</v>
      </c>
      <c r="R376" s="2" t="inlineStr"/>
    </row>
    <row r="377" ht="15" customHeight="1">
      <c r="A377" t="inlineStr">
        <is>
          <t>A 6069-2023</t>
        </is>
      </c>
      <c r="B377" s="1" t="n">
        <v>44964.5115162037</v>
      </c>
      <c r="C377" s="1" t="n">
        <v>45922</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12075-2024</t>
        </is>
      </c>
      <c r="B378" s="1" t="n">
        <v>45377</v>
      </c>
      <c r="C378" s="1" t="n">
        <v>45922</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32633-2023</t>
        </is>
      </c>
      <c r="B379" s="1" t="n">
        <v>45121.58699074074</v>
      </c>
      <c r="C379" s="1" t="n">
        <v>45922</v>
      </c>
      <c r="D379" t="inlineStr">
        <is>
          <t>KALMAR LÄN</t>
        </is>
      </c>
      <c r="E379" t="inlineStr">
        <is>
          <t>VIMMERBY</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49461-2023</t>
        </is>
      </c>
      <c r="B380" s="1" t="n">
        <v>45211.52642361111</v>
      </c>
      <c r="C380" s="1" t="n">
        <v>45922</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29348-2023</t>
        </is>
      </c>
      <c r="B381" s="1" t="n">
        <v>45106.25025462963</v>
      </c>
      <c r="C381" s="1" t="n">
        <v>45922</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14548-2024</t>
        </is>
      </c>
      <c r="B382" s="1" t="n">
        <v>45394.66887731481</v>
      </c>
      <c r="C382" s="1" t="n">
        <v>45922</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585-2024</t>
        </is>
      </c>
      <c r="B383" s="1" t="n">
        <v>45299.62576388889</v>
      </c>
      <c r="C383" s="1" t="n">
        <v>45922</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23095-2023</t>
        </is>
      </c>
      <c r="B384" s="1" t="n">
        <v>45075.43059027778</v>
      </c>
      <c r="C384" s="1" t="n">
        <v>45922</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11429-2022</t>
        </is>
      </c>
      <c r="B385" s="1" t="n">
        <v>44630</v>
      </c>
      <c r="C385" s="1" t="n">
        <v>45922</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56020-2024</t>
        </is>
      </c>
      <c r="B386" s="1" t="n">
        <v>45623.9525462963</v>
      </c>
      <c r="C386" s="1" t="n">
        <v>45922</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31340-2023</t>
        </is>
      </c>
      <c r="B387" s="1" t="n">
        <v>45114.47895833333</v>
      </c>
      <c r="C387" s="1" t="n">
        <v>45922</v>
      </c>
      <c r="D387" t="inlineStr">
        <is>
          <t>KALMAR LÄN</t>
        </is>
      </c>
      <c r="E387" t="inlineStr">
        <is>
          <t>VIMMERBY</t>
        </is>
      </c>
      <c r="G387" t="n">
        <v>1.8</v>
      </c>
      <c r="H387" t="n">
        <v>0</v>
      </c>
      <c r="I387" t="n">
        <v>0</v>
      </c>
      <c r="J387" t="n">
        <v>0</v>
      </c>
      <c r="K387" t="n">
        <v>0</v>
      </c>
      <c r="L387" t="n">
        <v>0</v>
      </c>
      <c r="M387" t="n">
        <v>0</v>
      </c>
      <c r="N387" t="n">
        <v>0</v>
      </c>
      <c r="O387" t="n">
        <v>0</v>
      </c>
      <c r="P387" t="n">
        <v>0</v>
      </c>
      <c r="Q387" t="n">
        <v>0</v>
      </c>
      <c r="R387" s="2" t="inlineStr"/>
    </row>
    <row r="388" ht="15" customHeight="1">
      <c r="A388" t="inlineStr">
        <is>
          <t>A 28286-2025</t>
        </is>
      </c>
      <c r="B388" s="1" t="n">
        <v>45818.58993055556</v>
      </c>
      <c r="C388" s="1" t="n">
        <v>45922</v>
      </c>
      <c r="D388" t="inlineStr">
        <is>
          <t>KALMAR LÄN</t>
        </is>
      </c>
      <c r="E388" t="inlineStr">
        <is>
          <t>VIMMERBY</t>
        </is>
      </c>
      <c r="F388" t="inlineStr">
        <is>
          <t>Sveaskog</t>
        </is>
      </c>
      <c r="G388" t="n">
        <v>8</v>
      </c>
      <c r="H388" t="n">
        <v>0</v>
      </c>
      <c r="I388" t="n">
        <v>0</v>
      </c>
      <c r="J388" t="n">
        <v>0</v>
      </c>
      <c r="K388" t="n">
        <v>0</v>
      </c>
      <c r="L388" t="n">
        <v>0</v>
      </c>
      <c r="M388" t="n">
        <v>0</v>
      </c>
      <c r="N388" t="n">
        <v>0</v>
      </c>
      <c r="O388" t="n">
        <v>0</v>
      </c>
      <c r="P388" t="n">
        <v>0</v>
      </c>
      <c r="Q388" t="n">
        <v>0</v>
      </c>
      <c r="R388" s="2" t="inlineStr"/>
    </row>
    <row r="389" ht="15" customHeight="1">
      <c r="A389" t="inlineStr">
        <is>
          <t>A 11141-2024</t>
        </is>
      </c>
      <c r="B389" s="1" t="n">
        <v>45371.45865740741</v>
      </c>
      <c r="C389" s="1" t="n">
        <v>45922</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28395-2023</t>
        </is>
      </c>
      <c r="B390" s="1" t="n">
        <v>45100.4062962963</v>
      </c>
      <c r="C390" s="1" t="n">
        <v>45922</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23252-2024</t>
        </is>
      </c>
      <c r="B391" s="1" t="n">
        <v>45453.36067129629</v>
      </c>
      <c r="C391" s="1" t="n">
        <v>45922</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28282-2025</t>
        </is>
      </c>
      <c r="B392" s="1" t="n">
        <v>45818.58769675926</v>
      </c>
      <c r="C392" s="1" t="n">
        <v>45922</v>
      </c>
      <c r="D392" t="inlineStr">
        <is>
          <t>KALMAR LÄN</t>
        </is>
      </c>
      <c r="E392" t="inlineStr">
        <is>
          <t>VIMMERBY</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28294-2025</t>
        </is>
      </c>
      <c r="B393" s="1" t="n">
        <v>45818.595625</v>
      </c>
      <c r="C393" s="1" t="n">
        <v>45922</v>
      </c>
      <c r="D393" t="inlineStr">
        <is>
          <t>KALMAR LÄN</t>
        </is>
      </c>
      <c r="E393" t="inlineStr">
        <is>
          <t>VIMMERBY</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34597-2022</t>
        </is>
      </c>
      <c r="B394" s="1" t="n">
        <v>44795</v>
      </c>
      <c r="C394" s="1" t="n">
        <v>45922</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28290-2025</t>
        </is>
      </c>
      <c r="B395" s="1" t="n">
        <v>45818.59261574074</v>
      </c>
      <c r="C395" s="1" t="n">
        <v>45922</v>
      </c>
      <c r="D395" t="inlineStr">
        <is>
          <t>KALMAR LÄN</t>
        </is>
      </c>
      <c r="E395" t="inlineStr">
        <is>
          <t>VIMMERBY</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64428-2023</t>
        </is>
      </c>
      <c r="B396" s="1" t="n">
        <v>45280.66769675926</v>
      </c>
      <c r="C396" s="1" t="n">
        <v>45922</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30588-2023</t>
        </is>
      </c>
      <c r="B397" s="1" t="n">
        <v>45112.33599537037</v>
      </c>
      <c r="C397" s="1" t="n">
        <v>45922</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30503-2023</t>
        </is>
      </c>
      <c r="B398" s="1" t="n">
        <v>45111</v>
      </c>
      <c r="C398" s="1" t="n">
        <v>45922</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28280-2025</t>
        </is>
      </c>
      <c r="B399" s="1" t="n">
        <v>45818.5862037037</v>
      </c>
      <c r="C399" s="1" t="n">
        <v>45922</v>
      </c>
      <c r="D399" t="inlineStr">
        <is>
          <t>KALMAR LÄN</t>
        </is>
      </c>
      <c r="E399" t="inlineStr">
        <is>
          <t>VIMMERBY</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15550-2023</t>
        </is>
      </c>
      <c r="B400" s="1" t="n">
        <v>45020</v>
      </c>
      <c r="C400" s="1" t="n">
        <v>45922</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47263-2023</t>
        </is>
      </c>
      <c r="B401" s="1" t="n">
        <v>45202.4209837963</v>
      </c>
      <c r="C401" s="1" t="n">
        <v>45922</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58100-2024</t>
        </is>
      </c>
      <c r="B402" s="1" t="n">
        <v>45632.36706018518</v>
      </c>
      <c r="C402" s="1" t="n">
        <v>45922</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58159-2024</t>
        </is>
      </c>
      <c r="B403" s="1" t="n">
        <v>45632.44886574074</v>
      </c>
      <c r="C403" s="1" t="n">
        <v>45922</v>
      </c>
      <c r="D403" t="inlineStr">
        <is>
          <t>KALMAR LÄN</t>
        </is>
      </c>
      <c r="E403" t="inlineStr">
        <is>
          <t>VIMMERBY</t>
        </is>
      </c>
      <c r="G403" t="n">
        <v>7.5</v>
      </c>
      <c r="H403" t="n">
        <v>0</v>
      </c>
      <c r="I403" t="n">
        <v>0</v>
      </c>
      <c r="J403" t="n">
        <v>0</v>
      </c>
      <c r="K403" t="n">
        <v>0</v>
      </c>
      <c r="L403" t="n">
        <v>0</v>
      </c>
      <c r="M403" t="n">
        <v>0</v>
      </c>
      <c r="N403" t="n">
        <v>0</v>
      </c>
      <c r="O403" t="n">
        <v>0</v>
      </c>
      <c r="P403" t="n">
        <v>0</v>
      </c>
      <c r="Q403" t="n">
        <v>0</v>
      </c>
      <c r="R403" s="2" t="inlineStr"/>
    </row>
    <row r="404" ht="15" customHeight="1">
      <c r="A404" t="inlineStr">
        <is>
          <t>A 57114-2023</t>
        </is>
      </c>
      <c r="B404" s="1" t="n">
        <v>45245.36174768519</v>
      </c>
      <c r="C404" s="1" t="n">
        <v>45922</v>
      </c>
      <c r="D404" t="inlineStr">
        <is>
          <t>KALMAR LÄN</t>
        </is>
      </c>
      <c r="E404" t="inlineStr">
        <is>
          <t>VIMMERBY</t>
        </is>
      </c>
      <c r="G404" t="n">
        <v>1.5</v>
      </c>
      <c r="H404" t="n">
        <v>0</v>
      </c>
      <c r="I404" t="n">
        <v>0</v>
      </c>
      <c r="J404" t="n">
        <v>0</v>
      </c>
      <c r="K404" t="n">
        <v>0</v>
      </c>
      <c r="L404" t="n">
        <v>0</v>
      </c>
      <c r="M404" t="n">
        <v>0</v>
      </c>
      <c r="N404" t="n">
        <v>0</v>
      </c>
      <c r="O404" t="n">
        <v>0</v>
      </c>
      <c r="P404" t="n">
        <v>0</v>
      </c>
      <c r="Q404" t="n">
        <v>0</v>
      </c>
      <c r="R404" s="2" t="inlineStr"/>
    </row>
    <row r="405" ht="15" customHeight="1">
      <c r="A405" t="inlineStr">
        <is>
          <t>A 3423-2022</t>
        </is>
      </c>
      <c r="B405" s="1" t="n">
        <v>44585.50431712963</v>
      </c>
      <c r="C405" s="1" t="n">
        <v>45922</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11219-2023</t>
        </is>
      </c>
      <c r="B406" s="1" t="n">
        <v>44992.62498842592</v>
      </c>
      <c r="C406" s="1" t="n">
        <v>45922</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18411-2021</t>
        </is>
      </c>
      <c r="B407" s="1" t="n">
        <v>44302</v>
      </c>
      <c r="C407" s="1" t="n">
        <v>45922</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47855-2024</t>
        </is>
      </c>
      <c r="B408" s="1" t="n">
        <v>45588.66457175926</v>
      </c>
      <c r="C408" s="1" t="n">
        <v>45922</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40665-2023</t>
        </is>
      </c>
      <c r="B409" s="1" t="n">
        <v>45170</v>
      </c>
      <c r="C409" s="1" t="n">
        <v>45922</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172-2022</t>
        </is>
      </c>
      <c r="B410" s="1" t="n">
        <v>44564.62598379629</v>
      </c>
      <c r="C410" s="1" t="n">
        <v>45922</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50860-2022</t>
        </is>
      </c>
      <c r="B411" s="1" t="n">
        <v>44867</v>
      </c>
      <c r="C411" s="1" t="n">
        <v>45922</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39584-2024</t>
        </is>
      </c>
      <c r="B412" s="1" t="n">
        <v>45552.36759259259</v>
      </c>
      <c r="C412" s="1" t="n">
        <v>45922</v>
      </c>
      <c r="D412" t="inlineStr">
        <is>
          <t>KALMAR LÄN</t>
        </is>
      </c>
      <c r="E412" t="inlineStr">
        <is>
          <t>VIMMERBY</t>
        </is>
      </c>
      <c r="G412" t="n">
        <v>1.9</v>
      </c>
      <c r="H412" t="n">
        <v>0</v>
      </c>
      <c r="I412" t="n">
        <v>0</v>
      </c>
      <c r="J412" t="n">
        <v>0</v>
      </c>
      <c r="K412" t="n">
        <v>0</v>
      </c>
      <c r="L412" t="n">
        <v>0</v>
      </c>
      <c r="M412" t="n">
        <v>0</v>
      </c>
      <c r="N412" t="n">
        <v>0</v>
      </c>
      <c r="O412" t="n">
        <v>0</v>
      </c>
      <c r="P412" t="n">
        <v>0</v>
      </c>
      <c r="Q412" t="n">
        <v>0</v>
      </c>
      <c r="R412" s="2" t="inlineStr"/>
    </row>
    <row r="413" ht="15" customHeight="1">
      <c r="A413" t="inlineStr">
        <is>
          <t>A 25370-2022</t>
        </is>
      </c>
      <c r="B413" s="1" t="n">
        <v>44732.3659837963</v>
      </c>
      <c r="C413" s="1" t="n">
        <v>45922</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58577-2024</t>
        </is>
      </c>
      <c r="B414" s="1" t="n">
        <v>45635.4874537037</v>
      </c>
      <c r="C414" s="1" t="n">
        <v>45922</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29440-2024</t>
        </is>
      </c>
      <c r="B415" s="1" t="n">
        <v>45483.82479166667</v>
      </c>
      <c r="C415" s="1" t="n">
        <v>45922</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28620-2025</t>
        </is>
      </c>
      <c r="B416" s="1" t="n">
        <v>45819.61060185185</v>
      </c>
      <c r="C416" s="1" t="n">
        <v>45922</v>
      </c>
      <c r="D416" t="inlineStr">
        <is>
          <t>KALMAR LÄN</t>
        </is>
      </c>
      <c r="E416" t="inlineStr">
        <is>
          <t>VIMMERBY</t>
        </is>
      </c>
      <c r="G416" t="n">
        <v>5.6</v>
      </c>
      <c r="H416" t="n">
        <v>0</v>
      </c>
      <c r="I416" t="n">
        <v>0</v>
      </c>
      <c r="J416" t="n">
        <v>0</v>
      </c>
      <c r="K416" t="n">
        <v>0</v>
      </c>
      <c r="L416" t="n">
        <v>0</v>
      </c>
      <c r="M416" t="n">
        <v>0</v>
      </c>
      <c r="N416" t="n">
        <v>0</v>
      </c>
      <c r="O416" t="n">
        <v>0</v>
      </c>
      <c r="P416" t="n">
        <v>0</v>
      </c>
      <c r="Q416" t="n">
        <v>0</v>
      </c>
      <c r="R416" s="2" t="inlineStr"/>
    </row>
    <row r="417" ht="15" customHeight="1">
      <c r="A417" t="inlineStr">
        <is>
          <t>A 7758-2024</t>
        </is>
      </c>
      <c r="B417" s="1" t="n">
        <v>45349.54434027777</v>
      </c>
      <c r="C417" s="1" t="n">
        <v>45922</v>
      </c>
      <c r="D417" t="inlineStr">
        <is>
          <t>KALMAR LÄN</t>
        </is>
      </c>
      <c r="E417" t="inlineStr">
        <is>
          <t>VIMMERBY</t>
        </is>
      </c>
      <c r="G417" t="n">
        <v>3.5</v>
      </c>
      <c r="H417" t="n">
        <v>0</v>
      </c>
      <c r="I417" t="n">
        <v>0</v>
      </c>
      <c r="J417" t="n">
        <v>0</v>
      </c>
      <c r="K417" t="n">
        <v>0</v>
      </c>
      <c r="L417" t="n">
        <v>0</v>
      </c>
      <c r="M417" t="n">
        <v>0</v>
      </c>
      <c r="N417" t="n">
        <v>0</v>
      </c>
      <c r="O417" t="n">
        <v>0</v>
      </c>
      <c r="P417" t="n">
        <v>0</v>
      </c>
      <c r="Q417" t="n">
        <v>0</v>
      </c>
      <c r="R417" s="2" t="inlineStr"/>
    </row>
    <row r="418" ht="15" customHeight="1">
      <c r="A418" t="inlineStr">
        <is>
          <t>A 9129-2025</t>
        </is>
      </c>
      <c r="B418" s="1" t="n">
        <v>45713.92412037037</v>
      </c>
      <c r="C418" s="1" t="n">
        <v>45922</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22197-2024</t>
        </is>
      </c>
      <c r="B419" s="1" t="n">
        <v>45446.36774305555</v>
      </c>
      <c r="C419" s="1" t="n">
        <v>45922</v>
      </c>
      <c r="D419" t="inlineStr">
        <is>
          <t>KALMAR LÄN</t>
        </is>
      </c>
      <c r="E419" t="inlineStr">
        <is>
          <t>VIMMERBY</t>
        </is>
      </c>
      <c r="F419" t="inlineStr">
        <is>
          <t>Sveaskog</t>
        </is>
      </c>
      <c r="G419" t="n">
        <v>3.2</v>
      </c>
      <c r="H419" t="n">
        <v>0</v>
      </c>
      <c r="I419" t="n">
        <v>0</v>
      </c>
      <c r="J419" t="n">
        <v>0</v>
      </c>
      <c r="K419" t="n">
        <v>0</v>
      </c>
      <c r="L419" t="n">
        <v>0</v>
      </c>
      <c r="M419" t="n">
        <v>0</v>
      </c>
      <c r="N419" t="n">
        <v>0</v>
      </c>
      <c r="O419" t="n">
        <v>0</v>
      </c>
      <c r="P419" t="n">
        <v>0</v>
      </c>
      <c r="Q419" t="n">
        <v>0</v>
      </c>
      <c r="R419" s="2" t="inlineStr"/>
    </row>
    <row r="420" ht="15" customHeight="1">
      <c r="A420" t="inlineStr">
        <is>
          <t>A 53752-2024</t>
        </is>
      </c>
      <c r="B420" s="1" t="n">
        <v>45615.48927083334</v>
      </c>
      <c r="C420" s="1" t="n">
        <v>45922</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5701-2024</t>
        </is>
      </c>
      <c r="B421" s="1" t="n">
        <v>45334.78826388889</v>
      </c>
      <c r="C421" s="1" t="n">
        <v>45922</v>
      </c>
      <c r="D421" t="inlineStr">
        <is>
          <t>KALMAR LÄN</t>
        </is>
      </c>
      <c r="E421" t="inlineStr">
        <is>
          <t>VIMMERBY</t>
        </is>
      </c>
      <c r="G421" t="n">
        <v>2.3</v>
      </c>
      <c r="H421" t="n">
        <v>0</v>
      </c>
      <c r="I421" t="n">
        <v>0</v>
      </c>
      <c r="J421" t="n">
        <v>0</v>
      </c>
      <c r="K421" t="n">
        <v>0</v>
      </c>
      <c r="L421" t="n">
        <v>0</v>
      </c>
      <c r="M421" t="n">
        <v>0</v>
      </c>
      <c r="N421" t="n">
        <v>0</v>
      </c>
      <c r="O421" t="n">
        <v>0</v>
      </c>
      <c r="P421" t="n">
        <v>0</v>
      </c>
      <c r="Q421" t="n">
        <v>0</v>
      </c>
      <c r="R421" s="2" t="inlineStr"/>
    </row>
    <row r="422" ht="15" customHeight="1">
      <c r="A422" t="inlineStr">
        <is>
          <t>A 31405-2023</t>
        </is>
      </c>
      <c r="B422" s="1" t="n">
        <v>45114.58148148148</v>
      </c>
      <c r="C422" s="1" t="n">
        <v>45922</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6355-2022</t>
        </is>
      </c>
      <c r="B423" s="1" t="n">
        <v>44600</v>
      </c>
      <c r="C423" s="1" t="n">
        <v>45922</v>
      </c>
      <c r="D423" t="inlineStr">
        <is>
          <t>KALMAR LÄN</t>
        </is>
      </c>
      <c r="E423" t="inlineStr">
        <is>
          <t>VIMMERBY</t>
        </is>
      </c>
      <c r="G423" t="n">
        <v>4.9</v>
      </c>
      <c r="H423" t="n">
        <v>0</v>
      </c>
      <c r="I423" t="n">
        <v>0</v>
      </c>
      <c r="J423" t="n">
        <v>0</v>
      </c>
      <c r="K423" t="n">
        <v>0</v>
      </c>
      <c r="L423" t="n">
        <v>0</v>
      </c>
      <c r="M423" t="n">
        <v>0</v>
      </c>
      <c r="N423" t="n">
        <v>0</v>
      </c>
      <c r="O423" t="n">
        <v>0</v>
      </c>
      <c r="P423" t="n">
        <v>0</v>
      </c>
      <c r="Q423" t="n">
        <v>0</v>
      </c>
      <c r="R423" s="2" t="inlineStr"/>
    </row>
    <row r="424" ht="15" customHeight="1">
      <c r="A424" t="inlineStr">
        <is>
          <t>A 46225-2024</t>
        </is>
      </c>
      <c r="B424" s="1" t="n">
        <v>45581.57333333333</v>
      </c>
      <c r="C424" s="1" t="n">
        <v>45922</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12121-2025</t>
        </is>
      </c>
      <c r="B425" s="1" t="n">
        <v>45729.36868055556</v>
      </c>
      <c r="C425" s="1" t="n">
        <v>45922</v>
      </c>
      <c r="D425" t="inlineStr">
        <is>
          <t>KALMAR LÄN</t>
        </is>
      </c>
      <c r="E425" t="inlineStr">
        <is>
          <t>VIMMERBY</t>
        </is>
      </c>
      <c r="G425" t="n">
        <v>4.3</v>
      </c>
      <c r="H425" t="n">
        <v>0</v>
      </c>
      <c r="I425" t="n">
        <v>0</v>
      </c>
      <c r="J425" t="n">
        <v>0</v>
      </c>
      <c r="K425" t="n">
        <v>0</v>
      </c>
      <c r="L425" t="n">
        <v>0</v>
      </c>
      <c r="M425" t="n">
        <v>0</v>
      </c>
      <c r="N425" t="n">
        <v>0</v>
      </c>
      <c r="O425" t="n">
        <v>0</v>
      </c>
      <c r="P425" t="n">
        <v>0</v>
      </c>
      <c r="Q425" t="n">
        <v>0</v>
      </c>
      <c r="R425" s="2" t="inlineStr"/>
    </row>
    <row r="426" ht="15" customHeight="1">
      <c r="A426" t="inlineStr">
        <is>
          <t>A 9710-2023</t>
        </is>
      </c>
      <c r="B426" s="1" t="n">
        <v>44984</v>
      </c>
      <c r="C426" s="1" t="n">
        <v>45922</v>
      </c>
      <c r="D426" t="inlineStr">
        <is>
          <t>KALMAR LÄN</t>
        </is>
      </c>
      <c r="E426" t="inlineStr">
        <is>
          <t>VIMMERBY</t>
        </is>
      </c>
      <c r="G426" t="n">
        <v>3.7</v>
      </c>
      <c r="H426" t="n">
        <v>0</v>
      </c>
      <c r="I426" t="n">
        <v>0</v>
      </c>
      <c r="J426" t="n">
        <v>0</v>
      </c>
      <c r="K426" t="n">
        <v>0</v>
      </c>
      <c r="L426" t="n">
        <v>0</v>
      </c>
      <c r="M426" t="n">
        <v>0</v>
      </c>
      <c r="N426" t="n">
        <v>0</v>
      </c>
      <c r="O426" t="n">
        <v>0</v>
      </c>
      <c r="P426" t="n">
        <v>0</v>
      </c>
      <c r="Q426" t="n">
        <v>0</v>
      </c>
      <c r="R426" s="2" t="inlineStr"/>
    </row>
    <row r="427" ht="15" customHeight="1">
      <c r="A427" t="inlineStr">
        <is>
          <t>A 9720-2023</t>
        </is>
      </c>
      <c r="B427" s="1" t="n">
        <v>44984</v>
      </c>
      <c r="C427" s="1" t="n">
        <v>45922</v>
      </c>
      <c r="D427" t="inlineStr">
        <is>
          <t>KALMAR LÄN</t>
        </is>
      </c>
      <c r="E427" t="inlineStr">
        <is>
          <t>VIMMERBY</t>
        </is>
      </c>
      <c r="G427" t="n">
        <v>4.4</v>
      </c>
      <c r="H427" t="n">
        <v>0</v>
      </c>
      <c r="I427" t="n">
        <v>0</v>
      </c>
      <c r="J427" t="n">
        <v>0</v>
      </c>
      <c r="K427" t="n">
        <v>0</v>
      </c>
      <c r="L427" t="n">
        <v>0</v>
      </c>
      <c r="M427" t="n">
        <v>0</v>
      </c>
      <c r="N427" t="n">
        <v>0</v>
      </c>
      <c r="O427" t="n">
        <v>0</v>
      </c>
      <c r="P427" t="n">
        <v>0</v>
      </c>
      <c r="Q427" t="n">
        <v>0</v>
      </c>
      <c r="R427" s="2" t="inlineStr"/>
    </row>
    <row r="428" ht="15" customHeight="1">
      <c r="A428" t="inlineStr">
        <is>
          <t>A 15493-2023</t>
        </is>
      </c>
      <c r="B428" s="1" t="n">
        <v>45018</v>
      </c>
      <c r="C428" s="1" t="n">
        <v>45922</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51881-2024</t>
        </is>
      </c>
      <c r="B429" s="1" t="n">
        <v>45607.56773148148</v>
      </c>
      <c r="C429" s="1" t="n">
        <v>45922</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29093-2023</t>
        </is>
      </c>
      <c r="B430" s="1" t="n">
        <v>45105</v>
      </c>
      <c r="C430" s="1" t="n">
        <v>45922</v>
      </c>
      <c r="D430" t="inlineStr">
        <is>
          <t>KALMAR LÄN</t>
        </is>
      </c>
      <c r="E430" t="inlineStr">
        <is>
          <t>VIMMERBY</t>
        </is>
      </c>
      <c r="G430" t="n">
        <v>2.9</v>
      </c>
      <c r="H430" t="n">
        <v>0</v>
      </c>
      <c r="I430" t="n">
        <v>0</v>
      </c>
      <c r="J430" t="n">
        <v>0</v>
      </c>
      <c r="K430" t="n">
        <v>0</v>
      </c>
      <c r="L430" t="n">
        <v>0</v>
      </c>
      <c r="M430" t="n">
        <v>0</v>
      </c>
      <c r="N430" t="n">
        <v>0</v>
      </c>
      <c r="O430" t="n">
        <v>0</v>
      </c>
      <c r="P430" t="n">
        <v>0</v>
      </c>
      <c r="Q430" t="n">
        <v>0</v>
      </c>
      <c r="R430" s="2" t="inlineStr"/>
    </row>
    <row r="431" ht="15" customHeight="1">
      <c r="A431" t="inlineStr">
        <is>
          <t>A 33352-2022</t>
        </is>
      </c>
      <c r="B431" s="1" t="n">
        <v>44788</v>
      </c>
      <c r="C431" s="1" t="n">
        <v>45922</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10674-2021</t>
        </is>
      </c>
      <c r="B432" s="1" t="n">
        <v>44258</v>
      </c>
      <c r="C432" s="1" t="n">
        <v>45922</v>
      </c>
      <c r="D432" t="inlineStr">
        <is>
          <t>KALMAR LÄN</t>
        </is>
      </c>
      <c r="E432" t="inlineStr">
        <is>
          <t>VIMMERBY</t>
        </is>
      </c>
      <c r="G432" t="n">
        <v>8.4</v>
      </c>
      <c r="H432" t="n">
        <v>0</v>
      </c>
      <c r="I432" t="n">
        <v>0</v>
      </c>
      <c r="J432" t="n">
        <v>0</v>
      </c>
      <c r="K432" t="n">
        <v>0</v>
      </c>
      <c r="L432" t="n">
        <v>0</v>
      </c>
      <c r="M432" t="n">
        <v>0</v>
      </c>
      <c r="N432" t="n">
        <v>0</v>
      </c>
      <c r="O432" t="n">
        <v>0</v>
      </c>
      <c r="P432" t="n">
        <v>0</v>
      </c>
      <c r="Q432" t="n">
        <v>0</v>
      </c>
      <c r="R432" s="2" t="inlineStr"/>
    </row>
    <row r="433" ht="15" customHeight="1">
      <c r="A433" t="inlineStr">
        <is>
          <t>A 28712-2025</t>
        </is>
      </c>
      <c r="B433" s="1" t="n">
        <v>45820.33708333333</v>
      </c>
      <c r="C433" s="1" t="n">
        <v>45922</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28714-2025</t>
        </is>
      </c>
      <c r="B434" s="1" t="n">
        <v>45820.34128472222</v>
      </c>
      <c r="C434" s="1" t="n">
        <v>45922</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22264-2023</t>
        </is>
      </c>
      <c r="B435" s="1" t="n">
        <v>45070.3665625</v>
      </c>
      <c r="C435" s="1" t="n">
        <v>45922</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16676-2023</t>
        </is>
      </c>
      <c r="B436" s="1" t="n">
        <v>45028</v>
      </c>
      <c r="C436" s="1" t="n">
        <v>45922</v>
      </c>
      <c r="D436" t="inlineStr">
        <is>
          <t>KALMAR LÄN</t>
        </is>
      </c>
      <c r="E436" t="inlineStr">
        <is>
          <t>VIMMERBY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6220-2025</t>
        </is>
      </c>
      <c r="B437" s="1" t="n">
        <v>45698.53725694444</v>
      </c>
      <c r="C437" s="1" t="n">
        <v>45922</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2596-2025</t>
        </is>
      </c>
      <c r="B438" s="1" t="n">
        <v>45674.71810185185</v>
      </c>
      <c r="C438" s="1" t="n">
        <v>45922</v>
      </c>
      <c r="D438" t="inlineStr">
        <is>
          <t>KALMAR LÄN</t>
        </is>
      </c>
      <c r="E438" t="inlineStr">
        <is>
          <t>VIMMERBY</t>
        </is>
      </c>
      <c r="G438" t="n">
        <v>9</v>
      </c>
      <c r="H438" t="n">
        <v>0</v>
      </c>
      <c r="I438" t="n">
        <v>0</v>
      </c>
      <c r="J438" t="n">
        <v>0</v>
      </c>
      <c r="K438" t="n">
        <v>0</v>
      </c>
      <c r="L438" t="n">
        <v>0</v>
      </c>
      <c r="M438" t="n">
        <v>0</v>
      </c>
      <c r="N438" t="n">
        <v>0</v>
      </c>
      <c r="O438" t="n">
        <v>0</v>
      </c>
      <c r="P438" t="n">
        <v>0</v>
      </c>
      <c r="Q438" t="n">
        <v>0</v>
      </c>
      <c r="R438" s="2" t="inlineStr"/>
    </row>
    <row r="439" ht="15" customHeight="1">
      <c r="A439" t="inlineStr">
        <is>
          <t>A 24096-2024</t>
        </is>
      </c>
      <c r="B439" s="1" t="n">
        <v>45456.59289351852</v>
      </c>
      <c r="C439" s="1" t="n">
        <v>45922</v>
      </c>
      <c r="D439" t="inlineStr">
        <is>
          <t>KALMAR LÄN</t>
        </is>
      </c>
      <c r="E439" t="inlineStr">
        <is>
          <t>VIMMERBY</t>
        </is>
      </c>
      <c r="G439" t="n">
        <v>2.3</v>
      </c>
      <c r="H439" t="n">
        <v>0</v>
      </c>
      <c r="I439" t="n">
        <v>0</v>
      </c>
      <c r="J439" t="n">
        <v>0</v>
      </c>
      <c r="K439" t="n">
        <v>0</v>
      </c>
      <c r="L439" t="n">
        <v>0</v>
      </c>
      <c r="M439" t="n">
        <v>0</v>
      </c>
      <c r="N439" t="n">
        <v>0</v>
      </c>
      <c r="O439" t="n">
        <v>0</v>
      </c>
      <c r="P439" t="n">
        <v>0</v>
      </c>
      <c r="Q439" t="n">
        <v>0</v>
      </c>
      <c r="R439" s="2" t="inlineStr"/>
    </row>
    <row r="440" ht="15" customHeight="1">
      <c r="A440" t="inlineStr">
        <is>
          <t>A 29013-2024</t>
        </is>
      </c>
      <c r="B440" s="1" t="n">
        <v>45481.55984953704</v>
      </c>
      <c r="C440" s="1" t="n">
        <v>45922</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6066-2023</t>
        </is>
      </c>
      <c r="B441" s="1" t="n">
        <v>44964.50894675926</v>
      </c>
      <c r="C441" s="1" t="n">
        <v>45922</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59955-2023</t>
        </is>
      </c>
      <c r="B442" s="1" t="n">
        <v>45257.70313657408</v>
      </c>
      <c r="C442" s="1" t="n">
        <v>45922</v>
      </c>
      <c r="D442" t="inlineStr">
        <is>
          <t>KALMAR LÄN</t>
        </is>
      </c>
      <c r="E442" t="inlineStr">
        <is>
          <t>VIMMERBY</t>
        </is>
      </c>
      <c r="G442" t="n">
        <v>13.8</v>
      </c>
      <c r="H442" t="n">
        <v>0</v>
      </c>
      <c r="I442" t="n">
        <v>0</v>
      </c>
      <c r="J442" t="n">
        <v>0</v>
      </c>
      <c r="K442" t="n">
        <v>0</v>
      </c>
      <c r="L442" t="n">
        <v>0</v>
      </c>
      <c r="M442" t="n">
        <v>0</v>
      </c>
      <c r="N442" t="n">
        <v>0</v>
      </c>
      <c r="O442" t="n">
        <v>0</v>
      </c>
      <c r="P442" t="n">
        <v>0</v>
      </c>
      <c r="Q442" t="n">
        <v>0</v>
      </c>
      <c r="R442" s="2" t="inlineStr"/>
    </row>
    <row r="443" ht="15" customHeight="1">
      <c r="A443" t="inlineStr">
        <is>
          <t>A 9418-2024</t>
        </is>
      </c>
      <c r="B443" s="1" t="n">
        <v>45359.45038194444</v>
      </c>
      <c r="C443" s="1" t="n">
        <v>45922</v>
      </c>
      <c r="D443" t="inlineStr">
        <is>
          <t>KALMAR LÄN</t>
        </is>
      </c>
      <c r="E443" t="inlineStr">
        <is>
          <t>VIMMERBY</t>
        </is>
      </c>
      <c r="G443" t="n">
        <v>1.9</v>
      </c>
      <c r="H443" t="n">
        <v>0</v>
      </c>
      <c r="I443" t="n">
        <v>0</v>
      </c>
      <c r="J443" t="n">
        <v>0</v>
      </c>
      <c r="K443" t="n">
        <v>0</v>
      </c>
      <c r="L443" t="n">
        <v>0</v>
      </c>
      <c r="M443" t="n">
        <v>0</v>
      </c>
      <c r="N443" t="n">
        <v>0</v>
      </c>
      <c r="O443" t="n">
        <v>0</v>
      </c>
      <c r="P443" t="n">
        <v>0</v>
      </c>
      <c r="Q443" t="n">
        <v>0</v>
      </c>
      <c r="R443" s="2" t="inlineStr"/>
    </row>
    <row r="444" ht="15" customHeight="1">
      <c r="A444" t="inlineStr">
        <is>
          <t>A 36040-2024</t>
        </is>
      </c>
      <c r="B444" s="1" t="n">
        <v>45533.60232638889</v>
      </c>
      <c r="C444" s="1" t="n">
        <v>45922</v>
      </c>
      <c r="D444" t="inlineStr">
        <is>
          <t>KALMAR LÄN</t>
        </is>
      </c>
      <c r="E444" t="inlineStr">
        <is>
          <t>VIMMERBY</t>
        </is>
      </c>
      <c r="F444" t="inlineStr">
        <is>
          <t>Kommuner</t>
        </is>
      </c>
      <c r="G444" t="n">
        <v>3.6</v>
      </c>
      <c r="H444" t="n">
        <v>0</v>
      </c>
      <c r="I444" t="n">
        <v>0</v>
      </c>
      <c r="J444" t="n">
        <v>0</v>
      </c>
      <c r="K444" t="n">
        <v>0</v>
      </c>
      <c r="L444" t="n">
        <v>0</v>
      </c>
      <c r="M444" t="n">
        <v>0</v>
      </c>
      <c r="N444" t="n">
        <v>0</v>
      </c>
      <c r="O444" t="n">
        <v>0</v>
      </c>
      <c r="P444" t="n">
        <v>0</v>
      </c>
      <c r="Q444" t="n">
        <v>0</v>
      </c>
      <c r="R444" s="2" t="inlineStr"/>
    </row>
    <row r="445" ht="15" customHeight="1">
      <c r="A445" t="inlineStr">
        <is>
          <t>A 36043-2024</t>
        </is>
      </c>
      <c r="B445" s="1" t="n">
        <v>45533.60770833334</v>
      </c>
      <c r="C445" s="1" t="n">
        <v>45922</v>
      </c>
      <c r="D445" t="inlineStr">
        <is>
          <t>KALMAR LÄN</t>
        </is>
      </c>
      <c r="E445" t="inlineStr">
        <is>
          <t>VIMMERBY</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12890-2023</t>
        </is>
      </c>
      <c r="B446" s="1" t="n">
        <v>45001.59209490741</v>
      </c>
      <c r="C446" s="1" t="n">
        <v>45922</v>
      </c>
      <c r="D446" t="inlineStr">
        <is>
          <t>KALMAR LÄN</t>
        </is>
      </c>
      <c r="E446" t="inlineStr">
        <is>
          <t>VIMMERBY</t>
        </is>
      </c>
      <c r="G446" t="n">
        <v>2.8</v>
      </c>
      <c r="H446" t="n">
        <v>0</v>
      </c>
      <c r="I446" t="n">
        <v>0</v>
      </c>
      <c r="J446" t="n">
        <v>0</v>
      </c>
      <c r="K446" t="n">
        <v>0</v>
      </c>
      <c r="L446" t="n">
        <v>0</v>
      </c>
      <c r="M446" t="n">
        <v>0</v>
      </c>
      <c r="N446" t="n">
        <v>0</v>
      </c>
      <c r="O446" t="n">
        <v>0</v>
      </c>
      <c r="P446" t="n">
        <v>0</v>
      </c>
      <c r="Q446" t="n">
        <v>0</v>
      </c>
      <c r="R446" s="2" t="inlineStr"/>
    </row>
    <row r="447" ht="15" customHeight="1">
      <c r="A447" t="inlineStr">
        <is>
          <t>A 43594-2024</t>
        </is>
      </c>
      <c r="B447" s="1" t="n">
        <v>45569.44295138889</v>
      </c>
      <c r="C447" s="1" t="n">
        <v>45922</v>
      </c>
      <c r="D447" t="inlineStr">
        <is>
          <t>KALMAR LÄN</t>
        </is>
      </c>
      <c r="E447" t="inlineStr">
        <is>
          <t>VIMMERBY</t>
        </is>
      </c>
      <c r="G447" t="n">
        <v>3.9</v>
      </c>
      <c r="H447" t="n">
        <v>0</v>
      </c>
      <c r="I447" t="n">
        <v>0</v>
      </c>
      <c r="J447" t="n">
        <v>0</v>
      </c>
      <c r="K447" t="n">
        <v>0</v>
      </c>
      <c r="L447" t="n">
        <v>0</v>
      </c>
      <c r="M447" t="n">
        <v>0</v>
      </c>
      <c r="N447" t="n">
        <v>0</v>
      </c>
      <c r="O447" t="n">
        <v>0</v>
      </c>
      <c r="P447" t="n">
        <v>0</v>
      </c>
      <c r="Q447" t="n">
        <v>0</v>
      </c>
      <c r="R447" s="2" t="inlineStr"/>
    </row>
    <row r="448" ht="15" customHeight="1">
      <c r="A448" t="inlineStr">
        <is>
          <t>A 53482-2022</t>
        </is>
      </c>
      <c r="B448" s="1" t="n">
        <v>44879</v>
      </c>
      <c r="C448" s="1" t="n">
        <v>45922</v>
      </c>
      <c r="D448" t="inlineStr">
        <is>
          <t>KALMAR LÄN</t>
        </is>
      </c>
      <c r="E448" t="inlineStr">
        <is>
          <t>VIMMERBY</t>
        </is>
      </c>
      <c r="G448" t="n">
        <v>10.1</v>
      </c>
      <c r="H448" t="n">
        <v>0</v>
      </c>
      <c r="I448" t="n">
        <v>0</v>
      </c>
      <c r="J448" t="n">
        <v>0</v>
      </c>
      <c r="K448" t="n">
        <v>0</v>
      </c>
      <c r="L448" t="n">
        <v>0</v>
      </c>
      <c r="M448" t="n">
        <v>0</v>
      </c>
      <c r="N448" t="n">
        <v>0</v>
      </c>
      <c r="O448" t="n">
        <v>0</v>
      </c>
      <c r="P448" t="n">
        <v>0</v>
      </c>
      <c r="Q448" t="n">
        <v>0</v>
      </c>
      <c r="R448" s="2" t="inlineStr"/>
    </row>
    <row r="449" ht="15" customHeight="1">
      <c r="A449" t="inlineStr">
        <is>
          <t>A 57091-2022</t>
        </is>
      </c>
      <c r="B449" s="1" t="n">
        <v>44895.46524305556</v>
      </c>
      <c r="C449" s="1" t="n">
        <v>45922</v>
      </c>
      <c r="D449" t="inlineStr">
        <is>
          <t>KALMAR LÄN</t>
        </is>
      </c>
      <c r="E449" t="inlineStr">
        <is>
          <t>VIMMERBY</t>
        </is>
      </c>
      <c r="G449" t="n">
        <v>2.6</v>
      </c>
      <c r="H449" t="n">
        <v>0</v>
      </c>
      <c r="I449" t="n">
        <v>0</v>
      </c>
      <c r="J449" t="n">
        <v>0</v>
      </c>
      <c r="K449" t="n">
        <v>0</v>
      </c>
      <c r="L449" t="n">
        <v>0</v>
      </c>
      <c r="M449" t="n">
        <v>0</v>
      </c>
      <c r="N449" t="n">
        <v>0</v>
      </c>
      <c r="O449" t="n">
        <v>0</v>
      </c>
      <c r="P449" t="n">
        <v>0</v>
      </c>
      <c r="Q449" t="n">
        <v>0</v>
      </c>
      <c r="R449" s="2" t="inlineStr"/>
    </row>
    <row r="450" ht="15" customHeight="1">
      <c r="A450" t="inlineStr">
        <is>
          <t>A 3816-2022</t>
        </is>
      </c>
      <c r="B450" s="1" t="n">
        <v>44587</v>
      </c>
      <c r="C450" s="1" t="n">
        <v>45922</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27761-2024</t>
        </is>
      </c>
      <c r="B451" s="1" t="n">
        <v>45475.49018518518</v>
      </c>
      <c r="C451" s="1" t="n">
        <v>45922</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64203-2021</t>
        </is>
      </c>
      <c r="B452" s="1" t="n">
        <v>44510.60921296296</v>
      </c>
      <c r="C452" s="1" t="n">
        <v>45922</v>
      </c>
      <c r="D452" t="inlineStr">
        <is>
          <t>KALMAR LÄN</t>
        </is>
      </c>
      <c r="E452" t="inlineStr">
        <is>
          <t>VIMMERBY</t>
        </is>
      </c>
      <c r="F452" t="inlineStr">
        <is>
          <t>Övriga Aktiebolag</t>
        </is>
      </c>
      <c r="G452" t="n">
        <v>5.4</v>
      </c>
      <c r="H452" t="n">
        <v>0</v>
      </c>
      <c r="I452" t="n">
        <v>0</v>
      </c>
      <c r="J452" t="n">
        <v>0</v>
      </c>
      <c r="K452" t="n">
        <v>0</v>
      </c>
      <c r="L452" t="n">
        <v>0</v>
      </c>
      <c r="M452" t="n">
        <v>0</v>
      </c>
      <c r="N452" t="n">
        <v>0</v>
      </c>
      <c r="O452" t="n">
        <v>0</v>
      </c>
      <c r="P452" t="n">
        <v>0</v>
      </c>
      <c r="Q452" t="n">
        <v>0</v>
      </c>
      <c r="R452" s="2" t="inlineStr"/>
    </row>
    <row r="453" ht="15" customHeight="1">
      <c r="A453" t="inlineStr">
        <is>
          <t>A 5720-2023</t>
        </is>
      </c>
      <c r="B453" s="1" t="n">
        <v>44961</v>
      </c>
      <c r="C453" s="1" t="n">
        <v>45922</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9643-2023</t>
        </is>
      </c>
      <c r="B454" s="1" t="n">
        <v>44984</v>
      </c>
      <c r="C454" s="1" t="n">
        <v>45922</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25728-2023</t>
        </is>
      </c>
      <c r="B455" s="1" t="n">
        <v>45090.38012731481</v>
      </c>
      <c r="C455" s="1" t="n">
        <v>45922</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28713-2025</t>
        </is>
      </c>
      <c r="B456" s="1" t="n">
        <v>45820.33930555556</v>
      </c>
      <c r="C456" s="1" t="n">
        <v>45922</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41311-2023</t>
        </is>
      </c>
      <c r="B457" s="1" t="n">
        <v>45174</v>
      </c>
      <c r="C457" s="1" t="n">
        <v>45922</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43606-2024</t>
        </is>
      </c>
      <c r="B458" s="1" t="n">
        <v>45569.45017361111</v>
      </c>
      <c r="C458" s="1" t="n">
        <v>45922</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43617-2024</t>
        </is>
      </c>
      <c r="B459" s="1" t="n">
        <v>45569.47494212963</v>
      </c>
      <c r="C459" s="1" t="n">
        <v>45922</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47859-2024</t>
        </is>
      </c>
      <c r="B460" s="1" t="n">
        <v>45588.67070601852</v>
      </c>
      <c r="C460" s="1" t="n">
        <v>45922</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26318-2023</t>
        </is>
      </c>
      <c r="B461" s="1" t="n">
        <v>45091.67936342592</v>
      </c>
      <c r="C461" s="1" t="n">
        <v>45922</v>
      </c>
      <c r="D461" t="inlineStr">
        <is>
          <t>KALMAR LÄN</t>
        </is>
      </c>
      <c r="E461" t="inlineStr">
        <is>
          <t>VIMMERBY</t>
        </is>
      </c>
      <c r="G461" t="n">
        <v>3.8</v>
      </c>
      <c r="H461" t="n">
        <v>0</v>
      </c>
      <c r="I461" t="n">
        <v>0</v>
      </c>
      <c r="J461" t="n">
        <v>0</v>
      </c>
      <c r="K461" t="n">
        <v>0</v>
      </c>
      <c r="L461" t="n">
        <v>0</v>
      </c>
      <c r="M461" t="n">
        <v>0</v>
      </c>
      <c r="N461" t="n">
        <v>0</v>
      </c>
      <c r="O461" t="n">
        <v>0</v>
      </c>
      <c r="P461" t="n">
        <v>0</v>
      </c>
      <c r="Q461" t="n">
        <v>0</v>
      </c>
      <c r="R461" s="2" t="inlineStr"/>
    </row>
    <row r="462" ht="15" customHeight="1">
      <c r="A462" t="inlineStr">
        <is>
          <t>A 61355-2024</t>
        </is>
      </c>
      <c r="B462" s="1" t="n">
        <v>45646.38200231481</v>
      </c>
      <c r="C462" s="1" t="n">
        <v>45922</v>
      </c>
      <c r="D462" t="inlineStr">
        <is>
          <t>KALMAR LÄN</t>
        </is>
      </c>
      <c r="E462" t="inlineStr">
        <is>
          <t>VIMMERBY</t>
        </is>
      </c>
      <c r="G462" t="n">
        <v>2.7</v>
      </c>
      <c r="H462" t="n">
        <v>0</v>
      </c>
      <c r="I462" t="n">
        <v>0</v>
      </c>
      <c r="J462" t="n">
        <v>0</v>
      </c>
      <c r="K462" t="n">
        <v>0</v>
      </c>
      <c r="L462" t="n">
        <v>0</v>
      </c>
      <c r="M462" t="n">
        <v>0</v>
      </c>
      <c r="N462" t="n">
        <v>0</v>
      </c>
      <c r="O462" t="n">
        <v>0</v>
      </c>
      <c r="P462" t="n">
        <v>0</v>
      </c>
      <c r="Q462" t="n">
        <v>0</v>
      </c>
      <c r="R462" s="2" t="inlineStr"/>
    </row>
    <row r="463" ht="15" customHeight="1">
      <c r="A463" t="inlineStr">
        <is>
          <t>A 8540-2024</t>
        </is>
      </c>
      <c r="B463" s="1" t="n">
        <v>45355.54138888889</v>
      </c>
      <c r="C463" s="1" t="n">
        <v>45922</v>
      </c>
      <c r="D463" t="inlineStr">
        <is>
          <t>KALMAR LÄN</t>
        </is>
      </c>
      <c r="E463" t="inlineStr">
        <is>
          <t>VIMMERBY</t>
        </is>
      </c>
      <c r="G463" t="n">
        <v>1.9</v>
      </c>
      <c r="H463" t="n">
        <v>0</v>
      </c>
      <c r="I463" t="n">
        <v>0</v>
      </c>
      <c r="J463" t="n">
        <v>0</v>
      </c>
      <c r="K463" t="n">
        <v>0</v>
      </c>
      <c r="L463" t="n">
        <v>0</v>
      </c>
      <c r="M463" t="n">
        <v>0</v>
      </c>
      <c r="N463" t="n">
        <v>0</v>
      </c>
      <c r="O463" t="n">
        <v>0</v>
      </c>
      <c r="P463" t="n">
        <v>0</v>
      </c>
      <c r="Q463" t="n">
        <v>0</v>
      </c>
      <c r="R463" s="2" t="inlineStr"/>
    </row>
    <row r="464" ht="15" customHeight="1">
      <c r="A464" t="inlineStr">
        <is>
          <t>A 16734-2023</t>
        </is>
      </c>
      <c r="B464" s="1" t="n">
        <v>45030.71012731481</v>
      </c>
      <c r="C464" s="1" t="n">
        <v>45922</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3331-2023</t>
        </is>
      </c>
      <c r="B465" s="1" t="n">
        <v>44949</v>
      </c>
      <c r="C465" s="1" t="n">
        <v>45922</v>
      </c>
      <c r="D465" t="inlineStr">
        <is>
          <t>KALMAR LÄN</t>
        </is>
      </c>
      <c r="E465" t="inlineStr">
        <is>
          <t>VIMMERBY</t>
        </is>
      </c>
      <c r="G465" t="n">
        <v>6.2</v>
      </c>
      <c r="H465" t="n">
        <v>0</v>
      </c>
      <c r="I465" t="n">
        <v>0</v>
      </c>
      <c r="J465" t="n">
        <v>0</v>
      </c>
      <c r="K465" t="n">
        <v>0</v>
      </c>
      <c r="L465" t="n">
        <v>0</v>
      </c>
      <c r="M465" t="n">
        <v>0</v>
      </c>
      <c r="N465" t="n">
        <v>0</v>
      </c>
      <c r="O465" t="n">
        <v>0</v>
      </c>
      <c r="P465" t="n">
        <v>0</v>
      </c>
      <c r="Q465" t="n">
        <v>0</v>
      </c>
      <c r="R465" s="2" t="inlineStr"/>
    </row>
    <row r="466" ht="15" customHeight="1">
      <c r="A466" t="inlineStr">
        <is>
          <t>A 29726-2025</t>
        </is>
      </c>
      <c r="B466" s="1" t="n">
        <v>45825.57805555555</v>
      </c>
      <c r="C466" s="1" t="n">
        <v>45922</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36802-2021</t>
        </is>
      </c>
      <c r="B467" s="1" t="n">
        <v>44392</v>
      </c>
      <c r="C467" s="1" t="n">
        <v>45922</v>
      </c>
      <c r="D467" t="inlineStr">
        <is>
          <t>KALMAR LÄN</t>
        </is>
      </c>
      <c r="E467" t="inlineStr">
        <is>
          <t>VIMMERBY</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20129-2024</t>
        </is>
      </c>
      <c r="B468" s="1" t="n">
        <v>45434.55831018519</v>
      </c>
      <c r="C468" s="1" t="n">
        <v>45922</v>
      </c>
      <c r="D468" t="inlineStr">
        <is>
          <t>KALMAR LÄN</t>
        </is>
      </c>
      <c r="E468" t="inlineStr">
        <is>
          <t>VIMMERBY</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20137-2024</t>
        </is>
      </c>
      <c r="B469" s="1" t="n">
        <v>45434.56398148148</v>
      </c>
      <c r="C469" s="1" t="n">
        <v>45922</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598-2025</t>
        </is>
      </c>
      <c r="B470" s="1" t="n">
        <v>45660</v>
      </c>
      <c r="C470" s="1" t="n">
        <v>45922</v>
      </c>
      <c r="D470" t="inlineStr">
        <is>
          <t>KALMAR LÄN</t>
        </is>
      </c>
      <c r="E470" t="inlineStr">
        <is>
          <t>VIMMERBY</t>
        </is>
      </c>
      <c r="G470" t="n">
        <v>12</v>
      </c>
      <c r="H470" t="n">
        <v>0</v>
      </c>
      <c r="I470" t="n">
        <v>0</v>
      </c>
      <c r="J470" t="n">
        <v>0</v>
      </c>
      <c r="K470" t="n">
        <v>0</v>
      </c>
      <c r="L470" t="n">
        <v>0</v>
      </c>
      <c r="M470" t="n">
        <v>0</v>
      </c>
      <c r="N470" t="n">
        <v>0</v>
      </c>
      <c r="O470" t="n">
        <v>0</v>
      </c>
      <c r="P470" t="n">
        <v>0</v>
      </c>
      <c r="Q470" t="n">
        <v>0</v>
      </c>
      <c r="R470" s="2" t="inlineStr"/>
    </row>
    <row r="471" ht="15" customHeight="1">
      <c r="A471" t="inlineStr">
        <is>
          <t>A 29737-2025</t>
        </is>
      </c>
      <c r="B471" s="1" t="n">
        <v>45825.58672453704</v>
      </c>
      <c r="C471" s="1" t="n">
        <v>45922</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38198-2024</t>
        </is>
      </c>
      <c r="B472" s="1" t="n">
        <v>45545.49508101852</v>
      </c>
      <c r="C472" s="1" t="n">
        <v>45922</v>
      </c>
      <c r="D472" t="inlineStr">
        <is>
          <t>KALMAR LÄN</t>
        </is>
      </c>
      <c r="E472" t="inlineStr">
        <is>
          <t>VIMMERBY</t>
        </is>
      </c>
      <c r="G472" t="n">
        <v>7.9</v>
      </c>
      <c r="H472" t="n">
        <v>0</v>
      </c>
      <c r="I472" t="n">
        <v>0</v>
      </c>
      <c r="J472" t="n">
        <v>0</v>
      </c>
      <c r="K472" t="n">
        <v>0</v>
      </c>
      <c r="L472" t="n">
        <v>0</v>
      </c>
      <c r="M472" t="n">
        <v>0</v>
      </c>
      <c r="N472" t="n">
        <v>0</v>
      </c>
      <c r="O472" t="n">
        <v>0</v>
      </c>
      <c r="P472" t="n">
        <v>0</v>
      </c>
      <c r="Q472" t="n">
        <v>0</v>
      </c>
      <c r="R472" s="2" t="inlineStr"/>
    </row>
    <row r="473" ht="15" customHeight="1">
      <c r="A473" t="inlineStr">
        <is>
          <t>A 9623-2024</t>
        </is>
      </c>
      <c r="B473" s="1" t="n">
        <v>45361.87975694444</v>
      </c>
      <c r="C473" s="1" t="n">
        <v>45922</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7456-2024</t>
        </is>
      </c>
      <c r="B474" s="1" t="n">
        <v>45345.83557870371</v>
      </c>
      <c r="C474" s="1" t="n">
        <v>45922</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58967-2022</t>
        </is>
      </c>
      <c r="B475" s="1" t="n">
        <v>44896</v>
      </c>
      <c r="C475" s="1" t="n">
        <v>45922</v>
      </c>
      <c r="D475" t="inlineStr">
        <is>
          <t>KALMAR LÄN</t>
        </is>
      </c>
      <c r="E475" t="inlineStr">
        <is>
          <t>VIMMERBY</t>
        </is>
      </c>
      <c r="G475" t="n">
        <v>5</v>
      </c>
      <c r="H475" t="n">
        <v>0</v>
      </c>
      <c r="I475" t="n">
        <v>0</v>
      </c>
      <c r="J475" t="n">
        <v>0</v>
      </c>
      <c r="K475" t="n">
        <v>0</v>
      </c>
      <c r="L475" t="n">
        <v>0</v>
      </c>
      <c r="M475" t="n">
        <v>0</v>
      </c>
      <c r="N475" t="n">
        <v>0</v>
      </c>
      <c r="O475" t="n">
        <v>0</v>
      </c>
      <c r="P475" t="n">
        <v>0</v>
      </c>
      <c r="Q475" t="n">
        <v>0</v>
      </c>
      <c r="R475" s="2" t="inlineStr"/>
    </row>
    <row r="476" ht="15" customHeight="1">
      <c r="A476" t="inlineStr">
        <is>
          <t>A 25799-2023</t>
        </is>
      </c>
      <c r="B476" s="1" t="n">
        <v>45090</v>
      </c>
      <c r="C476" s="1" t="n">
        <v>45922</v>
      </c>
      <c r="D476" t="inlineStr">
        <is>
          <t>KALMAR LÄN</t>
        </is>
      </c>
      <c r="E476" t="inlineStr">
        <is>
          <t>VIMMERBY</t>
        </is>
      </c>
      <c r="G476" t="n">
        <v>7.7</v>
      </c>
      <c r="H476" t="n">
        <v>0</v>
      </c>
      <c r="I476" t="n">
        <v>0</v>
      </c>
      <c r="J476" t="n">
        <v>0</v>
      </c>
      <c r="K476" t="n">
        <v>0</v>
      </c>
      <c r="L476" t="n">
        <v>0</v>
      </c>
      <c r="M476" t="n">
        <v>0</v>
      </c>
      <c r="N476" t="n">
        <v>0</v>
      </c>
      <c r="O476" t="n">
        <v>0</v>
      </c>
      <c r="P476" t="n">
        <v>0</v>
      </c>
      <c r="Q476" t="n">
        <v>0</v>
      </c>
      <c r="R476" s="2" t="inlineStr"/>
    </row>
    <row r="477" ht="15" customHeight="1">
      <c r="A477" t="inlineStr">
        <is>
          <t>A 53083-2021</t>
        </is>
      </c>
      <c r="B477" s="1" t="n">
        <v>44467.83386574074</v>
      </c>
      <c r="C477" s="1" t="n">
        <v>45922</v>
      </c>
      <c r="D477" t="inlineStr">
        <is>
          <t>KALMAR LÄN</t>
        </is>
      </c>
      <c r="E477" t="inlineStr">
        <is>
          <t>VIMMERBY</t>
        </is>
      </c>
      <c r="G477" t="n">
        <v>6.8</v>
      </c>
      <c r="H477" t="n">
        <v>0</v>
      </c>
      <c r="I477" t="n">
        <v>0</v>
      </c>
      <c r="J477" t="n">
        <v>0</v>
      </c>
      <c r="K477" t="n">
        <v>0</v>
      </c>
      <c r="L477" t="n">
        <v>0</v>
      </c>
      <c r="M477" t="n">
        <v>0</v>
      </c>
      <c r="N477" t="n">
        <v>0</v>
      </c>
      <c r="O477" t="n">
        <v>0</v>
      </c>
      <c r="P477" t="n">
        <v>0</v>
      </c>
      <c r="Q477" t="n">
        <v>0</v>
      </c>
      <c r="R477" s="2" t="inlineStr"/>
    </row>
    <row r="478" ht="15" customHeight="1">
      <c r="A478" t="inlineStr">
        <is>
          <t>A 29727-2025</t>
        </is>
      </c>
      <c r="B478" s="1" t="n">
        <v>45825.5796875</v>
      </c>
      <c r="C478" s="1" t="n">
        <v>45922</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24655-2021</t>
        </is>
      </c>
      <c r="B479" s="1" t="n">
        <v>44340</v>
      </c>
      <c r="C479" s="1" t="n">
        <v>45922</v>
      </c>
      <c r="D479" t="inlineStr">
        <is>
          <t>KALMAR LÄN</t>
        </is>
      </c>
      <c r="E479" t="inlineStr">
        <is>
          <t>VIMMERBY</t>
        </is>
      </c>
      <c r="G479" t="n">
        <v>14.9</v>
      </c>
      <c r="H479" t="n">
        <v>0</v>
      </c>
      <c r="I479" t="n">
        <v>0</v>
      </c>
      <c r="J479" t="n">
        <v>0</v>
      </c>
      <c r="K479" t="n">
        <v>0</v>
      </c>
      <c r="L479" t="n">
        <v>0</v>
      </c>
      <c r="M479" t="n">
        <v>0</v>
      </c>
      <c r="N479" t="n">
        <v>0</v>
      </c>
      <c r="O479" t="n">
        <v>0</v>
      </c>
      <c r="P479" t="n">
        <v>0</v>
      </c>
      <c r="Q479" t="n">
        <v>0</v>
      </c>
      <c r="R479" s="2" t="inlineStr"/>
    </row>
    <row r="480" ht="15" customHeight="1">
      <c r="A480" t="inlineStr">
        <is>
          <t>A 6399-2025</t>
        </is>
      </c>
      <c r="B480" s="1" t="n">
        <v>45699.44291666667</v>
      </c>
      <c r="C480" s="1" t="n">
        <v>45922</v>
      </c>
      <c r="D480" t="inlineStr">
        <is>
          <t>KALMAR LÄN</t>
        </is>
      </c>
      <c r="E480" t="inlineStr">
        <is>
          <t>VIMMERBY</t>
        </is>
      </c>
      <c r="G480" t="n">
        <v>3.1</v>
      </c>
      <c r="H480" t="n">
        <v>0</v>
      </c>
      <c r="I480" t="n">
        <v>0</v>
      </c>
      <c r="J480" t="n">
        <v>0</v>
      </c>
      <c r="K480" t="n">
        <v>0</v>
      </c>
      <c r="L480" t="n">
        <v>0</v>
      </c>
      <c r="M480" t="n">
        <v>0</v>
      </c>
      <c r="N480" t="n">
        <v>0</v>
      </c>
      <c r="O480" t="n">
        <v>0</v>
      </c>
      <c r="P480" t="n">
        <v>0</v>
      </c>
      <c r="Q480" t="n">
        <v>0</v>
      </c>
      <c r="R480" s="2" t="inlineStr"/>
    </row>
    <row r="481" ht="15" customHeight="1">
      <c r="A481" t="inlineStr">
        <is>
          <t>A 31355-2023</t>
        </is>
      </c>
      <c r="B481" s="1" t="n">
        <v>45114.49505787037</v>
      </c>
      <c r="C481" s="1" t="n">
        <v>45922</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52324-2023</t>
        </is>
      </c>
      <c r="B482" s="1" t="n">
        <v>45224.64659722222</v>
      </c>
      <c r="C482" s="1" t="n">
        <v>45922</v>
      </c>
      <c r="D482" t="inlineStr">
        <is>
          <t>KALMAR LÄN</t>
        </is>
      </c>
      <c r="E482" t="inlineStr">
        <is>
          <t>VIMMERBY</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66295-2020</t>
        </is>
      </c>
      <c r="B483" s="1" t="n">
        <v>44176</v>
      </c>
      <c r="C483" s="1" t="n">
        <v>45922</v>
      </c>
      <c r="D483" t="inlineStr">
        <is>
          <t>KALMAR LÄN</t>
        </is>
      </c>
      <c r="E483" t="inlineStr">
        <is>
          <t>VIMMERBY</t>
        </is>
      </c>
      <c r="G483" t="n">
        <v>4.1</v>
      </c>
      <c r="H483" t="n">
        <v>0</v>
      </c>
      <c r="I483" t="n">
        <v>0</v>
      </c>
      <c r="J483" t="n">
        <v>0</v>
      </c>
      <c r="K483" t="n">
        <v>0</v>
      </c>
      <c r="L483" t="n">
        <v>0</v>
      </c>
      <c r="M483" t="n">
        <v>0</v>
      </c>
      <c r="N483" t="n">
        <v>0</v>
      </c>
      <c r="O483" t="n">
        <v>0</v>
      </c>
      <c r="P483" t="n">
        <v>0</v>
      </c>
      <c r="Q483" t="n">
        <v>0</v>
      </c>
      <c r="R483" s="2" t="inlineStr"/>
    </row>
    <row r="484" ht="15" customHeight="1">
      <c r="A484" t="inlineStr">
        <is>
          <t>A 30400-2023</t>
        </is>
      </c>
      <c r="B484" s="1" t="n">
        <v>45111.48225694444</v>
      </c>
      <c r="C484" s="1" t="n">
        <v>45922</v>
      </c>
      <c r="D484" t="inlineStr">
        <is>
          <t>KALMAR LÄN</t>
        </is>
      </c>
      <c r="E484" t="inlineStr">
        <is>
          <t>VIMMERBY</t>
        </is>
      </c>
      <c r="G484" t="n">
        <v>2.7</v>
      </c>
      <c r="H484" t="n">
        <v>0</v>
      </c>
      <c r="I484" t="n">
        <v>0</v>
      </c>
      <c r="J484" t="n">
        <v>0</v>
      </c>
      <c r="K484" t="n">
        <v>0</v>
      </c>
      <c r="L484" t="n">
        <v>0</v>
      </c>
      <c r="M484" t="n">
        <v>0</v>
      </c>
      <c r="N484" t="n">
        <v>0</v>
      </c>
      <c r="O484" t="n">
        <v>0</v>
      </c>
      <c r="P484" t="n">
        <v>0</v>
      </c>
      <c r="Q484" t="n">
        <v>0</v>
      </c>
      <c r="R484" s="2" t="inlineStr"/>
    </row>
    <row r="485" ht="15" customHeight="1">
      <c r="A485" t="inlineStr">
        <is>
          <t>A 30404-2023</t>
        </is>
      </c>
      <c r="B485" s="1" t="n">
        <v>45111.48636574074</v>
      </c>
      <c r="C485" s="1" t="n">
        <v>45922</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29724-2025</t>
        </is>
      </c>
      <c r="B486" s="1" t="n">
        <v>45825.57680555555</v>
      </c>
      <c r="C486" s="1" t="n">
        <v>45922</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27705-2023</t>
        </is>
      </c>
      <c r="B487" s="1" t="n">
        <v>45098.30535879629</v>
      </c>
      <c r="C487" s="1" t="n">
        <v>45922</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17988-2025</t>
        </is>
      </c>
      <c r="B488" s="1" t="n">
        <v>45761.39600694444</v>
      </c>
      <c r="C488" s="1" t="n">
        <v>45922</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23341-2022</t>
        </is>
      </c>
      <c r="B489" s="1" t="n">
        <v>44720.53898148148</v>
      </c>
      <c r="C489" s="1" t="n">
        <v>45922</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33838-2022</t>
        </is>
      </c>
      <c r="B490" s="1" t="n">
        <v>44790.49040509259</v>
      </c>
      <c r="C490" s="1" t="n">
        <v>45922</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36843-2023</t>
        </is>
      </c>
      <c r="B491" s="1" t="n">
        <v>45154.49831018518</v>
      </c>
      <c r="C491" s="1" t="n">
        <v>45922</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37028-2024</t>
        </is>
      </c>
      <c r="B492" s="1" t="n">
        <v>45539.38744212963</v>
      </c>
      <c r="C492" s="1" t="n">
        <v>45922</v>
      </c>
      <c r="D492" t="inlineStr">
        <is>
          <t>KALMAR LÄN</t>
        </is>
      </c>
      <c r="E492" t="inlineStr">
        <is>
          <t>VIMMERBY</t>
        </is>
      </c>
      <c r="G492" t="n">
        <v>5.2</v>
      </c>
      <c r="H492" t="n">
        <v>0</v>
      </c>
      <c r="I492" t="n">
        <v>0</v>
      </c>
      <c r="J492" t="n">
        <v>0</v>
      </c>
      <c r="K492" t="n">
        <v>0</v>
      </c>
      <c r="L492" t="n">
        <v>0</v>
      </c>
      <c r="M492" t="n">
        <v>0</v>
      </c>
      <c r="N492" t="n">
        <v>0</v>
      </c>
      <c r="O492" t="n">
        <v>0</v>
      </c>
      <c r="P492" t="n">
        <v>0</v>
      </c>
      <c r="Q492" t="n">
        <v>0</v>
      </c>
      <c r="R492" s="2" t="inlineStr"/>
    </row>
    <row r="493" ht="15" customHeight="1">
      <c r="A493" t="inlineStr">
        <is>
          <t>A 32835-2022</t>
        </is>
      </c>
      <c r="B493" s="1" t="n">
        <v>44784.42528935185</v>
      </c>
      <c r="C493" s="1" t="n">
        <v>45922</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10785-2025</t>
        </is>
      </c>
      <c r="B494" s="1" t="n">
        <v>45722.48634259259</v>
      </c>
      <c r="C494" s="1" t="n">
        <v>45922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1081-2023</t>
        </is>
      </c>
      <c r="B495" s="1" t="n">
        <v>44935</v>
      </c>
      <c r="C495" s="1" t="n">
        <v>45922</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30293-2025</t>
        </is>
      </c>
      <c r="B496" s="1" t="n">
        <v>45827</v>
      </c>
      <c r="C496" s="1" t="n">
        <v>45922</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47063-2022</t>
        </is>
      </c>
      <c r="B497" s="1" t="n">
        <v>44852</v>
      </c>
      <c r="C497" s="1" t="n">
        <v>45922</v>
      </c>
      <c r="D497" t="inlineStr">
        <is>
          <t>KALMAR LÄN</t>
        </is>
      </c>
      <c r="E497" t="inlineStr">
        <is>
          <t>VIMMERBY</t>
        </is>
      </c>
      <c r="G497" t="n">
        <v>2.5</v>
      </c>
      <c r="H497" t="n">
        <v>0</v>
      </c>
      <c r="I497" t="n">
        <v>0</v>
      </c>
      <c r="J497" t="n">
        <v>0</v>
      </c>
      <c r="K497" t="n">
        <v>0</v>
      </c>
      <c r="L497" t="n">
        <v>0</v>
      </c>
      <c r="M497" t="n">
        <v>0</v>
      </c>
      <c r="N497" t="n">
        <v>0</v>
      </c>
      <c r="O497" t="n">
        <v>0</v>
      </c>
      <c r="P497" t="n">
        <v>0</v>
      </c>
      <c r="Q497" t="n">
        <v>0</v>
      </c>
      <c r="R497" s="2" t="inlineStr"/>
    </row>
    <row r="498" ht="15" customHeight="1">
      <c r="A498" t="inlineStr">
        <is>
          <t>A 30290-2025</t>
        </is>
      </c>
      <c r="B498" s="1" t="n">
        <v>45827</v>
      </c>
      <c r="C498" s="1" t="n">
        <v>45922</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29017-2024</t>
        </is>
      </c>
      <c r="B499" s="1" t="n">
        <v>45481.56722222222</v>
      </c>
      <c r="C499" s="1" t="n">
        <v>45922</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28403-2023</t>
        </is>
      </c>
      <c r="B500" s="1" t="n">
        <v>45100.85270833333</v>
      </c>
      <c r="C500" s="1" t="n">
        <v>45922</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33103-2024</t>
        </is>
      </c>
      <c r="B501" s="1" t="n">
        <v>45517.8162037037</v>
      </c>
      <c r="C501" s="1" t="n">
        <v>45922</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23263-2024</t>
        </is>
      </c>
      <c r="B502" s="1" t="n">
        <v>45453.36854166666</v>
      </c>
      <c r="C502" s="1" t="n">
        <v>45922</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11074-2023</t>
        </is>
      </c>
      <c r="B503" s="1" t="n">
        <v>44992.34151620371</v>
      </c>
      <c r="C503" s="1" t="n">
        <v>45922</v>
      </c>
      <c r="D503" t="inlineStr">
        <is>
          <t>KALMAR LÄN</t>
        </is>
      </c>
      <c r="E503" t="inlineStr">
        <is>
          <t>VIMMERBY</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6668-2023</t>
        </is>
      </c>
      <c r="B504" s="1" t="n">
        <v>44966</v>
      </c>
      <c r="C504" s="1" t="n">
        <v>45922</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29168-2024</t>
        </is>
      </c>
      <c r="B505" s="1" t="n">
        <v>45482.49870370371</v>
      </c>
      <c r="C505" s="1" t="n">
        <v>45922</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8086-2021</t>
        </is>
      </c>
      <c r="B506" s="1" t="n">
        <v>44243</v>
      </c>
      <c r="C506" s="1" t="n">
        <v>45922</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61939-2021</t>
        </is>
      </c>
      <c r="B507" s="1" t="n">
        <v>44502</v>
      </c>
      <c r="C507" s="1" t="n">
        <v>45922</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55236-2023</t>
        </is>
      </c>
      <c r="B508" s="1" t="n">
        <v>45237.63225694445</v>
      </c>
      <c r="C508" s="1" t="n">
        <v>45922</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55245-2023</t>
        </is>
      </c>
      <c r="B509" s="1" t="n">
        <v>45237.64408564815</v>
      </c>
      <c r="C509" s="1" t="n">
        <v>45922</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36055-2024</t>
        </is>
      </c>
      <c r="B510" s="1" t="n">
        <v>45533.63056712963</v>
      </c>
      <c r="C510" s="1" t="n">
        <v>45922</v>
      </c>
      <c r="D510" t="inlineStr">
        <is>
          <t>KALMAR LÄN</t>
        </is>
      </c>
      <c r="E510" t="inlineStr">
        <is>
          <t>VIMMERBY</t>
        </is>
      </c>
      <c r="F510" t="inlineStr">
        <is>
          <t>Kommuner</t>
        </is>
      </c>
      <c r="G510" t="n">
        <v>1.9</v>
      </c>
      <c r="H510" t="n">
        <v>0</v>
      </c>
      <c r="I510" t="n">
        <v>0</v>
      </c>
      <c r="J510" t="n">
        <v>0</v>
      </c>
      <c r="K510" t="n">
        <v>0</v>
      </c>
      <c r="L510" t="n">
        <v>0</v>
      </c>
      <c r="M510" t="n">
        <v>0</v>
      </c>
      <c r="N510" t="n">
        <v>0</v>
      </c>
      <c r="O510" t="n">
        <v>0</v>
      </c>
      <c r="P510" t="n">
        <v>0</v>
      </c>
      <c r="Q510" t="n">
        <v>0</v>
      </c>
      <c r="R510" s="2" t="inlineStr"/>
    </row>
    <row r="511" ht="15" customHeight="1">
      <c r="A511" t="inlineStr">
        <is>
          <t>A 12215-2024</t>
        </is>
      </c>
      <c r="B511" s="1" t="n">
        <v>45378.32185185186</v>
      </c>
      <c r="C511" s="1" t="n">
        <v>45922</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30850-2025</t>
        </is>
      </c>
      <c r="B512" s="1" t="n">
        <v>45831</v>
      </c>
      <c r="C512" s="1" t="n">
        <v>45922</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2260-2022</t>
        </is>
      </c>
      <c r="B513" s="1" t="n">
        <v>44578.62943287037</v>
      </c>
      <c r="C513" s="1" t="n">
        <v>45922</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11661-2023</t>
        </is>
      </c>
      <c r="B514" s="1" t="n">
        <v>44994.46908564815</v>
      </c>
      <c r="C514" s="1" t="n">
        <v>45922</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11303-2025</t>
        </is>
      </c>
      <c r="B515" s="1" t="n">
        <v>45726.44471064815</v>
      </c>
      <c r="C515" s="1" t="n">
        <v>45922</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58046-2022</t>
        </is>
      </c>
      <c r="B516" s="1" t="n">
        <v>44900.57393518519</v>
      </c>
      <c r="C516" s="1" t="n">
        <v>45922</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45528-2021</t>
        </is>
      </c>
      <c r="B517" s="1" t="n">
        <v>44440.60415509259</v>
      </c>
      <c r="C517" s="1" t="n">
        <v>45922</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46979-2023</t>
        </is>
      </c>
      <c r="B518" s="1" t="n">
        <v>45201</v>
      </c>
      <c r="C518" s="1" t="n">
        <v>45922</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6574-2023</t>
        </is>
      </c>
      <c r="B519" s="1" t="n">
        <v>44966</v>
      </c>
      <c r="C519" s="1" t="n">
        <v>45922</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12033-2024</t>
        </is>
      </c>
      <c r="B520" s="1" t="n">
        <v>45377.40043981482</v>
      </c>
      <c r="C520" s="1" t="n">
        <v>45922</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51408-2023</t>
        </is>
      </c>
      <c r="B521" s="1" t="n">
        <v>45219.69356481481</v>
      </c>
      <c r="C521" s="1" t="n">
        <v>45922</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31552-2025</t>
        </is>
      </c>
      <c r="B522" s="1" t="n">
        <v>45833.64563657407</v>
      </c>
      <c r="C522" s="1" t="n">
        <v>45922</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31555-2025</t>
        </is>
      </c>
      <c r="B523" s="1" t="n">
        <v>45833.64814814815</v>
      </c>
      <c r="C523" s="1" t="n">
        <v>45922</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30971-2025</t>
        </is>
      </c>
      <c r="B524" s="1" t="n">
        <v>45832.46146990741</v>
      </c>
      <c r="C524" s="1" t="n">
        <v>45922</v>
      </c>
      <c r="D524" t="inlineStr">
        <is>
          <t>KALMAR LÄN</t>
        </is>
      </c>
      <c r="E524" t="inlineStr">
        <is>
          <t>VIMMERBY</t>
        </is>
      </c>
      <c r="G524" t="n">
        <v>1.2</v>
      </c>
      <c r="H524" t="n">
        <v>0</v>
      </c>
      <c r="I524" t="n">
        <v>0</v>
      </c>
      <c r="J524" t="n">
        <v>0</v>
      </c>
      <c r="K524" t="n">
        <v>0</v>
      </c>
      <c r="L524" t="n">
        <v>0</v>
      </c>
      <c r="M524" t="n">
        <v>0</v>
      </c>
      <c r="N524" t="n">
        <v>0</v>
      </c>
      <c r="O524" t="n">
        <v>0</v>
      </c>
      <c r="P524" t="n">
        <v>0</v>
      </c>
      <c r="Q524" t="n">
        <v>0</v>
      </c>
      <c r="R524" s="2" t="inlineStr"/>
    </row>
    <row r="525" ht="15" customHeight="1">
      <c r="A525" t="inlineStr">
        <is>
          <t>A 49488-2023</t>
        </is>
      </c>
      <c r="B525" s="1" t="n">
        <v>45211.55472222222</v>
      </c>
      <c r="C525" s="1" t="n">
        <v>45922</v>
      </c>
      <c r="D525" t="inlineStr">
        <is>
          <t>KALMAR LÄN</t>
        </is>
      </c>
      <c r="E525" t="inlineStr">
        <is>
          <t>VIMMERBY</t>
        </is>
      </c>
      <c r="F525" t="inlineStr">
        <is>
          <t>Sveaskog</t>
        </is>
      </c>
      <c r="G525" t="n">
        <v>6.2</v>
      </c>
      <c r="H525" t="n">
        <v>0</v>
      </c>
      <c r="I525" t="n">
        <v>0</v>
      </c>
      <c r="J525" t="n">
        <v>0</v>
      </c>
      <c r="K525" t="n">
        <v>0</v>
      </c>
      <c r="L525" t="n">
        <v>0</v>
      </c>
      <c r="M525" t="n">
        <v>0</v>
      </c>
      <c r="N525" t="n">
        <v>0</v>
      </c>
      <c r="O525" t="n">
        <v>0</v>
      </c>
      <c r="P525" t="n">
        <v>0</v>
      </c>
      <c r="Q525" t="n">
        <v>0</v>
      </c>
      <c r="R525" s="2" t="inlineStr"/>
    </row>
    <row r="526" ht="15" customHeight="1">
      <c r="A526" t="inlineStr">
        <is>
          <t>A 31551-2025</t>
        </is>
      </c>
      <c r="B526" s="1" t="n">
        <v>45833.64237268519</v>
      </c>
      <c r="C526" s="1" t="n">
        <v>45922</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4058-2024</t>
        </is>
      </c>
      <c r="B527" s="1" t="n">
        <v>45323.53744212963</v>
      </c>
      <c r="C527" s="1" t="n">
        <v>45922</v>
      </c>
      <c r="D527" t="inlineStr">
        <is>
          <t>KALMAR LÄN</t>
        </is>
      </c>
      <c r="E527" t="inlineStr">
        <is>
          <t>VIMMERBY</t>
        </is>
      </c>
      <c r="G527" t="n">
        <v>6.5</v>
      </c>
      <c r="H527" t="n">
        <v>0</v>
      </c>
      <c r="I527" t="n">
        <v>0</v>
      </c>
      <c r="J527" t="n">
        <v>0</v>
      </c>
      <c r="K527" t="n">
        <v>0</v>
      </c>
      <c r="L527" t="n">
        <v>0</v>
      </c>
      <c r="M527" t="n">
        <v>0</v>
      </c>
      <c r="N527" t="n">
        <v>0</v>
      </c>
      <c r="O527" t="n">
        <v>0</v>
      </c>
      <c r="P527" t="n">
        <v>0</v>
      </c>
      <c r="Q527" t="n">
        <v>0</v>
      </c>
      <c r="R527" s="2" t="inlineStr"/>
    </row>
    <row r="528" ht="15" customHeight="1">
      <c r="A528" t="inlineStr">
        <is>
          <t>A 30882-2025</t>
        </is>
      </c>
      <c r="B528" s="1" t="n">
        <v>45832.34540509259</v>
      </c>
      <c r="C528" s="1" t="n">
        <v>45922</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31872-2025</t>
        </is>
      </c>
      <c r="B529" s="1" t="n">
        <v>45834.65040509259</v>
      </c>
      <c r="C529" s="1" t="n">
        <v>45922</v>
      </c>
      <c r="D529" t="inlineStr">
        <is>
          <t>KALMAR LÄN</t>
        </is>
      </c>
      <c r="E529" t="inlineStr">
        <is>
          <t>VIMMERBY</t>
        </is>
      </c>
      <c r="F529" t="inlineStr">
        <is>
          <t>Sveaskog</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1978-2024</t>
        </is>
      </c>
      <c r="B530" s="1" t="n">
        <v>45308.59001157407</v>
      </c>
      <c r="C530" s="1" t="n">
        <v>45922</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30318-2023</t>
        </is>
      </c>
      <c r="B531" s="1" t="n">
        <v>45111.30824074074</v>
      </c>
      <c r="C531" s="1" t="n">
        <v>45922</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8559-2025</t>
        </is>
      </c>
      <c r="B532" s="1" t="n">
        <v>45709.62280092593</v>
      </c>
      <c r="C532" s="1" t="n">
        <v>45922</v>
      </c>
      <c r="D532" t="inlineStr">
        <is>
          <t>KALMAR LÄN</t>
        </is>
      </c>
      <c r="E532" t="inlineStr">
        <is>
          <t>VIMMERBY</t>
        </is>
      </c>
      <c r="G532" t="n">
        <v>8.9</v>
      </c>
      <c r="H532" t="n">
        <v>0</v>
      </c>
      <c r="I532" t="n">
        <v>0</v>
      </c>
      <c r="J532" t="n">
        <v>0</v>
      </c>
      <c r="K532" t="n">
        <v>0</v>
      </c>
      <c r="L532" t="n">
        <v>0</v>
      </c>
      <c r="M532" t="n">
        <v>0</v>
      </c>
      <c r="N532" t="n">
        <v>0</v>
      </c>
      <c r="O532" t="n">
        <v>0</v>
      </c>
      <c r="P532" t="n">
        <v>0</v>
      </c>
      <c r="Q532" t="n">
        <v>0</v>
      </c>
      <c r="R532" s="2" t="inlineStr"/>
    </row>
    <row r="533" ht="15" customHeight="1">
      <c r="A533" t="inlineStr">
        <is>
          <t>A 32064-2025</t>
        </is>
      </c>
      <c r="B533" s="1" t="n">
        <v>45835.44709490741</v>
      </c>
      <c r="C533" s="1" t="n">
        <v>45922</v>
      </c>
      <c r="D533" t="inlineStr">
        <is>
          <t>KALMAR LÄN</t>
        </is>
      </c>
      <c r="E533" t="inlineStr">
        <is>
          <t>VIMMERBY</t>
        </is>
      </c>
      <c r="G533" t="n">
        <v>2.6</v>
      </c>
      <c r="H533" t="n">
        <v>0</v>
      </c>
      <c r="I533" t="n">
        <v>0</v>
      </c>
      <c r="J533" t="n">
        <v>0</v>
      </c>
      <c r="K533" t="n">
        <v>0</v>
      </c>
      <c r="L533" t="n">
        <v>0</v>
      </c>
      <c r="M533" t="n">
        <v>0</v>
      </c>
      <c r="N533" t="n">
        <v>0</v>
      </c>
      <c r="O533" t="n">
        <v>0</v>
      </c>
      <c r="P533" t="n">
        <v>0</v>
      </c>
      <c r="Q533" t="n">
        <v>0</v>
      </c>
      <c r="R533" s="2" t="inlineStr"/>
    </row>
    <row r="534" ht="15" customHeight="1">
      <c r="A534" t="inlineStr">
        <is>
          <t>A 32109-2025</t>
        </is>
      </c>
      <c r="B534" s="1" t="n">
        <v>45835.48267361111</v>
      </c>
      <c r="C534" s="1" t="n">
        <v>45922</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32113-2025</t>
        </is>
      </c>
      <c r="B535" s="1" t="n">
        <v>45835.48445601852</v>
      </c>
      <c r="C535" s="1" t="n">
        <v>45922</v>
      </c>
      <c r="D535" t="inlineStr">
        <is>
          <t>KALMAR LÄN</t>
        </is>
      </c>
      <c r="E535" t="inlineStr">
        <is>
          <t>VIMMERBY</t>
        </is>
      </c>
      <c r="G535" t="n">
        <v>3.5</v>
      </c>
      <c r="H535" t="n">
        <v>0</v>
      </c>
      <c r="I535" t="n">
        <v>0</v>
      </c>
      <c r="J535" t="n">
        <v>0</v>
      </c>
      <c r="K535" t="n">
        <v>0</v>
      </c>
      <c r="L535" t="n">
        <v>0</v>
      </c>
      <c r="M535" t="n">
        <v>0</v>
      </c>
      <c r="N535" t="n">
        <v>0</v>
      </c>
      <c r="O535" t="n">
        <v>0</v>
      </c>
      <c r="P535" t="n">
        <v>0</v>
      </c>
      <c r="Q535" t="n">
        <v>0</v>
      </c>
      <c r="R535" s="2" t="inlineStr"/>
    </row>
    <row r="536" ht="15" customHeight="1">
      <c r="A536" t="inlineStr">
        <is>
          <t>A 32116-2025</t>
        </is>
      </c>
      <c r="B536" s="1" t="n">
        <v>45835.48862268519</v>
      </c>
      <c r="C536" s="1" t="n">
        <v>45922</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8410-2023</t>
        </is>
      </c>
      <c r="B537" s="1" t="n">
        <v>44977</v>
      </c>
      <c r="C537" s="1" t="n">
        <v>45922</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27443-2023</t>
        </is>
      </c>
      <c r="B538" s="1" t="n">
        <v>45097.40524305555</v>
      </c>
      <c r="C538" s="1" t="n">
        <v>45922</v>
      </c>
      <c r="D538" t="inlineStr">
        <is>
          <t>KALMAR LÄN</t>
        </is>
      </c>
      <c r="E538" t="inlineStr">
        <is>
          <t>VIMMERBY</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31870-2025</t>
        </is>
      </c>
      <c r="B539" s="1" t="n">
        <v>45834.64667824074</v>
      </c>
      <c r="C539" s="1" t="n">
        <v>45922</v>
      </c>
      <c r="D539" t="inlineStr">
        <is>
          <t>KALMAR LÄN</t>
        </is>
      </c>
      <c r="E539" t="inlineStr">
        <is>
          <t>VIMMERBY</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32065-2025</t>
        </is>
      </c>
      <c r="B540" s="1" t="n">
        <v>45835.44732638889</v>
      </c>
      <c r="C540" s="1" t="n">
        <v>45922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845-2023</t>
        </is>
      </c>
      <c r="B541" s="1" t="n">
        <v>44931</v>
      </c>
      <c r="C541" s="1" t="n">
        <v>45922</v>
      </c>
      <c r="D541" t="inlineStr">
        <is>
          <t>KALMAR LÄN</t>
        </is>
      </c>
      <c r="E541" t="inlineStr">
        <is>
          <t>VIMMERBY</t>
        </is>
      </c>
      <c r="F541" t="inlineStr">
        <is>
          <t>Övriga Aktiebolag</t>
        </is>
      </c>
      <c r="G541" t="n">
        <v>19</v>
      </c>
      <c r="H541" t="n">
        <v>0</v>
      </c>
      <c r="I541" t="n">
        <v>0</v>
      </c>
      <c r="J541" t="n">
        <v>0</v>
      </c>
      <c r="K541" t="n">
        <v>0</v>
      </c>
      <c r="L541" t="n">
        <v>0</v>
      </c>
      <c r="M541" t="n">
        <v>0</v>
      </c>
      <c r="N541" t="n">
        <v>0</v>
      </c>
      <c r="O541" t="n">
        <v>0</v>
      </c>
      <c r="P541" t="n">
        <v>0</v>
      </c>
      <c r="Q541" t="n">
        <v>0</v>
      </c>
      <c r="R541" s="2" t="inlineStr"/>
    </row>
    <row r="542" ht="15" customHeight="1">
      <c r="A542" t="inlineStr">
        <is>
          <t>A 25234-2023</t>
        </is>
      </c>
      <c r="B542" s="1" t="n">
        <v>45086.63194444445</v>
      </c>
      <c r="C542" s="1" t="n">
        <v>45922</v>
      </c>
      <c r="D542" t="inlineStr">
        <is>
          <t>KALMAR LÄN</t>
        </is>
      </c>
      <c r="E542" t="inlineStr">
        <is>
          <t>VIMMERBY</t>
        </is>
      </c>
      <c r="G542" t="n">
        <v>2.1</v>
      </c>
      <c r="H542" t="n">
        <v>0</v>
      </c>
      <c r="I542" t="n">
        <v>0</v>
      </c>
      <c r="J542" t="n">
        <v>0</v>
      </c>
      <c r="K542" t="n">
        <v>0</v>
      </c>
      <c r="L542" t="n">
        <v>0</v>
      </c>
      <c r="M542" t="n">
        <v>0</v>
      </c>
      <c r="N542" t="n">
        <v>0</v>
      </c>
      <c r="O542" t="n">
        <v>0</v>
      </c>
      <c r="P542" t="n">
        <v>0</v>
      </c>
      <c r="Q542" t="n">
        <v>0</v>
      </c>
      <c r="R542" s="2" t="inlineStr"/>
    </row>
    <row r="543" ht="15" customHeight="1">
      <c r="A543" t="inlineStr">
        <is>
          <t>A 46078-2023</t>
        </is>
      </c>
      <c r="B543" s="1" t="n">
        <v>45196</v>
      </c>
      <c r="C543" s="1" t="n">
        <v>45922</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31987-2025</t>
        </is>
      </c>
      <c r="B544" s="1" t="n">
        <v>45835.36229166666</v>
      </c>
      <c r="C544" s="1" t="n">
        <v>45922</v>
      </c>
      <c r="D544" t="inlineStr">
        <is>
          <t>KALMAR LÄN</t>
        </is>
      </c>
      <c r="E544" t="inlineStr">
        <is>
          <t>VIMMERBY</t>
        </is>
      </c>
      <c r="F544" t="inlineStr">
        <is>
          <t>Kyrkan</t>
        </is>
      </c>
      <c r="G544" t="n">
        <v>1.2</v>
      </c>
      <c r="H544" t="n">
        <v>0</v>
      </c>
      <c r="I544" t="n">
        <v>0</v>
      </c>
      <c r="J544" t="n">
        <v>0</v>
      </c>
      <c r="K544" t="n">
        <v>0</v>
      </c>
      <c r="L544" t="n">
        <v>0</v>
      </c>
      <c r="M544" t="n">
        <v>0</v>
      </c>
      <c r="N544" t="n">
        <v>0</v>
      </c>
      <c r="O544" t="n">
        <v>0</v>
      </c>
      <c r="P544" t="n">
        <v>0</v>
      </c>
      <c r="Q544" t="n">
        <v>0</v>
      </c>
      <c r="R544" s="2" t="inlineStr"/>
    </row>
    <row r="545" ht="15" customHeight="1">
      <c r="A545" t="inlineStr">
        <is>
          <t>A 32077-2025</t>
        </is>
      </c>
      <c r="B545" s="1" t="n">
        <v>45835.45099537037</v>
      </c>
      <c r="C545" s="1" t="n">
        <v>45922</v>
      </c>
      <c r="D545" t="inlineStr">
        <is>
          <t>KALMAR LÄN</t>
        </is>
      </c>
      <c r="E545" t="inlineStr">
        <is>
          <t>VIMMERBY</t>
        </is>
      </c>
      <c r="G545" t="n">
        <v>1.8</v>
      </c>
      <c r="H545" t="n">
        <v>0</v>
      </c>
      <c r="I545" t="n">
        <v>0</v>
      </c>
      <c r="J545" t="n">
        <v>0</v>
      </c>
      <c r="K545" t="n">
        <v>0</v>
      </c>
      <c r="L545" t="n">
        <v>0</v>
      </c>
      <c r="M545" t="n">
        <v>0</v>
      </c>
      <c r="N545" t="n">
        <v>0</v>
      </c>
      <c r="O545" t="n">
        <v>0</v>
      </c>
      <c r="P545" t="n">
        <v>0</v>
      </c>
      <c r="Q545" t="n">
        <v>0</v>
      </c>
      <c r="R545" s="2" t="inlineStr"/>
    </row>
    <row r="546" ht="15" customHeight="1">
      <c r="A546" t="inlineStr">
        <is>
          <t>A 32120-2025</t>
        </is>
      </c>
      <c r="B546" s="1" t="n">
        <v>45835.4924537037</v>
      </c>
      <c r="C546" s="1" t="n">
        <v>45922</v>
      </c>
      <c r="D546" t="inlineStr">
        <is>
          <t>KALMAR LÄN</t>
        </is>
      </c>
      <c r="E546" t="inlineStr">
        <is>
          <t>VIMMERBY</t>
        </is>
      </c>
      <c r="G546" t="n">
        <v>0.8</v>
      </c>
      <c r="H546" t="n">
        <v>0</v>
      </c>
      <c r="I546" t="n">
        <v>0</v>
      </c>
      <c r="J546" t="n">
        <v>0</v>
      </c>
      <c r="K546" t="n">
        <v>0</v>
      </c>
      <c r="L546" t="n">
        <v>0</v>
      </c>
      <c r="M546" t="n">
        <v>0</v>
      </c>
      <c r="N546" t="n">
        <v>0</v>
      </c>
      <c r="O546" t="n">
        <v>0</v>
      </c>
      <c r="P546" t="n">
        <v>0</v>
      </c>
      <c r="Q546" t="n">
        <v>0</v>
      </c>
      <c r="R546" s="2" t="inlineStr"/>
    </row>
    <row r="547" ht="15" customHeight="1">
      <c r="A547" t="inlineStr">
        <is>
          <t>A 30920-2024</t>
        </is>
      </c>
      <c r="B547" s="1" t="n">
        <v>45498.673125</v>
      </c>
      <c r="C547" s="1" t="n">
        <v>45922</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31876-2025</t>
        </is>
      </c>
      <c r="B548" s="1" t="n">
        <v>45834.65197916667</v>
      </c>
      <c r="C548" s="1" t="n">
        <v>45922</v>
      </c>
      <c r="D548" t="inlineStr">
        <is>
          <t>KALMAR LÄN</t>
        </is>
      </c>
      <c r="E548" t="inlineStr">
        <is>
          <t>VIMMERBY</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6321-2023</t>
        </is>
      </c>
      <c r="B549" s="1" t="n">
        <v>44965.4815162037</v>
      </c>
      <c r="C549" s="1" t="n">
        <v>45922</v>
      </c>
      <c r="D549" t="inlineStr">
        <is>
          <t>KALMAR LÄN</t>
        </is>
      </c>
      <c r="E549" t="inlineStr">
        <is>
          <t>VIMMERBY</t>
        </is>
      </c>
      <c r="G549" t="n">
        <v>1.8</v>
      </c>
      <c r="H549" t="n">
        <v>0</v>
      </c>
      <c r="I549" t="n">
        <v>0</v>
      </c>
      <c r="J549" t="n">
        <v>0</v>
      </c>
      <c r="K549" t="n">
        <v>0</v>
      </c>
      <c r="L549" t="n">
        <v>0</v>
      </c>
      <c r="M549" t="n">
        <v>0</v>
      </c>
      <c r="N549" t="n">
        <v>0</v>
      </c>
      <c r="O549" t="n">
        <v>0</v>
      </c>
      <c r="P549" t="n">
        <v>0</v>
      </c>
      <c r="Q549" t="n">
        <v>0</v>
      </c>
      <c r="R549" s="2" t="inlineStr"/>
    </row>
    <row r="550" ht="15" customHeight="1">
      <c r="A550" t="inlineStr">
        <is>
          <t>A 4624-2024</t>
        </is>
      </c>
      <c r="B550" s="1" t="n">
        <v>45328.38755787037</v>
      </c>
      <c r="C550" s="1" t="n">
        <v>45922</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40929-2022</t>
        </is>
      </c>
      <c r="B551" s="1" t="n">
        <v>44825.4336574074</v>
      </c>
      <c r="C551" s="1" t="n">
        <v>45922</v>
      </c>
      <c r="D551" t="inlineStr">
        <is>
          <t>KALMAR LÄN</t>
        </is>
      </c>
      <c r="E551" t="inlineStr">
        <is>
          <t>VIMMERBY</t>
        </is>
      </c>
      <c r="G551" t="n">
        <v>2.5</v>
      </c>
      <c r="H551" t="n">
        <v>0</v>
      </c>
      <c r="I551" t="n">
        <v>0</v>
      </c>
      <c r="J551" t="n">
        <v>0</v>
      </c>
      <c r="K551" t="n">
        <v>0</v>
      </c>
      <c r="L551" t="n">
        <v>0</v>
      </c>
      <c r="M551" t="n">
        <v>0</v>
      </c>
      <c r="N551" t="n">
        <v>0</v>
      </c>
      <c r="O551" t="n">
        <v>0</v>
      </c>
      <c r="P551" t="n">
        <v>0</v>
      </c>
      <c r="Q551" t="n">
        <v>0</v>
      </c>
      <c r="R551" s="2" t="inlineStr"/>
    </row>
    <row r="552" ht="15" customHeight="1">
      <c r="A552" t="inlineStr">
        <is>
          <t>A 37866-2025</t>
        </is>
      </c>
      <c r="B552" s="1" t="n">
        <v>45881</v>
      </c>
      <c r="C552" s="1" t="n">
        <v>45922</v>
      </c>
      <c r="D552" t="inlineStr">
        <is>
          <t>KALMAR LÄN</t>
        </is>
      </c>
      <c r="E552" t="inlineStr">
        <is>
          <t>VIMMERBY</t>
        </is>
      </c>
      <c r="G552" t="n">
        <v>3.4</v>
      </c>
      <c r="H552" t="n">
        <v>0</v>
      </c>
      <c r="I552" t="n">
        <v>0</v>
      </c>
      <c r="J552" t="n">
        <v>0</v>
      </c>
      <c r="K552" t="n">
        <v>0</v>
      </c>
      <c r="L552" t="n">
        <v>0</v>
      </c>
      <c r="M552" t="n">
        <v>0</v>
      </c>
      <c r="N552" t="n">
        <v>0</v>
      </c>
      <c r="O552" t="n">
        <v>0</v>
      </c>
      <c r="P552" t="n">
        <v>0</v>
      </c>
      <c r="Q552" t="n">
        <v>0</v>
      </c>
      <c r="R552" s="2" t="inlineStr"/>
    </row>
    <row r="553" ht="15" customHeight="1">
      <c r="A553" t="inlineStr">
        <is>
          <t>A 37668-2025</t>
        </is>
      </c>
      <c r="B553" s="1" t="n">
        <v>45880.51550925926</v>
      </c>
      <c r="C553" s="1" t="n">
        <v>45922</v>
      </c>
      <c r="D553" t="inlineStr">
        <is>
          <t>KALMAR LÄN</t>
        </is>
      </c>
      <c r="E553" t="inlineStr">
        <is>
          <t>VIMMERBY</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50091-2023</t>
        </is>
      </c>
      <c r="B554" s="1" t="n">
        <v>45215.60199074074</v>
      </c>
      <c r="C554" s="1" t="n">
        <v>45922</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36008-2024</t>
        </is>
      </c>
      <c r="B555" s="1" t="n">
        <v>45533.55362268518</v>
      </c>
      <c r="C555" s="1" t="n">
        <v>45922</v>
      </c>
      <c r="D555" t="inlineStr">
        <is>
          <t>KALMAR LÄN</t>
        </is>
      </c>
      <c r="E555" t="inlineStr">
        <is>
          <t>VIMMERBY</t>
        </is>
      </c>
      <c r="G555" t="n">
        <v>3.7</v>
      </c>
      <c r="H555" t="n">
        <v>0</v>
      </c>
      <c r="I555" t="n">
        <v>0</v>
      </c>
      <c r="J555" t="n">
        <v>0</v>
      </c>
      <c r="K555" t="n">
        <v>0</v>
      </c>
      <c r="L555" t="n">
        <v>0</v>
      </c>
      <c r="M555" t="n">
        <v>0</v>
      </c>
      <c r="N555" t="n">
        <v>0</v>
      </c>
      <c r="O555" t="n">
        <v>0</v>
      </c>
      <c r="P555" t="n">
        <v>0</v>
      </c>
      <c r="Q555" t="n">
        <v>0</v>
      </c>
      <c r="R555" s="2" t="inlineStr"/>
    </row>
    <row r="556" ht="15" customHeight="1">
      <c r="A556" t="inlineStr">
        <is>
          <t>A 40730-2024</t>
        </is>
      </c>
      <c r="B556" s="1" t="n">
        <v>45558.44914351852</v>
      </c>
      <c r="C556" s="1" t="n">
        <v>45922</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37939-2025</t>
        </is>
      </c>
      <c r="B557" s="1" t="n">
        <v>45881.59877314815</v>
      </c>
      <c r="C557" s="1" t="n">
        <v>45922</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2157-2024</t>
        </is>
      </c>
      <c r="B558" s="1" t="n">
        <v>45309.59487268519</v>
      </c>
      <c r="C558" s="1" t="n">
        <v>45922</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3609-2024</t>
        </is>
      </c>
      <c r="B559" s="1" t="n">
        <v>45320.89128472222</v>
      </c>
      <c r="C559" s="1" t="n">
        <v>45922</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16622-2025</t>
        </is>
      </c>
      <c r="B560" s="1" t="n">
        <v>45754.33641203704</v>
      </c>
      <c r="C560" s="1" t="n">
        <v>45922</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17511-2024</t>
        </is>
      </c>
      <c r="B561" s="1" t="n">
        <v>45415.57682870371</v>
      </c>
      <c r="C561" s="1" t="n">
        <v>45922</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10424-2023</t>
        </is>
      </c>
      <c r="B562" s="1" t="n">
        <v>44987.54104166666</v>
      </c>
      <c r="C562" s="1" t="n">
        <v>45922</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43705-2023</t>
        </is>
      </c>
      <c r="B563" s="1" t="n">
        <v>45187.42854166667</v>
      </c>
      <c r="C563" s="1" t="n">
        <v>45922</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49461-2022</t>
        </is>
      </c>
      <c r="B564" s="1" t="n">
        <v>44861</v>
      </c>
      <c r="C564" s="1" t="n">
        <v>45922</v>
      </c>
      <c r="D564" t="inlineStr">
        <is>
          <t>KALMAR LÄN</t>
        </is>
      </c>
      <c r="E564" t="inlineStr">
        <is>
          <t>VIMMERBY</t>
        </is>
      </c>
      <c r="G564" t="n">
        <v>3.2</v>
      </c>
      <c r="H564" t="n">
        <v>0</v>
      </c>
      <c r="I564" t="n">
        <v>0</v>
      </c>
      <c r="J564" t="n">
        <v>0</v>
      </c>
      <c r="K564" t="n">
        <v>0</v>
      </c>
      <c r="L564" t="n">
        <v>0</v>
      </c>
      <c r="M564" t="n">
        <v>0</v>
      </c>
      <c r="N564" t="n">
        <v>0</v>
      </c>
      <c r="O564" t="n">
        <v>0</v>
      </c>
      <c r="P564" t="n">
        <v>0</v>
      </c>
      <c r="Q564" t="n">
        <v>0</v>
      </c>
      <c r="R564" s="2" t="inlineStr"/>
    </row>
    <row r="565" ht="15" customHeight="1">
      <c r="A565" t="inlineStr">
        <is>
          <t>A 694-2024</t>
        </is>
      </c>
      <c r="B565" s="1" t="n">
        <v>45300.3794212963</v>
      </c>
      <c r="C565" s="1" t="n">
        <v>45922</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32380-2025</t>
        </is>
      </c>
      <c r="B566" s="1" t="n">
        <v>45837.77701388889</v>
      </c>
      <c r="C566" s="1" t="n">
        <v>45922</v>
      </c>
      <c r="D566" t="inlineStr">
        <is>
          <t>KALMAR LÄN</t>
        </is>
      </c>
      <c r="E566" t="inlineStr">
        <is>
          <t>VIMMERBY</t>
        </is>
      </c>
      <c r="G566" t="n">
        <v>3.1</v>
      </c>
      <c r="H566" t="n">
        <v>0</v>
      </c>
      <c r="I566" t="n">
        <v>0</v>
      </c>
      <c r="J566" t="n">
        <v>0</v>
      </c>
      <c r="K566" t="n">
        <v>0</v>
      </c>
      <c r="L566" t="n">
        <v>0</v>
      </c>
      <c r="M566" t="n">
        <v>0</v>
      </c>
      <c r="N566" t="n">
        <v>0</v>
      </c>
      <c r="O566" t="n">
        <v>0</v>
      </c>
      <c r="P566" t="n">
        <v>0</v>
      </c>
      <c r="Q566" t="n">
        <v>0</v>
      </c>
      <c r="R566" s="2" t="inlineStr"/>
    </row>
    <row r="567" ht="15" customHeight="1">
      <c r="A567" t="inlineStr">
        <is>
          <t>A 37578-2025</t>
        </is>
      </c>
      <c r="B567" s="1" t="n">
        <v>45880.38380787037</v>
      </c>
      <c r="C567" s="1" t="n">
        <v>45922</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33186-2025</t>
        </is>
      </c>
      <c r="B568" s="1" t="n">
        <v>45840.59474537037</v>
      </c>
      <c r="C568" s="1" t="n">
        <v>45922</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33695-2025</t>
        </is>
      </c>
      <c r="B569" s="1" t="n">
        <v>45841.70569444444</v>
      </c>
      <c r="C569" s="1" t="n">
        <v>45922</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33698-2025</t>
        </is>
      </c>
      <c r="B570" s="1" t="n">
        <v>45841.70868055556</v>
      </c>
      <c r="C570" s="1" t="n">
        <v>45922</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49382-2023</t>
        </is>
      </c>
      <c r="B571" s="1" t="n">
        <v>45208</v>
      </c>
      <c r="C571" s="1" t="n">
        <v>45922</v>
      </c>
      <c r="D571" t="inlineStr">
        <is>
          <t>KALMAR LÄN</t>
        </is>
      </c>
      <c r="E571" t="inlineStr">
        <is>
          <t>VIMMERBY</t>
        </is>
      </c>
      <c r="G571" t="n">
        <v>2.2</v>
      </c>
      <c r="H571" t="n">
        <v>0</v>
      </c>
      <c r="I571" t="n">
        <v>0</v>
      </c>
      <c r="J571" t="n">
        <v>0</v>
      </c>
      <c r="K571" t="n">
        <v>0</v>
      </c>
      <c r="L571" t="n">
        <v>0</v>
      </c>
      <c r="M571" t="n">
        <v>0</v>
      </c>
      <c r="N571" t="n">
        <v>0</v>
      </c>
      <c r="O571" t="n">
        <v>0</v>
      </c>
      <c r="P571" t="n">
        <v>0</v>
      </c>
      <c r="Q571" t="n">
        <v>0</v>
      </c>
      <c r="R571" s="2" t="inlineStr"/>
    </row>
    <row r="572" ht="15" customHeight="1">
      <c r="A572" t="inlineStr">
        <is>
          <t>A 12810-2023</t>
        </is>
      </c>
      <c r="B572" s="1" t="n">
        <v>45001.43854166667</v>
      </c>
      <c r="C572" s="1" t="n">
        <v>45922</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59598-2023</t>
        </is>
      </c>
      <c r="B573" s="1" t="n">
        <v>45254.62489583333</v>
      </c>
      <c r="C573" s="1" t="n">
        <v>45922</v>
      </c>
      <c r="D573" t="inlineStr">
        <is>
          <t>KALMAR LÄN</t>
        </is>
      </c>
      <c r="E573" t="inlineStr">
        <is>
          <t>VIMMERBY</t>
        </is>
      </c>
      <c r="F573" t="inlineStr">
        <is>
          <t>Övriga Aktiebolag</t>
        </is>
      </c>
      <c r="G573" t="n">
        <v>4</v>
      </c>
      <c r="H573" t="n">
        <v>0</v>
      </c>
      <c r="I573" t="n">
        <v>0</v>
      </c>
      <c r="J573" t="n">
        <v>0</v>
      </c>
      <c r="K573" t="n">
        <v>0</v>
      </c>
      <c r="L573" t="n">
        <v>0</v>
      </c>
      <c r="M573" t="n">
        <v>0</v>
      </c>
      <c r="N573" t="n">
        <v>0</v>
      </c>
      <c r="O573" t="n">
        <v>0</v>
      </c>
      <c r="P573" t="n">
        <v>0</v>
      </c>
      <c r="Q573" t="n">
        <v>0</v>
      </c>
      <c r="R573" s="2" t="inlineStr"/>
    </row>
    <row r="574" ht="15" customHeight="1">
      <c r="A574" t="inlineStr">
        <is>
          <t>A 7944-2024</t>
        </is>
      </c>
      <c r="B574" s="1" t="n">
        <v>45350.53306712963</v>
      </c>
      <c r="C574" s="1" t="n">
        <v>45922</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3425-2022</t>
        </is>
      </c>
      <c r="B575" s="1" t="n">
        <v>44585.51060185185</v>
      </c>
      <c r="C575" s="1" t="n">
        <v>45922</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60675-2023</t>
        </is>
      </c>
      <c r="B576" s="1" t="n">
        <v>45260.4716550926</v>
      </c>
      <c r="C576" s="1" t="n">
        <v>45922</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21496-2023</t>
        </is>
      </c>
      <c r="B577" s="1" t="n">
        <v>45063.49936342592</v>
      </c>
      <c r="C577" s="1" t="n">
        <v>45922</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2536-2023</t>
        </is>
      </c>
      <c r="B578" s="1" t="n">
        <v>44943.62954861111</v>
      </c>
      <c r="C578" s="1" t="n">
        <v>45922</v>
      </c>
      <c r="D578" t="inlineStr">
        <is>
          <t>KALMAR LÄN</t>
        </is>
      </c>
      <c r="E578" t="inlineStr">
        <is>
          <t>VIMMERBY</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30977-2025</t>
        </is>
      </c>
      <c r="B579" s="1" t="n">
        <v>45832.46649305556</v>
      </c>
      <c r="C579" s="1" t="n">
        <v>45922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55300-2021</t>
        </is>
      </c>
      <c r="B580" s="1" t="n">
        <v>44475</v>
      </c>
      <c r="C580" s="1" t="n">
        <v>45922</v>
      </c>
      <c r="D580" t="inlineStr">
        <is>
          <t>KALMAR LÄN</t>
        </is>
      </c>
      <c r="E580" t="inlineStr">
        <is>
          <t>VIMMERBY</t>
        </is>
      </c>
      <c r="G580" t="n">
        <v>3.4</v>
      </c>
      <c r="H580" t="n">
        <v>0</v>
      </c>
      <c r="I580" t="n">
        <v>0</v>
      </c>
      <c r="J580" t="n">
        <v>0</v>
      </c>
      <c r="K580" t="n">
        <v>0</v>
      </c>
      <c r="L580" t="n">
        <v>0</v>
      </c>
      <c r="M580" t="n">
        <v>0</v>
      </c>
      <c r="N580" t="n">
        <v>0</v>
      </c>
      <c r="O580" t="n">
        <v>0</v>
      </c>
      <c r="P580" t="n">
        <v>0</v>
      </c>
      <c r="Q580" t="n">
        <v>0</v>
      </c>
      <c r="R580" s="2" t="inlineStr"/>
    </row>
    <row r="581" ht="15" customHeight="1">
      <c r="A581" t="inlineStr">
        <is>
          <t>A 11111-2024</t>
        </is>
      </c>
      <c r="B581" s="1" t="n">
        <v>45371.36359953704</v>
      </c>
      <c r="C581" s="1" t="n">
        <v>45922</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33696-2025</t>
        </is>
      </c>
      <c r="B582" s="1" t="n">
        <v>45841.7072337963</v>
      </c>
      <c r="C582" s="1" t="n">
        <v>45922</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44179-2022</t>
        </is>
      </c>
      <c r="B583" s="1" t="n">
        <v>44839.4528125</v>
      </c>
      <c r="C583" s="1" t="n">
        <v>45922</v>
      </c>
      <c r="D583" t="inlineStr">
        <is>
          <t>KALMAR LÄN</t>
        </is>
      </c>
      <c r="E583" t="inlineStr">
        <is>
          <t>VIMMERBY</t>
        </is>
      </c>
      <c r="G583" t="n">
        <v>2.8</v>
      </c>
      <c r="H583" t="n">
        <v>0</v>
      </c>
      <c r="I583" t="n">
        <v>0</v>
      </c>
      <c r="J583" t="n">
        <v>0</v>
      </c>
      <c r="K583" t="n">
        <v>0</v>
      </c>
      <c r="L583" t="n">
        <v>0</v>
      </c>
      <c r="M583" t="n">
        <v>0</v>
      </c>
      <c r="N583" t="n">
        <v>0</v>
      </c>
      <c r="O583" t="n">
        <v>0</v>
      </c>
      <c r="P583" t="n">
        <v>0</v>
      </c>
      <c r="Q583" t="n">
        <v>0</v>
      </c>
      <c r="R583" s="2" t="inlineStr"/>
    </row>
    <row r="584" ht="15" customHeight="1">
      <c r="A584" t="inlineStr">
        <is>
          <t>A 29783-2024</t>
        </is>
      </c>
      <c r="B584" s="1" t="n">
        <v>45485.45778935185</v>
      </c>
      <c r="C584" s="1" t="n">
        <v>45922</v>
      </c>
      <c r="D584" t="inlineStr">
        <is>
          <t>KALMAR LÄN</t>
        </is>
      </c>
      <c r="E584" t="inlineStr">
        <is>
          <t>VIMMERBY</t>
        </is>
      </c>
      <c r="G584" t="n">
        <v>3.1</v>
      </c>
      <c r="H584" t="n">
        <v>0</v>
      </c>
      <c r="I584" t="n">
        <v>0</v>
      </c>
      <c r="J584" t="n">
        <v>0</v>
      </c>
      <c r="K584" t="n">
        <v>0</v>
      </c>
      <c r="L584" t="n">
        <v>0</v>
      </c>
      <c r="M584" t="n">
        <v>0</v>
      </c>
      <c r="N584" t="n">
        <v>0</v>
      </c>
      <c r="O584" t="n">
        <v>0</v>
      </c>
      <c r="P584" t="n">
        <v>0</v>
      </c>
      <c r="Q584" t="n">
        <v>0</v>
      </c>
      <c r="R584" s="2" t="inlineStr"/>
    </row>
    <row r="585" ht="15" customHeight="1">
      <c r="A585" t="inlineStr">
        <is>
          <t>A 52755-2022</t>
        </is>
      </c>
      <c r="B585" s="1" t="n">
        <v>44875.27736111111</v>
      </c>
      <c r="C585" s="1" t="n">
        <v>45922</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35998-2024</t>
        </is>
      </c>
      <c r="B586" s="1" t="n">
        <v>45533.54429398148</v>
      </c>
      <c r="C586" s="1" t="n">
        <v>45922</v>
      </c>
      <c r="D586" t="inlineStr">
        <is>
          <t>KALMAR LÄN</t>
        </is>
      </c>
      <c r="E586" t="inlineStr">
        <is>
          <t>VIMMERBY</t>
        </is>
      </c>
      <c r="G586" t="n">
        <v>8.6</v>
      </c>
      <c r="H586" t="n">
        <v>0</v>
      </c>
      <c r="I586" t="n">
        <v>0</v>
      </c>
      <c r="J586" t="n">
        <v>0</v>
      </c>
      <c r="K586" t="n">
        <v>0</v>
      </c>
      <c r="L586" t="n">
        <v>0</v>
      </c>
      <c r="M586" t="n">
        <v>0</v>
      </c>
      <c r="N586" t="n">
        <v>0</v>
      </c>
      <c r="O586" t="n">
        <v>0</v>
      </c>
      <c r="P586" t="n">
        <v>0</v>
      </c>
      <c r="Q586" t="n">
        <v>0</v>
      </c>
      <c r="R586" s="2" t="inlineStr"/>
    </row>
    <row r="587" ht="15" customHeight="1">
      <c r="A587" t="inlineStr">
        <is>
          <t>A 35198-2023</t>
        </is>
      </c>
      <c r="B587" s="1" t="n">
        <v>45145</v>
      </c>
      <c r="C587" s="1" t="n">
        <v>45922</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7797-2023</t>
        </is>
      </c>
      <c r="B588" s="1" t="n">
        <v>44973.43075231482</v>
      </c>
      <c r="C588" s="1" t="n">
        <v>45922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1687-2023</t>
        </is>
      </c>
      <c r="B589" s="1" t="n">
        <v>44938</v>
      </c>
      <c r="C589" s="1" t="n">
        <v>45922</v>
      </c>
      <c r="D589" t="inlineStr">
        <is>
          <t>KALMAR LÄN</t>
        </is>
      </c>
      <c r="E589" t="inlineStr">
        <is>
          <t>VIMMERBY</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43853-2023</t>
        </is>
      </c>
      <c r="B590" s="1" t="n">
        <v>45187.60813657408</v>
      </c>
      <c r="C590" s="1" t="n">
        <v>45922</v>
      </c>
      <c r="D590" t="inlineStr">
        <is>
          <t>KALMAR LÄN</t>
        </is>
      </c>
      <c r="E590" t="inlineStr">
        <is>
          <t>VIMMERBY</t>
        </is>
      </c>
      <c r="G590" t="n">
        <v>1.4</v>
      </c>
      <c r="H590" t="n">
        <v>0</v>
      </c>
      <c r="I590" t="n">
        <v>0</v>
      </c>
      <c r="J590" t="n">
        <v>0</v>
      </c>
      <c r="K590" t="n">
        <v>0</v>
      </c>
      <c r="L590" t="n">
        <v>0</v>
      </c>
      <c r="M590" t="n">
        <v>0</v>
      </c>
      <c r="N590" t="n">
        <v>0</v>
      </c>
      <c r="O590" t="n">
        <v>0</v>
      </c>
      <c r="P590" t="n">
        <v>0</v>
      </c>
      <c r="Q590" t="n">
        <v>0</v>
      </c>
      <c r="R590" s="2" t="inlineStr"/>
    </row>
    <row r="591" ht="15" customHeight="1">
      <c r="A591" t="inlineStr">
        <is>
          <t>A 29351-2023</t>
        </is>
      </c>
      <c r="B591" s="1" t="n">
        <v>45106.2610300926</v>
      </c>
      <c r="C591" s="1" t="n">
        <v>45922</v>
      </c>
      <c r="D591" t="inlineStr">
        <is>
          <t>KALMAR LÄN</t>
        </is>
      </c>
      <c r="E591" t="inlineStr">
        <is>
          <t>VIMMERBY</t>
        </is>
      </c>
      <c r="G591" t="n">
        <v>0.4</v>
      </c>
      <c r="H591" t="n">
        <v>0</v>
      </c>
      <c r="I591" t="n">
        <v>0</v>
      </c>
      <c r="J591" t="n">
        <v>0</v>
      </c>
      <c r="K591" t="n">
        <v>0</v>
      </c>
      <c r="L591" t="n">
        <v>0</v>
      </c>
      <c r="M591" t="n">
        <v>0</v>
      </c>
      <c r="N591" t="n">
        <v>0</v>
      </c>
      <c r="O591" t="n">
        <v>0</v>
      </c>
      <c r="P591" t="n">
        <v>0</v>
      </c>
      <c r="Q591" t="n">
        <v>0</v>
      </c>
      <c r="R591" s="2" t="inlineStr"/>
    </row>
    <row r="592" ht="15" customHeight="1">
      <c r="A592" t="inlineStr">
        <is>
          <t>A 7630-2025</t>
        </is>
      </c>
      <c r="B592" s="1" t="n">
        <v>45705.74418981482</v>
      </c>
      <c r="C592" s="1" t="n">
        <v>45922</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3494-2023</t>
        </is>
      </c>
      <c r="B593" s="1" t="n">
        <v>44949</v>
      </c>
      <c r="C593" s="1" t="n">
        <v>45922</v>
      </c>
      <c r="D593" t="inlineStr">
        <is>
          <t>KALMAR LÄN</t>
        </is>
      </c>
      <c r="E593" t="inlineStr">
        <is>
          <t>VIMMERBY</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1024-2024</t>
        </is>
      </c>
      <c r="B594" s="1" t="n">
        <v>45301.68237268519</v>
      </c>
      <c r="C594" s="1" t="n">
        <v>45922</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26956-2025</t>
        </is>
      </c>
      <c r="B595" s="1" t="n">
        <v>45811.45460648148</v>
      </c>
      <c r="C595" s="1" t="n">
        <v>45922</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9511-2023</t>
        </is>
      </c>
      <c r="B596" s="1" t="n">
        <v>44981.64725694444</v>
      </c>
      <c r="C596" s="1" t="n">
        <v>45922</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38757-2023</t>
        </is>
      </c>
      <c r="B597" s="1" t="n">
        <v>45163.41376157408</v>
      </c>
      <c r="C597" s="1" t="n">
        <v>45922</v>
      </c>
      <c r="D597" t="inlineStr">
        <is>
          <t>KALMAR LÄN</t>
        </is>
      </c>
      <c r="E597" t="inlineStr">
        <is>
          <t>VIMMERBY</t>
        </is>
      </c>
      <c r="G597" t="n">
        <v>2.5</v>
      </c>
      <c r="H597" t="n">
        <v>0</v>
      </c>
      <c r="I597" t="n">
        <v>0</v>
      </c>
      <c r="J597" t="n">
        <v>0</v>
      </c>
      <c r="K597" t="n">
        <v>0</v>
      </c>
      <c r="L597" t="n">
        <v>0</v>
      </c>
      <c r="M597" t="n">
        <v>0</v>
      </c>
      <c r="N597" t="n">
        <v>0</v>
      </c>
      <c r="O597" t="n">
        <v>0</v>
      </c>
      <c r="P597" t="n">
        <v>0</v>
      </c>
      <c r="Q597" t="n">
        <v>0</v>
      </c>
      <c r="R597" s="2" t="inlineStr"/>
    </row>
    <row r="598" ht="15" customHeight="1">
      <c r="A598" t="inlineStr">
        <is>
          <t>A 10787-2025</t>
        </is>
      </c>
      <c r="B598" s="1" t="n">
        <v>45722.48915509259</v>
      </c>
      <c r="C598" s="1" t="n">
        <v>45922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29973-2023</t>
        </is>
      </c>
      <c r="B599" s="1" t="n">
        <v>45108.703125</v>
      </c>
      <c r="C599" s="1" t="n">
        <v>45922</v>
      </c>
      <c r="D599" t="inlineStr">
        <is>
          <t>KALMAR LÄN</t>
        </is>
      </c>
      <c r="E599" t="inlineStr">
        <is>
          <t>VIMMERBY</t>
        </is>
      </c>
      <c r="G599" t="n">
        <v>4</v>
      </c>
      <c r="H599" t="n">
        <v>0</v>
      </c>
      <c r="I599" t="n">
        <v>0</v>
      </c>
      <c r="J599" t="n">
        <v>0</v>
      </c>
      <c r="K599" t="n">
        <v>0</v>
      </c>
      <c r="L599" t="n">
        <v>0</v>
      </c>
      <c r="M599" t="n">
        <v>0</v>
      </c>
      <c r="N599" t="n">
        <v>0</v>
      </c>
      <c r="O599" t="n">
        <v>0</v>
      </c>
      <c r="P599" t="n">
        <v>0</v>
      </c>
      <c r="Q599" t="n">
        <v>0</v>
      </c>
      <c r="R599" s="2" t="inlineStr"/>
    </row>
    <row r="600" ht="15" customHeight="1">
      <c r="A600" t="inlineStr">
        <is>
          <t>A 15449-2023</t>
        </is>
      </c>
      <c r="B600" s="1" t="n">
        <v>45020</v>
      </c>
      <c r="C600" s="1" t="n">
        <v>45922</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64143-2021</t>
        </is>
      </c>
      <c r="B601" s="1" t="n">
        <v>44510.52157407408</v>
      </c>
      <c r="C601" s="1" t="n">
        <v>45922</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43242-2024</t>
        </is>
      </c>
      <c r="B602" s="1" t="n">
        <v>45568.30189814815</v>
      </c>
      <c r="C602" s="1" t="n">
        <v>45922</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34060-2025</t>
        </is>
      </c>
      <c r="B603" s="1" t="n">
        <v>45845.42015046296</v>
      </c>
      <c r="C603" s="1" t="n">
        <v>45922</v>
      </c>
      <c r="D603" t="inlineStr">
        <is>
          <t>KALMAR LÄN</t>
        </is>
      </c>
      <c r="E603" t="inlineStr">
        <is>
          <t>VIMMERBY</t>
        </is>
      </c>
      <c r="G603" t="n">
        <v>5.7</v>
      </c>
      <c r="H603" t="n">
        <v>0</v>
      </c>
      <c r="I603" t="n">
        <v>0</v>
      </c>
      <c r="J603" t="n">
        <v>0</v>
      </c>
      <c r="K603" t="n">
        <v>0</v>
      </c>
      <c r="L603" t="n">
        <v>0</v>
      </c>
      <c r="M603" t="n">
        <v>0</v>
      </c>
      <c r="N603" t="n">
        <v>0</v>
      </c>
      <c r="O603" t="n">
        <v>0</v>
      </c>
      <c r="P603" t="n">
        <v>0</v>
      </c>
      <c r="Q603" t="n">
        <v>0</v>
      </c>
      <c r="R603" s="2" t="inlineStr"/>
    </row>
    <row r="604" ht="15" customHeight="1">
      <c r="A604" t="inlineStr">
        <is>
          <t>A 73938-2021</t>
        </is>
      </c>
      <c r="B604" s="1" t="n">
        <v>44553</v>
      </c>
      <c r="C604" s="1" t="n">
        <v>45922</v>
      </c>
      <c r="D604" t="inlineStr">
        <is>
          <t>KALMAR LÄN</t>
        </is>
      </c>
      <c r="E604" t="inlineStr">
        <is>
          <t>VIMMERBY</t>
        </is>
      </c>
      <c r="G604" t="n">
        <v>3.2</v>
      </c>
      <c r="H604" t="n">
        <v>0</v>
      </c>
      <c r="I604" t="n">
        <v>0</v>
      </c>
      <c r="J604" t="n">
        <v>0</v>
      </c>
      <c r="K604" t="n">
        <v>0</v>
      </c>
      <c r="L604" t="n">
        <v>0</v>
      </c>
      <c r="M604" t="n">
        <v>0</v>
      </c>
      <c r="N604" t="n">
        <v>0</v>
      </c>
      <c r="O604" t="n">
        <v>0</v>
      </c>
      <c r="P604" t="n">
        <v>0</v>
      </c>
      <c r="Q604" t="n">
        <v>0</v>
      </c>
      <c r="R604" s="2" t="inlineStr"/>
    </row>
    <row r="605" ht="15" customHeight="1">
      <c r="A605" t="inlineStr">
        <is>
          <t>A 29350-2023</t>
        </is>
      </c>
      <c r="B605" s="1" t="n">
        <v>45106</v>
      </c>
      <c r="C605" s="1" t="n">
        <v>45922</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34071-2025</t>
        </is>
      </c>
      <c r="B606" s="1" t="n">
        <v>45845.43803240741</v>
      </c>
      <c r="C606" s="1" t="n">
        <v>45922</v>
      </c>
      <c r="D606" t="inlineStr">
        <is>
          <t>KALMAR LÄN</t>
        </is>
      </c>
      <c r="E606" t="inlineStr">
        <is>
          <t>VIMMERBY</t>
        </is>
      </c>
      <c r="G606" t="n">
        <v>6.8</v>
      </c>
      <c r="H606" t="n">
        <v>0</v>
      </c>
      <c r="I606" t="n">
        <v>0</v>
      </c>
      <c r="J606" t="n">
        <v>0</v>
      </c>
      <c r="K606" t="n">
        <v>0</v>
      </c>
      <c r="L606" t="n">
        <v>0</v>
      </c>
      <c r="M606" t="n">
        <v>0</v>
      </c>
      <c r="N606" t="n">
        <v>0</v>
      </c>
      <c r="O606" t="n">
        <v>0</v>
      </c>
      <c r="P606" t="n">
        <v>0</v>
      </c>
      <c r="Q606" t="n">
        <v>0</v>
      </c>
      <c r="R606" s="2" t="inlineStr"/>
    </row>
    <row r="607" ht="15" customHeight="1">
      <c r="A607" t="inlineStr">
        <is>
          <t>A 34106-2025</t>
        </is>
      </c>
      <c r="B607" s="1" t="n">
        <v>45845.49414351852</v>
      </c>
      <c r="C607" s="1" t="n">
        <v>45922</v>
      </c>
      <c r="D607" t="inlineStr">
        <is>
          <t>KALMAR LÄN</t>
        </is>
      </c>
      <c r="E607" t="inlineStr">
        <is>
          <t>VIMMERBY</t>
        </is>
      </c>
      <c r="G607" t="n">
        <v>6</v>
      </c>
      <c r="H607" t="n">
        <v>0</v>
      </c>
      <c r="I607" t="n">
        <v>0</v>
      </c>
      <c r="J607" t="n">
        <v>0</v>
      </c>
      <c r="K607" t="n">
        <v>0</v>
      </c>
      <c r="L607" t="n">
        <v>0</v>
      </c>
      <c r="M607" t="n">
        <v>0</v>
      </c>
      <c r="N607" t="n">
        <v>0</v>
      </c>
      <c r="O607" t="n">
        <v>0</v>
      </c>
      <c r="P607" t="n">
        <v>0</v>
      </c>
      <c r="Q607" t="n">
        <v>0</v>
      </c>
      <c r="R607" s="2" t="inlineStr"/>
    </row>
    <row r="608" ht="15" customHeight="1">
      <c r="A608" t="inlineStr">
        <is>
          <t>A 28702-2025</t>
        </is>
      </c>
      <c r="B608" s="1" t="n">
        <v>45820.03976851852</v>
      </c>
      <c r="C608" s="1" t="n">
        <v>45922</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61878-2020</t>
        </is>
      </c>
      <c r="B609" s="1" t="n">
        <v>44159</v>
      </c>
      <c r="C609" s="1" t="n">
        <v>45922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14855-2025</t>
        </is>
      </c>
      <c r="B610" s="1" t="n">
        <v>45743.41148148148</v>
      </c>
      <c r="C610" s="1" t="n">
        <v>45922</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43601-2024</t>
        </is>
      </c>
      <c r="B611" s="1" t="n">
        <v>45569.44684027778</v>
      </c>
      <c r="C611" s="1" t="n">
        <v>45922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38604-2025</t>
        </is>
      </c>
      <c r="B612" s="1" t="n">
        <v>45884.50613425926</v>
      </c>
      <c r="C612" s="1" t="n">
        <v>45922</v>
      </c>
      <c r="D612" t="inlineStr">
        <is>
          <t>KALMAR LÄN</t>
        </is>
      </c>
      <c r="E612" t="inlineStr">
        <is>
          <t>VIMMERBY</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56853-2022</t>
        </is>
      </c>
      <c r="B613" s="1" t="n">
        <v>44894.49538194444</v>
      </c>
      <c r="C613" s="1" t="n">
        <v>45922</v>
      </c>
      <c r="D613" t="inlineStr">
        <is>
          <t>KALMAR LÄN</t>
        </is>
      </c>
      <c r="E613" t="inlineStr">
        <is>
          <t>VIMMERBY</t>
        </is>
      </c>
      <c r="G613" t="n">
        <v>4.3</v>
      </c>
      <c r="H613" t="n">
        <v>0</v>
      </c>
      <c r="I613" t="n">
        <v>0</v>
      </c>
      <c r="J613" t="n">
        <v>0</v>
      </c>
      <c r="K613" t="n">
        <v>0</v>
      </c>
      <c r="L613" t="n">
        <v>0</v>
      </c>
      <c r="M613" t="n">
        <v>0</v>
      </c>
      <c r="N613" t="n">
        <v>0</v>
      </c>
      <c r="O613" t="n">
        <v>0</v>
      </c>
      <c r="P613" t="n">
        <v>0</v>
      </c>
      <c r="Q613" t="n">
        <v>0</v>
      </c>
      <c r="R613" s="2" t="inlineStr"/>
    </row>
    <row r="614" ht="15" customHeight="1">
      <c r="A614" t="inlineStr">
        <is>
          <t>A 35913-2023</t>
        </is>
      </c>
      <c r="B614" s="1" t="n">
        <v>45148</v>
      </c>
      <c r="C614" s="1" t="n">
        <v>45922</v>
      </c>
      <c r="D614" t="inlineStr">
        <is>
          <t>KALMAR LÄN</t>
        </is>
      </c>
      <c r="E614" t="inlineStr">
        <is>
          <t>VIMMERBY</t>
        </is>
      </c>
      <c r="G614" t="n">
        <v>6.9</v>
      </c>
      <c r="H614" t="n">
        <v>0</v>
      </c>
      <c r="I614" t="n">
        <v>0</v>
      </c>
      <c r="J614" t="n">
        <v>0</v>
      </c>
      <c r="K614" t="n">
        <v>0</v>
      </c>
      <c r="L614" t="n">
        <v>0</v>
      </c>
      <c r="M614" t="n">
        <v>0</v>
      </c>
      <c r="N614" t="n">
        <v>0</v>
      </c>
      <c r="O614" t="n">
        <v>0</v>
      </c>
      <c r="P614" t="n">
        <v>0</v>
      </c>
      <c r="Q614" t="n">
        <v>0</v>
      </c>
      <c r="R614" s="2" t="inlineStr"/>
    </row>
    <row r="615" ht="15" customHeight="1">
      <c r="A615" t="inlineStr">
        <is>
          <t>A 65049-2020</t>
        </is>
      </c>
      <c r="B615" s="1" t="n">
        <v>44172</v>
      </c>
      <c r="C615" s="1" t="n">
        <v>45922</v>
      </c>
      <c r="D615" t="inlineStr">
        <is>
          <t>KALMAR LÄN</t>
        </is>
      </c>
      <c r="E615" t="inlineStr">
        <is>
          <t>VIMMERBY</t>
        </is>
      </c>
      <c r="G615" t="n">
        <v>2.3</v>
      </c>
      <c r="H615" t="n">
        <v>0</v>
      </c>
      <c r="I615" t="n">
        <v>0</v>
      </c>
      <c r="J615" t="n">
        <v>0</v>
      </c>
      <c r="K615" t="n">
        <v>0</v>
      </c>
      <c r="L615" t="n">
        <v>0</v>
      </c>
      <c r="M615" t="n">
        <v>0</v>
      </c>
      <c r="N615" t="n">
        <v>0</v>
      </c>
      <c r="O615" t="n">
        <v>0</v>
      </c>
      <c r="P615" t="n">
        <v>0</v>
      </c>
      <c r="Q615" t="n">
        <v>0</v>
      </c>
      <c r="R615" s="2" t="inlineStr"/>
    </row>
    <row r="616" ht="15" customHeight="1">
      <c r="A616" t="inlineStr">
        <is>
          <t>A 9624-2024</t>
        </is>
      </c>
      <c r="B616" s="1" t="n">
        <v>45361.90282407407</v>
      </c>
      <c r="C616" s="1" t="n">
        <v>45922</v>
      </c>
      <c r="D616" t="inlineStr">
        <is>
          <t>KALMAR LÄN</t>
        </is>
      </c>
      <c r="E616" t="inlineStr">
        <is>
          <t>VIMMERBY</t>
        </is>
      </c>
      <c r="G616" t="n">
        <v>3.8</v>
      </c>
      <c r="H616" t="n">
        <v>0</v>
      </c>
      <c r="I616" t="n">
        <v>0</v>
      </c>
      <c r="J616" t="n">
        <v>0</v>
      </c>
      <c r="K616" t="n">
        <v>0</v>
      </c>
      <c r="L616" t="n">
        <v>0</v>
      </c>
      <c r="M616" t="n">
        <v>0</v>
      </c>
      <c r="N616" t="n">
        <v>0</v>
      </c>
      <c r="O616" t="n">
        <v>0</v>
      </c>
      <c r="P616" t="n">
        <v>0</v>
      </c>
      <c r="Q616" t="n">
        <v>0</v>
      </c>
      <c r="R616" s="2" t="inlineStr"/>
    </row>
    <row r="617" ht="15" customHeight="1">
      <c r="A617" t="inlineStr">
        <is>
          <t>A 3938-2023</t>
        </is>
      </c>
      <c r="B617" s="1" t="n">
        <v>44952.35775462963</v>
      </c>
      <c r="C617" s="1" t="n">
        <v>45922</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38964-2025</t>
        </is>
      </c>
      <c r="B618" s="1" t="n">
        <v>45887.68759259259</v>
      </c>
      <c r="C618" s="1" t="n">
        <v>45922</v>
      </c>
      <c r="D618" t="inlineStr">
        <is>
          <t>KALMAR LÄN</t>
        </is>
      </c>
      <c r="E618" t="inlineStr">
        <is>
          <t>VIMMERBY</t>
        </is>
      </c>
      <c r="G618" t="n">
        <v>7.5</v>
      </c>
      <c r="H618" t="n">
        <v>0</v>
      </c>
      <c r="I618" t="n">
        <v>0</v>
      </c>
      <c r="J618" t="n">
        <v>0</v>
      </c>
      <c r="K618" t="n">
        <v>0</v>
      </c>
      <c r="L618" t="n">
        <v>0</v>
      </c>
      <c r="M618" t="n">
        <v>0</v>
      </c>
      <c r="N618" t="n">
        <v>0</v>
      </c>
      <c r="O618" t="n">
        <v>0</v>
      </c>
      <c r="P618" t="n">
        <v>0</v>
      </c>
      <c r="Q618" t="n">
        <v>0</v>
      </c>
      <c r="R618" s="2" t="inlineStr"/>
    </row>
    <row r="619" ht="15" customHeight="1">
      <c r="A619" t="inlineStr">
        <is>
          <t>A 33815-2022</t>
        </is>
      </c>
      <c r="B619" s="1" t="n">
        <v>44790.45876157407</v>
      </c>
      <c r="C619" s="1" t="n">
        <v>45922</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33842-2022</t>
        </is>
      </c>
      <c r="B620" s="1" t="n">
        <v>44790.49523148148</v>
      </c>
      <c r="C620" s="1" t="n">
        <v>45922</v>
      </c>
      <c r="D620" t="inlineStr">
        <is>
          <t>KALMAR LÄN</t>
        </is>
      </c>
      <c r="E620" t="inlineStr">
        <is>
          <t>VIMMERBY</t>
        </is>
      </c>
      <c r="G620" t="n">
        <v>1.6</v>
      </c>
      <c r="H620" t="n">
        <v>0</v>
      </c>
      <c r="I620" t="n">
        <v>0</v>
      </c>
      <c r="J620" t="n">
        <v>0</v>
      </c>
      <c r="K620" t="n">
        <v>0</v>
      </c>
      <c r="L620" t="n">
        <v>0</v>
      </c>
      <c r="M620" t="n">
        <v>0</v>
      </c>
      <c r="N620" t="n">
        <v>0</v>
      </c>
      <c r="O620" t="n">
        <v>0</v>
      </c>
      <c r="P620" t="n">
        <v>0</v>
      </c>
      <c r="Q620" t="n">
        <v>0</v>
      </c>
      <c r="R620" s="2" t="inlineStr"/>
    </row>
    <row r="621" ht="15" customHeight="1">
      <c r="A621" t="inlineStr">
        <is>
          <t>A 39053-2024</t>
        </is>
      </c>
      <c r="B621" s="1" t="n">
        <v>45548</v>
      </c>
      <c r="C621" s="1" t="n">
        <v>45922</v>
      </c>
      <c r="D621" t="inlineStr">
        <is>
          <t>KALMAR LÄN</t>
        </is>
      </c>
      <c r="E621" t="inlineStr">
        <is>
          <t>VIMMERBY</t>
        </is>
      </c>
      <c r="G621" t="n">
        <v>5</v>
      </c>
      <c r="H621" t="n">
        <v>0</v>
      </c>
      <c r="I621" t="n">
        <v>0</v>
      </c>
      <c r="J621" t="n">
        <v>0</v>
      </c>
      <c r="K621" t="n">
        <v>0</v>
      </c>
      <c r="L621" t="n">
        <v>0</v>
      </c>
      <c r="M621" t="n">
        <v>0</v>
      </c>
      <c r="N621" t="n">
        <v>0</v>
      </c>
      <c r="O621" t="n">
        <v>0</v>
      </c>
      <c r="P621" t="n">
        <v>0</v>
      </c>
      <c r="Q621" t="n">
        <v>0</v>
      </c>
      <c r="R621" s="2" t="inlineStr"/>
    </row>
    <row r="622" ht="15" customHeight="1">
      <c r="A622" t="inlineStr">
        <is>
          <t>A 14451-2024</t>
        </is>
      </c>
      <c r="B622" s="1" t="n">
        <v>45394.50028935185</v>
      </c>
      <c r="C622" s="1" t="n">
        <v>45922</v>
      </c>
      <c r="D622" t="inlineStr">
        <is>
          <t>KALMAR LÄN</t>
        </is>
      </c>
      <c r="E622" t="inlineStr">
        <is>
          <t>VIMMERBY</t>
        </is>
      </c>
      <c r="G622" t="n">
        <v>1.9</v>
      </c>
      <c r="H622" t="n">
        <v>0</v>
      </c>
      <c r="I622" t="n">
        <v>0</v>
      </c>
      <c r="J622" t="n">
        <v>0</v>
      </c>
      <c r="K622" t="n">
        <v>0</v>
      </c>
      <c r="L622" t="n">
        <v>0</v>
      </c>
      <c r="M622" t="n">
        <v>0</v>
      </c>
      <c r="N622" t="n">
        <v>0</v>
      </c>
      <c r="O622" t="n">
        <v>0</v>
      </c>
      <c r="P622" t="n">
        <v>0</v>
      </c>
      <c r="Q622" t="n">
        <v>0</v>
      </c>
      <c r="R622" s="2" t="inlineStr"/>
    </row>
    <row r="623" ht="15" customHeight="1">
      <c r="A623" t="inlineStr">
        <is>
          <t>A 49408-2023</t>
        </is>
      </c>
      <c r="B623" s="1" t="n">
        <v>45211.43555555555</v>
      </c>
      <c r="C623" s="1" t="n">
        <v>45922</v>
      </c>
      <c r="D623" t="inlineStr">
        <is>
          <t>KALMAR LÄN</t>
        </is>
      </c>
      <c r="E623" t="inlineStr">
        <is>
          <t>VIMMERBY</t>
        </is>
      </c>
      <c r="G623" t="n">
        <v>13.1</v>
      </c>
      <c r="H623" t="n">
        <v>0</v>
      </c>
      <c r="I623" t="n">
        <v>0</v>
      </c>
      <c r="J623" t="n">
        <v>0</v>
      </c>
      <c r="K623" t="n">
        <v>0</v>
      </c>
      <c r="L623" t="n">
        <v>0</v>
      </c>
      <c r="M623" t="n">
        <v>0</v>
      </c>
      <c r="N623" t="n">
        <v>0</v>
      </c>
      <c r="O623" t="n">
        <v>0</v>
      </c>
      <c r="P623" t="n">
        <v>0</v>
      </c>
      <c r="Q623" t="n">
        <v>0</v>
      </c>
      <c r="R623" s="2" t="inlineStr"/>
    </row>
    <row r="624" ht="15" customHeight="1">
      <c r="A624" t="inlineStr">
        <is>
          <t>A 56536-2022</t>
        </is>
      </c>
      <c r="B624" s="1" t="n">
        <v>44893</v>
      </c>
      <c r="C624" s="1" t="n">
        <v>45922</v>
      </c>
      <c r="D624" t="inlineStr">
        <is>
          <t>KALMAR LÄN</t>
        </is>
      </c>
      <c r="E624" t="inlineStr">
        <is>
          <t>VIMMERBY</t>
        </is>
      </c>
      <c r="G624" t="n">
        <v>3.2</v>
      </c>
      <c r="H624" t="n">
        <v>0</v>
      </c>
      <c r="I624" t="n">
        <v>0</v>
      </c>
      <c r="J624" t="n">
        <v>0</v>
      </c>
      <c r="K624" t="n">
        <v>0</v>
      </c>
      <c r="L624" t="n">
        <v>0</v>
      </c>
      <c r="M624" t="n">
        <v>0</v>
      </c>
      <c r="N624" t="n">
        <v>0</v>
      </c>
      <c r="O624" t="n">
        <v>0</v>
      </c>
      <c r="P624" t="n">
        <v>0</v>
      </c>
      <c r="Q624" t="n">
        <v>0</v>
      </c>
      <c r="R624" s="2" t="inlineStr"/>
    </row>
    <row r="625" ht="15" customHeight="1">
      <c r="A625" t="inlineStr">
        <is>
          <t>A 34205-2023</t>
        </is>
      </c>
      <c r="B625" s="1" t="n">
        <v>45138</v>
      </c>
      <c r="C625" s="1" t="n">
        <v>45922</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41199-2023</t>
        </is>
      </c>
      <c r="B626" s="1" t="n">
        <v>45174.40454861111</v>
      </c>
      <c r="C626" s="1" t="n">
        <v>45922</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8945-2025</t>
        </is>
      </c>
      <c r="B627" s="1" t="n">
        <v>45713.45311342592</v>
      </c>
      <c r="C627" s="1" t="n">
        <v>45922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34628-2025</t>
        </is>
      </c>
      <c r="B628" s="1" t="n">
        <v>45847.91280092593</v>
      </c>
      <c r="C628" s="1" t="n">
        <v>45922</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39803-2025</t>
        </is>
      </c>
      <c r="B629" s="1" t="n">
        <v>45891.50525462963</v>
      </c>
      <c r="C629" s="1" t="n">
        <v>45922</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39807-2025</t>
        </is>
      </c>
      <c r="B630" s="1" t="n">
        <v>45891.50986111111</v>
      </c>
      <c r="C630" s="1" t="n">
        <v>45922</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11619-2023</t>
        </is>
      </c>
      <c r="B631" s="1" t="n">
        <v>44994.42113425926</v>
      </c>
      <c r="C631" s="1" t="n">
        <v>45922</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41896-2023</t>
        </is>
      </c>
      <c r="B632" s="1" t="n">
        <v>45176.72427083334</v>
      </c>
      <c r="C632" s="1" t="n">
        <v>45922</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3268-2024</t>
        </is>
      </c>
      <c r="B633" s="1" t="n">
        <v>45317</v>
      </c>
      <c r="C633" s="1" t="n">
        <v>45922</v>
      </c>
      <c r="D633" t="inlineStr">
        <is>
          <t>KALMAR LÄN</t>
        </is>
      </c>
      <c r="E633" t="inlineStr">
        <is>
          <t>VIMMERBY</t>
        </is>
      </c>
      <c r="F633" t="inlineStr">
        <is>
          <t>Övriga Aktiebolag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12819-2024</t>
        </is>
      </c>
      <c r="B634" s="1" t="n">
        <v>45384.66917824074</v>
      </c>
      <c r="C634" s="1" t="n">
        <v>45922</v>
      </c>
      <c r="D634" t="inlineStr">
        <is>
          <t>KALMAR LÄN</t>
        </is>
      </c>
      <c r="E634" t="inlineStr">
        <is>
          <t>VIMMERBY</t>
        </is>
      </c>
      <c r="G634" t="n">
        <v>5.1</v>
      </c>
      <c r="H634" t="n">
        <v>0</v>
      </c>
      <c r="I634" t="n">
        <v>0</v>
      </c>
      <c r="J634" t="n">
        <v>0</v>
      </c>
      <c r="K634" t="n">
        <v>0</v>
      </c>
      <c r="L634" t="n">
        <v>0</v>
      </c>
      <c r="M634" t="n">
        <v>0</v>
      </c>
      <c r="N634" t="n">
        <v>0</v>
      </c>
      <c r="O634" t="n">
        <v>0</v>
      </c>
      <c r="P634" t="n">
        <v>0</v>
      </c>
      <c r="Q634" t="n">
        <v>0</v>
      </c>
      <c r="R634" s="2" t="inlineStr"/>
    </row>
    <row r="635" ht="15" customHeight="1">
      <c r="A635" t="inlineStr">
        <is>
          <t>A 13076-2025</t>
        </is>
      </c>
      <c r="B635" s="1" t="n">
        <v>45734.62017361111</v>
      </c>
      <c r="C635" s="1" t="n">
        <v>45922</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39736-2025</t>
        </is>
      </c>
      <c r="B636" s="1" t="n">
        <v>45891</v>
      </c>
      <c r="C636" s="1" t="n">
        <v>45922</v>
      </c>
      <c r="D636" t="inlineStr">
        <is>
          <t>KALMAR LÄN</t>
        </is>
      </c>
      <c r="E636" t="inlineStr">
        <is>
          <t>VIMMERBY</t>
        </is>
      </c>
      <c r="G636" t="n">
        <v>12.8</v>
      </c>
      <c r="H636" t="n">
        <v>0</v>
      </c>
      <c r="I636" t="n">
        <v>0</v>
      </c>
      <c r="J636" t="n">
        <v>0</v>
      </c>
      <c r="K636" t="n">
        <v>0</v>
      </c>
      <c r="L636" t="n">
        <v>0</v>
      </c>
      <c r="M636" t="n">
        <v>0</v>
      </c>
      <c r="N636" t="n">
        <v>0</v>
      </c>
      <c r="O636" t="n">
        <v>0</v>
      </c>
      <c r="P636" t="n">
        <v>0</v>
      </c>
      <c r="Q636" t="n">
        <v>0</v>
      </c>
      <c r="R636" s="2" t="inlineStr"/>
    </row>
    <row r="637" ht="15" customHeight="1">
      <c r="A637" t="inlineStr">
        <is>
          <t>A 39801-2025</t>
        </is>
      </c>
      <c r="B637" s="1" t="n">
        <v>45891.50216435185</v>
      </c>
      <c r="C637" s="1" t="n">
        <v>45922</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17926-2025</t>
        </is>
      </c>
      <c r="B638" s="1" t="n">
        <v>45759.38987268518</v>
      </c>
      <c r="C638" s="1" t="n">
        <v>45922</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21028-2023</t>
        </is>
      </c>
      <c r="B639" s="1" t="n">
        <v>45061</v>
      </c>
      <c r="C639" s="1" t="n">
        <v>45922</v>
      </c>
      <c r="D639" t="inlineStr">
        <is>
          <t>KALMAR LÄN</t>
        </is>
      </c>
      <c r="E639" t="inlineStr">
        <is>
          <t>VIMMERBY</t>
        </is>
      </c>
      <c r="F639" t="inlineStr">
        <is>
          <t>Övriga Aktiebolag</t>
        </is>
      </c>
      <c r="G639" t="n">
        <v>0.7</v>
      </c>
      <c r="H639" t="n">
        <v>0</v>
      </c>
      <c r="I639" t="n">
        <v>0</v>
      </c>
      <c r="J639" t="n">
        <v>0</v>
      </c>
      <c r="K639" t="n">
        <v>0</v>
      </c>
      <c r="L639" t="n">
        <v>0</v>
      </c>
      <c r="M639" t="n">
        <v>0</v>
      </c>
      <c r="N639" t="n">
        <v>0</v>
      </c>
      <c r="O639" t="n">
        <v>0</v>
      </c>
      <c r="P639" t="n">
        <v>0</v>
      </c>
      <c r="Q639" t="n">
        <v>0</v>
      </c>
      <c r="R639" s="2" t="inlineStr"/>
    </row>
    <row r="640" ht="15" customHeight="1">
      <c r="A640" t="inlineStr">
        <is>
          <t>A 6214-2025</t>
        </is>
      </c>
      <c r="B640" s="1" t="n">
        <v>45698.51711805556</v>
      </c>
      <c r="C640" s="1" t="n">
        <v>45922</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32569-2024</t>
        </is>
      </c>
      <c r="B641" s="1" t="n">
        <v>45513.55840277778</v>
      </c>
      <c r="C641" s="1" t="n">
        <v>45922</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32575-2024</t>
        </is>
      </c>
      <c r="B642" s="1" t="n">
        <v>45513.56527777778</v>
      </c>
      <c r="C642" s="1" t="n">
        <v>45922</v>
      </c>
      <c r="D642" t="inlineStr">
        <is>
          <t>KALMAR LÄN</t>
        </is>
      </c>
      <c r="E642" t="inlineStr">
        <is>
          <t>VIMMERBY</t>
        </is>
      </c>
      <c r="G642" t="n">
        <v>1.5</v>
      </c>
      <c r="H642" t="n">
        <v>0</v>
      </c>
      <c r="I642" t="n">
        <v>0</v>
      </c>
      <c r="J642" t="n">
        <v>0</v>
      </c>
      <c r="K642" t="n">
        <v>0</v>
      </c>
      <c r="L642" t="n">
        <v>0</v>
      </c>
      <c r="M642" t="n">
        <v>0</v>
      </c>
      <c r="N642" t="n">
        <v>0</v>
      </c>
      <c r="O642" t="n">
        <v>0</v>
      </c>
      <c r="P642" t="n">
        <v>0</v>
      </c>
      <c r="Q642" t="n">
        <v>0</v>
      </c>
      <c r="R642" s="2" t="inlineStr"/>
    </row>
    <row r="643" ht="15" customHeight="1">
      <c r="A643" t="inlineStr">
        <is>
          <t>A 19445-2021</t>
        </is>
      </c>
      <c r="B643" s="1" t="n">
        <v>44310</v>
      </c>
      <c r="C643" s="1" t="n">
        <v>45922</v>
      </c>
      <c r="D643" t="inlineStr">
        <is>
          <t>KALMAR LÄN</t>
        </is>
      </c>
      <c r="E643" t="inlineStr">
        <is>
          <t>VIMMERBY</t>
        </is>
      </c>
      <c r="G643" t="n">
        <v>6.8</v>
      </c>
      <c r="H643" t="n">
        <v>0</v>
      </c>
      <c r="I643" t="n">
        <v>0</v>
      </c>
      <c r="J643" t="n">
        <v>0</v>
      </c>
      <c r="K643" t="n">
        <v>0</v>
      </c>
      <c r="L643" t="n">
        <v>0</v>
      </c>
      <c r="M643" t="n">
        <v>0</v>
      </c>
      <c r="N643" t="n">
        <v>0</v>
      </c>
      <c r="O643" t="n">
        <v>0</v>
      </c>
      <c r="P643" t="n">
        <v>0</v>
      </c>
      <c r="Q643" t="n">
        <v>0</v>
      </c>
      <c r="R643" s="2" t="inlineStr"/>
    </row>
    <row r="644" ht="15" customHeight="1">
      <c r="A644" t="inlineStr">
        <is>
          <t>A 27122-2023</t>
        </is>
      </c>
      <c r="B644" s="1" t="n">
        <v>45096.45247685185</v>
      </c>
      <c r="C644" s="1" t="n">
        <v>45922</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13813-2024</t>
        </is>
      </c>
      <c r="B645" s="1" t="n">
        <v>45391.41310185185</v>
      </c>
      <c r="C645" s="1" t="n">
        <v>45922</v>
      </c>
      <c r="D645" t="inlineStr">
        <is>
          <t>KALMAR LÄN</t>
        </is>
      </c>
      <c r="E645" t="inlineStr">
        <is>
          <t>VIMMERBY</t>
        </is>
      </c>
      <c r="G645" t="n">
        <v>0.4</v>
      </c>
      <c r="H645" t="n">
        <v>0</v>
      </c>
      <c r="I645" t="n">
        <v>0</v>
      </c>
      <c r="J645" t="n">
        <v>0</v>
      </c>
      <c r="K645" t="n">
        <v>0</v>
      </c>
      <c r="L645" t="n">
        <v>0</v>
      </c>
      <c r="M645" t="n">
        <v>0</v>
      </c>
      <c r="N645" t="n">
        <v>0</v>
      </c>
      <c r="O645" t="n">
        <v>0</v>
      </c>
      <c r="P645" t="n">
        <v>0</v>
      </c>
      <c r="Q645" t="n">
        <v>0</v>
      </c>
      <c r="R645" s="2" t="inlineStr"/>
    </row>
    <row r="646" ht="15" customHeight="1">
      <c r="A646" t="inlineStr">
        <is>
          <t>A 38969-2023</t>
        </is>
      </c>
      <c r="B646" s="1" t="n">
        <v>45163.63621527778</v>
      </c>
      <c r="C646" s="1" t="n">
        <v>45922</v>
      </c>
      <c r="D646" t="inlineStr">
        <is>
          <t>KALMAR LÄN</t>
        </is>
      </c>
      <c r="E646" t="inlineStr">
        <is>
          <t>VIMMERBY</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26937-2023</t>
        </is>
      </c>
      <c r="B647" s="1" t="n">
        <v>45093.62777777778</v>
      </c>
      <c r="C647" s="1" t="n">
        <v>45922</v>
      </c>
      <c r="D647" t="inlineStr">
        <is>
          <t>KALMAR LÄN</t>
        </is>
      </c>
      <c r="E647" t="inlineStr">
        <is>
          <t>VIMMERBY</t>
        </is>
      </c>
      <c r="F647" t="inlineStr">
        <is>
          <t>Sveaskog</t>
        </is>
      </c>
      <c r="G647" t="n">
        <v>14.5</v>
      </c>
      <c r="H647" t="n">
        <v>0</v>
      </c>
      <c r="I647" t="n">
        <v>0</v>
      </c>
      <c r="J647" t="n">
        <v>0</v>
      </c>
      <c r="K647" t="n">
        <v>0</v>
      </c>
      <c r="L647" t="n">
        <v>0</v>
      </c>
      <c r="M647" t="n">
        <v>0</v>
      </c>
      <c r="N647" t="n">
        <v>0</v>
      </c>
      <c r="O647" t="n">
        <v>0</v>
      </c>
      <c r="P647" t="n">
        <v>0</v>
      </c>
      <c r="Q647" t="n">
        <v>0</v>
      </c>
      <c r="R647" s="2" t="inlineStr"/>
    </row>
    <row r="648" ht="15" customHeight="1">
      <c r="A648" t="inlineStr">
        <is>
          <t>A 57486-2024</t>
        </is>
      </c>
      <c r="B648" s="1" t="n">
        <v>45630.35827546296</v>
      </c>
      <c r="C648" s="1" t="n">
        <v>45922</v>
      </c>
      <c r="D648" t="inlineStr">
        <is>
          <t>KALMAR LÄN</t>
        </is>
      </c>
      <c r="E648" t="inlineStr">
        <is>
          <t>VIMMERBY</t>
        </is>
      </c>
      <c r="G648" t="n">
        <v>0.4</v>
      </c>
      <c r="H648" t="n">
        <v>0</v>
      </c>
      <c r="I648" t="n">
        <v>0</v>
      </c>
      <c r="J648" t="n">
        <v>0</v>
      </c>
      <c r="K648" t="n">
        <v>0</v>
      </c>
      <c r="L648" t="n">
        <v>0</v>
      </c>
      <c r="M648" t="n">
        <v>0</v>
      </c>
      <c r="N648" t="n">
        <v>0</v>
      </c>
      <c r="O648" t="n">
        <v>0</v>
      </c>
      <c r="P648" t="n">
        <v>0</v>
      </c>
      <c r="Q648" t="n">
        <v>0</v>
      </c>
      <c r="R648" s="2" t="inlineStr"/>
    </row>
    <row r="649" ht="15" customHeight="1">
      <c r="A649" t="inlineStr">
        <is>
          <t>A 43186-2021</t>
        </is>
      </c>
      <c r="B649" s="1" t="n">
        <v>44431.84840277778</v>
      </c>
      <c r="C649" s="1" t="n">
        <v>45922</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1799-2025</t>
        </is>
      </c>
      <c r="B650" s="1" t="n">
        <v>45671.46746527778</v>
      </c>
      <c r="C650" s="1" t="n">
        <v>45922</v>
      </c>
      <c r="D650" t="inlineStr">
        <is>
          <t>KALMAR LÄN</t>
        </is>
      </c>
      <c r="E650" t="inlineStr">
        <is>
          <t>VIMMERBY</t>
        </is>
      </c>
      <c r="G650" t="n">
        <v>3.3</v>
      </c>
      <c r="H650" t="n">
        <v>0</v>
      </c>
      <c r="I650" t="n">
        <v>0</v>
      </c>
      <c r="J650" t="n">
        <v>0</v>
      </c>
      <c r="K650" t="n">
        <v>0</v>
      </c>
      <c r="L650" t="n">
        <v>0</v>
      </c>
      <c r="M650" t="n">
        <v>0</v>
      </c>
      <c r="N650" t="n">
        <v>0</v>
      </c>
      <c r="O650" t="n">
        <v>0</v>
      </c>
      <c r="P650" t="n">
        <v>0</v>
      </c>
      <c r="Q650" t="n">
        <v>0</v>
      </c>
      <c r="R650" s="2" t="inlineStr"/>
    </row>
    <row r="651" ht="15" customHeight="1">
      <c r="A651" t="inlineStr">
        <is>
          <t>A 39889-2025</t>
        </is>
      </c>
      <c r="B651" s="1" t="n">
        <v>45891</v>
      </c>
      <c r="C651" s="1" t="n">
        <v>45922</v>
      </c>
      <c r="D651" t="inlineStr">
        <is>
          <t>KALMAR LÄN</t>
        </is>
      </c>
      <c r="E651" t="inlineStr">
        <is>
          <t>VIMMERBY</t>
        </is>
      </c>
      <c r="G651" t="n">
        <v>4.5</v>
      </c>
      <c r="H651" t="n">
        <v>0</v>
      </c>
      <c r="I651" t="n">
        <v>0</v>
      </c>
      <c r="J651" t="n">
        <v>0</v>
      </c>
      <c r="K651" t="n">
        <v>0</v>
      </c>
      <c r="L651" t="n">
        <v>0</v>
      </c>
      <c r="M651" t="n">
        <v>0</v>
      </c>
      <c r="N651" t="n">
        <v>0</v>
      </c>
      <c r="O651" t="n">
        <v>0</v>
      </c>
      <c r="P651" t="n">
        <v>0</v>
      </c>
      <c r="Q651" t="n">
        <v>0</v>
      </c>
      <c r="R651" s="2" t="inlineStr"/>
    </row>
    <row r="652" ht="15" customHeight="1">
      <c r="A652" t="inlineStr">
        <is>
          <t>A 30063-2023</t>
        </is>
      </c>
      <c r="B652" s="1" t="n">
        <v>45110.4184375</v>
      </c>
      <c r="C652" s="1" t="n">
        <v>45922</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40925-2025</t>
        </is>
      </c>
      <c r="B653" s="1" t="n">
        <v>45897.64208333333</v>
      </c>
      <c r="C653" s="1" t="n">
        <v>45922</v>
      </c>
      <c r="D653" t="inlineStr">
        <is>
          <t>KALMAR LÄN</t>
        </is>
      </c>
      <c r="E653" t="inlineStr">
        <is>
          <t>VIMMERBY</t>
        </is>
      </c>
      <c r="G653" t="n">
        <v>1.9</v>
      </c>
      <c r="H653" t="n">
        <v>0</v>
      </c>
      <c r="I653" t="n">
        <v>0</v>
      </c>
      <c r="J653" t="n">
        <v>0</v>
      </c>
      <c r="K653" t="n">
        <v>0</v>
      </c>
      <c r="L653" t="n">
        <v>0</v>
      </c>
      <c r="M653" t="n">
        <v>0</v>
      </c>
      <c r="N653" t="n">
        <v>0</v>
      </c>
      <c r="O653" t="n">
        <v>0</v>
      </c>
      <c r="P653" t="n">
        <v>0</v>
      </c>
      <c r="Q653" t="n">
        <v>0</v>
      </c>
      <c r="R653" s="2" t="inlineStr"/>
    </row>
    <row r="654" ht="15" customHeight="1">
      <c r="A654" t="inlineStr">
        <is>
          <t>A 59300-2024</t>
        </is>
      </c>
      <c r="B654" s="1" t="n">
        <v>45637.66542824074</v>
      </c>
      <c r="C654" s="1" t="n">
        <v>45922</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40973-2025</t>
        </is>
      </c>
      <c r="B655" s="1" t="n">
        <v>45897.89737268518</v>
      </c>
      <c r="C655" s="1" t="n">
        <v>45922</v>
      </c>
      <c r="D655" t="inlineStr">
        <is>
          <t>KALMAR LÄN</t>
        </is>
      </c>
      <c r="E655" t="inlineStr">
        <is>
          <t>VIMMERBY</t>
        </is>
      </c>
      <c r="G655" t="n">
        <v>1.8</v>
      </c>
      <c r="H655" t="n">
        <v>0</v>
      </c>
      <c r="I655" t="n">
        <v>0</v>
      </c>
      <c r="J655" t="n">
        <v>0</v>
      </c>
      <c r="K655" t="n">
        <v>0</v>
      </c>
      <c r="L655" t="n">
        <v>0</v>
      </c>
      <c r="M655" t="n">
        <v>0</v>
      </c>
      <c r="N655" t="n">
        <v>0</v>
      </c>
      <c r="O655" t="n">
        <v>0</v>
      </c>
      <c r="P655" t="n">
        <v>0</v>
      </c>
      <c r="Q655" t="n">
        <v>0</v>
      </c>
      <c r="R655" s="2" t="inlineStr"/>
    </row>
    <row r="656" ht="15" customHeight="1">
      <c r="A656" t="inlineStr">
        <is>
          <t>A 35270-2025</t>
        </is>
      </c>
      <c r="B656" s="1" t="n">
        <v>45853.87112268519</v>
      </c>
      <c r="C656" s="1" t="n">
        <v>45922</v>
      </c>
      <c r="D656" t="inlineStr">
        <is>
          <t>KALMAR LÄN</t>
        </is>
      </c>
      <c r="E656" t="inlineStr">
        <is>
          <t>VIMMERBY</t>
        </is>
      </c>
      <c r="G656" t="n">
        <v>2.4</v>
      </c>
      <c r="H656" t="n">
        <v>0</v>
      </c>
      <c r="I656" t="n">
        <v>0</v>
      </c>
      <c r="J656" t="n">
        <v>0</v>
      </c>
      <c r="K656" t="n">
        <v>0</v>
      </c>
      <c r="L656" t="n">
        <v>0</v>
      </c>
      <c r="M656" t="n">
        <v>0</v>
      </c>
      <c r="N656" t="n">
        <v>0</v>
      </c>
      <c r="O656" t="n">
        <v>0</v>
      </c>
      <c r="P656" t="n">
        <v>0</v>
      </c>
      <c r="Q656" t="n">
        <v>0</v>
      </c>
      <c r="R656" s="2" t="inlineStr"/>
    </row>
    <row r="657" ht="15" customHeight="1">
      <c r="A657" t="inlineStr">
        <is>
          <t>A 35271-2025</t>
        </is>
      </c>
      <c r="B657" s="1" t="n">
        <v>45853.87599537037</v>
      </c>
      <c r="C657" s="1" t="n">
        <v>45922</v>
      </c>
      <c r="D657" t="inlineStr">
        <is>
          <t>KALMAR LÄN</t>
        </is>
      </c>
      <c r="E657" t="inlineStr">
        <is>
          <t>VIMMERBY</t>
        </is>
      </c>
      <c r="G657" t="n">
        <v>0.4</v>
      </c>
      <c r="H657" t="n">
        <v>0</v>
      </c>
      <c r="I657" t="n">
        <v>0</v>
      </c>
      <c r="J657" t="n">
        <v>0</v>
      </c>
      <c r="K657" t="n">
        <v>0</v>
      </c>
      <c r="L657" t="n">
        <v>0</v>
      </c>
      <c r="M657" t="n">
        <v>0</v>
      </c>
      <c r="N657" t="n">
        <v>0</v>
      </c>
      <c r="O657" t="n">
        <v>0</v>
      </c>
      <c r="P657" t="n">
        <v>0</v>
      </c>
      <c r="Q657" t="n">
        <v>0</v>
      </c>
      <c r="R657" s="2" t="inlineStr"/>
    </row>
    <row r="658" ht="15" customHeight="1">
      <c r="A658" t="inlineStr">
        <is>
          <t>A 35272-2025</t>
        </is>
      </c>
      <c r="B658" s="1" t="n">
        <v>45853.88070601852</v>
      </c>
      <c r="C658" s="1" t="n">
        <v>45922</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43068-2023</t>
        </is>
      </c>
      <c r="B659" s="1" t="n">
        <v>45182.78834490741</v>
      </c>
      <c r="C659" s="1" t="n">
        <v>45922</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40971-2025</t>
        </is>
      </c>
      <c r="B660" s="1" t="n">
        <v>45897.88836805556</v>
      </c>
      <c r="C660" s="1" t="n">
        <v>45922</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40970-2025</t>
        </is>
      </c>
      <c r="B661" s="1" t="n">
        <v>45897.88706018519</v>
      </c>
      <c r="C661" s="1" t="n">
        <v>45922</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40921-2025</t>
        </is>
      </c>
      <c r="B662" s="1" t="n">
        <v>45897.63520833333</v>
      </c>
      <c r="C662" s="1" t="n">
        <v>45922</v>
      </c>
      <c r="D662" t="inlineStr">
        <is>
          <t>KALMAR LÄN</t>
        </is>
      </c>
      <c r="E662" t="inlineStr">
        <is>
          <t>VIMMERBY</t>
        </is>
      </c>
      <c r="G662" t="n">
        <v>4.2</v>
      </c>
      <c r="H662" t="n">
        <v>0</v>
      </c>
      <c r="I662" t="n">
        <v>0</v>
      </c>
      <c r="J662" t="n">
        <v>0</v>
      </c>
      <c r="K662" t="n">
        <v>0</v>
      </c>
      <c r="L662" t="n">
        <v>0</v>
      </c>
      <c r="M662" t="n">
        <v>0</v>
      </c>
      <c r="N662" t="n">
        <v>0</v>
      </c>
      <c r="O662" t="n">
        <v>0</v>
      </c>
      <c r="P662" t="n">
        <v>0</v>
      </c>
      <c r="Q662" t="n">
        <v>0</v>
      </c>
      <c r="R662" s="2" t="inlineStr"/>
    </row>
    <row r="663" ht="15" customHeight="1">
      <c r="A663" t="inlineStr">
        <is>
          <t>A 16953-2025</t>
        </is>
      </c>
      <c r="B663" s="1" t="n">
        <v>45755.44333333334</v>
      </c>
      <c r="C663" s="1" t="n">
        <v>45922</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35596-2025</t>
        </is>
      </c>
      <c r="B664" s="1" t="n">
        <v>45858.60641203704</v>
      </c>
      <c r="C664" s="1" t="n">
        <v>45922</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41589-2025</t>
        </is>
      </c>
      <c r="B665" s="1" t="n">
        <v>45901.63219907408</v>
      </c>
      <c r="C665" s="1" t="n">
        <v>45922</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41591-2025</t>
        </is>
      </c>
      <c r="B666" s="1" t="n">
        <v>45901.6327662037</v>
      </c>
      <c r="C666" s="1" t="n">
        <v>45922</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59768-2024</t>
        </is>
      </c>
      <c r="B667" s="1" t="n">
        <v>45639.56185185185</v>
      </c>
      <c r="C667" s="1" t="n">
        <v>45922</v>
      </c>
      <c r="D667" t="inlineStr">
        <is>
          <t>KALMAR LÄN</t>
        </is>
      </c>
      <c r="E667" t="inlineStr">
        <is>
          <t>VIMMERBY</t>
        </is>
      </c>
      <c r="G667" t="n">
        <v>5.9</v>
      </c>
      <c r="H667" t="n">
        <v>0</v>
      </c>
      <c r="I667" t="n">
        <v>0</v>
      </c>
      <c r="J667" t="n">
        <v>0</v>
      </c>
      <c r="K667" t="n">
        <v>0</v>
      </c>
      <c r="L667" t="n">
        <v>0</v>
      </c>
      <c r="M667" t="n">
        <v>0</v>
      </c>
      <c r="N667" t="n">
        <v>0</v>
      </c>
      <c r="O667" t="n">
        <v>0</v>
      </c>
      <c r="P667" t="n">
        <v>0</v>
      </c>
      <c r="Q667" t="n">
        <v>0</v>
      </c>
      <c r="R667" s="2" t="inlineStr"/>
    </row>
    <row r="668" ht="15" customHeight="1">
      <c r="A668" t="inlineStr">
        <is>
          <t>A 18020-2025</t>
        </is>
      </c>
      <c r="B668" s="1" t="n">
        <v>45761.4437962963</v>
      </c>
      <c r="C668" s="1" t="n">
        <v>45922</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36526-2023</t>
        </is>
      </c>
      <c r="B669" s="1" t="n">
        <v>45153.32778935185</v>
      </c>
      <c r="C669" s="1" t="n">
        <v>45922</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33424-2023</t>
        </is>
      </c>
      <c r="B670" s="1" t="n">
        <v>45128.9325</v>
      </c>
      <c r="C670" s="1" t="n">
        <v>45922</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33425-2023</t>
        </is>
      </c>
      <c r="B671" s="1" t="n">
        <v>45128.93540509259</v>
      </c>
      <c r="C671" s="1" t="n">
        <v>45922</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12327-2023</t>
        </is>
      </c>
      <c r="B672" s="1" t="n">
        <v>44999.36081018519</v>
      </c>
      <c r="C672" s="1" t="n">
        <v>45922</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43092-2024</t>
        </is>
      </c>
      <c r="B673" s="1" t="n">
        <v>45567</v>
      </c>
      <c r="C673" s="1" t="n">
        <v>45922</v>
      </c>
      <c r="D673" t="inlineStr">
        <is>
          <t>KALMAR LÄN</t>
        </is>
      </c>
      <c r="E673" t="inlineStr">
        <is>
          <t>VIMMERBY</t>
        </is>
      </c>
      <c r="G673" t="n">
        <v>2.7</v>
      </c>
      <c r="H673" t="n">
        <v>0</v>
      </c>
      <c r="I673" t="n">
        <v>0</v>
      </c>
      <c r="J673" t="n">
        <v>0</v>
      </c>
      <c r="K673" t="n">
        <v>0</v>
      </c>
      <c r="L673" t="n">
        <v>0</v>
      </c>
      <c r="M673" t="n">
        <v>0</v>
      </c>
      <c r="N673" t="n">
        <v>0</v>
      </c>
      <c r="O673" t="n">
        <v>0</v>
      </c>
      <c r="P673" t="n">
        <v>0</v>
      </c>
      <c r="Q673" t="n">
        <v>0</v>
      </c>
      <c r="R673" s="2" t="inlineStr"/>
    </row>
    <row r="674" ht="15" customHeight="1">
      <c r="A674" t="inlineStr">
        <is>
          <t>A 35597-2025</t>
        </is>
      </c>
      <c r="B674" s="1" t="n">
        <v>45858.66019675926</v>
      </c>
      <c r="C674" s="1" t="n">
        <v>45922</v>
      </c>
      <c r="D674" t="inlineStr">
        <is>
          <t>KALMAR LÄN</t>
        </is>
      </c>
      <c r="E674" t="inlineStr">
        <is>
          <t>VIMMERBY</t>
        </is>
      </c>
      <c r="G674" t="n">
        <v>6.4</v>
      </c>
      <c r="H674" t="n">
        <v>0</v>
      </c>
      <c r="I674" t="n">
        <v>0</v>
      </c>
      <c r="J674" t="n">
        <v>0</v>
      </c>
      <c r="K674" t="n">
        <v>0</v>
      </c>
      <c r="L674" t="n">
        <v>0</v>
      </c>
      <c r="M674" t="n">
        <v>0</v>
      </c>
      <c r="N674" t="n">
        <v>0</v>
      </c>
      <c r="O674" t="n">
        <v>0</v>
      </c>
      <c r="P674" t="n">
        <v>0</v>
      </c>
      <c r="Q674" t="n">
        <v>0</v>
      </c>
      <c r="R674" s="2" t="inlineStr"/>
    </row>
    <row r="675" ht="15" customHeight="1">
      <c r="A675" t="inlineStr">
        <is>
          <t>A 52435-2021</t>
        </is>
      </c>
      <c r="B675" s="1" t="n">
        <v>44466.34962962963</v>
      </c>
      <c r="C675" s="1" t="n">
        <v>45922</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58728-2024</t>
        </is>
      </c>
      <c r="B676" s="1" t="n">
        <v>45635.66695601852</v>
      </c>
      <c r="C676" s="1" t="n">
        <v>45922</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45922</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45922</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14220-2021</t>
        </is>
      </c>
      <c r="B679" s="1" t="n">
        <v>44278.54855324074</v>
      </c>
      <c r="C679" s="1" t="n">
        <v>45922</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41224-2025</t>
        </is>
      </c>
      <c r="B680" s="1" t="n">
        <v>45898.58861111111</v>
      </c>
      <c r="C680" s="1" t="n">
        <v>45922</v>
      </c>
      <c r="D680" t="inlineStr">
        <is>
          <t>KALMAR LÄN</t>
        </is>
      </c>
      <c r="E680" t="inlineStr">
        <is>
          <t>VIMMERBY</t>
        </is>
      </c>
      <c r="G680" t="n">
        <v>4.4</v>
      </c>
      <c r="H680" t="n">
        <v>0</v>
      </c>
      <c r="I680" t="n">
        <v>0</v>
      </c>
      <c r="J680" t="n">
        <v>0</v>
      </c>
      <c r="K680" t="n">
        <v>0</v>
      </c>
      <c r="L680" t="n">
        <v>0</v>
      </c>
      <c r="M680" t="n">
        <v>0</v>
      </c>
      <c r="N680" t="n">
        <v>0</v>
      </c>
      <c r="O680" t="n">
        <v>0</v>
      </c>
      <c r="P680" t="n">
        <v>0</v>
      </c>
      <c r="Q680" t="n">
        <v>0</v>
      </c>
      <c r="R680" s="2" t="inlineStr"/>
    </row>
    <row r="681" ht="15" customHeight="1">
      <c r="A681" t="inlineStr">
        <is>
          <t>A 35127-2024</t>
        </is>
      </c>
      <c r="B681" s="1" t="n">
        <v>45530.33202546297</v>
      </c>
      <c r="C681" s="1" t="n">
        <v>45922</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63950-2023</t>
        </is>
      </c>
      <c r="B682" s="1" t="n">
        <v>45278</v>
      </c>
      <c r="C682" s="1" t="n">
        <v>45922</v>
      </c>
      <c r="D682" t="inlineStr">
        <is>
          <t>KALMAR LÄN</t>
        </is>
      </c>
      <c r="E682" t="inlineStr">
        <is>
          <t>VIMMERBY</t>
        </is>
      </c>
      <c r="F682" t="inlineStr">
        <is>
          <t>Kyrkan</t>
        </is>
      </c>
      <c r="G682" t="n">
        <v>2.7</v>
      </c>
      <c r="H682" t="n">
        <v>0</v>
      </c>
      <c r="I682" t="n">
        <v>0</v>
      </c>
      <c r="J682" t="n">
        <v>0</v>
      </c>
      <c r="K682" t="n">
        <v>0</v>
      </c>
      <c r="L682" t="n">
        <v>0</v>
      </c>
      <c r="M682" t="n">
        <v>0</v>
      </c>
      <c r="N682" t="n">
        <v>0</v>
      </c>
      <c r="O682" t="n">
        <v>0</v>
      </c>
      <c r="P682" t="n">
        <v>0</v>
      </c>
      <c r="Q682" t="n">
        <v>0</v>
      </c>
      <c r="R682" s="2" t="inlineStr"/>
    </row>
    <row r="683" ht="15" customHeight="1">
      <c r="A683" t="inlineStr">
        <is>
          <t>A 60215-2022</t>
        </is>
      </c>
      <c r="B683" s="1" t="n">
        <v>44910.41346064815</v>
      </c>
      <c r="C683" s="1" t="n">
        <v>45922</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16516-2023</t>
        </is>
      </c>
      <c r="B684" s="1" t="n">
        <v>45029</v>
      </c>
      <c r="C684" s="1" t="n">
        <v>45922</v>
      </c>
      <c r="D684" t="inlineStr">
        <is>
          <t>KALMAR LÄN</t>
        </is>
      </c>
      <c r="E684" t="inlineStr">
        <is>
          <t>VIMMERBY</t>
        </is>
      </c>
      <c r="G684" t="n">
        <v>4.3</v>
      </c>
      <c r="H684" t="n">
        <v>0</v>
      </c>
      <c r="I684" t="n">
        <v>0</v>
      </c>
      <c r="J684" t="n">
        <v>0</v>
      </c>
      <c r="K684" t="n">
        <v>0</v>
      </c>
      <c r="L684" t="n">
        <v>0</v>
      </c>
      <c r="M684" t="n">
        <v>0</v>
      </c>
      <c r="N684" t="n">
        <v>0</v>
      </c>
      <c r="O684" t="n">
        <v>0</v>
      </c>
      <c r="P684" t="n">
        <v>0</v>
      </c>
      <c r="Q684" t="n">
        <v>0</v>
      </c>
      <c r="R684" s="2" t="inlineStr"/>
    </row>
    <row r="685" ht="15" customHeight="1">
      <c r="A685" t="inlineStr">
        <is>
          <t>A 29441-2024</t>
        </is>
      </c>
      <c r="B685" s="1" t="n">
        <v>45483.82834490741</v>
      </c>
      <c r="C685" s="1" t="n">
        <v>45922</v>
      </c>
      <c r="D685" t="inlineStr">
        <is>
          <t>KALMAR LÄN</t>
        </is>
      </c>
      <c r="E685" t="inlineStr">
        <is>
          <t>VIMMERBY</t>
        </is>
      </c>
      <c r="G685" t="n">
        <v>1.3</v>
      </c>
      <c r="H685" t="n">
        <v>0</v>
      </c>
      <c r="I685" t="n">
        <v>0</v>
      </c>
      <c r="J685" t="n">
        <v>0</v>
      </c>
      <c r="K685" t="n">
        <v>0</v>
      </c>
      <c r="L685" t="n">
        <v>0</v>
      </c>
      <c r="M685" t="n">
        <v>0</v>
      </c>
      <c r="N685" t="n">
        <v>0</v>
      </c>
      <c r="O685" t="n">
        <v>0</v>
      </c>
      <c r="P685" t="n">
        <v>0</v>
      </c>
      <c r="Q685" t="n">
        <v>0</v>
      </c>
      <c r="R685" s="2" t="inlineStr"/>
    </row>
    <row r="686" ht="15" customHeight="1">
      <c r="A686" t="inlineStr">
        <is>
          <t>A 41735-2025</t>
        </is>
      </c>
      <c r="B686" s="1" t="n">
        <v>45902.47164351852</v>
      </c>
      <c r="C686" s="1" t="n">
        <v>45922</v>
      </c>
      <c r="D686" t="inlineStr">
        <is>
          <t>KALMAR LÄN</t>
        </is>
      </c>
      <c r="E686" t="inlineStr">
        <is>
          <t>VIMMERBY</t>
        </is>
      </c>
      <c r="G686" t="n">
        <v>3</v>
      </c>
      <c r="H686" t="n">
        <v>0</v>
      </c>
      <c r="I686" t="n">
        <v>0</v>
      </c>
      <c r="J686" t="n">
        <v>0</v>
      </c>
      <c r="K686" t="n">
        <v>0</v>
      </c>
      <c r="L686" t="n">
        <v>0</v>
      </c>
      <c r="M686" t="n">
        <v>0</v>
      </c>
      <c r="N686" t="n">
        <v>0</v>
      </c>
      <c r="O686" t="n">
        <v>0</v>
      </c>
      <c r="P686" t="n">
        <v>0</v>
      </c>
      <c r="Q686" t="n">
        <v>0</v>
      </c>
      <c r="R686" s="2" t="inlineStr"/>
    </row>
    <row r="687" ht="15" customHeight="1">
      <c r="A687" t="inlineStr">
        <is>
          <t>A 47842-2024</t>
        </is>
      </c>
      <c r="B687" s="1" t="n">
        <v>45588.65545138889</v>
      </c>
      <c r="C687" s="1" t="n">
        <v>45922</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41896-2025</t>
        </is>
      </c>
      <c r="B688" s="1" t="n">
        <v>45903.38800925926</v>
      </c>
      <c r="C688" s="1" t="n">
        <v>45922</v>
      </c>
      <c r="D688" t="inlineStr">
        <is>
          <t>KALMAR LÄN</t>
        </is>
      </c>
      <c r="E688" t="inlineStr">
        <is>
          <t>VIMMERBY</t>
        </is>
      </c>
      <c r="G688" t="n">
        <v>2.9</v>
      </c>
      <c r="H688" t="n">
        <v>0</v>
      </c>
      <c r="I688" t="n">
        <v>0</v>
      </c>
      <c r="J688" t="n">
        <v>0</v>
      </c>
      <c r="K688" t="n">
        <v>0</v>
      </c>
      <c r="L688" t="n">
        <v>0</v>
      </c>
      <c r="M688" t="n">
        <v>0</v>
      </c>
      <c r="N688" t="n">
        <v>0</v>
      </c>
      <c r="O688" t="n">
        <v>0</v>
      </c>
      <c r="P688" t="n">
        <v>0</v>
      </c>
      <c r="Q688" t="n">
        <v>0</v>
      </c>
      <c r="R688" s="2" t="inlineStr"/>
    </row>
    <row r="689" ht="15" customHeight="1">
      <c r="A689" t="inlineStr">
        <is>
          <t>A 6216-2025</t>
        </is>
      </c>
      <c r="B689" s="1" t="n">
        <v>45698.52806712963</v>
      </c>
      <c r="C689" s="1" t="n">
        <v>45922</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62779-2023</t>
        </is>
      </c>
      <c r="B690" s="1" t="n">
        <v>45271.66576388889</v>
      </c>
      <c r="C690" s="1" t="n">
        <v>45922</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52294-2023</t>
        </is>
      </c>
      <c r="B691" s="1" t="n">
        <v>45224.60075231481</v>
      </c>
      <c r="C691" s="1" t="n">
        <v>45922</v>
      </c>
      <c r="D691" t="inlineStr">
        <is>
          <t>KALMAR LÄN</t>
        </is>
      </c>
      <c r="E691" t="inlineStr">
        <is>
          <t>VIMMERBY</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6408-2025</t>
        </is>
      </c>
      <c r="B692" s="1" t="n">
        <v>45699.45671296296</v>
      </c>
      <c r="C692" s="1" t="n">
        <v>45922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25109-2023</t>
        </is>
      </c>
      <c r="B693" s="1" t="n">
        <v>45086</v>
      </c>
      <c r="C693" s="1" t="n">
        <v>45922</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33380-2023</t>
        </is>
      </c>
      <c r="B694" s="1" t="n">
        <v>45128</v>
      </c>
      <c r="C694" s="1" t="n">
        <v>45922</v>
      </c>
      <c r="D694" t="inlineStr">
        <is>
          <t>KALMAR LÄN</t>
        </is>
      </c>
      <c r="E694" t="inlineStr">
        <is>
          <t>VIMMERBY</t>
        </is>
      </c>
      <c r="G694" t="n">
        <v>5.2</v>
      </c>
      <c r="H694" t="n">
        <v>0</v>
      </c>
      <c r="I694" t="n">
        <v>0</v>
      </c>
      <c r="J694" t="n">
        <v>0</v>
      </c>
      <c r="K694" t="n">
        <v>0</v>
      </c>
      <c r="L694" t="n">
        <v>0</v>
      </c>
      <c r="M694" t="n">
        <v>0</v>
      </c>
      <c r="N694" t="n">
        <v>0</v>
      </c>
      <c r="O694" t="n">
        <v>0</v>
      </c>
      <c r="P694" t="n">
        <v>0</v>
      </c>
      <c r="Q694" t="n">
        <v>0</v>
      </c>
      <c r="R694" s="2" t="inlineStr"/>
    </row>
    <row r="695" ht="15" customHeight="1">
      <c r="A695" t="inlineStr">
        <is>
          <t>A 32639-2023</t>
        </is>
      </c>
      <c r="B695" s="1" t="n">
        <v>45121.5965162037</v>
      </c>
      <c r="C695" s="1" t="n">
        <v>45922</v>
      </c>
      <c r="D695" t="inlineStr">
        <is>
          <t>KALMAR LÄN</t>
        </is>
      </c>
      <c r="E695" t="inlineStr">
        <is>
          <t>VIMMERBY</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32642-2023</t>
        </is>
      </c>
      <c r="B696" s="1" t="n">
        <v>45121.59954861111</v>
      </c>
      <c r="C696" s="1" t="n">
        <v>45922</v>
      </c>
      <c r="D696" t="inlineStr">
        <is>
          <t>KALMAR LÄN</t>
        </is>
      </c>
      <c r="E696" t="inlineStr">
        <is>
          <t>VIMMERBY</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32651-2023</t>
        </is>
      </c>
      <c r="B697" s="1" t="n">
        <v>45121.6096875</v>
      </c>
      <c r="C697" s="1" t="n">
        <v>45922</v>
      </c>
      <c r="D697" t="inlineStr">
        <is>
          <t>KALMAR LÄN</t>
        </is>
      </c>
      <c r="E697" t="inlineStr">
        <is>
          <t>VIMMERBY</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31013-2023</t>
        </is>
      </c>
      <c r="B698" s="1" t="n">
        <v>45113.56574074074</v>
      </c>
      <c r="C698" s="1" t="n">
        <v>45922</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72067-2021</t>
        </is>
      </c>
      <c r="B699" s="1" t="n">
        <v>44540</v>
      </c>
      <c r="C699" s="1" t="n">
        <v>45922</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11928-2022</t>
        </is>
      </c>
      <c r="B700" s="1" t="n">
        <v>44635</v>
      </c>
      <c r="C700" s="1" t="n">
        <v>45922</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61538-2022</t>
        </is>
      </c>
      <c r="B701" s="1" t="n">
        <v>44916.55414351852</v>
      </c>
      <c r="C701" s="1" t="n">
        <v>45922</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36155-2023</t>
        </is>
      </c>
      <c r="B702" s="1" t="n">
        <v>45149.60917824074</v>
      </c>
      <c r="C702" s="1" t="n">
        <v>45922</v>
      </c>
      <c r="D702" t="inlineStr">
        <is>
          <t>KALMAR LÄN</t>
        </is>
      </c>
      <c r="E702" t="inlineStr">
        <is>
          <t>VIMMERBY</t>
        </is>
      </c>
      <c r="G702" t="n">
        <v>5</v>
      </c>
      <c r="H702" t="n">
        <v>0</v>
      </c>
      <c r="I702" t="n">
        <v>0</v>
      </c>
      <c r="J702" t="n">
        <v>0</v>
      </c>
      <c r="K702" t="n">
        <v>0</v>
      </c>
      <c r="L702" t="n">
        <v>0</v>
      </c>
      <c r="M702" t="n">
        <v>0</v>
      </c>
      <c r="N702" t="n">
        <v>0</v>
      </c>
      <c r="O702" t="n">
        <v>0</v>
      </c>
      <c r="P702" t="n">
        <v>0</v>
      </c>
      <c r="Q702" t="n">
        <v>0</v>
      </c>
      <c r="R702" s="2" t="inlineStr"/>
    </row>
    <row r="703" ht="15" customHeight="1">
      <c r="A703" t="inlineStr">
        <is>
          <t>A 36226-2025</t>
        </is>
      </c>
      <c r="B703" s="1" t="n">
        <v>45867.51630787037</v>
      </c>
      <c r="C703" s="1" t="n">
        <v>45922</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36273-2025</t>
        </is>
      </c>
      <c r="B704" s="1" t="n">
        <v>45867.63094907408</v>
      </c>
      <c r="C704" s="1" t="n">
        <v>45922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29173-2024</t>
        </is>
      </c>
      <c r="B705" s="1" t="n">
        <v>45482.52887731481</v>
      </c>
      <c r="C705" s="1" t="n">
        <v>45922</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44879.62173611111</v>
      </c>
      <c r="C706" s="1" t="n">
        <v>45922</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36282-2025</t>
        </is>
      </c>
      <c r="B707" s="1" t="n">
        <v>45867.64663194444</v>
      </c>
      <c r="C707" s="1" t="n">
        <v>45922</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36246-2025</t>
        </is>
      </c>
      <c r="B708" s="1" t="n">
        <v>45867.56320601852</v>
      </c>
      <c r="C708" s="1" t="n">
        <v>45922</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36297-2025</t>
        </is>
      </c>
      <c r="B709" s="1" t="n">
        <v>45867.68625</v>
      </c>
      <c r="C709" s="1" t="n">
        <v>45922</v>
      </c>
      <c r="D709" t="inlineStr">
        <is>
          <t>KALMAR LÄN</t>
        </is>
      </c>
      <c r="E709" t="inlineStr">
        <is>
          <t>VIMMERBY</t>
        </is>
      </c>
      <c r="G709" t="n">
        <v>4.9</v>
      </c>
      <c r="H709" t="n">
        <v>0</v>
      </c>
      <c r="I709" t="n">
        <v>0</v>
      </c>
      <c r="J709" t="n">
        <v>0</v>
      </c>
      <c r="K709" t="n">
        <v>0</v>
      </c>
      <c r="L709" t="n">
        <v>0</v>
      </c>
      <c r="M709" t="n">
        <v>0</v>
      </c>
      <c r="N709" t="n">
        <v>0</v>
      </c>
      <c r="O709" t="n">
        <v>0</v>
      </c>
      <c r="P709" t="n">
        <v>0</v>
      </c>
      <c r="Q709" t="n">
        <v>0</v>
      </c>
      <c r="R709" s="2" t="inlineStr"/>
    </row>
    <row r="710" ht="15" customHeight="1">
      <c r="A710" t="inlineStr">
        <is>
          <t>A 42828-2025</t>
        </is>
      </c>
      <c r="B710" s="1" t="n">
        <v>45908.57716435185</v>
      </c>
      <c r="C710" s="1" t="n">
        <v>45922</v>
      </c>
      <c r="D710" t="inlineStr">
        <is>
          <t>KALMAR LÄN</t>
        </is>
      </c>
      <c r="E710" t="inlineStr">
        <is>
          <t>VIMMERBY</t>
        </is>
      </c>
      <c r="G710" t="n">
        <v>5.2</v>
      </c>
      <c r="H710" t="n">
        <v>0</v>
      </c>
      <c r="I710" t="n">
        <v>0</v>
      </c>
      <c r="J710" t="n">
        <v>0</v>
      </c>
      <c r="K710" t="n">
        <v>0</v>
      </c>
      <c r="L710" t="n">
        <v>0</v>
      </c>
      <c r="M710" t="n">
        <v>0</v>
      </c>
      <c r="N710" t="n">
        <v>0</v>
      </c>
      <c r="O710" t="n">
        <v>0</v>
      </c>
      <c r="P710" t="n">
        <v>0</v>
      </c>
      <c r="Q710" t="n">
        <v>0</v>
      </c>
      <c r="R710" s="2" t="inlineStr"/>
    </row>
    <row r="711" ht="15" customHeight="1">
      <c r="A711" t="inlineStr">
        <is>
          <t>A 36221-2025</t>
        </is>
      </c>
      <c r="B711" s="1" t="n">
        <v>45867.50792824074</v>
      </c>
      <c r="C711" s="1" t="n">
        <v>45922</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7068-2024</t>
        </is>
      </c>
      <c r="B712" s="1" t="n">
        <v>45343.68038194445</v>
      </c>
      <c r="C712" s="1" t="n">
        <v>45922</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19502-2025</t>
        </is>
      </c>
      <c r="B713" s="1" t="n">
        <v>45769</v>
      </c>
      <c r="C713" s="1" t="n">
        <v>45922</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46234-2024</t>
        </is>
      </c>
      <c r="B714" s="1" t="n">
        <v>45581.57958333333</v>
      </c>
      <c r="C714" s="1" t="n">
        <v>45922</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37187-2024</t>
        </is>
      </c>
      <c r="B715" s="1" t="n">
        <v>45539.65212962963</v>
      </c>
      <c r="C715" s="1" t="n">
        <v>45922</v>
      </c>
      <c r="D715" t="inlineStr">
        <is>
          <t>KALMAR LÄN</t>
        </is>
      </c>
      <c r="E715" t="inlineStr">
        <is>
          <t>VIMMERBY</t>
        </is>
      </c>
      <c r="G715" t="n">
        <v>2.7</v>
      </c>
      <c r="H715" t="n">
        <v>0</v>
      </c>
      <c r="I715" t="n">
        <v>0</v>
      </c>
      <c r="J715" t="n">
        <v>0</v>
      </c>
      <c r="K715" t="n">
        <v>0</v>
      </c>
      <c r="L715" t="n">
        <v>0</v>
      </c>
      <c r="M715" t="n">
        <v>0</v>
      </c>
      <c r="N715" t="n">
        <v>0</v>
      </c>
      <c r="O715" t="n">
        <v>0</v>
      </c>
      <c r="P715" t="n">
        <v>0</v>
      </c>
      <c r="Q715" t="n">
        <v>0</v>
      </c>
      <c r="R715" s="2" t="inlineStr"/>
    </row>
    <row r="716" ht="15" customHeight="1">
      <c r="A716" t="inlineStr">
        <is>
          <t>A 7627-2025</t>
        </is>
      </c>
      <c r="B716" s="1" t="n">
        <v>45705.73300925926</v>
      </c>
      <c r="C716" s="1" t="n">
        <v>45922</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36299-2025</t>
        </is>
      </c>
      <c r="B717" s="1" t="n">
        <v>45867.69346064814</v>
      </c>
      <c r="C717" s="1" t="n">
        <v>45922</v>
      </c>
      <c r="D717" t="inlineStr">
        <is>
          <t>KALMAR LÄN</t>
        </is>
      </c>
      <c r="E717" t="inlineStr">
        <is>
          <t>VIMMERBY</t>
        </is>
      </c>
      <c r="G717" t="n">
        <v>7.6</v>
      </c>
      <c r="H717" t="n">
        <v>0</v>
      </c>
      <c r="I717" t="n">
        <v>0</v>
      </c>
      <c r="J717" t="n">
        <v>0</v>
      </c>
      <c r="K717" t="n">
        <v>0</v>
      </c>
      <c r="L717" t="n">
        <v>0</v>
      </c>
      <c r="M717" t="n">
        <v>0</v>
      </c>
      <c r="N717" t="n">
        <v>0</v>
      </c>
      <c r="O717" t="n">
        <v>0</v>
      </c>
      <c r="P717" t="n">
        <v>0</v>
      </c>
      <c r="Q717" t="n">
        <v>0</v>
      </c>
      <c r="R717" s="2" t="inlineStr"/>
    </row>
    <row r="718" ht="15" customHeight="1">
      <c r="A718" t="inlineStr">
        <is>
          <t>A 1021-2024</t>
        </is>
      </c>
      <c r="B718" s="1" t="n">
        <v>45301.67736111111</v>
      </c>
      <c r="C718" s="1" t="n">
        <v>45922</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6807-2025</t>
        </is>
      </c>
      <c r="B719" s="1" t="n">
        <v>45700.68672453704</v>
      </c>
      <c r="C719" s="1" t="n">
        <v>45922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7047-2022</t>
        </is>
      </c>
      <c r="B720" s="1" t="n">
        <v>44603</v>
      </c>
      <c r="C720" s="1" t="n">
        <v>45922</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72701-2021</t>
        </is>
      </c>
      <c r="B721" s="1" t="n">
        <v>44546</v>
      </c>
      <c r="C721" s="1" t="n">
        <v>45922</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43617-2025</t>
        </is>
      </c>
      <c r="B722" s="1" t="n">
        <v>45911.67798611111</v>
      </c>
      <c r="C722" s="1" t="n">
        <v>45922</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19111-2025</t>
        </is>
      </c>
      <c r="B723" s="1" t="n">
        <v>45768.65611111111</v>
      </c>
      <c r="C723" s="1" t="n">
        <v>45922</v>
      </c>
      <c r="D723" t="inlineStr">
        <is>
          <t>KALMAR LÄN</t>
        </is>
      </c>
      <c r="E723" t="inlineStr">
        <is>
          <t>VIMMERBY</t>
        </is>
      </c>
      <c r="G723" t="n">
        <v>6.2</v>
      </c>
      <c r="H723" t="n">
        <v>0</v>
      </c>
      <c r="I723" t="n">
        <v>0</v>
      </c>
      <c r="J723" t="n">
        <v>0</v>
      </c>
      <c r="K723" t="n">
        <v>0</v>
      </c>
      <c r="L723" t="n">
        <v>0</v>
      </c>
      <c r="M723" t="n">
        <v>0</v>
      </c>
      <c r="N723" t="n">
        <v>0</v>
      </c>
      <c r="O723" t="n">
        <v>0</v>
      </c>
      <c r="P723" t="n">
        <v>0</v>
      </c>
      <c r="Q723" t="n">
        <v>0</v>
      </c>
      <c r="R723" s="2" t="inlineStr"/>
    </row>
    <row r="724" ht="15" customHeight="1">
      <c r="A724" t="inlineStr">
        <is>
          <t>A 36538-2025</t>
        </is>
      </c>
      <c r="B724" s="1" t="n">
        <v>45869.62276620371</v>
      </c>
      <c r="C724" s="1" t="n">
        <v>45922</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35711-2023</t>
        </is>
      </c>
      <c r="B725" s="1" t="n">
        <v>45147.67172453704</v>
      </c>
      <c r="C725" s="1" t="n">
        <v>45922</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5382-2023</t>
        </is>
      </c>
      <c r="B726" s="1" t="n">
        <v>44959.66407407408</v>
      </c>
      <c r="C726" s="1" t="n">
        <v>45922</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33374-2021</t>
        </is>
      </c>
      <c r="B727" s="1" t="n">
        <v>44377</v>
      </c>
      <c r="C727" s="1" t="n">
        <v>45922</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10807-2024</t>
        </is>
      </c>
      <c r="B728" s="1" t="n">
        <v>45369.62780092593</v>
      </c>
      <c r="C728" s="1" t="n">
        <v>45922</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43465-2025</t>
        </is>
      </c>
      <c r="B729" s="1" t="n">
        <v>45911.47138888889</v>
      </c>
      <c r="C729" s="1" t="n">
        <v>45922</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42820-2025</t>
        </is>
      </c>
      <c r="B730" s="1" t="n">
        <v>45908</v>
      </c>
      <c r="C730" s="1" t="n">
        <v>45922</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33359-2021</t>
        </is>
      </c>
      <c r="B731" s="1" t="n">
        <v>44377.49684027778</v>
      </c>
      <c r="C731" s="1" t="n">
        <v>45922</v>
      </c>
      <c r="D731" t="inlineStr">
        <is>
          <t>KALMAR LÄN</t>
        </is>
      </c>
      <c r="E731" t="inlineStr">
        <is>
          <t>VIMMERBY</t>
        </is>
      </c>
      <c r="F731" t="inlineStr">
        <is>
          <t>Kommuner</t>
        </is>
      </c>
      <c r="G731" t="n">
        <v>8</v>
      </c>
      <c r="H731" t="n">
        <v>0</v>
      </c>
      <c r="I731" t="n">
        <v>0</v>
      </c>
      <c r="J731" t="n">
        <v>0</v>
      </c>
      <c r="K731" t="n">
        <v>0</v>
      </c>
      <c r="L731" t="n">
        <v>0</v>
      </c>
      <c r="M731" t="n">
        <v>0</v>
      </c>
      <c r="N731" t="n">
        <v>0</v>
      </c>
      <c r="O731" t="n">
        <v>0</v>
      </c>
      <c r="P731" t="n">
        <v>0</v>
      </c>
      <c r="Q731" t="n">
        <v>0</v>
      </c>
      <c r="R731" s="2" t="inlineStr"/>
    </row>
    <row r="732" ht="15" customHeight="1">
      <c r="A732" t="inlineStr">
        <is>
          <t>A 42794-2025</t>
        </is>
      </c>
      <c r="B732" s="1" t="n">
        <v>45908</v>
      </c>
      <c r="C732" s="1" t="n">
        <v>45922</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40823-2023</t>
        </is>
      </c>
      <c r="B733" s="1" t="n">
        <v>45171.77335648148</v>
      </c>
      <c r="C733" s="1" t="n">
        <v>45922</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6218-2025</t>
        </is>
      </c>
      <c r="B734" s="1" t="n">
        <v>45698.53336805556</v>
      </c>
      <c r="C734" s="1" t="n">
        <v>45922</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34090-2025</t>
        </is>
      </c>
      <c r="B735" s="1" t="n">
        <v>45845</v>
      </c>
      <c r="C735" s="1" t="n">
        <v>45922</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36598-2025</t>
        </is>
      </c>
      <c r="B736" s="1" t="n">
        <v>45870.51708333333</v>
      </c>
      <c r="C736" s="1" t="n">
        <v>45922</v>
      </c>
      <c r="D736" t="inlineStr">
        <is>
          <t>KALMAR LÄN</t>
        </is>
      </c>
      <c r="E736" t="inlineStr">
        <is>
          <t>VIMMERBY</t>
        </is>
      </c>
      <c r="G736" t="n">
        <v>3.7</v>
      </c>
      <c r="H736" t="n">
        <v>0</v>
      </c>
      <c r="I736" t="n">
        <v>0</v>
      </c>
      <c r="J736" t="n">
        <v>0</v>
      </c>
      <c r="K736" t="n">
        <v>0</v>
      </c>
      <c r="L736" t="n">
        <v>0</v>
      </c>
      <c r="M736" t="n">
        <v>0</v>
      </c>
      <c r="N736" t="n">
        <v>0</v>
      </c>
      <c r="O736" t="n">
        <v>0</v>
      </c>
      <c r="P736" t="n">
        <v>0</v>
      </c>
      <c r="Q736" t="n">
        <v>0</v>
      </c>
      <c r="R736" s="2" t="inlineStr"/>
    </row>
    <row r="737" ht="15" customHeight="1">
      <c r="A737" t="inlineStr">
        <is>
          <t>A 36602-2025</t>
        </is>
      </c>
      <c r="B737" s="1" t="n">
        <v>45870.52111111111</v>
      </c>
      <c r="C737" s="1" t="n">
        <v>45922</v>
      </c>
      <c r="D737" t="inlineStr">
        <is>
          <t>KALMAR LÄN</t>
        </is>
      </c>
      <c r="E737" t="inlineStr">
        <is>
          <t>VIMMERBY</t>
        </is>
      </c>
      <c r="G737" t="n">
        <v>0.6</v>
      </c>
      <c r="H737" t="n">
        <v>0</v>
      </c>
      <c r="I737" t="n">
        <v>0</v>
      </c>
      <c r="J737" t="n">
        <v>0</v>
      </c>
      <c r="K737" t="n">
        <v>0</v>
      </c>
      <c r="L737" t="n">
        <v>0</v>
      </c>
      <c r="M737" t="n">
        <v>0</v>
      </c>
      <c r="N737" t="n">
        <v>0</v>
      </c>
      <c r="O737" t="n">
        <v>0</v>
      </c>
      <c r="P737" t="n">
        <v>0</v>
      </c>
      <c r="Q737" t="n">
        <v>0</v>
      </c>
      <c r="R737" s="2" t="inlineStr"/>
    </row>
    <row r="738" ht="15" customHeight="1">
      <c r="A738" t="inlineStr">
        <is>
          <t>A 30920-2023</t>
        </is>
      </c>
      <c r="B738" s="1" t="n">
        <v>45113.43921296296</v>
      </c>
      <c r="C738" s="1" t="n">
        <v>45922</v>
      </c>
      <c r="D738" t="inlineStr">
        <is>
          <t>KALMAR LÄN</t>
        </is>
      </c>
      <c r="E738" t="inlineStr">
        <is>
          <t>VIMMERBY</t>
        </is>
      </c>
      <c r="G738" t="n">
        <v>3.1</v>
      </c>
      <c r="H738" t="n">
        <v>0</v>
      </c>
      <c r="I738" t="n">
        <v>0</v>
      </c>
      <c r="J738" t="n">
        <v>0</v>
      </c>
      <c r="K738" t="n">
        <v>0</v>
      </c>
      <c r="L738" t="n">
        <v>0</v>
      </c>
      <c r="M738" t="n">
        <v>0</v>
      </c>
      <c r="N738" t="n">
        <v>0</v>
      </c>
      <c r="O738" t="n">
        <v>0</v>
      </c>
      <c r="P738" t="n">
        <v>0</v>
      </c>
      <c r="Q738" t="n">
        <v>0</v>
      </c>
      <c r="R738" s="2" t="inlineStr"/>
    </row>
    <row r="739" ht="15" customHeight="1">
      <c r="A739" t="inlineStr">
        <is>
          <t>A 34588-2024</t>
        </is>
      </c>
      <c r="B739" s="1" t="n">
        <v>45526.3865625</v>
      </c>
      <c r="C739" s="1" t="n">
        <v>45922</v>
      </c>
      <c r="D739" t="inlineStr">
        <is>
          <t>KALMAR LÄN</t>
        </is>
      </c>
      <c r="E739" t="inlineStr">
        <is>
          <t>VIMMERBY</t>
        </is>
      </c>
      <c r="F739" t="inlineStr">
        <is>
          <t>Övriga Aktiebolag</t>
        </is>
      </c>
      <c r="G739" t="n">
        <v>3.3</v>
      </c>
      <c r="H739" t="n">
        <v>0</v>
      </c>
      <c r="I739" t="n">
        <v>0</v>
      </c>
      <c r="J739" t="n">
        <v>0</v>
      </c>
      <c r="K739" t="n">
        <v>0</v>
      </c>
      <c r="L739" t="n">
        <v>0</v>
      </c>
      <c r="M739" t="n">
        <v>0</v>
      </c>
      <c r="N739" t="n">
        <v>0</v>
      </c>
      <c r="O739" t="n">
        <v>0</v>
      </c>
      <c r="P739" t="n">
        <v>0</v>
      </c>
      <c r="Q739" t="n">
        <v>0</v>
      </c>
      <c r="R739" s="2" t="inlineStr"/>
    </row>
    <row r="740" ht="15" customHeight="1">
      <c r="A740" t="inlineStr">
        <is>
          <t>A 17084-2025</t>
        </is>
      </c>
      <c r="B740" s="1" t="n">
        <v>45755.64450231481</v>
      </c>
      <c r="C740" s="1" t="n">
        <v>45922</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6857-2023</t>
        </is>
      </c>
      <c r="B741" s="1" t="n">
        <v>44967.45122685185</v>
      </c>
      <c r="C741" s="1" t="n">
        <v>45922</v>
      </c>
      <c r="D741" t="inlineStr">
        <is>
          <t>KALMAR LÄN</t>
        </is>
      </c>
      <c r="E741" t="inlineStr">
        <is>
          <t>VIMMERBY</t>
        </is>
      </c>
      <c r="G741" t="n">
        <v>2.1</v>
      </c>
      <c r="H741" t="n">
        <v>0</v>
      </c>
      <c r="I741" t="n">
        <v>0</v>
      </c>
      <c r="J741" t="n">
        <v>0</v>
      </c>
      <c r="K741" t="n">
        <v>0</v>
      </c>
      <c r="L741" t="n">
        <v>0</v>
      </c>
      <c r="M741" t="n">
        <v>0</v>
      </c>
      <c r="N741" t="n">
        <v>0</v>
      </c>
      <c r="O741" t="n">
        <v>0</v>
      </c>
      <c r="P741" t="n">
        <v>0</v>
      </c>
      <c r="Q741" t="n">
        <v>0</v>
      </c>
      <c r="R741" s="2" t="inlineStr"/>
    </row>
    <row r="742" ht="15" customHeight="1">
      <c r="A742" t="inlineStr">
        <is>
          <t>A 33161-2024</t>
        </is>
      </c>
      <c r="B742" s="1" t="n">
        <v>45518.40657407408</v>
      </c>
      <c r="C742" s="1" t="n">
        <v>45922</v>
      </c>
      <c r="D742" t="inlineStr">
        <is>
          <t>KALMAR LÄN</t>
        </is>
      </c>
      <c r="E742" t="inlineStr">
        <is>
          <t>VIMMERBY</t>
        </is>
      </c>
      <c r="G742" t="n">
        <v>4.7</v>
      </c>
      <c r="H742" t="n">
        <v>0</v>
      </c>
      <c r="I742" t="n">
        <v>0</v>
      </c>
      <c r="J742" t="n">
        <v>0</v>
      </c>
      <c r="K742" t="n">
        <v>0</v>
      </c>
      <c r="L742" t="n">
        <v>0</v>
      </c>
      <c r="M742" t="n">
        <v>0</v>
      </c>
      <c r="N742" t="n">
        <v>0</v>
      </c>
      <c r="O742" t="n">
        <v>0</v>
      </c>
      <c r="P742" t="n">
        <v>0</v>
      </c>
      <c r="Q742" t="n">
        <v>0</v>
      </c>
      <c r="R742" s="2" t="inlineStr"/>
    </row>
    <row r="743" ht="15" customHeight="1">
      <c r="A743" t="inlineStr">
        <is>
          <t>A 14359-2025</t>
        </is>
      </c>
      <c r="B743" s="1" t="n">
        <v>45741.37270833334</v>
      </c>
      <c r="C743" s="1" t="n">
        <v>45922</v>
      </c>
      <c r="D743" t="inlineStr">
        <is>
          <t>KALMAR LÄN</t>
        </is>
      </c>
      <c r="E743" t="inlineStr">
        <is>
          <t>VIMMERBY</t>
        </is>
      </c>
      <c r="G743" t="n">
        <v>2</v>
      </c>
      <c r="H743" t="n">
        <v>0</v>
      </c>
      <c r="I743" t="n">
        <v>0</v>
      </c>
      <c r="J743" t="n">
        <v>0</v>
      </c>
      <c r="K743" t="n">
        <v>0</v>
      </c>
      <c r="L743" t="n">
        <v>0</v>
      </c>
      <c r="M743" t="n">
        <v>0</v>
      </c>
      <c r="N743" t="n">
        <v>0</v>
      </c>
      <c r="O743" t="n">
        <v>0</v>
      </c>
      <c r="P743" t="n">
        <v>0</v>
      </c>
      <c r="Q743" t="n">
        <v>0</v>
      </c>
      <c r="R743" s="2" t="inlineStr"/>
    </row>
    <row r="744" ht="15" customHeight="1">
      <c r="A744" t="inlineStr">
        <is>
          <t>A 44091-2025</t>
        </is>
      </c>
      <c r="B744" s="1" t="n">
        <v>45915.55950231481</v>
      </c>
      <c r="C744" s="1" t="n">
        <v>45922</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5792-2023</t>
        </is>
      </c>
      <c r="B745" s="1" t="n">
        <v>44963.44769675926</v>
      </c>
      <c r="C745" s="1" t="n">
        <v>45922</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10303-2025</t>
        </is>
      </c>
      <c r="B746" s="1" t="n">
        <v>45720.44217592593</v>
      </c>
      <c r="C746" s="1" t="n">
        <v>45922</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36603-2025</t>
        </is>
      </c>
      <c r="B747" s="1" t="n">
        <v>45870.52142361111</v>
      </c>
      <c r="C747" s="1" t="n">
        <v>45922</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45922</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44095-2025</t>
        </is>
      </c>
      <c r="B749" s="1" t="n">
        <v>45915.56430555556</v>
      </c>
      <c r="C749" s="1" t="n">
        <v>45922</v>
      </c>
      <c r="D749" t="inlineStr">
        <is>
          <t>KALMAR LÄN</t>
        </is>
      </c>
      <c r="E749" t="inlineStr">
        <is>
          <t>VIMMERBY</t>
        </is>
      </c>
      <c r="G749" t="n">
        <v>2.4</v>
      </c>
      <c r="H749" t="n">
        <v>0</v>
      </c>
      <c r="I749" t="n">
        <v>0</v>
      </c>
      <c r="J749" t="n">
        <v>0</v>
      </c>
      <c r="K749" t="n">
        <v>0</v>
      </c>
      <c r="L749" t="n">
        <v>0</v>
      </c>
      <c r="M749" t="n">
        <v>0</v>
      </c>
      <c r="N749" t="n">
        <v>0</v>
      </c>
      <c r="O749" t="n">
        <v>0</v>
      </c>
      <c r="P749" t="n">
        <v>0</v>
      </c>
      <c r="Q749" t="n">
        <v>0</v>
      </c>
      <c r="R749" s="2" t="inlineStr"/>
    </row>
    <row r="750" ht="15" customHeight="1">
      <c r="A750" t="inlineStr">
        <is>
          <t>A 15394-2025</t>
        </is>
      </c>
      <c r="B750" s="1" t="n">
        <v>45747.43196759259</v>
      </c>
      <c r="C750" s="1" t="n">
        <v>45922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15388-2025</t>
        </is>
      </c>
      <c r="B751" s="1" t="n">
        <v>45747.42633101852</v>
      </c>
      <c r="C751" s="1" t="n">
        <v>45922</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15391-2025</t>
        </is>
      </c>
      <c r="B752" s="1" t="n">
        <v>45747.42958333333</v>
      </c>
      <c r="C752" s="1" t="n">
        <v>45922</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6474-2025</t>
        </is>
      </c>
      <c r="B753" s="1" t="n">
        <v>45699.60055555555</v>
      </c>
      <c r="C753" s="1" t="n">
        <v>45922</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32919-2022</t>
        </is>
      </c>
      <c r="B754" s="1" t="n">
        <v>44784.62724537037</v>
      </c>
      <c r="C754" s="1" t="n">
        <v>45922</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7075-2021</t>
        </is>
      </c>
      <c r="B755" s="1" t="n">
        <v>44237</v>
      </c>
      <c r="C755" s="1" t="n">
        <v>45922</v>
      </c>
      <c r="D755" t="inlineStr">
        <is>
          <t>KALMAR LÄN</t>
        </is>
      </c>
      <c r="E755" t="inlineStr">
        <is>
          <t>VIMMERBY</t>
        </is>
      </c>
      <c r="G755" t="n">
        <v>3.6</v>
      </c>
      <c r="H755" t="n">
        <v>0</v>
      </c>
      <c r="I755" t="n">
        <v>0</v>
      </c>
      <c r="J755" t="n">
        <v>0</v>
      </c>
      <c r="K755" t="n">
        <v>0</v>
      </c>
      <c r="L755" t="n">
        <v>0</v>
      </c>
      <c r="M755" t="n">
        <v>0</v>
      </c>
      <c r="N755" t="n">
        <v>0</v>
      </c>
      <c r="O755" t="n">
        <v>0</v>
      </c>
      <c r="P755" t="n">
        <v>0</v>
      </c>
      <c r="Q755" t="n">
        <v>0</v>
      </c>
      <c r="R755" s="2" t="inlineStr"/>
    </row>
    <row r="756" ht="15" customHeight="1">
      <c r="A756" t="inlineStr">
        <is>
          <t>A 36600-2025</t>
        </is>
      </c>
      <c r="B756" s="1" t="n">
        <v>45870.51958333333</v>
      </c>
      <c r="C756" s="1" t="n">
        <v>45922</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36601-2025</t>
        </is>
      </c>
      <c r="B757" s="1" t="n">
        <v>45870.52005787037</v>
      </c>
      <c r="C757" s="1" t="n">
        <v>45922</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55605-2024</t>
        </is>
      </c>
      <c r="B758" s="1" t="n">
        <v>45622</v>
      </c>
      <c r="C758" s="1" t="n">
        <v>45922</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44464-2024</t>
        </is>
      </c>
      <c r="B759" s="1" t="n">
        <v>45574.35809027778</v>
      </c>
      <c r="C759" s="1" t="n">
        <v>45922</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36049-2024</t>
        </is>
      </c>
      <c r="B760" s="1" t="n">
        <v>45533.61996527778</v>
      </c>
      <c r="C760" s="1" t="n">
        <v>45922</v>
      </c>
      <c r="D760" t="inlineStr">
        <is>
          <t>KALMAR LÄN</t>
        </is>
      </c>
      <c r="E760" t="inlineStr">
        <is>
          <t>VIMMERBY</t>
        </is>
      </c>
      <c r="F760" t="inlineStr">
        <is>
          <t>Kommuner</t>
        </is>
      </c>
      <c r="G760" t="n">
        <v>2.6</v>
      </c>
      <c r="H760" t="n">
        <v>0</v>
      </c>
      <c r="I760" t="n">
        <v>0</v>
      </c>
      <c r="J760" t="n">
        <v>0</v>
      </c>
      <c r="K760" t="n">
        <v>0</v>
      </c>
      <c r="L760" t="n">
        <v>0</v>
      </c>
      <c r="M760" t="n">
        <v>0</v>
      </c>
      <c r="N760" t="n">
        <v>0</v>
      </c>
      <c r="O760" t="n">
        <v>0</v>
      </c>
      <c r="P760" t="n">
        <v>0</v>
      </c>
      <c r="Q760" t="n">
        <v>0</v>
      </c>
      <c r="R760" s="2" t="inlineStr"/>
    </row>
    <row r="761" ht="15" customHeight="1">
      <c r="A761" t="inlineStr">
        <is>
          <t>A 4297-2022</t>
        </is>
      </c>
      <c r="B761" s="1" t="n">
        <v>44588</v>
      </c>
      <c r="C761" s="1" t="n">
        <v>45922</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44742-2025</t>
        </is>
      </c>
      <c r="B762" s="1" t="n">
        <v>45917.67054398148</v>
      </c>
      <c r="C762" s="1" t="n">
        <v>45922</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37088-2025</t>
        </is>
      </c>
      <c r="B763" s="1" t="n">
        <v>45875.45716435185</v>
      </c>
      <c r="C763" s="1" t="n">
        <v>45922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37102-2025</t>
        </is>
      </c>
      <c r="B764" s="1" t="n">
        <v>45875.47454861111</v>
      </c>
      <c r="C764" s="1" t="n">
        <v>45922</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46399-2024</t>
        </is>
      </c>
      <c r="B765" s="1" t="n">
        <v>45582.41200231481</v>
      </c>
      <c r="C765" s="1" t="n">
        <v>45922</v>
      </c>
      <c r="D765" t="inlineStr">
        <is>
          <t>KALMAR LÄN</t>
        </is>
      </c>
      <c r="E765" t="inlineStr">
        <is>
          <t>VIMMERBY</t>
        </is>
      </c>
      <c r="G765" t="n">
        <v>4.6</v>
      </c>
      <c r="H765" t="n">
        <v>0</v>
      </c>
      <c r="I765" t="n">
        <v>0</v>
      </c>
      <c r="J765" t="n">
        <v>0</v>
      </c>
      <c r="K765" t="n">
        <v>0</v>
      </c>
      <c r="L765" t="n">
        <v>0</v>
      </c>
      <c r="M765" t="n">
        <v>0</v>
      </c>
      <c r="N765" t="n">
        <v>0</v>
      </c>
      <c r="O765" t="n">
        <v>0</v>
      </c>
      <c r="P765" t="n">
        <v>0</v>
      </c>
      <c r="Q765" t="n">
        <v>0</v>
      </c>
      <c r="R765" s="2" t="inlineStr"/>
    </row>
    <row r="766" ht="15" customHeight="1">
      <c r="A766" t="inlineStr">
        <is>
          <t>A 56659-2023</t>
        </is>
      </c>
      <c r="B766" s="1" t="n">
        <v>45243.84869212963</v>
      </c>
      <c r="C766" s="1" t="n">
        <v>45922</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13015-2022</t>
        </is>
      </c>
      <c r="B767" s="1" t="n">
        <v>44643</v>
      </c>
      <c r="C767" s="1" t="n">
        <v>45922</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37079-2025</t>
        </is>
      </c>
      <c r="B768" s="1" t="n">
        <v>45875.42716435185</v>
      </c>
      <c r="C768" s="1" t="n">
        <v>45922</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44329-2025</t>
        </is>
      </c>
      <c r="B769" s="1" t="n">
        <v>45916.41019675926</v>
      </c>
      <c r="C769" s="1" t="n">
        <v>45922</v>
      </c>
      <c r="D769" t="inlineStr">
        <is>
          <t>KALMAR LÄN</t>
        </is>
      </c>
      <c r="E769" t="inlineStr">
        <is>
          <t>VIMMERBY</t>
        </is>
      </c>
      <c r="G769" t="n">
        <v>4.3</v>
      </c>
      <c r="H769" t="n">
        <v>0</v>
      </c>
      <c r="I769" t="n">
        <v>0</v>
      </c>
      <c r="J769" t="n">
        <v>0</v>
      </c>
      <c r="K769" t="n">
        <v>0</v>
      </c>
      <c r="L769" t="n">
        <v>0</v>
      </c>
      <c r="M769" t="n">
        <v>0</v>
      </c>
      <c r="N769" t="n">
        <v>0</v>
      </c>
      <c r="O769" t="n">
        <v>0</v>
      </c>
      <c r="P769" t="n">
        <v>0</v>
      </c>
      <c r="Q769" t="n">
        <v>0</v>
      </c>
      <c r="R769" s="2" t="inlineStr"/>
    </row>
    <row r="770" ht="15" customHeight="1">
      <c r="A770" t="inlineStr">
        <is>
          <t>A 17968-2025</t>
        </is>
      </c>
      <c r="B770" s="1" t="n">
        <v>45761.35990740741</v>
      </c>
      <c r="C770" s="1" t="n">
        <v>45922</v>
      </c>
      <c r="D770" t="inlineStr">
        <is>
          <t>KALMAR LÄN</t>
        </is>
      </c>
      <c r="E770" t="inlineStr">
        <is>
          <t>VIMMERBY</t>
        </is>
      </c>
      <c r="G770" t="n">
        <v>3.3</v>
      </c>
      <c r="H770" t="n">
        <v>0</v>
      </c>
      <c r="I770" t="n">
        <v>0</v>
      </c>
      <c r="J770" t="n">
        <v>0</v>
      </c>
      <c r="K770" t="n">
        <v>0</v>
      </c>
      <c r="L770" t="n">
        <v>0</v>
      </c>
      <c r="M770" t="n">
        <v>0</v>
      </c>
      <c r="N770" t="n">
        <v>0</v>
      </c>
      <c r="O770" t="n">
        <v>0</v>
      </c>
      <c r="P770" t="n">
        <v>0</v>
      </c>
      <c r="Q770" t="n">
        <v>0</v>
      </c>
      <c r="R770" s="2" t="inlineStr"/>
    </row>
    <row r="771" ht="15" customHeight="1">
      <c r="A771" t="inlineStr">
        <is>
          <t>A 44517-2025</t>
        </is>
      </c>
      <c r="B771" s="1" t="n">
        <v>45916.7103587963</v>
      </c>
      <c r="C771" s="1" t="n">
        <v>45922</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44964.44356481481</v>
      </c>
      <c r="C772" s="1" t="n">
        <v>45922</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55436-2023</t>
        </is>
      </c>
      <c r="B773" s="1" t="n">
        <v>45238.4328587963</v>
      </c>
      <c r="C773" s="1" t="n">
        <v>45922</v>
      </c>
      <c r="D773" t="inlineStr">
        <is>
          <t>KALMAR LÄN</t>
        </is>
      </c>
      <c r="E773" t="inlineStr">
        <is>
          <t>VIMMERBY</t>
        </is>
      </c>
      <c r="G773" t="n">
        <v>5.6</v>
      </c>
      <c r="H773" t="n">
        <v>0</v>
      </c>
      <c r="I773" t="n">
        <v>0</v>
      </c>
      <c r="J773" t="n">
        <v>0</v>
      </c>
      <c r="K773" t="n">
        <v>0</v>
      </c>
      <c r="L773" t="n">
        <v>0</v>
      </c>
      <c r="M773" t="n">
        <v>0</v>
      </c>
      <c r="N773" t="n">
        <v>0</v>
      </c>
      <c r="O773" t="n">
        <v>0</v>
      </c>
      <c r="P773" t="n">
        <v>0</v>
      </c>
      <c r="Q773" t="n">
        <v>0</v>
      </c>
      <c r="R773" s="2" t="inlineStr"/>
    </row>
    <row r="774" ht="15" customHeight="1">
      <c r="A774" t="inlineStr">
        <is>
          <t>A 36934-2025</t>
        </is>
      </c>
      <c r="B774" s="1" t="n">
        <v>45874.57109953704</v>
      </c>
      <c r="C774" s="1" t="n">
        <v>45922</v>
      </c>
      <c r="D774" t="inlineStr">
        <is>
          <t>KALMAR LÄN</t>
        </is>
      </c>
      <c r="E774" t="inlineStr">
        <is>
          <t>VIMMERBY</t>
        </is>
      </c>
      <c r="G774" t="n">
        <v>4.2</v>
      </c>
      <c r="H774" t="n">
        <v>0</v>
      </c>
      <c r="I774" t="n">
        <v>0</v>
      </c>
      <c r="J774" t="n">
        <v>0</v>
      </c>
      <c r="K774" t="n">
        <v>0</v>
      </c>
      <c r="L774" t="n">
        <v>0</v>
      </c>
      <c r="M774" t="n">
        <v>0</v>
      </c>
      <c r="N774" t="n">
        <v>0</v>
      </c>
      <c r="O774" t="n">
        <v>0</v>
      </c>
      <c r="P774" t="n">
        <v>0</v>
      </c>
      <c r="Q774" t="n">
        <v>0</v>
      </c>
      <c r="R774" s="2" t="inlineStr"/>
    </row>
    <row r="775" ht="15" customHeight="1">
      <c r="A775" t="inlineStr">
        <is>
          <t>A 13532-2025</t>
        </is>
      </c>
      <c r="B775" s="1" t="n">
        <v>45736.50743055555</v>
      </c>
      <c r="C775" s="1" t="n">
        <v>45922</v>
      </c>
      <c r="D775" t="inlineStr">
        <is>
          <t>KALMAR LÄN</t>
        </is>
      </c>
      <c r="E775" t="inlineStr">
        <is>
          <t>VIMMERBY</t>
        </is>
      </c>
      <c r="G775" t="n">
        <v>3.6</v>
      </c>
      <c r="H775" t="n">
        <v>0</v>
      </c>
      <c r="I775" t="n">
        <v>0</v>
      </c>
      <c r="J775" t="n">
        <v>0</v>
      </c>
      <c r="K775" t="n">
        <v>0</v>
      </c>
      <c r="L775" t="n">
        <v>0</v>
      </c>
      <c r="M775" t="n">
        <v>0</v>
      </c>
      <c r="N775" t="n">
        <v>0</v>
      </c>
      <c r="O775" t="n">
        <v>0</v>
      </c>
      <c r="P775" t="n">
        <v>0</v>
      </c>
      <c r="Q775" t="n">
        <v>0</v>
      </c>
      <c r="R775" s="2" t="inlineStr"/>
    </row>
    <row r="776" ht="15" customHeight="1">
      <c r="A776" t="inlineStr">
        <is>
          <t>A 43038-2022</t>
        </is>
      </c>
      <c r="B776" s="1" t="n">
        <v>44833.60123842592</v>
      </c>
      <c r="C776" s="1" t="n">
        <v>45922</v>
      </c>
      <c r="D776" t="inlineStr">
        <is>
          <t>KALMAR LÄN</t>
        </is>
      </c>
      <c r="E776" t="inlineStr">
        <is>
          <t>VIMMERBY</t>
        </is>
      </c>
      <c r="G776" t="n">
        <v>4.2</v>
      </c>
      <c r="H776" t="n">
        <v>0</v>
      </c>
      <c r="I776" t="n">
        <v>0</v>
      </c>
      <c r="J776" t="n">
        <v>0</v>
      </c>
      <c r="K776" t="n">
        <v>0</v>
      </c>
      <c r="L776" t="n">
        <v>0</v>
      </c>
      <c r="M776" t="n">
        <v>0</v>
      </c>
      <c r="N776" t="n">
        <v>0</v>
      </c>
      <c r="O776" t="n">
        <v>0</v>
      </c>
      <c r="P776" t="n">
        <v>0</v>
      </c>
      <c r="Q776" t="n">
        <v>0</v>
      </c>
      <c r="R776" s="2" t="inlineStr"/>
    </row>
    <row r="777" ht="15" customHeight="1">
      <c r="A777" t="inlineStr">
        <is>
          <t>A 56582-2022</t>
        </is>
      </c>
      <c r="B777" s="1" t="n">
        <v>44893</v>
      </c>
      <c r="C777" s="1" t="n">
        <v>45922</v>
      </c>
      <c r="D777" t="inlineStr">
        <is>
          <t>KALMAR LÄN</t>
        </is>
      </c>
      <c r="E777" t="inlineStr">
        <is>
          <t>VIMMERBY</t>
        </is>
      </c>
      <c r="G777" t="n">
        <v>2.2</v>
      </c>
      <c r="H777" t="n">
        <v>0</v>
      </c>
      <c r="I777" t="n">
        <v>0</v>
      </c>
      <c r="J777" t="n">
        <v>0</v>
      </c>
      <c r="K777" t="n">
        <v>0</v>
      </c>
      <c r="L777" t="n">
        <v>0</v>
      </c>
      <c r="M777" t="n">
        <v>0</v>
      </c>
      <c r="N777" t="n">
        <v>0</v>
      </c>
      <c r="O777" t="n">
        <v>0</v>
      </c>
      <c r="P777" t="n">
        <v>0</v>
      </c>
      <c r="Q777" t="n">
        <v>0</v>
      </c>
      <c r="R777" s="2" t="inlineStr"/>
    </row>
    <row r="778" ht="15" customHeight="1">
      <c r="A778" t="inlineStr">
        <is>
          <t>A 20-2025</t>
        </is>
      </c>
      <c r="B778" s="1" t="n">
        <v>45658.80232638889</v>
      </c>
      <c r="C778" s="1" t="n">
        <v>45922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23-2025</t>
        </is>
      </c>
      <c r="B779" s="1" t="n">
        <v>45658.80827546296</v>
      </c>
      <c r="C779" s="1" t="n">
        <v>45922</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12596-2021</t>
        </is>
      </c>
      <c r="B780" s="1" t="n">
        <v>44270.39765046296</v>
      </c>
      <c r="C780" s="1" t="n">
        <v>45922</v>
      </c>
      <c r="D780" t="inlineStr">
        <is>
          <t>KALMAR LÄN</t>
        </is>
      </c>
      <c r="E780" t="inlineStr">
        <is>
          <t>VIMMERBY</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43962-2024</t>
        </is>
      </c>
      <c r="B781" s="1" t="n">
        <v>45572.48293981481</v>
      </c>
      <c r="C781" s="1" t="n">
        <v>45922</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35713-2023</t>
        </is>
      </c>
      <c r="B782" s="1" t="n">
        <v>45147</v>
      </c>
      <c r="C782" s="1" t="n">
        <v>45922</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45114-2025</t>
        </is>
      </c>
      <c r="B783" s="1" t="n">
        <v>45919.42387731482</v>
      </c>
      <c r="C783" s="1" t="n">
        <v>45922</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57799-2022</t>
        </is>
      </c>
      <c r="B784" s="1" t="n">
        <v>44897</v>
      </c>
      <c r="C784" s="1" t="n">
        <v>45922</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30921-2024</t>
        </is>
      </c>
      <c r="B785" s="1" t="n">
        <v>45498</v>
      </c>
      <c r="C785" s="1" t="n">
        <v>45922</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40147-2023</t>
        </is>
      </c>
      <c r="B786" s="1" t="n">
        <v>45169</v>
      </c>
      <c r="C786" s="1" t="n">
        <v>45922</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50995-2022</t>
        </is>
      </c>
      <c r="B787" s="1" t="n">
        <v>44867</v>
      </c>
      <c r="C787" s="1" t="n">
        <v>45922</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50764-2020</t>
        </is>
      </c>
      <c r="B788" s="1" t="n">
        <v>44111</v>
      </c>
      <c r="C788" s="1" t="n">
        <v>45922</v>
      </c>
      <c r="D788" t="inlineStr">
        <is>
          <t>KALMAR LÄN</t>
        </is>
      </c>
      <c r="E788" t="inlineStr">
        <is>
          <t>VIMMERBY</t>
        </is>
      </c>
      <c r="G788" t="n">
        <v>2.3</v>
      </c>
      <c r="H788" t="n">
        <v>0</v>
      </c>
      <c r="I788" t="n">
        <v>0</v>
      </c>
      <c r="J788" t="n">
        <v>0</v>
      </c>
      <c r="K788" t="n">
        <v>0</v>
      </c>
      <c r="L788" t="n">
        <v>0</v>
      </c>
      <c r="M788" t="n">
        <v>0</v>
      </c>
      <c r="N788" t="n">
        <v>0</v>
      </c>
      <c r="O788" t="n">
        <v>0</v>
      </c>
      <c r="P788" t="n">
        <v>0</v>
      </c>
      <c r="Q788" t="n">
        <v>0</v>
      </c>
      <c r="R788" s="2" t="inlineStr"/>
    </row>
    <row r="789" ht="15" customHeight="1">
      <c r="A789" t="inlineStr">
        <is>
          <t>A 14137-2023</t>
        </is>
      </c>
      <c r="B789" s="1" t="n">
        <v>45009.4671875</v>
      </c>
      <c r="C789" s="1" t="n">
        <v>45922</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27993-2022</t>
        </is>
      </c>
      <c r="B790" s="1" t="n">
        <v>44745.84396990741</v>
      </c>
      <c r="C790" s="1" t="n">
        <v>45922</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11152-2023</t>
        </is>
      </c>
      <c r="B791" s="1" t="n">
        <v>44992</v>
      </c>
      <c r="C791" s="1" t="n">
        <v>45922</v>
      </c>
      <c r="D791" t="inlineStr">
        <is>
          <t>KALMAR LÄN</t>
        </is>
      </c>
      <c r="E791" t="inlineStr">
        <is>
          <t>VIMMERBY</t>
        </is>
      </c>
      <c r="G791" t="n">
        <v>10.6</v>
      </c>
      <c r="H791" t="n">
        <v>0</v>
      </c>
      <c r="I791" t="n">
        <v>0</v>
      </c>
      <c r="J791" t="n">
        <v>0</v>
      </c>
      <c r="K791" t="n">
        <v>0</v>
      </c>
      <c r="L791" t="n">
        <v>0</v>
      </c>
      <c r="M791" t="n">
        <v>0</v>
      </c>
      <c r="N791" t="n">
        <v>0</v>
      </c>
      <c r="O791" t="n">
        <v>0</v>
      </c>
      <c r="P791" t="n">
        <v>0</v>
      </c>
      <c r="Q791" t="n">
        <v>0</v>
      </c>
      <c r="R791" s="2" t="inlineStr"/>
    </row>
    <row r="792" ht="15" customHeight="1">
      <c r="A792" t="inlineStr">
        <is>
          <t>A 57555-2024</t>
        </is>
      </c>
      <c r="B792" s="1" t="n">
        <v>45630.45069444444</v>
      </c>
      <c r="C792" s="1" t="n">
        <v>45922</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36014-2024</t>
        </is>
      </c>
      <c r="B793" s="1" t="n">
        <v>45533.56108796296</v>
      </c>
      <c r="C793" s="1" t="n">
        <v>45922</v>
      </c>
      <c r="D793" t="inlineStr">
        <is>
          <t>KALMAR LÄN</t>
        </is>
      </c>
      <c r="E793" t="inlineStr">
        <is>
          <t>VIMMERBY</t>
        </is>
      </c>
      <c r="G793" t="n">
        <v>2.3</v>
      </c>
      <c r="H793" t="n">
        <v>0</v>
      </c>
      <c r="I793" t="n">
        <v>0</v>
      </c>
      <c r="J793" t="n">
        <v>0</v>
      </c>
      <c r="K793" t="n">
        <v>0</v>
      </c>
      <c r="L793" t="n">
        <v>0</v>
      </c>
      <c r="M793" t="n">
        <v>0</v>
      </c>
      <c r="N793" t="n">
        <v>0</v>
      </c>
      <c r="O793" t="n">
        <v>0</v>
      </c>
      <c r="P793" t="n">
        <v>0</v>
      </c>
      <c r="Q793" t="n">
        <v>0</v>
      </c>
      <c r="R793" s="2" t="inlineStr"/>
    </row>
    <row r="794" ht="15" customHeight="1">
      <c r="A794" t="inlineStr">
        <is>
          <t>A 36030-2024</t>
        </is>
      </c>
      <c r="B794" s="1" t="n">
        <v>45533.58302083334</v>
      </c>
      <c r="C794" s="1" t="n">
        <v>45922</v>
      </c>
      <c r="D794" t="inlineStr">
        <is>
          <t>KALMAR LÄN</t>
        </is>
      </c>
      <c r="E794" t="inlineStr">
        <is>
          <t>VIMMERBY</t>
        </is>
      </c>
      <c r="F794" t="inlineStr">
        <is>
          <t>Kommuner</t>
        </is>
      </c>
      <c r="G794" t="n">
        <v>4</v>
      </c>
      <c r="H794" t="n">
        <v>0</v>
      </c>
      <c r="I794" t="n">
        <v>0</v>
      </c>
      <c r="J794" t="n">
        <v>0</v>
      </c>
      <c r="K794" t="n">
        <v>0</v>
      </c>
      <c r="L794" t="n">
        <v>0</v>
      </c>
      <c r="M794" t="n">
        <v>0</v>
      </c>
      <c r="N794" t="n">
        <v>0</v>
      </c>
      <c r="O794" t="n">
        <v>0</v>
      </c>
      <c r="P794" t="n">
        <v>0</v>
      </c>
      <c r="Q794" t="n">
        <v>0</v>
      </c>
      <c r="R794" s="2" t="inlineStr"/>
    </row>
    <row r="795" ht="15" customHeight="1">
      <c r="A795" t="inlineStr">
        <is>
          <t>A 12499-2023</t>
        </is>
      </c>
      <c r="B795" s="1" t="n">
        <v>44999.86172453704</v>
      </c>
      <c r="C795" s="1" t="n">
        <v>45922</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12500-2023</t>
        </is>
      </c>
      <c r="B796" s="1" t="n">
        <v>44999.8625</v>
      </c>
      <c r="C796" s="1" t="n">
        <v>45922</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32865-2023</t>
        </is>
      </c>
      <c r="B797" s="1" t="n">
        <v>45124</v>
      </c>
      <c r="C797" s="1" t="n">
        <v>45922</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35846-2023</t>
        </is>
      </c>
      <c r="B798" s="1" t="n">
        <v>45148</v>
      </c>
      <c r="C798" s="1" t="n">
        <v>45922</v>
      </c>
      <c r="D798" t="inlineStr">
        <is>
          <t>KALMAR LÄN</t>
        </is>
      </c>
      <c r="E798" t="inlineStr">
        <is>
          <t>VIMMERBY</t>
        </is>
      </c>
      <c r="G798" t="n">
        <v>1</v>
      </c>
      <c r="H798" t="n">
        <v>0</v>
      </c>
      <c r="I798" t="n">
        <v>0</v>
      </c>
      <c r="J798" t="n">
        <v>0</v>
      </c>
      <c r="K798" t="n">
        <v>0</v>
      </c>
      <c r="L798" t="n">
        <v>0</v>
      </c>
      <c r="M798" t="n">
        <v>0</v>
      </c>
      <c r="N798" t="n">
        <v>0</v>
      </c>
      <c r="O798" t="n">
        <v>0</v>
      </c>
      <c r="P798" t="n">
        <v>0</v>
      </c>
      <c r="Q798" t="n">
        <v>0</v>
      </c>
      <c r="R798" s="2" t="inlineStr"/>
    </row>
    <row r="799" ht="15" customHeight="1">
      <c r="A799" t="inlineStr">
        <is>
          <t>A 49039-2021</t>
        </is>
      </c>
      <c r="B799" s="1" t="n">
        <v>44453.56578703703</v>
      </c>
      <c r="C799" s="1" t="n">
        <v>45922</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42918-2021</t>
        </is>
      </c>
      <c r="B800" s="1" t="n">
        <v>44431</v>
      </c>
      <c r="C800" s="1" t="n">
        <v>45922</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46224-2024</t>
        </is>
      </c>
      <c r="B801" s="1" t="n">
        <v>45581.57016203704</v>
      </c>
      <c r="C801" s="1" t="n">
        <v>45922</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46238-2024</t>
        </is>
      </c>
      <c r="B802" s="1" t="n">
        <v>45581.58418981481</v>
      </c>
      <c r="C802" s="1" t="n">
        <v>45922</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22643-2023</t>
        </is>
      </c>
      <c r="B803" s="1" t="n">
        <v>45071</v>
      </c>
      <c r="C803" s="1" t="n">
        <v>45922</v>
      </c>
      <c r="D803" t="inlineStr">
        <is>
          <t>KALMAR LÄN</t>
        </is>
      </c>
      <c r="E803" t="inlineStr">
        <is>
          <t>VIMMERBY</t>
        </is>
      </c>
      <c r="G803" t="n">
        <v>3.9</v>
      </c>
      <c r="H803" t="n">
        <v>0</v>
      </c>
      <c r="I803" t="n">
        <v>0</v>
      </c>
      <c r="J803" t="n">
        <v>0</v>
      </c>
      <c r="K803" t="n">
        <v>0</v>
      </c>
      <c r="L803" t="n">
        <v>0</v>
      </c>
      <c r="M803" t="n">
        <v>0</v>
      </c>
      <c r="N803" t="n">
        <v>0</v>
      </c>
      <c r="O803" t="n">
        <v>0</v>
      </c>
      <c r="P803" t="n">
        <v>0</v>
      </c>
      <c r="Q803" t="n">
        <v>0</v>
      </c>
      <c r="R803" s="2" t="inlineStr"/>
    </row>
    <row r="804" ht="15" customHeight="1">
      <c r="A804" t="inlineStr">
        <is>
          <t>A 30633-2024</t>
        </is>
      </c>
      <c r="B804" s="1" t="n">
        <v>45495</v>
      </c>
      <c r="C804" s="1" t="n">
        <v>45922</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18669-2025</t>
        </is>
      </c>
      <c r="B805" s="1" t="n">
        <v>45763.59436342592</v>
      </c>
      <c r="C805" s="1" t="n">
        <v>45922</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38780-2021</t>
        </is>
      </c>
      <c r="B806" s="1" t="n">
        <v>44410</v>
      </c>
      <c r="C806" s="1" t="n">
        <v>45922</v>
      </c>
      <c r="D806" t="inlineStr">
        <is>
          <t>KALMAR LÄN</t>
        </is>
      </c>
      <c r="E806" t="inlineStr">
        <is>
          <t>VIMMERBY</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54838-2024</t>
        </is>
      </c>
      <c r="B807" s="1" t="n">
        <v>45618.56787037037</v>
      </c>
      <c r="C807" s="1" t="n">
        <v>45922</v>
      </c>
      <c r="D807" t="inlineStr">
        <is>
          <t>KALMAR LÄN</t>
        </is>
      </c>
      <c r="E807" t="inlineStr">
        <is>
          <t>VIMMERBY</t>
        </is>
      </c>
      <c r="G807" t="n">
        <v>3.3</v>
      </c>
      <c r="H807" t="n">
        <v>0</v>
      </c>
      <c r="I807" t="n">
        <v>0</v>
      </c>
      <c r="J807" t="n">
        <v>0</v>
      </c>
      <c r="K807" t="n">
        <v>0</v>
      </c>
      <c r="L807" t="n">
        <v>0</v>
      </c>
      <c r="M807" t="n">
        <v>0</v>
      </c>
      <c r="N807" t="n">
        <v>0</v>
      </c>
      <c r="O807" t="n">
        <v>0</v>
      </c>
      <c r="P807" t="n">
        <v>0</v>
      </c>
      <c r="Q807" t="n">
        <v>0</v>
      </c>
      <c r="R807" s="2" t="inlineStr"/>
    </row>
    <row r="808" ht="15" customHeight="1">
      <c r="A808" t="inlineStr">
        <is>
          <t>A 6405-2025</t>
        </is>
      </c>
      <c r="B808" s="1" t="n">
        <v>45699.45392361111</v>
      </c>
      <c r="C808" s="1" t="n">
        <v>45922</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54917-2020</t>
        </is>
      </c>
      <c r="B809" s="1" t="n">
        <v>44127</v>
      </c>
      <c r="C809" s="1" t="n">
        <v>45922</v>
      </c>
      <c r="D809" t="inlineStr">
        <is>
          <t>KALMAR LÄN</t>
        </is>
      </c>
      <c r="E809" t="inlineStr">
        <is>
          <t>VIMMERBY</t>
        </is>
      </c>
      <c r="G809" t="n">
        <v>9.5</v>
      </c>
      <c r="H809" t="n">
        <v>0</v>
      </c>
      <c r="I809" t="n">
        <v>0</v>
      </c>
      <c r="J809" t="n">
        <v>0</v>
      </c>
      <c r="K809" t="n">
        <v>0</v>
      </c>
      <c r="L809" t="n">
        <v>0</v>
      </c>
      <c r="M809" t="n">
        <v>0</v>
      </c>
      <c r="N809" t="n">
        <v>0</v>
      </c>
      <c r="O809" t="n">
        <v>0</v>
      </c>
      <c r="P809" t="n">
        <v>0</v>
      </c>
      <c r="Q809" t="n">
        <v>0</v>
      </c>
      <c r="R809" s="2" t="inlineStr"/>
    </row>
    <row r="810" ht="15" customHeight="1">
      <c r="A810" t="inlineStr">
        <is>
          <t>A 60437-2023</t>
        </is>
      </c>
      <c r="B810" s="1" t="n">
        <v>45259.51916666667</v>
      </c>
      <c r="C810" s="1" t="n">
        <v>45922</v>
      </c>
      <c r="D810" t="inlineStr">
        <is>
          <t>KALMAR LÄN</t>
        </is>
      </c>
      <c r="E810" t="inlineStr">
        <is>
          <t>VIMMERBY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60438-2023</t>
        </is>
      </c>
      <c r="B811" s="1" t="n">
        <v>45259.52020833334</v>
      </c>
      <c r="C811" s="1" t="n">
        <v>45922</v>
      </c>
      <c r="D811" t="inlineStr">
        <is>
          <t>KALMAR LÄN</t>
        </is>
      </c>
      <c r="E811" t="inlineStr">
        <is>
          <t>VIMMERBY</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29020-2024</t>
        </is>
      </c>
      <c r="B812" s="1" t="n">
        <v>45481.58048611111</v>
      </c>
      <c r="C812" s="1" t="n">
        <v>45922</v>
      </c>
      <c r="D812" t="inlineStr">
        <is>
          <t>KALMAR LÄN</t>
        </is>
      </c>
      <c r="E812" t="inlineStr">
        <is>
          <t>VIMMERBY</t>
        </is>
      </c>
      <c r="G812" t="n">
        <v>2.3</v>
      </c>
      <c r="H812" t="n">
        <v>0</v>
      </c>
      <c r="I812" t="n">
        <v>0</v>
      </c>
      <c r="J812" t="n">
        <v>0</v>
      </c>
      <c r="K812" t="n">
        <v>0</v>
      </c>
      <c r="L812" t="n">
        <v>0</v>
      </c>
      <c r="M812" t="n">
        <v>0</v>
      </c>
      <c r="N812" t="n">
        <v>0</v>
      </c>
      <c r="O812" t="n">
        <v>0</v>
      </c>
      <c r="P812" t="n">
        <v>0</v>
      </c>
      <c r="Q812" t="n">
        <v>0</v>
      </c>
      <c r="R812" s="2" t="inlineStr"/>
    </row>
    <row r="813" ht="15" customHeight="1">
      <c r="A813" t="inlineStr">
        <is>
          <t>A 30406-2023</t>
        </is>
      </c>
      <c r="B813" s="1" t="n">
        <v>45111.48787037037</v>
      </c>
      <c r="C813" s="1" t="n">
        <v>45922</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13817-2024</t>
        </is>
      </c>
      <c r="B814" s="1" t="n">
        <v>45391.41976851852</v>
      </c>
      <c r="C814" s="1" t="n">
        <v>45922</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42165-2024</t>
        </is>
      </c>
      <c r="B815" s="1" t="n">
        <v>45562.46342592593</v>
      </c>
      <c r="C815" s="1" t="n">
        <v>45922</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15976-2025</t>
        </is>
      </c>
      <c r="B816" s="1" t="n">
        <v>45749.56196759259</v>
      </c>
      <c r="C816" s="1" t="n">
        <v>45922</v>
      </c>
      <c r="D816" t="inlineStr">
        <is>
          <t>KALMAR LÄN</t>
        </is>
      </c>
      <c r="E816" t="inlineStr">
        <is>
          <t>VIMMERBY</t>
        </is>
      </c>
      <c r="F816" t="inlineStr">
        <is>
          <t>Kommuner</t>
        </is>
      </c>
      <c r="G816" t="n">
        <v>2.5</v>
      </c>
      <c r="H816" t="n">
        <v>0</v>
      </c>
      <c r="I816" t="n">
        <v>0</v>
      </c>
      <c r="J816" t="n">
        <v>0</v>
      </c>
      <c r="K816" t="n">
        <v>0</v>
      </c>
      <c r="L816" t="n">
        <v>0</v>
      </c>
      <c r="M816" t="n">
        <v>0</v>
      </c>
      <c r="N816" t="n">
        <v>0</v>
      </c>
      <c r="O816" t="n">
        <v>0</v>
      </c>
      <c r="P816" t="n">
        <v>0</v>
      </c>
      <c r="Q816" t="n">
        <v>0</v>
      </c>
      <c r="R816" s="2" t="inlineStr"/>
    </row>
    <row r="817" ht="15" customHeight="1">
      <c r="A817" t="inlineStr">
        <is>
          <t>A 25244-2023</t>
        </is>
      </c>
      <c r="B817" s="1" t="n">
        <v>45086</v>
      </c>
      <c r="C817" s="1" t="n">
        <v>45922</v>
      </c>
      <c r="D817" t="inlineStr">
        <is>
          <t>KALMAR LÄN</t>
        </is>
      </c>
      <c r="E817" t="inlineStr">
        <is>
          <t>VIMMERBY</t>
        </is>
      </c>
      <c r="G817" t="n">
        <v>4.7</v>
      </c>
      <c r="H817" t="n">
        <v>0</v>
      </c>
      <c r="I817" t="n">
        <v>0</v>
      </c>
      <c r="J817" t="n">
        <v>0</v>
      </c>
      <c r="K817" t="n">
        <v>0</v>
      </c>
      <c r="L817" t="n">
        <v>0</v>
      </c>
      <c r="M817" t="n">
        <v>0</v>
      </c>
      <c r="N817" t="n">
        <v>0</v>
      </c>
      <c r="O817" t="n">
        <v>0</v>
      </c>
      <c r="P817" t="n">
        <v>0</v>
      </c>
      <c r="Q817" t="n">
        <v>0</v>
      </c>
      <c r="R817" s="2" t="inlineStr"/>
    </row>
    <row r="818" ht="15" customHeight="1">
      <c r="A818" t="inlineStr">
        <is>
          <t>A 66022-2021</t>
        </is>
      </c>
      <c r="B818" s="1" t="n">
        <v>44517</v>
      </c>
      <c r="C818" s="1" t="n">
        <v>45922</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35895-2024</t>
        </is>
      </c>
      <c r="B819" s="1" t="n">
        <v>45533.38870370371</v>
      </c>
      <c r="C819" s="1" t="n">
        <v>45922</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45922</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17-2025</t>
        </is>
      </c>
      <c r="B821" s="1" t="n">
        <v>45658.78774305555</v>
      </c>
      <c r="C821" s="1" t="n">
        <v>45922</v>
      </c>
      <c r="D821" t="inlineStr">
        <is>
          <t>KALMAR LÄN</t>
        </is>
      </c>
      <c r="E821" t="inlineStr">
        <is>
          <t>VIMMERBY</t>
        </is>
      </c>
      <c r="G821" t="n">
        <v>4.4</v>
      </c>
      <c r="H821" t="n">
        <v>0</v>
      </c>
      <c r="I821" t="n">
        <v>0</v>
      </c>
      <c r="J821" t="n">
        <v>0</v>
      </c>
      <c r="K821" t="n">
        <v>0</v>
      </c>
      <c r="L821" t="n">
        <v>0</v>
      </c>
      <c r="M821" t="n">
        <v>0</v>
      </c>
      <c r="N821" t="n">
        <v>0</v>
      </c>
      <c r="O821" t="n">
        <v>0</v>
      </c>
      <c r="P821" t="n">
        <v>0</v>
      </c>
      <c r="Q821" t="n">
        <v>0</v>
      </c>
      <c r="R821" s="2" t="inlineStr"/>
    </row>
    <row r="822" ht="15" customHeight="1">
      <c r="A822" t="inlineStr">
        <is>
          <t>A 32655-2023</t>
        </is>
      </c>
      <c r="B822" s="1" t="n">
        <v>45121.61318287037</v>
      </c>
      <c r="C822" s="1" t="n">
        <v>45922</v>
      </c>
      <c r="D822" t="inlineStr">
        <is>
          <t>KALMAR LÄN</t>
        </is>
      </c>
      <c r="E822" t="inlineStr">
        <is>
          <t>VIMMERBY</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63541-2023</t>
        </is>
      </c>
      <c r="B823" s="1" t="n">
        <v>45275.32266203704</v>
      </c>
      <c r="C823" s="1" t="n">
        <v>45922</v>
      </c>
      <c r="D823" t="inlineStr">
        <is>
          <t>KALMAR LÄN</t>
        </is>
      </c>
      <c r="E823" t="inlineStr">
        <is>
          <t>VIMMERBY</t>
        </is>
      </c>
      <c r="G823" t="n">
        <v>1.1</v>
      </c>
      <c r="H823" t="n">
        <v>0</v>
      </c>
      <c r="I823" t="n">
        <v>0</v>
      </c>
      <c r="J823" t="n">
        <v>0</v>
      </c>
      <c r="K823" t="n">
        <v>0</v>
      </c>
      <c r="L823" t="n">
        <v>0</v>
      </c>
      <c r="M823" t="n">
        <v>0</v>
      </c>
      <c r="N823" t="n">
        <v>0</v>
      </c>
      <c r="O823" t="n">
        <v>0</v>
      </c>
      <c r="P823" t="n">
        <v>0</v>
      </c>
      <c r="Q823" t="n">
        <v>0</v>
      </c>
      <c r="R823" s="2" t="inlineStr"/>
    </row>
    <row r="824" ht="15" customHeight="1">
      <c r="A824" t="inlineStr">
        <is>
          <t>A 28034-2022</t>
        </is>
      </c>
      <c r="B824" s="1" t="n">
        <v>44746.38834490741</v>
      </c>
      <c r="C824" s="1" t="n">
        <v>45922</v>
      </c>
      <c r="D824" t="inlineStr">
        <is>
          <t>KALMAR LÄN</t>
        </is>
      </c>
      <c r="E824" t="inlineStr">
        <is>
          <t>VIMMERBY</t>
        </is>
      </c>
      <c r="G824" t="n">
        <v>2</v>
      </c>
      <c r="H824" t="n">
        <v>0</v>
      </c>
      <c r="I824" t="n">
        <v>0</v>
      </c>
      <c r="J824" t="n">
        <v>0</v>
      </c>
      <c r="K824" t="n">
        <v>0</v>
      </c>
      <c r="L824" t="n">
        <v>0</v>
      </c>
      <c r="M824" t="n">
        <v>0</v>
      </c>
      <c r="N824" t="n">
        <v>0</v>
      </c>
      <c r="O824" t="n">
        <v>0</v>
      </c>
      <c r="P824" t="n">
        <v>0</v>
      </c>
      <c r="Q824" t="n">
        <v>0</v>
      </c>
      <c r="R824" s="2" t="inlineStr"/>
    </row>
    <row r="825" ht="15" customHeight="1">
      <c r="A825" t="inlineStr">
        <is>
          <t>A 5938-2022</t>
        </is>
      </c>
      <c r="B825" s="1" t="n">
        <v>44598</v>
      </c>
      <c r="C825" s="1" t="n">
        <v>45922</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24283-2023</t>
        </is>
      </c>
      <c r="B826" s="1" t="n">
        <v>45079.87827546296</v>
      </c>
      <c r="C826" s="1" t="n">
        <v>45922</v>
      </c>
      <c r="D826" t="inlineStr">
        <is>
          <t>KALMAR LÄN</t>
        </is>
      </c>
      <c r="E826" t="inlineStr">
        <is>
          <t>VIMMERBY</t>
        </is>
      </c>
      <c r="G826" t="n">
        <v>2</v>
      </c>
      <c r="H826" t="n">
        <v>0</v>
      </c>
      <c r="I826" t="n">
        <v>0</v>
      </c>
      <c r="J826" t="n">
        <v>0</v>
      </c>
      <c r="K826" t="n">
        <v>0</v>
      </c>
      <c r="L826" t="n">
        <v>0</v>
      </c>
      <c r="M826" t="n">
        <v>0</v>
      </c>
      <c r="N826" t="n">
        <v>0</v>
      </c>
      <c r="O826" t="n">
        <v>0</v>
      </c>
      <c r="P826" t="n">
        <v>0</v>
      </c>
      <c r="Q826" t="n">
        <v>0</v>
      </c>
      <c r="R826" s="2" t="inlineStr"/>
    </row>
    <row r="827" ht="15" customHeight="1">
      <c r="A827" t="inlineStr">
        <is>
          <t>A 2462-2022</t>
        </is>
      </c>
      <c r="B827" s="1" t="n">
        <v>44579.62225694444</v>
      </c>
      <c r="C827" s="1" t="n">
        <v>45922</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60228-2021</t>
        </is>
      </c>
      <c r="B828" s="1" t="n">
        <v>44495</v>
      </c>
      <c r="C828" s="1" t="n">
        <v>45922</v>
      </c>
      <c r="D828" t="inlineStr">
        <is>
          <t>KALMAR LÄN</t>
        </is>
      </c>
      <c r="E828" t="inlineStr">
        <is>
          <t>VIMMERBY</t>
        </is>
      </c>
      <c r="G828" t="n">
        <v>4.1</v>
      </c>
      <c r="H828" t="n">
        <v>0</v>
      </c>
      <c r="I828" t="n">
        <v>0</v>
      </c>
      <c r="J828" t="n">
        <v>0</v>
      </c>
      <c r="K828" t="n">
        <v>0</v>
      </c>
      <c r="L828" t="n">
        <v>0</v>
      </c>
      <c r="M828" t="n">
        <v>0</v>
      </c>
      <c r="N828" t="n">
        <v>0</v>
      </c>
      <c r="O828" t="n">
        <v>0</v>
      </c>
      <c r="P828" t="n">
        <v>0</v>
      </c>
      <c r="Q828" t="n">
        <v>0</v>
      </c>
      <c r="R828" s="2" t="inlineStr"/>
    </row>
    <row r="829" ht="15" customHeight="1">
      <c r="A829" t="inlineStr">
        <is>
          <t>A 22399-2025</t>
        </is>
      </c>
      <c r="B829" s="1" t="n">
        <v>45786.52996527778</v>
      </c>
      <c r="C829" s="1" t="n">
        <v>45922</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25979-2023</t>
        </is>
      </c>
      <c r="B830" s="1" t="n">
        <v>45090.89653935185</v>
      </c>
      <c r="C830" s="1" t="n">
        <v>45922</v>
      </c>
      <c r="D830" t="inlineStr">
        <is>
          <t>KALMAR LÄN</t>
        </is>
      </c>
      <c r="E830" t="inlineStr">
        <is>
          <t>VIMMERBY</t>
        </is>
      </c>
      <c r="G830" t="n">
        <v>2</v>
      </c>
      <c r="H830" t="n">
        <v>0</v>
      </c>
      <c r="I830" t="n">
        <v>0</v>
      </c>
      <c r="J830" t="n">
        <v>0</v>
      </c>
      <c r="K830" t="n">
        <v>0</v>
      </c>
      <c r="L830" t="n">
        <v>0</v>
      </c>
      <c r="M830" t="n">
        <v>0</v>
      </c>
      <c r="N830" t="n">
        <v>0</v>
      </c>
      <c r="O830" t="n">
        <v>0</v>
      </c>
      <c r="P830" t="n">
        <v>0</v>
      </c>
      <c r="Q830" t="n">
        <v>0</v>
      </c>
      <c r="R830" s="2" t="inlineStr"/>
    </row>
    <row r="831" ht="15" customHeight="1">
      <c r="A831" t="inlineStr">
        <is>
          <t>A 25980-2023</t>
        </is>
      </c>
      <c r="B831" s="1" t="n">
        <v>45090.89880787037</v>
      </c>
      <c r="C831" s="1" t="n">
        <v>45922</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22397-2025</t>
        </is>
      </c>
      <c r="B832" s="1" t="n">
        <v>45786.52878472222</v>
      </c>
      <c r="C832" s="1" t="n">
        <v>45922</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12510-2022</t>
        </is>
      </c>
      <c r="B833" s="1" t="n">
        <v>44638.55256944444</v>
      </c>
      <c r="C833" s="1" t="n">
        <v>45922</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6358-2022</t>
        </is>
      </c>
      <c r="B834" s="1" t="n">
        <v>44600</v>
      </c>
      <c r="C834" s="1" t="n">
        <v>45922</v>
      </c>
      <c r="D834" t="inlineStr">
        <is>
          <t>KALMAR LÄN</t>
        </is>
      </c>
      <c r="E834" t="inlineStr">
        <is>
          <t>VIMMERBY</t>
        </is>
      </c>
      <c r="G834" t="n">
        <v>1.7</v>
      </c>
      <c r="H834" t="n">
        <v>0</v>
      </c>
      <c r="I834" t="n">
        <v>0</v>
      </c>
      <c r="J834" t="n">
        <v>0</v>
      </c>
      <c r="K834" t="n">
        <v>0</v>
      </c>
      <c r="L834" t="n">
        <v>0</v>
      </c>
      <c r="M834" t="n">
        <v>0</v>
      </c>
      <c r="N834" t="n">
        <v>0</v>
      </c>
      <c r="O834" t="n">
        <v>0</v>
      </c>
      <c r="P834" t="n">
        <v>0</v>
      </c>
      <c r="Q834" t="n">
        <v>0</v>
      </c>
      <c r="R834" s="2" t="inlineStr"/>
    </row>
    <row r="835" ht="15" customHeight="1">
      <c r="A835" t="inlineStr">
        <is>
          <t>A 25582-2024</t>
        </is>
      </c>
      <c r="B835" s="1" t="n">
        <v>45463</v>
      </c>
      <c r="C835" s="1" t="n">
        <v>45922</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48373-2021</t>
        </is>
      </c>
      <c r="B836" s="1" t="n">
        <v>44451</v>
      </c>
      <c r="C836" s="1" t="n">
        <v>45922</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57578-2024</t>
        </is>
      </c>
      <c r="B837" s="1" t="n">
        <v>45630.47564814815</v>
      </c>
      <c r="C837" s="1" t="n">
        <v>45922</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6307-2025</t>
        </is>
      </c>
      <c r="B838" s="1" t="n">
        <v>45698.69016203703</v>
      </c>
      <c r="C838" s="1" t="n">
        <v>45922</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11442-2025</t>
        </is>
      </c>
      <c r="B839" s="1" t="n">
        <v>45726.62721064815</v>
      </c>
      <c r="C839" s="1" t="n">
        <v>45922</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57256-2023</t>
        </is>
      </c>
      <c r="B840" s="1" t="n">
        <v>45245.5735300926</v>
      </c>
      <c r="C840" s="1" t="n">
        <v>45922</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17482-2024</t>
        </is>
      </c>
      <c r="B841" s="1" t="n">
        <v>45415.47848379629</v>
      </c>
      <c r="C841" s="1" t="n">
        <v>45922</v>
      </c>
      <c r="D841" t="inlineStr">
        <is>
          <t>KALMAR LÄN</t>
        </is>
      </c>
      <c r="E841" t="inlineStr">
        <is>
          <t>VIMMERBY</t>
        </is>
      </c>
      <c r="G841" t="n">
        <v>1.7</v>
      </c>
      <c r="H841" t="n">
        <v>0</v>
      </c>
      <c r="I841" t="n">
        <v>0</v>
      </c>
      <c r="J841" t="n">
        <v>0</v>
      </c>
      <c r="K841" t="n">
        <v>0</v>
      </c>
      <c r="L841" t="n">
        <v>0</v>
      </c>
      <c r="M841" t="n">
        <v>0</v>
      </c>
      <c r="N841" t="n">
        <v>0</v>
      </c>
      <c r="O841" t="n">
        <v>0</v>
      </c>
      <c r="P841" t="n">
        <v>0</v>
      </c>
      <c r="Q841" t="n">
        <v>0</v>
      </c>
      <c r="R841" s="2" t="inlineStr"/>
    </row>
    <row r="842" ht="15" customHeight="1">
      <c r="A842" t="inlineStr">
        <is>
          <t>A 55123-2024</t>
        </is>
      </c>
      <c r="B842" s="1" t="n">
        <v>45621.46103009259</v>
      </c>
      <c r="C842" s="1" t="n">
        <v>45922</v>
      </c>
      <c r="D842" t="inlineStr">
        <is>
          <t>KALMAR LÄN</t>
        </is>
      </c>
      <c r="E842" t="inlineStr">
        <is>
          <t>VIMMERBY</t>
        </is>
      </c>
      <c r="G842" t="n">
        <v>3.1</v>
      </c>
      <c r="H842" t="n">
        <v>0</v>
      </c>
      <c r="I842" t="n">
        <v>0</v>
      </c>
      <c r="J842" t="n">
        <v>0</v>
      </c>
      <c r="K842" t="n">
        <v>0</v>
      </c>
      <c r="L842" t="n">
        <v>0</v>
      </c>
      <c r="M842" t="n">
        <v>0</v>
      </c>
      <c r="N842" t="n">
        <v>0</v>
      </c>
      <c r="O842" t="n">
        <v>0</v>
      </c>
      <c r="P842" t="n">
        <v>0</v>
      </c>
      <c r="Q842" t="n">
        <v>0</v>
      </c>
      <c r="R842" s="2" t="inlineStr"/>
    </row>
    <row r="843" ht="15" customHeight="1">
      <c r="A843" t="inlineStr">
        <is>
          <t>A 23394-2025</t>
        </is>
      </c>
      <c r="B843" s="1" t="n">
        <v>45791.89865740741</v>
      </c>
      <c r="C843" s="1" t="n">
        <v>45922</v>
      </c>
      <c r="D843" t="inlineStr">
        <is>
          <t>KALMAR LÄN</t>
        </is>
      </c>
      <c r="E843" t="inlineStr">
        <is>
          <t>VIMMERBY</t>
        </is>
      </c>
      <c r="G843" t="n">
        <v>3.1</v>
      </c>
      <c r="H843" t="n">
        <v>0</v>
      </c>
      <c r="I843" t="n">
        <v>0</v>
      </c>
      <c r="J843" t="n">
        <v>0</v>
      </c>
      <c r="K843" t="n">
        <v>0</v>
      </c>
      <c r="L843" t="n">
        <v>0</v>
      </c>
      <c r="M843" t="n">
        <v>0</v>
      </c>
      <c r="N843" t="n">
        <v>0</v>
      </c>
      <c r="O843" t="n">
        <v>0</v>
      </c>
      <c r="P843" t="n">
        <v>0</v>
      </c>
      <c r="Q843" t="n">
        <v>0</v>
      </c>
      <c r="R843" s="2" t="inlineStr"/>
    </row>
    <row r="844" ht="15" customHeight="1">
      <c r="A844" t="inlineStr">
        <is>
          <t>A 23984-2025</t>
        </is>
      </c>
      <c r="B844" s="1" t="n">
        <v>45796</v>
      </c>
      <c r="C844" s="1" t="n">
        <v>45922</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35082-2024</t>
        </is>
      </c>
      <c r="B845" s="1" t="n">
        <v>45527.68784722222</v>
      </c>
      <c r="C845" s="1" t="n">
        <v>45922</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51278-2024</t>
        </is>
      </c>
      <c r="B846" s="1" t="n">
        <v>45603.74959490741</v>
      </c>
      <c r="C846" s="1" t="n">
        <v>45922</v>
      </c>
      <c r="D846" t="inlineStr">
        <is>
          <t>KALMAR LÄN</t>
        </is>
      </c>
      <c r="E846" t="inlineStr">
        <is>
          <t>VIMMERBY</t>
        </is>
      </c>
      <c r="G846" t="n">
        <v>3.4</v>
      </c>
      <c r="H846" t="n">
        <v>0</v>
      </c>
      <c r="I846" t="n">
        <v>0</v>
      </c>
      <c r="J846" t="n">
        <v>0</v>
      </c>
      <c r="K846" t="n">
        <v>0</v>
      </c>
      <c r="L846" t="n">
        <v>0</v>
      </c>
      <c r="M846" t="n">
        <v>0</v>
      </c>
      <c r="N846" t="n">
        <v>0</v>
      </c>
      <c r="O846" t="n">
        <v>0</v>
      </c>
      <c r="P846" t="n">
        <v>0</v>
      </c>
      <c r="Q846" t="n">
        <v>0</v>
      </c>
      <c r="R846" s="2" t="inlineStr"/>
    </row>
    <row r="847">
      <c r="A847" t="inlineStr">
        <is>
          <t>A 9456-2025</t>
        </is>
      </c>
      <c r="B847" s="1" t="n">
        <v>45715.44159722222</v>
      </c>
      <c r="C847" s="1" t="n">
        <v>45922</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2025-09-22T20:27:53Z</dcterms:created>
  <dcterms:modified xmlns:dcterms="http://purl.org/dc/terms/" xmlns:xsi="http://www.w3.org/2001/XMLSchema-instance" xsi:type="dcterms:W3CDTF">2025-09-22T20:27:54Z</dcterms:modified>
</cp:coreProperties>
</file>