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45998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45998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45998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45998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45998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45998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45998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45998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45998</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45998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45998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45998</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32645-2023</t>
        </is>
      </c>
      <c r="B15" s="1" t="n">
        <v>45121.60543981481</v>
      </c>
      <c r="C15" s="1" t="n">
        <v>45998</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45998</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45998</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45998</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45998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45998</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45998</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45998</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45998</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45998</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14024-2023</t>
        </is>
      </c>
      <c r="B25" s="1" t="n">
        <v>45008.60878472222</v>
      </c>
      <c r="C25" s="1" t="n">
        <v>45998</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22396-2025</t>
        </is>
      </c>
      <c r="B26" s="1" t="n">
        <v>45786.52827546297</v>
      </c>
      <c r="C26" s="1" t="n">
        <v>45998</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45998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45998</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45998</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2518-2023</t>
        </is>
      </c>
      <c r="B30" s="1" t="n">
        <v>44943</v>
      </c>
      <c r="C30" s="1" t="n">
        <v>45998</v>
      </c>
      <c r="D30" t="inlineStr">
        <is>
          <t>KALMAR LÄN</t>
        </is>
      </c>
      <c r="E30" t="inlineStr">
        <is>
          <t>VIMMERBY</t>
        </is>
      </c>
      <c r="G30" t="n">
        <v>6.1</v>
      </c>
      <c r="H30" t="n">
        <v>1</v>
      </c>
      <c r="I30" t="n">
        <v>1</v>
      </c>
      <c r="J30" t="n">
        <v>0</v>
      </c>
      <c r="K30" t="n">
        <v>1</v>
      </c>
      <c r="L30" t="n">
        <v>0</v>
      </c>
      <c r="M30" t="n">
        <v>0</v>
      </c>
      <c r="N30" t="n">
        <v>0</v>
      </c>
      <c r="O30" t="n">
        <v>1</v>
      </c>
      <c r="P30" t="n">
        <v>1</v>
      </c>
      <c r="Q30" t="n">
        <v>2</v>
      </c>
      <c r="R30" s="2" t="inlineStr">
        <is>
          <t>Knärot
Grönpyrola</t>
        </is>
      </c>
      <c r="S30">
        <f>HYPERLINK("https://klasma.github.io/Logging_0884/artfynd/A 2518-2023 artfynd.xlsx", "A 2518-2023")</f>
        <v/>
      </c>
      <c r="T30">
        <f>HYPERLINK("https://klasma.github.io/Logging_0884/kartor/A 2518-2023 karta.png", "A 2518-2023")</f>
        <v/>
      </c>
      <c r="U30">
        <f>HYPERLINK("https://klasma.github.io/Logging_0884/knärot/A 2518-2023 karta knärot.png", "A 2518-2023")</f>
        <v/>
      </c>
      <c r="V30">
        <f>HYPERLINK("https://klasma.github.io/Logging_0884/klagomål/A 2518-2023 FSC-klagomål.docx", "A 2518-2023")</f>
        <v/>
      </c>
      <c r="W30">
        <f>HYPERLINK("https://klasma.github.io/Logging_0884/klagomålsmail/A 2518-2023 FSC-klagomål mail.docx", "A 2518-2023")</f>
        <v/>
      </c>
      <c r="X30">
        <f>HYPERLINK("https://klasma.github.io/Logging_0884/tillsyn/A 2518-2023 tillsynsbegäran.docx", "A 2518-2023")</f>
        <v/>
      </c>
      <c r="Y30">
        <f>HYPERLINK("https://klasma.github.io/Logging_0884/tillsynsmail/A 2518-2023 tillsynsbegäran mail.docx", "A 2518-2023")</f>
        <v/>
      </c>
    </row>
    <row r="31" ht="15" customHeight="1">
      <c r="A31" t="inlineStr">
        <is>
          <t>A 17935-2025</t>
        </is>
      </c>
      <c r="B31" s="1" t="n">
        <v>45760.34877314815</v>
      </c>
      <c r="C31" s="1" t="n">
        <v>45998</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22825-2023</t>
        </is>
      </c>
      <c r="B32" s="1" t="n">
        <v>45072</v>
      </c>
      <c r="C32" s="1" t="n">
        <v>45998</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32396-2021</t>
        </is>
      </c>
      <c r="B33" s="1" t="n">
        <v>44371</v>
      </c>
      <c r="C33" s="1" t="n">
        <v>45998</v>
      </c>
      <c r="D33" t="inlineStr">
        <is>
          <t>KALMAR LÄN</t>
        </is>
      </c>
      <c r="E33" t="inlineStr">
        <is>
          <t>VIMMERBY</t>
        </is>
      </c>
      <c r="G33" t="n">
        <v>2.8</v>
      </c>
      <c r="H33" t="n">
        <v>1</v>
      </c>
      <c r="I33" t="n">
        <v>0</v>
      </c>
      <c r="J33" t="n">
        <v>0</v>
      </c>
      <c r="K33" t="n">
        <v>0</v>
      </c>
      <c r="L33" t="n">
        <v>0</v>
      </c>
      <c r="M33" t="n">
        <v>0</v>
      </c>
      <c r="N33" t="n">
        <v>0</v>
      </c>
      <c r="O33" t="n">
        <v>0</v>
      </c>
      <c r="P33" t="n">
        <v>0</v>
      </c>
      <c r="Q33" t="n">
        <v>1</v>
      </c>
      <c r="R33" s="2" t="inlineStr">
        <is>
          <t>Blåsippa</t>
        </is>
      </c>
      <c r="S33">
        <f>HYPERLINK("https://klasma.github.io/Logging_0884/artfynd/A 32396-2021 artfynd.xlsx", "A 32396-2021")</f>
        <v/>
      </c>
      <c r="T33">
        <f>HYPERLINK("https://klasma.github.io/Logging_0884/kartor/A 32396-2021 karta.png", "A 32396-2021")</f>
        <v/>
      </c>
      <c r="V33">
        <f>HYPERLINK("https://klasma.github.io/Logging_0884/klagomål/A 32396-2021 FSC-klagomål.docx", "A 32396-2021")</f>
        <v/>
      </c>
      <c r="W33">
        <f>HYPERLINK("https://klasma.github.io/Logging_0884/klagomålsmail/A 32396-2021 FSC-klagomål mail.docx", "A 32396-2021")</f>
        <v/>
      </c>
      <c r="X33">
        <f>HYPERLINK("https://klasma.github.io/Logging_0884/tillsyn/A 32396-2021 tillsynsbegäran.docx", "A 32396-2021")</f>
        <v/>
      </c>
      <c r="Y33">
        <f>HYPERLINK("https://klasma.github.io/Logging_0884/tillsynsmail/A 32396-2021 tillsynsbegäran mail.docx", "A 32396-2021")</f>
        <v/>
      </c>
    </row>
    <row r="34" ht="15" customHeight="1">
      <c r="A34" t="inlineStr">
        <is>
          <t>A 23602-2023</t>
        </is>
      </c>
      <c r="B34" s="1" t="n">
        <v>45077</v>
      </c>
      <c r="C34" s="1" t="n">
        <v>45998</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37930-2021</t>
        </is>
      </c>
      <c r="B35" s="1" t="n">
        <v>44403</v>
      </c>
      <c r="C35" s="1" t="n">
        <v>45998</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9067-2025</t>
        </is>
      </c>
      <c r="B36" s="1" t="n">
        <v>45713</v>
      </c>
      <c r="C36" s="1" t="n">
        <v>45998</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15122-2024</t>
        </is>
      </c>
      <c r="B37" s="1" t="n">
        <v>45399.71412037037</v>
      </c>
      <c r="C37" s="1" t="n">
        <v>45998</v>
      </c>
      <c r="D37" t="inlineStr">
        <is>
          <t>KALMAR LÄN</t>
        </is>
      </c>
      <c r="E37" t="inlineStr">
        <is>
          <t>VIMMERBY</t>
        </is>
      </c>
      <c r="G37" t="n">
        <v>1.7</v>
      </c>
      <c r="H37" t="n">
        <v>0</v>
      </c>
      <c r="I37" t="n">
        <v>0</v>
      </c>
      <c r="J37" t="n">
        <v>0</v>
      </c>
      <c r="K37" t="n">
        <v>1</v>
      </c>
      <c r="L37" t="n">
        <v>0</v>
      </c>
      <c r="M37" t="n">
        <v>0</v>
      </c>
      <c r="N37" t="n">
        <v>0</v>
      </c>
      <c r="O37" t="n">
        <v>1</v>
      </c>
      <c r="P37" t="n">
        <v>1</v>
      </c>
      <c r="Q37" t="n">
        <v>1</v>
      </c>
      <c r="R37" s="2" t="inlineStr">
        <is>
          <t>Sågfibbla</t>
        </is>
      </c>
      <c r="S37">
        <f>HYPERLINK("https://klasma.github.io/Logging_0884/artfynd/A 15122-2024 artfynd.xlsx", "A 15122-2024")</f>
        <v/>
      </c>
      <c r="T37">
        <f>HYPERLINK("https://klasma.github.io/Logging_0884/kartor/A 15122-2024 karta.png", "A 15122-2024")</f>
        <v/>
      </c>
      <c r="V37">
        <f>HYPERLINK("https://klasma.github.io/Logging_0884/klagomål/A 15122-2024 FSC-klagomål.docx", "A 15122-2024")</f>
        <v/>
      </c>
      <c r="W37">
        <f>HYPERLINK("https://klasma.github.io/Logging_0884/klagomålsmail/A 15122-2024 FSC-klagomål mail.docx", "A 15122-2024")</f>
        <v/>
      </c>
      <c r="X37">
        <f>HYPERLINK("https://klasma.github.io/Logging_0884/tillsyn/A 15122-2024 tillsynsbegäran.docx", "A 15122-2024")</f>
        <v/>
      </c>
      <c r="Y37">
        <f>HYPERLINK("https://klasma.github.io/Logging_0884/tillsynsmail/A 15122-2024 tillsynsbegäran mail.docx", "A 15122-2024")</f>
        <v/>
      </c>
    </row>
    <row r="38" ht="15" customHeight="1">
      <c r="A38" t="inlineStr">
        <is>
          <t>A 32985-2023</t>
        </is>
      </c>
      <c r="B38" s="1" t="n">
        <v>45125</v>
      </c>
      <c r="C38" s="1" t="n">
        <v>45998</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28852-2023</t>
        </is>
      </c>
      <c r="B39" s="1" t="n">
        <v>45104</v>
      </c>
      <c r="C39" s="1" t="n">
        <v>45998</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44515-2024</t>
        </is>
      </c>
      <c r="B40" s="1" t="n">
        <v>45574.42767361111</v>
      </c>
      <c r="C40" s="1" t="n">
        <v>45998</v>
      </c>
      <c r="D40" t="inlineStr">
        <is>
          <t>KALMAR LÄN</t>
        </is>
      </c>
      <c r="E40" t="inlineStr">
        <is>
          <t>VIMMERBY</t>
        </is>
      </c>
      <c r="G40" t="n">
        <v>1.4</v>
      </c>
      <c r="H40" t="n">
        <v>1</v>
      </c>
      <c r="I40" t="n">
        <v>0</v>
      </c>
      <c r="J40" t="n">
        <v>0</v>
      </c>
      <c r="K40" t="n">
        <v>1</v>
      </c>
      <c r="L40" t="n">
        <v>0</v>
      </c>
      <c r="M40" t="n">
        <v>0</v>
      </c>
      <c r="N40" t="n">
        <v>0</v>
      </c>
      <c r="O40" t="n">
        <v>1</v>
      </c>
      <c r="P40" t="n">
        <v>1</v>
      </c>
      <c r="Q40" t="n">
        <v>1</v>
      </c>
      <c r="R40" s="2" t="inlineStr">
        <is>
          <t>Knärot</t>
        </is>
      </c>
      <c r="S40">
        <f>HYPERLINK("https://klasma.github.io/Logging_0884/artfynd/A 44515-2024 artfynd.xlsx", "A 44515-2024")</f>
        <v/>
      </c>
      <c r="T40">
        <f>HYPERLINK("https://klasma.github.io/Logging_0884/kartor/A 44515-2024 karta.png", "A 44515-2024")</f>
        <v/>
      </c>
      <c r="U40">
        <f>HYPERLINK("https://klasma.github.io/Logging_0884/knärot/A 44515-2024 karta knärot.png", "A 44515-2024")</f>
        <v/>
      </c>
      <c r="V40">
        <f>HYPERLINK("https://klasma.github.io/Logging_0884/klagomål/A 44515-2024 FSC-klagomål.docx", "A 44515-2024")</f>
        <v/>
      </c>
      <c r="W40">
        <f>HYPERLINK("https://klasma.github.io/Logging_0884/klagomålsmail/A 44515-2024 FSC-klagomål mail.docx", "A 44515-2024")</f>
        <v/>
      </c>
      <c r="X40">
        <f>HYPERLINK("https://klasma.github.io/Logging_0884/tillsyn/A 44515-2024 tillsynsbegäran.docx", "A 44515-2024")</f>
        <v/>
      </c>
      <c r="Y40">
        <f>HYPERLINK("https://klasma.github.io/Logging_0884/tillsynsmail/A 44515-2024 tillsynsbegäran mail.docx", "A 44515-2024")</f>
        <v/>
      </c>
    </row>
    <row r="41" ht="15" customHeight="1">
      <c r="A41" t="inlineStr">
        <is>
          <t>A 52301-2023</t>
        </is>
      </c>
      <c r="B41" s="1" t="n">
        <v>45224</v>
      </c>
      <c r="C41" s="1" t="n">
        <v>45998</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45998</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6841-2021</t>
        </is>
      </c>
      <c r="B43" s="1" t="n">
        <v>44236</v>
      </c>
      <c r="C43" s="1" t="n">
        <v>45998</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45998</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57062-2025</t>
        </is>
      </c>
      <c r="B45" s="1" t="n">
        <v>45979.37598379629</v>
      </c>
      <c r="C45" s="1" t="n">
        <v>45998</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1201-2025</t>
        </is>
      </c>
      <c r="B46" s="1" t="n">
        <v>45667</v>
      </c>
      <c r="C46" s="1" t="n">
        <v>45998</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53404-2025</t>
        </is>
      </c>
      <c r="B47" s="1" t="n">
        <v>45959.57126157408</v>
      </c>
      <c r="C47" s="1" t="n">
        <v>45998</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45998</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29183-2025</t>
        </is>
      </c>
      <c r="B49" s="1" t="n">
        <v>45821</v>
      </c>
      <c r="C49" s="1" t="n">
        <v>45998</v>
      </c>
      <c r="D49" t="inlineStr">
        <is>
          <t>KALMAR LÄN</t>
        </is>
      </c>
      <c r="E49" t="inlineStr">
        <is>
          <t>VIMMERBY</t>
        </is>
      </c>
      <c r="G49" t="n">
        <v>2.7</v>
      </c>
      <c r="H49" t="n">
        <v>0</v>
      </c>
      <c r="I49" t="n">
        <v>1</v>
      </c>
      <c r="J49" t="n">
        <v>0</v>
      </c>
      <c r="K49" t="n">
        <v>0</v>
      </c>
      <c r="L49" t="n">
        <v>0</v>
      </c>
      <c r="M49" t="n">
        <v>0</v>
      </c>
      <c r="N49" t="n">
        <v>0</v>
      </c>
      <c r="O49" t="n">
        <v>0</v>
      </c>
      <c r="P49" t="n">
        <v>0</v>
      </c>
      <c r="Q49" t="n">
        <v>1</v>
      </c>
      <c r="R49" s="2" t="inlineStr">
        <is>
          <t>Sårläka</t>
        </is>
      </c>
      <c r="S49">
        <f>HYPERLINK("https://klasma.github.io/Logging_0884/artfynd/A 29183-2025 artfynd.xlsx", "A 29183-2025")</f>
        <v/>
      </c>
      <c r="T49">
        <f>HYPERLINK("https://klasma.github.io/Logging_0884/kartor/A 29183-2025 karta.png", "A 29183-2025")</f>
        <v/>
      </c>
      <c r="V49">
        <f>HYPERLINK("https://klasma.github.io/Logging_0884/klagomål/A 29183-2025 FSC-klagomål.docx", "A 29183-2025")</f>
        <v/>
      </c>
      <c r="W49">
        <f>HYPERLINK("https://klasma.github.io/Logging_0884/klagomålsmail/A 29183-2025 FSC-klagomål mail.docx", "A 29183-2025")</f>
        <v/>
      </c>
      <c r="X49">
        <f>HYPERLINK("https://klasma.github.io/Logging_0884/tillsyn/A 29183-2025 tillsynsbegäran.docx", "A 29183-2025")</f>
        <v/>
      </c>
      <c r="Y49">
        <f>HYPERLINK("https://klasma.github.io/Logging_0884/tillsynsmail/A 29183-2025 tillsynsbegäran mail.docx", "A 29183-2025")</f>
        <v/>
      </c>
    </row>
    <row r="50" ht="15" customHeight="1">
      <c r="A50" t="inlineStr">
        <is>
          <t>A 40083-2023</t>
        </is>
      </c>
      <c r="B50" s="1" t="n">
        <v>45168</v>
      </c>
      <c r="C50" s="1" t="n">
        <v>45998</v>
      </c>
      <c r="D50" t="inlineStr">
        <is>
          <t>KALMAR LÄN</t>
        </is>
      </c>
      <c r="E50" t="inlineStr">
        <is>
          <t>VIMMERBY</t>
        </is>
      </c>
      <c r="G50" t="n">
        <v>2.2</v>
      </c>
      <c r="H50" t="n">
        <v>1</v>
      </c>
      <c r="I50" t="n">
        <v>0</v>
      </c>
      <c r="J50" t="n">
        <v>0</v>
      </c>
      <c r="K50" t="n">
        <v>0</v>
      </c>
      <c r="L50" t="n">
        <v>0</v>
      </c>
      <c r="M50" t="n">
        <v>0</v>
      </c>
      <c r="N50" t="n">
        <v>0</v>
      </c>
      <c r="O50" t="n">
        <v>0</v>
      </c>
      <c r="P50" t="n">
        <v>0</v>
      </c>
      <c r="Q50" t="n">
        <v>1</v>
      </c>
      <c r="R50" s="2" t="inlineStr">
        <is>
          <t>Revlummer</t>
        </is>
      </c>
      <c r="S50">
        <f>HYPERLINK("https://klasma.github.io/Logging_0884/artfynd/A 40083-2023 artfynd.xlsx", "A 40083-2023")</f>
        <v/>
      </c>
      <c r="T50">
        <f>HYPERLINK("https://klasma.github.io/Logging_0884/kartor/A 40083-2023 karta.png", "A 40083-2023")</f>
        <v/>
      </c>
      <c r="V50">
        <f>HYPERLINK("https://klasma.github.io/Logging_0884/klagomål/A 40083-2023 FSC-klagomål.docx", "A 40083-2023")</f>
        <v/>
      </c>
      <c r="W50">
        <f>HYPERLINK("https://klasma.github.io/Logging_0884/klagomålsmail/A 40083-2023 FSC-klagomål mail.docx", "A 40083-2023")</f>
        <v/>
      </c>
      <c r="X50">
        <f>HYPERLINK("https://klasma.github.io/Logging_0884/tillsyn/A 40083-2023 tillsynsbegäran.docx", "A 40083-2023")</f>
        <v/>
      </c>
      <c r="Y50">
        <f>HYPERLINK("https://klasma.github.io/Logging_0884/tillsynsmail/A 40083-2023 tillsynsbegäran mail.docx", "A 40083-2023")</f>
        <v/>
      </c>
    </row>
    <row r="51" ht="15" customHeight="1">
      <c r="A51" t="inlineStr">
        <is>
          <t>A 40084-2023</t>
        </is>
      </c>
      <c r="B51" s="1" t="n">
        <v>45168</v>
      </c>
      <c r="C51" s="1" t="n">
        <v>45998</v>
      </c>
      <c r="D51" t="inlineStr">
        <is>
          <t>KALMAR LÄN</t>
        </is>
      </c>
      <c r="E51" t="inlineStr">
        <is>
          <t>VIMMERBY</t>
        </is>
      </c>
      <c r="G51" t="n">
        <v>1.3</v>
      </c>
      <c r="H51" t="n">
        <v>1</v>
      </c>
      <c r="I51" t="n">
        <v>0</v>
      </c>
      <c r="J51" t="n">
        <v>1</v>
      </c>
      <c r="K51" t="n">
        <v>0</v>
      </c>
      <c r="L51" t="n">
        <v>0</v>
      </c>
      <c r="M51" t="n">
        <v>0</v>
      </c>
      <c r="N51" t="n">
        <v>0</v>
      </c>
      <c r="O51" t="n">
        <v>1</v>
      </c>
      <c r="P51" t="n">
        <v>0</v>
      </c>
      <c r="Q51" t="n">
        <v>1</v>
      </c>
      <c r="R51" s="2" t="inlineStr">
        <is>
          <t>Entita</t>
        </is>
      </c>
      <c r="S51">
        <f>HYPERLINK("https://klasma.github.io/Logging_0884/artfynd/A 40084-2023 artfynd.xlsx", "A 40084-2023")</f>
        <v/>
      </c>
      <c r="T51">
        <f>HYPERLINK("https://klasma.github.io/Logging_0884/kartor/A 40084-2023 karta.png", "A 40084-2023")</f>
        <v/>
      </c>
      <c r="V51">
        <f>HYPERLINK("https://klasma.github.io/Logging_0884/klagomål/A 40084-2023 FSC-klagomål.docx", "A 40084-2023")</f>
        <v/>
      </c>
      <c r="W51">
        <f>HYPERLINK("https://klasma.github.io/Logging_0884/klagomålsmail/A 40084-2023 FSC-klagomål mail.docx", "A 40084-2023")</f>
        <v/>
      </c>
      <c r="X51">
        <f>HYPERLINK("https://klasma.github.io/Logging_0884/tillsyn/A 40084-2023 tillsynsbegäran.docx", "A 40084-2023")</f>
        <v/>
      </c>
      <c r="Y51">
        <f>HYPERLINK("https://klasma.github.io/Logging_0884/tillsynsmail/A 40084-2023 tillsynsbegäran mail.docx", "A 40084-2023")</f>
        <v/>
      </c>
      <c r="Z51">
        <f>HYPERLINK("https://klasma.github.io/Logging_0884/fåglar/A 40084-2023 prioriterade fågelarter.docx", "A 40084-2023")</f>
        <v/>
      </c>
    </row>
    <row r="52" ht="15" customHeight="1">
      <c r="A52" t="inlineStr">
        <is>
          <t>A 15092-2021</t>
        </is>
      </c>
      <c r="B52" s="1" t="n">
        <v>44281.79269675926</v>
      </c>
      <c r="C52" s="1" t="n">
        <v>45998</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45998</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45998</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45998</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45998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45998</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45998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45998</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45998</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45998</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45998</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45998</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45998</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45998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45998</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45998</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45998</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45998</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45998</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45998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45998</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45998</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45998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45998</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45998</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45998</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45998</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45998</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45998</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45998</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45998</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45998</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45998</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45998</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45998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45998</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45998</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45998</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45998</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45998</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45998</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45998</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45998</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27762-2021</t>
        </is>
      </c>
      <c r="B95" s="1" t="n">
        <v>44354</v>
      </c>
      <c r="C95" s="1" t="n">
        <v>45998</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45998</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45998</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45998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45998</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45998</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45998</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45998</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55297-2021</t>
        </is>
      </c>
      <c r="B103" s="1" t="n">
        <v>44475</v>
      </c>
      <c r="C103" s="1" t="n">
        <v>45998</v>
      </c>
      <c r="D103" t="inlineStr">
        <is>
          <t>KALMAR LÄN</t>
        </is>
      </c>
      <c r="E103" t="inlineStr">
        <is>
          <t>VIMMERBY</t>
        </is>
      </c>
      <c r="G103" t="n">
        <v>4.1</v>
      </c>
      <c r="H103" t="n">
        <v>0</v>
      </c>
      <c r="I103" t="n">
        <v>0</v>
      </c>
      <c r="J103" t="n">
        <v>0</v>
      </c>
      <c r="K103" t="n">
        <v>0</v>
      </c>
      <c r="L103" t="n">
        <v>0</v>
      </c>
      <c r="M103" t="n">
        <v>0</v>
      </c>
      <c r="N103" t="n">
        <v>0</v>
      </c>
      <c r="O103" t="n">
        <v>0</v>
      </c>
      <c r="P103" t="n">
        <v>0</v>
      </c>
      <c r="Q103" t="n">
        <v>0</v>
      </c>
      <c r="R103" s="2" t="inlineStr"/>
    </row>
    <row r="104" ht="15" customHeight="1">
      <c r="A104" t="inlineStr">
        <is>
          <t>A 25859-2022</t>
        </is>
      </c>
      <c r="B104" s="1" t="n">
        <v>44733</v>
      </c>
      <c r="C104" s="1" t="n">
        <v>45998</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25868-2022</t>
        </is>
      </c>
      <c r="B105" s="1" t="n">
        <v>44733</v>
      </c>
      <c r="C105" s="1" t="n">
        <v>45998</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45998</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35531-2021</t>
        </is>
      </c>
      <c r="B107" s="1" t="n">
        <v>44385</v>
      </c>
      <c r="C107" s="1" t="n">
        <v>45998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65887-2021</t>
        </is>
      </c>
      <c r="B108" s="1" t="n">
        <v>44517</v>
      </c>
      <c r="C108" s="1" t="n">
        <v>45998</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8415-2021</t>
        </is>
      </c>
      <c r="B109" s="1" t="n">
        <v>44245</v>
      </c>
      <c r="C109" s="1" t="n">
        <v>45998</v>
      </c>
      <c r="D109" t="inlineStr">
        <is>
          <t>KALMAR LÄN</t>
        </is>
      </c>
      <c r="E109" t="inlineStr">
        <is>
          <t>VIMMERBY</t>
        </is>
      </c>
      <c r="G109" t="n">
        <v>4.7</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45998</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56343-2021</t>
        </is>
      </c>
      <c r="B111" s="1" t="n">
        <v>44480</v>
      </c>
      <c r="C111" s="1" t="n">
        <v>45998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4042-2022</t>
        </is>
      </c>
      <c r="B112" s="1" t="n">
        <v>44588</v>
      </c>
      <c r="C112" s="1" t="n">
        <v>45998</v>
      </c>
      <c r="D112" t="inlineStr">
        <is>
          <t>KALMAR LÄN</t>
        </is>
      </c>
      <c r="E112" t="inlineStr">
        <is>
          <t>VIMMERBY</t>
        </is>
      </c>
      <c r="G112" t="n">
        <v>4.7</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45998</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45998</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38789-2021</t>
        </is>
      </c>
      <c r="B115" s="1" t="n">
        <v>44410.71038194445</v>
      </c>
      <c r="C115" s="1" t="n">
        <v>45998</v>
      </c>
      <c r="D115" t="inlineStr">
        <is>
          <t>KALMAR LÄN</t>
        </is>
      </c>
      <c r="E115" t="inlineStr">
        <is>
          <t>VIMMERBY</t>
        </is>
      </c>
      <c r="G115" t="n">
        <v>3.7</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45998</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45998</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45998</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165-2022</t>
        </is>
      </c>
      <c r="B119" s="1" t="n">
        <v>44564</v>
      </c>
      <c r="C119" s="1" t="n">
        <v>45998</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12661-2021</t>
        </is>
      </c>
      <c r="B120" s="1" t="n">
        <v>44270</v>
      </c>
      <c r="C120" s="1" t="n">
        <v>45998</v>
      </c>
      <c r="D120" t="inlineStr">
        <is>
          <t>KALMAR LÄN</t>
        </is>
      </c>
      <c r="E120" t="inlineStr">
        <is>
          <t>VIMMERBY</t>
        </is>
      </c>
      <c r="G120" t="n">
        <v>1.8</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45998</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24999-2021</t>
        </is>
      </c>
      <c r="B122" s="1" t="n">
        <v>44341</v>
      </c>
      <c r="C122" s="1" t="n">
        <v>45998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7917-2022</t>
        </is>
      </c>
      <c r="B123" s="1" t="n">
        <v>44608</v>
      </c>
      <c r="C123" s="1" t="n">
        <v>45998</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34040-2021</t>
        </is>
      </c>
      <c r="B124" s="1" t="n">
        <v>44379</v>
      </c>
      <c r="C124" s="1" t="n">
        <v>45998</v>
      </c>
      <c r="D124" t="inlineStr">
        <is>
          <t>KALMAR LÄN</t>
        </is>
      </c>
      <c r="E124" t="inlineStr">
        <is>
          <t>VIMMERBY</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15200-2021</t>
        </is>
      </c>
      <c r="B125" s="1" t="n">
        <v>44284.44574074074</v>
      </c>
      <c r="C125" s="1" t="n">
        <v>45998</v>
      </c>
      <c r="D125" t="inlineStr">
        <is>
          <t>KALMAR LÄN</t>
        </is>
      </c>
      <c r="E125" t="inlineStr">
        <is>
          <t>VIMMERBY</t>
        </is>
      </c>
      <c r="G125" t="n">
        <v>1.2</v>
      </c>
      <c r="H125" t="n">
        <v>0</v>
      </c>
      <c r="I125" t="n">
        <v>0</v>
      </c>
      <c r="J125" t="n">
        <v>0</v>
      </c>
      <c r="K125" t="n">
        <v>0</v>
      </c>
      <c r="L125" t="n">
        <v>0</v>
      </c>
      <c r="M125" t="n">
        <v>0</v>
      </c>
      <c r="N125" t="n">
        <v>0</v>
      </c>
      <c r="O125" t="n">
        <v>0</v>
      </c>
      <c r="P125" t="n">
        <v>0</v>
      </c>
      <c r="Q125" t="n">
        <v>0</v>
      </c>
      <c r="R125" s="2" t="inlineStr"/>
    </row>
    <row r="126" ht="15" customHeight="1">
      <c r="A126" t="inlineStr">
        <is>
          <t>A 33690-2022</t>
        </is>
      </c>
      <c r="B126" s="1" t="n">
        <v>44789</v>
      </c>
      <c r="C126" s="1" t="n">
        <v>45998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45998</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12107-2022</t>
        </is>
      </c>
      <c r="B128" s="1" t="n">
        <v>44636</v>
      </c>
      <c r="C128" s="1" t="n">
        <v>45998</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16290-2022</t>
        </is>
      </c>
      <c r="B129" s="1" t="n">
        <v>44670</v>
      </c>
      <c r="C129" s="1" t="n">
        <v>45998</v>
      </c>
      <c r="D129" t="inlineStr">
        <is>
          <t>KALMAR LÄN</t>
        </is>
      </c>
      <c r="E129" t="inlineStr">
        <is>
          <t>VIMMERBY</t>
        </is>
      </c>
      <c r="G129" t="n">
        <v>1.2</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45998</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45998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45998</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45998</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45998</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16705-2021</t>
        </is>
      </c>
      <c r="B135" s="1" t="n">
        <v>44294</v>
      </c>
      <c r="C135" s="1" t="n">
        <v>45998</v>
      </c>
      <c r="D135" t="inlineStr">
        <is>
          <t>KALMAR LÄN</t>
        </is>
      </c>
      <c r="E135" t="inlineStr">
        <is>
          <t>VIMMERBY</t>
        </is>
      </c>
      <c r="G135" t="n">
        <v>2.6</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45998</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35198-2021</t>
        </is>
      </c>
      <c r="B137" s="1" t="n">
        <v>44377</v>
      </c>
      <c r="C137" s="1" t="n">
        <v>45998</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35001-2021</t>
        </is>
      </c>
      <c r="B138" s="1" t="n">
        <v>44383</v>
      </c>
      <c r="C138" s="1" t="n">
        <v>45998</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55674-2021</t>
        </is>
      </c>
      <c r="B139" s="1" t="n">
        <v>44476</v>
      </c>
      <c r="C139" s="1" t="n">
        <v>45998</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34036-2021</t>
        </is>
      </c>
      <c r="B140" s="1" t="n">
        <v>44379</v>
      </c>
      <c r="C140" s="1" t="n">
        <v>45998</v>
      </c>
      <c r="D140" t="inlineStr">
        <is>
          <t>KALMAR LÄN</t>
        </is>
      </c>
      <c r="E140" t="inlineStr">
        <is>
          <t>VIMMERBY</t>
        </is>
      </c>
      <c r="F140" t="inlineStr">
        <is>
          <t>Sveaskog</t>
        </is>
      </c>
      <c r="G140" t="n">
        <v>7</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45998</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45998</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45998</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30682-2021</t>
        </is>
      </c>
      <c r="B144" s="1" t="n">
        <v>44365</v>
      </c>
      <c r="C144" s="1" t="n">
        <v>45998</v>
      </c>
      <c r="D144" t="inlineStr">
        <is>
          <t>KALMAR LÄN</t>
        </is>
      </c>
      <c r="E144" t="inlineStr">
        <is>
          <t>VIMMERBY</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45998</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67952-2021</t>
        </is>
      </c>
      <c r="B146" s="1" t="n">
        <v>44525.63913194444</v>
      </c>
      <c r="C146" s="1" t="n">
        <v>45998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14521-2021</t>
        </is>
      </c>
      <c r="B147" s="1" t="n">
        <v>44279.64934027778</v>
      </c>
      <c r="C147" s="1" t="n">
        <v>45998</v>
      </c>
      <c r="D147" t="inlineStr">
        <is>
          <t>KALMAR LÄN</t>
        </is>
      </c>
      <c r="E147" t="inlineStr">
        <is>
          <t>VIMMERBY</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15533-2022</t>
        </is>
      </c>
      <c r="B148" s="1" t="n">
        <v>44662</v>
      </c>
      <c r="C148" s="1" t="n">
        <v>45998</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45998</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48377-2021</t>
        </is>
      </c>
      <c r="B150" s="1" t="n">
        <v>44451.8375</v>
      </c>
      <c r="C150" s="1" t="n">
        <v>45998</v>
      </c>
      <c r="D150" t="inlineStr">
        <is>
          <t>KALMAR LÄN</t>
        </is>
      </c>
      <c r="E150" t="inlineStr">
        <is>
          <t>VIMMERBY</t>
        </is>
      </c>
      <c r="G150" t="n">
        <v>0.4</v>
      </c>
      <c r="H150" t="n">
        <v>0</v>
      </c>
      <c r="I150" t="n">
        <v>0</v>
      </c>
      <c r="J150" t="n">
        <v>0</v>
      </c>
      <c r="K150" t="n">
        <v>0</v>
      </c>
      <c r="L150" t="n">
        <v>0</v>
      </c>
      <c r="M150" t="n">
        <v>0</v>
      </c>
      <c r="N150" t="n">
        <v>0</v>
      </c>
      <c r="O150" t="n">
        <v>0</v>
      </c>
      <c r="P150" t="n">
        <v>0</v>
      </c>
      <c r="Q150" t="n">
        <v>0</v>
      </c>
      <c r="R150" s="2" t="inlineStr"/>
    </row>
    <row r="151" ht="15" customHeight="1">
      <c r="A151" t="inlineStr">
        <is>
          <t>A 40472-2022</t>
        </is>
      </c>
      <c r="B151" s="1" t="n">
        <v>44823</v>
      </c>
      <c r="C151" s="1" t="n">
        <v>45998</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13492-2021</t>
        </is>
      </c>
      <c r="B152" s="1" t="n">
        <v>44273</v>
      </c>
      <c r="C152" s="1" t="n">
        <v>45998</v>
      </c>
      <c r="D152" t="inlineStr">
        <is>
          <t>KALMAR LÄN</t>
        </is>
      </c>
      <c r="E152" t="inlineStr">
        <is>
          <t>VIMMERBY</t>
        </is>
      </c>
      <c r="G152" t="n">
        <v>3.1</v>
      </c>
      <c r="H152" t="n">
        <v>0</v>
      </c>
      <c r="I152" t="n">
        <v>0</v>
      </c>
      <c r="J152" t="n">
        <v>0</v>
      </c>
      <c r="K152" t="n">
        <v>0</v>
      </c>
      <c r="L152" t="n">
        <v>0</v>
      </c>
      <c r="M152" t="n">
        <v>0</v>
      </c>
      <c r="N152" t="n">
        <v>0</v>
      </c>
      <c r="O152" t="n">
        <v>0</v>
      </c>
      <c r="P152" t="n">
        <v>0</v>
      </c>
      <c r="Q152" t="n">
        <v>0</v>
      </c>
      <c r="R152" s="2" t="inlineStr"/>
    </row>
    <row r="153" ht="15" customHeight="1">
      <c r="A153" t="inlineStr">
        <is>
          <t>A 17869-2021</t>
        </is>
      </c>
      <c r="B153" s="1" t="n">
        <v>44301.36048611111</v>
      </c>
      <c r="C153" s="1" t="n">
        <v>45998</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35316-2021</t>
        </is>
      </c>
      <c r="B154" s="1" t="n">
        <v>44384</v>
      </c>
      <c r="C154" s="1" t="n">
        <v>45998</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33831-2022</t>
        </is>
      </c>
      <c r="B155" s="1" t="n">
        <v>44790.48503472222</v>
      </c>
      <c r="C155" s="1" t="n">
        <v>45998</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47708-2022</t>
        </is>
      </c>
      <c r="B156" s="1" t="n">
        <v>44854.59157407407</v>
      </c>
      <c r="C156" s="1" t="n">
        <v>45998</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25049-2022</t>
        </is>
      </c>
      <c r="B157" s="1" t="n">
        <v>44729.28226851852</v>
      </c>
      <c r="C157" s="1" t="n">
        <v>45998</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12848-2021</t>
        </is>
      </c>
      <c r="B158" s="1" t="n">
        <v>44271.37226851852</v>
      </c>
      <c r="C158" s="1" t="n">
        <v>45998</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45998</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24723-2021</t>
        </is>
      </c>
      <c r="B160" s="1" t="n">
        <v>44340.54472222222</v>
      </c>
      <c r="C160" s="1" t="n">
        <v>45998</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45998</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45998</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618-2021</t>
        </is>
      </c>
      <c r="B163" s="1" t="n">
        <v>44203</v>
      </c>
      <c r="C163" s="1" t="n">
        <v>45998</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45998</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45998</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32603-2021</t>
        </is>
      </c>
      <c r="B166" s="1" t="n">
        <v>44375.38789351852</v>
      </c>
      <c r="C166" s="1" t="n">
        <v>45998</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11814-2022</t>
        </is>
      </c>
      <c r="B167" s="1" t="n">
        <v>44634.69703703704</v>
      </c>
      <c r="C167" s="1" t="n">
        <v>45998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65564-2020</t>
        </is>
      </c>
      <c r="B168" s="1" t="n">
        <v>44172</v>
      </c>
      <c r="C168" s="1" t="n">
        <v>45998</v>
      </c>
      <c r="D168" t="inlineStr">
        <is>
          <t>KALMAR LÄN</t>
        </is>
      </c>
      <c r="E168" t="inlineStr">
        <is>
          <t>VIMMERBY</t>
        </is>
      </c>
      <c r="G168" t="n">
        <v>4.1</v>
      </c>
      <c r="H168" t="n">
        <v>0</v>
      </c>
      <c r="I168" t="n">
        <v>0</v>
      </c>
      <c r="J168" t="n">
        <v>0</v>
      </c>
      <c r="K168" t="n">
        <v>0</v>
      </c>
      <c r="L168" t="n">
        <v>0</v>
      </c>
      <c r="M168" t="n">
        <v>0</v>
      </c>
      <c r="N168" t="n">
        <v>0</v>
      </c>
      <c r="O168" t="n">
        <v>0</v>
      </c>
      <c r="P168" t="n">
        <v>0</v>
      </c>
      <c r="Q168" t="n">
        <v>0</v>
      </c>
      <c r="R168" s="2" t="inlineStr"/>
    </row>
    <row r="169" ht="15" customHeight="1">
      <c r="A169" t="inlineStr">
        <is>
          <t>A 56385-2021</t>
        </is>
      </c>
      <c r="B169" s="1" t="n">
        <v>44480</v>
      </c>
      <c r="C169" s="1" t="n">
        <v>45998</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45998</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45998</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45998</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45998</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31053-2022</t>
        </is>
      </c>
      <c r="B174" s="1" t="n">
        <v>44769.45422453704</v>
      </c>
      <c r="C174" s="1" t="n">
        <v>45998</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53145-2022</t>
        </is>
      </c>
      <c r="B175" s="1" t="n">
        <v>44876.48346064815</v>
      </c>
      <c r="C175" s="1" t="n">
        <v>45998</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45998</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25738-2022</t>
        </is>
      </c>
      <c r="B177" s="1" t="n">
        <v>44733.43092592592</v>
      </c>
      <c r="C177" s="1" t="n">
        <v>45998</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24738-2021</t>
        </is>
      </c>
      <c r="B178" s="1" t="n">
        <v>44340.58002314815</v>
      </c>
      <c r="C178" s="1" t="n">
        <v>45998</v>
      </c>
      <c r="D178" t="inlineStr">
        <is>
          <t>KALMAR LÄN</t>
        </is>
      </c>
      <c r="E178" t="inlineStr">
        <is>
          <t>VIMMERBY</t>
        </is>
      </c>
      <c r="G178" t="n">
        <v>3.5</v>
      </c>
      <c r="H178" t="n">
        <v>0</v>
      </c>
      <c r="I178" t="n">
        <v>0</v>
      </c>
      <c r="J178" t="n">
        <v>0</v>
      </c>
      <c r="K178" t="n">
        <v>0</v>
      </c>
      <c r="L178" t="n">
        <v>0</v>
      </c>
      <c r="M178" t="n">
        <v>0</v>
      </c>
      <c r="N178" t="n">
        <v>0</v>
      </c>
      <c r="O178" t="n">
        <v>0</v>
      </c>
      <c r="P178" t="n">
        <v>0</v>
      </c>
      <c r="Q178" t="n">
        <v>0</v>
      </c>
      <c r="R178" s="2" t="inlineStr"/>
    </row>
    <row r="179" ht="15" customHeight="1">
      <c r="A179" t="inlineStr">
        <is>
          <t>A 8194-2022</t>
        </is>
      </c>
      <c r="B179" s="1" t="n">
        <v>44609</v>
      </c>
      <c r="C179" s="1" t="n">
        <v>45998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15191-2021</t>
        </is>
      </c>
      <c r="B180" s="1" t="n">
        <v>44284.42348379629</v>
      </c>
      <c r="C180" s="1" t="n">
        <v>45998</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40971-2021</t>
        </is>
      </c>
      <c r="B181" s="1" t="n">
        <v>44421</v>
      </c>
      <c r="C181" s="1" t="n">
        <v>45998</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68744-2020</t>
        </is>
      </c>
      <c r="B182" s="1" t="n">
        <v>44186</v>
      </c>
      <c r="C182" s="1" t="n">
        <v>45998</v>
      </c>
      <c r="D182" t="inlineStr">
        <is>
          <t>KALMAR LÄN</t>
        </is>
      </c>
      <c r="E182" t="inlineStr">
        <is>
          <t>VIMMERBY</t>
        </is>
      </c>
      <c r="G182" t="n">
        <v>2.5</v>
      </c>
      <c r="H182" t="n">
        <v>0</v>
      </c>
      <c r="I182" t="n">
        <v>0</v>
      </c>
      <c r="J182" t="n">
        <v>0</v>
      </c>
      <c r="K182" t="n">
        <v>0</v>
      </c>
      <c r="L182" t="n">
        <v>0</v>
      </c>
      <c r="M182" t="n">
        <v>0</v>
      </c>
      <c r="N182" t="n">
        <v>0</v>
      </c>
      <c r="O182" t="n">
        <v>0</v>
      </c>
      <c r="P182" t="n">
        <v>0</v>
      </c>
      <c r="Q182" t="n">
        <v>0</v>
      </c>
      <c r="R182" s="2" t="inlineStr"/>
    </row>
    <row r="183" ht="15" customHeight="1">
      <c r="A183" t="inlineStr">
        <is>
          <t>A 13457-2021</t>
        </is>
      </c>
      <c r="B183" s="1" t="n">
        <v>44273</v>
      </c>
      <c r="C183" s="1" t="n">
        <v>45998</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8454-2022</t>
        </is>
      </c>
      <c r="B184" s="1" t="n">
        <v>44612.86762731482</v>
      </c>
      <c r="C184" s="1" t="n">
        <v>45998</v>
      </c>
      <c r="D184" t="inlineStr">
        <is>
          <t>KALMAR LÄN</t>
        </is>
      </c>
      <c r="E184" t="inlineStr">
        <is>
          <t>VIMMERBY</t>
        </is>
      </c>
      <c r="G184" t="n">
        <v>0.6</v>
      </c>
      <c r="H184" t="n">
        <v>0</v>
      </c>
      <c r="I184" t="n">
        <v>0</v>
      </c>
      <c r="J184" t="n">
        <v>0</v>
      </c>
      <c r="K184" t="n">
        <v>0</v>
      </c>
      <c r="L184" t="n">
        <v>0</v>
      </c>
      <c r="M184" t="n">
        <v>0</v>
      </c>
      <c r="N184" t="n">
        <v>0</v>
      </c>
      <c r="O184" t="n">
        <v>0</v>
      </c>
      <c r="P184" t="n">
        <v>0</v>
      </c>
      <c r="Q184" t="n">
        <v>0</v>
      </c>
      <c r="R184" s="2" t="inlineStr"/>
    </row>
    <row r="185" ht="15" customHeight="1">
      <c r="A185" t="inlineStr">
        <is>
          <t>A 3330-2021</t>
        </is>
      </c>
      <c r="B185" s="1" t="n">
        <v>44217.79856481482</v>
      </c>
      <c r="C185" s="1" t="n">
        <v>45998</v>
      </c>
      <c r="D185" t="inlineStr">
        <is>
          <t>KALMAR LÄN</t>
        </is>
      </c>
      <c r="E185" t="inlineStr">
        <is>
          <t>VIMMERBY</t>
        </is>
      </c>
      <c r="G185" t="n">
        <v>11.1</v>
      </c>
      <c r="H185" t="n">
        <v>0</v>
      </c>
      <c r="I185" t="n">
        <v>0</v>
      </c>
      <c r="J185" t="n">
        <v>0</v>
      </c>
      <c r="K185" t="n">
        <v>0</v>
      </c>
      <c r="L185" t="n">
        <v>0</v>
      </c>
      <c r="M185" t="n">
        <v>0</v>
      </c>
      <c r="N185" t="n">
        <v>0</v>
      </c>
      <c r="O185" t="n">
        <v>0</v>
      </c>
      <c r="P185" t="n">
        <v>0</v>
      </c>
      <c r="Q185" t="n">
        <v>0</v>
      </c>
      <c r="R185" s="2" t="inlineStr"/>
    </row>
    <row r="186" ht="15" customHeight="1">
      <c r="A186" t="inlineStr">
        <is>
          <t>A 14278-2021</t>
        </is>
      </c>
      <c r="B186" s="1" t="n">
        <v>44278.63479166666</v>
      </c>
      <c r="C186" s="1" t="n">
        <v>45998</v>
      </c>
      <c r="D186" t="inlineStr">
        <is>
          <t>KALMAR LÄN</t>
        </is>
      </c>
      <c r="E186" t="inlineStr">
        <is>
          <t>VIMMERBY</t>
        </is>
      </c>
      <c r="F186" t="inlineStr">
        <is>
          <t>Övriga statliga verk och myndigheter</t>
        </is>
      </c>
      <c r="G186" t="n">
        <v>0.8</v>
      </c>
      <c r="H186" t="n">
        <v>0</v>
      </c>
      <c r="I186" t="n">
        <v>0</v>
      </c>
      <c r="J186" t="n">
        <v>0</v>
      </c>
      <c r="K186" t="n">
        <v>0</v>
      </c>
      <c r="L186" t="n">
        <v>0</v>
      </c>
      <c r="M186" t="n">
        <v>0</v>
      </c>
      <c r="N186" t="n">
        <v>0</v>
      </c>
      <c r="O186" t="n">
        <v>0</v>
      </c>
      <c r="P186" t="n">
        <v>0</v>
      </c>
      <c r="Q186" t="n">
        <v>0</v>
      </c>
      <c r="R186" s="2" t="inlineStr"/>
    </row>
    <row r="187" ht="15" customHeight="1">
      <c r="A187" t="inlineStr">
        <is>
          <t>A 46964-2022</t>
        </is>
      </c>
      <c r="B187" s="1" t="n">
        <v>44851.95016203704</v>
      </c>
      <c r="C187" s="1" t="n">
        <v>45998</v>
      </c>
      <c r="D187" t="inlineStr">
        <is>
          <t>KALMAR LÄN</t>
        </is>
      </c>
      <c r="E187" t="inlineStr">
        <is>
          <t>VIMMERBY</t>
        </is>
      </c>
      <c r="G187" t="n">
        <v>0.2</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45998</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52433-2021</t>
        </is>
      </c>
      <c r="B189" s="1" t="n">
        <v>44466.34726851852</v>
      </c>
      <c r="C189" s="1" t="n">
        <v>45998</v>
      </c>
      <c r="D189" t="inlineStr">
        <is>
          <t>KALMAR LÄN</t>
        </is>
      </c>
      <c r="E189" t="inlineStr">
        <is>
          <t>VIMMERBY</t>
        </is>
      </c>
      <c r="G189" t="n">
        <v>3.5</v>
      </c>
      <c r="H189" t="n">
        <v>0</v>
      </c>
      <c r="I189" t="n">
        <v>0</v>
      </c>
      <c r="J189" t="n">
        <v>0</v>
      </c>
      <c r="K189" t="n">
        <v>0</v>
      </c>
      <c r="L189" t="n">
        <v>0</v>
      </c>
      <c r="M189" t="n">
        <v>0</v>
      </c>
      <c r="N189" t="n">
        <v>0</v>
      </c>
      <c r="O189" t="n">
        <v>0</v>
      </c>
      <c r="P189" t="n">
        <v>0</v>
      </c>
      <c r="Q189" t="n">
        <v>0</v>
      </c>
      <c r="R189" s="2" t="inlineStr"/>
    </row>
    <row r="190" ht="15" customHeight="1">
      <c r="A190" t="inlineStr">
        <is>
          <t>A 50621-2022</t>
        </is>
      </c>
      <c r="B190" s="1" t="n">
        <v>44866.81100694444</v>
      </c>
      <c r="C190" s="1" t="n">
        <v>45998</v>
      </c>
      <c r="D190" t="inlineStr">
        <is>
          <t>KALMAR LÄN</t>
        </is>
      </c>
      <c r="E190" t="inlineStr">
        <is>
          <t>VIMMERBY</t>
        </is>
      </c>
      <c r="F190" t="inlineStr">
        <is>
          <t>Övriga Aktiebolag</t>
        </is>
      </c>
      <c r="G190" t="n">
        <v>5.1</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45998</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45998</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45998</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46921-2023</t>
        </is>
      </c>
      <c r="B194" s="1" t="n">
        <v>45201.39996527778</v>
      </c>
      <c r="C194" s="1" t="n">
        <v>45998</v>
      </c>
      <c r="D194" t="inlineStr">
        <is>
          <t>KALMAR LÄN</t>
        </is>
      </c>
      <c r="E194" t="inlineStr">
        <is>
          <t>VIMMERBY</t>
        </is>
      </c>
      <c r="G194" t="n">
        <v>2.6</v>
      </c>
      <c r="H194" t="n">
        <v>0</v>
      </c>
      <c r="I194" t="n">
        <v>0</v>
      </c>
      <c r="J194" t="n">
        <v>0</v>
      </c>
      <c r="K194" t="n">
        <v>0</v>
      </c>
      <c r="L194" t="n">
        <v>0</v>
      </c>
      <c r="M194" t="n">
        <v>0</v>
      </c>
      <c r="N194" t="n">
        <v>0</v>
      </c>
      <c r="O194" t="n">
        <v>0</v>
      </c>
      <c r="P194" t="n">
        <v>0</v>
      </c>
      <c r="Q194" t="n">
        <v>0</v>
      </c>
      <c r="R194" s="2" t="inlineStr"/>
    </row>
    <row r="195" ht="15" customHeight="1">
      <c r="A195" t="inlineStr">
        <is>
          <t>A 7804-2022</t>
        </is>
      </c>
      <c r="B195" s="1" t="n">
        <v>44608.50458333334</v>
      </c>
      <c r="C195" s="1" t="n">
        <v>45998</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10837-2023</t>
        </is>
      </c>
      <c r="B196" s="1" t="n">
        <v>44991.30547453704</v>
      </c>
      <c r="C196" s="1" t="n">
        <v>45998</v>
      </c>
      <c r="D196" t="inlineStr">
        <is>
          <t>KALMAR LÄN</t>
        </is>
      </c>
      <c r="E196" t="inlineStr">
        <is>
          <t>VIMMERBY</t>
        </is>
      </c>
      <c r="G196" t="n">
        <v>7.3</v>
      </c>
      <c r="H196" t="n">
        <v>0</v>
      </c>
      <c r="I196" t="n">
        <v>0</v>
      </c>
      <c r="J196" t="n">
        <v>0</v>
      </c>
      <c r="K196" t="n">
        <v>0</v>
      </c>
      <c r="L196" t="n">
        <v>0</v>
      </c>
      <c r="M196" t="n">
        <v>0</v>
      </c>
      <c r="N196" t="n">
        <v>0</v>
      </c>
      <c r="O196" t="n">
        <v>0</v>
      </c>
      <c r="P196" t="n">
        <v>0</v>
      </c>
      <c r="Q196" t="n">
        <v>0</v>
      </c>
      <c r="R196" s="2" t="inlineStr"/>
    </row>
    <row r="197" ht="15" customHeight="1">
      <c r="A197" t="inlineStr">
        <is>
          <t>A 10838-2023</t>
        </is>
      </c>
      <c r="B197" s="1" t="n">
        <v>44991</v>
      </c>
      <c r="C197" s="1" t="n">
        <v>45998</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39042-2022</t>
        </is>
      </c>
      <c r="B198" s="1" t="n">
        <v>44817</v>
      </c>
      <c r="C198" s="1" t="n">
        <v>45998</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45998</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30912-2023</t>
        </is>
      </c>
      <c r="B200" s="1" t="n">
        <v>45113.41633101852</v>
      </c>
      <c r="C200" s="1" t="n">
        <v>45998</v>
      </c>
      <c r="D200" t="inlineStr">
        <is>
          <t>KALMAR LÄN</t>
        </is>
      </c>
      <c r="E200" t="inlineStr">
        <is>
          <t>VIMMERBY</t>
        </is>
      </c>
      <c r="G200" t="n">
        <v>5</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45998</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55436-2023</t>
        </is>
      </c>
      <c r="B202" s="1" t="n">
        <v>45238.4328587963</v>
      </c>
      <c r="C202" s="1" t="n">
        <v>45998</v>
      </c>
      <c r="D202" t="inlineStr">
        <is>
          <t>KALMAR LÄN</t>
        </is>
      </c>
      <c r="E202" t="inlineStr">
        <is>
          <t>VIMMERBY</t>
        </is>
      </c>
      <c r="G202" t="n">
        <v>5.6</v>
      </c>
      <c r="H202" t="n">
        <v>0</v>
      </c>
      <c r="I202" t="n">
        <v>0</v>
      </c>
      <c r="J202" t="n">
        <v>0</v>
      </c>
      <c r="K202" t="n">
        <v>0</v>
      </c>
      <c r="L202" t="n">
        <v>0</v>
      </c>
      <c r="M202" t="n">
        <v>0</v>
      </c>
      <c r="N202" t="n">
        <v>0</v>
      </c>
      <c r="O202" t="n">
        <v>0</v>
      </c>
      <c r="P202" t="n">
        <v>0</v>
      </c>
      <c r="Q202" t="n">
        <v>0</v>
      </c>
      <c r="R202" s="2" t="inlineStr"/>
    </row>
    <row r="203" ht="15" customHeight="1">
      <c r="A203" t="inlineStr">
        <is>
          <t>A 25728-2023</t>
        </is>
      </c>
      <c r="B203" s="1" t="n">
        <v>45090.38012731481</v>
      </c>
      <c r="C203" s="1" t="n">
        <v>45998</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21507-2023</t>
        </is>
      </c>
      <c r="B204" s="1" t="n">
        <v>45063.508125</v>
      </c>
      <c r="C204" s="1" t="n">
        <v>45998</v>
      </c>
      <c r="D204" t="inlineStr">
        <is>
          <t>KALMAR LÄN</t>
        </is>
      </c>
      <c r="E204" t="inlineStr">
        <is>
          <t>VIMMERBY</t>
        </is>
      </c>
      <c r="G204" t="n">
        <v>2.8</v>
      </c>
      <c r="H204" t="n">
        <v>0</v>
      </c>
      <c r="I204" t="n">
        <v>0</v>
      </c>
      <c r="J204" t="n">
        <v>0</v>
      </c>
      <c r="K204" t="n">
        <v>0</v>
      </c>
      <c r="L204" t="n">
        <v>0</v>
      </c>
      <c r="M204" t="n">
        <v>0</v>
      </c>
      <c r="N204" t="n">
        <v>0</v>
      </c>
      <c r="O204" t="n">
        <v>0</v>
      </c>
      <c r="P204" t="n">
        <v>0</v>
      </c>
      <c r="Q204" t="n">
        <v>0</v>
      </c>
      <c r="R204" s="2" t="inlineStr"/>
    </row>
    <row r="205" ht="15" customHeight="1">
      <c r="A205" t="inlineStr">
        <is>
          <t>A 51187-2023</t>
        </is>
      </c>
      <c r="B205" s="1" t="n">
        <v>45219.40528935185</v>
      </c>
      <c r="C205" s="1" t="n">
        <v>45998</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13290-2025</t>
        </is>
      </c>
      <c r="B206" s="1" t="n">
        <v>45735.56751157407</v>
      </c>
      <c r="C206" s="1" t="n">
        <v>45998</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45560-2021</t>
        </is>
      </c>
      <c r="B207" s="1" t="n">
        <v>44440</v>
      </c>
      <c r="C207" s="1" t="n">
        <v>45998</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16622-2025</t>
        </is>
      </c>
      <c r="B208" s="1" t="n">
        <v>45754.33641203704</v>
      </c>
      <c r="C208" s="1" t="n">
        <v>45998</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52435-2021</t>
        </is>
      </c>
      <c r="B209" s="1" t="n">
        <v>44466.34962962963</v>
      </c>
      <c r="C209" s="1" t="n">
        <v>45998</v>
      </c>
      <c r="D209" t="inlineStr">
        <is>
          <t>KALMAR LÄN</t>
        </is>
      </c>
      <c r="E209" t="inlineStr">
        <is>
          <t>VIMMERBY</t>
        </is>
      </c>
      <c r="G209" t="n">
        <v>2.8</v>
      </c>
      <c r="H209" t="n">
        <v>0</v>
      </c>
      <c r="I209" t="n">
        <v>0</v>
      </c>
      <c r="J209" t="n">
        <v>0</v>
      </c>
      <c r="K209" t="n">
        <v>0</v>
      </c>
      <c r="L209" t="n">
        <v>0</v>
      </c>
      <c r="M209" t="n">
        <v>0</v>
      </c>
      <c r="N209" t="n">
        <v>0</v>
      </c>
      <c r="O209" t="n">
        <v>0</v>
      </c>
      <c r="P209" t="n">
        <v>0</v>
      </c>
      <c r="Q209" t="n">
        <v>0</v>
      </c>
      <c r="R209" s="2" t="inlineStr"/>
    </row>
    <row r="210" ht="15" customHeight="1">
      <c r="A210" t="inlineStr">
        <is>
          <t>A 29093-2023</t>
        </is>
      </c>
      <c r="B210" s="1" t="n">
        <v>45105</v>
      </c>
      <c r="C210" s="1" t="n">
        <v>45998</v>
      </c>
      <c r="D210" t="inlineStr">
        <is>
          <t>KALMAR LÄN</t>
        </is>
      </c>
      <c r="E210" t="inlineStr">
        <is>
          <t>VIMMERBY</t>
        </is>
      </c>
      <c r="G210" t="n">
        <v>2.9</v>
      </c>
      <c r="H210" t="n">
        <v>0</v>
      </c>
      <c r="I210" t="n">
        <v>0</v>
      </c>
      <c r="J210" t="n">
        <v>0</v>
      </c>
      <c r="K210" t="n">
        <v>0</v>
      </c>
      <c r="L210" t="n">
        <v>0</v>
      </c>
      <c r="M210" t="n">
        <v>0</v>
      </c>
      <c r="N210" t="n">
        <v>0</v>
      </c>
      <c r="O210" t="n">
        <v>0</v>
      </c>
      <c r="P210" t="n">
        <v>0</v>
      </c>
      <c r="Q210" t="n">
        <v>0</v>
      </c>
      <c r="R210" s="2" t="inlineStr"/>
    </row>
    <row r="211" ht="15" customHeight="1">
      <c r="A211" t="inlineStr">
        <is>
          <t>A 14220-2021</t>
        </is>
      </c>
      <c r="B211" s="1" t="n">
        <v>44278.54855324074</v>
      </c>
      <c r="C211" s="1" t="n">
        <v>45998</v>
      </c>
      <c r="D211" t="inlineStr">
        <is>
          <t>KALMAR LÄN</t>
        </is>
      </c>
      <c r="E211" t="inlineStr">
        <is>
          <t>VIMMERBY</t>
        </is>
      </c>
      <c r="G211" t="n">
        <v>0.3</v>
      </c>
      <c r="H211" t="n">
        <v>0</v>
      </c>
      <c r="I211" t="n">
        <v>0</v>
      </c>
      <c r="J211" t="n">
        <v>0</v>
      </c>
      <c r="K211" t="n">
        <v>0</v>
      </c>
      <c r="L211" t="n">
        <v>0</v>
      </c>
      <c r="M211" t="n">
        <v>0</v>
      </c>
      <c r="N211" t="n">
        <v>0</v>
      </c>
      <c r="O211" t="n">
        <v>0</v>
      </c>
      <c r="P211" t="n">
        <v>0</v>
      </c>
      <c r="Q211" t="n">
        <v>0</v>
      </c>
      <c r="R211" s="2" t="inlineStr"/>
    </row>
    <row r="212" ht="15" customHeight="1">
      <c r="A212" t="inlineStr">
        <is>
          <t>A 31340-2023</t>
        </is>
      </c>
      <c r="B212" s="1" t="n">
        <v>45114.47895833333</v>
      </c>
      <c r="C212" s="1" t="n">
        <v>45998</v>
      </c>
      <c r="D212" t="inlineStr">
        <is>
          <t>KALMAR LÄN</t>
        </is>
      </c>
      <c r="E212" t="inlineStr">
        <is>
          <t>VIMMERBY</t>
        </is>
      </c>
      <c r="G212" t="n">
        <v>1.8</v>
      </c>
      <c r="H212" t="n">
        <v>0</v>
      </c>
      <c r="I212" t="n">
        <v>0</v>
      </c>
      <c r="J212" t="n">
        <v>0</v>
      </c>
      <c r="K212" t="n">
        <v>0</v>
      </c>
      <c r="L212" t="n">
        <v>0</v>
      </c>
      <c r="M212" t="n">
        <v>0</v>
      </c>
      <c r="N212" t="n">
        <v>0</v>
      </c>
      <c r="O212" t="n">
        <v>0</v>
      </c>
      <c r="P212" t="n">
        <v>0</v>
      </c>
      <c r="Q212" t="n">
        <v>0</v>
      </c>
      <c r="R212" s="2" t="inlineStr"/>
    </row>
    <row r="213" ht="15" customHeight="1">
      <c r="A213" t="inlineStr">
        <is>
          <t>A 29168-2024</t>
        </is>
      </c>
      <c r="B213" s="1" t="n">
        <v>45482.49870370371</v>
      </c>
      <c r="C213" s="1" t="n">
        <v>45998</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29186-2024</t>
        </is>
      </c>
      <c r="B214" s="1" t="n">
        <v>45482.54844907407</v>
      </c>
      <c r="C214" s="1" t="n">
        <v>45998</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35895-2024</t>
        </is>
      </c>
      <c r="B215" s="1" t="n">
        <v>45533.38870370371</v>
      </c>
      <c r="C215" s="1" t="n">
        <v>45998</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12590-2025</t>
        </is>
      </c>
      <c r="B216" s="1" t="n">
        <v>45732.79925925926</v>
      </c>
      <c r="C216" s="1" t="n">
        <v>45998</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33359-2021</t>
        </is>
      </c>
      <c r="B217" s="1" t="n">
        <v>44377.49684027778</v>
      </c>
      <c r="C217" s="1" t="n">
        <v>45998</v>
      </c>
      <c r="D217" t="inlineStr">
        <is>
          <t>KALMAR LÄN</t>
        </is>
      </c>
      <c r="E217" t="inlineStr">
        <is>
          <t>VIMMERBY</t>
        </is>
      </c>
      <c r="F217" t="inlineStr">
        <is>
          <t>Kommuner</t>
        </is>
      </c>
      <c r="G217" t="n">
        <v>8</v>
      </c>
      <c r="H217" t="n">
        <v>0</v>
      </c>
      <c r="I217" t="n">
        <v>0</v>
      </c>
      <c r="J217" t="n">
        <v>0</v>
      </c>
      <c r="K217" t="n">
        <v>0</v>
      </c>
      <c r="L217" t="n">
        <v>0</v>
      </c>
      <c r="M217" t="n">
        <v>0</v>
      </c>
      <c r="N217" t="n">
        <v>0</v>
      </c>
      <c r="O217" t="n">
        <v>0</v>
      </c>
      <c r="P217" t="n">
        <v>0</v>
      </c>
      <c r="Q217" t="n">
        <v>0</v>
      </c>
      <c r="R217" s="2" t="inlineStr"/>
    </row>
    <row r="218" ht="15" customHeight="1">
      <c r="A218" t="inlineStr">
        <is>
          <t>A 43038-2022</t>
        </is>
      </c>
      <c r="B218" s="1" t="n">
        <v>44833.60123842592</v>
      </c>
      <c r="C218" s="1" t="n">
        <v>45998</v>
      </c>
      <c r="D218" t="inlineStr">
        <is>
          <t>KALMAR LÄN</t>
        </is>
      </c>
      <c r="E218" t="inlineStr">
        <is>
          <t>VIMMERBY</t>
        </is>
      </c>
      <c r="G218" t="n">
        <v>4.2</v>
      </c>
      <c r="H218" t="n">
        <v>0</v>
      </c>
      <c r="I218" t="n">
        <v>0</v>
      </c>
      <c r="J218" t="n">
        <v>0</v>
      </c>
      <c r="K218" t="n">
        <v>0</v>
      </c>
      <c r="L218" t="n">
        <v>0</v>
      </c>
      <c r="M218" t="n">
        <v>0</v>
      </c>
      <c r="N218" t="n">
        <v>0</v>
      </c>
      <c r="O218" t="n">
        <v>0</v>
      </c>
      <c r="P218" t="n">
        <v>0</v>
      </c>
      <c r="Q218" t="n">
        <v>0</v>
      </c>
      <c r="R218" s="2" t="inlineStr"/>
    </row>
    <row r="219" ht="15" customHeight="1">
      <c r="A219" t="inlineStr">
        <is>
          <t>A 30318-2023</t>
        </is>
      </c>
      <c r="B219" s="1" t="n">
        <v>45111.30824074074</v>
      </c>
      <c r="C219" s="1" t="n">
        <v>45998</v>
      </c>
      <c r="D219" t="inlineStr">
        <is>
          <t>KALMAR LÄN</t>
        </is>
      </c>
      <c r="E219" t="inlineStr">
        <is>
          <t>VIMMERBY</t>
        </is>
      </c>
      <c r="G219" t="n">
        <v>2.6</v>
      </c>
      <c r="H219" t="n">
        <v>0</v>
      </c>
      <c r="I219" t="n">
        <v>0</v>
      </c>
      <c r="J219" t="n">
        <v>0</v>
      </c>
      <c r="K219" t="n">
        <v>0</v>
      </c>
      <c r="L219" t="n">
        <v>0</v>
      </c>
      <c r="M219" t="n">
        <v>0</v>
      </c>
      <c r="N219" t="n">
        <v>0</v>
      </c>
      <c r="O219" t="n">
        <v>0</v>
      </c>
      <c r="P219" t="n">
        <v>0</v>
      </c>
      <c r="Q219" t="n">
        <v>0</v>
      </c>
      <c r="R219" s="2" t="inlineStr"/>
    </row>
    <row r="220" ht="15" customHeight="1">
      <c r="A220" t="inlineStr">
        <is>
          <t>A 50087-2023</t>
        </is>
      </c>
      <c r="B220" s="1" t="n">
        <v>45215.59743055556</v>
      </c>
      <c r="C220" s="1" t="n">
        <v>45998</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33681-2022</t>
        </is>
      </c>
      <c r="B221" s="1" t="n">
        <v>44789</v>
      </c>
      <c r="C221" s="1" t="n">
        <v>45998</v>
      </c>
      <c r="D221" t="inlineStr">
        <is>
          <t>KALMAR LÄN</t>
        </is>
      </c>
      <c r="E221" t="inlineStr">
        <is>
          <t>VIMMERBY</t>
        </is>
      </c>
      <c r="G221" t="n">
        <v>3.2</v>
      </c>
      <c r="H221" t="n">
        <v>0</v>
      </c>
      <c r="I221" t="n">
        <v>0</v>
      </c>
      <c r="J221" t="n">
        <v>0</v>
      </c>
      <c r="K221" t="n">
        <v>0</v>
      </c>
      <c r="L221" t="n">
        <v>0</v>
      </c>
      <c r="M221" t="n">
        <v>0</v>
      </c>
      <c r="N221" t="n">
        <v>0</v>
      </c>
      <c r="O221" t="n">
        <v>0</v>
      </c>
      <c r="P221" t="n">
        <v>0</v>
      </c>
      <c r="Q221" t="n">
        <v>0</v>
      </c>
      <c r="R221" s="2" t="inlineStr"/>
    </row>
    <row r="222" ht="15" customHeight="1">
      <c r="A222" t="inlineStr">
        <is>
          <t>A 13180-2022</t>
        </is>
      </c>
      <c r="B222" s="1" t="n">
        <v>44644</v>
      </c>
      <c r="C222" s="1" t="n">
        <v>45998</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43186-2021</t>
        </is>
      </c>
      <c r="B223" s="1" t="n">
        <v>44431.84840277778</v>
      </c>
      <c r="C223" s="1" t="n">
        <v>45998</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60215-2022</t>
        </is>
      </c>
      <c r="B224" s="1" t="n">
        <v>44910.41346064815</v>
      </c>
      <c r="C224" s="1" t="n">
        <v>45998</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60230-2022</t>
        </is>
      </c>
      <c r="B225" s="1" t="n">
        <v>44910</v>
      </c>
      <c r="C225" s="1" t="n">
        <v>45998</v>
      </c>
      <c r="D225" t="inlineStr">
        <is>
          <t>KALMAR LÄN</t>
        </is>
      </c>
      <c r="E225" t="inlineStr">
        <is>
          <t>VIMMERBY</t>
        </is>
      </c>
      <c r="G225" t="n">
        <v>11.3</v>
      </c>
      <c r="H225" t="n">
        <v>0</v>
      </c>
      <c r="I225" t="n">
        <v>0</v>
      </c>
      <c r="J225" t="n">
        <v>0</v>
      </c>
      <c r="K225" t="n">
        <v>0</v>
      </c>
      <c r="L225" t="n">
        <v>0</v>
      </c>
      <c r="M225" t="n">
        <v>0</v>
      </c>
      <c r="N225" t="n">
        <v>0</v>
      </c>
      <c r="O225" t="n">
        <v>0</v>
      </c>
      <c r="P225" t="n">
        <v>0</v>
      </c>
      <c r="Q225" t="n">
        <v>0</v>
      </c>
      <c r="R225" s="2" t="inlineStr"/>
    </row>
    <row r="226" ht="15" customHeight="1">
      <c r="A226" t="inlineStr">
        <is>
          <t>A 5925-2022</t>
        </is>
      </c>
      <c r="B226" s="1" t="n">
        <v>44598.7384837963</v>
      </c>
      <c r="C226" s="1" t="n">
        <v>45998</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845-2023</t>
        </is>
      </c>
      <c r="B227" s="1" t="n">
        <v>44931</v>
      </c>
      <c r="C227" s="1" t="n">
        <v>45998</v>
      </c>
      <c r="D227" t="inlineStr">
        <is>
          <t>KALMAR LÄN</t>
        </is>
      </c>
      <c r="E227" t="inlineStr">
        <is>
          <t>VIMMERBY</t>
        </is>
      </c>
      <c r="F227" t="inlineStr">
        <is>
          <t>Övriga Aktiebolag</t>
        </is>
      </c>
      <c r="G227" t="n">
        <v>19</v>
      </c>
      <c r="H227" t="n">
        <v>0</v>
      </c>
      <c r="I227" t="n">
        <v>0</v>
      </c>
      <c r="J227" t="n">
        <v>0</v>
      </c>
      <c r="K227" t="n">
        <v>0</v>
      </c>
      <c r="L227" t="n">
        <v>0</v>
      </c>
      <c r="M227" t="n">
        <v>0</v>
      </c>
      <c r="N227" t="n">
        <v>0</v>
      </c>
      <c r="O227" t="n">
        <v>0</v>
      </c>
      <c r="P227" t="n">
        <v>0</v>
      </c>
      <c r="Q227" t="n">
        <v>0</v>
      </c>
      <c r="R227" s="2" t="inlineStr"/>
    </row>
    <row r="228" ht="15" customHeight="1">
      <c r="A228" t="inlineStr">
        <is>
          <t>A 16825-2024</t>
        </is>
      </c>
      <c r="B228" s="1" t="n">
        <v>45411.47335648148</v>
      </c>
      <c r="C228" s="1" t="n">
        <v>45998</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16119-2023</t>
        </is>
      </c>
      <c r="B229" s="1" t="n">
        <v>45027.59450231482</v>
      </c>
      <c r="C229" s="1" t="n">
        <v>45998</v>
      </c>
      <c r="D229" t="inlineStr">
        <is>
          <t>KALMAR LÄN</t>
        </is>
      </c>
      <c r="E229" t="inlineStr">
        <is>
          <t>VIMMERBY</t>
        </is>
      </c>
      <c r="F229" t="inlineStr">
        <is>
          <t>Kommuner</t>
        </is>
      </c>
      <c r="G229" t="n">
        <v>4.4</v>
      </c>
      <c r="H229" t="n">
        <v>0</v>
      </c>
      <c r="I229" t="n">
        <v>0</v>
      </c>
      <c r="J229" t="n">
        <v>0</v>
      </c>
      <c r="K229" t="n">
        <v>0</v>
      </c>
      <c r="L229" t="n">
        <v>0</v>
      </c>
      <c r="M229" t="n">
        <v>0</v>
      </c>
      <c r="N229" t="n">
        <v>0</v>
      </c>
      <c r="O229" t="n">
        <v>0</v>
      </c>
      <c r="P229" t="n">
        <v>0</v>
      </c>
      <c r="Q229" t="n">
        <v>0</v>
      </c>
      <c r="R229" s="2" t="inlineStr"/>
    </row>
    <row r="230" ht="15" customHeight="1">
      <c r="A230" t="inlineStr">
        <is>
          <t>A 12033-2024</t>
        </is>
      </c>
      <c r="B230" s="1" t="n">
        <v>45377.40043981482</v>
      </c>
      <c r="C230" s="1" t="n">
        <v>45998</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30588-2023</t>
        </is>
      </c>
      <c r="B231" s="1" t="n">
        <v>45112.33599537037</v>
      </c>
      <c r="C231" s="1" t="n">
        <v>45998</v>
      </c>
      <c r="D231" t="inlineStr">
        <is>
          <t>KALMAR LÄN</t>
        </is>
      </c>
      <c r="E231" t="inlineStr">
        <is>
          <t>VIMMERBY</t>
        </is>
      </c>
      <c r="G231" t="n">
        <v>2.7</v>
      </c>
      <c r="H231" t="n">
        <v>0</v>
      </c>
      <c r="I231" t="n">
        <v>0</v>
      </c>
      <c r="J231" t="n">
        <v>0</v>
      </c>
      <c r="K231" t="n">
        <v>0</v>
      </c>
      <c r="L231" t="n">
        <v>0</v>
      </c>
      <c r="M231" t="n">
        <v>0</v>
      </c>
      <c r="N231" t="n">
        <v>0</v>
      </c>
      <c r="O231" t="n">
        <v>0</v>
      </c>
      <c r="P231" t="n">
        <v>0</v>
      </c>
      <c r="Q231" t="n">
        <v>0</v>
      </c>
      <c r="R231" s="2" t="inlineStr"/>
    </row>
    <row r="232" ht="15" customHeight="1">
      <c r="A232" t="inlineStr">
        <is>
          <t>A 6214-2025</t>
        </is>
      </c>
      <c r="B232" s="1" t="n">
        <v>45698.51711805556</v>
      </c>
      <c r="C232" s="1" t="n">
        <v>45998</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49408-2023</t>
        </is>
      </c>
      <c r="B233" s="1" t="n">
        <v>45211.43555555555</v>
      </c>
      <c r="C233" s="1" t="n">
        <v>45998</v>
      </c>
      <c r="D233" t="inlineStr">
        <is>
          <t>KALMAR LÄN</t>
        </is>
      </c>
      <c r="E233" t="inlineStr">
        <is>
          <t>VIMMERBY</t>
        </is>
      </c>
      <c r="G233" t="n">
        <v>13.1</v>
      </c>
      <c r="H233" t="n">
        <v>0</v>
      </c>
      <c r="I233" t="n">
        <v>0</v>
      </c>
      <c r="J233" t="n">
        <v>0</v>
      </c>
      <c r="K233" t="n">
        <v>0</v>
      </c>
      <c r="L233" t="n">
        <v>0</v>
      </c>
      <c r="M233" t="n">
        <v>0</v>
      </c>
      <c r="N233" t="n">
        <v>0</v>
      </c>
      <c r="O233" t="n">
        <v>0</v>
      </c>
      <c r="P233" t="n">
        <v>0</v>
      </c>
      <c r="Q233" t="n">
        <v>0</v>
      </c>
      <c r="R233" s="2" t="inlineStr"/>
    </row>
    <row r="234" ht="15" customHeight="1">
      <c r="A234" t="inlineStr">
        <is>
          <t>A 27443-2023</t>
        </is>
      </c>
      <c r="B234" s="1" t="n">
        <v>45097.40524305555</v>
      </c>
      <c r="C234" s="1" t="n">
        <v>45998</v>
      </c>
      <c r="D234" t="inlineStr">
        <is>
          <t>KALMAR LÄN</t>
        </is>
      </c>
      <c r="E234" t="inlineStr">
        <is>
          <t>VIMMERBY</t>
        </is>
      </c>
      <c r="F234" t="inlineStr">
        <is>
          <t>Övriga Aktiebolag</t>
        </is>
      </c>
      <c r="G234" t="n">
        <v>2.3</v>
      </c>
      <c r="H234" t="n">
        <v>0</v>
      </c>
      <c r="I234" t="n">
        <v>0</v>
      </c>
      <c r="J234" t="n">
        <v>0</v>
      </c>
      <c r="K234" t="n">
        <v>0</v>
      </c>
      <c r="L234" t="n">
        <v>0</v>
      </c>
      <c r="M234" t="n">
        <v>0</v>
      </c>
      <c r="N234" t="n">
        <v>0</v>
      </c>
      <c r="O234" t="n">
        <v>0</v>
      </c>
      <c r="P234" t="n">
        <v>0</v>
      </c>
      <c r="Q234" t="n">
        <v>0</v>
      </c>
      <c r="R234" s="2" t="inlineStr"/>
    </row>
    <row r="235" ht="15" customHeight="1">
      <c r="A235" t="inlineStr">
        <is>
          <t>A 28395-2023</t>
        </is>
      </c>
      <c r="B235" s="1" t="n">
        <v>45100.4062962963</v>
      </c>
      <c r="C235" s="1" t="n">
        <v>45998</v>
      </c>
      <c r="D235" t="inlineStr">
        <is>
          <t>KALMAR LÄN</t>
        </is>
      </c>
      <c r="E235" t="inlineStr">
        <is>
          <t>VIMMERBY</t>
        </is>
      </c>
      <c r="G235" t="n">
        <v>1.4</v>
      </c>
      <c r="H235" t="n">
        <v>0</v>
      </c>
      <c r="I235" t="n">
        <v>0</v>
      </c>
      <c r="J235" t="n">
        <v>0</v>
      </c>
      <c r="K235" t="n">
        <v>0</v>
      </c>
      <c r="L235" t="n">
        <v>0</v>
      </c>
      <c r="M235" t="n">
        <v>0</v>
      </c>
      <c r="N235" t="n">
        <v>0</v>
      </c>
      <c r="O235" t="n">
        <v>0</v>
      </c>
      <c r="P235" t="n">
        <v>0</v>
      </c>
      <c r="Q235" t="n">
        <v>0</v>
      </c>
      <c r="R235" s="2" t="inlineStr"/>
    </row>
    <row r="236" ht="15" customHeight="1">
      <c r="A236" t="inlineStr">
        <is>
          <t>A 18501-2024</t>
        </is>
      </c>
      <c r="B236" s="1" t="n">
        <v>45425.57538194444</v>
      </c>
      <c r="C236" s="1" t="n">
        <v>45998</v>
      </c>
      <c r="D236" t="inlineStr">
        <is>
          <t>KALMAR LÄN</t>
        </is>
      </c>
      <c r="E236" t="inlineStr">
        <is>
          <t>VIMMERBY</t>
        </is>
      </c>
      <c r="G236" t="n">
        <v>2</v>
      </c>
      <c r="H236" t="n">
        <v>0</v>
      </c>
      <c r="I236" t="n">
        <v>0</v>
      </c>
      <c r="J236" t="n">
        <v>0</v>
      </c>
      <c r="K236" t="n">
        <v>0</v>
      </c>
      <c r="L236" t="n">
        <v>0</v>
      </c>
      <c r="M236" t="n">
        <v>0</v>
      </c>
      <c r="N236" t="n">
        <v>0</v>
      </c>
      <c r="O236" t="n">
        <v>0</v>
      </c>
      <c r="P236" t="n">
        <v>0</v>
      </c>
      <c r="Q236" t="n">
        <v>0</v>
      </c>
      <c r="R236" s="2" t="inlineStr"/>
    </row>
    <row r="237" ht="15" customHeight="1">
      <c r="A237" t="inlineStr">
        <is>
          <t>A 45528-2021</t>
        </is>
      </c>
      <c r="B237" s="1" t="n">
        <v>44440.60415509259</v>
      </c>
      <c r="C237" s="1" t="n">
        <v>45998</v>
      </c>
      <c r="D237" t="inlineStr">
        <is>
          <t>KALMAR LÄN</t>
        </is>
      </c>
      <c r="E237" t="inlineStr">
        <is>
          <t>VIMMERBY</t>
        </is>
      </c>
      <c r="G237" t="n">
        <v>2.2</v>
      </c>
      <c r="H237" t="n">
        <v>0</v>
      </c>
      <c r="I237" t="n">
        <v>0</v>
      </c>
      <c r="J237" t="n">
        <v>0</v>
      </c>
      <c r="K237" t="n">
        <v>0</v>
      </c>
      <c r="L237" t="n">
        <v>0</v>
      </c>
      <c r="M237" t="n">
        <v>0</v>
      </c>
      <c r="N237" t="n">
        <v>0</v>
      </c>
      <c r="O237" t="n">
        <v>0</v>
      </c>
      <c r="P237" t="n">
        <v>0</v>
      </c>
      <c r="Q237" t="n">
        <v>0</v>
      </c>
      <c r="R237" s="2" t="inlineStr"/>
    </row>
    <row r="238" ht="15" customHeight="1">
      <c r="A238" t="inlineStr">
        <is>
          <t>A 25799-2023</t>
        </is>
      </c>
      <c r="B238" s="1" t="n">
        <v>45090</v>
      </c>
      <c r="C238" s="1" t="n">
        <v>45998</v>
      </c>
      <c r="D238" t="inlineStr">
        <is>
          <t>KALMAR LÄN</t>
        </is>
      </c>
      <c r="E238" t="inlineStr">
        <is>
          <t>VIMMERBY</t>
        </is>
      </c>
      <c r="G238" t="n">
        <v>7.7</v>
      </c>
      <c r="H238" t="n">
        <v>0</v>
      </c>
      <c r="I238" t="n">
        <v>0</v>
      </c>
      <c r="J238" t="n">
        <v>0</v>
      </c>
      <c r="K238" t="n">
        <v>0</v>
      </c>
      <c r="L238" t="n">
        <v>0</v>
      </c>
      <c r="M238" t="n">
        <v>0</v>
      </c>
      <c r="N238" t="n">
        <v>0</v>
      </c>
      <c r="O238" t="n">
        <v>0</v>
      </c>
      <c r="P238" t="n">
        <v>0</v>
      </c>
      <c r="Q238" t="n">
        <v>0</v>
      </c>
      <c r="R238" s="2" t="inlineStr"/>
    </row>
    <row r="239" ht="15" customHeight="1">
      <c r="A239" t="inlineStr">
        <is>
          <t>A 16015-2025</t>
        </is>
      </c>
      <c r="B239" s="1" t="n">
        <v>45749.60487268519</v>
      </c>
      <c r="C239" s="1" t="n">
        <v>45998</v>
      </c>
      <c r="D239" t="inlineStr">
        <is>
          <t>KALMAR LÄN</t>
        </is>
      </c>
      <c r="E239" t="inlineStr">
        <is>
          <t>VIMMERBY</t>
        </is>
      </c>
      <c r="F239" t="inlineStr">
        <is>
          <t>Kyrkan</t>
        </is>
      </c>
      <c r="G239" t="n">
        <v>2.7</v>
      </c>
      <c r="H239" t="n">
        <v>0</v>
      </c>
      <c r="I239" t="n">
        <v>0</v>
      </c>
      <c r="J239" t="n">
        <v>0</v>
      </c>
      <c r="K239" t="n">
        <v>0</v>
      </c>
      <c r="L239" t="n">
        <v>0</v>
      </c>
      <c r="M239" t="n">
        <v>0</v>
      </c>
      <c r="N239" t="n">
        <v>0</v>
      </c>
      <c r="O239" t="n">
        <v>0</v>
      </c>
      <c r="P239" t="n">
        <v>0</v>
      </c>
      <c r="Q239" t="n">
        <v>0</v>
      </c>
      <c r="R239" s="2" t="inlineStr"/>
    </row>
    <row r="240" ht="15" customHeight="1">
      <c r="A240" t="inlineStr">
        <is>
          <t>A 57256-2023</t>
        </is>
      </c>
      <c r="B240" s="1" t="n">
        <v>45245.5735300926</v>
      </c>
      <c r="C240" s="1" t="n">
        <v>45998</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23088-2024</t>
        </is>
      </c>
      <c r="B241" s="1" t="n">
        <v>45450.51092592593</v>
      </c>
      <c r="C241" s="1" t="n">
        <v>45998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57189-2022</t>
        </is>
      </c>
      <c r="B242" s="1" t="n">
        <v>44895.62296296296</v>
      </c>
      <c r="C242" s="1" t="n">
        <v>45998</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16516-2023</t>
        </is>
      </c>
      <c r="B243" s="1" t="n">
        <v>45029</v>
      </c>
      <c r="C243" s="1" t="n">
        <v>45998</v>
      </c>
      <c r="D243" t="inlineStr">
        <is>
          <t>KALMAR LÄN</t>
        </is>
      </c>
      <c r="E243" t="inlineStr">
        <is>
          <t>VIMMERBY</t>
        </is>
      </c>
      <c r="G243" t="n">
        <v>4.3</v>
      </c>
      <c r="H243" t="n">
        <v>0</v>
      </c>
      <c r="I243" t="n">
        <v>0</v>
      </c>
      <c r="J243" t="n">
        <v>0</v>
      </c>
      <c r="K243" t="n">
        <v>0</v>
      </c>
      <c r="L243" t="n">
        <v>0</v>
      </c>
      <c r="M243" t="n">
        <v>0</v>
      </c>
      <c r="N243" t="n">
        <v>0</v>
      </c>
      <c r="O243" t="n">
        <v>0</v>
      </c>
      <c r="P243" t="n">
        <v>0</v>
      </c>
      <c r="Q243" t="n">
        <v>0</v>
      </c>
      <c r="R243" s="2" t="inlineStr"/>
    </row>
    <row r="244" ht="15" customHeight="1">
      <c r="A244" t="inlineStr">
        <is>
          <t>A 1987-2024</t>
        </is>
      </c>
      <c r="B244" s="1" t="n">
        <v>45308.61152777778</v>
      </c>
      <c r="C244" s="1" t="n">
        <v>45998</v>
      </c>
      <c r="D244" t="inlineStr">
        <is>
          <t>KALMAR LÄN</t>
        </is>
      </c>
      <c r="E244" t="inlineStr">
        <is>
          <t>VIMMERBY</t>
        </is>
      </c>
      <c r="G244" t="n">
        <v>3</v>
      </c>
      <c r="H244" t="n">
        <v>0</v>
      </c>
      <c r="I244" t="n">
        <v>0</v>
      </c>
      <c r="J244" t="n">
        <v>0</v>
      </c>
      <c r="K244" t="n">
        <v>0</v>
      </c>
      <c r="L244" t="n">
        <v>0</v>
      </c>
      <c r="M244" t="n">
        <v>0</v>
      </c>
      <c r="N244" t="n">
        <v>0</v>
      </c>
      <c r="O244" t="n">
        <v>0</v>
      </c>
      <c r="P244" t="n">
        <v>0</v>
      </c>
      <c r="Q244" t="n">
        <v>0</v>
      </c>
      <c r="R244" s="2" t="inlineStr"/>
    </row>
    <row r="245" ht="15" customHeight="1">
      <c r="A245" t="inlineStr">
        <is>
          <t>A 527-2024</t>
        </is>
      </c>
      <c r="B245" s="1" t="n">
        <v>45299.47513888889</v>
      </c>
      <c r="C245" s="1" t="n">
        <v>45998</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2510-2023</t>
        </is>
      </c>
      <c r="B246" s="1" t="n">
        <v>44943.57309027778</v>
      </c>
      <c r="C246" s="1" t="n">
        <v>45998</v>
      </c>
      <c r="D246" t="inlineStr">
        <is>
          <t>KALMAR LÄN</t>
        </is>
      </c>
      <c r="E246" t="inlineStr">
        <is>
          <t>VIMMERBY</t>
        </is>
      </c>
      <c r="G246" t="n">
        <v>8.6</v>
      </c>
      <c r="H246" t="n">
        <v>0</v>
      </c>
      <c r="I246" t="n">
        <v>0</v>
      </c>
      <c r="J246" t="n">
        <v>0</v>
      </c>
      <c r="K246" t="n">
        <v>0</v>
      </c>
      <c r="L246" t="n">
        <v>0</v>
      </c>
      <c r="M246" t="n">
        <v>0</v>
      </c>
      <c r="N246" t="n">
        <v>0</v>
      </c>
      <c r="O246" t="n">
        <v>0</v>
      </c>
      <c r="P246" t="n">
        <v>0</v>
      </c>
      <c r="Q246" t="n">
        <v>0</v>
      </c>
      <c r="R246" s="2" t="inlineStr"/>
    </row>
    <row r="247" ht="15" customHeight="1">
      <c r="A247" t="inlineStr">
        <is>
          <t>A 37192-2024</t>
        </is>
      </c>
      <c r="B247" s="1" t="n">
        <v>45539.66027777778</v>
      </c>
      <c r="C247" s="1" t="n">
        <v>45998</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48373-2021</t>
        </is>
      </c>
      <c r="B248" s="1" t="n">
        <v>44451</v>
      </c>
      <c r="C248" s="1" t="n">
        <v>45998</v>
      </c>
      <c r="D248" t="inlineStr">
        <is>
          <t>KALMAR LÄN</t>
        </is>
      </c>
      <c r="E248" t="inlineStr">
        <is>
          <t>VIMMERBY</t>
        </is>
      </c>
      <c r="G248" t="n">
        <v>2.2</v>
      </c>
      <c r="H248" t="n">
        <v>0</v>
      </c>
      <c r="I248" t="n">
        <v>0</v>
      </c>
      <c r="J248" t="n">
        <v>0</v>
      </c>
      <c r="K248" t="n">
        <v>0</v>
      </c>
      <c r="L248" t="n">
        <v>0</v>
      </c>
      <c r="M248" t="n">
        <v>0</v>
      </c>
      <c r="N248" t="n">
        <v>0</v>
      </c>
      <c r="O248" t="n">
        <v>0</v>
      </c>
      <c r="P248" t="n">
        <v>0</v>
      </c>
      <c r="Q248" t="n">
        <v>0</v>
      </c>
      <c r="R248" s="2" t="inlineStr"/>
    </row>
    <row r="249" ht="15" customHeight="1">
      <c r="A249" t="inlineStr">
        <is>
          <t>A 47063-2022</t>
        </is>
      </c>
      <c r="B249" s="1" t="n">
        <v>44852</v>
      </c>
      <c r="C249" s="1" t="n">
        <v>45998</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12819-2024</t>
        </is>
      </c>
      <c r="B250" s="1" t="n">
        <v>45384.66917824074</v>
      </c>
      <c r="C250" s="1" t="n">
        <v>45998</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7485-2024</t>
        </is>
      </c>
      <c r="B251" s="1" t="n">
        <v>45346.67184027778</v>
      </c>
      <c r="C251" s="1" t="n">
        <v>45998</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31382-2023</t>
        </is>
      </c>
      <c r="B252" s="1" t="n">
        <v>45114.55136574074</v>
      </c>
      <c r="C252" s="1" t="n">
        <v>45998</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11073-2023</t>
        </is>
      </c>
      <c r="B253" s="1" t="n">
        <v>44992</v>
      </c>
      <c r="C253" s="1" t="n">
        <v>45998</v>
      </c>
      <c r="D253" t="inlineStr">
        <is>
          <t>KALMAR LÄN</t>
        </is>
      </c>
      <c r="E253" t="inlineStr">
        <is>
          <t>VIMMERBY</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59955-2023</t>
        </is>
      </c>
      <c r="B254" s="1" t="n">
        <v>45257.70313657408</v>
      </c>
      <c r="C254" s="1" t="n">
        <v>45998</v>
      </c>
      <c r="D254" t="inlineStr">
        <is>
          <t>KALMAR LÄN</t>
        </is>
      </c>
      <c r="E254" t="inlineStr">
        <is>
          <t>VIMMERBY</t>
        </is>
      </c>
      <c r="G254" t="n">
        <v>13.8</v>
      </c>
      <c r="H254" t="n">
        <v>0</v>
      </c>
      <c r="I254" t="n">
        <v>0</v>
      </c>
      <c r="J254" t="n">
        <v>0</v>
      </c>
      <c r="K254" t="n">
        <v>0</v>
      </c>
      <c r="L254" t="n">
        <v>0</v>
      </c>
      <c r="M254" t="n">
        <v>0</v>
      </c>
      <c r="N254" t="n">
        <v>0</v>
      </c>
      <c r="O254" t="n">
        <v>0</v>
      </c>
      <c r="P254" t="n">
        <v>0</v>
      </c>
      <c r="Q254" t="n">
        <v>0</v>
      </c>
      <c r="R254" s="2" t="inlineStr"/>
    </row>
    <row r="255" ht="15" customHeight="1">
      <c r="A255" t="inlineStr">
        <is>
          <t>A 6574-2023</t>
        </is>
      </c>
      <c r="B255" s="1" t="n">
        <v>44966</v>
      </c>
      <c r="C255" s="1" t="n">
        <v>45998</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36802-2021</t>
        </is>
      </c>
      <c r="B256" s="1" t="n">
        <v>44392</v>
      </c>
      <c r="C256" s="1" t="n">
        <v>45998</v>
      </c>
      <c r="D256" t="inlineStr">
        <is>
          <t>KALMAR LÄN</t>
        </is>
      </c>
      <c r="E256" t="inlineStr">
        <is>
          <t>VIMMERBY</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20054-2023</t>
        </is>
      </c>
      <c r="B257" s="1" t="n">
        <v>45054.6750462963</v>
      </c>
      <c r="C257" s="1" t="n">
        <v>45998</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58750-2022</t>
        </is>
      </c>
      <c r="B258" s="1" t="n">
        <v>44903.33363425926</v>
      </c>
      <c r="C258" s="1" t="n">
        <v>45998</v>
      </c>
      <c r="D258" t="inlineStr">
        <is>
          <t>KALMAR LÄN</t>
        </is>
      </c>
      <c r="E258" t="inlineStr">
        <is>
          <t>VIMMERBY</t>
        </is>
      </c>
      <c r="G258" t="n">
        <v>3.3</v>
      </c>
      <c r="H258" t="n">
        <v>0</v>
      </c>
      <c r="I258" t="n">
        <v>0</v>
      </c>
      <c r="J258" t="n">
        <v>0</v>
      </c>
      <c r="K258" t="n">
        <v>0</v>
      </c>
      <c r="L258" t="n">
        <v>0</v>
      </c>
      <c r="M258" t="n">
        <v>0</v>
      </c>
      <c r="N258" t="n">
        <v>0</v>
      </c>
      <c r="O258" t="n">
        <v>0</v>
      </c>
      <c r="P258" t="n">
        <v>0</v>
      </c>
      <c r="Q258" t="n">
        <v>0</v>
      </c>
      <c r="R258" s="2" t="inlineStr"/>
    </row>
    <row r="259" ht="15" customHeight="1">
      <c r="A259" t="inlineStr">
        <is>
          <t>A 61820-2023</t>
        </is>
      </c>
      <c r="B259" s="1" t="n">
        <v>45266.32614583334</v>
      </c>
      <c r="C259" s="1" t="n">
        <v>45998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3269-2024</t>
        </is>
      </c>
      <c r="B260" s="1" t="n">
        <v>45317.40372685185</v>
      </c>
      <c r="C260" s="1" t="n">
        <v>45998</v>
      </c>
      <c r="D260" t="inlineStr">
        <is>
          <t>KALMAR LÄN</t>
        </is>
      </c>
      <c r="E260" t="inlineStr">
        <is>
          <t>VIMMERBY</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2157-2024</t>
        </is>
      </c>
      <c r="B261" s="1" t="n">
        <v>45309.59487268519</v>
      </c>
      <c r="C261" s="1" t="n">
        <v>45998</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9416-2024</t>
        </is>
      </c>
      <c r="B262" s="1" t="n">
        <v>45359.44837962963</v>
      </c>
      <c r="C262" s="1" t="n">
        <v>45998</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58318-2021</t>
        </is>
      </c>
      <c r="B263" s="1" t="n">
        <v>44488.35878472222</v>
      </c>
      <c r="C263" s="1" t="n">
        <v>45998</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53083-2021</t>
        </is>
      </c>
      <c r="B264" s="1" t="n">
        <v>44467.83386574074</v>
      </c>
      <c r="C264" s="1" t="n">
        <v>45998</v>
      </c>
      <c r="D264" t="inlineStr">
        <is>
          <t>KALMAR LÄN</t>
        </is>
      </c>
      <c r="E264" t="inlineStr">
        <is>
          <t>VIMMERBY</t>
        </is>
      </c>
      <c r="G264" t="n">
        <v>6.8</v>
      </c>
      <c r="H264" t="n">
        <v>0</v>
      </c>
      <c r="I264" t="n">
        <v>0</v>
      </c>
      <c r="J264" t="n">
        <v>0</v>
      </c>
      <c r="K264" t="n">
        <v>0</v>
      </c>
      <c r="L264" t="n">
        <v>0</v>
      </c>
      <c r="M264" t="n">
        <v>0</v>
      </c>
      <c r="N264" t="n">
        <v>0</v>
      </c>
      <c r="O264" t="n">
        <v>0</v>
      </c>
      <c r="P264" t="n">
        <v>0</v>
      </c>
      <c r="Q264" t="n">
        <v>0</v>
      </c>
      <c r="R264" s="2" t="inlineStr"/>
    </row>
    <row r="265" ht="15" customHeight="1">
      <c r="A265" t="inlineStr">
        <is>
          <t>A 29173-2024</t>
        </is>
      </c>
      <c r="B265" s="1" t="n">
        <v>45482.52887731481</v>
      </c>
      <c r="C265" s="1" t="n">
        <v>45998</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11111-2024</t>
        </is>
      </c>
      <c r="B266" s="1" t="n">
        <v>45371.36359953704</v>
      </c>
      <c r="C266" s="1" t="n">
        <v>45998</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11141-2024</t>
        </is>
      </c>
      <c r="B267" s="1" t="n">
        <v>45371.45865740741</v>
      </c>
      <c r="C267" s="1" t="n">
        <v>45998</v>
      </c>
      <c r="D267" t="inlineStr">
        <is>
          <t>KALMAR LÄN</t>
        </is>
      </c>
      <c r="E267" t="inlineStr">
        <is>
          <t>VIMMERBY</t>
        </is>
      </c>
      <c r="G267" t="n">
        <v>0.7</v>
      </c>
      <c r="H267" t="n">
        <v>0</v>
      </c>
      <c r="I267" t="n">
        <v>0</v>
      </c>
      <c r="J267" t="n">
        <v>0</v>
      </c>
      <c r="K267" t="n">
        <v>0</v>
      </c>
      <c r="L267" t="n">
        <v>0</v>
      </c>
      <c r="M267" t="n">
        <v>0</v>
      </c>
      <c r="N267" t="n">
        <v>0</v>
      </c>
      <c r="O267" t="n">
        <v>0</v>
      </c>
      <c r="P267" t="n">
        <v>0</v>
      </c>
      <c r="Q267" t="n">
        <v>0</v>
      </c>
      <c r="R267" s="2" t="inlineStr"/>
    </row>
    <row r="268" ht="15" customHeight="1">
      <c r="A268" t="inlineStr">
        <is>
          <t>A 9418-2024</t>
        </is>
      </c>
      <c r="B268" s="1" t="n">
        <v>45359.45038194444</v>
      </c>
      <c r="C268" s="1" t="n">
        <v>45998</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49313-2022</t>
        </is>
      </c>
      <c r="B269" s="1" t="n">
        <v>44861.52505787037</v>
      </c>
      <c r="C269" s="1" t="n">
        <v>45998</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35998-2024</t>
        </is>
      </c>
      <c r="B270" s="1" t="n">
        <v>45533.54429398148</v>
      </c>
      <c r="C270" s="1" t="n">
        <v>45998</v>
      </c>
      <c r="D270" t="inlineStr">
        <is>
          <t>KALMAR LÄN</t>
        </is>
      </c>
      <c r="E270" t="inlineStr">
        <is>
          <t>VIMMERBY</t>
        </is>
      </c>
      <c r="G270" t="n">
        <v>8.6</v>
      </c>
      <c r="H270" t="n">
        <v>0</v>
      </c>
      <c r="I270" t="n">
        <v>0</v>
      </c>
      <c r="J270" t="n">
        <v>0</v>
      </c>
      <c r="K270" t="n">
        <v>0</v>
      </c>
      <c r="L270" t="n">
        <v>0</v>
      </c>
      <c r="M270" t="n">
        <v>0</v>
      </c>
      <c r="N270" t="n">
        <v>0</v>
      </c>
      <c r="O270" t="n">
        <v>0</v>
      </c>
      <c r="P270" t="n">
        <v>0</v>
      </c>
      <c r="Q270" t="n">
        <v>0</v>
      </c>
      <c r="R270" s="2" t="inlineStr"/>
    </row>
    <row r="271" ht="15" customHeight="1">
      <c r="A271" t="inlineStr">
        <is>
          <t>A 36040-2024</t>
        </is>
      </c>
      <c r="B271" s="1" t="n">
        <v>45533.60232638889</v>
      </c>
      <c r="C271" s="1" t="n">
        <v>45998</v>
      </c>
      <c r="D271" t="inlineStr">
        <is>
          <t>KALMAR LÄN</t>
        </is>
      </c>
      <c r="E271" t="inlineStr">
        <is>
          <t>VIMMERBY</t>
        </is>
      </c>
      <c r="F271" t="inlineStr">
        <is>
          <t>Kommuner</t>
        </is>
      </c>
      <c r="G271" t="n">
        <v>3.6</v>
      </c>
      <c r="H271" t="n">
        <v>0</v>
      </c>
      <c r="I271" t="n">
        <v>0</v>
      </c>
      <c r="J271" t="n">
        <v>0</v>
      </c>
      <c r="K271" t="n">
        <v>0</v>
      </c>
      <c r="L271" t="n">
        <v>0</v>
      </c>
      <c r="M271" t="n">
        <v>0</v>
      </c>
      <c r="N271" t="n">
        <v>0</v>
      </c>
      <c r="O271" t="n">
        <v>0</v>
      </c>
      <c r="P271" t="n">
        <v>0</v>
      </c>
      <c r="Q271" t="n">
        <v>0</v>
      </c>
      <c r="R271" s="2" t="inlineStr"/>
    </row>
    <row r="272" ht="15" customHeight="1">
      <c r="A272" t="inlineStr">
        <is>
          <t>A 36043-2024</t>
        </is>
      </c>
      <c r="B272" s="1" t="n">
        <v>45533.60770833334</v>
      </c>
      <c r="C272" s="1" t="n">
        <v>45998</v>
      </c>
      <c r="D272" t="inlineStr">
        <is>
          <t>KALMAR LÄN</t>
        </is>
      </c>
      <c r="E272" t="inlineStr">
        <is>
          <t>VIMMERBY</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22197-2024</t>
        </is>
      </c>
      <c r="B273" s="1" t="n">
        <v>45446.36774305555</v>
      </c>
      <c r="C273" s="1" t="n">
        <v>45998</v>
      </c>
      <c r="D273" t="inlineStr">
        <is>
          <t>KALMAR LÄN</t>
        </is>
      </c>
      <c r="E273" t="inlineStr">
        <is>
          <t>VIMMERBY</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2260-2022</t>
        </is>
      </c>
      <c r="B274" s="1" t="n">
        <v>44578.62943287037</v>
      </c>
      <c r="C274" s="1" t="n">
        <v>45998</v>
      </c>
      <c r="D274" t="inlineStr">
        <is>
          <t>KALMAR LÄN</t>
        </is>
      </c>
      <c r="E274" t="inlineStr">
        <is>
          <t>VIMMERBY</t>
        </is>
      </c>
      <c r="G274" t="n">
        <v>1.4</v>
      </c>
      <c r="H274" t="n">
        <v>0</v>
      </c>
      <c r="I274" t="n">
        <v>0</v>
      </c>
      <c r="J274" t="n">
        <v>0</v>
      </c>
      <c r="K274" t="n">
        <v>0</v>
      </c>
      <c r="L274" t="n">
        <v>0</v>
      </c>
      <c r="M274" t="n">
        <v>0</v>
      </c>
      <c r="N274" t="n">
        <v>0</v>
      </c>
      <c r="O274" t="n">
        <v>0</v>
      </c>
      <c r="P274" t="n">
        <v>0</v>
      </c>
      <c r="Q274" t="n">
        <v>0</v>
      </c>
      <c r="R274" s="2" t="inlineStr"/>
    </row>
    <row r="275" ht="15" customHeight="1">
      <c r="A275" t="inlineStr">
        <is>
          <t>A 35710-2023</t>
        </is>
      </c>
      <c r="B275" s="1" t="n">
        <v>45147.67096064815</v>
      </c>
      <c r="C275" s="1" t="n">
        <v>45998</v>
      </c>
      <c r="D275" t="inlineStr">
        <is>
          <t>KALMAR LÄN</t>
        </is>
      </c>
      <c r="E275" t="inlineStr">
        <is>
          <t>VIMMERBY</t>
        </is>
      </c>
      <c r="G275" t="n">
        <v>3.1</v>
      </c>
      <c r="H275" t="n">
        <v>0</v>
      </c>
      <c r="I275" t="n">
        <v>0</v>
      </c>
      <c r="J275" t="n">
        <v>0</v>
      </c>
      <c r="K275" t="n">
        <v>0</v>
      </c>
      <c r="L275" t="n">
        <v>0</v>
      </c>
      <c r="M275" t="n">
        <v>0</v>
      </c>
      <c r="N275" t="n">
        <v>0</v>
      </c>
      <c r="O275" t="n">
        <v>0</v>
      </c>
      <c r="P275" t="n">
        <v>0</v>
      </c>
      <c r="Q275" t="n">
        <v>0</v>
      </c>
      <c r="R275" s="2" t="inlineStr"/>
    </row>
    <row r="276" ht="15" customHeight="1">
      <c r="A276" t="inlineStr">
        <is>
          <t>A 35711-2023</t>
        </is>
      </c>
      <c r="B276" s="1" t="n">
        <v>45147.67172453704</v>
      </c>
      <c r="C276" s="1" t="n">
        <v>45998</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50860-2022</t>
        </is>
      </c>
      <c r="B277" s="1" t="n">
        <v>44867</v>
      </c>
      <c r="C277" s="1" t="n">
        <v>45998</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53483-2022</t>
        </is>
      </c>
      <c r="B278" s="1" t="n">
        <v>44879.55940972222</v>
      </c>
      <c r="C278" s="1" t="n">
        <v>45998</v>
      </c>
      <c r="D278" t="inlineStr">
        <is>
          <t>KALMAR LÄN</t>
        </is>
      </c>
      <c r="E278" t="inlineStr">
        <is>
          <t>VIMMERBY</t>
        </is>
      </c>
      <c r="G278" t="n">
        <v>1.4</v>
      </c>
      <c r="H278" t="n">
        <v>0</v>
      </c>
      <c r="I278" t="n">
        <v>0</v>
      </c>
      <c r="J278" t="n">
        <v>0</v>
      </c>
      <c r="K278" t="n">
        <v>0</v>
      </c>
      <c r="L278" t="n">
        <v>0</v>
      </c>
      <c r="M278" t="n">
        <v>0</v>
      </c>
      <c r="N278" t="n">
        <v>0</v>
      </c>
      <c r="O278" t="n">
        <v>0</v>
      </c>
      <c r="P278" t="n">
        <v>0</v>
      </c>
      <c r="Q278" t="n">
        <v>0</v>
      </c>
      <c r="R278" s="2" t="inlineStr"/>
    </row>
    <row r="279" ht="15" customHeight="1">
      <c r="A279" t="inlineStr">
        <is>
          <t>A 58962-2022</t>
        </is>
      </c>
      <c r="B279" s="1" t="n">
        <v>44903</v>
      </c>
      <c r="C279" s="1" t="n">
        <v>45998</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58967-2022</t>
        </is>
      </c>
      <c r="B280" s="1" t="n">
        <v>44896</v>
      </c>
      <c r="C280" s="1" t="n">
        <v>45998</v>
      </c>
      <c r="D280" t="inlineStr">
        <is>
          <t>KALMAR LÄN</t>
        </is>
      </c>
      <c r="E280" t="inlineStr">
        <is>
          <t>VIMMERBY</t>
        </is>
      </c>
      <c r="G280" t="n">
        <v>5</v>
      </c>
      <c r="H280" t="n">
        <v>0</v>
      </c>
      <c r="I280" t="n">
        <v>0</v>
      </c>
      <c r="J280" t="n">
        <v>0</v>
      </c>
      <c r="K280" t="n">
        <v>0</v>
      </c>
      <c r="L280" t="n">
        <v>0</v>
      </c>
      <c r="M280" t="n">
        <v>0</v>
      </c>
      <c r="N280" t="n">
        <v>0</v>
      </c>
      <c r="O280" t="n">
        <v>0</v>
      </c>
      <c r="P280" t="n">
        <v>0</v>
      </c>
      <c r="Q280" t="n">
        <v>0</v>
      </c>
      <c r="R280" s="2" t="inlineStr"/>
    </row>
    <row r="281" ht="15" customHeight="1">
      <c r="A281" t="inlineStr">
        <is>
          <t>A 57682-2022</t>
        </is>
      </c>
      <c r="B281" s="1" t="n">
        <v>44890</v>
      </c>
      <c r="C281" s="1" t="n">
        <v>45998</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34588-2024</t>
        </is>
      </c>
      <c r="B282" s="1" t="n">
        <v>45526.3865625</v>
      </c>
      <c r="C282" s="1" t="n">
        <v>45998</v>
      </c>
      <c r="D282" t="inlineStr">
        <is>
          <t>KALMAR LÄN</t>
        </is>
      </c>
      <c r="E282" t="inlineStr">
        <is>
          <t>VIMMERBY</t>
        </is>
      </c>
      <c r="F282" t="inlineStr">
        <is>
          <t>Övriga Aktiebolag</t>
        </is>
      </c>
      <c r="G282" t="n">
        <v>3.3</v>
      </c>
      <c r="H282" t="n">
        <v>0</v>
      </c>
      <c r="I282" t="n">
        <v>0</v>
      </c>
      <c r="J282" t="n">
        <v>0</v>
      </c>
      <c r="K282" t="n">
        <v>0</v>
      </c>
      <c r="L282" t="n">
        <v>0</v>
      </c>
      <c r="M282" t="n">
        <v>0</v>
      </c>
      <c r="N282" t="n">
        <v>0</v>
      </c>
      <c r="O282" t="n">
        <v>0</v>
      </c>
      <c r="P282" t="n">
        <v>0</v>
      </c>
      <c r="Q282" t="n">
        <v>0</v>
      </c>
      <c r="R282" s="2" t="inlineStr"/>
    </row>
    <row r="283" ht="15" customHeight="1">
      <c r="A283" t="inlineStr">
        <is>
          <t>A 56659-2023</t>
        </is>
      </c>
      <c r="B283" s="1" t="n">
        <v>45243.84869212963</v>
      </c>
      <c r="C283" s="1" t="n">
        <v>45998</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4076-2022</t>
        </is>
      </c>
      <c r="B284" s="1" t="n">
        <v>44588.37998842593</v>
      </c>
      <c r="C284" s="1" t="n">
        <v>45998</v>
      </c>
      <c r="D284" t="inlineStr">
        <is>
          <t>KALMAR LÄN</t>
        </is>
      </c>
      <c r="E284" t="inlineStr">
        <is>
          <t>VIMMERBY</t>
        </is>
      </c>
      <c r="G284" t="n">
        <v>3</v>
      </c>
      <c r="H284" t="n">
        <v>0</v>
      </c>
      <c r="I284" t="n">
        <v>0</v>
      </c>
      <c r="J284" t="n">
        <v>0</v>
      </c>
      <c r="K284" t="n">
        <v>0</v>
      </c>
      <c r="L284" t="n">
        <v>0</v>
      </c>
      <c r="M284" t="n">
        <v>0</v>
      </c>
      <c r="N284" t="n">
        <v>0</v>
      </c>
      <c r="O284" t="n">
        <v>0</v>
      </c>
      <c r="P284" t="n">
        <v>0</v>
      </c>
      <c r="Q284" t="n">
        <v>0</v>
      </c>
      <c r="R284" s="2" t="inlineStr"/>
    </row>
    <row r="285" ht="15" customHeight="1">
      <c r="A285" t="inlineStr">
        <is>
          <t>A 4122-2022</t>
        </is>
      </c>
      <c r="B285" s="1" t="n">
        <v>44588</v>
      </c>
      <c r="C285" s="1" t="n">
        <v>45998</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65961-2020</t>
        </is>
      </c>
      <c r="B286" s="1" t="n">
        <v>44175.39748842592</v>
      </c>
      <c r="C286" s="1" t="n">
        <v>45998</v>
      </c>
      <c r="D286" t="inlineStr">
        <is>
          <t>KALMAR LÄN</t>
        </is>
      </c>
      <c r="E286" t="inlineStr">
        <is>
          <t>VIMMERBY</t>
        </is>
      </c>
      <c r="G286" t="n">
        <v>2.6</v>
      </c>
      <c r="H286" t="n">
        <v>0</v>
      </c>
      <c r="I286" t="n">
        <v>0</v>
      </c>
      <c r="J286" t="n">
        <v>0</v>
      </c>
      <c r="K286" t="n">
        <v>0</v>
      </c>
      <c r="L286" t="n">
        <v>0</v>
      </c>
      <c r="M286" t="n">
        <v>0</v>
      </c>
      <c r="N286" t="n">
        <v>0</v>
      </c>
      <c r="O286" t="n">
        <v>0</v>
      </c>
      <c r="P286" t="n">
        <v>0</v>
      </c>
      <c r="Q286" t="n">
        <v>0</v>
      </c>
      <c r="R286" s="2" t="inlineStr"/>
    </row>
    <row r="287" ht="15" customHeight="1">
      <c r="A287" t="inlineStr">
        <is>
          <t>A 3331-2023</t>
        </is>
      </c>
      <c r="B287" s="1" t="n">
        <v>44949</v>
      </c>
      <c r="C287" s="1" t="n">
        <v>45998</v>
      </c>
      <c r="D287" t="inlineStr">
        <is>
          <t>KALMAR LÄN</t>
        </is>
      </c>
      <c r="E287" t="inlineStr">
        <is>
          <t>VIMMERBY</t>
        </is>
      </c>
      <c r="G287" t="n">
        <v>6.2</v>
      </c>
      <c r="H287" t="n">
        <v>0</v>
      </c>
      <c r="I287" t="n">
        <v>0</v>
      </c>
      <c r="J287" t="n">
        <v>0</v>
      </c>
      <c r="K287" t="n">
        <v>0</v>
      </c>
      <c r="L287" t="n">
        <v>0</v>
      </c>
      <c r="M287" t="n">
        <v>0</v>
      </c>
      <c r="N287" t="n">
        <v>0</v>
      </c>
      <c r="O287" t="n">
        <v>0</v>
      </c>
      <c r="P287" t="n">
        <v>0</v>
      </c>
      <c r="Q287" t="n">
        <v>0</v>
      </c>
      <c r="R287" s="2" t="inlineStr"/>
    </row>
    <row r="288" ht="15" customHeight="1">
      <c r="A288" t="inlineStr">
        <is>
          <t>A 40828-2023</t>
        </is>
      </c>
      <c r="B288" s="1" t="n">
        <v>45171.96248842592</v>
      </c>
      <c r="C288" s="1" t="n">
        <v>45998</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9624-2024</t>
        </is>
      </c>
      <c r="B289" s="1" t="n">
        <v>45361.90282407407</v>
      </c>
      <c r="C289" s="1" t="n">
        <v>45998</v>
      </c>
      <c r="D289" t="inlineStr">
        <is>
          <t>KALMAR LÄN</t>
        </is>
      </c>
      <c r="E289" t="inlineStr">
        <is>
          <t>VIMMERBY</t>
        </is>
      </c>
      <c r="G289" t="n">
        <v>3.8</v>
      </c>
      <c r="H289" t="n">
        <v>0</v>
      </c>
      <c r="I289" t="n">
        <v>0</v>
      </c>
      <c r="J289" t="n">
        <v>0</v>
      </c>
      <c r="K289" t="n">
        <v>0</v>
      </c>
      <c r="L289" t="n">
        <v>0</v>
      </c>
      <c r="M289" t="n">
        <v>0</v>
      </c>
      <c r="N289" t="n">
        <v>0</v>
      </c>
      <c r="O289" t="n">
        <v>0</v>
      </c>
      <c r="P289" t="n">
        <v>0</v>
      </c>
      <c r="Q289" t="n">
        <v>0</v>
      </c>
      <c r="R289" s="2" t="inlineStr"/>
    </row>
    <row r="290" ht="15" customHeight="1">
      <c r="A290" t="inlineStr">
        <is>
          <t>A 52327-2023</t>
        </is>
      </c>
      <c r="B290" s="1" t="n">
        <v>45224.6515162037</v>
      </c>
      <c r="C290" s="1" t="n">
        <v>45998</v>
      </c>
      <c r="D290" t="inlineStr">
        <is>
          <t>KALMAR LÄN</t>
        </is>
      </c>
      <c r="E290" t="inlineStr">
        <is>
          <t>VIMMERBY</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16734-2023</t>
        </is>
      </c>
      <c r="B291" s="1" t="n">
        <v>45030.71012731481</v>
      </c>
      <c r="C291" s="1" t="n">
        <v>45998</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29616-2022</t>
        </is>
      </c>
      <c r="B292" s="1" t="n">
        <v>44754</v>
      </c>
      <c r="C292" s="1" t="n">
        <v>45998</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29348-2023</t>
        </is>
      </c>
      <c r="B293" s="1" t="n">
        <v>45106.25025462963</v>
      </c>
      <c r="C293" s="1" t="n">
        <v>45998</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64143-2021</t>
        </is>
      </c>
      <c r="B294" s="1" t="n">
        <v>44510.52157407408</v>
      </c>
      <c r="C294" s="1" t="n">
        <v>45998</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9720-2023</t>
        </is>
      </c>
      <c r="B295" s="1" t="n">
        <v>44984</v>
      </c>
      <c r="C295" s="1" t="n">
        <v>45998</v>
      </c>
      <c r="D295" t="inlineStr">
        <is>
          <t>KALMAR LÄN</t>
        </is>
      </c>
      <c r="E295" t="inlineStr">
        <is>
          <t>VIMMERBY</t>
        </is>
      </c>
      <c r="G295" t="n">
        <v>4.4</v>
      </c>
      <c r="H295" t="n">
        <v>0</v>
      </c>
      <c r="I295" t="n">
        <v>0</v>
      </c>
      <c r="J295" t="n">
        <v>0</v>
      </c>
      <c r="K295" t="n">
        <v>0</v>
      </c>
      <c r="L295" t="n">
        <v>0</v>
      </c>
      <c r="M295" t="n">
        <v>0</v>
      </c>
      <c r="N295" t="n">
        <v>0</v>
      </c>
      <c r="O295" t="n">
        <v>0</v>
      </c>
      <c r="P295" t="n">
        <v>0</v>
      </c>
      <c r="Q295" t="n">
        <v>0</v>
      </c>
      <c r="R295" s="2" t="inlineStr"/>
    </row>
    <row r="296" ht="15" customHeight="1">
      <c r="A296" t="inlineStr">
        <is>
          <t>A 28403-2023</t>
        </is>
      </c>
      <c r="B296" s="1" t="n">
        <v>45100.85270833333</v>
      </c>
      <c r="C296" s="1" t="n">
        <v>45998</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5938-2022</t>
        </is>
      </c>
      <c r="B297" s="1" t="n">
        <v>44598</v>
      </c>
      <c r="C297" s="1" t="n">
        <v>45998</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1687-2023</t>
        </is>
      </c>
      <c r="B298" s="1" t="n">
        <v>44938</v>
      </c>
      <c r="C298" s="1" t="n">
        <v>45998</v>
      </c>
      <c r="D298" t="inlineStr">
        <is>
          <t>KALMAR LÄN</t>
        </is>
      </c>
      <c r="E298" t="inlineStr">
        <is>
          <t>VIMMERBY</t>
        </is>
      </c>
      <c r="F298" t="inlineStr">
        <is>
          <t>Kommuner</t>
        </is>
      </c>
      <c r="G298" t="n">
        <v>2.5</v>
      </c>
      <c r="H298" t="n">
        <v>0</v>
      </c>
      <c r="I298" t="n">
        <v>0</v>
      </c>
      <c r="J298" t="n">
        <v>0</v>
      </c>
      <c r="K298" t="n">
        <v>0</v>
      </c>
      <c r="L298" t="n">
        <v>0</v>
      </c>
      <c r="M298" t="n">
        <v>0</v>
      </c>
      <c r="N298" t="n">
        <v>0</v>
      </c>
      <c r="O298" t="n">
        <v>0</v>
      </c>
      <c r="P298" t="n">
        <v>0</v>
      </c>
      <c r="Q298" t="n">
        <v>0</v>
      </c>
      <c r="R298" s="2" t="inlineStr"/>
    </row>
    <row r="299" ht="15" customHeight="1">
      <c r="A299" t="inlineStr">
        <is>
          <t>A 29440-2024</t>
        </is>
      </c>
      <c r="B299" s="1" t="n">
        <v>45483.82479166667</v>
      </c>
      <c r="C299" s="1" t="n">
        <v>45998</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30921-2024</t>
        </is>
      </c>
      <c r="B300" s="1" t="n">
        <v>45498</v>
      </c>
      <c r="C300" s="1" t="n">
        <v>45998</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53482-2022</t>
        </is>
      </c>
      <c r="B301" s="1" t="n">
        <v>44879</v>
      </c>
      <c r="C301" s="1" t="n">
        <v>45998</v>
      </c>
      <c r="D301" t="inlineStr">
        <is>
          <t>KALMAR LÄN</t>
        </is>
      </c>
      <c r="E301" t="inlineStr">
        <is>
          <t>VIMMERBY</t>
        </is>
      </c>
      <c r="G301" t="n">
        <v>10.1</v>
      </c>
      <c r="H301" t="n">
        <v>0</v>
      </c>
      <c r="I301" t="n">
        <v>0</v>
      </c>
      <c r="J301" t="n">
        <v>0</v>
      </c>
      <c r="K301" t="n">
        <v>0</v>
      </c>
      <c r="L301" t="n">
        <v>0</v>
      </c>
      <c r="M301" t="n">
        <v>0</v>
      </c>
      <c r="N301" t="n">
        <v>0</v>
      </c>
      <c r="O301" t="n">
        <v>0</v>
      </c>
      <c r="P301" t="n">
        <v>0</v>
      </c>
      <c r="Q301" t="n">
        <v>0</v>
      </c>
      <c r="R301" s="2" t="inlineStr"/>
    </row>
    <row r="302" ht="15" customHeight="1">
      <c r="A302" t="inlineStr">
        <is>
          <t>A 17511-2024</t>
        </is>
      </c>
      <c r="B302" s="1" t="n">
        <v>45415.57682870371</v>
      </c>
      <c r="C302" s="1" t="n">
        <v>45998</v>
      </c>
      <c r="D302" t="inlineStr">
        <is>
          <t>KALMAR LÄN</t>
        </is>
      </c>
      <c r="E302" t="inlineStr">
        <is>
          <t>VIMMERBY</t>
        </is>
      </c>
      <c r="G302" t="n">
        <v>5.3</v>
      </c>
      <c r="H302" t="n">
        <v>0</v>
      </c>
      <c r="I302" t="n">
        <v>0</v>
      </c>
      <c r="J302" t="n">
        <v>0</v>
      </c>
      <c r="K302" t="n">
        <v>0</v>
      </c>
      <c r="L302" t="n">
        <v>0</v>
      </c>
      <c r="M302" t="n">
        <v>0</v>
      </c>
      <c r="N302" t="n">
        <v>0</v>
      </c>
      <c r="O302" t="n">
        <v>0</v>
      </c>
      <c r="P302" t="n">
        <v>0</v>
      </c>
      <c r="Q302" t="n">
        <v>0</v>
      </c>
      <c r="R302" s="2" t="inlineStr"/>
    </row>
    <row r="303" ht="15" customHeight="1">
      <c r="A303" t="inlineStr">
        <is>
          <t>A 29180-2024</t>
        </is>
      </c>
      <c r="B303" s="1" t="n">
        <v>45482.54108796296</v>
      </c>
      <c r="C303" s="1" t="n">
        <v>45998</v>
      </c>
      <c r="D303" t="inlineStr">
        <is>
          <t>KALMAR LÄN</t>
        </is>
      </c>
      <c r="E303" t="inlineStr">
        <is>
          <t>VIMMERBY</t>
        </is>
      </c>
      <c r="G303" t="n">
        <v>3.8</v>
      </c>
      <c r="H303" t="n">
        <v>0</v>
      </c>
      <c r="I303" t="n">
        <v>0</v>
      </c>
      <c r="J303" t="n">
        <v>0</v>
      </c>
      <c r="K303" t="n">
        <v>0</v>
      </c>
      <c r="L303" t="n">
        <v>0</v>
      </c>
      <c r="M303" t="n">
        <v>0</v>
      </c>
      <c r="N303" t="n">
        <v>0</v>
      </c>
      <c r="O303" t="n">
        <v>0</v>
      </c>
      <c r="P303" t="n">
        <v>0</v>
      </c>
      <c r="Q303" t="n">
        <v>0</v>
      </c>
      <c r="R303" s="2" t="inlineStr"/>
    </row>
    <row r="304" ht="15" customHeight="1">
      <c r="A304" t="inlineStr">
        <is>
          <t>A 52588-2023</t>
        </is>
      </c>
      <c r="B304" s="1" t="n">
        <v>45225.60192129629</v>
      </c>
      <c r="C304" s="1" t="n">
        <v>45998</v>
      </c>
      <c r="D304" t="inlineStr">
        <is>
          <t>KALMAR LÄN</t>
        </is>
      </c>
      <c r="E304" t="inlineStr">
        <is>
          <t>VIMMERBY</t>
        </is>
      </c>
      <c r="G304" t="n">
        <v>2.9</v>
      </c>
      <c r="H304" t="n">
        <v>0</v>
      </c>
      <c r="I304" t="n">
        <v>0</v>
      </c>
      <c r="J304" t="n">
        <v>0</v>
      </c>
      <c r="K304" t="n">
        <v>0</v>
      </c>
      <c r="L304" t="n">
        <v>0</v>
      </c>
      <c r="M304" t="n">
        <v>0</v>
      </c>
      <c r="N304" t="n">
        <v>0</v>
      </c>
      <c r="O304" t="n">
        <v>0</v>
      </c>
      <c r="P304" t="n">
        <v>0</v>
      </c>
      <c r="Q304" t="n">
        <v>0</v>
      </c>
      <c r="R304" s="2" t="inlineStr"/>
    </row>
    <row r="305" ht="15" customHeight="1">
      <c r="A305" t="inlineStr">
        <is>
          <t>A 66022-2021</t>
        </is>
      </c>
      <c r="B305" s="1" t="n">
        <v>44517</v>
      </c>
      <c r="C305" s="1" t="n">
        <v>45998</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29973-2023</t>
        </is>
      </c>
      <c r="B306" s="1" t="n">
        <v>45108.703125</v>
      </c>
      <c r="C306" s="1" t="n">
        <v>45998</v>
      </c>
      <c r="D306" t="inlineStr">
        <is>
          <t>KALMAR LÄN</t>
        </is>
      </c>
      <c r="E306" t="inlineStr">
        <is>
          <t>VIMMERBY</t>
        </is>
      </c>
      <c r="G306" t="n">
        <v>4</v>
      </c>
      <c r="H306" t="n">
        <v>0</v>
      </c>
      <c r="I306" t="n">
        <v>0</v>
      </c>
      <c r="J306" t="n">
        <v>0</v>
      </c>
      <c r="K306" t="n">
        <v>0</v>
      </c>
      <c r="L306" t="n">
        <v>0</v>
      </c>
      <c r="M306" t="n">
        <v>0</v>
      </c>
      <c r="N306" t="n">
        <v>0</v>
      </c>
      <c r="O306" t="n">
        <v>0</v>
      </c>
      <c r="P306" t="n">
        <v>0</v>
      </c>
      <c r="Q306" t="n">
        <v>0</v>
      </c>
      <c r="R306" s="2" t="inlineStr"/>
    </row>
    <row r="307" ht="15" customHeight="1">
      <c r="A307" t="inlineStr">
        <is>
          <t>A 55236-2023</t>
        </is>
      </c>
      <c r="B307" s="1" t="n">
        <v>45237.63225694445</v>
      </c>
      <c r="C307" s="1" t="n">
        <v>45998</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55245-2023</t>
        </is>
      </c>
      <c r="B308" s="1" t="n">
        <v>45237.64408564815</v>
      </c>
      <c r="C308" s="1" t="n">
        <v>45998</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19111-2025</t>
        </is>
      </c>
      <c r="B309" s="1" t="n">
        <v>45768.65611111111</v>
      </c>
      <c r="C309" s="1" t="n">
        <v>45998</v>
      </c>
      <c r="D309" t="inlineStr">
        <is>
          <t>KALMAR LÄN</t>
        </is>
      </c>
      <c r="E309" t="inlineStr">
        <is>
          <t>VIMMERBY</t>
        </is>
      </c>
      <c r="G309" t="n">
        <v>6.2</v>
      </c>
      <c r="H309" t="n">
        <v>0</v>
      </c>
      <c r="I309" t="n">
        <v>0</v>
      </c>
      <c r="J309" t="n">
        <v>0</v>
      </c>
      <c r="K309" t="n">
        <v>0</v>
      </c>
      <c r="L309" t="n">
        <v>0</v>
      </c>
      <c r="M309" t="n">
        <v>0</v>
      </c>
      <c r="N309" t="n">
        <v>0</v>
      </c>
      <c r="O309" t="n">
        <v>0</v>
      </c>
      <c r="P309" t="n">
        <v>0</v>
      </c>
      <c r="Q309" t="n">
        <v>0</v>
      </c>
      <c r="R309" s="2" t="inlineStr"/>
    </row>
    <row r="310" ht="15" customHeight="1">
      <c r="A310" t="inlineStr">
        <is>
          <t>A 30070-2023</t>
        </is>
      </c>
      <c r="B310" s="1" t="n">
        <v>45110.4275</v>
      </c>
      <c r="C310" s="1" t="n">
        <v>45998</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25370-2022</t>
        </is>
      </c>
      <c r="B311" s="1" t="n">
        <v>44732.3659837963</v>
      </c>
      <c r="C311" s="1" t="n">
        <v>45998</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46078-2023</t>
        </is>
      </c>
      <c r="B312" s="1" t="n">
        <v>45196</v>
      </c>
      <c r="C312" s="1" t="n">
        <v>45998</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7643-2022</t>
        </is>
      </c>
      <c r="B313" s="1" t="n">
        <v>44607</v>
      </c>
      <c r="C313" s="1" t="n">
        <v>45998</v>
      </c>
      <c r="D313" t="inlineStr">
        <is>
          <t>KALMAR LÄN</t>
        </is>
      </c>
      <c r="E313" t="inlineStr">
        <is>
          <t>VIMMERBY</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3494-2023</t>
        </is>
      </c>
      <c r="B314" s="1" t="n">
        <v>44949</v>
      </c>
      <c r="C314" s="1" t="n">
        <v>45998</v>
      </c>
      <c r="D314" t="inlineStr">
        <is>
          <t>KALMAR LÄN</t>
        </is>
      </c>
      <c r="E314" t="inlineStr">
        <is>
          <t>VIMMERBY</t>
        </is>
      </c>
      <c r="F314" t="inlineStr">
        <is>
          <t>Kyrkan</t>
        </is>
      </c>
      <c r="G314" t="n">
        <v>0.8</v>
      </c>
      <c r="H314" t="n">
        <v>0</v>
      </c>
      <c r="I314" t="n">
        <v>0</v>
      </c>
      <c r="J314" t="n">
        <v>0</v>
      </c>
      <c r="K314" t="n">
        <v>0</v>
      </c>
      <c r="L314" t="n">
        <v>0</v>
      </c>
      <c r="M314" t="n">
        <v>0</v>
      </c>
      <c r="N314" t="n">
        <v>0</v>
      </c>
      <c r="O314" t="n">
        <v>0</v>
      </c>
      <c r="P314" t="n">
        <v>0</v>
      </c>
      <c r="Q314" t="n">
        <v>0</v>
      </c>
      <c r="R314" s="2" t="inlineStr"/>
    </row>
    <row r="315" ht="15" customHeight="1">
      <c r="A315" t="inlineStr">
        <is>
          <t>A 33838-2022</t>
        </is>
      </c>
      <c r="B315" s="1" t="n">
        <v>44790.49040509259</v>
      </c>
      <c r="C315" s="1" t="n">
        <v>45998</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32633-2023</t>
        </is>
      </c>
      <c r="B316" s="1" t="n">
        <v>45121.58699074074</v>
      </c>
      <c r="C316" s="1" t="n">
        <v>45998</v>
      </c>
      <c r="D316" t="inlineStr">
        <is>
          <t>KALMAR LÄN</t>
        </is>
      </c>
      <c r="E316" t="inlineStr">
        <is>
          <t>VIMMERBY</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4058-2024</t>
        </is>
      </c>
      <c r="B317" s="1" t="n">
        <v>45323.53744212963</v>
      </c>
      <c r="C317" s="1" t="n">
        <v>45998</v>
      </c>
      <c r="D317" t="inlineStr">
        <is>
          <t>KALMAR LÄN</t>
        </is>
      </c>
      <c r="E317" t="inlineStr">
        <is>
          <t>VIMMERBY</t>
        </is>
      </c>
      <c r="G317" t="n">
        <v>6.5</v>
      </c>
      <c r="H317" t="n">
        <v>0</v>
      </c>
      <c r="I317" t="n">
        <v>0</v>
      </c>
      <c r="J317" t="n">
        <v>0</v>
      </c>
      <c r="K317" t="n">
        <v>0</v>
      </c>
      <c r="L317" t="n">
        <v>0</v>
      </c>
      <c r="M317" t="n">
        <v>0</v>
      </c>
      <c r="N317" t="n">
        <v>0</v>
      </c>
      <c r="O317" t="n">
        <v>0</v>
      </c>
      <c r="P317" t="n">
        <v>0</v>
      </c>
      <c r="Q317" t="n">
        <v>0</v>
      </c>
      <c r="R317" s="2" t="inlineStr"/>
    </row>
    <row r="318" ht="15" customHeight="1">
      <c r="A318" t="inlineStr">
        <is>
          <t>A 43601-2024</t>
        </is>
      </c>
      <c r="B318" s="1" t="n">
        <v>45569.44684027778</v>
      </c>
      <c r="C318" s="1" t="n">
        <v>45998</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36008-2024</t>
        </is>
      </c>
      <c r="B319" s="1" t="n">
        <v>45533.55362268518</v>
      </c>
      <c r="C319" s="1" t="n">
        <v>45998</v>
      </c>
      <c r="D319" t="inlineStr">
        <is>
          <t>KALMAR LÄN</t>
        </is>
      </c>
      <c r="E319" t="inlineStr">
        <is>
          <t>VIMMERBY</t>
        </is>
      </c>
      <c r="G319" t="n">
        <v>3.7</v>
      </c>
      <c r="H319" t="n">
        <v>0</v>
      </c>
      <c r="I319" t="n">
        <v>0</v>
      </c>
      <c r="J319" t="n">
        <v>0</v>
      </c>
      <c r="K319" t="n">
        <v>0</v>
      </c>
      <c r="L319" t="n">
        <v>0</v>
      </c>
      <c r="M319" t="n">
        <v>0</v>
      </c>
      <c r="N319" t="n">
        <v>0</v>
      </c>
      <c r="O319" t="n">
        <v>0</v>
      </c>
      <c r="P319" t="n">
        <v>0</v>
      </c>
      <c r="Q319" t="n">
        <v>0</v>
      </c>
      <c r="R319" s="2" t="inlineStr"/>
    </row>
    <row r="320" ht="15" customHeight="1">
      <c r="A320" t="inlineStr">
        <is>
          <t>A 18669-2025</t>
        </is>
      </c>
      <c r="B320" s="1" t="n">
        <v>45763.59436342592</v>
      </c>
      <c r="C320" s="1" t="n">
        <v>45998</v>
      </c>
      <c r="D320" t="inlineStr">
        <is>
          <t>KALMAR LÄN</t>
        </is>
      </c>
      <c r="E320" t="inlineStr">
        <is>
          <t>VIMMERBY</t>
        </is>
      </c>
      <c r="G320" t="n">
        <v>2.7</v>
      </c>
      <c r="H320" t="n">
        <v>0</v>
      </c>
      <c r="I320" t="n">
        <v>0</v>
      </c>
      <c r="J320" t="n">
        <v>0</v>
      </c>
      <c r="K320" t="n">
        <v>0</v>
      </c>
      <c r="L320" t="n">
        <v>0</v>
      </c>
      <c r="M320" t="n">
        <v>0</v>
      </c>
      <c r="N320" t="n">
        <v>0</v>
      </c>
      <c r="O320" t="n">
        <v>0</v>
      </c>
      <c r="P320" t="n">
        <v>0</v>
      </c>
      <c r="Q320" t="n">
        <v>0</v>
      </c>
      <c r="R320" s="2" t="inlineStr"/>
    </row>
    <row r="321" ht="15" customHeight="1">
      <c r="A321" t="inlineStr">
        <is>
          <t>A 8540-2024</t>
        </is>
      </c>
      <c r="B321" s="1" t="n">
        <v>45355.54138888889</v>
      </c>
      <c r="C321" s="1" t="n">
        <v>45998</v>
      </c>
      <c r="D321" t="inlineStr">
        <is>
          <t>KALMAR LÄN</t>
        </is>
      </c>
      <c r="E321" t="inlineStr">
        <is>
          <t>VIMMERBY</t>
        </is>
      </c>
      <c r="G321" t="n">
        <v>1.9</v>
      </c>
      <c r="H321" t="n">
        <v>0</v>
      </c>
      <c r="I321" t="n">
        <v>0</v>
      </c>
      <c r="J321" t="n">
        <v>0</v>
      </c>
      <c r="K321" t="n">
        <v>0</v>
      </c>
      <c r="L321" t="n">
        <v>0</v>
      </c>
      <c r="M321" t="n">
        <v>0</v>
      </c>
      <c r="N321" t="n">
        <v>0</v>
      </c>
      <c r="O321" t="n">
        <v>0</v>
      </c>
      <c r="P321" t="n">
        <v>0</v>
      </c>
      <c r="Q321" t="n">
        <v>0</v>
      </c>
      <c r="R321" s="2" t="inlineStr"/>
    </row>
    <row r="322" ht="15" customHeight="1">
      <c r="A322" t="inlineStr">
        <is>
          <t>A 9623-2024</t>
        </is>
      </c>
      <c r="B322" s="1" t="n">
        <v>45361.87975694444</v>
      </c>
      <c r="C322" s="1" t="n">
        <v>45998</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5146-2024</t>
        </is>
      </c>
      <c r="B323" s="1" t="n">
        <v>45330</v>
      </c>
      <c r="C323" s="1" t="n">
        <v>45998</v>
      </c>
      <c r="D323" t="inlineStr">
        <is>
          <t>KALMAR LÄN</t>
        </is>
      </c>
      <c r="E323" t="inlineStr">
        <is>
          <t>VIMMERBY</t>
        </is>
      </c>
      <c r="G323" t="n">
        <v>5.3</v>
      </c>
      <c r="H323" t="n">
        <v>0</v>
      </c>
      <c r="I323" t="n">
        <v>0</v>
      </c>
      <c r="J323" t="n">
        <v>0</v>
      </c>
      <c r="K323" t="n">
        <v>0</v>
      </c>
      <c r="L323" t="n">
        <v>0</v>
      </c>
      <c r="M323" t="n">
        <v>0</v>
      </c>
      <c r="N323" t="n">
        <v>0</v>
      </c>
      <c r="O323" t="n">
        <v>0</v>
      </c>
      <c r="P323" t="n">
        <v>0</v>
      </c>
      <c r="Q323" t="n">
        <v>0</v>
      </c>
      <c r="R323" s="2" t="inlineStr"/>
    </row>
    <row r="324" ht="15" customHeight="1">
      <c r="A324" t="inlineStr">
        <is>
          <t>A 5148-2024</t>
        </is>
      </c>
      <c r="B324" s="1" t="n">
        <v>45330</v>
      </c>
      <c r="C324" s="1" t="n">
        <v>45998</v>
      </c>
      <c r="D324" t="inlineStr">
        <is>
          <t>KALMAR LÄN</t>
        </is>
      </c>
      <c r="E324" t="inlineStr">
        <is>
          <t>VIMMERBY</t>
        </is>
      </c>
      <c r="G324" t="n">
        <v>5.6</v>
      </c>
      <c r="H324" t="n">
        <v>0</v>
      </c>
      <c r="I324" t="n">
        <v>0</v>
      </c>
      <c r="J324" t="n">
        <v>0</v>
      </c>
      <c r="K324" t="n">
        <v>0</v>
      </c>
      <c r="L324" t="n">
        <v>0</v>
      </c>
      <c r="M324" t="n">
        <v>0</v>
      </c>
      <c r="N324" t="n">
        <v>0</v>
      </c>
      <c r="O324" t="n">
        <v>0</v>
      </c>
      <c r="P324" t="n">
        <v>0</v>
      </c>
      <c r="Q324" t="n">
        <v>0</v>
      </c>
      <c r="R324" s="2" t="inlineStr"/>
    </row>
    <row r="325" ht="15" customHeight="1">
      <c r="A325" t="inlineStr">
        <is>
          <t>A 44179-2022</t>
        </is>
      </c>
      <c r="B325" s="1" t="n">
        <v>44839.4528125</v>
      </c>
      <c r="C325" s="1" t="n">
        <v>45998</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13813-2024</t>
        </is>
      </c>
      <c r="B326" s="1" t="n">
        <v>45391.41310185185</v>
      </c>
      <c r="C326" s="1" t="n">
        <v>45998</v>
      </c>
      <c r="D326" t="inlineStr">
        <is>
          <t>KALMAR LÄN</t>
        </is>
      </c>
      <c r="E326" t="inlineStr">
        <is>
          <t>VIMMERBY</t>
        </is>
      </c>
      <c r="G326" t="n">
        <v>0.4</v>
      </c>
      <c r="H326" t="n">
        <v>0</v>
      </c>
      <c r="I326" t="n">
        <v>0</v>
      </c>
      <c r="J326" t="n">
        <v>0</v>
      </c>
      <c r="K326" t="n">
        <v>0</v>
      </c>
      <c r="L326" t="n">
        <v>0</v>
      </c>
      <c r="M326" t="n">
        <v>0</v>
      </c>
      <c r="N326" t="n">
        <v>0</v>
      </c>
      <c r="O326" t="n">
        <v>0</v>
      </c>
      <c r="P326" t="n">
        <v>0</v>
      </c>
      <c r="Q326" t="n">
        <v>0</v>
      </c>
      <c r="R326" s="2" t="inlineStr"/>
    </row>
    <row r="327" ht="15" customHeight="1">
      <c r="A327" t="inlineStr">
        <is>
          <t>A 50648-2023</t>
        </is>
      </c>
      <c r="B327" s="1" t="n">
        <v>45217.47834490741</v>
      </c>
      <c r="C327" s="1" t="n">
        <v>45998</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25234-2023</t>
        </is>
      </c>
      <c r="B328" s="1" t="n">
        <v>45086.63194444445</v>
      </c>
      <c r="C328" s="1" t="n">
        <v>45998</v>
      </c>
      <c r="D328" t="inlineStr">
        <is>
          <t>KALMAR LÄN</t>
        </is>
      </c>
      <c r="E328" t="inlineStr">
        <is>
          <t>VIMMERBY</t>
        </is>
      </c>
      <c r="G328" t="n">
        <v>2.1</v>
      </c>
      <c r="H328" t="n">
        <v>0</v>
      </c>
      <c r="I328" t="n">
        <v>0</v>
      </c>
      <c r="J328" t="n">
        <v>0</v>
      </c>
      <c r="K328" t="n">
        <v>0</v>
      </c>
      <c r="L328" t="n">
        <v>0</v>
      </c>
      <c r="M328" t="n">
        <v>0</v>
      </c>
      <c r="N328" t="n">
        <v>0</v>
      </c>
      <c r="O328" t="n">
        <v>0</v>
      </c>
      <c r="P328" t="n">
        <v>0</v>
      </c>
      <c r="Q328" t="n">
        <v>0</v>
      </c>
      <c r="R328" s="2" t="inlineStr"/>
    </row>
    <row r="329" ht="15" customHeight="1">
      <c r="A329" t="inlineStr">
        <is>
          <t>A 25236-2023</t>
        </is>
      </c>
      <c r="B329" s="1" t="n">
        <v>45086.63334490741</v>
      </c>
      <c r="C329" s="1" t="n">
        <v>45998</v>
      </c>
      <c r="D329" t="inlineStr">
        <is>
          <t>KALMAR LÄN</t>
        </is>
      </c>
      <c r="E329" t="inlineStr">
        <is>
          <t>VIMMERBY</t>
        </is>
      </c>
      <c r="G329" t="n">
        <v>0.9</v>
      </c>
      <c r="H329" t="n">
        <v>0</v>
      </c>
      <c r="I329" t="n">
        <v>0</v>
      </c>
      <c r="J329" t="n">
        <v>0</v>
      </c>
      <c r="K329" t="n">
        <v>0</v>
      </c>
      <c r="L329" t="n">
        <v>0</v>
      </c>
      <c r="M329" t="n">
        <v>0</v>
      </c>
      <c r="N329" t="n">
        <v>0</v>
      </c>
      <c r="O329" t="n">
        <v>0</v>
      </c>
      <c r="P329" t="n">
        <v>0</v>
      </c>
      <c r="Q329" t="n">
        <v>0</v>
      </c>
      <c r="R329" s="2" t="inlineStr"/>
    </row>
    <row r="330" ht="15" customHeight="1">
      <c r="A330" t="inlineStr">
        <is>
          <t>A 25244-2023</t>
        </is>
      </c>
      <c r="B330" s="1" t="n">
        <v>45086</v>
      </c>
      <c r="C330" s="1" t="n">
        <v>45998</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2121-2022</t>
        </is>
      </c>
      <c r="B331" s="1" t="n">
        <v>44578.32717592592</v>
      </c>
      <c r="C331" s="1" t="n">
        <v>45998</v>
      </c>
      <c r="D331" t="inlineStr">
        <is>
          <t>KALMAR LÄN</t>
        </is>
      </c>
      <c r="E331" t="inlineStr">
        <is>
          <t>VIMMERBY</t>
        </is>
      </c>
      <c r="G331" t="n">
        <v>2</v>
      </c>
      <c r="H331" t="n">
        <v>0</v>
      </c>
      <c r="I331" t="n">
        <v>0</v>
      </c>
      <c r="J331" t="n">
        <v>0</v>
      </c>
      <c r="K331" t="n">
        <v>0</v>
      </c>
      <c r="L331" t="n">
        <v>0</v>
      </c>
      <c r="M331" t="n">
        <v>0</v>
      </c>
      <c r="N331" t="n">
        <v>0</v>
      </c>
      <c r="O331" t="n">
        <v>0</v>
      </c>
      <c r="P331" t="n">
        <v>0</v>
      </c>
      <c r="Q331" t="n">
        <v>0</v>
      </c>
      <c r="R331" s="2" t="inlineStr"/>
    </row>
    <row r="332" ht="15" customHeight="1">
      <c r="A332" t="inlineStr">
        <is>
          <t>A 57799-2022</t>
        </is>
      </c>
      <c r="B332" s="1" t="n">
        <v>44897</v>
      </c>
      <c r="C332" s="1" t="n">
        <v>45998</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15394-2025</t>
        </is>
      </c>
      <c r="B333" s="1" t="n">
        <v>45747.43196759259</v>
      </c>
      <c r="C333" s="1" t="n">
        <v>45998</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45998</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8086-2021</t>
        </is>
      </c>
      <c r="B335" s="1" t="n">
        <v>44243</v>
      </c>
      <c r="C335" s="1" t="n">
        <v>45998</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26318-2023</t>
        </is>
      </c>
      <c r="B336" s="1" t="n">
        <v>45091.67936342592</v>
      </c>
      <c r="C336" s="1" t="n">
        <v>45998</v>
      </c>
      <c r="D336" t="inlineStr">
        <is>
          <t>KALMAR LÄN</t>
        </is>
      </c>
      <c r="E336" t="inlineStr">
        <is>
          <t>VIMMERBY</t>
        </is>
      </c>
      <c r="G336" t="n">
        <v>3.8</v>
      </c>
      <c r="H336" t="n">
        <v>0</v>
      </c>
      <c r="I336" t="n">
        <v>0</v>
      </c>
      <c r="J336" t="n">
        <v>0</v>
      </c>
      <c r="K336" t="n">
        <v>0</v>
      </c>
      <c r="L336" t="n">
        <v>0</v>
      </c>
      <c r="M336" t="n">
        <v>0</v>
      </c>
      <c r="N336" t="n">
        <v>0</v>
      </c>
      <c r="O336" t="n">
        <v>0</v>
      </c>
      <c r="P336" t="n">
        <v>0</v>
      </c>
      <c r="Q336" t="n">
        <v>0</v>
      </c>
      <c r="R336" s="2" t="inlineStr"/>
    </row>
    <row r="337" ht="15" customHeight="1">
      <c r="A337" t="inlineStr">
        <is>
          <t>A 60437-2023</t>
        </is>
      </c>
      <c r="B337" s="1" t="n">
        <v>45259.51916666667</v>
      </c>
      <c r="C337" s="1" t="n">
        <v>45998</v>
      </c>
      <c r="D337" t="inlineStr">
        <is>
          <t>KALMAR LÄN</t>
        </is>
      </c>
      <c r="E337" t="inlineStr">
        <is>
          <t>VIMMERBY</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60438-2023</t>
        </is>
      </c>
      <c r="B338" s="1" t="n">
        <v>45259.52020833334</v>
      </c>
      <c r="C338" s="1" t="n">
        <v>45998</v>
      </c>
      <c r="D338" t="inlineStr">
        <is>
          <t>KALMAR LÄN</t>
        </is>
      </c>
      <c r="E338" t="inlineStr">
        <is>
          <t>VIMMERBY</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71793-2021</t>
        </is>
      </c>
      <c r="B339" s="1" t="n">
        <v>44539</v>
      </c>
      <c r="C339" s="1" t="n">
        <v>45998</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7758-2024</t>
        </is>
      </c>
      <c r="B340" s="1" t="n">
        <v>45349.54434027777</v>
      </c>
      <c r="C340" s="1" t="n">
        <v>45998</v>
      </c>
      <c r="D340" t="inlineStr">
        <is>
          <t>KALMAR LÄN</t>
        </is>
      </c>
      <c r="E340" t="inlineStr">
        <is>
          <t>VIMMERBY</t>
        </is>
      </c>
      <c r="G340" t="n">
        <v>3.5</v>
      </c>
      <c r="H340" t="n">
        <v>0</v>
      </c>
      <c r="I340" t="n">
        <v>0</v>
      </c>
      <c r="J340" t="n">
        <v>0</v>
      </c>
      <c r="K340" t="n">
        <v>0</v>
      </c>
      <c r="L340" t="n">
        <v>0</v>
      </c>
      <c r="M340" t="n">
        <v>0</v>
      </c>
      <c r="N340" t="n">
        <v>0</v>
      </c>
      <c r="O340" t="n">
        <v>0</v>
      </c>
      <c r="P340" t="n">
        <v>0</v>
      </c>
      <c r="Q340" t="n">
        <v>0</v>
      </c>
      <c r="R340" s="2" t="inlineStr"/>
    </row>
    <row r="341" ht="15" customHeight="1">
      <c r="A341" t="inlineStr">
        <is>
          <t>A 7456-2024</t>
        </is>
      </c>
      <c r="B341" s="1" t="n">
        <v>45345.83557870371</v>
      </c>
      <c r="C341" s="1" t="n">
        <v>45998</v>
      </c>
      <c r="D341" t="inlineStr">
        <is>
          <t>KALMAR LÄN</t>
        </is>
      </c>
      <c r="E341" t="inlineStr">
        <is>
          <t>VIMMERBY</t>
        </is>
      </c>
      <c r="G341" t="n">
        <v>4.1</v>
      </c>
      <c r="H341" t="n">
        <v>0</v>
      </c>
      <c r="I341" t="n">
        <v>0</v>
      </c>
      <c r="J341" t="n">
        <v>0</v>
      </c>
      <c r="K341" t="n">
        <v>0</v>
      </c>
      <c r="L341" t="n">
        <v>0</v>
      </c>
      <c r="M341" t="n">
        <v>0</v>
      </c>
      <c r="N341" t="n">
        <v>0</v>
      </c>
      <c r="O341" t="n">
        <v>0</v>
      </c>
      <c r="P341" t="n">
        <v>0</v>
      </c>
      <c r="Q341" t="n">
        <v>0</v>
      </c>
      <c r="R341" s="2" t="inlineStr"/>
    </row>
    <row r="342" ht="15" customHeight="1">
      <c r="A342" t="inlineStr">
        <is>
          <t>A 73938-2021</t>
        </is>
      </c>
      <c r="B342" s="1" t="n">
        <v>44553</v>
      </c>
      <c r="C342" s="1" t="n">
        <v>45998</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6069-2023</t>
        </is>
      </c>
      <c r="B343" s="1" t="n">
        <v>44964.5115162037</v>
      </c>
      <c r="C343" s="1" t="n">
        <v>45998</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6082-2022</t>
        </is>
      </c>
      <c r="B344" s="1" t="n">
        <v>44599</v>
      </c>
      <c r="C344" s="1" t="n">
        <v>45998</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46979-2023</t>
        </is>
      </c>
      <c r="B345" s="1" t="n">
        <v>45201</v>
      </c>
      <c r="C345" s="1" t="n">
        <v>45998</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2596-2025</t>
        </is>
      </c>
      <c r="B346" s="1" t="n">
        <v>45674.71810185185</v>
      </c>
      <c r="C346" s="1" t="n">
        <v>45998</v>
      </c>
      <c r="D346" t="inlineStr">
        <is>
          <t>KALMAR LÄN</t>
        </is>
      </c>
      <c r="E346" t="inlineStr">
        <is>
          <t>VIMMERBY</t>
        </is>
      </c>
      <c r="G346" t="n">
        <v>9</v>
      </c>
      <c r="H346" t="n">
        <v>0</v>
      </c>
      <c r="I346" t="n">
        <v>0</v>
      </c>
      <c r="J346" t="n">
        <v>0</v>
      </c>
      <c r="K346" t="n">
        <v>0</v>
      </c>
      <c r="L346" t="n">
        <v>0</v>
      </c>
      <c r="M346" t="n">
        <v>0</v>
      </c>
      <c r="N346" t="n">
        <v>0</v>
      </c>
      <c r="O346" t="n">
        <v>0</v>
      </c>
      <c r="P346" t="n">
        <v>0</v>
      </c>
      <c r="Q346" t="n">
        <v>0</v>
      </c>
      <c r="R346" s="2" t="inlineStr"/>
    </row>
    <row r="347" ht="15" customHeight="1">
      <c r="A347" t="inlineStr">
        <is>
          <t>A 47855-2024</t>
        </is>
      </c>
      <c r="B347" s="1" t="n">
        <v>45588.66457175926</v>
      </c>
      <c r="C347" s="1" t="n">
        <v>45998</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63583-2023</t>
        </is>
      </c>
      <c r="B348" s="1" t="n">
        <v>45275.41833333333</v>
      </c>
      <c r="C348" s="1" t="n">
        <v>45998</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50995-2022</t>
        </is>
      </c>
      <c r="B349" s="1" t="n">
        <v>44867</v>
      </c>
      <c r="C349" s="1" t="n">
        <v>45998</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27122-2023</t>
        </is>
      </c>
      <c r="B350" s="1" t="n">
        <v>45096.45247685185</v>
      </c>
      <c r="C350" s="1" t="n">
        <v>45998</v>
      </c>
      <c r="D350" t="inlineStr">
        <is>
          <t>KALMAR LÄN</t>
        </is>
      </c>
      <c r="E350" t="inlineStr">
        <is>
          <t>VIMMERBY</t>
        </is>
      </c>
      <c r="G350" t="n">
        <v>1.7</v>
      </c>
      <c r="H350" t="n">
        <v>0</v>
      </c>
      <c r="I350" t="n">
        <v>0</v>
      </c>
      <c r="J350" t="n">
        <v>0</v>
      </c>
      <c r="K350" t="n">
        <v>0</v>
      </c>
      <c r="L350" t="n">
        <v>0</v>
      </c>
      <c r="M350" t="n">
        <v>0</v>
      </c>
      <c r="N350" t="n">
        <v>0</v>
      </c>
      <c r="O350" t="n">
        <v>0</v>
      </c>
      <c r="P350" t="n">
        <v>0</v>
      </c>
      <c r="Q350" t="n">
        <v>0</v>
      </c>
      <c r="R350" s="2" t="inlineStr"/>
    </row>
    <row r="351" ht="15" customHeight="1">
      <c r="A351" t="inlineStr">
        <is>
          <t>A 60228-2021</t>
        </is>
      </c>
      <c r="B351" s="1" t="n">
        <v>44495</v>
      </c>
      <c r="C351" s="1" t="n">
        <v>45998</v>
      </c>
      <c r="D351" t="inlineStr">
        <is>
          <t>KALMAR LÄN</t>
        </is>
      </c>
      <c r="E351" t="inlineStr">
        <is>
          <t>VIMMERBY</t>
        </is>
      </c>
      <c r="G351" t="n">
        <v>4.1</v>
      </c>
      <c r="H351" t="n">
        <v>0</v>
      </c>
      <c r="I351" t="n">
        <v>0</v>
      </c>
      <c r="J351" t="n">
        <v>0</v>
      </c>
      <c r="K351" t="n">
        <v>0</v>
      </c>
      <c r="L351" t="n">
        <v>0</v>
      </c>
      <c r="M351" t="n">
        <v>0</v>
      </c>
      <c r="N351" t="n">
        <v>0</v>
      </c>
      <c r="O351" t="n">
        <v>0</v>
      </c>
      <c r="P351" t="n">
        <v>0</v>
      </c>
      <c r="Q351" t="n">
        <v>0</v>
      </c>
      <c r="R351" s="2" t="inlineStr"/>
    </row>
    <row r="352" ht="15" customHeight="1">
      <c r="A352" t="inlineStr">
        <is>
          <t>A 30402-2023</t>
        </is>
      </c>
      <c r="B352" s="1" t="n">
        <v>45111.48395833333</v>
      </c>
      <c r="C352" s="1" t="n">
        <v>45998</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42850-2022</t>
        </is>
      </c>
      <c r="B353" s="1" t="n">
        <v>44832.67608796297</v>
      </c>
      <c r="C353" s="1" t="n">
        <v>45998</v>
      </c>
      <c r="D353" t="inlineStr">
        <is>
          <t>KALMAR LÄN</t>
        </is>
      </c>
      <c r="E353" t="inlineStr">
        <is>
          <t>VIMMERBY</t>
        </is>
      </c>
      <c r="G353" t="n">
        <v>5.9</v>
      </c>
      <c r="H353" t="n">
        <v>0</v>
      </c>
      <c r="I353" t="n">
        <v>0</v>
      </c>
      <c r="J353" t="n">
        <v>0</v>
      </c>
      <c r="K353" t="n">
        <v>0</v>
      </c>
      <c r="L353" t="n">
        <v>0</v>
      </c>
      <c r="M353" t="n">
        <v>0</v>
      </c>
      <c r="N353" t="n">
        <v>0</v>
      </c>
      <c r="O353" t="n">
        <v>0</v>
      </c>
      <c r="P353" t="n">
        <v>0</v>
      </c>
      <c r="Q353" t="n">
        <v>0</v>
      </c>
      <c r="R353" s="2" t="inlineStr"/>
    </row>
    <row r="354" ht="15" customHeight="1">
      <c r="A354" t="inlineStr">
        <is>
          <t>A 46522-2022</t>
        </is>
      </c>
      <c r="B354" s="1" t="n">
        <v>44848.59133101852</v>
      </c>
      <c r="C354" s="1" t="n">
        <v>45998</v>
      </c>
      <c r="D354" t="inlineStr">
        <is>
          <t>KALMAR LÄN</t>
        </is>
      </c>
      <c r="E354" t="inlineStr">
        <is>
          <t>VIMMERBY</t>
        </is>
      </c>
      <c r="G354" t="n">
        <v>1.4</v>
      </c>
      <c r="H354" t="n">
        <v>0</v>
      </c>
      <c r="I354" t="n">
        <v>0</v>
      </c>
      <c r="J354" t="n">
        <v>0</v>
      </c>
      <c r="K354" t="n">
        <v>0</v>
      </c>
      <c r="L354" t="n">
        <v>0</v>
      </c>
      <c r="M354" t="n">
        <v>0</v>
      </c>
      <c r="N354" t="n">
        <v>0</v>
      </c>
      <c r="O354" t="n">
        <v>0</v>
      </c>
      <c r="P354" t="n">
        <v>0</v>
      </c>
      <c r="Q354" t="n">
        <v>0</v>
      </c>
      <c r="R354" s="2" t="inlineStr"/>
    </row>
    <row r="355" ht="15" customHeight="1">
      <c r="A355" t="inlineStr">
        <is>
          <t>A 21109-2024</t>
        </is>
      </c>
      <c r="B355" s="1" t="n">
        <v>45440.28329861111</v>
      </c>
      <c r="C355" s="1" t="n">
        <v>45998</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10086-2022</t>
        </is>
      </c>
      <c r="B356" s="1" t="n">
        <v>44621</v>
      </c>
      <c r="C356" s="1" t="n">
        <v>45998</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47842-2024</t>
        </is>
      </c>
      <c r="B357" s="1" t="n">
        <v>45588.65545138889</v>
      </c>
      <c r="C357" s="1" t="n">
        <v>45998</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6857-2023</t>
        </is>
      </c>
      <c r="B358" s="1" t="n">
        <v>44967.45122685185</v>
      </c>
      <c r="C358" s="1" t="n">
        <v>45998</v>
      </c>
      <c r="D358" t="inlineStr">
        <is>
          <t>KALMAR LÄN</t>
        </is>
      </c>
      <c r="E358" t="inlineStr">
        <is>
          <t>VIMMERBY</t>
        </is>
      </c>
      <c r="G358" t="n">
        <v>2.1</v>
      </c>
      <c r="H358" t="n">
        <v>0</v>
      </c>
      <c r="I358" t="n">
        <v>0</v>
      </c>
      <c r="J358" t="n">
        <v>0</v>
      </c>
      <c r="K358" t="n">
        <v>0</v>
      </c>
      <c r="L358" t="n">
        <v>0</v>
      </c>
      <c r="M358" t="n">
        <v>0</v>
      </c>
      <c r="N358" t="n">
        <v>0</v>
      </c>
      <c r="O358" t="n">
        <v>0</v>
      </c>
      <c r="P358" t="n">
        <v>0</v>
      </c>
      <c r="Q358" t="n">
        <v>0</v>
      </c>
      <c r="R358" s="2" t="inlineStr"/>
    </row>
    <row r="359" ht="15" customHeight="1">
      <c r="A359" t="inlineStr">
        <is>
          <t>A 33815-2022</t>
        </is>
      </c>
      <c r="B359" s="1" t="n">
        <v>44790.45876157407</v>
      </c>
      <c r="C359" s="1" t="n">
        <v>45998</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45998</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55716-2023</t>
        </is>
      </c>
      <c r="B361" s="1" t="n">
        <v>45232</v>
      </c>
      <c r="C361" s="1" t="n">
        <v>45998</v>
      </c>
      <c r="D361" t="inlineStr">
        <is>
          <t>KALMAR LÄN</t>
        </is>
      </c>
      <c r="E361" t="inlineStr">
        <is>
          <t>VIMMERBY</t>
        </is>
      </c>
      <c r="G361" t="n">
        <v>2.3</v>
      </c>
      <c r="H361" t="n">
        <v>0</v>
      </c>
      <c r="I361" t="n">
        <v>0</v>
      </c>
      <c r="J361" t="n">
        <v>0</v>
      </c>
      <c r="K361" t="n">
        <v>0</v>
      </c>
      <c r="L361" t="n">
        <v>0</v>
      </c>
      <c r="M361" t="n">
        <v>0</v>
      </c>
      <c r="N361" t="n">
        <v>0</v>
      </c>
      <c r="O361" t="n">
        <v>0</v>
      </c>
      <c r="P361" t="n">
        <v>0</v>
      </c>
      <c r="Q361" t="n">
        <v>0</v>
      </c>
      <c r="R361" s="2" t="inlineStr"/>
    </row>
    <row r="362" ht="15" customHeight="1">
      <c r="A362" t="inlineStr">
        <is>
          <t>A 34386-2024</t>
        </is>
      </c>
      <c r="B362" s="1" t="n">
        <v>45525.41762731481</v>
      </c>
      <c r="C362" s="1" t="n">
        <v>45998</v>
      </c>
      <c r="D362" t="inlineStr">
        <is>
          <t>KALMAR LÄN</t>
        </is>
      </c>
      <c r="E362" t="inlineStr">
        <is>
          <t>VIMMERBY</t>
        </is>
      </c>
      <c r="G362" t="n">
        <v>0.3</v>
      </c>
      <c r="H362" t="n">
        <v>0</v>
      </c>
      <c r="I362" t="n">
        <v>0</v>
      </c>
      <c r="J362" t="n">
        <v>0</v>
      </c>
      <c r="K362" t="n">
        <v>0</v>
      </c>
      <c r="L362" t="n">
        <v>0</v>
      </c>
      <c r="M362" t="n">
        <v>0</v>
      </c>
      <c r="N362" t="n">
        <v>0</v>
      </c>
      <c r="O362" t="n">
        <v>0</v>
      </c>
      <c r="P362" t="n">
        <v>0</v>
      </c>
      <c r="Q362" t="n">
        <v>0</v>
      </c>
      <c r="R362" s="2" t="inlineStr"/>
    </row>
    <row r="363" ht="15" customHeight="1">
      <c r="A363" t="inlineStr">
        <is>
          <t>A 49461-2022</t>
        </is>
      </c>
      <c r="B363" s="1" t="n">
        <v>44861</v>
      </c>
      <c r="C363" s="1" t="n">
        <v>45998</v>
      </c>
      <c r="D363" t="inlineStr">
        <is>
          <t>KALMAR LÄN</t>
        </is>
      </c>
      <c r="E363" t="inlineStr">
        <is>
          <t>VIMMERBY</t>
        </is>
      </c>
      <c r="G363" t="n">
        <v>3.2</v>
      </c>
      <c r="H363" t="n">
        <v>0</v>
      </c>
      <c r="I363" t="n">
        <v>0</v>
      </c>
      <c r="J363" t="n">
        <v>0</v>
      </c>
      <c r="K363" t="n">
        <v>0</v>
      </c>
      <c r="L363" t="n">
        <v>0</v>
      </c>
      <c r="M363" t="n">
        <v>0</v>
      </c>
      <c r="N363" t="n">
        <v>0</v>
      </c>
      <c r="O363" t="n">
        <v>0</v>
      </c>
      <c r="P363" t="n">
        <v>0</v>
      </c>
      <c r="Q363" t="n">
        <v>0</v>
      </c>
      <c r="R363" s="2" t="inlineStr"/>
    </row>
    <row r="364" ht="15" customHeight="1">
      <c r="A364" t="inlineStr">
        <is>
          <t>A 53542-2022</t>
        </is>
      </c>
      <c r="B364" s="1" t="n">
        <v>44879.62173611111</v>
      </c>
      <c r="C364" s="1" t="n">
        <v>45998</v>
      </c>
      <c r="D364" t="inlineStr">
        <is>
          <t>KALMAR LÄN</t>
        </is>
      </c>
      <c r="E364" t="inlineStr">
        <is>
          <t>VIMMERBY</t>
        </is>
      </c>
      <c r="G364" t="n">
        <v>2.6</v>
      </c>
      <c r="H364" t="n">
        <v>0</v>
      </c>
      <c r="I364" t="n">
        <v>0</v>
      </c>
      <c r="J364" t="n">
        <v>0</v>
      </c>
      <c r="K364" t="n">
        <v>0</v>
      </c>
      <c r="L364" t="n">
        <v>0</v>
      </c>
      <c r="M364" t="n">
        <v>0</v>
      </c>
      <c r="N364" t="n">
        <v>0</v>
      </c>
      <c r="O364" t="n">
        <v>0</v>
      </c>
      <c r="P364" t="n">
        <v>0</v>
      </c>
      <c r="Q364" t="n">
        <v>0</v>
      </c>
      <c r="R364" s="2" t="inlineStr"/>
    </row>
    <row r="365" ht="15" customHeight="1">
      <c r="A365" t="inlineStr">
        <is>
          <t>A 35713-2023</t>
        </is>
      </c>
      <c r="B365" s="1" t="n">
        <v>45147</v>
      </c>
      <c r="C365" s="1" t="n">
        <v>45998</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29013-2024</t>
        </is>
      </c>
      <c r="B366" s="1" t="n">
        <v>45481.55984953704</v>
      </c>
      <c r="C366" s="1" t="n">
        <v>45998</v>
      </c>
      <c r="D366" t="inlineStr">
        <is>
          <t>KALMAR LÄN</t>
        </is>
      </c>
      <c r="E366" t="inlineStr">
        <is>
          <t>VIMMERBY</t>
        </is>
      </c>
      <c r="G366" t="n">
        <v>3.4</v>
      </c>
      <c r="H366" t="n">
        <v>0</v>
      </c>
      <c r="I366" t="n">
        <v>0</v>
      </c>
      <c r="J366" t="n">
        <v>0</v>
      </c>
      <c r="K366" t="n">
        <v>0</v>
      </c>
      <c r="L366" t="n">
        <v>0</v>
      </c>
      <c r="M366" t="n">
        <v>0</v>
      </c>
      <c r="N366" t="n">
        <v>0</v>
      </c>
      <c r="O366" t="n">
        <v>0</v>
      </c>
      <c r="P366" t="n">
        <v>0</v>
      </c>
      <c r="Q366" t="n">
        <v>0</v>
      </c>
      <c r="R366" s="2" t="inlineStr"/>
    </row>
    <row r="367" ht="15" customHeight="1">
      <c r="A367" t="inlineStr">
        <is>
          <t>A 10424-2023</t>
        </is>
      </c>
      <c r="B367" s="1" t="n">
        <v>44987.54104166666</v>
      </c>
      <c r="C367" s="1" t="n">
        <v>45998</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37028-2024</t>
        </is>
      </c>
      <c r="B368" s="1" t="n">
        <v>45539.38744212963</v>
      </c>
      <c r="C368" s="1" t="n">
        <v>45998</v>
      </c>
      <c r="D368" t="inlineStr">
        <is>
          <t>KALMAR LÄN</t>
        </is>
      </c>
      <c r="E368" t="inlineStr">
        <is>
          <t>VIMMERBY</t>
        </is>
      </c>
      <c r="G368" t="n">
        <v>5.2</v>
      </c>
      <c r="H368" t="n">
        <v>0</v>
      </c>
      <c r="I368" t="n">
        <v>0</v>
      </c>
      <c r="J368" t="n">
        <v>0</v>
      </c>
      <c r="K368" t="n">
        <v>0</v>
      </c>
      <c r="L368" t="n">
        <v>0</v>
      </c>
      <c r="M368" t="n">
        <v>0</v>
      </c>
      <c r="N368" t="n">
        <v>0</v>
      </c>
      <c r="O368" t="n">
        <v>0</v>
      </c>
      <c r="P368" t="n">
        <v>0</v>
      </c>
      <c r="Q368" t="n">
        <v>0</v>
      </c>
      <c r="R368" s="2" t="inlineStr"/>
    </row>
    <row r="369" ht="15" customHeight="1">
      <c r="A369" t="inlineStr">
        <is>
          <t>A 37187-2024</t>
        </is>
      </c>
      <c r="B369" s="1" t="n">
        <v>45539.65212962963</v>
      </c>
      <c r="C369" s="1" t="n">
        <v>45998</v>
      </c>
      <c r="D369" t="inlineStr">
        <is>
          <t>KALMAR LÄN</t>
        </is>
      </c>
      <c r="E369" t="inlineStr">
        <is>
          <t>VIMMERBY</t>
        </is>
      </c>
      <c r="G369" t="n">
        <v>2.7</v>
      </c>
      <c r="H369" t="n">
        <v>0</v>
      </c>
      <c r="I369" t="n">
        <v>0</v>
      </c>
      <c r="J369" t="n">
        <v>0</v>
      </c>
      <c r="K369" t="n">
        <v>0</v>
      </c>
      <c r="L369" t="n">
        <v>0</v>
      </c>
      <c r="M369" t="n">
        <v>0</v>
      </c>
      <c r="N369" t="n">
        <v>0</v>
      </c>
      <c r="O369" t="n">
        <v>0</v>
      </c>
      <c r="P369" t="n">
        <v>0</v>
      </c>
      <c r="Q369" t="n">
        <v>0</v>
      </c>
      <c r="R369" s="2" t="inlineStr"/>
    </row>
    <row r="370" ht="15" customHeight="1">
      <c r="A370" t="inlineStr">
        <is>
          <t>A 29783-2024</t>
        </is>
      </c>
      <c r="B370" s="1" t="n">
        <v>45485.45778935185</v>
      </c>
      <c r="C370" s="1" t="n">
        <v>45998</v>
      </c>
      <c r="D370" t="inlineStr">
        <is>
          <t>KALMAR LÄN</t>
        </is>
      </c>
      <c r="E370" t="inlineStr">
        <is>
          <t>VIMMERBY</t>
        </is>
      </c>
      <c r="G370" t="n">
        <v>3.1</v>
      </c>
      <c r="H370" t="n">
        <v>0</v>
      </c>
      <c r="I370" t="n">
        <v>0</v>
      </c>
      <c r="J370" t="n">
        <v>0</v>
      </c>
      <c r="K370" t="n">
        <v>0</v>
      </c>
      <c r="L370" t="n">
        <v>0</v>
      </c>
      <c r="M370" t="n">
        <v>0</v>
      </c>
      <c r="N370" t="n">
        <v>0</v>
      </c>
      <c r="O370" t="n">
        <v>0</v>
      </c>
      <c r="P370" t="n">
        <v>0</v>
      </c>
      <c r="Q370" t="n">
        <v>0</v>
      </c>
      <c r="R370" s="2" t="inlineStr"/>
    </row>
    <row r="371" ht="15" customHeight="1">
      <c r="A371" t="inlineStr">
        <is>
          <t>A 42429-2024</t>
        </is>
      </c>
      <c r="B371" s="1" t="n">
        <v>45565.40657407408</v>
      </c>
      <c r="C371" s="1" t="n">
        <v>45998</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45998</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33340-2023</t>
        </is>
      </c>
      <c r="B373" s="1" t="n">
        <v>45128.37305555555</v>
      </c>
      <c r="C373" s="1" t="n">
        <v>45998</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39584-2024</t>
        </is>
      </c>
      <c r="B374" s="1" t="n">
        <v>45552.36759259259</v>
      </c>
      <c r="C374" s="1" t="n">
        <v>45998</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27705-2023</t>
        </is>
      </c>
      <c r="B375" s="1" t="n">
        <v>45098.30535879629</v>
      </c>
      <c r="C375" s="1" t="n">
        <v>45998</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29017-2024</t>
        </is>
      </c>
      <c r="B376" s="1" t="n">
        <v>45481.56722222222</v>
      </c>
      <c r="C376" s="1" t="n">
        <v>45998</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58046-2022</t>
        </is>
      </c>
      <c r="B377" s="1" t="n">
        <v>44900.57393518519</v>
      </c>
      <c r="C377" s="1" t="n">
        <v>45998</v>
      </c>
      <c r="D377" t="inlineStr">
        <is>
          <t>KALMAR LÄN</t>
        </is>
      </c>
      <c r="E377" t="inlineStr">
        <is>
          <t>VIMMERBY</t>
        </is>
      </c>
      <c r="G377" t="n">
        <v>2.5</v>
      </c>
      <c r="H377" t="n">
        <v>0</v>
      </c>
      <c r="I377" t="n">
        <v>0</v>
      </c>
      <c r="J377" t="n">
        <v>0</v>
      </c>
      <c r="K377" t="n">
        <v>0</v>
      </c>
      <c r="L377" t="n">
        <v>0</v>
      </c>
      <c r="M377" t="n">
        <v>0</v>
      </c>
      <c r="N377" t="n">
        <v>0</v>
      </c>
      <c r="O377" t="n">
        <v>0</v>
      </c>
      <c r="P377" t="n">
        <v>0</v>
      </c>
      <c r="Q377" t="n">
        <v>0</v>
      </c>
      <c r="R377" s="2" t="inlineStr"/>
    </row>
    <row r="378" ht="15" customHeight="1">
      <c r="A378" t="inlineStr">
        <is>
          <t>A 14548-2024</t>
        </is>
      </c>
      <c r="B378" s="1" t="n">
        <v>45394.66887731481</v>
      </c>
      <c r="C378" s="1" t="n">
        <v>45998</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31013-2023</t>
        </is>
      </c>
      <c r="B379" s="1" t="n">
        <v>45113.56574074074</v>
      </c>
      <c r="C379" s="1" t="n">
        <v>45998</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15388-2025</t>
        </is>
      </c>
      <c r="B380" s="1" t="n">
        <v>45747.42633101852</v>
      </c>
      <c r="C380" s="1" t="n">
        <v>45998</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15391-2025</t>
        </is>
      </c>
      <c r="B381" s="1" t="n">
        <v>45747.42958333333</v>
      </c>
      <c r="C381" s="1" t="n">
        <v>45998</v>
      </c>
      <c r="D381" t="inlineStr">
        <is>
          <t>KALMAR LÄN</t>
        </is>
      </c>
      <c r="E381" t="inlineStr">
        <is>
          <t>VIMMERBY</t>
        </is>
      </c>
      <c r="G381" t="n">
        <v>1.1</v>
      </c>
      <c r="H381" t="n">
        <v>0</v>
      </c>
      <c r="I381" t="n">
        <v>0</v>
      </c>
      <c r="J381" t="n">
        <v>0</v>
      </c>
      <c r="K381" t="n">
        <v>0</v>
      </c>
      <c r="L381" t="n">
        <v>0</v>
      </c>
      <c r="M381" t="n">
        <v>0</v>
      </c>
      <c r="N381" t="n">
        <v>0</v>
      </c>
      <c r="O381" t="n">
        <v>0</v>
      </c>
      <c r="P381" t="n">
        <v>0</v>
      </c>
      <c r="Q381" t="n">
        <v>0</v>
      </c>
      <c r="R381" s="2" t="inlineStr"/>
    </row>
    <row r="382" ht="15" customHeight="1">
      <c r="A382" t="inlineStr">
        <is>
          <t>A 11303-2025</t>
        </is>
      </c>
      <c r="B382" s="1" t="n">
        <v>45726.44471064815</v>
      </c>
      <c r="C382" s="1" t="n">
        <v>45998</v>
      </c>
      <c r="D382" t="inlineStr">
        <is>
          <t>KALMAR LÄN</t>
        </is>
      </c>
      <c r="E382" t="inlineStr">
        <is>
          <t>VIMMERBY</t>
        </is>
      </c>
      <c r="G382" t="n">
        <v>2.1</v>
      </c>
      <c r="H382" t="n">
        <v>0</v>
      </c>
      <c r="I382" t="n">
        <v>0</v>
      </c>
      <c r="J382" t="n">
        <v>0</v>
      </c>
      <c r="K382" t="n">
        <v>0</v>
      </c>
      <c r="L382" t="n">
        <v>0</v>
      </c>
      <c r="M382" t="n">
        <v>0</v>
      </c>
      <c r="N382" t="n">
        <v>0</v>
      </c>
      <c r="O382" t="n">
        <v>0</v>
      </c>
      <c r="P382" t="n">
        <v>0</v>
      </c>
      <c r="Q382" t="n">
        <v>0</v>
      </c>
      <c r="R382" s="2" t="inlineStr"/>
    </row>
    <row r="383" ht="15" customHeight="1">
      <c r="A383" t="inlineStr">
        <is>
          <t>A 48120-2022</t>
        </is>
      </c>
      <c r="B383" s="1" t="n">
        <v>44857.65989583333</v>
      </c>
      <c r="C383" s="1" t="n">
        <v>45998</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3423-2022</t>
        </is>
      </c>
      <c r="B384" s="1" t="n">
        <v>44585.50431712963</v>
      </c>
      <c r="C384" s="1" t="n">
        <v>45998</v>
      </c>
      <c r="D384" t="inlineStr">
        <is>
          <t>KALMAR LÄN</t>
        </is>
      </c>
      <c r="E384" t="inlineStr">
        <is>
          <t>VIMMERBY</t>
        </is>
      </c>
      <c r="G384" t="n">
        <v>1.7</v>
      </c>
      <c r="H384" t="n">
        <v>0</v>
      </c>
      <c r="I384" t="n">
        <v>0</v>
      </c>
      <c r="J384" t="n">
        <v>0</v>
      </c>
      <c r="K384" t="n">
        <v>0</v>
      </c>
      <c r="L384" t="n">
        <v>0</v>
      </c>
      <c r="M384" t="n">
        <v>0</v>
      </c>
      <c r="N384" t="n">
        <v>0</v>
      </c>
      <c r="O384" t="n">
        <v>0</v>
      </c>
      <c r="P384" t="n">
        <v>0</v>
      </c>
      <c r="Q384" t="n">
        <v>0</v>
      </c>
      <c r="R384" s="2" t="inlineStr"/>
    </row>
    <row r="385" ht="15" customHeight="1">
      <c r="A385" t="inlineStr">
        <is>
          <t>A 11074-2023</t>
        </is>
      </c>
      <c r="B385" s="1" t="n">
        <v>44992.34151620371</v>
      </c>
      <c r="C385" s="1" t="n">
        <v>45998</v>
      </c>
      <c r="D385" t="inlineStr">
        <is>
          <t>KALMAR LÄN</t>
        </is>
      </c>
      <c r="E385" t="inlineStr">
        <is>
          <t>VIMMERBY</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71631-2021</t>
        </is>
      </c>
      <c r="B386" s="1" t="n">
        <v>44542.90072916666</v>
      </c>
      <c r="C386" s="1" t="n">
        <v>45998</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54838-2024</t>
        </is>
      </c>
      <c r="B387" s="1" t="n">
        <v>45618.56787037037</v>
      </c>
      <c r="C387" s="1" t="n">
        <v>45998</v>
      </c>
      <c r="D387" t="inlineStr">
        <is>
          <t>KALMAR LÄN</t>
        </is>
      </c>
      <c r="E387" t="inlineStr">
        <is>
          <t>VIMMERBY</t>
        </is>
      </c>
      <c r="G387" t="n">
        <v>3.3</v>
      </c>
      <c r="H387" t="n">
        <v>0</v>
      </c>
      <c r="I387" t="n">
        <v>0</v>
      </c>
      <c r="J387" t="n">
        <v>0</v>
      </c>
      <c r="K387" t="n">
        <v>0</v>
      </c>
      <c r="L387" t="n">
        <v>0</v>
      </c>
      <c r="M387" t="n">
        <v>0</v>
      </c>
      <c r="N387" t="n">
        <v>0</v>
      </c>
      <c r="O387" t="n">
        <v>0</v>
      </c>
      <c r="P387" t="n">
        <v>0</v>
      </c>
      <c r="Q387" t="n">
        <v>0</v>
      </c>
      <c r="R387" s="2" t="inlineStr"/>
    </row>
    <row r="388" ht="15" customHeight="1">
      <c r="A388" t="inlineStr">
        <is>
          <t>A 33352-2022</t>
        </is>
      </c>
      <c r="B388" s="1" t="n">
        <v>44788</v>
      </c>
      <c r="C388" s="1" t="n">
        <v>45998</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46234-2024</t>
        </is>
      </c>
      <c r="B389" s="1" t="n">
        <v>45581.57958333333</v>
      </c>
      <c r="C389" s="1" t="n">
        <v>45998</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39053-2024</t>
        </is>
      </c>
      <c r="B390" s="1" t="n">
        <v>45548</v>
      </c>
      <c r="C390" s="1" t="n">
        <v>45998</v>
      </c>
      <c r="D390" t="inlineStr">
        <is>
          <t>KALMAR LÄN</t>
        </is>
      </c>
      <c r="E390" t="inlineStr">
        <is>
          <t>VIMMERBY</t>
        </is>
      </c>
      <c r="G390" t="n">
        <v>5</v>
      </c>
      <c r="H390" t="n">
        <v>0</v>
      </c>
      <c r="I390" t="n">
        <v>0</v>
      </c>
      <c r="J390" t="n">
        <v>0</v>
      </c>
      <c r="K390" t="n">
        <v>0</v>
      </c>
      <c r="L390" t="n">
        <v>0</v>
      </c>
      <c r="M390" t="n">
        <v>0</v>
      </c>
      <c r="N390" t="n">
        <v>0</v>
      </c>
      <c r="O390" t="n">
        <v>0</v>
      </c>
      <c r="P390" t="n">
        <v>0</v>
      </c>
      <c r="Q390" t="n">
        <v>0</v>
      </c>
      <c r="R390" s="2" t="inlineStr"/>
    </row>
    <row r="391" ht="15" customHeight="1">
      <c r="A391" t="inlineStr">
        <is>
          <t>A 49039-2021</t>
        </is>
      </c>
      <c r="B391" s="1" t="n">
        <v>44453.56578703703</v>
      </c>
      <c r="C391" s="1" t="n">
        <v>45998</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15449-2023</t>
        </is>
      </c>
      <c r="B392" s="1" t="n">
        <v>45020</v>
      </c>
      <c r="C392" s="1" t="n">
        <v>45998</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43594-2024</t>
        </is>
      </c>
      <c r="B393" s="1" t="n">
        <v>45569.44295138889</v>
      </c>
      <c r="C393" s="1" t="n">
        <v>45998</v>
      </c>
      <c r="D393" t="inlineStr">
        <is>
          <t>KALMAR LÄN</t>
        </is>
      </c>
      <c r="E393" t="inlineStr">
        <is>
          <t>VIMMERBY</t>
        </is>
      </c>
      <c r="G393" t="n">
        <v>3.9</v>
      </c>
      <c r="H393" t="n">
        <v>0</v>
      </c>
      <c r="I393" t="n">
        <v>0</v>
      </c>
      <c r="J393" t="n">
        <v>0</v>
      </c>
      <c r="K393" t="n">
        <v>0</v>
      </c>
      <c r="L393" t="n">
        <v>0</v>
      </c>
      <c r="M393" t="n">
        <v>0</v>
      </c>
      <c r="N393" t="n">
        <v>0</v>
      </c>
      <c r="O393" t="n">
        <v>0</v>
      </c>
      <c r="P393" t="n">
        <v>0</v>
      </c>
      <c r="Q393" t="n">
        <v>0</v>
      </c>
      <c r="R393" s="2" t="inlineStr"/>
    </row>
    <row r="394" ht="15" customHeight="1">
      <c r="A394" t="inlineStr">
        <is>
          <t>A 17486-2024</t>
        </is>
      </c>
      <c r="B394" s="1" t="n">
        <v>45415.48979166667</v>
      </c>
      <c r="C394" s="1" t="n">
        <v>45998</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42918-2021</t>
        </is>
      </c>
      <c r="B395" s="1" t="n">
        <v>44431</v>
      </c>
      <c r="C395" s="1" t="n">
        <v>45998</v>
      </c>
      <c r="D395" t="inlineStr">
        <is>
          <t>KALMAR LÄN</t>
        </is>
      </c>
      <c r="E395" t="inlineStr">
        <is>
          <t>VIMMERBY</t>
        </is>
      </c>
      <c r="G395" t="n">
        <v>1.6</v>
      </c>
      <c r="H395" t="n">
        <v>0</v>
      </c>
      <c r="I395" t="n">
        <v>0</v>
      </c>
      <c r="J395" t="n">
        <v>0</v>
      </c>
      <c r="K395" t="n">
        <v>0</v>
      </c>
      <c r="L395" t="n">
        <v>0</v>
      </c>
      <c r="M395" t="n">
        <v>0</v>
      </c>
      <c r="N395" t="n">
        <v>0</v>
      </c>
      <c r="O395" t="n">
        <v>0</v>
      </c>
      <c r="P395" t="n">
        <v>0</v>
      </c>
      <c r="Q395" t="n">
        <v>0</v>
      </c>
      <c r="R395" s="2" t="inlineStr"/>
    </row>
    <row r="396" ht="15" customHeight="1">
      <c r="A396" t="inlineStr">
        <is>
          <t>A 529-2022</t>
        </is>
      </c>
      <c r="B396" s="1" t="n">
        <v>44566</v>
      </c>
      <c r="C396" s="1" t="n">
        <v>45998</v>
      </c>
      <c r="D396" t="inlineStr">
        <is>
          <t>KALMAR LÄN</t>
        </is>
      </c>
      <c r="E396" t="inlineStr">
        <is>
          <t>VIMMERBY</t>
        </is>
      </c>
      <c r="G396" t="n">
        <v>1.5</v>
      </c>
      <c r="H396" t="n">
        <v>0</v>
      </c>
      <c r="I396" t="n">
        <v>0</v>
      </c>
      <c r="J396" t="n">
        <v>0</v>
      </c>
      <c r="K396" t="n">
        <v>0</v>
      </c>
      <c r="L396" t="n">
        <v>0</v>
      </c>
      <c r="M396" t="n">
        <v>0</v>
      </c>
      <c r="N396" t="n">
        <v>0</v>
      </c>
      <c r="O396" t="n">
        <v>0</v>
      </c>
      <c r="P396" t="n">
        <v>0</v>
      </c>
      <c r="Q396" t="n">
        <v>0</v>
      </c>
      <c r="R396" s="2" t="inlineStr"/>
    </row>
    <row r="397" ht="15" customHeight="1">
      <c r="A397" t="inlineStr">
        <is>
          <t>A 14248-2023</t>
        </is>
      </c>
      <c r="B397" s="1" t="n">
        <v>45009</v>
      </c>
      <c r="C397" s="1" t="n">
        <v>45998</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11946-2025</t>
        </is>
      </c>
      <c r="B398" s="1" t="n">
        <v>45728.54832175926</v>
      </c>
      <c r="C398" s="1" t="n">
        <v>45998</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14855-2025</t>
        </is>
      </c>
      <c r="B399" s="1" t="n">
        <v>45743.41148148148</v>
      </c>
      <c r="C399" s="1" t="n">
        <v>45998</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60951-2023</t>
        </is>
      </c>
      <c r="B400" s="1" t="n">
        <v>45261.44914351852</v>
      </c>
      <c r="C400" s="1" t="n">
        <v>45998</v>
      </c>
      <c r="D400" t="inlineStr">
        <is>
          <t>KALMAR LÄN</t>
        </is>
      </c>
      <c r="E400" t="inlineStr">
        <is>
          <t>VIMMERBY</t>
        </is>
      </c>
      <c r="G400" t="n">
        <v>4.3</v>
      </c>
      <c r="H400" t="n">
        <v>0</v>
      </c>
      <c r="I400" t="n">
        <v>0</v>
      </c>
      <c r="J400" t="n">
        <v>0</v>
      </c>
      <c r="K400" t="n">
        <v>0</v>
      </c>
      <c r="L400" t="n">
        <v>0</v>
      </c>
      <c r="M400" t="n">
        <v>0</v>
      </c>
      <c r="N400" t="n">
        <v>0</v>
      </c>
      <c r="O400" t="n">
        <v>0</v>
      </c>
      <c r="P400" t="n">
        <v>0</v>
      </c>
      <c r="Q400" t="n">
        <v>0</v>
      </c>
      <c r="R400" s="2" t="inlineStr"/>
    </row>
    <row r="401" ht="15" customHeight="1">
      <c r="A401" t="inlineStr">
        <is>
          <t>A 19162-2023</t>
        </is>
      </c>
      <c r="B401" s="1" t="n">
        <v>45048.59699074074</v>
      </c>
      <c r="C401" s="1" t="n">
        <v>45998</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30400-2023</t>
        </is>
      </c>
      <c r="B402" s="1" t="n">
        <v>45111.48225694444</v>
      </c>
      <c r="C402" s="1" t="n">
        <v>45998</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30404-2023</t>
        </is>
      </c>
      <c r="B403" s="1" t="n">
        <v>45111.48636574074</v>
      </c>
      <c r="C403" s="1" t="n">
        <v>45998</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55123-2024</t>
        </is>
      </c>
      <c r="B404" s="1" t="n">
        <v>45621.46103009259</v>
      </c>
      <c r="C404" s="1" t="n">
        <v>45998</v>
      </c>
      <c r="D404" t="inlineStr">
        <is>
          <t>KALMAR LÄN</t>
        </is>
      </c>
      <c r="E404" t="inlineStr">
        <is>
          <t>VIMMERBY</t>
        </is>
      </c>
      <c r="G404" t="n">
        <v>3.1</v>
      </c>
      <c r="H404" t="n">
        <v>0</v>
      </c>
      <c r="I404" t="n">
        <v>0</v>
      </c>
      <c r="J404" t="n">
        <v>0</v>
      </c>
      <c r="K404" t="n">
        <v>0</v>
      </c>
      <c r="L404" t="n">
        <v>0</v>
      </c>
      <c r="M404" t="n">
        <v>0</v>
      </c>
      <c r="N404" t="n">
        <v>0</v>
      </c>
      <c r="O404" t="n">
        <v>0</v>
      </c>
      <c r="P404" t="n">
        <v>0</v>
      </c>
      <c r="Q404" t="n">
        <v>0</v>
      </c>
      <c r="R404" s="2" t="inlineStr"/>
    </row>
    <row r="405" ht="15" customHeight="1">
      <c r="A405" t="inlineStr">
        <is>
          <t>A 31405-2023</t>
        </is>
      </c>
      <c r="B405" s="1" t="n">
        <v>45114.58148148148</v>
      </c>
      <c r="C405" s="1" t="n">
        <v>45998</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31209-2024</t>
        </is>
      </c>
      <c r="B406" s="1" t="n">
        <v>45503.5658912037</v>
      </c>
      <c r="C406" s="1" t="n">
        <v>45998</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24707-2024</t>
        </is>
      </c>
      <c r="B407" s="1" t="n">
        <v>45460.62172453704</v>
      </c>
      <c r="C407" s="1" t="n">
        <v>45998</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5864-2022</t>
        </is>
      </c>
      <c r="B408" s="1" t="n">
        <v>44596</v>
      </c>
      <c r="C408" s="1" t="n">
        <v>45998</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3938-2023</t>
        </is>
      </c>
      <c r="B409" s="1" t="n">
        <v>44952.35775462963</v>
      </c>
      <c r="C409" s="1" t="n">
        <v>45998</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36049-2024</t>
        </is>
      </c>
      <c r="B410" s="1" t="n">
        <v>45533.61996527778</v>
      </c>
      <c r="C410" s="1" t="n">
        <v>45998</v>
      </c>
      <c r="D410" t="inlineStr">
        <is>
          <t>KALMAR LÄN</t>
        </is>
      </c>
      <c r="E410" t="inlineStr">
        <is>
          <t>VIMMERBY</t>
        </is>
      </c>
      <c r="F410" t="inlineStr">
        <is>
          <t>Kommuner</t>
        </is>
      </c>
      <c r="G410" t="n">
        <v>2.6</v>
      </c>
      <c r="H410" t="n">
        <v>0</v>
      </c>
      <c r="I410" t="n">
        <v>0</v>
      </c>
      <c r="J410" t="n">
        <v>0</v>
      </c>
      <c r="K410" t="n">
        <v>0</v>
      </c>
      <c r="L410" t="n">
        <v>0</v>
      </c>
      <c r="M410" t="n">
        <v>0</v>
      </c>
      <c r="N410" t="n">
        <v>0</v>
      </c>
      <c r="O410" t="n">
        <v>0</v>
      </c>
      <c r="P410" t="n">
        <v>0</v>
      </c>
      <c r="Q410" t="n">
        <v>0</v>
      </c>
      <c r="R410" s="2" t="inlineStr"/>
    </row>
    <row r="411" ht="15" customHeight="1">
      <c r="A411" t="inlineStr">
        <is>
          <t>A 26937-2023</t>
        </is>
      </c>
      <c r="B411" s="1" t="n">
        <v>45093.62777777778</v>
      </c>
      <c r="C411" s="1" t="n">
        <v>45998</v>
      </c>
      <c r="D411" t="inlineStr">
        <is>
          <t>KALMAR LÄN</t>
        </is>
      </c>
      <c r="E411" t="inlineStr">
        <is>
          <t>VIMMERBY</t>
        </is>
      </c>
      <c r="F411" t="inlineStr">
        <is>
          <t>Sveaskog</t>
        </is>
      </c>
      <c r="G411" t="n">
        <v>14.5</v>
      </c>
      <c r="H411" t="n">
        <v>0</v>
      </c>
      <c r="I411" t="n">
        <v>0</v>
      </c>
      <c r="J411" t="n">
        <v>0</v>
      </c>
      <c r="K411" t="n">
        <v>0</v>
      </c>
      <c r="L411" t="n">
        <v>0</v>
      </c>
      <c r="M411" t="n">
        <v>0</v>
      </c>
      <c r="N411" t="n">
        <v>0</v>
      </c>
      <c r="O411" t="n">
        <v>0</v>
      </c>
      <c r="P411" t="n">
        <v>0</v>
      </c>
      <c r="Q411" t="n">
        <v>0</v>
      </c>
      <c r="R411" s="2" t="inlineStr"/>
    </row>
    <row r="412" ht="15" customHeight="1">
      <c r="A412" t="inlineStr">
        <is>
          <t>A 50085-2023</t>
        </is>
      </c>
      <c r="B412" s="1" t="n">
        <v>45215.5959375</v>
      </c>
      <c r="C412" s="1" t="n">
        <v>45998</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11219-2023</t>
        </is>
      </c>
      <c r="B413" s="1" t="n">
        <v>44992.62498842592</v>
      </c>
      <c r="C413" s="1" t="n">
        <v>45998</v>
      </c>
      <c r="D413" t="inlineStr">
        <is>
          <t>KALMAR LÄN</t>
        </is>
      </c>
      <c r="E413" t="inlineStr">
        <is>
          <t>VIMMERBY</t>
        </is>
      </c>
      <c r="G413" t="n">
        <v>2.5</v>
      </c>
      <c r="H413" t="n">
        <v>0</v>
      </c>
      <c r="I413" t="n">
        <v>0</v>
      </c>
      <c r="J413" t="n">
        <v>0</v>
      </c>
      <c r="K413" t="n">
        <v>0</v>
      </c>
      <c r="L413" t="n">
        <v>0</v>
      </c>
      <c r="M413" t="n">
        <v>0</v>
      </c>
      <c r="N413" t="n">
        <v>0</v>
      </c>
      <c r="O413" t="n">
        <v>0</v>
      </c>
      <c r="P413" t="n">
        <v>0</v>
      </c>
      <c r="Q413" t="n">
        <v>0</v>
      </c>
      <c r="R413" s="2" t="inlineStr"/>
    </row>
    <row r="414" ht="15" customHeight="1">
      <c r="A414" t="inlineStr">
        <is>
          <t>A 58159-2024</t>
        </is>
      </c>
      <c r="B414" s="1" t="n">
        <v>45632.44886574074</v>
      </c>
      <c r="C414" s="1" t="n">
        <v>45998</v>
      </c>
      <c r="D414" t="inlineStr">
        <is>
          <t>KALMAR LÄN</t>
        </is>
      </c>
      <c r="E414" t="inlineStr">
        <is>
          <t>VIMMERBY</t>
        </is>
      </c>
      <c r="G414" t="n">
        <v>7.5</v>
      </c>
      <c r="H414" t="n">
        <v>0</v>
      </c>
      <c r="I414" t="n">
        <v>0</v>
      </c>
      <c r="J414" t="n">
        <v>0</v>
      </c>
      <c r="K414" t="n">
        <v>0</v>
      </c>
      <c r="L414" t="n">
        <v>0</v>
      </c>
      <c r="M414" t="n">
        <v>0</v>
      </c>
      <c r="N414" t="n">
        <v>0</v>
      </c>
      <c r="O414" t="n">
        <v>0</v>
      </c>
      <c r="P414" t="n">
        <v>0</v>
      </c>
      <c r="Q414" t="n">
        <v>0</v>
      </c>
      <c r="R414" s="2" t="inlineStr"/>
    </row>
    <row r="415" ht="15" customHeight="1">
      <c r="A415" t="inlineStr">
        <is>
          <t>A 14359-2025</t>
        </is>
      </c>
      <c r="B415" s="1" t="n">
        <v>45741.37270833334</v>
      </c>
      <c r="C415" s="1" t="n">
        <v>45998</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6850-2023</t>
        </is>
      </c>
      <c r="B416" s="1" t="n">
        <v>44967.44255787037</v>
      </c>
      <c r="C416" s="1" t="n">
        <v>45998</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6358-2022</t>
        </is>
      </c>
      <c r="B417" s="1" t="n">
        <v>44600</v>
      </c>
      <c r="C417" s="1" t="n">
        <v>45998</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39578-2024</t>
        </is>
      </c>
      <c r="B418" s="1" t="n">
        <v>45552.36484953704</v>
      </c>
      <c r="C418" s="1" t="n">
        <v>45998</v>
      </c>
      <c r="D418" t="inlineStr">
        <is>
          <t>KALMAR LÄN</t>
        </is>
      </c>
      <c r="E418" t="inlineStr">
        <is>
          <t>VIMMERBY</t>
        </is>
      </c>
      <c r="G418" t="n">
        <v>1.5</v>
      </c>
      <c r="H418" t="n">
        <v>0</v>
      </c>
      <c r="I418" t="n">
        <v>0</v>
      </c>
      <c r="J418" t="n">
        <v>0</v>
      </c>
      <c r="K418" t="n">
        <v>0</v>
      </c>
      <c r="L418" t="n">
        <v>0</v>
      </c>
      <c r="M418" t="n">
        <v>0</v>
      </c>
      <c r="N418" t="n">
        <v>0</v>
      </c>
      <c r="O418" t="n">
        <v>0</v>
      </c>
      <c r="P418" t="n">
        <v>0</v>
      </c>
      <c r="Q418" t="n">
        <v>0</v>
      </c>
      <c r="R418" s="2" t="inlineStr"/>
    </row>
    <row r="419" ht="15" customHeight="1">
      <c r="A419" t="inlineStr">
        <is>
          <t>A 43853-2023</t>
        </is>
      </c>
      <c r="B419" s="1" t="n">
        <v>45187.60813657408</v>
      </c>
      <c r="C419" s="1" t="n">
        <v>45998</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45998</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48673-2021</t>
        </is>
      </c>
      <c r="B421" s="1" t="n">
        <v>44452</v>
      </c>
      <c r="C421" s="1" t="n">
        <v>45998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14137-2023</t>
        </is>
      </c>
      <c r="B422" s="1" t="n">
        <v>45009.4671875</v>
      </c>
      <c r="C422" s="1" t="n">
        <v>45998</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7630-2025</t>
        </is>
      </c>
      <c r="B423" s="1" t="n">
        <v>45705.74418981482</v>
      </c>
      <c r="C423" s="1" t="n">
        <v>45998</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62779-2023</t>
        </is>
      </c>
      <c r="B424" s="1" t="n">
        <v>45271.66576388889</v>
      </c>
      <c r="C424" s="1" t="n">
        <v>45998</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46399-2024</t>
        </is>
      </c>
      <c r="B425" s="1" t="n">
        <v>45582.41200231481</v>
      </c>
      <c r="C425" s="1" t="n">
        <v>45998</v>
      </c>
      <c r="D425" t="inlineStr">
        <is>
          <t>KALMAR LÄN</t>
        </is>
      </c>
      <c r="E425" t="inlineStr">
        <is>
          <t>VIMMERBY</t>
        </is>
      </c>
      <c r="G425" t="n">
        <v>4.6</v>
      </c>
      <c r="H425" t="n">
        <v>0</v>
      </c>
      <c r="I425" t="n">
        <v>0</v>
      </c>
      <c r="J425" t="n">
        <v>0</v>
      </c>
      <c r="K425" t="n">
        <v>0</v>
      </c>
      <c r="L425" t="n">
        <v>0</v>
      </c>
      <c r="M425" t="n">
        <v>0</v>
      </c>
      <c r="N425" t="n">
        <v>0</v>
      </c>
      <c r="O425" t="n">
        <v>0</v>
      </c>
      <c r="P425" t="n">
        <v>0</v>
      </c>
      <c r="Q425" t="n">
        <v>0</v>
      </c>
      <c r="R425" s="2" t="inlineStr"/>
    </row>
    <row r="426" ht="15" customHeight="1">
      <c r="A426" t="inlineStr">
        <is>
          <t>A 38780-2021</t>
        </is>
      </c>
      <c r="B426" s="1" t="n">
        <v>44410</v>
      </c>
      <c r="C426" s="1" t="n">
        <v>45998</v>
      </c>
      <c r="D426" t="inlineStr">
        <is>
          <t>KALMAR LÄN</t>
        </is>
      </c>
      <c r="E426" t="inlineStr">
        <is>
          <t>VIMMERBY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30503-2023</t>
        </is>
      </c>
      <c r="B427" s="1" t="n">
        <v>45111</v>
      </c>
      <c r="C427" s="1" t="n">
        <v>45998</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3425-2022</t>
        </is>
      </c>
      <c r="B428" s="1" t="n">
        <v>44585.51060185185</v>
      </c>
      <c r="C428" s="1" t="n">
        <v>45998</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43962-2024</t>
        </is>
      </c>
      <c r="B429" s="1" t="n">
        <v>45572.48293981481</v>
      </c>
      <c r="C429" s="1" t="n">
        <v>45998</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60110-2022</t>
        </is>
      </c>
      <c r="B430" s="1" t="n">
        <v>44909</v>
      </c>
      <c r="C430" s="1" t="n">
        <v>45998</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12810-2023</t>
        </is>
      </c>
      <c r="B431" s="1" t="n">
        <v>45001.43854166667</v>
      </c>
      <c r="C431" s="1" t="n">
        <v>45998</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43068-2023</t>
        </is>
      </c>
      <c r="B432" s="1" t="n">
        <v>45182.78834490741</v>
      </c>
      <c r="C432" s="1" t="n">
        <v>45998</v>
      </c>
      <c r="D432" t="inlineStr">
        <is>
          <t>KALMAR LÄN</t>
        </is>
      </c>
      <c r="E432" t="inlineStr">
        <is>
          <t>VIMMERBY</t>
        </is>
      </c>
      <c r="G432" t="n">
        <v>1.5</v>
      </c>
      <c r="H432" t="n">
        <v>0</v>
      </c>
      <c r="I432" t="n">
        <v>0</v>
      </c>
      <c r="J432" t="n">
        <v>0</v>
      </c>
      <c r="K432" t="n">
        <v>0</v>
      </c>
      <c r="L432" t="n">
        <v>0</v>
      </c>
      <c r="M432" t="n">
        <v>0</v>
      </c>
      <c r="N432" t="n">
        <v>0</v>
      </c>
      <c r="O432" t="n">
        <v>0</v>
      </c>
      <c r="P432" t="n">
        <v>0</v>
      </c>
      <c r="Q432" t="n">
        <v>0</v>
      </c>
      <c r="R432" s="2" t="inlineStr"/>
    </row>
    <row r="433" ht="15" customHeight="1">
      <c r="A433" t="inlineStr">
        <is>
          <t>A 59300-2024</t>
        </is>
      </c>
      <c r="B433" s="1" t="n">
        <v>45637.66542824074</v>
      </c>
      <c r="C433" s="1" t="n">
        <v>45998</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25987-2024</t>
        </is>
      </c>
      <c r="B434" s="1" t="n">
        <v>45467.74417824074</v>
      </c>
      <c r="C434" s="1" t="n">
        <v>45998</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19445-2021</t>
        </is>
      </c>
      <c r="B435" s="1" t="n">
        <v>44310</v>
      </c>
      <c r="C435" s="1" t="n">
        <v>45998</v>
      </c>
      <c r="D435" t="inlineStr">
        <is>
          <t>KALMAR LÄN</t>
        </is>
      </c>
      <c r="E435" t="inlineStr">
        <is>
          <t>VIMMERBY</t>
        </is>
      </c>
      <c r="G435" t="n">
        <v>6.8</v>
      </c>
      <c r="H435" t="n">
        <v>0</v>
      </c>
      <c r="I435" t="n">
        <v>0</v>
      </c>
      <c r="J435" t="n">
        <v>0</v>
      </c>
      <c r="K435" t="n">
        <v>0</v>
      </c>
      <c r="L435" t="n">
        <v>0</v>
      </c>
      <c r="M435" t="n">
        <v>0</v>
      </c>
      <c r="N435" t="n">
        <v>0</v>
      </c>
      <c r="O435" t="n">
        <v>0</v>
      </c>
      <c r="P435" t="n">
        <v>0</v>
      </c>
      <c r="Q435" t="n">
        <v>0</v>
      </c>
      <c r="R435" s="2" t="inlineStr"/>
    </row>
    <row r="436" ht="15" customHeight="1">
      <c r="A436" t="inlineStr">
        <is>
          <t>A 25109-2023</t>
        </is>
      </c>
      <c r="B436" s="1" t="n">
        <v>45086</v>
      </c>
      <c r="C436" s="1" t="n">
        <v>45998</v>
      </c>
      <c r="D436" t="inlineStr">
        <is>
          <t>KALMAR LÄN</t>
        </is>
      </c>
      <c r="E436" t="inlineStr">
        <is>
          <t>VIMMERBY</t>
        </is>
      </c>
      <c r="G436" t="n">
        <v>1.5</v>
      </c>
      <c r="H436" t="n">
        <v>0</v>
      </c>
      <c r="I436" t="n">
        <v>0</v>
      </c>
      <c r="J436" t="n">
        <v>0</v>
      </c>
      <c r="K436" t="n">
        <v>0</v>
      </c>
      <c r="L436" t="n">
        <v>0</v>
      </c>
      <c r="M436" t="n">
        <v>0</v>
      </c>
      <c r="N436" t="n">
        <v>0</v>
      </c>
      <c r="O436" t="n">
        <v>0</v>
      </c>
      <c r="P436" t="n">
        <v>0</v>
      </c>
      <c r="Q436" t="n">
        <v>0</v>
      </c>
      <c r="R436" s="2" t="inlineStr"/>
    </row>
    <row r="437" ht="15" customHeight="1">
      <c r="A437" t="inlineStr">
        <is>
          <t>A 59943-2023</t>
        </is>
      </c>
      <c r="B437" s="1" t="n">
        <v>45257.67958333333</v>
      </c>
      <c r="C437" s="1" t="n">
        <v>45998</v>
      </c>
      <c r="D437" t="inlineStr">
        <is>
          <t>KALMAR LÄN</t>
        </is>
      </c>
      <c r="E437" t="inlineStr">
        <is>
          <t>VIMMERBY</t>
        </is>
      </c>
      <c r="G437" t="n">
        <v>6.4</v>
      </c>
      <c r="H437" t="n">
        <v>0</v>
      </c>
      <c r="I437" t="n">
        <v>0</v>
      </c>
      <c r="J437" t="n">
        <v>0</v>
      </c>
      <c r="K437" t="n">
        <v>0</v>
      </c>
      <c r="L437" t="n">
        <v>0</v>
      </c>
      <c r="M437" t="n">
        <v>0</v>
      </c>
      <c r="N437" t="n">
        <v>0</v>
      </c>
      <c r="O437" t="n">
        <v>0</v>
      </c>
      <c r="P437" t="n">
        <v>0</v>
      </c>
      <c r="Q437" t="n">
        <v>0</v>
      </c>
      <c r="R437" s="2" t="inlineStr"/>
    </row>
    <row r="438" ht="15" customHeight="1">
      <c r="A438" t="inlineStr">
        <is>
          <t>A 15493-2023</t>
        </is>
      </c>
      <c r="B438" s="1" t="n">
        <v>45018</v>
      </c>
      <c r="C438" s="1" t="n">
        <v>45998</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51881-2024</t>
        </is>
      </c>
      <c r="B439" s="1" t="n">
        <v>45607.56773148148</v>
      </c>
      <c r="C439" s="1" t="n">
        <v>45998</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18329-2023</t>
        </is>
      </c>
      <c r="B440" s="1" t="n">
        <v>45041.63380787037</v>
      </c>
      <c r="C440" s="1" t="n">
        <v>45998</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5720-2023</t>
        </is>
      </c>
      <c r="B441" s="1" t="n">
        <v>44961</v>
      </c>
      <c r="C441" s="1" t="n">
        <v>45998</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1021-2024</t>
        </is>
      </c>
      <c r="B442" s="1" t="n">
        <v>45301.67736111111</v>
      </c>
      <c r="C442" s="1" t="n">
        <v>45998</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61538-2022</t>
        </is>
      </c>
      <c r="B443" s="1" t="n">
        <v>44916.55414351852</v>
      </c>
      <c r="C443" s="1" t="n">
        <v>45998</v>
      </c>
      <c r="D443" t="inlineStr">
        <is>
          <t>KALMAR LÄN</t>
        </is>
      </c>
      <c r="E443" t="inlineStr">
        <is>
          <t>VIMMERBY</t>
        </is>
      </c>
      <c r="G443" t="n">
        <v>1.5</v>
      </c>
      <c r="H443" t="n">
        <v>0</v>
      </c>
      <c r="I443" t="n">
        <v>0</v>
      </c>
      <c r="J443" t="n">
        <v>0</v>
      </c>
      <c r="K443" t="n">
        <v>0</v>
      </c>
      <c r="L443" t="n">
        <v>0</v>
      </c>
      <c r="M443" t="n">
        <v>0</v>
      </c>
      <c r="N443" t="n">
        <v>0</v>
      </c>
      <c r="O443" t="n">
        <v>0</v>
      </c>
      <c r="P443" t="n">
        <v>0</v>
      </c>
      <c r="Q443" t="n">
        <v>0</v>
      </c>
      <c r="R443" s="2" t="inlineStr"/>
    </row>
    <row r="444" ht="15" customHeight="1">
      <c r="A444" t="inlineStr">
        <is>
          <t>A 12075-2024</t>
        </is>
      </c>
      <c r="B444" s="1" t="n">
        <v>45377</v>
      </c>
      <c r="C444" s="1" t="n">
        <v>45998</v>
      </c>
      <c r="D444" t="inlineStr">
        <is>
          <t>KALMAR LÄN</t>
        </is>
      </c>
      <c r="E444" t="inlineStr">
        <is>
          <t>VIMMERBY</t>
        </is>
      </c>
      <c r="G444" t="n">
        <v>3.7</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45998</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45998</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45998</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17482-2024</t>
        </is>
      </c>
      <c r="B448" s="1" t="n">
        <v>45415.47848379629</v>
      </c>
      <c r="C448" s="1" t="n">
        <v>45998</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694-2024</t>
        </is>
      </c>
      <c r="B449" s="1" t="n">
        <v>45300.3794212963</v>
      </c>
      <c r="C449" s="1" t="n">
        <v>45998</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57114-2023</t>
        </is>
      </c>
      <c r="B450" s="1" t="n">
        <v>45245.36174768519</v>
      </c>
      <c r="C450" s="1" t="n">
        <v>45998</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45998</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45998</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12327-2023</t>
        </is>
      </c>
      <c r="B453" s="1" t="n">
        <v>44999.36081018519</v>
      </c>
      <c r="C453" s="1" t="n">
        <v>45998</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1799-2025</t>
        </is>
      </c>
      <c r="B454" s="1" t="n">
        <v>45671.46746527778</v>
      </c>
      <c r="C454" s="1" t="n">
        <v>45998</v>
      </c>
      <c r="D454" t="inlineStr">
        <is>
          <t>KALMAR LÄN</t>
        </is>
      </c>
      <c r="E454" t="inlineStr">
        <is>
          <t>VIMMERBY</t>
        </is>
      </c>
      <c r="G454" t="n">
        <v>3.3</v>
      </c>
      <c r="H454" t="n">
        <v>0</v>
      </c>
      <c r="I454" t="n">
        <v>0</v>
      </c>
      <c r="J454" t="n">
        <v>0</v>
      </c>
      <c r="K454" t="n">
        <v>0</v>
      </c>
      <c r="L454" t="n">
        <v>0</v>
      </c>
      <c r="M454" t="n">
        <v>0</v>
      </c>
      <c r="N454" t="n">
        <v>0</v>
      </c>
      <c r="O454" t="n">
        <v>0</v>
      </c>
      <c r="P454" t="n">
        <v>0</v>
      </c>
      <c r="Q454" t="n">
        <v>0</v>
      </c>
      <c r="R454" s="2" t="inlineStr"/>
    </row>
    <row r="455" ht="15" customHeight="1">
      <c r="A455" t="inlineStr">
        <is>
          <t>A 29020-2024</t>
        </is>
      </c>
      <c r="B455" s="1" t="n">
        <v>45481.58048611111</v>
      </c>
      <c r="C455" s="1" t="n">
        <v>45998</v>
      </c>
      <c r="D455" t="inlineStr">
        <is>
          <t>KALMAR LÄN</t>
        </is>
      </c>
      <c r="E455" t="inlineStr">
        <is>
          <t>VIMMERBY</t>
        </is>
      </c>
      <c r="G455" t="n">
        <v>2.3</v>
      </c>
      <c r="H455" t="n">
        <v>0</v>
      </c>
      <c r="I455" t="n">
        <v>0</v>
      </c>
      <c r="J455" t="n">
        <v>0</v>
      </c>
      <c r="K455" t="n">
        <v>0</v>
      </c>
      <c r="L455" t="n">
        <v>0</v>
      </c>
      <c r="M455" t="n">
        <v>0</v>
      </c>
      <c r="N455" t="n">
        <v>0</v>
      </c>
      <c r="O455" t="n">
        <v>0</v>
      </c>
      <c r="P455" t="n">
        <v>0</v>
      </c>
      <c r="Q455" t="n">
        <v>0</v>
      </c>
      <c r="R455" s="2" t="inlineStr"/>
    </row>
    <row r="456" ht="15" customHeight="1">
      <c r="A456" t="inlineStr">
        <is>
          <t>A 30633-2024</t>
        </is>
      </c>
      <c r="B456" s="1" t="n">
        <v>45495</v>
      </c>
      <c r="C456" s="1" t="n">
        <v>45998</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62023-2022</t>
        </is>
      </c>
      <c r="B457" s="1" t="n">
        <v>44918.50106481482</v>
      </c>
      <c r="C457" s="1" t="n">
        <v>45998</v>
      </c>
      <c r="D457" t="inlineStr">
        <is>
          <t>KALMAR LÄN</t>
        </is>
      </c>
      <c r="E457" t="inlineStr">
        <is>
          <t>VIMMERBY</t>
        </is>
      </c>
      <c r="G457" t="n">
        <v>0.3</v>
      </c>
      <c r="H457" t="n">
        <v>0</v>
      </c>
      <c r="I457" t="n">
        <v>0</v>
      </c>
      <c r="J457" t="n">
        <v>0</v>
      </c>
      <c r="K457" t="n">
        <v>0</v>
      </c>
      <c r="L457" t="n">
        <v>0</v>
      </c>
      <c r="M457" t="n">
        <v>0</v>
      </c>
      <c r="N457" t="n">
        <v>0</v>
      </c>
      <c r="O457" t="n">
        <v>0</v>
      </c>
      <c r="P457" t="n">
        <v>0</v>
      </c>
      <c r="Q457" t="n">
        <v>0</v>
      </c>
      <c r="R457" s="2" t="inlineStr"/>
    </row>
    <row r="458" ht="15" customHeight="1">
      <c r="A458" t="inlineStr">
        <is>
          <t>A 2462-2022</t>
        </is>
      </c>
      <c r="B458" s="1" t="n">
        <v>44579.62225694444</v>
      </c>
      <c r="C458" s="1" t="n">
        <v>45998</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33424-2023</t>
        </is>
      </c>
      <c r="B459" s="1" t="n">
        <v>45128.9325</v>
      </c>
      <c r="C459" s="1" t="n">
        <v>45998</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33425-2023</t>
        </is>
      </c>
      <c r="B460" s="1" t="n">
        <v>45128.93540509259</v>
      </c>
      <c r="C460" s="1" t="n">
        <v>45998</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58104-2024</t>
        </is>
      </c>
      <c r="B461" s="1" t="n">
        <v>45632.37459490741</v>
      </c>
      <c r="C461" s="1" t="n">
        <v>45998</v>
      </c>
      <c r="D461" t="inlineStr">
        <is>
          <t>KALMAR LÄN</t>
        </is>
      </c>
      <c r="E461" t="inlineStr">
        <is>
          <t>VIMMERBY</t>
        </is>
      </c>
      <c r="G461" t="n">
        <v>5</v>
      </c>
      <c r="H461" t="n">
        <v>0</v>
      </c>
      <c r="I461" t="n">
        <v>0</v>
      </c>
      <c r="J461" t="n">
        <v>0</v>
      </c>
      <c r="K461" t="n">
        <v>0</v>
      </c>
      <c r="L461" t="n">
        <v>0</v>
      </c>
      <c r="M461" t="n">
        <v>0</v>
      </c>
      <c r="N461" t="n">
        <v>0</v>
      </c>
      <c r="O461" t="n">
        <v>0</v>
      </c>
      <c r="P461" t="n">
        <v>0</v>
      </c>
      <c r="Q461" t="n">
        <v>0</v>
      </c>
      <c r="R461" s="2" t="inlineStr"/>
    </row>
    <row r="462" ht="15" customHeight="1">
      <c r="A462" t="inlineStr">
        <is>
          <t>A 3609-2024</t>
        </is>
      </c>
      <c r="B462" s="1" t="n">
        <v>45320.89128472222</v>
      </c>
      <c r="C462" s="1" t="n">
        <v>45998</v>
      </c>
      <c r="D462" t="inlineStr">
        <is>
          <t>KALMAR LÄN</t>
        </is>
      </c>
      <c r="E462" t="inlineStr">
        <is>
          <t>VIMMERBY</t>
        </is>
      </c>
      <c r="G462" t="n">
        <v>1.7</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45998</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45998</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45998</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45998</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45998</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13015-2022</t>
        </is>
      </c>
      <c r="B468" s="1" t="n">
        <v>44643</v>
      </c>
      <c r="C468" s="1" t="n">
        <v>45998</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4624-2024</t>
        </is>
      </c>
      <c r="B469" s="1" t="n">
        <v>45328.38755787037</v>
      </c>
      <c r="C469" s="1" t="n">
        <v>45998</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9129-2025</t>
        </is>
      </c>
      <c r="B470" s="1" t="n">
        <v>45713.92412037037</v>
      </c>
      <c r="C470" s="1" t="n">
        <v>45998</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8650-2022</t>
        </is>
      </c>
      <c r="B471" s="1" t="n">
        <v>44613</v>
      </c>
      <c r="C471" s="1" t="n">
        <v>45998</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22643-2023</t>
        </is>
      </c>
      <c r="B472" s="1" t="n">
        <v>45071</v>
      </c>
      <c r="C472" s="1" t="n">
        <v>45998</v>
      </c>
      <c r="D472" t="inlineStr">
        <is>
          <t>KALMAR LÄN</t>
        </is>
      </c>
      <c r="E472" t="inlineStr">
        <is>
          <t>VIMMERBY</t>
        </is>
      </c>
      <c r="G472" t="n">
        <v>3.9</v>
      </c>
      <c r="H472" t="n">
        <v>0</v>
      </c>
      <c r="I472" t="n">
        <v>0</v>
      </c>
      <c r="J472" t="n">
        <v>0</v>
      </c>
      <c r="K472" t="n">
        <v>0</v>
      </c>
      <c r="L472" t="n">
        <v>0</v>
      </c>
      <c r="M472" t="n">
        <v>0</v>
      </c>
      <c r="N472" t="n">
        <v>0</v>
      </c>
      <c r="O472" t="n">
        <v>0</v>
      </c>
      <c r="P472" t="n">
        <v>0</v>
      </c>
      <c r="Q472" t="n">
        <v>0</v>
      </c>
      <c r="R472" s="2" t="inlineStr"/>
    </row>
    <row r="473" ht="15" customHeight="1">
      <c r="A473" t="inlineStr">
        <is>
          <t>A 11429-2022</t>
        </is>
      </c>
      <c r="B473" s="1" t="n">
        <v>44630</v>
      </c>
      <c r="C473" s="1" t="n">
        <v>45998</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45998</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11147-2023</t>
        </is>
      </c>
      <c r="B475" s="1" t="n">
        <v>44992</v>
      </c>
      <c r="C475" s="1" t="n">
        <v>45998</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16676-2023</t>
        </is>
      </c>
      <c r="B476" s="1" t="n">
        <v>45028</v>
      </c>
      <c r="C476" s="1" t="n">
        <v>45998</v>
      </c>
      <c r="D476" t="inlineStr">
        <is>
          <t>KALMAR LÄN</t>
        </is>
      </c>
      <c r="E476" t="inlineStr">
        <is>
          <t>VIMMERBY</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23263-2024</t>
        </is>
      </c>
      <c r="B477" s="1" t="n">
        <v>45453.36854166666</v>
      </c>
      <c r="C477" s="1" t="n">
        <v>45998</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34597-2022</t>
        </is>
      </c>
      <c r="B478" s="1" t="n">
        <v>44795</v>
      </c>
      <c r="C478" s="1" t="n">
        <v>45998</v>
      </c>
      <c r="D478" t="inlineStr">
        <is>
          <t>KALMAR LÄN</t>
        </is>
      </c>
      <c r="E478" t="inlineStr">
        <is>
          <t>VIMMERBY</t>
        </is>
      </c>
      <c r="G478" t="n">
        <v>2.2</v>
      </c>
      <c r="H478" t="n">
        <v>0</v>
      </c>
      <c r="I478" t="n">
        <v>0</v>
      </c>
      <c r="J478" t="n">
        <v>0</v>
      </c>
      <c r="K478" t="n">
        <v>0</v>
      </c>
      <c r="L478" t="n">
        <v>0</v>
      </c>
      <c r="M478" t="n">
        <v>0</v>
      </c>
      <c r="N478" t="n">
        <v>0</v>
      </c>
      <c r="O478" t="n">
        <v>0</v>
      </c>
      <c r="P478" t="n">
        <v>0</v>
      </c>
      <c r="Q478" t="n">
        <v>0</v>
      </c>
      <c r="R478" s="2" t="inlineStr"/>
    </row>
    <row r="479" ht="15" customHeight="1">
      <c r="A479" t="inlineStr">
        <is>
          <t>A 49488-2023</t>
        </is>
      </c>
      <c r="B479" s="1" t="n">
        <v>45211.55472222222</v>
      </c>
      <c r="C479" s="1" t="n">
        <v>45998</v>
      </c>
      <c r="D479" t="inlineStr">
        <is>
          <t>KALMAR LÄN</t>
        </is>
      </c>
      <c r="E479" t="inlineStr">
        <is>
          <t>VIMMERBY</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40079-2023</t>
        </is>
      </c>
      <c r="B480" s="1" t="n">
        <v>45168.89298611111</v>
      </c>
      <c r="C480" s="1" t="n">
        <v>45998</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19833-2023</t>
        </is>
      </c>
      <c r="B481" s="1" t="n">
        <v>45052</v>
      </c>
      <c r="C481" s="1" t="n">
        <v>45998</v>
      </c>
      <c r="D481" t="inlineStr">
        <is>
          <t>KALMAR LÄN</t>
        </is>
      </c>
      <c r="E481" t="inlineStr">
        <is>
          <t>VIMMERBY</t>
        </is>
      </c>
      <c r="G481" t="n">
        <v>6.7</v>
      </c>
      <c r="H481" t="n">
        <v>0</v>
      </c>
      <c r="I481" t="n">
        <v>0</v>
      </c>
      <c r="J481" t="n">
        <v>0</v>
      </c>
      <c r="K481" t="n">
        <v>0</v>
      </c>
      <c r="L481" t="n">
        <v>0</v>
      </c>
      <c r="M481" t="n">
        <v>0</v>
      </c>
      <c r="N481" t="n">
        <v>0</v>
      </c>
      <c r="O481" t="n">
        <v>0</v>
      </c>
      <c r="P481" t="n">
        <v>0</v>
      </c>
      <c r="Q481" t="n">
        <v>0</v>
      </c>
      <c r="R481" s="2" t="inlineStr"/>
    </row>
    <row r="482" ht="15" customHeight="1">
      <c r="A482" t="inlineStr">
        <is>
          <t>A 59768-2024</t>
        </is>
      </c>
      <c r="B482" s="1" t="n">
        <v>45639.56185185185</v>
      </c>
      <c r="C482" s="1" t="n">
        <v>45998</v>
      </c>
      <c r="D482" t="inlineStr">
        <is>
          <t>KALMAR LÄN</t>
        </is>
      </c>
      <c r="E482" t="inlineStr">
        <is>
          <t>VIMMERBY</t>
        </is>
      </c>
      <c r="G482" t="n">
        <v>5.9</v>
      </c>
      <c r="H482" t="n">
        <v>0</v>
      </c>
      <c r="I482" t="n">
        <v>0</v>
      </c>
      <c r="J482" t="n">
        <v>0</v>
      </c>
      <c r="K482" t="n">
        <v>0</v>
      </c>
      <c r="L482" t="n">
        <v>0</v>
      </c>
      <c r="M482" t="n">
        <v>0</v>
      </c>
      <c r="N482" t="n">
        <v>0</v>
      </c>
      <c r="O482" t="n">
        <v>0</v>
      </c>
      <c r="P482" t="n">
        <v>0</v>
      </c>
      <c r="Q482" t="n">
        <v>0</v>
      </c>
      <c r="R482" s="2" t="inlineStr"/>
    </row>
    <row r="483" ht="15" customHeight="1">
      <c r="A483" t="inlineStr">
        <is>
          <t>A 72067-2021</t>
        </is>
      </c>
      <c r="B483" s="1" t="n">
        <v>44540</v>
      </c>
      <c r="C483" s="1" t="n">
        <v>45998</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41158-2023</t>
        </is>
      </c>
      <c r="B484" s="1" t="n">
        <v>45174.31395833333</v>
      </c>
      <c r="C484" s="1" t="n">
        <v>45998</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22198-2024</t>
        </is>
      </c>
      <c r="B485" s="1" t="n">
        <v>45446.36865740741</v>
      </c>
      <c r="C485" s="1" t="n">
        <v>45998</v>
      </c>
      <c r="D485" t="inlineStr">
        <is>
          <t>KALMAR LÄN</t>
        </is>
      </c>
      <c r="E485" t="inlineStr">
        <is>
          <t>VIMMERBY</t>
        </is>
      </c>
      <c r="F485" t="inlineStr">
        <is>
          <t>Sveaskog</t>
        </is>
      </c>
      <c r="G485" t="n">
        <v>2.3</v>
      </c>
      <c r="H485" t="n">
        <v>0</v>
      </c>
      <c r="I485" t="n">
        <v>0</v>
      </c>
      <c r="J485" t="n">
        <v>0</v>
      </c>
      <c r="K485" t="n">
        <v>0</v>
      </c>
      <c r="L485" t="n">
        <v>0</v>
      </c>
      <c r="M485" t="n">
        <v>0</v>
      </c>
      <c r="N485" t="n">
        <v>0</v>
      </c>
      <c r="O485" t="n">
        <v>0</v>
      </c>
      <c r="P485" t="n">
        <v>0</v>
      </c>
      <c r="Q485" t="n">
        <v>0</v>
      </c>
      <c r="R485" s="2" t="inlineStr"/>
    </row>
    <row r="486" ht="15" customHeight="1">
      <c r="A486" t="inlineStr">
        <is>
          <t>A 9511-2023</t>
        </is>
      </c>
      <c r="B486" s="1" t="n">
        <v>44981.64725694444</v>
      </c>
      <c r="C486" s="1" t="n">
        <v>45998</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17084-2025</t>
        </is>
      </c>
      <c r="B487" s="1" t="n">
        <v>45755.64450231481</v>
      </c>
      <c r="C487" s="1" t="n">
        <v>45998</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56022-2024</t>
        </is>
      </c>
      <c r="B488" s="1" t="n">
        <v>45623.95947916667</v>
      </c>
      <c r="C488" s="1" t="n">
        <v>45998</v>
      </c>
      <c r="D488" t="inlineStr">
        <is>
          <t>KALMAR LÄN</t>
        </is>
      </c>
      <c r="E488" t="inlineStr">
        <is>
          <t>VIMMERBY</t>
        </is>
      </c>
      <c r="G488" t="n">
        <v>0.3</v>
      </c>
      <c r="H488" t="n">
        <v>0</v>
      </c>
      <c r="I488" t="n">
        <v>0</v>
      </c>
      <c r="J488" t="n">
        <v>0</v>
      </c>
      <c r="K488" t="n">
        <v>0</v>
      </c>
      <c r="L488" t="n">
        <v>0</v>
      </c>
      <c r="M488" t="n">
        <v>0</v>
      </c>
      <c r="N488" t="n">
        <v>0</v>
      </c>
      <c r="O488" t="n">
        <v>0</v>
      </c>
      <c r="P488" t="n">
        <v>0</v>
      </c>
      <c r="Q488" t="n">
        <v>0</v>
      </c>
      <c r="R488" s="2" t="inlineStr"/>
    </row>
    <row r="489" ht="15" customHeight="1">
      <c r="A489" t="inlineStr">
        <is>
          <t>A 11928-2022</t>
        </is>
      </c>
      <c r="B489" s="1" t="n">
        <v>44635</v>
      </c>
      <c r="C489" s="1" t="n">
        <v>45998</v>
      </c>
      <c r="D489" t="inlineStr">
        <is>
          <t>KALMAR LÄN</t>
        </is>
      </c>
      <c r="E489" t="inlineStr">
        <is>
          <t>VIMMERBY</t>
        </is>
      </c>
      <c r="G489" t="n">
        <v>2.8</v>
      </c>
      <c r="H489" t="n">
        <v>0</v>
      </c>
      <c r="I489" t="n">
        <v>0</v>
      </c>
      <c r="J489" t="n">
        <v>0</v>
      </c>
      <c r="K489" t="n">
        <v>0</v>
      </c>
      <c r="L489" t="n">
        <v>0</v>
      </c>
      <c r="M489" t="n">
        <v>0</v>
      </c>
      <c r="N489" t="n">
        <v>0</v>
      </c>
      <c r="O489" t="n">
        <v>0</v>
      </c>
      <c r="P489" t="n">
        <v>0</v>
      </c>
      <c r="Q489" t="n">
        <v>0</v>
      </c>
      <c r="R489" s="2" t="inlineStr"/>
    </row>
    <row r="490" ht="15" customHeight="1">
      <c r="A490" t="inlineStr">
        <is>
          <t>A 5527-2022</t>
        </is>
      </c>
      <c r="B490" s="1" t="n">
        <v>44595.583125</v>
      </c>
      <c r="C490" s="1" t="n">
        <v>45998</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34205-2023</t>
        </is>
      </c>
      <c r="B491" s="1" t="n">
        <v>45138</v>
      </c>
      <c r="C491" s="1" t="n">
        <v>45998</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49461-2023</t>
        </is>
      </c>
      <c r="B492" s="1" t="n">
        <v>45211.52642361111</v>
      </c>
      <c r="C492" s="1" t="n">
        <v>45998</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49474-2023</t>
        </is>
      </c>
      <c r="B493" s="1" t="n">
        <v>45211.541875</v>
      </c>
      <c r="C493" s="1" t="n">
        <v>45998</v>
      </c>
      <c r="D493" t="inlineStr">
        <is>
          <t>KALMAR LÄN</t>
        </is>
      </c>
      <c r="E493" t="inlineStr">
        <is>
          <t>VIMMERBY</t>
        </is>
      </c>
      <c r="G493" t="n">
        <v>3.6</v>
      </c>
      <c r="H493" t="n">
        <v>0</v>
      </c>
      <c r="I493" t="n">
        <v>0</v>
      </c>
      <c r="J493" t="n">
        <v>0</v>
      </c>
      <c r="K493" t="n">
        <v>0</v>
      </c>
      <c r="L493" t="n">
        <v>0</v>
      </c>
      <c r="M493" t="n">
        <v>0</v>
      </c>
      <c r="N493" t="n">
        <v>0</v>
      </c>
      <c r="O493" t="n">
        <v>0</v>
      </c>
      <c r="P493" t="n">
        <v>0</v>
      </c>
      <c r="Q493" t="n">
        <v>0</v>
      </c>
      <c r="R493" s="2" t="inlineStr"/>
    </row>
    <row r="494" ht="15" customHeight="1">
      <c r="A494" t="inlineStr">
        <is>
          <t>A 57091-2022</t>
        </is>
      </c>
      <c r="B494" s="1" t="n">
        <v>44895.46524305556</v>
      </c>
      <c r="C494" s="1" t="n">
        <v>45998</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61861-2024</t>
        </is>
      </c>
      <c r="B495" s="1" t="n">
        <v>45650.37370370371</v>
      </c>
      <c r="C495" s="1" t="n">
        <v>45998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6408-2025</t>
        </is>
      </c>
      <c r="B496" s="1" t="n">
        <v>45699.45671296296</v>
      </c>
      <c r="C496" s="1" t="n">
        <v>45998</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2604-2025</t>
        </is>
      </c>
      <c r="B497" s="1" t="n">
        <v>45674.74094907408</v>
      </c>
      <c r="C497" s="1" t="n">
        <v>45998</v>
      </c>
      <c r="D497" t="inlineStr">
        <is>
          <t>KALMAR LÄN</t>
        </is>
      </c>
      <c r="E497" t="inlineStr">
        <is>
          <t>VIMMERBY</t>
        </is>
      </c>
      <c r="G497" t="n">
        <v>7.6</v>
      </c>
      <c r="H497" t="n">
        <v>0</v>
      </c>
      <c r="I497" t="n">
        <v>0</v>
      </c>
      <c r="J497" t="n">
        <v>0</v>
      </c>
      <c r="K497" t="n">
        <v>0</v>
      </c>
      <c r="L497" t="n">
        <v>0</v>
      </c>
      <c r="M497" t="n">
        <v>0</v>
      </c>
      <c r="N497" t="n">
        <v>0</v>
      </c>
      <c r="O497" t="n">
        <v>0</v>
      </c>
      <c r="P497" t="n">
        <v>0</v>
      </c>
      <c r="Q497" t="n">
        <v>0</v>
      </c>
      <c r="R497" s="2" t="inlineStr"/>
    </row>
    <row r="498" ht="15" customHeight="1">
      <c r="A498" t="inlineStr">
        <is>
          <t>A 6807-2025</t>
        </is>
      </c>
      <c r="B498" s="1" t="n">
        <v>45700.68672453704</v>
      </c>
      <c r="C498" s="1" t="n">
        <v>45998</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45846-2023</t>
        </is>
      </c>
      <c r="B499" s="1" t="n">
        <v>45195.58452546296</v>
      </c>
      <c r="C499" s="1" t="n">
        <v>45998</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8167-2024</t>
        </is>
      </c>
      <c r="B500" s="1" t="n">
        <v>45351.6062962963</v>
      </c>
      <c r="C500" s="1" t="n">
        <v>45998</v>
      </c>
      <c r="D500" t="inlineStr">
        <is>
          <t>KALMAR LÄN</t>
        </is>
      </c>
      <c r="E500" t="inlineStr">
        <is>
          <t>VIMMERBY</t>
        </is>
      </c>
      <c r="G500" t="n">
        <v>3.8</v>
      </c>
      <c r="H500" t="n">
        <v>0</v>
      </c>
      <c r="I500" t="n">
        <v>0</v>
      </c>
      <c r="J500" t="n">
        <v>0</v>
      </c>
      <c r="K500" t="n">
        <v>0</v>
      </c>
      <c r="L500" t="n">
        <v>0</v>
      </c>
      <c r="M500" t="n">
        <v>0</v>
      </c>
      <c r="N500" t="n">
        <v>0</v>
      </c>
      <c r="O500" t="n">
        <v>0</v>
      </c>
      <c r="P500" t="n">
        <v>0</v>
      </c>
      <c r="Q500" t="n">
        <v>0</v>
      </c>
      <c r="R500" s="2" t="inlineStr"/>
    </row>
    <row r="501" ht="15" customHeight="1">
      <c r="A501" t="inlineStr">
        <is>
          <t>A 38851-2023</t>
        </is>
      </c>
      <c r="B501" s="1" t="n">
        <v>45163</v>
      </c>
      <c r="C501" s="1" t="n">
        <v>45998</v>
      </c>
      <c r="D501" t="inlineStr">
        <is>
          <t>KALMAR LÄN</t>
        </is>
      </c>
      <c r="E501" t="inlineStr">
        <is>
          <t>VIMMERBY</t>
        </is>
      </c>
      <c r="G501" t="n">
        <v>4.3</v>
      </c>
      <c r="H501" t="n">
        <v>0</v>
      </c>
      <c r="I501" t="n">
        <v>0</v>
      </c>
      <c r="J501" t="n">
        <v>0</v>
      </c>
      <c r="K501" t="n">
        <v>0</v>
      </c>
      <c r="L501" t="n">
        <v>0</v>
      </c>
      <c r="M501" t="n">
        <v>0</v>
      </c>
      <c r="N501" t="n">
        <v>0</v>
      </c>
      <c r="O501" t="n">
        <v>0</v>
      </c>
      <c r="P501" t="n">
        <v>0</v>
      </c>
      <c r="Q501" t="n">
        <v>0</v>
      </c>
      <c r="R501" s="2" t="inlineStr"/>
    </row>
    <row r="502" ht="15" customHeight="1">
      <c r="A502" t="inlineStr">
        <is>
          <t>A 49382-2023</t>
        </is>
      </c>
      <c r="B502" s="1" t="n">
        <v>45208</v>
      </c>
      <c r="C502" s="1" t="n">
        <v>45998</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12121-2025</t>
        </is>
      </c>
      <c r="B503" s="1" t="n">
        <v>45729.36868055556</v>
      </c>
      <c r="C503" s="1" t="n">
        <v>45998</v>
      </c>
      <c r="D503" t="inlineStr">
        <is>
          <t>KALMAR LÄN</t>
        </is>
      </c>
      <c r="E503" t="inlineStr">
        <is>
          <t>VIMMERBY</t>
        </is>
      </c>
      <c r="G503" t="n">
        <v>4.3</v>
      </c>
      <c r="H503" t="n">
        <v>0</v>
      </c>
      <c r="I503" t="n">
        <v>0</v>
      </c>
      <c r="J503" t="n">
        <v>0</v>
      </c>
      <c r="K503" t="n">
        <v>0</v>
      </c>
      <c r="L503" t="n">
        <v>0</v>
      </c>
      <c r="M503" t="n">
        <v>0</v>
      </c>
      <c r="N503" t="n">
        <v>0</v>
      </c>
      <c r="O503" t="n">
        <v>0</v>
      </c>
      <c r="P503" t="n">
        <v>0</v>
      </c>
      <c r="Q503" t="n">
        <v>0</v>
      </c>
      <c r="R503" s="2" t="inlineStr"/>
    </row>
    <row r="504" ht="15" customHeight="1">
      <c r="A504" t="inlineStr">
        <is>
          <t>A 35846-2023</t>
        </is>
      </c>
      <c r="B504" s="1" t="n">
        <v>45148</v>
      </c>
      <c r="C504" s="1" t="n">
        <v>45998</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35913-2023</t>
        </is>
      </c>
      <c r="B505" s="1" t="n">
        <v>45148</v>
      </c>
      <c r="C505" s="1" t="n">
        <v>45998</v>
      </c>
      <c r="D505" t="inlineStr">
        <is>
          <t>KALMAR LÄN</t>
        </is>
      </c>
      <c r="E505" t="inlineStr">
        <is>
          <t>VIMMERBY</t>
        </is>
      </c>
      <c r="G505" t="n">
        <v>6.9</v>
      </c>
      <c r="H505" t="n">
        <v>0</v>
      </c>
      <c r="I505" t="n">
        <v>0</v>
      </c>
      <c r="J505" t="n">
        <v>0</v>
      </c>
      <c r="K505" t="n">
        <v>0</v>
      </c>
      <c r="L505" t="n">
        <v>0</v>
      </c>
      <c r="M505" t="n">
        <v>0</v>
      </c>
      <c r="N505" t="n">
        <v>0</v>
      </c>
      <c r="O505" t="n">
        <v>0</v>
      </c>
      <c r="P505" t="n">
        <v>0</v>
      </c>
      <c r="Q505" t="n">
        <v>0</v>
      </c>
      <c r="R505" s="2" t="inlineStr"/>
    </row>
    <row r="506" ht="15" customHeight="1">
      <c r="A506" t="inlineStr">
        <is>
          <t>A 23252-2024</t>
        </is>
      </c>
      <c r="B506" s="1" t="n">
        <v>45453.36067129629</v>
      </c>
      <c r="C506" s="1" t="n">
        <v>45998</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38757-2023</t>
        </is>
      </c>
      <c r="B507" s="1" t="n">
        <v>45163.41376157408</v>
      </c>
      <c r="C507" s="1" t="n">
        <v>45998</v>
      </c>
      <c r="D507" t="inlineStr">
        <is>
          <t>KALMAR LÄN</t>
        </is>
      </c>
      <c r="E507" t="inlineStr">
        <is>
          <t>VIMMERBY</t>
        </is>
      </c>
      <c r="G507" t="n">
        <v>2.5</v>
      </c>
      <c r="H507" t="n">
        <v>0</v>
      </c>
      <c r="I507" t="n">
        <v>0</v>
      </c>
      <c r="J507" t="n">
        <v>0</v>
      </c>
      <c r="K507" t="n">
        <v>0</v>
      </c>
      <c r="L507" t="n">
        <v>0</v>
      </c>
      <c r="M507" t="n">
        <v>0</v>
      </c>
      <c r="N507" t="n">
        <v>0</v>
      </c>
      <c r="O507" t="n">
        <v>0</v>
      </c>
      <c r="P507" t="n">
        <v>0</v>
      </c>
      <c r="Q507" t="n">
        <v>0</v>
      </c>
      <c r="R507" s="2" t="inlineStr"/>
    </row>
    <row r="508" ht="15" customHeight="1">
      <c r="A508" t="inlineStr">
        <is>
          <t>A 5792-2023</t>
        </is>
      </c>
      <c r="B508" s="1" t="n">
        <v>44963.44769675926</v>
      </c>
      <c r="C508" s="1" t="n">
        <v>45998</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2797-2023</t>
        </is>
      </c>
      <c r="B509" s="1" t="n">
        <v>44944.71386574074</v>
      </c>
      <c r="C509" s="1" t="n">
        <v>45998</v>
      </c>
      <c r="D509" t="inlineStr">
        <is>
          <t>KALMAR LÄN</t>
        </is>
      </c>
      <c r="E509" t="inlineStr">
        <is>
          <t>VIMMERBY</t>
        </is>
      </c>
      <c r="G509" t="n">
        <v>3.4</v>
      </c>
      <c r="H509" t="n">
        <v>0</v>
      </c>
      <c r="I509" t="n">
        <v>0</v>
      </c>
      <c r="J509" t="n">
        <v>0</v>
      </c>
      <c r="K509" t="n">
        <v>0</v>
      </c>
      <c r="L509" t="n">
        <v>0</v>
      </c>
      <c r="M509" t="n">
        <v>0</v>
      </c>
      <c r="N509" t="n">
        <v>0</v>
      </c>
      <c r="O509" t="n">
        <v>0</v>
      </c>
      <c r="P509" t="n">
        <v>0</v>
      </c>
      <c r="Q509" t="n">
        <v>0</v>
      </c>
      <c r="R509" s="2" t="inlineStr"/>
    </row>
    <row r="510" ht="15" customHeight="1">
      <c r="A510" t="inlineStr">
        <is>
          <t>A 2799-2023</t>
        </is>
      </c>
      <c r="B510" s="1" t="n">
        <v>44944.72100694444</v>
      </c>
      <c r="C510" s="1" t="n">
        <v>45998</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6220-2025</t>
        </is>
      </c>
      <c r="B511" s="1" t="n">
        <v>45698.53725694444</v>
      </c>
      <c r="C511" s="1" t="n">
        <v>45998</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20136-2024</t>
        </is>
      </c>
      <c r="B512" s="1" t="n">
        <v>45434.56291666667</v>
      </c>
      <c r="C512" s="1" t="n">
        <v>45998</v>
      </c>
      <c r="D512" t="inlineStr">
        <is>
          <t>KALMAR LÄN</t>
        </is>
      </c>
      <c r="E512" t="inlineStr">
        <is>
          <t>VIMMERBY</t>
        </is>
      </c>
      <c r="F512" t="inlineStr">
        <is>
          <t>Sveaskog</t>
        </is>
      </c>
      <c r="G512" t="n">
        <v>8.4</v>
      </c>
      <c r="H512" t="n">
        <v>0</v>
      </c>
      <c r="I512" t="n">
        <v>0</v>
      </c>
      <c r="J512" t="n">
        <v>0</v>
      </c>
      <c r="K512" t="n">
        <v>0</v>
      </c>
      <c r="L512" t="n">
        <v>0</v>
      </c>
      <c r="M512" t="n">
        <v>0</v>
      </c>
      <c r="N512" t="n">
        <v>0</v>
      </c>
      <c r="O512" t="n">
        <v>0</v>
      </c>
      <c r="P512" t="n">
        <v>0</v>
      </c>
      <c r="Q512" t="n">
        <v>0</v>
      </c>
      <c r="R512" s="2" t="inlineStr"/>
    </row>
    <row r="513" ht="15" customHeight="1">
      <c r="A513" t="inlineStr">
        <is>
          <t>A 58278-2023</t>
        </is>
      </c>
      <c r="B513" s="1" t="n">
        <v>45250.5278587963</v>
      </c>
      <c r="C513" s="1" t="n">
        <v>45998</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36259-2022</t>
        </is>
      </c>
      <c r="B514" s="1" t="n">
        <v>44803.59118055556</v>
      </c>
      <c r="C514" s="1" t="n">
        <v>45998</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36526-2023</t>
        </is>
      </c>
      <c r="B515" s="1" t="n">
        <v>45153.32778935185</v>
      </c>
      <c r="C515" s="1" t="n">
        <v>45998</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17988-2025</t>
        </is>
      </c>
      <c r="B516" s="1" t="n">
        <v>45761.39600694444</v>
      </c>
      <c r="C516" s="1" t="n">
        <v>45998</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24283-2023</t>
        </is>
      </c>
      <c r="B517" s="1" t="n">
        <v>45079.87827546296</v>
      </c>
      <c r="C517" s="1" t="n">
        <v>45998</v>
      </c>
      <c r="D517" t="inlineStr">
        <is>
          <t>KALMAR LÄN</t>
        </is>
      </c>
      <c r="E517" t="inlineStr">
        <is>
          <t>VIMMERBY</t>
        </is>
      </c>
      <c r="G517" t="n">
        <v>2</v>
      </c>
      <c r="H517" t="n">
        <v>0</v>
      </c>
      <c r="I517" t="n">
        <v>0</v>
      </c>
      <c r="J517" t="n">
        <v>0</v>
      </c>
      <c r="K517" t="n">
        <v>0</v>
      </c>
      <c r="L517" t="n">
        <v>0</v>
      </c>
      <c r="M517" t="n">
        <v>0</v>
      </c>
      <c r="N517" t="n">
        <v>0</v>
      </c>
      <c r="O517" t="n">
        <v>0</v>
      </c>
      <c r="P517" t="n">
        <v>0</v>
      </c>
      <c r="Q517" t="n">
        <v>0</v>
      </c>
      <c r="R517" s="2" t="inlineStr"/>
    </row>
    <row r="518" ht="15" customHeight="1">
      <c r="A518" t="inlineStr">
        <is>
          <t>A 29350-2023</t>
        </is>
      </c>
      <c r="B518" s="1" t="n">
        <v>45106</v>
      </c>
      <c r="C518" s="1" t="n">
        <v>45998</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29351-2023</t>
        </is>
      </c>
      <c r="B519" s="1" t="n">
        <v>45106.2610300926</v>
      </c>
      <c r="C519" s="1" t="n">
        <v>45998</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6474-2025</t>
        </is>
      </c>
      <c r="B520" s="1" t="n">
        <v>45699.60055555555</v>
      </c>
      <c r="C520" s="1" t="n">
        <v>45998</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59598-2023</t>
        </is>
      </c>
      <c r="B521" s="1" t="n">
        <v>45254.62489583333</v>
      </c>
      <c r="C521" s="1" t="n">
        <v>45998</v>
      </c>
      <c r="D521" t="inlineStr">
        <is>
          <t>KALMAR LÄN</t>
        </is>
      </c>
      <c r="E521" t="inlineStr">
        <is>
          <t>VIMMERBY</t>
        </is>
      </c>
      <c r="F521" t="inlineStr">
        <is>
          <t>Övriga Aktiebolag</t>
        </is>
      </c>
      <c r="G521" t="n">
        <v>4</v>
      </c>
      <c r="H521" t="n">
        <v>0</v>
      </c>
      <c r="I521" t="n">
        <v>0</v>
      </c>
      <c r="J521" t="n">
        <v>0</v>
      </c>
      <c r="K521" t="n">
        <v>0</v>
      </c>
      <c r="L521" t="n">
        <v>0</v>
      </c>
      <c r="M521" t="n">
        <v>0</v>
      </c>
      <c r="N521" t="n">
        <v>0</v>
      </c>
      <c r="O521" t="n">
        <v>0</v>
      </c>
      <c r="P521" t="n">
        <v>0</v>
      </c>
      <c r="Q521" t="n">
        <v>0</v>
      </c>
      <c r="R521" s="2" t="inlineStr"/>
    </row>
    <row r="522" ht="15" customHeight="1">
      <c r="A522" t="inlineStr">
        <is>
          <t>A 17-2025</t>
        </is>
      </c>
      <c r="B522" s="1" t="n">
        <v>45658.78774305555</v>
      </c>
      <c r="C522" s="1" t="n">
        <v>45998</v>
      </c>
      <c r="D522" t="inlineStr">
        <is>
          <t>KALMAR LÄN</t>
        </is>
      </c>
      <c r="E522" t="inlineStr">
        <is>
          <t>VIMMERBY</t>
        </is>
      </c>
      <c r="G522" t="n">
        <v>4.4</v>
      </c>
      <c r="H522" t="n">
        <v>0</v>
      </c>
      <c r="I522" t="n">
        <v>0</v>
      </c>
      <c r="J522" t="n">
        <v>0</v>
      </c>
      <c r="K522" t="n">
        <v>0</v>
      </c>
      <c r="L522" t="n">
        <v>0</v>
      </c>
      <c r="M522" t="n">
        <v>0</v>
      </c>
      <c r="N522" t="n">
        <v>0</v>
      </c>
      <c r="O522" t="n">
        <v>0</v>
      </c>
      <c r="P522" t="n">
        <v>0</v>
      </c>
      <c r="Q522" t="n">
        <v>0</v>
      </c>
      <c r="R522" s="2" t="inlineStr"/>
    </row>
    <row r="523" ht="15" customHeight="1">
      <c r="A523" t="inlineStr">
        <is>
          <t>A 30920-2023</t>
        </is>
      </c>
      <c r="B523" s="1" t="n">
        <v>45113.43921296296</v>
      </c>
      <c r="C523" s="1" t="n">
        <v>45998</v>
      </c>
      <c r="D523" t="inlineStr">
        <is>
          <t>KALMAR LÄN</t>
        </is>
      </c>
      <c r="E523" t="inlineStr">
        <is>
          <t>VIMMERBY</t>
        </is>
      </c>
      <c r="G523" t="n">
        <v>3.1</v>
      </c>
      <c r="H523" t="n">
        <v>0</v>
      </c>
      <c r="I523" t="n">
        <v>0</v>
      </c>
      <c r="J523" t="n">
        <v>0</v>
      </c>
      <c r="K523" t="n">
        <v>0</v>
      </c>
      <c r="L523" t="n">
        <v>0</v>
      </c>
      <c r="M523" t="n">
        <v>0</v>
      </c>
      <c r="N523" t="n">
        <v>0</v>
      </c>
      <c r="O523" t="n">
        <v>0</v>
      </c>
      <c r="P523" t="n">
        <v>0</v>
      </c>
      <c r="Q523" t="n">
        <v>0</v>
      </c>
      <c r="R523" s="2" t="inlineStr"/>
    </row>
    <row r="524" ht="15" customHeight="1">
      <c r="A524" t="inlineStr">
        <is>
          <t>A 57555-2024</t>
        </is>
      </c>
      <c r="B524" s="1" t="n">
        <v>45630.45069444444</v>
      </c>
      <c r="C524" s="1" t="n">
        <v>45998</v>
      </c>
      <c r="D524" t="inlineStr">
        <is>
          <t>KALMAR LÄN</t>
        </is>
      </c>
      <c r="E524" t="inlineStr">
        <is>
          <t>VIMMERBY</t>
        </is>
      </c>
      <c r="G524" t="n">
        <v>1.1</v>
      </c>
      <c r="H524" t="n">
        <v>0</v>
      </c>
      <c r="I524" t="n">
        <v>0</v>
      </c>
      <c r="J524" t="n">
        <v>0</v>
      </c>
      <c r="K524" t="n">
        <v>0</v>
      </c>
      <c r="L524" t="n">
        <v>0</v>
      </c>
      <c r="M524" t="n">
        <v>0</v>
      </c>
      <c r="N524" t="n">
        <v>0</v>
      </c>
      <c r="O524" t="n">
        <v>0</v>
      </c>
      <c r="P524" t="n">
        <v>0</v>
      </c>
      <c r="Q524" t="n">
        <v>0</v>
      </c>
      <c r="R524" s="2" t="inlineStr"/>
    </row>
    <row r="525" ht="15" customHeight="1">
      <c r="A525" t="inlineStr">
        <is>
          <t>A 18411-2021</t>
        </is>
      </c>
      <c r="B525" s="1" t="n">
        <v>44302</v>
      </c>
      <c r="C525" s="1" t="n">
        <v>45998</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11609-2023</t>
        </is>
      </c>
      <c r="B526" s="1" t="n">
        <v>44994.40635416667</v>
      </c>
      <c r="C526" s="1" t="n">
        <v>45998</v>
      </c>
      <c r="D526" t="inlineStr">
        <is>
          <t>KALMAR LÄN</t>
        </is>
      </c>
      <c r="E526" t="inlineStr">
        <is>
          <t>VIMMERBY</t>
        </is>
      </c>
      <c r="G526" t="n">
        <v>4.9</v>
      </c>
      <c r="H526" t="n">
        <v>0</v>
      </c>
      <c r="I526" t="n">
        <v>0</v>
      </c>
      <c r="J526" t="n">
        <v>0</v>
      </c>
      <c r="K526" t="n">
        <v>0</v>
      </c>
      <c r="L526" t="n">
        <v>0</v>
      </c>
      <c r="M526" t="n">
        <v>0</v>
      </c>
      <c r="N526" t="n">
        <v>0</v>
      </c>
      <c r="O526" t="n">
        <v>0</v>
      </c>
      <c r="P526" t="n">
        <v>0</v>
      </c>
      <c r="Q526" t="n">
        <v>0</v>
      </c>
      <c r="R526" s="2" t="inlineStr"/>
    </row>
    <row r="527" ht="15" customHeight="1">
      <c r="A527" t="inlineStr">
        <is>
          <t>A 52279-2023</t>
        </is>
      </c>
      <c r="B527" s="1" t="n">
        <v>45224</v>
      </c>
      <c r="C527" s="1" t="n">
        <v>45998</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52324-2023</t>
        </is>
      </c>
      <c r="B528" s="1" t="n">
        <v>45224.64659722222</v>
      </c>
      <c r="C528" s="1" t="n">
        <v>45998</v>
      </c>
      <c r="D528" t="inlineStr">
        <is>
          <t>KALMAR LÄN</t>
        </is>
      </c>
      <c r="E528" t="inlineStr">
        <is>
          <t>VIMMERBY</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25582-2024</t>
        </is>
      </c>
      <c r="B529" s="1" t="n">
        <v>45463</v>
      </c>
      <c r="C529" s="1" t="n">
        <v>45998</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32639-2023</t>
        </is>
      </c>
      <c r="B530" s="1" t="n">
        <v>45121.5965162037</v>
      </c>
      <c r="C530" s="1" t="n">
        <v>45998</v>
      </c>
      <c r="D530" t="inlineStr">
        <is>
          <t>KALMAR LÄN</t>
        </is>
      </c>
      <c r="E530" t="inlineStr">
        <is>
          <t>VIMMERBY</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32642-2023</t>
        </is>
      </c>
      <c r="B531" s="1" t="n">
        <v>45121.59954861111</v>
      </c>
      <c r="C531" s="1" t="n">
        <v>45998</v>
      </c>
      <c r="D531" t="inlineStr">
        <is>
          <t>KALMAR LÄN</t>
        </is>
      </c>
      <c r="E531" t="inlineStr">
        <is>
          <t>VIMMERBY</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32651-2023</t>
        </is>
      </c>
      <c r="B532" s="1" t="n">
        <v>45121.6096875</v>
      </c>
      <c r="C532" s="1" t="n">
        <v>45998</v>
      </c>
      <c r="D532" t="inlineStr">
        <is>
          <t>KALMAR LÄN</t>
        </is>
      </c>
      <c r="E532" t="inlineStr">
        <is>
          <t>VIMMERBY</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40730-2024</t>
        </is>
      </c>
      <c r="B533" s="1" t="n">
        <v>45558.44914351852</v>
      </c>
      <c r="C533" s="1" t="n">
        <v>45998</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9643-2023</t>
        </is>
      </c>
      <c r="B534" s="1" t="n">
        <v>44984</v>
      </c>
      <c r="C534" s="1" t="n">
        <v>45998</v>
      </c>
      <c r="D534" t="inlineStr">
        <is>
          <t>KALMAR LÄN</t>
        </is>
      </c>
      <c r="E534" t="inlineStr">
        <is>
          <t>VIMMERBY</t>
        </is>
      </c>
      <c r="G534" t="n">
        <v>2</v>
      </c>
      <c r="H534" t="n">
        <v>0</v>
      </c>
      <c r="I534" t="n">
        <v>0</v>
      </c>
      <c r="J534" t="n">
        <v>0</v>
      </c>
      <c r="K534" t="n">
        <v>0</v>
      </c>
      <c r="L534" t="n">
        <v>0</v>
      </c>
      <c r="M534" t="n">
        <v>0</v>
      </c>
      <c r="N534" t="n">
        <v>0</v>
      </c>
      <c r="O534" t="n">
        <v>0</v>
      </c>
      <c r="P534" t="n">
        <v>0</v>
      </c>
      <c r="Q534" t="n">
        <v>0</v>
      </c>
      <c r="R534" s="2" t="inlineStr"/>
    </row>
    <row r="535" ht="15" customHeight="1">
      <c r="A535" t="inlineStr">
        <is>
          <t>A 56213-2024</t>
        </is>
      </c>
      <c r="B535" s="1" t="n">
        <v>45624.60141203704</v>
      </c>
      <c r="C535" s="1" t="n">
        <v>45998</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20126-2024</t>
        </is>
      </c>
      <c r="B536" s="1" t="n">
        <v>45434.55471064815</v>
      </c>
      <c r="C536" s="1" t="n">
        <v>45998</v>
      </c>
      <c r="D536" t="inlineStr">
        <is>
          <t>KALMAR LÄN</t>
        </is>
      </c>
      <c r="E536" t="inlineStr">
        <is>
          <t>VIMMERBY</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19865-2021</t>
        </is>
      </c>
      <c r="B537" s="1" t="n">
        <v>44312</v>
      </c>
      <c r="C537" s="1" t="n">
        <v>45998</v>
      </c>
      <c r="D537" t="inlineStr">
        <is>
          <t>KALMAR LÄN</t>
        </is>
      </c>
      <c r="E537" t="inlineStr">
        <is>
          <t>VIMMERBY</t>
        </is>
      </c>
      <c r="G537" t="n">
        <v>8.6</v>
      </c>
      <c r="H537" t="n">
        <v>0</v>
      </c>
      <c r="I537" t="n">
        <v>0</v>
      </c>
      <c r="J537" t="n">
        <v>0</v>
      </c>
      <c r="K537" t="n">
        <v>0</v>
      </c>
      <c r="L537" t="n">
        <v>0</v>
      </c>
      <c r="M537" t="n">
        <v>0</v>
      </c>
      <c r="N537" t="n">
        <v>0</v>
      </c>
      <c r="O537" t="n">
        <v>0</v>
      </c>
      <c r="P537" t="n">
        <v>0</v>
      </c>
      <c r="Q537" t="n">
        <v>0</v>
      </c>
      <c r="R537" s="2" t="inlineStr"/>
    </row>
    <row r="538" ht="15" customHeight="1">
      <c r="A538" t="inlineStr">
        <is>
          <t>A 40929-2022</t>
        </is>
      </c>
      <c r="B538" s="1" t="n">
        <v>44825.4336574074</v>
      </c>
      <c r="C538" s="1" t="n">
        <v>45998</v>
      </c>
      <c r="D538" t="inlineStr">
        <is>
          <t>KALMAR LÄN</t>
        </is>
      </c>
      <c r="E538" t="inlineStr">
        <is>
          <t>VIMMERBY</t>
        </is>
      </c>
      <c r="G538" t="n">
        <v>2.5</v>
      </c>
      <c r="H538" t="n">
        <v>0</v>
      </c>
      <c r="I538" t="n">
        <v>0</v>
      </c>
      <c r="J538" t="n">
        <v>0</v>
      </c>
      <c r="K538" t="n">
        <v>0</v>
      </c>
      <c r="L538" t="n">
        <v>0</v>
      </c>
      <c r="M538" t="n">
        <v>0</v>
      </c>
      <c r="N538" t="n">
        <v>0</v>
      </c>
      <c r="O538" t="n">
        <v>0</v>
      </c>
      <c r="P538" t="n">
        <v>0</v>
      </c>
      <c r="Q538" t="n">
        <v>0</v>
      </c>
      <c r="R538" s="2" t="inlineStr"/>
    </row>
    <row r="539" ht="15" customHeight="1">
      <c r="A539" t="inlineStr">
        <is>
          <t>A 9694-2023</t>
        </is>
      </c>
      <c r="B539" s="1" t="n">
        <v>44984.45895833334</v>
      </c>
      <c r="C539" s="1" t="n">
        <v>45998</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9710-2023</t>
        </is>
      </c>
      <c r="B540" s="1" t="n">
        <v>44984</v>
      </c>
      <c r="C540" s="1" t="n">
        <v>45998</v>
      </c>
      <c r="D540" t="inlineStr">
        <is>
          <t>KALMAR LÄN</t>
        </is>
      </c>
      <c r="E540" t="inlineStr">
        <is>
          <t>VIMMERBY</t>
        </is>
      </c>
      <c r="G540" t="n">
        <v>3.7</v>
      </c>
      <c r="H540" t="n">
        <v>0</v>
      </c>
      <c r="I540" t="n">
        <v>0</v>
      </c>
      <c r="J540" t="n">
        <v>0</v>
      </c>
      <c r="K540" t="n">
        <v>0</v>
      </c>
      <c r="L540" t="n">
        <v>0</v>
      </c>
      <c r="M540" t="n">
        <v>0</v>
      </c>
      <c r="N540" t="n">
        <v>0</v>
      </c>
      <c r="O540" t="n">
        <v>0</v>
      </c>
      <c r="P540" t="n">
        <v>0</v>
      </c>
      <c r="Q540" t="n">
        <v>0</v>
      </c>
      <c r="R540" s="2" t="inlineStr"/>
    </row>
    <row r="541" ht="15" customHeight="1">
      <c r="A541" t="inlineStr">
        <is>
          <t>A 6216-2025</t>
        </is>
      </c>
      <c r="B541" s="1" t="n">
        <v>45698.52806712963</v>
      </c>
      <c r="C541" s="1" t="n">
        <v>45998</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33380-2023</t>
        </is>
      </c>
      <c r="B542" s="1" t="n">
        <v>45128</v>
      </c>
      <c r="C542" s="1" t="n">
        <v>45998</v>
      </c>
      <c r="D542" t="inlineStr">
        <is>
          <t>KALMAR LÄN</t>
        </is>
      </c>
      <c r="E542" t="inlineStr">
        <is>
          <t>VIMMERBY</t>
        </is>
      </c>
      <c r="G542" t="n">
        <v>5.2</v>
      </c>
      <c r="H542" t="n">
        <v>0</v>
      </c>
      <c r="I542" t="n">
        <v>0</v>
      </c>
      <c r="J542" t="n">
        <v>0</v>
      </c>
      <c r="K542" t="n">
        <v>0</v>
      </c>
      <c r="L542" t="n">
        <v>0</v>
      </c>
      <c r="M542" t="n">
        <v>0</v>
      </c>
      <c r="N542" t="n">
        <v>0</v>
      </c>
      <c r="O542" t="n">
        <v>0</v>
      </c>
      <c r="P542" t="n">
        <v>0</v>
      </c>
      <c r="Q542" t="n">
        <v>0</v>
      </c>
      <c r="R542" s="2" t="inlineStr"/>
    </row>
    <row r="543" ht="15" customHeight="1">
      <c r="A543" t="inlineStr">
        <is>
          <t>A 46144-2023</t>
        </is>
      </c>
      <c r="B543" s="1" t="n">
        <v>45196.57247685185</v>
      </c>
      <c r="C543" s="1" t="n">
        <v>45998</v>
      </c>
      <c r="D543" t="inlineStr">
        <is>
          <t>KALMAR LÄN</t>
        </is>
      </c>
      <c r="E543" t="inlineStr">
        <is>
          <t>VIMMERBY</t>
        </is>
      </c>
      <c r="G543" t="n">
        <v>6.5</v>
      </c>
      <c r="H543" t="n">
        <v>0</v>
      </c>
      <c r="I543" t="n">
        <v>0</v>
      </c>
      <c r="J543" t="n">
        <v>0</v>
      </c>
      <c r="K543" t="n">
        <v>0</v>
      </c>
      <c r="L543" t="n">
        <v>0</v>
      </c>
      <c r="M543" t="n">
        <v>0</v>
      </c>
      <c r="N543" t="n">
        <v>0</v>
      </c>
      <c r="O543" t="n">
        <v>0</v>
      </c>
      <c r="P543" t="n">
        <v>0</v>
      </c>
      <c r="Q543" t="n">
        <v>0</v>
      </c>
      <c r="R543" s="2" t="inlineStr"/>
    </row>
    <row r="544" ht="15" customHeight="1">
      <c r="A544" t="inlineStr">
        <is>
          <t>A 57578-2024</t>
        </is>
      </c>
      <c r="B544" s="1" t="n">
        <v>45630.47564814815</v>
      </c>
      <c r="C544" s="1" t="n">
        <v>45998</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44464-2024</t>
        </is>
      </c>
      <c r="B545" s="1" t="n">
        <v>45574.35809027778</v>
      </c>
      <c r="C545" s="1" t="n">
        <v>45998</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54787-2023</t>
        </is>
      </c>
      <c r="B546" s="1" t="n">
        <v>45236</v>
      </c>
      <c r="C546" s="1" t="n">
        <v>45998</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15715-2022</t>
        </is>
      </c>
      <c r="B547" s="1" t="n">
        <v>44663</v>
      </c>
      <c r="C547" s="1" t="n">
        <v>45998</v>
      </c>
      <c r="D547" t="inlineStr">
        <is>
          <t>KALMAR LÄN</t>
        </is>
      </c>
      <c r="E547" t="inlineStr">
        <is>
          <t>VIMMERBY</t>
        </is>
      </c>
      <c r="G547" t="n">
        <v>2.3</v>
      </c>
      <c r="H547" t="n">
        <v>0</v>
      </c>
      <c r="I547" t="n">
        <v>0</v>
      </c>
      <c r="J547" t="n">
        <v>0</v>
      </c>
      <c r="K547" t="n">
        <v>0</v>
      </c>
      <c r="L547" t="n">
        <v>0</v>
      </c>
      <c r="M547" t="n">
        <v>0</v>
      </c>
      <c r="N547" t="n">
        <v>0</v>
      </c>
      <c r="O547" t="n">
        <v>0</v>
      </c>
      <c r="P547" t="n">
        <v>0</v>
      </c>
      <c r="Q547" t="n">
        <v>0</v>
      </c>
      <c r="R547" s="2" t="inlineStr"/>
    </row>
    <row r="548" ht="15" customHeight="1">
      <c r="A548" t="inlineStr">
        <is>
          <t>A 7944-2024</t>
        </is>
      </c>
      <c r="B548" s="1" t="n">
        <v>45350.53306712963</v>
      </c>
      <c r="C548" s="1" t="n">
        <v>45998</v>
      </c>
      <c r="D548" t="inlineStr">
        <is>
          <t>KALMAR LÄN</t>
        </is>
      </c>
      <c r="E548" t="inlineStr">
        <is>
          <t>VIMMERBY</t>
        </is>
      </c>
      <c r="G548" t="n">
        <v>1.2</v>
      </c>
      <c r="H548" t="n">
        <v>0</v>
      </c>
      <c r="I548" t="n">
        <v>0</v>
      </c>
      <c r="J548" t="n">
        <v>0</v>
      </c>
      <c r="K548" t="n">
        <v>0</v>
      </c>
      <c r="L548" t="n">
        <v>0</v>
      </c>
      <c r="M548" t="n">
        <v>0</v>
      </c>
      <c r="N548" t="n">
        <v>0</v>
      </c>
      <c r="O548" t="n">
        <v>0</v>
      </c>
      <c r="P548" t="n">
        <v>0</v>
      </c>
      <c r="Q548" t="n">
        <v>0</v>
      </c>
      <c r="R548" s="2" t="inlineStr"/>
    </row>
    <row r="549" ht="15" customHeight="1">
      <c r="A549" t="inlineStr">
        <is>
          <t>A 598-2025</t>
        </is>
      </c>
      <c r="B549" s="1" t="n">
        <v>45660</v>
      </c>
      <c r="C549" s="1" t="n">
        <v>45998</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43774-2023</t>
        </is>
      </c>
      <c r="B550" s="1" t="n">
        <v>45187</v>
      </c>
      <c r="C550" s="1" t="n">
        <v>45998</v>
      </c>
      <c r="D550" t="inlineStr">
        <is>
          <t>KALMAR LÄN</t>
        </is>
      </c>
      <c r="E550" t="inlineStr">
        <is>
          <t>VIMMERBY</t>
        </is>
      </c>
      <c r="G550" t="n">
        <v>3.4</v>
      </c>
      <c r="H550" t="n">
        <v>0</v>
      </c>
      <c r="I550" t="n">
        <v>0</v>
      </c>
      <c r="J550" t="n">
        <v>0</v>
      </c>
      <c r="K550" t="n">
        <v>0</v>
      </c>
      <c r="L550" t="n">
        <v>0</v>
      </c>
      <c r="M550" t="n">
        <v>0</v>
      </c>
      <c r="N550" t="n">
        <v>0</v>
      </c>
      <c r="O550" t="n">
        <v>0</v>
      </c>
      <c r="P550" t="n">
        <v>0</v>
      </c>
      <c r="Q550" t="n">
        <v>0</v>
      </c>
      <c r="R550" s="2" t="inlineStr"/>
    </row>
    <row r="551" ht="15" customHeight="1">
      <c r="A551" t="inlineStr">
        <is>
          <t>A 43705-2023</t>
        </is>
      </c>
      <c r="B551" s="1" t="n">
        <v>45187.42854166667</v>
      </c>
      <c r="C551" s="1" t="n">
        <v>45998</v>
      </c>
      <c r="D551" t="inlineStr">
        <is>
          <t>KALMAR LÄN</t>
        </is>
      </c>
      <c r="E551" t="inlineStr">
        <is>
          <t>VIMMERBY</t>
        </is>
      </c>
      <c r="G551" t="n">
        <v>1.2</v>
      </c>
      <c r="H551" t="n">
        <v>0</v>
      </c>
      <c r="I551" t="n">
        <v>0</v>
      </c>
      <c r="J551" t="n">
        <v>0</v>
      </c>
      <c r="K551" t="n">
        <v>0</v>
      </c>
      <c r="L551" t="n">
        <v>0</v>
      </c>
      <c r="M551" t="n">
        <v>0</v>
      </c>
      <c r="N551" t="n">
        <v>0</v>
      </c>
      <c r="O551" t="n">
        <v>0</v>
      </c>
      <c r="P551" t="n">
        <v>0</v>
      </c>
      <c r="Q551" t="n">
        <v>0</v>
      </c>
      <c r="R551" s="2" t="inlineStr"/>
    </row>
    <row r="552" ht="15" customHeight="1">
      <c r="A552" t="inlineStr">
        <is>
          <t>A 7932-2025</t>
        </is>
      </c>
      <c r="B552" s="1" t="n">
        <v>45707.3793287037</v>
      </c>
      <c r="C552" s="1" t="n">
        <v>45998</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10674-2021</t>
        </is>
      </c>
      <c r="B553" s="1" t="n">
        <v>44258</v>
      </c>
      <c r="C553" s="1" t="n">
        <v>45998</v>
      </c>
      <c r="D553" t="inlineStr">
        <is>
          <t>KALMAR LÄN</t>
        </is>
      </c>
      <c r="E553" t="inlineStr">
        <is>
          <t>VIMMERBY</t>
        </is>
      </c>
      <c r="G553" t="n">
        <v>8.4</v>
      </c>
      <c r="H553" t="n">
        <v>0</v>
      </c>
      <c r="I553" t="n">
        <v>0</v>
      </c>
      <c r="J553" t="n">
        <v>0</v>
      </c>
      <c r="K553" t="n">
        <v>0</v>
      </c>
      <c r="L553" t="n">
        <v>0</v>
      </c>
      <c r="M553" t="n">
        <v>0</v>
      </c>
      <c r="N553" t="n">
        <v>0</v>
      </c>
      <c r="O553" t="n">
        <v>0</v>
      </c>
      <c r="P553" t="n">
        <v>0</v>
      </c>
      <c r="Q553" t="n">
        <v>0</v>
      </c>
      <c r="R553" s="2" t="inlineStr"/>
    </row>
    <row r="554" ht="15" customHeight="1">
      <c r="A554" t="inlineStr">
        <is>
          <t>A 13532-2025</t>
        </is>
      </c>
      <c r="B554" s="1" t="n">
        <v>45736.50743055555</v>
      </c>
      <c r="C554" s="1" t="n">
        <v>45998</v>
      </c>
      <c r="D554" t="inlineStr">
        <is>
          <t>KALMAR LÄN</t>
        </is>
      </c>
      <c r="E554" t="inlineStr">
        <is>
          <t>VIMMERBY</t>
        </is>
      </c>
      <c r="G554" t="n">
        <v>3.6</v>
      </c>
      <c r="H554" t="n">
        <v>0</v>
      </c>
      <c r="I554" t="n">
        <v>0</v>
      </c>
      <c r="J554" t="n">
        <v>0</v>
      </c>
      <c r="K554" t="n">
        <v>0</v>
      </c>
      <c r="L554" t="n">
        <v>0</v>
      </c>
      <c r="M554" t="n">
        <v>0</v>
      </c>
      <c r="N554" t="n">
        <v>0</v>
      </c>
      <c r="O554" t="n">
        <v>0</v>
      </c>
      <c r="P554" t="n">
        <v>0</v>
      </c>
      <c r="Q554" t="n">
        <v>0</v>
      </c>
      <c r="R554" s="2" t="inlineStr"/>
    </row>
    <row r="555" ht="15" customHeight="1">
      <c r="A555" t="inlineStr">
        <is>
          <t>A 65049-2020</t>
        </is>
      </c>
      <c r="B555" s="1" t="n">
        <v>44172</v>
      </c>
      <c r="C555" s="1" t="n">
        <v>45998</v>
      </c>
      <c r="D555" t="inlineStr">
        <is>
          <t>KALMAR LÄN</t>
        </is>
      </c>
      <c r="E555" t="inlineStr">
        <is>
          <t>VIMMERBY</t>
        </is>
      </c>
      <c r="G555" t="n">
        <v>2.3</v>
      </c>
      <c r="H555" t="n">
        <v>0</v>
      </c>
      <c r="I555" t="n">
        <v>0</v>
      </c>
      <c r="J555" t="n">
        <v>0</v>
      </c>
      <c r="K555" t="n">
        <v>0</v>
      </c>
      <c r="L555" t="n">
        <v>0</v>
      </c>
      <c r="M555" t="n">
        <v>0</v>
      </c>
      <c r="N555" t="n">
        <v>0</v>
      </c>
      <c r="O555" t="n">
        <v>0</v>
      </c>
      <c r="P555" t="n">
        <v>0</v>
      </c>
      <c r="Q555" t="n">
        <v>0</v>
      </c>
      <c r="R555" s="2" t="inlineStr"/>
    </row>
    <row r="556" ht="15" customHeight="1">
      <c r="A556" t="inlineStr">
        <is>
          <t>A 10807-2024</t>
        </is>
      </c>
      <c r="B556" s="1" t="n">
        <v>45369.62780092593</v>
      </c>
      <c r="C556" s="1" t="n">
        <v>45998</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40260-2024</t>
        </is>
      </c>
      <c r="B557" s="1" t="n">
        <v>45554.63225694445</v>
      </c>
      <c r="C557" s="1" t="n">
        <v>45998</v>
      </c>
      <c r="D557" t="inlineStr">
        <is>
          <t>KALMAR LÄN</t>
        </is>
      </c>
      <c r="E557" t="inlineStr">
        <is>
          <t>VIMMERBY</t>
        </is>
      </c>
      <c r="G557" t="n">
        <v>1.2</v>
      </c>
      <c r="H557" t="n">
        <v>0</v>
      </c>
      <c r="I557" t="n">
        <v>0</v>
      </c>
      <c r="J557" t="n">
        <v>0</v>
      </c>
      <c r="K557" t="n">
        <v>0</v>
      </c>
      <c r="L557" t="n">
        <v>0</v>
      </c>
      <c r="M557" t="n">
        <v>0</v>
      </c>
      <c r="N557" t="n">
        <v>0</v>
      </c>
      <c r="O557" t="n">
        <v>0</v>
      </c>
      <c r="P557" t="n">
        <v>0</v>
      </c>
      <c r="Q557" t="n">
        <v>0</v>
      </c>
      <c r="R557" s="2" t="inlineStr"/>
    </row>
    <row r="558" ht="15" customHeight="1">
      <c r="A558" t="inlineStr">
        <is>
          <t>A 10787-2025</t>
        </is>
      </c>
      <c r="B558" s="1" t="n">
        <v>45722.48915509259</v>
      </c>
      <c r="C558" s="1" t="n">
        <v>45998</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58577-2024</t>
        </is>
      </c>
      <c r="B559" s="1" t="n">
        <v>45635.4874537037</v>
      </c>
      <c r="C559" s="1" t="n">
        <v>45998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38198-2024</t>
        </is>
      </c>
      <c r="B560" s="1" t="n">
        <v>45545.49508101852</v>
      </c>
      <c r="C560" s="1" t="n">
        <v>45998</v>
      </c>
      <c r="D560" t="inlineStr">
        <is>
          <t>KALMAR LÄN</t>
        </is>
      </c>
      <c r="E560" t="inlineStr">
        <is>
          <t>VIMMERBY</t>
        </is>
      </c>
      <c r="G560" t="n">
        <v>7.9</v>
      </c>
      <c r="H560" t="n">
        <v>0</v>
      </c>
      <c r="I560" t="n">
        <v>0</v>
      </c>
      <c r="J560" t="n">
        <v>0</v>
      </c>
      <c r="K560" t="n">
        <v>0</v>
      </c>
      <c r="L560" t="n">
        <v>0</v>
      </c>
      <c r="M560" t="n">
        <v>0</v>
      </c>
      <c r="N560" t="n">
        <v>0</v>
      </c>
      <c r="O560" t="n">
        <v>0</v>
      </c>
      <c r="P560" t="n">
        <v>0</v>
      </c>
      <c r="Q560" t="n">
        <v>0</v>
      </c>
      <c r="R560" s="2" t="inlineStr"/>
    </row>
    <row r="561" ht="15" customHeight="1">
      <c r="A561" t="inlineStr">
        <is>
          <t>A 43617-2024</t>
        </is>
      </c>
      <c r="B561" s="1" t="n">
        <v>45569.47494212963</v>
      </c>
      <c r="C561" s="1" t="n">
        <v>45998</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22264-2023</t>
        </is>
      </c>
      <c r="B562" s="1" t="n">
        <v>45070.3665625</v>
      </c>
      <c r="C562" s="1" t="n">
        <v>45998</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22266-2023</t>
        </is>
      </c>
      <c r="B563" s="1" t="n">
        <v>45070</v>
      </c>
      <c r="C563" s="1" t="n">
        <v>45998</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1978-2024</t>
        </is>
      </c>
      <c r="B564" s="1" t="n">
        <v>45308.59001157407</v>
      </c>
      <c r="C564" s="1" t="n">
        <v>45998</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6399-2025</t>
        </is>
      </c>
      <c r="B565" s="1" t="n">
        <v>45699.44291666667</v>
      </c>
      <c r="C565" s="1" t="n">
        <v>45998</v>
      </c>
      <c r="D565" t="inlineStr">
        <is>
          <t>KALMAR LÄN</t>
        </is>
      </c>
      <c r="E565" t="inlineStr">
        <is>
          <t>VIMMERBY</t>
        </is>
      </c>
      <c r="G565" t="n">
        <v>3.1</v>
      </c>
      <c r="H565" t="n">
        <v>0</v>
      </c>
      <c r="I565" t="n">
        <v>0</v>
      </c>
      <c r="J565" t="n">
        <v>0</v>
      </c>
      <c r="K565" t="n">
        <v>0</v>
      </c>
      <c r="L565" t="n">
        <v>0</v>
      </c>
      <c r="M565" t="n">
        <v>0</v>
      </c>
      <c r="N565" t="n">
        <v>0</v>
      </c>
      <c r="O565" t="n">
        <v>0</v>
      </c>
      <c r="P565" t="n">
        <v>0</v>
      </c>
      <c r="Q565" t="n">
        <v>0</v>
      </c>
      <c r="R565" s="2" t="inlineStr"/>
    </row>
    <row r="566" ht="15" customHeight="1">
      <c r="A566" t="inlineStr">
        <is>
          <t>A 50091-2023</t>
        </is>
      </c>
      <c r="B566" s="1" t="n">
        <v>45215.60199074074</v>
      </c>
      <c r="C566" s="1" t="n">
        <v>45998</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10303-2025</t>
        </is>
      </c>
      <c r="B567" s="1" t="n">
        <v>45720.44217592593</v>
      </c>
      <c r="C567" s="1" t="n">
        <v>45998</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11027-2023</t>
        </is>
      </c>
      <c r="B568" s="1" t="n">
        <v>44991.89657407408</v>
      </c>
      <c r="C568" s="1" t="n">
        <v>45998</v>
      </c>
      <c r="D568" t="inlineStr">
        <is>
          <t>KALMAR LÄN</t>
        </is>
      </c>
      <c r="E568" t="inlineStr">
        <is>
          <t>VIMMERBY</t>
        </is>
      </c>
      <c r="G568" t="n">
        <v>0.8</v>
      </c>
      <c r="H568" t="n">
        <v>0</v>
      </c>
      <c r="I568" t="n">
        <v>0</v>
      </c>
      <c r="J568" t="n">
        <v>0</v>
      </c>
      <c r="K568" t="n">
        <v>0</v>
      </c>
      <c r="L568" t="n">
        <v>0</v>
      </c>
      <c r="M568" t="n">
        <v>0</v>
      </c>
      <c r="N568" t="n">
        <v>0</v>
      </c>
      <c r="O568" t="n">
        <v>0</v>
      </c>
      <c r="P568" t="n">
        <v>0</v>
      </c>
      <c r="Q568" t="n">
        <v>0</v>
      </c>
      <c r="R568" s="2" t="inlineStr"/>
    </row>
    <row r="569" ht="15" customHeight="1">
      <c r="A569" t="inlineStr">
        <is>
          <t>A 41311-2023</t>
        </is>
      </c>
      <c r="B569" s="1" t="n">
        <v>45174</v>
      </c>
      <c r="C569" s="1" t="n">
        <v>45998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11661-2023</t>
        </is>
      </c>
      <c r="B570" s="1" t="n">
        <v>44994.46908564815</v>
      </c>
      <c r="C570" s="1" t="n">
        <v>45998</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36155-2023</t>
        </is>
      </c>
      <c r="B571" s="1" t="n">
        <v>45149.60917824074</v>
      </c>
      <c r="C571" s="1" t="n">
        <v>45998</v>
      </c>
      <c r="D571" t="inlineStr">
        <is>
          <t>KALMAR LÄN</t>
        </is>
      </c>
      <c r="E571" t="inlineStr">
        <is>
          <t>VIMMERBY</t>
        </is>
      </c>
      <c r="G571" t="n">
        <v>5</v>
      </c>
      <c r="H571" t="n">
        <v>0</v>
      </c>
      <c r="I571" t="n">
        <v>0</v>
      </c>
      <c r="J571" t="n">
        <v>0</v>
      </c>
      <c r="K571" t="n">
        <v>0</v>
      </c>
      <c r="L571" t="n">
        <v>0</v>
      </c>
      <c r="M571" t="n">
        <v>0</v>
      </c>
      <c r="N571" t="n">
        <v>0</v>
      </c>
      <c r="O571" t="n">
        <v>0</v>
      </c>
      <c r="P571" t="n">
        <v>0</v>
      </c>
      <c r="Q571" t="n">
        <v>0</v>
      </c>
      <c r="R571" s="2" t="inlineStr"/>
    </row>
    <row r="572" ht="15" customHeight="1">
      <c r="A572" t="inlineStr">
        <is>
          <t>A 40147-2023</t>
        </is>
      </c>
      <c r="B572" s="1" t="n">
        <v>45169</v>
      </c>
      <c r="C572" s="1" t="n">
        <v>45998</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22399-2025</t>
        </is>
      </c>
      <c r="B573" s="1" t="n">
        <v>45786.52996527778</v>
      </c>
      <c r="C573" s="1" t="n">
        <v>45998</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63950-2023</t>
        </is>
      </c>
      <c r="B574" s="1" t="n">
        <v>45278</v>
      </c>
      <c r="C574" s="1" t="n">
        <v>45998</v>
      </c>
      <c r="D574" t="inlineStr">
        <is>
          <t>KALMAR LÄN</t>
        </is>
      </c>
      <c r="E574" t="inlineStr">
        <is>
          <t>VIMMERBY</t>
        </is>
      </c>
      <c r="F574" t="inlineStr">
        <is>
          <t>Kyrkan</t>
        </is>
      </c>
      <c r="G574" t="n">
        <v>2.7</v>
      </c>
      <c r="H574" t="n">
        <v>0</v>
      </c>
      <c r="I574" t="n">
        <v>0</v>
      </c>
      <c r="J574" t="n">
        <v>0</v>
      </c>
      <c r="K574" t="n">
        <v>0</v>
      </c>
      <c r="L574" t="n">
        <v>0</v>
      </c>
      <c r="M574" t="n">
        <v>0</v>
      </c>
      <c r="N574" t="n">
        <v>0</v>
      </c>
      <c r="O574" t="n">
        <v>0</v>
      </c>
      <c r="P574" t="n">
        <v>0</v>
      </c>
      <c r="Q574" t="n">
        <v>0</v>
      </c>
      <c r="R574" s="2" t="inlineStr"/>
    </row>
    <row r="575" ht="15" customHeight="1">
      <c r="A575" t="inlineStr">
        <is>
          <t>A 24096-2024</t>
        </is>
      </c>
      <c r="B575" s="1" t="n">
        <v>45456.59289351852</v>
      </c>
      <c r="C575" s="1" t="n">
        <v>45998</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41066-2024</t>
        </is>
      </c>
      <c r="B576" s="1" t="n">
        <v>45559.38876157408</v>
      </c>
      <c r="C576" s="1" t="n">
        <v>45998</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10785-2025</t>
        </is>
      </c>
      <c r="B577" s="1" t="n">
        <v>45722.48634259259</v>
      </c>
      <c r="C577" s="1" t="n">
        <v>45998</v>
      </c>
      <c r="D577" t="inlineStr">
        <is>
          <t>KALMAR LÄN</t>
        </is>
      </c>
      <c r="E577" t="inlineStr">
        <is>
          <t>VIMMERBY</t>
        </is>
      </c>
      <c r="G577" t="n">
        <v>0.5</v>
      </c>
      <c r="H577" t="n">
        <v>0</v>
      </c>
      <c r="I577" t="n">
        <v>0</v>
      </c>
      <c r="J577" t="n">
        <v>0</v>
      </c>
      <c r="K577" t="n">
        <v>0</v>
      </c>
      <c r="L577" t="n">
        <v>0</v>
      </c>
      <c r="M577" t="n">
        <v>0</v>
      </c>
      <c r="N577" t="n">
        <v>0</v>
      </c>
      <c r="O577" t="n">
        <v>0</v>
      </c>
      <c r="P577" t="n">
        <v>0</v>
      </c>
      <c r="Q577" t="n">
        <v>0</v>
      </c>
      <c r="R577" s="2" t="inlineStr"/>
    </row>
    <row r="578" ht="15" customHeight="1">
      <c r="A578" t="inlineStr">
        <is>
          <t>A 13015-2023</t>
        </is>
      </c>
      <c r="B578" s="1" t="n">
        <v>45002</v>
      </c>
      <c r="C578" s="1" t="n">
        <v>45998</v>
      </c>
      <c r="D578" t="inlineStr">
        <is>
          <t>KALMAR LÄN</t>
        </is>
      </c>
      <c r="E578" t="inlineStr">
        <is>
          <t>VIMMERBY</t>
        </is>
      </c>
      <c r="G578" t="n">
        <v>3.2</v>
      </c>
      <c r="H578" t="n">
        <v>0</v>
      </c>
      <c r="I578" t="n">
        <v>0</v>
      </c>
      <c r="J578" t="n">
        <v>0</v>
      </c>
      <c r="K578" t="n">
        <v>0</v>
      </c>
      <c r="L578" t="n">
        <v>0</v>
      </c>
      <c r="M578" t="n">
        <v>0</v>
      </c>
      <c r="N578" t="n">
        <v>0</v>
      </c>
      <c r="O578" t="n">
        <v>0</v>
      </c>
      <c r="P578" t="n">
        <v>0</v>
      </c>
      <c r="Q578" t="n">
        <v>0</v>
      </c>
      <c r="R578" s="2" t="inlineStr"/>
    </row>
    <row r="579" ht="15" customHeight="1">
      <c r="A579" t="inlineStr">
        <is>
          <t>A 41199-2023</t>
        </is>
      </c>
      <c r="B579" s="1" t="n">
        <v>45174.40454861111</v>
      </c>
      <c r="C579" s="1" t="n">
        <v>45998</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36014-2024</t>
        </is>
      </c>
      <c r="B580" s="1" t="n">
        <v>45533.56108796296</v>
      </c>
      <c r="C580" s="1" t="n">
        <v>45998</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36030-2024</t>
        </is>
      </c>
      <c r="B581" s="1" t="n">
        <v>45533.58302083334</v>
      </c>
      <c r="C581" s="1" t="n">
        <v>45998</v>
      </c>
      <c r="D581" t="inlineStr">
        <is>
          <t>KALMAR LÄN</t>
        </is>
      </c>
      <c r="E581" t="inlineStr">
        <is>
          <t>VIMMERBY</t>
        </is>
      </c>
      <c r="F581" t="inlineStr">
        <is>
          <t>Kommuner</t>
        </is>
      </c>
      <c r="G581" t="n">
        <v>4</v>
      </c>
      <c r="H581" t="n">
        <v>0</v>
      </c>
      <c r="I581" t="n">
        <v>0</v>
      </c>
      <c r="J581" t="n">
        <v>0</v>
      </c>
      <c r="K581" t="n">
        <v>0</v>
      </c>
      <c r="L581" t="n">
        <v>0</v>
      </c>
      <c r="M581" t="n">
        <v>0</v>
      </c>
      <c r="N581" t="n">
        <v>0</v>
      </c>
      <c r="O581" t="n">
        <v>0</v>
      </c>
      <c r="P581" t="n">
        <v>0</v>
      </c>
      <c r="Q581" t="n">
        <v>0</v>
      </c>
      <c r="R581" s="2" t="inlineStr"/>
    </row>
    <row r="582" ht="15" customHeight="1">
      <c r="A582" t="inlineStr">
        <is>
          <t>A 6321-2023</t>
        </is>
      </c>
      <c r="B582" s="1" t="n">
        <v>44965.4815162037</v>
      </c>
      <c r="C582" s="1" t="n">
        <v>45998</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18020-2025</t>
        </is>
      </c>
      <c r="B583" s="1" t="n">
        <v>45761.4437962963</v>
      </c>
      <c r="C583" s="1" t="n">
        <v>45998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585-2024</t>
        </is>
      </c>
      <c r="B584" s="1" t="n">
        <v>45299.62576388889</v>
      </c>
      <c r="C584" s="1" t="n">
        <v>45998</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52755-2022</t>
        </is>
      </c>
      <c r="B585" s="1" t="n">
        <v>44875.27736111111</v>
      </c>
      <c r="C585" s="1" t="n">
        <v>45998</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6802-2025</t>
        </is>
      </c>
      <c r="B586" s="1" t="n">
        <v>45700.68289351852</v>
      </c>
      <c r="C586" s="1" t="n">
        <v>45998</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40823-2023</t>
        </is>
      </c>
      <c r="B587" s="1" t="n">
        <v>45171.77335648148</v>
      </c>
      <c r="C587" s="1" t="n">
        <v>45998</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56020-2024</t>
        </is>
      </c>
      <c r="B588" s="1" t="n">
        <v>45623.9525462963</v>
      </c>
      <c r="C588" s="1" t="n">
        <v>45998</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27761-2024</t>
        </is>
      </c>
      <c r="B589" s="1" t="n">
        <v>45475.49018518518</v>
      </c>
      <c r="C589" s="1" t="n">
        <v>45998</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21028-2023</t>
        </is>
      </c>
      <c r="B590" s="1" t="n">
        <v>45061</v>
      </c>
      <c r="C590" s="1" t="n">
        <v>45998</v>
      </c>
      <c r="D590" t="inlineStr">
        <is>
          <t>KALMAR LÄN</t>
        </is>
      </c>
      <c r="E590" t="inlineStr">
        <is>
          <t>VIMMERBY</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33842-2022</t>
        </is>
      </c>
      <c r="B591" s="1" t="n">
        <v>44790.49523148148</v>
      </c>
      <c r="C591" s="1" t="n">
        <v>45998</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60675-2023</t>
        </is>
      </c>
      <c r="B592" s="1" t="n">
        <v>45260.4716550926</v>
      </c>
      <c r="C592" s="1" t="n">
        <v>45998</v>
      </c>
      <c r="D592" t="inlineStr">
        <is>
          <t>KALMAR LÄN</t>
        </is>
      </c>
      <c r="E592" t="inlineStr">
        <is>
          <t>VIMMERBY</t>
        </is>
      </c>
      <c r="G592" t="n">
        <v>1.2</v>
      </c>
      <c r="H592" t="n">
        <v>0</v>
      </c>
      <c r="I592" t="n">
        <v>0</v>
      </c>
      <c r="J592" t="n">
        <v>0</v>
      </c>
      <c r="K592" t="n">
        <v>0</v>
      </c>
      <c r="L592" t="n">
        <v>0</v>
      </c>
      <c r="M592" t="n">
        <v>0</v>
      </c>
      <c r="N592" t="n">
        <v>0</v>
      </c>
      <c r="O592" t="n">
        <v>0</v>
      </c>
      <c r="P592" t="n">
        <v>0</v>
      </c>
      <c r="Q592" t="n">
        <v>0</v>
      </c>
      <c r="R592" s="2" t="inlineStr"/>
    </row>
    <row r="593" ht="15" customHeight="1">
      <c r="A593" t="inlineStr">
        <is>
          <t>A 64203-2021</t>
        </is>
      </c>
      <c r="B593" s="1" t="n">
        <v>44510.60921296296</v>
      </c>
      <c r="C593" s="1" t="n">
        <v>45998</v>
      </c>
      <c r="D593" t="inlineStr">
        <is>
          <t>KALMAR LÄN</t>
        </is>
      </c>
      <c r="E593" t="inlineStr">
        <is>
          <t>VIMMERBY</t>
        </is>
      </c>
      <c r="F593" t="inlineStr">
        <is>
          <t>Övriga Aktiebolag</t>
        </is>
      </c>
      <c r="G593" t="n">
        <v>5.4</v>
      </c>
      <c r="H593" t="n">
        <v>0</v>
      </c>
      <c r="I593" t="n">
        <v>0</v>
      </c>
      <c r="J593" t="n">
        <v>0</v>
      </c>
      <c r="K593" t="n">
        <v>0</v>
      </c>
      <c r="L593" t="n">
        <v>0</v>
      </c>
      <c r="M593" t="n">
        <v>0</v>
      </c>
      <c r="N593" t="n">
        <v>0</v>
      </c>
      <c r="O593" t="n">
        <v>0</v>
      </c>
      <c r="P593" t="n">
        <v>0</v>
      </c>
      <c r="Q593" t="n">
        <v>0</v>
      </c>
      <c r="R593" s="2" t="inlineStr"/>
    </row>
    <row r="594" ht="15" customHeight="1">
      <c r="A594" t="inlineStr">
        <is>
          <t>A 40095-2022</t>
        </is>
      </c>
      <c r="B594" s="1" t="n">
        <v>44820</v>
      </c>
      <c r="C594" s="1" t="n">
        <v>45998</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1016-2024</t>
        </is>
      </c>
      <c r="B595" s="1" t="n">
        <v>45301</v>
      </c>
      <c r="C595" s="1" t="n">
        <v>45998</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1024-2024</t>
        </is>
      </c>
      <c r="B596" s="1" t="n">
        <v>45301.68237268519</v>
      </c>
      <c r="C596" s="1" t="n">
        <v>45998</v>
      </c>
      <c r="D596" t="inlineStr">
        <is>
          <t>KALMAR LÄN</t>
        </is>
      </c>
      <c r="E596" t="inlineStr">
        <is>
          <t>VIMMERBY</t>
        </is>
      </c>
      <c r="G596" t="n">
        <v>13</v>
      </c>
      <c r="H596" t="n">
        <v>0</v>
      </c>
      <c r="I596" t="n">
        <v>0</v>
      </c>
      <c r="J596" t="n">
        <v>0</v>
      </c>
      <c r="K596" t="n">
        <v>0</v>
      </c>
      <c r="L596" t="n">
        <v>0</v>
      </c>
      <c r="M596" t="n">
        <v>0</v>
      </c>
      <c r="N596" t="n">
        <v>0</v>
      </c>
      <c r="O596" t="n">
        <v>0</v>
      </c>
      <c r="P596" t="n">
        <v>0</v>
      </c>
      <c r="Q596" t="n">
        <v>0</v>
      </c>
      <c r="R596" s="2" t="inlineStr"/>
    </row>
    <row r="597" ht="15" customHeight="1">
      <c r="A597" t="inlineStr">
        <is>
          <t>A 27758-2024</t>
        </is>
      </c>
      <c r="B597" s="1" t="n">
        <v>45475.48303240741</v>
      </c>
      <c r="C597" s="1" t="n">
        <v>45998</v>
      </c>
      <c r="D597" t="inlineStr">
        <is>
          <t>KALMAR LÄN</t>
        </is>
      </c>
      <c r="E597" t="inlineStr">
        <is>
          <t>VIMMERBY</t>
        </is>
      </c>
      <c r="G597" t="n">
        <v>2.6</v>
      </c>
      <c r="H597" t="n">
        <v>0</v>
      </c>
      <c r="I597" t="n">
        <v>0</v>
      </c>
      <c r="J597" t="n">
        <v>0</v>
      </c>
      <c r="K597" t="n">
        <v>0</v>
      </c>
      <c r="L597" t="n">
        <v>0</v>
      </c>
      <c r="M597" t="n">
        <v>0</v>
      </c>
      <c r="N597" t="n">
        <v>0</v>
      </c>
      <c r="O597" t="n">
        <v>0</v>
      </c>
      <c r="P597" t="n">
        <v>0</v>
      </c>
      <c r="Q597" t="n">
        <v>0</v>
      </c>
      <c r="R597" s="2" t="inlineStr"/>
    </row>
    <row r="598" ht="15" customHeight="1">
      <c r="A598" t="inlineStr">
        <is>
          <t>A 19537-2022</t>
        </is>
      </c>
      <c r="B598" s="1" t="n">
        <v>44693.62822916666</v>
      </c>
      <c r="C598" s="1" t="n">
        <v>45998</v>
      </c>
      <c r="D598" t="inlineStr">
        <is>
          <t>KALMAR LÄN</t>
        </is>
      </c>
      <c r="E598" t="inlineStr">
        <is>
          <t>VIMMERBY</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32865-2023</t>
        </is>
      </c>
      <c r="B599" s="1" t="n">
        <v>45124</v>
      </c>
      <c r="C599" s="1" t="n">
        <v>45998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22194-2024</t>
        </is>
      </c>
      <c r="B600" s="1" t="n">
        <v>45446.36482638889</v>
      </c>
      <c r="C600" s="1" t="n">
        <v>45998</v>
      </c>
      <c r="D600" t="inlineStr">
        <is>
          <t>KALMAR LÄN</t>
        </is>
      </c>
      <c r="E600" t="inlineStr">
        <is>
          <t>VIMMERBY</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17926-2025</t>
        </is>
      </c>
      <c r="B601" s="1" t="n">
        <v>45759.38987268518</v>
      </c>
      <c r="C601" s="1" t="n">
        <v>45998</v>
      </c>
      <c r="D601" t="inlineStr">
        <is>
          <t>KALMAR LÄN</t>
        </is>
      </c>
      <c r="E601" t="inlineStr">
        <is>
          <t>VIMMERBY</t>
        </is>
      </c>
      <c r="G601" t="n">
        <v>1</v>
      </c>
      <c r="H601" t="n">
        <v>0</v>
      </c>
      <c r="I601" t="n">
        <v>0</v>
      </c>
      <c r="J601" t="n">
        <v>0</v>
      </c>
      <c r="K601" t="n">
        <v>0</v>
      </c>
      <c r="L601" t="n">
        <v>0</v>
      </c>
      <c r="M601" t="n">
        <v>0</v>
      </c>
      <c r="N601" t="n">
        <v>0</v>
      </c>
      <c r="O601" t="n">
        <v>0</v>
      </c>
      <c r="P601" t="n">
        <v>0</v>
      </c>
      <c r="Q601" t="n">
        <v>0</v>
      </c>
      <c r="R601" s="2" t="inlineStr"/>
    </row>
    <row r="602" ht="15" customHeight="1">
      <c r="A602" t="inlineStr">
        <is>
          <t>A 35127-2024</t>
        </is>
      </c>
      <c r="B602" s="1" t="n">
        <v>45530.33202546297</v>
      </c>
      <c r="C602" s="1" t="n">
        <v>45998</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57311-2023</t>
        </is>
      </c>
      <c r="B603" s="1" t="n">
        <v>45245.63574074074</v>
      </c>
      <c r="C603" s="1" t="n">
        <v>45998</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64428-2023</t>
        </is>
      </c>
      <c r="B604" s="1" t="n">
        <v>45280.66769675926</v>
      </c>
      <c r="C604" s="1" t="n">
        <v>45998</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45998</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45998</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4297-2022</t>
        </is>
      </c>
      <c r="B607" s="1" t="n">
        <v>44588</v>
      </c>
      <c r="C607" s="1" t="n">
        <v>45998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3268-2024</t>
        </is>
      </c>
      <c r="B608" s="1" t="n">
        <v>45317</v>
      </c>
      <c r="C608" s="1" t="n">
        <v>45998</v>
      </c>
      <c r="D608" t="inlineStr">
        <is>
          <t>KALMAR LÄN</t>
        </is>
      </c>
      <c r="E608" t="inlineStr">
        <is>
          <t>VIMMERBY</t>
        </is>
      </c>
      <c r="F608" t="inlineStr">
        <is>
          <t>Övriga Aktiebolag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35597-2025</t>
        </is>
      </c>
      <c r="B609" s="1" t="n">
        <v>45858.66019675926</v>
      </c>
      <c r="C609" s="1" t="n">
        <v>45998</v>
      </c>
      <c r="D609" t="inlineStr">
        <is>
          <t>KALMAR LÄN</t>
        </is>
      </c>
      <c r="E609" t="inlineStr">
        <is>
          <t>VIMMERBY</t>
        </is>
      </c>
      <c r="G609" t="n">
        <v>6.4</v>
      </c>
      <c r="H609" t="n">
        <v>0</v>
      </c>
      <c r="I609" t="n">
        <v>0</v>
      </c>
      <c r="J609" t="n">
        <v>0</v>
      </c>
      <c r="K609" t="n">
        <v>0</v>
      </c>
      <c r="L609" t="n">
        <v>0</v>
      </c>
      <c r="M609" t="n">
        <v>0</v>
      </c>
      <c r="N609" t="n">
        <v>0</v>
      </c>
      <c r="O609" t="n">
        <v>0</v>
      </c>
      <c r="P609" t="n">
        <v>0</v>
      </c>
      <c r="Q609" t="n">
        <v>0</v>
      </c>
      <c r="R609" s="2" t="inlineStr"/>
    </row>
    <row r="610" ht="15" customHeight="1">
      <c r="A610" t="inlineStr">
        <is>
          <t>A 35596-2025</t>
        </is>
      </c>
      <c r="B610" s="1" t="n">
        <v>45858.60641203704</v>
      </c>
      <c r="C610" s="1" t="n">
        <v>45998</v>
      </c>
      <c r="D610" t="inlineStr">
        <is>
          <t>KALMAR LÄN</t>
        </is>
      </c>
      <c r="E610" t="inlineStr">
        <is>
          <t>VIMMERBY</t>
        </is>
      </c>
      <c r="G610" t="n">
        <v>2.8</v>
      </c>
      <c r="H610" t="n">
        <v>0</v>
      </c>
      <c r="I610" t="n">
        <v>0</v>
      </c>
      <c r="J610" t="n">
        <v>0</v>
      </c>
      <c r="K610" t="n">
        <v>0</v>
      </c>
      <c r="L610" t="n">
        <v>0</v>
      </c>
      <c r="M610" t="n">
        <v>0</v>
      </c>
      <c r="N610" t="n">
        <v>0</v>
      </c>
      <c r="O610" t="n">
        <v>0</v>
      </c>
      <c r="P610" t="n">
        <v>0</v>
      </c>
      <c r="Q610" t="n">
        <v>0</v>
      </c>
      <c r="R610" s="2" t="inlineStr"/>
    </row>
    <row r="611" ht="15" customHeight="1">
      <c r="A611" t="inlineStr">
        <is>
          <t>A 51408-2023</t>
        </is>
      </c>
      <c r="B611" s="1" t="n">
        <v>45219.69356481481</v>
      </c>
      <c r="C611" s="1" t="n">
        <v>45998</v>
      </c>
      <c r="D611" t="inlineStr">
        <is>
          <t>KALMAR LÄN</t>
        </is>
      </c>
      <c r="E611" t="inlineStr">
        <is>
          <t>VIMMERBY</t>
        </is>
      </c>
      <c r="G611" t="n">
        <v>0.7</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45998</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19502-2025</t>
        </is>
      </c>
      <c r="B613" s="1" t="n">
        <v>45769</v>
      </c>
      <c r="C613" s="1" t="n">
        <v>45998</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36273-2025</t>
        </is>
      </c>
      <c r="B614" s="1" t="n">
        <v>45867.63094907408</v>
      </c>
      <c r="C614" s="1" t="n">
        <v>45998</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36299-2025</t>
        </is>
      </c>
      <c r="B615" s="1" t="n">
        <v>45867.69346064814</v>
      </c>
      <c r="C615" s="1" t="n">
        <v>45998</v>
      </c>
      <c r="D615" t="inlineStr">
        <is>
          <t>KALMAR LÄN</t>
        </is>
      </c>
      <c r="E615" t="inlineStr">
        <is>
          <t>VIMMERBY</t>
        </is>
      </c>
      <c r="G615" t="n">
        <v>7.6</v>
      </c>
      <c r="H615" t="n">
        <v>0</v>
      </c>
      <c r="I615" t="n">
        <v>0</v>
      </c>
      <c r="J615" t="n">
        <v>0</v>
      </c>
      <c r="K615" t="n">
        <v>0</v>
      </c>
      <c r="L615" t="n">
        <v>0</v>
      </c>
      <c r="M615" t="n">
        <v>0</v>
      </c>
      <c r="N615" t="n">
        <v>0</v>
      </c>
      <c r="O615" t="n">
        <v>0</v>
      </c>
      <c r="P615" t="n">
        <v>0</v>
      </c>
      <c r="Q615" t="n">
        <v>0</v>
      </c>
      <c r="R615" s="2" t="inlineStr"/>
    </row>
    <row r="616" ht="15" customHeight="1">
      <c r="A616" t="inlineStr">
        <is>
          <t>A 36221-2025</t>
        </is>
      </c>
      <c r="B616" s="1" t="n">
        <v>45867.50792824074</v>
      </c>
      <c r="C616" s="1" t="n">
        <v>45998</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36226-2025</t>
        </is>
      </c>
      <c r="B617" s="1" t="n">
        <v>45867.51630787037</v>
      </c>
      <c r="C617" s="1" t="n">
        <v>45998</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36297-2025</t>
        </is>
      </c>
      <c r="B618" s="1" t="n">
        <v>45867.68625</v>
      </c>
      <c r="C618" s="1" t="n">
        <v>45998</v>
      </c>
      <c r="D618" t="inlineStr">
        <is>
          <t>KALMAR LÄN</t>
        </is>
      </c>
      <c r="E618" t="inlineStr">
        <is>
          <t>VIMMERBY</t>
        </is>
      </c>
      <c r="G618" t="n">
        <v>4.9</v>
      </c>
      <c r="H618" t="n">
        <v>0</v>
      </c>
      <c r="I618" t="n">
        <v>0</v>
      </c>
      <c r="J618" t="n">
        <v>0</v>
      </c>
      <c r="K618" t="n">
        <v>0</v>
      </c>
      <c r="L618" t="n">
        <v>0</v>
      </c>
      <c r="M618" t="n">
        <v>0</v>
      </c>
      <c r="N618" t="n">
        <v>0</v>
      </c>
      <c r="O618" t="n">
        <v>0</v>
      </c>
      <c r="P618" t="n">
        <v>0</v>
      </c>
      <c r="Q618" t="n">
        <v>0</v>
      </c>
      <c r="R618" s="2" t="inlineStr"/>
    </row>
    <row r="619" ht="15" customHeight="1">
      <c r="A619" t="inlineStr">
        <is>
          <t>A 36246-2025</t>
        </is>
      </c>
      <c r="B619" s="1" t="n">
        <v>45867.56320601852</v>
      </c>
      <c r="C619" s="1" t="n">
        <v>45998</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36282-2025</t>
        </is>
      </c>
      <c r="B620" s="1" t="n">
        <v>45867.64663194444</v>
      </c>
      <c r="C620" s="1" t="n">
        <v>45998</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36538-2025</t>
        </is>
      </c>
      <c r="B621" s="1" t="n">
        <v>45869.62276620371</v>
      </c>
      <c r="C621" s="1" t="n">
        <v>45998</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36598-2025</t>
        </is>
      </c>
      <c r="B622" s="1" t="n">
        <v>45870.51708333333</v>
      </c>
      <c r="C622" s="1" t="n">
        <v>45998</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36602-2025</t>
        </is>
      </c>
      <c r="B623" s="1" t="n">
        <v>45870.52111111111</v>
      </c>
      <c r="C623" s="1" t="n">
        <v>45998</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36600-2025</t>
        </is>
      </c>
      <c r="B624" s="1" t="n">
        <v>45870.51958333333</v>
      </c>
      <c r="C624" s="1" t="n">
        <v>45998</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36601-2025</t>
        </is>
      </c>
      <c r="B625" s="1" t="n">
        <v>45870.52005787037</v>
      </c>
      <c r="C625" s="1" t="n">
        <v>45998</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36603-2025</t>
        </is>
      </c>
      <c r="B626" s="1" t="n">
        <v>45870.52142361111</v>
      </c>
      <c r="C626" s="1" t="n">
        <v>45998</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3816-2022</t>
        </is>
      </c>
      <c r="B627" s="1" t="n">
        <v>44587</v>
      </c>
      <c r="C627" s="1" t="n">
        <v>45998</v>
      </c>
      <c r="D627" t="inlineStr">
        <is>
          <t>KALMAR LÄN</t>
        </is>
      </c>
      <c r="E627" t="inlineStr">
        <is>
          <t>VIMMERBY</t>
        </is>
      </c>
      <c r="G627" t="n">
        <v>1.2</v>
      </c>
      <c r="H627" t="n">
        <v>0</v>
      </c>
      <c r="I627" t="n">
        <v>0</v>
      </c>
      <c r="J627" t="n">
        <v>0</v>
      </c>
      <c r="K627" t="n">
        <v>0</v>
      </c>
      <c r="L627" t="n">
        <v>0</v>
      </c>
      <c r="M627" t="n">
        <v>0</v>
      </c>
      <c r="N627" t="n">
        <v>0</v>
      </c>
      <c r="O627" t="n">
        <v>0</v>
      </c>
      <c r="P627" t="n">
        <v>0</v>
      </c>
      <c r="Q627" t="n">
        <v>0</v>
      </c>
      <c r="R627" s="2" t="inlineStr"/>
    </row>
    <row r="628" ht="15" customHeight="1">
      <c r="A628" t="inlineStr">
        <is>
          <t>A 22397-2025</t>
        </is>
      </c>
      <c r="B628" s="1" t="n">
        <v>45786.52878472222</v>
      </c>
      <c r="C628" s="1" t="n">
        <v>45998</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1081-2023</t>
        </is>
      </c>
      <c r="B629" s="1" t="n">
        <v>44935</v>
      </c>
      <c r="C629" s="1" t="n">
        <v>45998</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7047-2022</t>
        </is>
      </c>
      <c r="B630" s="1" t="n">
        <v>44603</v>
      </c>
      <c r="C630" s="1" t="n">
        <v>45998</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12499-2023</t>
        </is>
      </c>
      <c r="B631" s="1" t="n">
        <v>44999.86172453704</v>
      </c>
      <c r="C631" s="1" t="n">
        <v>45998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12500-2023</t>
        </is>
      </c>
      <c r="B632" s="1" t="n">
        <v>44999.8625</v>
      </c>
      <c r="C632" s="1" t="n">
        <v>45998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36934-2025</t>
        </is>
      </c>
      <c r="B633" s="1" t="n">
        <v>45874.57109953704</v>
      </c>
      <c r="C633" s="1" t="n">
        <v>45998</v>
      </c>
      <c r="D633" t="inlineStr">
        <is>
          <t>KALMAR LÄN</t>
        </is>
      </c>
      <c r="E633" t="inlineStr">
        <is>
          <t>VIMMERBY</t>
        </is>
      </c>
      <c r="G633" t="n">
        <v>4.2</v>
      </c>
      <c r="H633" t="n">
        <v>0</v>
      </c>
      <c r="I633" t="n">
        <v>0</v>
      </c>
      <c r="J633" t="n">
        <v>0</v>
      </c>
      <c r="K633" t="n">
        <v>0</v>
      </c>
      <c r="L633" t="n">
        <v>0</v>
      </c>
      <c r="M633" t="n">
        <v>0</v>
      </c>
      <c r="N633" t="n">
        <v>0</v>
      </c>
      <c r="O633" t="n">
        <v>0</v>
      </c>
      <c r="P633" t="n">
        <v>0</v>
      </c>
      <c r="Q633" t="n">
        <v>0</v>
      </c>
      <c r="R633" s="2" t="inlineStr"/>
    </row>
    <row r="634" ht="15" customHeight="1">
      <c r="A634" t="inlineStr">
        <is>
          <t>A 6066-2023</t>
        </is>
      </c>
      <c r="B634" s="1" t="n">
        <v>44964.50894675926</v>
      </c>
      <c r="C634" s="1" t="n">
        <v>45998</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38604-2025</t>
        </is>
      </c>
      <c r="B635" s="1" t="n">
        <v>45884.50613425926</v>
      </c>
      <c r="C635" s="1" t="n">
        <v>45998</v>
      </c>
      <c r="D635" t="inlineStr">
        <is>
          <t>KALMAR LÄN</t>
        </is>
      </c>
      <c r="E635" t="inlineStr">
        <is>
          <t>VIMMERBY</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37088-2025</t>
        </is>
      </c>
      <c r="B636" s="1" t="n">
        <v>45875.45716435185</v>
      </c>
      <c r="C636" s="1" t="n">
        <v>45998</v>
      </c>
      <c r="D636" t="inlineStr">
        <is>
          <t>KALMAR LÄN</t>
        </is>
      </c>
      <c r="E636" t="inlineStr">
        <is>
          <t>VIMMERBY</t>
        </is>
      </c>
      <c r="G636" t="n">
        <v>1.3</v>
      </c>
      <c r="H636" t="n">
        <v>0</v>
      </c>
      <c r="I636" t="n">
        <v>0</v>
      </c>
      <c r="J636" t="n">
        <v>0</v>
      </c>
      <c r="K636" t="n">
        <v>0</v>
      </c>
      <c r="L636" t="n">
        <v>0</v>
      </c>
      <c r="M636" t="n">
        <v>0</v>
      </c>
      <c r="N636" t="n">
        <v>0</v>
      </c>
      <c r="O636" t="n">
        <v>0</v>
      </c>
      <c r="P636" t="n">
        <v>0</v>
      </c>
      <c r="Q636" t="n">
        <v>0</v>
      </c>
      <c r="R636" s="2" t="inlineStr"/>
    </row>
    <row r="637" ht="15" customHeight="1">
      <c r="A637" t="inlineStr">
        <is>
          <t>A 37102-2025</t>
        </is>
      </c>
      <c r="B637" s="1" t="n">
        <v>45875.47454861111</v>
      </c>
      <c r="C637" s="1" t="n">
        <v>45998</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33103-2024</t>
        </is>
      </c>
      <c r="B638" s="1" t="n">
        <v>45517.8162037037</v>
      </c>
      <c r="C638" s="1" t="n">
        <v>45998</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33161-2024</t>
        </is>
      </c>
      <c r="B639" s="1" t="n">
        <v>45518.40657407408</v>
      </c>
      <c r="C639" s="1" t="n">
        <v>45998</v>
      </c>
      <c r="D639" t="inlineStr">
        <is>
          <t>KALMAR LÄN</t>
        </is>
      </c>
      <c r="E639" t="inlineStr">
        <is>
          <t>VIMMERBY</t>
        </is>
      </c>
      <c r="G639" t="n">
        <v>4.7</v>
      </c>
      <c r="H639" t="n">
        <v>0</v>
      </c>
      <c r="I639" t="n">
        <v>0</v>
      </c>
      <c r="J639" t="n">
        <v>0</v>
      </c>
      <c r="K639" t="n">
        <v>0</v>
      </c>
      <c r="L639" t="n">
        <v>0</v>
      </c>
      <c r="M639" t="n">
        <v>0</v>
      </c>
      <c r="N639" t="n">
        <v>0</v>
      </c>
      <c r="O639" t="n">
        <v>0</v>
      </c>
      <c r="P639" t="n">
        <v>0</v>
      </c>
      <c r="Q639" t="n">
        <v>0</v>
      </c>
      <c r="R639" s="2" t="inlineStr"/>
    </row>
    <row r="640" ht="15" customHeight="1">
      <c r="A640" t="inlineStr">
        <is>
          <t>A 12510-2022</t>
        </is>
      </c>
      <c r="B640" s="1" t="n">
        <v>44638.55256944444</v>
      </c>
      <c r="C640" s="1" t="n">
        <v>45998</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11442-2025</t>
        </is>
      </c>
      <c r="B641" s="1" t="n">
        <v>45726.62721064815</v>
      </c>
      <c r="C641" s="1" t="n">
        <v>45998</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6307-2025</t>
        </is>
      </c>
      <c r="B642" s="1" t="n">
        <v>45698.69016203703</v>
      </c>
      <c r="C642" s="1" t="n">
        <v>45998</v>
      </c>
      <c r="D642" t="inlineStr">
        <is>
          <t>KALMAR LÄN</t>
        </is>
      </c>
      <c r="E642" t="inlineStr">
        <is>
          <t>VIMMERBY</t>
        </is>
      </c>
      <c r="G642" t="n">
        <v>3</v>
      </c>
      <c r="H642" t="n">
        <v>0</v>
      </c>
      <c r="I642" t="n">
        <v>0</v>
      </c>
      <c r="J642" t="n">
        <v>0</v>
      </c>
      <c r="K642" t="n">
        <v>0</v>
      </c>
      <c r="L642" t="n">
        <v>0</v>
      </c>
      <c r="M642" t="n">
        <v>0</v>
      </c>
      <c r="N642" t="n">
        <v>0</v>
      </c>
      <c r="O642" t="n">
        <v>0</v>
      </c>
      <c r="P642" t="n">
        <v>0</v>
      </c>
      <c r="Q642" t="n">
        <v>0</v>
      </c>
      <c r="R642" s="2" t="inlineStr"/>
    </row>
    <row r="643" ht="15" customHeight="1">
      <c r="A643" t="inlineStr">
        <is>
          <t>A 37079-2025</t>
        </is>
      </c>
      <c r="B643" s="1" t="n">
        <v>45875.42716435185</v>
      </c>
      <c r="C643" s="1" t="n">
        <v>45998</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37668-2025</t>
        </is>
      </c>
      <c r="B644" s="1" t="n">
        <v>45880.51550925926</v>
      </c>
      <c r="C644" s="1" t="n">
        <v>45998</v>
      </c>
      <c r="D644" t="inlineStr">
        <is>
          <t>KALMAR LÄN</t>
        </is>
      </c>
      <c r="E644" t="inlineStr">
        <is>
          <t>VIMMERBY</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37578-2025</t>
        </is>
      </c>
      <c r="B645" s="1" t="n">
        <v>45880.38380787037</v>
      </c>
      <c r="C645" s="1" t="n">
        <v>45998</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1146-2025</t>
        </is>
      </c>
      <c r="B646" s="1" t="n">
        <v>45666</v>
      </c>
      <c r="C646" s="1" t="n">
        <v>45998</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37866-2025</t>
        </is>
      </c>
      <c r="B647" s="1" t="n">
        <v>45881</v>
      </c>
      <c r="C647" s="1" t="n">
        <v>45998</v>
      </c>
      <c r="D647" t="inlineStr">
        <is>
          <t>KALMAR LÄN</t>
        </is>
      </c>
      <c r="E647" t="inlineStr">
        <is>
          <t>VIMMERBY</t>
        </is>
      </c>
      <c r="G647" t="n">
        <v>3.4</v>
      </c>
      <c r="H647" t="n">
        <v>0</v>
      </c>
      <c r="I647" t="n">
        <v>0</v>
      </c>
      <c r="J647" t="n">
        <v>0</v>
      </c>
      <c r="K647" t="n">
        <v>0</v>
      </c>
      <c r="L647" t="n">
        <v>0</v>
      </c>
      <c r="M647" t="n">
        <v>0</v>
      </c>
      <c r="N647" t="n">
        <v>0</v>
      </c>
      <c r="O647" t="n">
        <v>0</v>
      </c>
      <c r="P647" t="n">
        <v>0</v>
      </c>
      <c r="Q647" t="n">
        <v>0</v>
      </c>
      <c r="R647" s="2" t="inlineStr"/>
    </row>
    <row r="648" ht="15" customHeight="1">
      <c r="A648" t="inlineStr">
        <is>
          <t>A 37939-2025</t>
        </is>
      </c>
      <c r="B648" s="1" t="n">
        <v>45881.59877314815</v>
      </c>
      <c r="C648" s="1" t="n">
        <v>45998</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29726-2025</t>
        </is>
      </c>
      <c r="B649" s="1" t="n">
        <v>45825.57805555555</v>
      </c>
      <c r="C649" s="1" t="n">
        <v>45998</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38964-2025</t>
        </is>
      </c>
      <c r="B650" s="1" t="n">
        <v>45887.68759259259</v>
      </c>
      <c r="C650" s="1" t="n">
        <v>45998</v>
      </c>
      <c r="D650" t="inlineStr">
        <is>
          <t>KALMAR LÄN</t>
        </is>
      </c>
      <c r="E650" t="inlineStr">
        <is>
          <t>VIMMERBY</t>
        </is>
      </c>
      <c r="G650" t="n">
        <v>7.5</v>
      </c>
      <c r="H650" t="n">
        <v>0</v>
      </c>
      <c r="I650" t="n">
        <v>0</v>
      </c>
      <c r="J650" t="n">
        <v>0</v>
      </c>
      <c r="K650" t="n">
        <v>0</v>
      </c>
      <c r="L650" t="n">
        <v>0</v>
      </c>
      <c r="M650" t="n">
        <v>0</v>
      </c>
      <c r="N650" t="n">
        <v>0</v>
      </c>
      <c r="O650" t="n">
        <v>0</v>
      </c>
      <c r="P650" t="n">
        <v>0</v>
      </c>
      <c r="Q650" t="n">
        <v>0</v>
      </c>
      <c r="R650" s="2" t="inlineStr"/>
    </row>
    <row r="651" ht="15" customHeight="1">
      <c r="A651" t="inlineStr">
        <is>
          <t>A 46887-2025</t>
        </is>
      </c>
      <c r="B651" s="1" t="n">
        <v>45929.3672337963</v>
      </c>
      <c r="C651" s="1" t="n">
        <v>45998</v>
      </c>
      <c r="D651" t="inlineStr">
        <is>
          <t>KALMAR LÄN</t>
        </is>
      </c>
      <c r="E651" t="inlineStr">
        <is>
          <t>VIMMERBY</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47227-2025</t>
        </is>
      </c>
      <c r="B652" s="1" t="n">
        <v>45930.39769675926</v>
      </c>
      <c r="C652" s="1" t="n">
        <v>45998</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55384-2025</t>
        </is>
      </c>
      <c r="B653" s="1" t="n">
        <v>45971.43178240741</v>
      </c>
      <c r="C653" s="1" t="n">
        <v>45998</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55385-2025</t>
        </is>
      </c>
      <c r="B654" s="1" t="n">
        <v>45971.43350694444</v>
      </c>
      <c r="C654" s="1" t="n">
        <v>45998</v>
      </c>
      <c r="D654" t="inlineStr">
        <is>
          <t>KALMAR LÄN</t>
        </is>
      </c>
      <c r="E654" t="inlineStr">
        <is>
          <t>VIMMERBY</t>
        </is>
      </c>
      <c r="G654" t="n">
        <v>5</v>
      </c>
      <c r="H654" t="n">
        <v>0</v>
      </c>
      <c r="I654" t="n">
        <v>0</v>
      </c>
      <c r="J654" t="n">
        <v>0</v>
      </c>
      <c r="K654" t="n">
        <v>0</v>
      </c>
      <c r="L654" t="n">
        <v>0</v>
      </c>
      <c r="M654" t="n">
        <v>0</v>
      </c>
      <c r="N654" t="n">
        <v>0</v>
      </c>
      <c r="O654" t="n">
        <v>0</v>
      </c>
      <c r="P654" t="n">
        <v>0</v>
      </c>
      <c r="Q654" t="n">
        <v>0</v>
      </c>
      <c r="R654" s="2" t="inlineStr"/>
    </row>
    <row r="655" ht="15" customHeight="1">
      <c r="A655" t="inlineStr">
        <is>
          <t>A 55604-2025</t>
        </is>
      </c>
      <c r="B655" s="1" t="n">
        <v>45971</v>
      </c>
      <c r="C655" s="1" t="n">
        <v>45998</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55602-2025</t>
        </is>
      </c>
      <c r="B656" s="1" t="n">
        <v>45971</v>
      </c>
      <c r="C656" s="1" t="n">
        <v>45998</v>
      </c>
      <c r="D656" t="inlineStr">
        <is>
          <t>KALMAR LÄN</t>
        </is>
      </c>
      <c r="E656" t="inlineStr">
        <is>
          <t>VIMMERBY</t>
        </is>
      </c>
      <c r="G656" t="n">
        <v>2.7</v>
      </c>
      <c r="H656" t="n">
        <v>0</v>
      </c>
      <c r="I656" t="n">
        <v>0</v>
      </c>
      <c r="J656" t="n">
        <v>0</v>
      </c>
      <c r="K656" t="n">
        <v>0</v>
      </c>
      <c r="L656" t="n">
        <v>0</v>
      </c>
      <c r="M656" t="n">
        <v>0</v>
      </c>
      <c r="N656" t="n">
        <v>0</v>
      </c>
      <c r="O656" t="n">
        <v>0</v>
      </c>
      <c r="P656" t="n">
        <v>0</v>
      </c>
      <c r="Q656" t="n">
        <v>0</v>
      </c>
      <c r="R656" s="2" t="inlineStr"/>
    </row>
    <row r="657" ht="15" customHeight="1">
      <c r="A657" t="inlineStr">
        <is>
          <t>A 39801-2025</t>
        </is>
      </c>
      <c r="B657" s="1" t="n">
        <v>45891.50216435185</v>
      </c>
      <c r="C657" s="1" t="n">
        <v>45998</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39807-2025</t>
        </is>
      </c>
      <c r="B658" s="1" t="n">
        <v>45891.50986111111</v>
      </c>
      <c r="C658" s="1" t="n">
        <v>45998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55603-2025</t>
        </is>
      </c>
      <c r="B659" s="1" t="n">
        <v>45971</v>
      </c>
      <c r="C659" s="1" t="n">
        <v>45998</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55605-2025</t>
        </is>
      </c>
      <c r="B660" s="1" t="n">
        <v>45971</v>
      </c>
      <c r="C660" s="1" t="n">
        <v>45998</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39736-2025</t>
        </is>
      </c>
      <c r="B661" s="1" t="n">
        <v>45891</v>
      </c>
      <c r="C661" s="1" t="n">
        <v>45998</v>
      </c>
      <c r="D661" t="inlineStr">
        <is>
          <t>KALMAR LÄN</t>
        </is>
      </c>
      <c r="E661" t="inlineStr">
        <is>
          <t>VIMMERBY</t>
        </is>
      </c>
      <c r="G661" t="n">
        <v>12.8</v>
      </c>
      <c r="H661" t="n">
        <v>0</v>
      </c>
      <c r="I661" t="n">
        <v>0</v>
      </c>
      <c r="J661" t="n">
        <v>0</v>
      </c>
      <c r="K661" t="n">
        <v>0</v>
      </c>
      <c r="L661" t="n">
        <v>0</v>
      </c>
      <c r="M661" t="n">
        <v>0</v>
      </c>
      <c r="N661" t="n">
        <v>0</v>
      </c>
      <c r="O661" t="n">
        <v>0</v>
      </c>
      <c r="P661" t="n">
        <v>0</v>
      </c>
      <c r="Q661" t="n">
        <v>0</v>
      </c>
      <c r="R661" s="2" t="inlineStr"/>
    </row>
    <row r="662" ht="15" customHeight="1">
      <c r="A662" t="inlineStr">
        <is>
          <t>A 39803-2025</t>
        </is>
      </c>
      <c r="B662" s="1" t="n">
        <v>45891.50525462963</v>
      </c>
      <c r="C662" s="1" t="n">
        <v>45998</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39889-2025</t>
        </is>
      </c>
      <c r="B663" s="1" t="n">
        <v>45891</v>
      </c>
      <c r="C663" s="1" t="n">
        <v>45998</v>
      </c>
      <c r="D663" t="inlineStr">
        <is>
          <t>KALMAR LÄN</t>
        </is>
      </c>
      <c r="E663" t="inlineStr">
        <is>
          <t>VIMMERBY</t>
        </is>
      </c>
      <c r="G663" t="n">
        <v>4.5</v>
      </c>
      <c r="H663" t="n">
        <v>0</v>
      </c>
      <c r="I663" t="n">
        <v>0</v>
      </c>
      <c r="J663" t="n">
        <v>0</v>
      </c>
      <c r="K663" t="n">
        <v>0</v>
      </c>
      <c r="L663" t="n">
        <v>0</v>
      </c>
      <c r="M663" t="n">
        <v>0</v>
      </c>
      <c r="N663" t="n">
        <v>0</v>
      </c>
      <c r="O663" t="n">
        <v>0</v>
      </c>
      <c r="P663" t="n">
        <v>0</v>
      </c>
      <c r="Q663" t="n">
        <v>0</v>
      </c>
      <c r="R663" s="2" t="inlineStr"/>
    </row>
    <row r="664" ht="15" customHeight="1">
      <c r="A664" t="inlineStr">
        <is>
          <t>A 12890-2023</t>
        </is>
      </c>
      <c r="B664" s="1" t="n">
        <v>45001.59209490741</v>
      </c>
      <c r="C664" s="1" t="n">
        <v>45998</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3902-2022</t>
        </is>
      </c>
      <c r="B665" s="1" t="n">
        <v>44587.48847222222</v>
      </c>
      <c r="C665" s="1" t="n">
        <v>45998</v>
      </c>
      <c r="D665" t="inlineStr">
        <is>
          <t>KALMAR LÄN</t>
        </is>
      </c>
      <c r="E665" t="inlineStr">
        <is>
          <t>VIMMERBY</t>
        </is>
      </c>
      <c r="G665" t="n">
        <v>2.6</v>
      </c>
      <c r="H665" t="n">
        <v>0</v>
      </c>
      <c r="I665" t="n">
        <v>0</v>
      </c>
      <c r="J665" t="n">
        <v>0</v>
      </c>
      <c r="K665" t="n">
        <v>0</v>
      </c>
      <c r="L665" t="n">
        <v>0</v>
      </c>
      <c r="M665" t="n">
        <v>0</v>
      </c>
      <c r="N665" t="n">
        <v>0</v>
      </c>
      <c r="O665" t="n">
        <v>0</v>
      </c>
      <c r="P665" t="n">
        <v>0</v>
      </c>
      <c r="Q665" t="n">
        <v>0</v>
      </c>
      <c r="R665" s="2" t="inlineStr"/>
    </row>
    <row r="666" ht="15" customHeight="1">
      <c r="A666" t="inlineStr">
        <is>
          <t>A 40970-2025</t>
        </is>
      </c>
      <c r="B666" s="1" t="n">
        <v>45897.88706018519</v>
      </c>
      <c r="C666" s="1" t="n">
        <v>45998</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40973-2025</t>
        </is>
      </c>
      <c r="B667" s="1" t="n">
        <v>45897.89737268518</v>
      </c>
      <c r="C667" s="1" t="n">
        <v>45998</v>
      </c>
      <c r="D667" t="inlineStr">
        <is>
          <t>KALMAR LÄN</t>
        </is>
      </c>
      <c r="E667" t="inlineStr">
        <is>
          <t>VIMMERBY</t>
        </is>
      </c>
      <c r="G667" t="n">
        <v>1.8</v>
      </c>
      <c r="H667" t="n">
        <v>0</v>
      </c>
      <c r="I667" t="n">
        <v>0</v>
      </c>
      <c r="J667" t="n">
        <v>0</v>
      </c>
      <c r="K667" t="n">
        <v>0</v>
      </c>
      <c r="L667" t="n">
        <v>0</v>
      </c>
      <c r="M667" t="n">
        <v>0</v>
      </c>
      <c r="N667" t="n">
        <v>0</v>
      </c>
      <c r="O667" t="n">
        <v>0</v>
      </c>
      <c r="P667" t="n">
        <v>0</v>
      </c>
      <c r="Q667" t="n">
        <v>0</v>
      </c>
      <c r="R667" s="2" t="inlineStr"/>
    </row>
    <row r="668" ht="15" customHeight="1">
      <c r="A668" t="inlineStr">
        <is>
          <t>A 41224-2025</t>
        </is>
      </c>
      <c r="B668" s="1" t="n">
        <v>45898.58861111111</v>
      </c>
      <c r="C668" s="1" t="n">
        <v>45998</v>
      </c>
      <c r="D668" t="inlineStr">
        <is>
          <t>KALMAR LÄN</t>
        </is>
      </c>
      <c r="E668" t="inlineStr">
        <is>
          <t>VIMMERBY</t>
        </is>
      </c>
      <c r="G668" t="n">
        <v>4.4</v>
      </c>
      <c r="H668" t="n">
        <v>0</v>
      </c>
      <c r="I668" t="n">
        <v>0</v>
      </c>
      <c r="J668" t="n">
        <v>0</v>
      </c>
      <c r="K668" t="n">
        <v>0</v>
      </c>
      <c r="L668" t="n">
        <v>0</v>
      </c>
      <c r="M668" t="n">
        <v>0</v>
      </c>
      <c r="N668" t="n">
        <v>0</v>
      </c>
      <c r="O668" t="n">
        <v>0</v>
      </c>
      <c r="P668" t="n">
        <v>0</v>
      </c>
      <c r="Q668" t="n">
        <v>0</v>
      </c>
      <c r="R668" s="2" t="inlineStr"/>
    </row>
    <row r="669" ht="15" customHeight="1">
      <c r="A669" t="inlineStr">
        <is>
          <t>A 47965-2025</t>
        </is>
      </c>
      <c r="B669" s="1" t="n">
        <v>45932.59597222223</v>
      </c>
      <c r="C669" s="1" t="n">
        <v>45998</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23394-2025</t>
        </is>
      </c>
      <c r="B670" s="1" t="n">
        <v>45791.89865740741</v>
      </c>
      <c r="C670" s="1" t="n">
        <v>45998</v>
      </c>
      <c r="D670" t="inlineStr">
        <is>
          <t>KALMAR LÄN</t>
        </is>
      </c>
      <c r="E670" t="inlineStr">
        <is>
          <t>VIMMERBY</t>
        </is>
      </c>
      <c r="G670" t="n">
        <v>3.1</v>
      </c>
      <c r="H670" t="n">
        <v>0</v>
      </c>
      <c r="I670" t="n">
        <v>0</v>
      </c>
      <c r="J670" t="n">
        <v>0</v>
      </c>
      <c r="K670" t="n">
        <v>0</v>
      </c>
      <c r="L670" t="n">
        <v>0</v>
      </c>
      <c r="M670" t="n">
        <v>0</v>
      </c>
      <c r="N670" t="n">
        <v>0</v>
      </c>
      <c r="O670" t="n">
        <v>0</v>
      </c>
      <c r="P670" t="n">
        <v>0</v>
      </c>
      <c r="Q670" t="n">
        <v>0</v>
      </c>
      <c r="R670" s="2" t="inlineStr"/>
    </row>
    <row r="671" ht="15" customHeight="1">
      <c r="A671" t="inlineStr">
        <is>
          <t>A 40925-2025</t>
        </is>
      </c>
      <c r="B671" s="1" t="n">
        <v>45897.64208333333</v>
      </c>
      <c r="C671" s="1" t="n">
        <v>45998</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40921-2025</t>
        </is>
      </c>
      <c r="B672" s="1" t="n">
        <v>45897.63520833333</v>
      </c>
      <c r="C672" s="1" t="n">
        <v>45998</v>
      </c>
      <c r="D672" t="inlineStr">
        <is>
          <t>KALMAR LÄN</t>
        </is>
      </c>
      <c r="E672" t="inlineStr">
        <is>
          <t>VIMMERBY</t>
        </is>
      </c>
      <c r="G672" t="n">
        <v>4.2</v>
      </c>
      <c r="H672" t="n">
        <v>0</v>
      </c>
      <c r="I672" t="n">
        <v>0</v>
      </c>
      <c r="J672" t="n">
        <v>0</v>
      </c>
      <c r="K672" t="n">
        <v>0</v>
      </c>
      <c r="L672" t="n">
        <v>0</v>
      </c>
      <c r="M672" t="n">
        <v>0</v>
      </c>
      <c r="N672" t="n">
        <v>0</v>
      </c>
      <c r="O672" t="n">
        <v>0</v>
      </c>
      <c r="P672" t="n">
        <v>0</v>
      </c>
      <c r="Q672" t="n">
        <v>0</v>
      </c>
      <c r="R672" s="2" t="inlineStr"/>
    </row>
    <row r="673" ht="15" customHeight="1">
      <c r="A673" t="inlineStr">
        <is>
          <t>A 40971-2025</t>
        </is>
      </c>
      <c r="B673" s="1" t="n">
        <v>45897.88836805556</v>
      </c>
      <c r="C673" s="1" t="n">
        <v>45998</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47955-2025</t>
        </is>
      </c>
      <c r="B674" s="1" t="n">
        <v>45932.58896990741</v>
      </c>
      <c r="C674" s="1" t="n">
        <v>45998</v>
      </c>
      <c r="D674" t="inlineStr">
        <is>
          <t>KALMAR LÄN</t>
        </is>
      </c>
      <c r="E674" t="inlineStr">
        <is>
          <t>VIMMERBY</t>
        </is>
      </c>
      <c r="G674" t="n">
        <v>3.4</v>
      </c>
      <c r="H674" t="n">
        <v>0</v>
      </c>
      <c r="I674" t="n">
        <v>0</v>
      </c>
      <c r="J674" t="n">
        <v>0</v>
      </c>
      <c r="K674" t="n">
        <v>0</v>
      </c>
      <c r="L674" t="n">
        <v>0</v>
      </c>
      <c r="M674" t="n">
        <v>0</v>
      </c>
      <c r="N674" t="n">
        <v>0</v>
      </c>
      <c r="O674" t="n">
        <v>0</v>
      </c>
      <c r="P674" t="n">
        <v>0</v>
      </c>
      <c r="Q674" t="n">
        <v>0</v>
      </c>
      <c r="R674" s="2" t="inlineStr"/>
    </row>
    <row r="675" ht="15" customHeight="1">
      <c r="A675" t="inlineStr">
        <is>
          <t>A 41591-2025</t>
        </is>
      </c>
      <c r="B675" s="1" t="n">
        <v>45901.6327662037</v>
      </c>
      <c r="C675" s="1" t="n">
        <v>45998</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41589-2025</t>
        </is>
      </c>
      <c r="B676" s="1" t="n">
        <v>45901.63219907408</v>
      </c>
      <c r="C676" s="1" t="n">
        <v>45998</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34090-2025</t>
        </is>
      </c>
      <c r="B677" s="1" t="n">
        <v>45845</v>
      </c>
      <c r="C677" s="1" t="n">
        <v>45998</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41735-2025</t>
        </is>
      </c>
      <c r="B678" s="1" t="n">
        <v>45902.47164351852</v>
      </c>
      <c r="C678" s="1" t="n">
        <v>45998</v>
      </c>
      <c r="D678" t="inlineStr">
        <is>
          <t>KALMAR LÄN</t>
        </is>
      </c>
      <c r="E678" t="inlineStr">
        <is>
          <t>VIMMERBY</t>
        </is>
      </c>
      <c r="G678" t="n">
        <v>3</v>
      </c>
      <c r="H678" t="n">
        <v>0</v>
      </c>
      <c r="I678" t="n">
        <v>0</v>
      </c>
      <c r="J678" t="n">
        <v>0</v>
      </c>
      <c r="K678" t="n">
        <v>0</v>
      </c>
      <c r="L678" t="n">
        <v>0</v>
      </c>
      <c r="M678" t="n">
        <v>0</v>
      </c>
      <c r="N678" t="n">
        <v>0</v>
      </c>
      <c r="O678" t="n">
        <v>0</v>
      </c>
      <c r="P678" t="n">
        <v>0</v>
      </c>
      <c r="Q678" t="n">
        <v>0</v>
      </c>
      <c r="R678" s="2" t="inlineStr"/>
    </row>
    <row r="679" ht="15" customHeight="1">
      <c r="A679" t="inlineStr">
        <is>
          <t>A 48299-2025</t>
        </is>
      </c>
      <c r="B679" s="1" t="n">
        <v>45933.60982638889</v>
      </c>
      <c r="C679" s="1" t="n">
        <v>45998</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48723-2025</t>
        </is>
      </c>
      <c r="B680" s="1" t="n">
        <v>45936.65121527778</v>
      </c>
      <c r="C680" s="1" t="n">
        <v>45998</v>
      </c>
      <c r="D680" t="inlineStr">
        <is>
          <t>KALMAR LÄN</t>
        </is>
      </c>
      <c r="E680" t="inlineStr">
        <is>
          <t>VIMMERBY</t>
        </is>
      </c>
      <c r="G680" t="n">
        <v>3</v>
      </c>
      <c r="H680" t="n">
        <v>0</v>
      </c>
      <c r="I680" t="n">
        <v>0</v>
      </c>
      <c r="J680" t="n">
        <v>0</v>
      </c>
      <c r="K680" t="n">
        <v>0</v>
      </c>
      <c r="L680" t="n">
        <v>0</v>
      </c>
      <c r="M680" t="n">
        <v>0</v>
      </c>
      <c r="N680" t="n">
        <v>0</v>
      </c>
      <c r="O680" t="n">
        <v>0</v>
      </c>
      <c r="P680" t="n">
        <v>0</v>
      </c>
      <c r="Q680" t="n">
        <v>0</v>
      </c>
      <c r="R680" s="2" t="inlineStr"/>
    </row>
    <row r="681" ht="15" customHeight="1">
      <c r="A681" t="inlineStr">
        <is>
          <t>A 42828-2025</t>
        </is>
      </c>
      <c r="B681" s="1" t="n">
        <v>45908.57716435185</v>
      </c>
      <c r="C681" s="1" t="n">
        <v>45998</v>
      </c>
      <c r="D681" t="inlineStr">
        <is>
          <t>KALMAR LÄN</t>
        </is>
      </c>
      <c r="E681" t="inlineStr">
        <is>
          <t>VIMMERBY</t>
        </is>
      </c>
      <c r="G681" t="n">
        <v>5.2</v>
      </c>
      <c r="H681" t="n">
        <v>0</v>
      </c>
      <c r="I681" t="n">
        <v>0</v>
      </c>
      <c r="J681" t="n">
        <v>0</v>
      </c>
      <c r="K681" t="n">
        <v>0</v>
      </c>
      <c r="L681" t="n">
        <v>0</v>
      </c>
      <c r="M681" t="n">
        <v>0</v>
      </c>
      <c r="N681" t="n">
        <v>0</v>
      </c>
      <c r="O681" t="n">
        <v>0</v>
      </c>
      <c r="P681" t="n">
        <v>0</v>
      </c>
      <c r="Q681" t="n">
        <v>0</v>
      </c>
      <c r="R681" s="2" t="inlineStr"/>
    </row>
    <row r="682" ht="15" customHeight="1">
      <c r="A682" t="inlineStr">
        <is>
          <t>A 42794-2025</t>
        </is>
      </c>
      <c r="B682" s="1" t="n">
        <v>45908</v>
      </c>
      <c r="C682" s="1" t="n">
        <v>45998</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89-2023</t>
        </is>
      </c>
      <c r="B683" s="1" t="n">
        <v>44918</v>
      </c>
      <c r="C683" s="1" t="n">
        <v>45998</v>
      </c>
      <c r="D683" t="inlineStr">
        <is>
          <t>KALMAR LÄN</t>
        </is>
      </c>
      <c r="E683" t="inlineStr">
        <is>
          <t>VIMMERBY</t>
        </is>
      </c>
      <c r="G683" t="n">
        <v>16.1</v>
      </c>
      <c r="H683" t="n">
        <v>0</v>
      </c>
      <c r="I683" t="n">
        <v>0</v>
      </c>
      <c r="J683" t="n">
        <v>0</v>
      </c>
      <c r="K683" t="n">
        <v>0</v>
      </c>
      <c r="L683" t="n">
        <v>0</v>
      </c>
      <c r="M683" t="n">
        <v>0</v>
      </c>
      <c r="N683" t="n">
        <v>0</v>
      </c>
      <c r="O683" t="n">
        <v>0</v>
      </c>
      <c r="P683" t="n">
        <v>0</v>
      </c>
      <c r="Q683" t="n">
        <v>0</v>
      </c>
      <c r="R683" s="2" t="inlineStr"/>
    </row>
    <row r="684" ht="15" customHeight="1">
      <c r="A684" t="inlineStr">
        <is>
          <t>A 48600-2025</t>
        </is>
      </c>
      <c r="B684" s="1" t="n">
        <v>45935</v>
      </c>
      <c r="C684" s="1" t="n">
        <v>45998</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5382-2023</t>
        </is>
      </c>
      <c r="B685" s="1" t="n">
        <v>44959.66407407408</v>
      </c>
      <c r="C685" s="1" t="n">
        <v>45998</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6668-2023</t>
        </is>
      </c>
      <c r="B686" s="1" t="n">
        <v>44966</v>
      </c>
      <c r="C686" s="1" t="n">
        <v>45998</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42820-2025</t>
        </is>
      </c>
      <c r="B687" s="1" t="n">
        <v>45908</v>
      </c>
      <c r="C687" s="1" t="n">
        <v>45998</v>
      </c>
      <c r="D687" t="inlineStr">
        <is>
          <t>KALMAR LÄN</t>
        </is>
      </c>
      <c r="E687" t="inlineStr">
        <is>
          <t>VIMMERBY</t>
        </is>
      </c>
      <c r="G687" t="n">
        <v>1.2</v>
      </c>
      <c r="H687" t="n">
        <v>0</v>
      </c>
      <c r="I687" t="n">
        <v>0</v>
      </c>
      <c r="J687" t="n">
        <v>0</v>
      </c>
      <c r="K687" t="n">
        <v>0</v>
      </c>
      <c r="L687" t="n">
        <v>0</v>
      </c>
      <c r="M687" t="n">
        <v>0</v>
      </c>
      <c r="N687" t="n">
        <v>0</v>
      </c>
      <c r="O687" t="n">
        <v>0</v>
      </c>
      <c r="P687" t="n">
        <v>0</v>
      </c>
      <c r="Q687" t="n">
        <v>0</v>
      </c>
      <c r="R687" s="2" t="inlineStr"/>
    </row>
    <row r="688" ht="15" customHeight="1">
      <c r="A688" t="inlineStr">
        <is>
          <t>A 172-2022</t>
        </is>
      </c>
      <c r="B688" s="1" t="n">
        <v>44564.62598379629</v>
      </c>
      <c r="C688" s="1" t="n">
        <v>45998</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30634-2024</t>
        </is>
      </c>
      <c r="B689" s="1" t="n">
        <v>45495</v>
      </c>
      <c r="C689" s="1" t="n">
        <v>45998</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6355-2022</t>
        </is>
      </c>
      <c r="B690" s="1" t="n">
        <v>44600</v>
      </c>
      <c r="C690" s="1" t="n">
        <v>45998</v>
      </c>
      <c r="D690" t="inlineStr">
        <is>
          <t>KALMAR LÄN</t>
        </is>
      </c>
      <c r="E690" t="inlineStr">
        <is>
          <t>VIMMERBY</t>
        </is>
      </c>
      <c r="G690" t="n">
        <v>4.9</v>
      </c>
      <c r="H690" t="n">
        <v>0</v>
      </c>
      <c r="I690" t="n">
        <v>0</v>
      </c>
      <c r="J690" t="n">
        <v>0</v>
      </c>
      <c r="K690" t="n">
        <v>0</v>
      </c>
      <c r="L690" t="n">
        <v>0</v>
      </c>
      <c r="M690" t="n">
        <v>0</v>
      </c>
      <c r="N690" t="n">
        <v>0</v>
      </c>
      <c r="O690" t="n">
        <v>0</v>
      </c>
      <c r="P690" t="n">
        <v>0</v>
      </c>
      <c r="Q690" t="n">
        <v>0</v>
      </c>
      <c r="R690" s="2" t="inlineStr"/>
    </row>
    <row r="691" ht="15" customHeight="1">
      <c r="A691" t="inlineStr">
        <is>
          <t>A 34060-2025</t>
        </is>
      </c>
      <c r="B691" s="1" t="n">
        <v>45845.42015046296</v>
      </c>
      <c r="C691" s="1" t="n">
        <v>45998</v>
      </c>
      <c r="D691" t="inlineStr">
        <is>
          <t>KALMAR LÄN</t>
        </is>
      </c>
      <c r="E691" t="inlineStr">
        <is>
          <t>VIMMERBY</t>
        </is>
      </c>
      <c r="G691" t="n">
        <v>5.7</v>
      </c>
      <c r="H691" t="n">
        <v>0</v>
      </c>
      <c r="I691" t="n">
        <v>0</v>
      </c>
      <c r="J691" t="n">
        <v>0</v>
      </c>
      <c r="K691" t="n">
        <v>0</v>
      </c>
      <c r="L691" t="n">
        <v>0</v>
      </c>
      <c r="M691" t="n">
        <v>0</v>
      </c>
      <c r="N691" t="n">
        <v>0</v>
      </c>
      <c r="O691" t="n">
        <v>0</v>
      </c>
      <c r="P691" t="n">
        <v>0</v>
      </c>
      <c r="Q691" t="n">
        <v>0</v>
      </c>
      <c r="R691" s="2" t="inlineStr"/>
    </row>
    <row r="692" ht="15" customHeight="1">
      <c r="A692" t="inlineStr">
        <is>
          <t>A 23984-2025</t>
        </is>
      </c>
      <c r="B692" s="1" t="n">
        <v>45796</v>
      </c>
      <c r="C692" s="1" t="n">
        <v>45998</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48408-2025</t>
        </is>
      </c>
      <c r="B693" s="1" t="n">
        <v>45934.40527777778</v>
      </c>
      <c r="C693" s="1" t="n">
        <v>45998</v>
      </c>
      <c r="D693" t="inlineStr">
        <is>
          <t>KALMAR LÄN</t>
        </is>
      </c>
      <c r="E693" t="inlineStr">
        <is>
          <t>VIMMERBY</t>
        </is>
      </c>
      <c r="G693" t="n">
        <v>2.4</v>
      </c>
      <c r="H693" t="n">
        <v>0</v>
      </c>
      <c r="I693" t="n">
        <v>0</v>
      </c>
      <c r="J693" t="n">
        <v>0</v>
      </c>
      <c r="K693" t="n">
        <v>0</v>
      </c>
      <c r="L693" t="n">
        <v>0</v>
      </c>
      <c r="M693" t="n">
        <v>0</v>
      </c>
      <c r="N693" t="n">
        <v>0</v>
      </c>
      <c r="O693" t="n">
        <v>0</v>
      </c>
      <c r="P693" t="n">
        <v>0</v>
      </c>
      <c r="Q693" t="n">
        <v>0</v>
      </c>
      <c r="R693" s="2" t="inlineStr"/>
    </row>
    <row r="694" ht="15" customHeight="1">
      <c r="A694" t="inlineStr">
        <is>
          <t>A 48409-2025</t>
        </is>
      </c>
      <c r="B694" s="1" t="n">
        <v>45934.41387731482</v>
      </c>
      <c r="C694" s="1" t="n">
        <v>45998</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16020-2023</t>
        </is>
      </c>
      <c r="B695" s="1" t="n">
        <v>45026.82216435186</v>
      </c>
      <c r="C695" s="1" t="n">
        <v>45998</v>
      </c>
      <c r="D695" t="inlineStr">
        <is>
          <t>KALMAR LÄN</t>
        </is>
      </c>
      <c r="E695" t="inlineStr">
        <is>
          <t>VIMMERBY</t>
        </is>
      </c>
      <c r="G695" t="n">
        <v>1.1</v>
      </c>
      <c r="H695" t="n">
        <v>0</v>
      </c>
      <c r="I695" t="n">
        <v>0</v>
      </c>
      <c r="J695" t="n">
        <v>0</v>
      </c>
      <c r="K695" t="n">
        <v>0</v>
      </c>
      <c r="L695" t="n">
        <v>0</v>
      </c>
      <c r="M695" t="n">
        <v>0</v>
      </c>
      <c r="N695" t="n">
        <v>0</v>
      </c>
      <c r="O695" t="n">
        <v>0</v>
      </c>
      <c r="P695" t="n">
        <v>0</v>
      </c>
      <c r="Q695" t="n">
        <v>0</v>
      </c>
      <c r="R695" s="2" t="inlineStr"/>
    </row>
    <row r="696" ht="15" customHeight="1">
      <c r="A696" t="inlineStr">
        <is>
          <t>A 43617-2025</t>
        </is>
      </c>
      <c r="B696" s="1" t="n">
        <v>45911.67798611111</v>
      </c>
      <c r="C696" s="1" t="n">
        <v>45998</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48712-2025</t>
        </is>
      </c>
      <c r="B697" s="1" t="n">
        <v>45936.63373842592</v>
      </c>
      <c r="C697" s="1" t="n">
        <v>45998</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52451-2025</t>
        </is>
      </c>
      <c r="B698" s="1" t="n">
        <v>45954.42326388889</v>
      </c>
      <c r="C698" s="1" t="n">
        <v>45998</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43465-2025</t>
        </is>
      </c>
      <c r="B699" s="1" t="n">
        <v>45911.47138888889</v>
      </c>
      <c r="C699" s="1" t="n">
        <v>45998</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60292-2022</t>
        </is>
      </c>
      <c r="B700" s="1" t="n">
        <v>44910.54231481482</v>
      </c>
      <c r="C700" s="1" t="n">
        <v>45998</v>
      </c>
      <c r="D700" t="inlineStr">
        <is>
          <t>KALMAR LÄN</t>
        </is>
      </c>
      <c r="E700" t="inlineStr">
        <is>
          <t>VIMMERBY</t>
        </is>
      </c>
      <c r="G700" t="n">
        <v>4.4</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45998</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40256-2024</t>
        </is>
      </c>
      <c r="B702" s="1" t="n">
        <v>45554.62944444444</v>
      </c>
      <c r="C702" s="1" t="n">
        <v>45998</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52475-2025</t>
        </is>
      </c>
      <c r="B703" s="1" t="n">
        <v>45954.468125</v>
      </c>
      <c r="C703" s="1" t="n">
        <v>45998</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44329-2025</t>
        </is>
      </c>
      <c r="B704" s="1" t="n">
        <v>45916.41019675926</v>
      </c>
      <c r="C704" s="1" t="n">
        <v>45998</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51278-2024</t>
        </is>
      </c>
      <c r="B705" s="1" t="n">
        <v>45603.74959490741</v>
      </c>
      <c r="C705" s="1" t="n">
        <v>45998</v>
      </c>
      <c r="D705" t="inlineStr">
        <is>
          <t>KALMAR LÄN</t>
        </is>
      </c>
      <c r="E705" t="inlineStr">
        <is>
          <t>VIMMERBY</t>
        </is>
      </c>
      <c r="G705" t="n">
        <v>3.4</v>
      </c>
      <c r="H705" t="n">
        <v>0</v>
      </c>
      <c r="I705" t="n">
        <v>0</v>
      </c>
      <c r="J705" t="n">
        <v>0</v>
      </c>
      <c r="K705" t="n">
        <v>0</v>
      </c>
      <c r="L705" t="n">
        <v>0</v>
      </c>
      <c r="M705" t="n">
        <v>0</v>
      </c>
      <c r="N705" t="n">
        <v>0</v>
      </c>
      <c r="O705" t="n">
        <v>0</v>
      </c>
      <c r="P705" t="n">
        <v>0</v>
      </c>
      <c r="Q705" t="n">
        <v>0</v>
      </c>
      <c r="R705" s="2" t="inlineStr"/>
    </row>
    <row r="706" ht="15" customHeight="1">
      <c r="A706" t="inlineStr">
        <is>
          <t>A 35082-2024</t>
        </is>
      </c>
      <c r="B706" s="1" t="n">
        <v>45527.68784722222</v>
      </c>
      <c r="C706" s="1" t="n">
        <v>45998</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44517-2025</t>
        </is>
      </c>
      <c r="B707" s="1" t="n">
        <v>45916.7103587963</v>
      </c>
      <c r="C707" s="1" t="n">
        <v>45998</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44582-2024</t>
        </is>
      </c>
      <c r="B708" s="1" t="n">
        <v>45574.49298611111</v>
      </c>
      <c r="C708" s="1" t="n">
        <v>45998</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9456-2025</t>
        </is>
      </c>
      <c r="B709" s="1" t="n">
        <v>45715.44159722222</v>
      </c>
      <c r="C709" s="1" t="n">
        <v>45998</v>
      </c>
      <c r="D709" t="inlineStr">
        <is>
          <t>KALMAR LÄN</t>
        </is>
      </c>
      <c r="E709" t="inlineStr">
        <is>
          <t>VIMMERBY</t>
        </is>
      </c>
      <c r="G709" t="n">
        <v>1.5</v>
      </c>
      <c r="H709" t="n">
        <v>0</v>
      </c>
      <c r="I709" t="n">
        <v>0</v>
      </c>
      <c r="J709" t="n">
        <v>0</v>
      </c>
      <c r="K709" t="n">
        <v>0</v>
      </c>
      <c r="L709" t="n">
        <v>0</v>
      </c>
      <c r="M709" t="n">
        <v>0</v>
      </c>
      <c r="N709" t="n">
        <v>0</v>
      </c>
      <c r="O709" t="n">
        <v>0</v>
      </c>
      <c r="P709" t="n">
        <v>0</v>
      </c>
      <c r="Q709" t="n">
        <v>0</v>
      </c>
      <c r="R709" s="2" t="inlineStr"/>
    </row>
    <row r="710" ht="15" customHeight="1">
      <c r="A710" t="inlineStr">
        <is>
          <t>A 11111-2023</t>
        </is>
      </c>
      <c r="B710" s="1" t="n">
        <v>44992.4255787037</v>
      </c>
      <c r="C710" s="1" t="n">
        <v>45998</v>
      </c>
      <c r="D710" t="inlineStr">
        <is>
          <t>KALMAR LÄN</t>
        </is>
      </c>
      <c r="E710" t="inlineStr">
        <is>
          <t>VIMMERBY</t>
        </is>
      </c>
      <c r="G710" t="n">
        <v>0.8</v>
      </c>
      <c r="H710" t="n">
        <v>0</v>
      </c>
      <c r="I710" t="n">
        <v>0</v>
      </c>
      <c r="J710" t="n">
        <v>0</v>
      </c>
      <c r="K710" t="n">
        <v>0</v>
      </c>
      <c r="L710" t="n">
        <v>0</v>
      </c>
      <c r="M710" t="n">
        <v>0</v>
      </c>
      <c r="N710" t="n">
        <v>0</v>
      </c>
      <c r="O710" t="n">
        <v>0</v>
      </c>
      <c r="P710" t="n">
        <v>0</v>
      </c>
      <c r="Q710" t="n">
        <v>0</v>
      </c>
      <c r="R710" s="2" t="inlineStr"/>
    </row>
    <row r="711" ht="15" customHeight="1">
      <c r="A711" t="inlineStr">
        <is>
          <t>A 58724-2024</t>
        </is>
      </c>
      <c r="B711" s="1" t="n">
        <v>45635.66409722222</v>
      </c>
      <c r="C711" s="1" t="n">
        <v>45998</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15494-2024</t>
        </is>
      </c>
      <c r="B712" s="1" t="n">
        <v>45401.53033564815</v>
      </c>
      <c r="C712" s="1" t="n">
        <v>45998</v>
      </c>
      <c r="D712" t="inlineStr">
        <is>
          <t>KALMAR LÄN</t>
        </is>
      </c>
      <c r="E712" t="inlineStr">
        <is>
          <t>VIMMERBY</t>
        </is>
      </c>
      <c r="G712" t="n">
        <v>3.2</v>
      </c>
      <c r="H712" t="n">
        <v>0</v>
      </c>
      <c r="I712" t="n">
        <v>0</v>
      </c>
      <c r="J712" t="n">
        <v>0</v>
      </c>
      <c r="K712" t="n">
        <v>0</v>
      </c>
      <c r="L712" t="n">
        <v>0</v>
      </c>
      <c r="M712" t="n">
        <v>0</v>
      </c>
      <c r="N712" t="n">
        <v>0</v>
      </c>
      <c r="O712" t="n">
        <v>0</v>
      </c>
      <c r="P712" t="n">
        <v>0</v>
      </c>
      <c r="Q712" t="n">
        <v>0</v>
      </c>
      <c r="R712" s="2" t="inlineStr"/>
    </row>
    <row r="713" ht="15" customHeight="1">
      <c r="A713" t="inlineStr">
        <is>
          <t>A 53220-2025</t>
        </is>
      </c>
      <c r="B713" s="1" t="n">
        <v>45958.60146990741</v>
      </c>
      <c r="C713" s="1" t="n">
        <v>45998</v>
      </c>
      <c r="D713" t="inlineStr">
        <is>
          <t>KALMAR LÄN</t>
        </is>
      </c>
      <c r="E713" t="inlineStr">
        <is>
          <t>VIMMERBY</t>
        </is>
      </c>
      <c r="G713" t="n">
        <v>2.2</v>
      </c>
      <c r="H713" t="n">
        <v>0</v>
      </c>
      <c r="I713" t="n">
        <v>0</v>
      </c>
      <c r="J713" t="n">
        <v>0</v>
      </c>
      <c r="K713" t="n">
        <v>0</v>
      </c>
      <c r="L713" t="n">
        <v>0</v>
      </c>
      <c r="M713" t="n">
        <v>0</v>
      </c>
      <c r="N713" t="n">
        <v>0</v>
      </c>
      <c r="O713" t="n">
        <v>0</v>
      </c>
      <c r="P713" t="n">
        <v>0</v>
      </c>
      <c r="Q713" t="n">
        <v>0</v>
      </c>
      <c r="R713" s="2" t="inlineStr"/>
    </row>
    <row r="714" ht="15" customHeight="1">
      <c r="A714" t="inlineStr">
        <is>
          <t>A 53789-2025</t>
        </is>
      </c>
      <c r="B714" s="1" t="n">
        <v>45960</v>
      </c>
      <c r="C714" s="1" t="n">
        <v>45998</v>
      </c>
      <c r="D714" t="inlineStr">
        <is>
          <t>KALMAR LÄN</t>
        </is>
      </c>
      <c r="E714" t="inlineStr">
        <is>
          <t>VIMMERBY</t>
        </is>
      </c>
      <c r="F714" t="inlineStr">
        <is>
          <t>Övriga statliga verk och myndigheter</t>
        </is>
      </c>
      <c r="G714" t="n">
        <v>1.6</v>
      </c>
      <c r="H714" t="n">
        <v>0</v>
      </c>
      <c r="I714" t="n">
        <v>0</v>
      </c>
      <c r="J714" t="n">
        <v>0</v>
      </c>
      <c r="K714" t="n">
        <v>0</v>
      </c>
      <c r="L714" t="n">
        <v>0</v>
      </c>
      <c r="M714" t="n">
        <v>0</v>
      </c>
      <c r="N714" t="n">
        <v>0</v>
      </c>
      <c r="O714" t="n">
        <v>0</v>
      </c>
      <c r="P714" t="n">
        <v>0</v>
      </c>
      <c r="Q714" t="n">
        <v>0</v>
      </c>
      <c r="R714" s="2" t="inlineStr"/>
    </row>
    <row r="715" ht="15" customHeight="1">
      <c r="A715" t="inlineStr">
        <is>
          <t>A 26039-2025</t>
        </is>
      </c>
      <c r="B715" s="1" t="n">
        <v>45804.6953587963</v>
      </c>
      <c r="C715" s="1" t="n">
        <v>45998</v>
      </c>
      <c r="D715" t="inlineStr">
        <is>
          <t>KALMAR LÄN</t>
        </is>
      </c>
      <c r="E715" t="inlineStr">
        <is>
          <t>VIMMERBY</t>
        </is>
      </c>
      <c r="F715" t="inlineStr">
        <is>
          <t>Sveaskog</t>
        </is>
      </c>
      <c r="G715" t="n">
        <v>5.2</v>
      </c>
      <c r="H715" t="n">
        <v>0</v>
      </c>
      <c r="I715" t="n">
        <v>0</v>
      </c>
      <c r="J715" t="n">
        <v>0</v>
      </c>
      <c r="K715" t="n">
        <v>0</v>
      </c>
      <c r="L715" t="n">
        <v>0</v>
      </c>
      <c r="M715" t="n">
        <v>0</v>
      </c>
      <c r="N715" t="n">
        <v>0</v>
      </c>
      <c r="O715" t="n">
        <v>0</v>
      </c>
      <c r="P715" t="n">
        <v>0</v>
      </c>
      <c r="Q715" t="n">
        <v>0</v>
      </c>
      <c r="R715" s="2" t="inlineStr"/>
    </row>
    <row r="716" ht="15" customHeight="1">
      <c r="A716" t="inlineStr">
        <is>
          <t>A 26046-2025</t>
        </is>
      </c>
      <c r="B716" s="1" t="n">
        <v>45804.708125</v>
      </c>
      <c r="C716" s="1" t="n">
        <v>45998</v>
      </c>
      <c r="D716" t="inlineStr">
        <is>
          <t>KALMAR LÄN</t>
        </is>
      </c>
      <c r="E716" t="inlineStr">
        <is>
          <t>VIMMERBY</t>
        </is>
      </c>
      <c r="F716" t="inlineStr">
        <is>
          <t>Sveaskog</t>
        </is>
      </c>
      <c r="G716" t="n">
        <v>5.1</v>
      </c>
      <c r="H716" t="n">
        <v>0</v>
      </c>
      <c r="I716" t="n">
        <v>0</v>
      </c>
      <c r="J716" t="n">
        <v>0</v>
      </c>
      <c r="K716" t="n">
        <v>0</v>
      </c>
      <c r="L716" t="n">
        <v>0</v>
      </c>
      <c r="M716" t="n">
        <v>0</v>
      </c>
      <c r="N716" t="n">
        <v>0</v>
      </c>
      <c r="O716" t="n">
        <v>0</v>
      </c>
      <c r="P716" t="n">
        <v>0</v>
      </c>
      <c r="Q716" t="n">
        <v>0</v>
      </c>
      <c r="R716" s="2" t="inlineStr"/>
    </row>
    <row r="717" ht="15" customHeight="1">
      <c r="A717" t="inlineStr">
        <is>
          <t>A 25792-2025</t>
        </is>
      </c>
      <c r="B717" s="1" t="n">
        <v>45804.39141203704</v>
      </c>
      <c r="C717" s="1" t="n">
        <v>45998</v>
      </c>
      <c r="D717" t="inlineStr">
        <is>
          <t>KALMAR LÄN</t>
        </is>
      </c>
      <c r="E717" t="inlineStr">
        <is>
          <t>VIMMERBY</t>
        </is>
      </c>
      <c r="G717" t="n">
        <v>0.8</v>
      </c>
      <c r="H717" t="n">
        <v>0</v>
      </c>
      <c r="I717" t="n">
        <v>0</v>
      </c>
      <c r="J717" t="n">
        <v>0</v>
      </c>
      <c r="K717" t="n">
        <v>0</v>
      </c>
      <c r="L717" t="n">
        <v>0</v>
      </c>
      <c r="M717" t="n">
        <v>0</v>
      </c>
      <c r="N717" t="n">
        <v>0</v>
      </c>
      <c r="O717" t="n">
        <v>0</v>
      </c>
      <c r="P717" t="n">
        <v>0</v>
      </c>
      <c r="Q717" t="n">
        <v>0</v>
      </c>
      <c r="R717" s="2" t="inlineStr"/>
    </row>
    <row r="718" ht="15" customHeight="1">
      <c r="A718" t="inlineStr">
        <is>
          <t>A 44091-2025</t>
        </is>
      </c>
      <c r="B718" s="1" t="n">
        <v>45915.55950231481</v>
      </c>
      <c r="C718" s="1" t="n">
        <v>45998</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44095-2025</t>
        </is>
      </c>
      <c r="B719" s="1" t="n">
        <v>45915.56430555556</v>
      </c>
      <c r="C719" s="1" t="n">
        <v>45998</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25830-2025</t>
        </is>
      </c>
      <c r="B720" s="1" t="n">
        <v>45804.44519675926</v>
      </c>
      <c r="C720" s="1" t="n">
        <v>45998</v>
      </c>
      <c r="D720" t="inlineStr">
        <is>
          <t>KALMAR LÄN</t>
        </is>
      </c>
      <c r="E720" t="inlineStr">
        <is>
          <t>VIMMERBY</t>
        </is>
      </c>
      <c r="G720" t="n">
        <v>4.9</v>
      </c>
      <c r="H720" t="n">
        <v>0</v>
      </c>
      <c r="I720" t="n">
        <v>0</v>
      </c>
      <c r="J720" t="n">
        <v>0</v>
      </c>
      <c r="K720" t="n">
        <v>0</v>
      </c>
      <c r="L720" t="n">
        <v>0</v>
      </c>
      <c r="M720" t="n">
        <v>0</v>
      </c>
      <c r="N720" t="n">
        <v>0</v>
      </c>
      <c r="O720" t="n">
        <v>0</v>
      </c>
      <c r="P720" t="n">
        <v>0</v>
      </c>
      <c r="Q720" t="n">
        <v>0</v>
      </c>
      <c r="R720" s="2" t="inlineStr"/>
    </row>
    <row r="721" ht="15" customHeight="1">
      <c r="A721" t="inlineStr">
        <is>
          <t>A 26124-2025</t>
        </is>
      </c>
      <c r="B721" s="1" t="n">
        <v>45805.39247685186</v>
      </c>
      <c r="C721" s="1" t="n">
        <v>45998</v>
      </c>
      <c r="D721" t="inlineStr">
        <is>
          <t>KALMAR LÄN</t>
        </is>
      </c>
      <c r="E721" t="inlineStr">
        <is>
          <t>VIMMERBY</t>
        </is>
      </c>
      <c r="G721" t="n">
        <v>6.6</v>
      </c>
      <c r="H721" t="n">
        <v>0</v>
      </c>
      <c r="I721" t="n">
        <v>0</v>
      </c>
      <c r="J721" t="n">
        <v>0</v>
      </c>
      <c r="K721" t="n">
        <v>0</v>
      </c>
      <c r="L721" t="n">
        <v>0</v>
      </c>
      <c r="M721" t="n">
        <v>0</v>
      </c>
      <c r="N721" t="n">
        <v>0</v>
      </c>
      <c r="O721" t="n">
        <v>0</v>
      </c>
      <c r="P721" t="n">
        <v>0</v>
      </c>
      <c r="Q721" t="n">
        <v>0</v>
      </c>
      <c r="R721" s="2" t="inlineStr"/>
    </row>
    <row r="722" ht="15" customHeight="1">
      <c r="A722" t="inlineStr">
        <is>
          <t>A 26254-2025</t>
        </is>
      </c>
      <c r="B722" s="1" t="n">
        <v>45805</v>
      </c>
      <c r="C722" s="1" t="n">
        <v>45998</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26207-2025</t>
        </is>
      </c>
      <c r="B723" s="1" t="n">
        <v>45805.52983796296</v>
      </c>
      <c r="C723" s="1" t="n">
        <v>45998</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44742-2025</t>
        </is>
      </c>
      <c r="B724" s="1" t="n">
        <v>45917.67054398148</v>
      </c>
      <c r="C724" s="1" t="n">
        <v>45998</v>
      </c>
      <c r="D724" t="inlineStr">
        <is>
          <t>KALMAR LÄN</t>
        </is>
      </c>
      <c r="E724" t="inlineStr">
        <is>
          <t>VIMMERBY</t>
        </is>
      </c>
      <c r="G724" t="n">
        <v>4.7</v>
      </c>
      <c r="H724" t="n">
        <v>0</v>
      </c>
      <c r="I724" t="n">
        <v>0</v>
      </c>
      <c r="J724" t="n">
        <v>0</v>
      </c>
      <c r="K724" t="n">
        <v>0</v>
      </c>
      <c r="L724" t="n">
        <v>0</v>
      </c>
      <c r="M724" t="n">
        <v>0</v>
      </c>
      <c r="N724" t="n">
        <v>0</v>
      </c>
      <c r="O724" t="n">
        <v>0</v>
      </c>
      <c r="P724" t="n">
        <v>0</v>
      </c>
      <c r="Q724" t="n">
        <v>0</v>
      </c>
      <c r="R724" s="2" t="inlineStr"/>
    </row>
    <row r="725" ht="15" customHeight="1">
      <c r="A725" t="inlineStr">
        <is>
          <t>A 53397-2025</t>
        </is>
      </c>
      <c r="B725" s="1" t="n">
        <v>45959.55918981481</v>
      </c>
      <c r="C725" s="1" t="n">
        <v>45998</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53413-2025</t>
        </is>
      </c>
      <c r="B726" s="1" t="n">
        <v>45959.5787037037</v>
      </c>
      <c r="C726" s="1" t="n">
        <v>45998</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49871-2025</t>
        </is>
      </c>
      <c r="B727" s="1" t="n">
        <v>45940.54104166666</v>
      </c>
      <c r="C727" s="1" t="n">
        <v>45998</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41896-2025</t>
        </is>
      </c>
      <c r="B728" s="1" t="n">
        <v>45903.38800925926</v>
      </c>
      <c r="C728" s="1" t="n">
        <v>45998</v>
      </c>
      <c r="D728" t="inlineStr">
        <is>
          <t>KALMAR LÄN</t>
        </is>
      </c>
      <c r="E728" t="inlineStr">
        <is>
          <t>VIMMERBY</t>
        </is>
      </c>
      <c r="G728" t="n">
        <v>2.9</v>
      </c>
      <c r="H728" t="n">
        <v>0</v>
      </c>
      <c r="I728" t="n">
        <v>0</v>
      </c>
      <c r="J728" t="n">
        <v>0</v>
      </c>
      <c r="K728" t="n">
        <v>0</v>
      </c>
      <c r="L728" t="n">
        <v>0</v>
      </c>
      <c r="M728" t="n">
        <v>0</v>
      </c>
      <c r="N728" t="n">
        <v>0</v>
      </c>
      <c r="O728" t="n">
        <v>0</v>
      </c>
      <c r="P728" t="n">
        <v>0</v>
      </c>
      <c r="Q728" t="n">
        <v>0</v>
      </c>
      <c r="R728" s="2" t="inlineStr"/>
    </row>
    <row r="729" ht="15" customHeight="1">
      <c r="A729" t="inlineStr">
        <is>
          <t>A 58435-2025</t>
        </is>
      </c>
      <c r="B729" s="1" t="n">
        <v>45985.61501157407</v>
      </c>
      <c r="C729" s="1" t="n">
        <v>45998</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53396-2025</t>
        </is>
      </c>
      <c r="B730" s="1" t="n">
        <v>45959.55577546296</v>
      </c>
      <c r="C730" s="1" t="n">
        <v>45998</v>
      </c>
      <c r="D730" t="inlineStr">
        <is>
          <t>KALMAR LÄN</t>
        </is>
      </c>
      <c r="E730" t="inlineStr">
        <is>
          <t>VIMMERBY</t>
        </is>
      </c>
      <c r="G730" t="n">
        <v>0.6</v>
      </c>
      <c r="H730" t="n">
        <v>0</v>
      </c>
      <c r="I730" t="n">
        <v>0</v>
      </c>
      <c r="J730" t="n">
        <v>0</v>
      </c>
      <c r="K730" t="n">
        <v>0</v>
      </c>
      <c r="L730" t="n">
        <v>0</v>
      </c>
      <c r="M730" t="n">
        <v>0</v>
      </c>
      <c r="N730" t="n">
        <v>0</v>
      </c>
      <c r="O730" t="n">
        <v>0</v>
      </c>
      <c r="P730" t="n">
        <v>0</v>
      </c>
      <c r="Q730" t="n">
        <v>0</v>
      </c>
      <c r="R730" s="2" t="inlineStr"/>
    </row>
    <row r="731" ht="15" customHeight="1">
      <c r="A731" t="inlineStr">
        <is>
          <t>A 53416-2025</t>
        </is>
      </c>
      <c r="B731" s="1" t="n">
        <v>45959.58387731481</v>
      </c>
      <c r="C731" s="1" t="n">
        <v>45998</v>
      </c>
      <c r="D731" t="inlineStr">
        <is>
          <t>KALMAR LÄN</t>
        </is>
      </c>
      <c r="E731" t="inlineStr">
        <is>
          <t>VIMMERBY</t>
        </is>
      </c>
      <c r="G731" t="n">
        <v>4.4</v>
      </c>
      <c r="H731" t="n">
        <v>0</v>
      </c>
      <c r="I731" t="n">
        <v>0</v>
      </c>
      <c r="J731" t="n">
        <v>0</v>
      </c>
      <c r="K731" t="n">
        <v>0</v>
      </c>
      <c r="L731" t="n">
        <v>0</v>
      </c>
      <c r="M731" t="n">
        <v>0</v>
      </c>
      <c r="N731" t="n">
        <v>0</v>
      </c>
      <c r="O731" t="n">
        <v>0</v>
      </c>
      <c r="P731" t="n">
        <v>0</v>
      </c>
      <c r="Q731" t="n">
        <v>0</v>
      </c>
      <c r="R731" s="2" t="inlineStr"/>
    </row>
    <row r="732" ht="15" customHeight="1">
      <c r="A732" t="inlineStr">
        <is>
          <t>A 57728-2025</t>
        </is>
      </c>
      <c r="B732" s="1" t="n">
        <v>45981</v>
      </c>
      <c r="C732" s="1" t="n">
        <v>45998</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58498-2025</t>
        </is>
      </c>
      <c r="B733" s="1" t="n">
        <v>45985.68671296296</v>
      </c>
      <c r="C733" s="1" t="n">
        <v>45998</v>
      </c>
      <c r="D733" t="inlineStr">
        <is>
          <t>KALMAR LÄN</t>
        </is>
      </c>
      <c r="E733" t="inlineStr">
        <is>
          <t>VIMMERBY</t>
        </is>
      </c>
      <c r="G733" t="n">
        <v>2.1</v>
      </c>
      <c r="H733" t="n">
        <v>0</v>
      </c>
      <c r="I733" t="n">
        <v>0</v>
      </c>
      <c r="J733" t="n">
        <v>0</v>
      </c>
      <c r="K733" t="n">
        <v>0</v>
      </c>
      <c r="L733" t="n">
        <v>0</v>
      </c>
      <c r="M733" t="n">
        <v>0</v>
      </c>
      <c r="N733" t="n">
        <v>0</v>
      </c>
      <c r="O733" t="n">
        <v>0</v>
      </c>
      <c r="P733" t="n">
        <v>0</v>
      </c>
      <c r="Q733" t="n">
        <v>0</v>
      </c>
      <c r="R733" s="2" t="inlineStr"/>
    </row>
    <row r="734" ht="15" customHeight="1">
      <c r="A734" t="inlineStr">
        <is>
          <t>A 58501-2025</t>
        </is>
      </c>
      <c r="B734" s="1" t="n">
        <v>45985.69153935185</v>
      </c>
      <c r="C734" s="1" t="n">
        <v>45998</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58500-2025</t>
        </is>
      </c>
      <c r="B735" s="1" t="n">
        <v>45985.69008101852</v>
      </c>
      <c r="C735" s="1" t="n">
        <v>45998</v>
      </c>
      <c r="D735" t="inlineStr">
        <is>
          <t>KALMAR LÄN</t>
        </is>
      </c>
      <c r="E735" t="inlineStr">
        <is>
          <t>VIMMERBY</t>
        </is>
      </c>
      <c r="G735" t="n">
        <v>1.8</v>
      </c>
      <c r="H735" t="n">
        <v>0</v>
      </c>
      <c r="I735" t="n">
        <v>0</v>
      </c>
      <c r="J735" t="n">
        <v>0</v>
      </c>
      <c r="K735" t="n">
        <v>0</v>
      </c>
      <c r="L735" t="n">
        <v>0</v>
      </c>
      <c r="M735" t="n">
        <v>0</v>
      </c>
      <c r="N735" t="n">
        <v>0</v>
      </c>
      <c r="O735" t="n">
        <v>0</v>
      </c>
      <c r="P735" t="n">
        <v>0</v>
      </c>
      <c r="Q735" t="n">
        <v>0</v>
      </c>
      <c r="R735" s="2" t="inlineStr"/>
    </row>
    <row r="736" ht="15" customHeight="1">
      <c r="A736" t="inlineStr">
        <is>
          <t>A 58503-2025</t>
        </is>
      </c>
      <c r="B736" s="1" t="n">
        <v>45985.69509259259</v>
      </c>
      <c r="C736" s="1" t="n">
        <v>45998</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53393-2025</t>
        </is>
      </c>
      <c r="B737" s="1" t="n">
        <v>45959.55284722222</v>
      </c>
      <c r="C737" s="1" t="n">
        <v>45998</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53398-2025</t>
        </is>
      </c>
      <c r="B738" s="1" t="n">
        <v>45959.56247685185</v>
      </c>
      <c r="C738" s="1" t="n">
        <v>45998</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53903-2025</t>
        </is>
      </c>
      <c r="B739" s="1" t="n">
        <v>45961.43738425926</v>
      </c>
      <c r="C739" s="1" t="n">
        <v>45998</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53920-2025</t>
        </is>
      </c>
      <c r="B740" s="1" t="n">
        <v>45961.44951388889</v>
      </c>
      <c r="C740" s="1" t="n">
        <v>45998</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54234-2025</t>
        </is>
      </c>
      <c r="B741" s="1" t="n">
        <v>45964.62486111111</v>
      </c>
      <c r="C741" s="1" t="n">
        <v>45998</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53923-2025</t>
        </is>
      </c>
      <c r="B742" s="1" t="n">
        <v>45961.4569212963</v>
      </c>
      <c r="C742" s="1" t="n">
        <v>45998</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45319-2025</t>
        </is>
      </c>
      <c r="B743" s="1" t="n">
        <v>45921.95611111111</v>
      </c>
      <c r="C743" s="1" t="n">
        <v>45998</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45320-2025</t>
        </is>
      </c>
      <c r="B744" s="1" t="n">
        <v>45921.96395833333</v>
      </c>
      <c r="C744" s="1" t="n">
        <v>45998</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58446-2025</t>
        </is>
      </c>
      <c r="B745" s="1" t="n">
        <v>45985.62168981481</v>
      </c>
      <c r="C745" s="1" t="n">
        <v>45998</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54236-2025</t>
        </is>
      </c>
      <c r="B746" s="1" t="n">
        <v>45964.62671296296</v>
      </c>
      <c r="C746" s="1" t="n">
        <v>45998</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45998</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53927-2025</t>
        </is>
      </c>
      <c r="B748" s="1" t="n">
        <v>45961.46740740741</v>
      </c>
      <c r="C748" s="1" t="n">
        <v>45998</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50324-2025</t>
        </is>
      </c>
      <c r="B749" s="1" t="n">
        <v>45944.45962962963</v>
      </c>
      <c r="C749" s="1" t="n">
        <v>45998</v>
      </c>
      <c r="D749" t="inlineStr">
        <is>
          <t>KALMAR LÄN</t>
        </is>
      </c>
      <c r="E749" t="inlineStr">
        <is>
          <t>VIMMERBY</t>
        </is>
      </c>
      <c r="G749" t="n">
        <v>2.1</v>
      </c>
      <c r="H749" t="n">
        <v>0</v>
      </c>
      <c r="I749" t="n">
        <v>0</v>
      </c>
      <c r="J749" t="n">
        <v>0</v>
      </c>
      <c r="K749" t="n">
        <v>0</v>
      </c>
      <c r="L749" t="n">
        <v>0</v>
      </c>
      <c r="M749" t="n">
        <v>0</v>
      </c>
      <c r="N749" t="n">
        <v>0</v>
      </c>
      <c r="O749" t="n">
        <v>0</v>
      </c>
      <c r="P749" t="n">
        <v>0</v>
      </c>
      <c r="Q749" t="n">
        <v>0</v>
      </c>
      <c r="R749" s="2" t="inlineStr"/>
    </row>
    <row r="750" ht="15" customHeight="1">
      <c r="A750" t="inlineStr">
        <is>
          <t>A 45114-2025</t>
        </is>
      </c>
      <c r="B750" s="1" t="n">
        <v>45919.42387731482</v>
      </c>
      <c r="C750" s="1" t="n">
        <v>45998</v>
      </c>
      <c r="D750" t="inlineStr">
        <is>
          <t>KALMAR LÄN</t>
        </is>
      </c>
      <c r="E750" t="inlineStr">
        <is>
          <t>VIMMERBY</t>
        </is>
      </c>
      <c r="G750" t="n">
        <v>2.7</v>
      </c>
      <c r="H750" t="n">
        <v>0</v>
      </c>
      <c r="I750" t="n">
        <v>0</v>
      </c>
      <c r="J750" t="n">
        <v>0</v>
      </c>
      <c r="K750" t="n">
        <v>0</v>
      </c>
      <c r="L750" t="n">
        <v>0</v>
      </c>
      <c r="M750" t="n">
        <v>0</v>
      </c>
      <c r="N750" t="n">
        <v>0</v>
      </c>
      <c r="O750" t="n">
        <v>0</v>
      </c>
      <c r="P750" t="n">
        <v>0</v>
      </c>
      <c r="Q750" t="n">
        <v>0</v>
      </c>
      <c r="R750" s="2" t="inlineStr"/>
    </row>
    <row r="751" ht="15" customHeight="1">
      <c r="A751" t="inlineStr">
        <is>
          <t>A 53933-2025</t>
        </is>
      </c>
      <c r="B751" s="1" t="n">
        <v>45961.47650462963</v>
      </c>
      <c r="C751" s="1" t="n">
        <v>45998</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58442-2025</t>
        </is>
      </c>
      <c r="B752" s="1" t="n">
        <v>45985.61635416667</v>
      </c>
      <c r="C752" s="1" t="n">
        <v>45998</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46118-2025</t>
        </is>
      </c>
      <c r="B753" s="1" t="n">
        <v>45924.57697916667</v>
      </c>
      <c r="C753" s="1" t="n">
        <v>45998</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58841-2025</t>
        </is>
      </c>
      <c r="B754" s="1" t="n">
        <v>45987.36275462963</v>
      </c>
      <c r="C754" s="1" t="n">
        <v>45998</v>
      </c>
      <c r="D754" t="inlineStr">
        <is>
          <t>KALMAR LÄN</t>
        </is>
      </c>
      <c r="E754" t="inlineStr">
        <is>
          <t>VIMMERBY</t>
        </is>
      </c>
      <c r="G754" t="n">
        <v>3.5</v>
      </c>
      <c r="H754" t="n">
        <v>0</v>
      </c>
      <c r="I754" t="n">
        <v>0</v>
      </c>
      <c r="J754" t="n">
        <v>0</v>
      </c>
      <c r="K754" t="n">
        <v>0</v>
      </c>
      <c r="L754" t="n">
        <v>0</v>
      </c>
      <c r="M754" t="n">
        <v>0</v>
      </c>
      <c r="N754" t="n">
        <v>0</v>
      </c>
      <c r="O754" t="n">
        <v>0</v>
      </c>
      <c r="P754" t="n">
        <v>0</v>
      </c>
      <c r="Q754" t="n">
        <v>0</v>
      </c>
      <c r="R754" s="2" t="inlineStr"/>
    </row>
    <row r="755" ht="15" customHeight="1">
      <c r="A755" t="inlineStr">
        <is>
          <t>A 54737-2025</t>
        </is>
      </c>
      <c r="B755" s="1" t="n">
        <v>45966.56826388889</v>
      </c>
      <c r="C755" s="1" t="n">
        <v>45998</v>
      </c>
      <c r="D755" t="inlineStr">
        <is>
          <t>KALMAR LÄN</t>
        </is>
      </c>
      <c r="E755" t="inlineStr">
        <is>
          <t>VIMMERBY</t>
        </is>
      </c>
      <c r="G755" t="n">
        <v>2.1</v>
      </c>
      <c r="H755" t="n">
        <v>0</v>
      </c>
      <c r="I755" t="n">
        <v>0</v>
      </c>
      <c r="J755" t="n">
        <v>0</v>
      </c>
      <c r="K755" t="n">
        <v>0</v>
      </c>
      <c r="L755" t="n">
        <v>0</v>
      </c>
      <c r="M755" t="n">
        <v>0</v>
      </c>
      <c r="N755" t="n">
        <v>0</v>
      </c>
      <c r="O755" t="n">
        <v>0</v>
      </c>
      <c r="P755" t="n">
        <v>0</v>
      </c>
      <c r="Q755" t="n">
        <v>0</v>
      </c>
      <c r="R755" s="2" t="inlineStr"/>
    </row>
    <row r="756" ht="15" customHeight="1">
      <c r="A756" t="inlineStr">
        <is>
          <t>A 28290-2025</t>
        </is>
      </c>
      <c r="B756" s="1" t="n">
        <v>45818.59261574074</v>
      </c>
      <c r="C756" s="1" t="n">
        <v>45998</v>
      </c>
      <c r="D756" t="inlineStr">
        <is>
          <t>KALMAR LÄN</t>
        </is>
      </c>
      <c r="E756" t="inlineStr">
        <is>
          <t>VIMMERBY</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28280-2025</t>
        </is>
      </c>
      <c r="B757" s="1" t="n">
        <v>45818.5862037037</v>
      </c>
      <c r="C757" s="1" t="n">
        <v>45998</v>
      </c>
      <c r="D757" t="inlineStr">
        <is>
          <t>KALMAR LÄN</t>
        </is>
      </c>
      <c r="E757" t="inlineStr">
        <is>
          <t>VIMMERBY</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28286-2025</t>
        </is>
      </c>
      <c r="B758" s="1" t="n">
        <v>45818.58993055556</v>
      </c>
      <c r="C758" s="1" t="n">
        <v>45998</v>
      </c>
      <c r="D758" t="inlineStr">
        <is>
          <t>KALMAR LÄN</t>
        </is>
      </c>
      <c r="E758" t="inlineStr">
        <is>
          <t>VIMMERBY</t>
        </is>
      </c>
      <c r="F758" t="inlineStr">
        <is>
          <t>Sveaskog</t>
        </is>
      </c>
      <c r="G758" t="n">
        <v>8</v>
      </c>
      <c r="H758" t="n">
        <v>0</v>
      </c>
      <c r="I758" t="n">
        <v>0</v>
      </c>
      <c r="J758" t="n">
        <v>0</v>
      </c>
      <c r="K758" t="n">
        <v>0</v>
      </c>
      <c r="L758" t="n">
        <v>0</v>
      </c>
      <c r="M758" t="n">
        <v>0</v>
      </c>
      <c r="N758" t="n">
        <v>0</v>
      </c>
      <c r="O758" t="n">
        <v>0</v>
      </c>
      <c r="P758" t="n">
        <v>0</v>
      </c>
      <c r="Q758" t="n">
        <v>0</v>
      </c>
      <c r="R758" s="2" t="inlineStr"/>
    </row>
    <row r="759" ht="15" customHeight="1">
      <c r="A759" t="inlineStr">
        <is>
          <t>A 59039-2025</t>
        </is>
      </c>
      <c r="B759" s="1" t="n">
        <v>45988.36790509259</v>
      </c>
      <c r="C759" s="1" t="n">
        <v>45998</v>
      </c>
      <c r="D759" t="inlineStr">
        <is>
          <t>KALMAR LÄN</t>
        </is>
      </c>
      <c r="E759" t="inlineStr">
        <is>
          <t>VIMMERBY</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54813-2025</t>
        </is>
      </c>
      <c r="B760" s="1" t="n">
        <v>45966.64881944445</v>
      </c>
      <c r="C760" s="1" t="n">
        <v>45998</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58858-2025</t>
        </is>
      </c>
      <c r="B761" s="1" t="n">
        <v>45987.4243287037</v>
      </c>
      <c r="C761" s="1" t="n">
        <v>45998</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28282-2025</t>
        </is>
      </c>
      <c r="B762" s="1" t="n">
        <v>45818.58769675926</v>
      </c>
      <c r="C762" s="1" t="n">
        <v>45998</v>
      </c>
      <c r="D762" t="inlineStr">
        <is>
          <t>KALMAR LÄN</t>
        </is>
      </c>
      <c r="E762" t="inlineStr">
        <is>
          <t>VIMMERBY</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28294-2025</t>
        </is>
      </c>
      <c r="B763" s="1" t="n">
        <v>45818.595625</v>
      </c>
      <c r="C763" s="1" t="n">
        <v>45998</v>
      </c>
      <c r="D763" t="inlineStr">
        <is>
          <t>KALMAR LÄN</t>
        </is>
      </c>
      <c r="E763" t="inlineStr">
        <is>
          <t>VIMMERBY</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58997-2025</t>
        </is>
      </c>
      <c r="B764" s="1" t="n">
        <v>45987</v>
      </c>
      <c r="C764" s="1" t="n">
        <v>45998</v>
      </c>
      <c r="D764" t="inlineStr">
        <is>
          <t>KALMAR LÄN</t>
        </is>
      </c>
      <c r="E764" t="inlineStr">
        <is>
          <t>VIMMERBY</t>
        </is>
      </c>
      <c r="G764" t="n">
        <v>7.9</v>
      </c>
      <c r="H764" t="n">
        <v>0</v>
      </c>
      <c r="I764" t="n">
        <v>0</v>
      </c>
      <c r="J764" t="n">
        <v>0</v>
      </c>
      <c r="K764" t="n">
        <v>0</v>
      </c>
      <c r="L764" t="n">
        <v>0</v>
      </c>
      <c r="M764" t="n">
        <v>0</v>
      </c>
      <c r="N764" t="n">
        <v>0</v>
      </c>
      <c r="O764" t="n">
        <v>0</v>
      </c>
      <c r="P764" t="n">
        <v>0</v>
      </c>
      <c r="Q764" t="n">
        <v>0</v>
      </c>
      <c r="R764" s="2" t="inlineStr"/>
    </row>
    <row r="765" ht="15" customHeight="1">
      <c r="A765" t="inlineStr">
        <is>
          <t>A 59037-2025</t>
        </is>
      </c>
      <c r="B765" s="1" t="n">
        <v>45988.36508101852</v>
      </c>
      <c r="C765" s="1" t="n">
        <v>45998</v>
      </c>
      <c r="D765" t="inlineStr">
        <is>
          <t>KALMAR LÄN</t>
        </is>
      </c>
      <c r="E765" t="inlineStr">
        <is>
          <t>VIMMERBY</t>
        </is>
      </c>
      <c r="F765" t="inlineStr">
        <is>
          <t>Sveaskog</t>
        </is>
      </c>
      <c r="G765" t="n">
        <v>4</v>
      </c>
      <c r="H765" t="n">
        <v>0</v>
      </c>
      <c r="I765" t="n">
        <v>0</v>
      </c>
      <c r="J765" t="n">
        <v>0</v>
      </c>
      <c r="K765" t="n">
        <v>0</v>
      </c>
      <c r="L765" t="n">
        <v>0</v>
      </c>
      <c r="M765" t="n">
        <v>0</v>
      </c>
      <c r="N765" t="n">
        <v>0</v>
      </c>
      <c r="O765" t="n">
        <v>0</v>
      </c>
      <c r="P765" t="n">
        <v>0</v>
      </c>
      <c r="Q765" t="n">
        <v>0</v>
      </c>
      <c r="R765" s="2" t="inlineStr"/>
    </row>
    <row r="766" ht="15" customHeight="1">
      <c r="A766" t="inlineStr">
        <is>
          <t>A 59068-2025</t>
        </is>
      </c>
      <c r="B766" s="1" t="n">
        <v>45988.41725694444</v>
      </c>
      <c r="C766" s="1" t="n">
        <v>45998</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50544-2025</t>
        </is>
      </c>
      <c r="B767" s="1" t="n">
        <v>45945.50736111111</v>
      </c>
      <c r="C767" s="1" t="n">
        <v>45998</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53788-2025</t>
        </is>
      </c>
      <c r="B768" s="1" t="n">
        <v>45960</v>
      </c>
      <c r="C768" s="1" t="n">
        <v>45998</v>
      </c>
      <c r="D768" t="inlineStr">
        <is>
          <t>KALMAR LÄN</t>
        </is>
      </c>
      <c r="E768" t="inlineStr">
        <is>
          <t>VIMMERBY</t>
        </is>
      </c>
      <c r="F768" t="inlineStr">
        <is>
          <t>Övriga statliga verk och myndigheter</t>
        </is>
      </c>
      <c r="G768" t="n">
        <v>6.3</v>
      </c>
      <c r="H768" t="n">
        <v>0</v>
      </c>
      <c r="I768" t="n">
        <v>0</v>
      </c>
      <c r="J768" t="n">
        <v>0</v>
      </c>
      <c r="K768" t="n">
        <v>0</v>
      </c>
      <c r="L768" t="n">
        <v>0</v>
      </c>
      <c r="M768" t="n">
        <v>0</v>
      </c>
      <c r="N768" t="n">
        <v>0</v>
      </c>
      <c r="O768" t="n">
        <v>0</v>
      </c>
      <c r="P768" t="n">
        <v>0</v>
      </c>
      <c r="Q768" t="n">
        <v>0</v>
      </c>
      <c r="R768" s="2" t="inlineStr"/>
    </row>
    <row r="769" ht="15" customHeight="1">
      <c r="A769" t="inlineStr">
        <is>
          <t>A 28713-2025</t>
        </is>
      </c>
      <c r="B769" s="1" t="n">
        <v>45820.33930555556</v>
      </c>
      <c r="C769" s="1" t="n">
        <v>45998</v>
      </c>
      <c r="D769" t="inlineStr">
        <is>
          <t>KALMAR LÄN</t>
        </is>
      </c>
      <c r="E769" t="inlineStr">
        <is>
          <t>VIMMERBY</t>
        </is>
      </c>
      <c r="G769" t="n">
        <v>2.3</v>
      </c>
      <c r="H769" t="n">
        <v>0</v>
      </c>
      <c r="I769" t="n">
        <v>0</v>
      </c>
      <c r="J769" t="n">
        <v>0</v>
      </c>
      <c r="K769" t="n">
        <v>0</v>
      </c>
      <c r="L769" t="n">
        <v>0</v>
      </c>
      <c r="M769" t="n">
        <v>0</v>
      </c>
      <c r="N769" t="n">
        <v>0</v>
      </c>
      <c r="O769" t="n">
        <v>0</v>
      </c>
      <c r="P769" t="n">
        <v>0</v>
      </c>
      <c r="Q769" t="n">
        <v>0</v>
      </c>
      <c r="R769" s="2" t="inlineStr"/>
    </row>
    <row r="770" ht="15" customHeight="1">
      <c r="A770" t="inlineStr">
        <is>
          <t>A 28712-2025</t>
        </is>
      </c>
      <c r="B770" s="1" t="n">
        <v>45820.33708333333</v>
      </c>
      <c r="C770" s="1" t="n">
        <v>45998</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28714-2025</t>
        </is>
      </c>
      <c r="B771" s="1" t="n">
        <v>45820.34128472222</v>
      </c>
      <c r="C771" s="1" t="n">
        <v>45998</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28620-2025</t>
        </is>
      </c>
      <c r="B772" s="1" t="n">
        <v>45819.61060185185</v>
      </c>
      <c r="C772" s="1" t="n">
        <v>45998</v>
      </c>
      <c r="D772" t="inlineStr">
        <is>
          <t>KALMAR LÄN</t>
        </is>
      </c>
      <c r="E772" t="inlineStr">
        <is>
          <t>VIMMERBY</t>
        </is>
      </c>
      <c r="G772" t="n">
        <v>5.6</v>
      </c>
      <c r="H772" t="n">
        <v>0</v>
      </c>
      <c r="I772" t="n">
        <v>0</v>
      </c>
      <c r="J772" t="n">
        <v>0</v>
      </c>
      <c r="K772" t="n">
        <v>0</v>
      </c>
      <c r="L772" t="n">
        <v>0</v>
      </c>
      <c r="M772" t="n">
        <v>0</v>
      </c>
      <c r="N772" t="n">
        <v>0</v>
      </c>
      <c r="O772" t="n">
        <v>0</v>
      </c>
      <c r="P772" t="n">
        <v>0</v>
      </c>
      <c r="Q772" t="n">
        <v>0</v>
      </c>
      <c r="R772" s="2" t="inlineStr"/>
    </row>
    <row r="773" ht="15" customHeight="1">
      <c r="A773" t="inlineStr">
        <is>
          <t>A 59034-2025</t>
        </is>
      </c>
      <c r="B773" s="1" t="n">
        <v>45988.36243055556</v>
      </c>
      <c r="C773" s="1" t="n">
        <v>45998</v>
      </c>
      <c r="D773" t="inlineStr">
        <is>
          <t>KALMAR LÄN</t>
        </is>
      </c>
      <c r="E773" t="inlineStr">
        <is>
          <t>VIMMERBY</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51062-2025</t>
        </is>
      </c>
      <c r="B774" s="1" t="n">
        <v>45947.44685185186</v>
      </c>
      <c r="C774" s="1" t="n">
        <v>45998</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45854-2025</t>
        </is>
      </c>
      <c r="B775" s="1" t="n">
        <v>45923</v>
      </c>
      <c r="C775" s="1" t="n">
        <v>45998</v>
      </c>
      <c r="D775" t="inlineStr">
        <is>
          <t>KALMAR LÄN</t>
        </is>
      </c>
      <c r="E775" t="inlineStr">
        <is>
          <t>VIMMERBY</t>
        </is>
      </c>
      <c r="G775" t="n">
        <v>2.2</v>
      </c>
      <c r="H775" t="n">
        <v>0</v>
      </c>
      <c r="I775" t="n">
        <v>0</v>
      </c>
      <c r="J775" t="n">
        <v>0</v>
      </c>
      <c r="K775" t="n">
        <v>0</v>
      </c>
      <c r="L775" t="n">
        <v>0</v>
      </c>
      <c r="M775" t="n">
        <v>0</v>
      </c>
      <c r="N775" t="n">
        <v>0</v>
      </c>
      <c r="O775" t="n">
        <v>0</v>
      </c>
      <c r="P775" t="n">
        <v>0</v>
      </c>
      <c r="Q775" t="n">
        <v>0</v>
      </c>
      <c r="R775" s="2" t="inlineStr"/>
    </row>
    <row r="776" ht="15" customHeight="1">
      <c r="A776" t="inlineStr">
        <is>
          <t>A 45855-2025</t>
        </is>
      </c>
      <c r="B776" s="1" t="n">
        <v>45923</v>
      </c>
      <c r="C776" s="1" t="n">
        <v>45998</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29727-2025</t>
        </is>
      </c>
      <c r="B777" s="1" t="n">
        <v>45825.5796875</v>
      </c>
      <c r="C777" s="1" t="n">
        <v>45998</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29737-2025</t>
        </is>
      </c>
      <c r="B778" s="1" t="n">
        <v>45825.58672453704</v>
      </c>
      <c r="C778" s="1" t="n">
        <v>45998</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46361-2025</t>
        </is>
      </c>
      <c r="B779" s="1" t="n">
        <v>45925.49670138889</v>
      </c>
      <c r="C779" s="1" t="n">
        <v>45998</v>
      </c>
      <c r="D779" t="inlineStr">
        <is>
          <t>KALMAR LÄN</t>
        </is>
      </c>
      <c r="E779" t="inlineStr">
        <is>
          <t>VIMMERBY</t>
        </is>
      </c>
      <c r="G779" t="n">
        <v>4.2</v>
      </c>
      <c r="H779" t="n">
        <v>0</v>
      </c>
      <c r="I779" t="n">
        <v>0</v>
      </c>
      <c r="J779" t="n">
        <v>0</v>
      </c>
      <c r="K779" t="n">
        <v>0</v>
      </c>
      <c r="L779" t="n">
        <v>0</v>
      </c>
      <c r="M779" t="n">
        <v>0</v>
      </c>
      <c r="N779" t="n">
        <v>0</v>
      </c>
      <c r="O779" t="n">
        <v>0</v>
      </c>
      <c r="P779" t="n">
        <v>0</v>
      </c>
      <c r="Q779" t="n">
        <v>0</v>
      </c>
      <c r="R779" s="2" t="inlineStr"/>
    </row>
    <row r="780" ht="15" customHeight="1">
      <c r="A780" t="inlineStr">
        <is>
          <t>A 46365-2025</t>
        </is>
      </c>
      <c r="B780" s="1" t="n">
        <v>45925.50075231482</v>
      </c>
      <c r="C780" s="1" t="n">
        <v>45998</v>
      </c>
      <c r="D780" t="inlineStr">
        <is>
          <t>KALMAR LÄN</t>
        </is>
      </c>
      <c r="E780" t="inlineStr">
        <is>
          <t>VIMMERBY</t>
        </is>
      </c>
      <c r="G780" t="n">
        <v>5.6</v>
      </c>
      <c r="H780" t="n">
        <v>0</v>
      </c>
      <c r="I780" t="n">
        <v>0</v>
      </c>
      <c r="J780" t="n">
        <v>0</v>
      </c>
      <c r="K780" t="n">
        <v>0</v>
      </c>
      <c r="L780" t="n">
        <v>0</v>
      </c>
      <c r="M780" t="n">
        <v>0</v>
      </c>
      <c r="N780" t="n">
        <v>0</v>
      </c>
      <c r="O780" t="n">
        <v>0</v>
      </c>
      <c r="P780" t="n">
        <v>0</v>
      </c>
      <c r="Q780" t="n">
        <v>0</v>
      </c>
      <c r="R780" s="2" t="inlineStr"/>
    </row>
    <row r="781" ht="15" customHeight="1">
      <c r="A781" t="inlineStr">
        <is>
          <t>A 59579-2025</t>
        </is>
      </c>
      <c r="B781" s="1" t="n">
        <v>45992.30569444445</v>
      </c>
      <c r="C781" s="1" t="n">
        <v>45998</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45856-2025</t>
        </is>
      </c>
      <c r="B782" s="1" t="n">
        <v>45923</v>
      </c>
      <c r="C782" s="1" t="n">
        <v>45998</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30293-2025</t>
        </is>
      </c>
      <c r="B783" s="1" t="n">
        <v>45827</v>
      </c>
      <c r="C783" s="1" t="n">
        <v>45998</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30290-2025</t>
        </is>
      </c>
      <c r="B784" s="1" t="n">
        <v>45827</v>
      </c>
      <c r="C784" s="1" t="n">
        <v>45998</v>
      </c>
      <c r="D784" t="inlineStr">
        <is>
          <t>KALMAR LÄN</t>
        </is>
      </c>
      <c r="E784" t="inlineStr">
        <is>
          <t>VIMMERBY</t>
        </is>
      </c>
      <c r="G784" t="n">
        <v>1</v>
      </c>
      <c r="H784" t="n">
        <v>0</v>
      </c>
      <c r="I784" t="n">
        <v>0</v>
      </c>
      <c r="J784" t="n">
        <v>0</v>
      </c>
      <c r="K784" t="n">
        <v>0</v>
      </c>
      <c r="L784" t="n">
        <v>0</v>
      </c>
      <c r="M784" t="n">
        <v>0</v>
      </c>
      <c r="N784" t="n">
        <v>0</v>
      </c>
      <c r="O784" t="n">
        <v>0</v>
      </c>
      <c r="P784" t="n">
        <v>0</v>
      </c>
      <c r="Q784" t="n">
        <v>0</v>
      </c>
      <c r="R784" s="2" t="inlineStr"/>
    </row>
    <row r="785" ht="15" customHeight="1">
      <c r="A785" t="inlineStr">
        <is>
          <t>A 30850-2025</t>
        </is>
      </c>
      <c r="B785" s="1" t="n">
        <v>45831</v>
      </c>
      <c r="C785" s="1" t="n">
        <v>45998</v>
      </c>
      <c r="D785" t="inlineStr">
        <is>
          <t>KALMAR LÄN</t>
        </is>
      </c>
      <c r="E785" t="inlineStr">
        <is>
          <t>VIMMERBY</t>
        </is>
      </c>
      <c r="G785" t="n">
        <v>2.7</v>
      </c>
      <c r="H785" t="n">
        <v>0</v>
      </c>
      <c r="I785" t="n">
        <v>0</v>
      </c>
      <c r="J785" t="n">
        <v>0</v>
      </c>
      <c r="K785" t="n">
        <v>0</v>
      </c>
      <c r="L785" t="n">
        <v>0</v>
      </c>
      <c r="M785" t="n">
        <v>0</v>
      </c>
      <c r="N785" t="n">
        <v>0</v>
      </c>
      <c r="O785" t="n">
        <v>0</v>
      </c>
      <c r="P785" t="n">
        <v>0</v>
      </c>
      <c r="Q785" t="n">
        <v>0</v>
      </c>
      <c r="R785" s="2" t="inlineStr"/>
    </row>
    <row r="786" ht="15" customHeight="1">
      <c r="A786" t="inlineStr">
        <is>
          <t>A 51993-2025</t>
        </is>
      </c>
      <c r="B786" s="1" t="n">
        <v>45952.58194444444</v>
      </c>
      <c r="C786" s="1" t="n">
        <v>45998</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30882-2025</t>
        </is>
      </c>
      <c r="B787" s="1" t="n">
        <v>45832.34540509259</v>
      </c>
      <c r="C787" s="1" t="n">
        <v>45998</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30971-2025</t>
        </is>
      </c>
      <c r="B788" s="1" t="n">
        <v>45832.46146990741</v>
      </c>
      <c r="C788" s="1" t="n">
        <v>45998</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60180-2025</t>
        </is>
      </c>
      <c r="B789" s="1" t="n">
        <v>45994.46428240741</v>
      </c>
      <c r="C789" s="1" t="n">
        <v>45998</v>
      </c>
      <c r="D789" t="inlineStr">
        <is>
          <t>KALMAR LÄN</t>
        </is>
      </c>
      <c r="E789" t="inlineStr">
        <is>
          <t>VIMMERBY</t>
        </is>
      </c>
      <c r="G789" t="n">
        <v>6.8</v>
      </c>
      <c r="H789" t="n">
        <v>0</v>
      </c>
      <c r="I789" t="n">
        <v>0</v>
      </c>
      <c r="J789" t="n">
        <v>0</v>
      </c>
      <c r="K789" t="n">
        <v>0</v>
      </c>
      <c r="L789" t="n">
        <v>0</v>
      </c>
      <c r="M789" t="n">
        <v>0</v>
      </c>
      <c r="N789" t="n">
        <v>0</v>
      </c>
      <c r="O789" t="n">
        <v>0</v>
      </c>
      <c r="P789" t="n">
        <v>0</v>
      </c>
      <c r="Q789" t="n">
        <v>0</v>
      </c>
      <c r="R789" s="2" t="inlineStr"/>
    </row>
    <row r="790" ht="15" customHeight="1">
      <c r="A790" t="inlineStr">
        <is>
          <t>A 31552-2025</t>
        </is>
      </c>
      <c r="B790" s="1" t="n">
        <v>45833.64563657407</v>
      </c>
      <c r="C790" s="1" t="n">
        <v>45998</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31555-2025</t>
        </is>
      </c>
      <c r="B791" s="1" t="n">
        <v>45833.64814814815</v>
      </c>
      <c r="C791" s="1" t="n">
        <v>45998</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31870-2025</t>
        </is>
      </c>
      <c r="B792" s="1" t="n">
        <v>45834.64667824074</v>
      </c>
      <c r="C792" s="1" t="n">
        <v>45998</v>
      </c>
      <c r="D792" t="inlineStr">
        <is>
          <t>KALMAR LÄN</t>
        </is>
      </c>
      <c r="E792" t="inlineStr">
        <is>
          <t>VIMMERBY</t>
        </is>
      </c>
      <c r="F792" t="inlineStr">
        <is>
          <t>Sveaskog</t>
        </is>
      </c>
      <c r="G792" t="n">
        <v>3.5</v>
      </c>
      <c r="H792" t="n">
        <v>0</v>
      </c>
      <c r="I792" t="n">
        <v>0</v>
      </c>
      <c r="J792" t="n">
        <v>0</v>
      </c>
      <c r="K792" t="n">
        <v>0</v>
      </c>
      <c r="L792" t="n">
        <v>0</v>
      </c>
      <c r="M792" t="n">
        <v>0</v>
      </c>
      <c r="N792" t="n">
        <v>0</v>
      </c>
      <c r="O792" t="n">
        <v>0</v>
      </c>
      <c r="P792" t="n">
        <v>0</v>
      </c>
      <c r="Q792" t="n">
        <v>0</v>
      </c>
      <c r="R792" s="2" t="inlineStr"/>
    </row>
    <row r="793" ht="15" customHeight="1">
      <c r="A793" t="inlineStr">
        <is>
          <t>A 51990-2025</t>
        </is>
      </c>
      <c r="B793" s="1" t="n">
        <v>45952.58061342593</v>
      </c>
      <c r="C793" s="1" t="n">
        <v>45998</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8559-2025</t>
        </is>
      </c>
      <c r="B794" s="1" t="n">
        <v>45709.62280092593</v>
      </c>
      <c r="C794" s="1" t="n">
        <v>45998</v>
      </c>
      <c r="D794" t="inlineStr">
        <is>
          <t>KALMAR LÄN</t>
        </is>
      </c>
      <c r="E794" t="inlineStr">
        <is>
          <t>VIMMERBY</t>
        </is>
      </c>
      <c r="G794" t="n">
        <v>8.9</v>
      </c>
      <c r="H794" t="n">
        <v>0</v>
      </c>
      <c r="I794" t="n">
        <v>0</v>
      </c>
      <c r="J794" t="n">
        <v>0</v>
      </c>
      <c r="K794" t="n">
        <v>0</v>
      </c>
      <c r="L794" t="n">
        <v>0</v>
      </c>
      <c r="M794" t="n">
        <v>0</v>
      </c>
      <c r="N794" t="n">
        <v>0</v>
      </c>
      <c r="O794" t="n">
        <v>0</v>
      </c>
      <c r="P794" t="n">
        <v>0</v>
      </c>
      <c r="Q794" t="n">
        <v>0</v>
      </c>
      <c r="R794" s="2" t="inlineStr"/>
    </row>
    <row r="795" ht="15" customHeight="1">
      <c r="A795" t="inlineStr">
        <is>
          <t>A 31872-2025</t>
        </is>
      </c>
      <c r="B795" s="1" t="n">
        <v>45834.65040509259</v>
      </c>
      <c r="C795" s="1" t="n">
        <v>45998</v>
      </c>
      <c r="D795" t="inlineStr">
        <is>
          <t>KALMAR LÄN</t>
        </is>
      </c>
      <c r="E795" t="inlineStr">
        <is>
          <t>VIMMERBY</t>
        </is>
      </c>
      <c r="F795" t="inlineStr">
        <is>
          <t>Sveaskog</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31876-2025</t>
        </is>
      </c>
      <c r="B796" s="1" t="n">
        <v>45834.65197916667</v>
      </c>
      <c r="C796" s="1" t="n">
        <v>45998</v>
      </c>
      <c r="D796" t="inlineStr">
        <is>
          <t>KALMAR LÄN</t>
        </is>
      </c>
      <c r="E796" t="inlineStr">
        <is>
          <t>VIMMERBY</t>
        </is>
      </c>
      <c r="F796" t="inlineStr">
        <is>
          <t>Sveaskog</t>
        </is>
      </c>
      <c r="G796" t="n">
        <v>3.3</v>
      </c>
      <c r="H796" t="n">
        <v>0</v>
      </c>
      <c r="I796" t="n">
        <v>0</v>
      </c>
      <c r="J796" t="n">
        <v>0</v>
      </c>
      <c r="K796" t="n">
        <v>0</v>
      </c>
      <c r="L796" t="n">
        <v>0</v>
      </c>
      <c r="M796" t="n">
        <v>0</v>
      </c>
      <c r="N796" t="n">
        <v>0</v>
      </c>
      <c r="O796" t="n">
        <v>0</v>
      </c>
      <c r="P796" t="n">
        <v>0</v>
      </c>
      <c r="Q796" t="n">
        <v>0</v>
      </c>
      <c r="R796" s="2" t="inlineStr"/>
    </row>
    <row r="797" ht="15" customHeight="1">
      <c r="A797" t="inlineStr">
        <is>
          <t>A 52473-2025</t>
        </is>
      </c>
      <c r="B797" s="1" t="n">
        <v>45954.45947916667</v>
      </c>
      <c r="C797" s="1" t="n">
        <v>45998</v>
      </c>
      <c r="D797" t="inlineStr">
        <is>
          <t>KALMAR LÄN</t>
        </is>
      </c>
      <c r="E797" t="inlineStr">
        <is>
          <t>VIMMERBY</t>
        </is>
      </c>
      <c r="G797" t="n">
        <v>2.4</v>
      </c>
      <c r="H797" t="n">
        <v>0</v>
      </c>
      <c r="I797" t="n">
        <v>0</v>
      </c>
      <c r="J797" t="n">
        <v>0</v>
      </c>
      <c r="K797" t="n">
        <v>0</v>
      </c>
      <c r="L797" t="n">
        <v>0</v>
      </c>
      <c r="M797" t="n">
        <v>0</v>
      </c>
      <c r="N797" t="n">
        <v>0</v>
      </c>
      <c r="O797" t="n">
        <v>0</v>
      </c>
      <c r="P797" t="n">
        <v>0</v>
      </c>
      <c r="Q797" t="n">
        <v>0</v>
      </c>
      <c r="R797" s="2" t="inlineStr"/>
    </row>
    <row r="798" ht="15" customHeight="1">
      <c r="A798" t="inlineStr">
        <is>
          <t>A 52480-2025</t>
        </is>
      </c>
      <c r="B798" s="1" t="n">
        <v>45954.47172453703</v>
      </c>
      <c r="C798" s="1" t="n">
        <v>45998</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31551-2025</t>
        </is>
      </c>
      <c r="B799" s="1" t="n">
        <v>45833.64237268519</v>
      </c>
      <c r="C799" s="1" t="n">
        <v>45998</v>
      </c>
      <c r="D799" t="inlineStr">
        <is>
          <t>KALMAR LÄN</t>
        </is>
      </c>
      <c r="E799" t="inlineStr">
        <is>
          <t>VIMMERBY</t>
        </is>
      </c>
      <c r="G799" t="n">
        <v>1.9</v>
      </c>
      <c r="H799" t="n">
        <v>0</v>
      </c>
      <c r="I799" t="n">
        <v>0</v>
      </c>
      <c r="J799" t="n">
        <v>0</v>
      </c>
      <c r="K799" t="n">
        <v>0</v>
      </c>
      <c r="L799" t="n">
        <v>0</v>
      </c>
      <c r="M799" t="n">
        <v>0</v>
      </c>
      <c r="N799" t="n">
        <v>0</v>
      </c>
      <c r="O799" t="n">
        <v>0</v>
      </c>
      <c r="P799" t="n">
        <v>0</v>
      </c>
      <c r="Q799" t="n">
        <v>0</v>
      </c>
      <c r="R799" s="2" t="inlineStr"/>
    </row>
    <row r="800" ht="15" customHeight="1">
      <c r="A800" t="inlineStr">
        <is>
          <t>A 31987-2025</t>
        </is>
      </c>
      <c r="B800" s="1" t="n">
        <v>45835.36229166666</v>
      </c>
      <c r="C800" s="1" t="n">
        <v>45998</v>
      </c>
      <c r="D800" t="inlineStr">
        <is>
          <t>KALMAR LÄN</t>
        </is>
      </c>
      <c r="E800" t="inlineStr">
        <is>
          <t>VIMMERBY</t>
        </is>
      </c>
      <c r="F800" t="inlineStr">
        <is>
          <t>Kyrkan</t>
        </is>
      </c>
      <c r="G800" t="n">
        <v>1.2</v>
      </c>
      <c r="H800" t="n">
        <v>0</v>
      </c>
      <c r="I800" t="n">
        <v>0</v>
      </c>
      <c r="J800" t="n">
        <v>0</v>
      </c>
      <c r="K800" t="n">
        <v>0</v>
      </c>
      <c r="L800" t="n">
        <v>0</v>
      </c>
      <c r="M800" t="n">
        <v>0</v>
      </c>
      <c r="N800" t="n">
        <v>0</v>
      </c>
      <c r="O800" t="n">
        <v>0</v>
      </c>
      <c r="P800" t="n">
        <v>0</v>
      </c>
      <c r="Q800" t="n">
        <v>0</v>
      </c>
      <c r="R800" s="2" t="inlineStr"/>
    </row>
    <row r="801" ht="15" customHeight="1">
      <c r="A801" t="inlineStr">
        <is>
          <t>A 32120-2025</t>
        </is>
      </c>
      <c r="B801" s="1" t="n">
        <v>45835.4924537037</v>
      </c>
      <c r="C801" s="1" t="n">
        <v>45998</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32116-2025</t>
        </is>
      </c>
      <c r="B802" s="1" t="n">
        <v>45835.48862268519</v>
      </c>
      <c r="C802" s="1" t="n">
        <v>45998</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52466-2025</t>
        </is>
      </c>
      <c r="B803" s="1" t="n">
        <v>45954.44707175926</v>
      </c>
      <c r="C803" s="1" t="n">
        <v>45998</v>
      </c>
      <c r="D803" t="inlineStr">
        <is>
          <t>KALMAR LÄN</t>
        </is>
      </c>
      <c r="E803" t="inlineStr">
        <is>
          <t>VIMMERBY</t>
        </is>
      </c>
      <c r="G803" t="n">
        <v>0.6</v>
      </c>
      <c r="H803" t="n">
        <v>0</v>
      </c>
      <c r="I803" t="n">
        <v>0</v>
      </c>
      <c r="J803" t="n">
        <v>0</v>
      </c>
      <c r="K803" t="n">
        <v>0</v>
      </c>
      <c r="L803" t="n">
        <v>0</v>
      </c>
      <c r="M803" t="n">
        <v>0</v>
      </c>
      <c r="N803" t="n">
        <v>0</v>
      </c>
      <c r="O803" t="n">
        <v>0</v>
      </c>
      <c r="P803" t="n">
        <v>0</v>
      </c>
      <c r="Q803" t="n">
        <v>0</v>
      </c>
      <c r="R803" s="2" t="inlineStr"/>
    </row>
    <row r="804" ht="15" customHeight="1">
      <c r="A804" t="inlineStr">
        <is>
          <t>A 60297-2025</t>
        </is>
      </c>
      <c r="B804" s="1" t="n">
        <v>45994</v>
      </c>
      <c r="C804" s="1" t="n">
        <v>45998</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32380-2025</t>
        </is>
      </c>
      <c r="B805" s="1" t="n">
        <v>45837.77701388889</v>
      </c>
      <c r="C805" s="1" t="n">
        <v>45998</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32109-2025</t>
        </is>
      </c>
      <c r="B806" s="1" t="n">
        <v>45835.48267361111</v>
      </c>
      <c r="C806" s="1" t="n">
        <v>45998</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32113-2025</t>
        </is>
      </c>
      <c r="B807" s="1" t="n">
        <v>45835.48445601852</v>
      </c>
      <c r="C807" s="1" t="n">
        <v>45998</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52516-2025</t>
        </is>
      </c>
      <c r="B808" s="1" t="n">
        <v>45954.51412037037</v>
      </c>
      <c r="C808" s="1" t="n">
        <v>45998</v>
      </c>
      <c r="D808" t="inlineStr">
        <is>
          <t>KALMAR LÄN</t>
        </is>
      </c>
      <c r="E808" t="inlineStr">
        <is>
          <t>VIMMERBY</t>
        </is>
      </c>
      <c r="G808" t="n">
        <v>2.8</v>
      </c>
      <c r="H808" t="n">
        <v>0</v>
      </c>
      <c r="I808" t="n">
        <v>0</v>
      </c>
      <c r="J808" t="n">
        <v>0</v>
      </c>
      <c r="K808" t="n">
        <v>0</v>
      </c>
      <c r="L808" t="n">
        <v>0</v>
      </c>
      <c r="M808" t="n">
        <v>0</v>
      </c>
      <c r="N808" t="n">
        <v>0</v>
      </c>
      <c r="O808" t="n">
        <v>0</v>
      </c>
      <c r="P808" t="n">
        <v>0</v>
      </c>
      <c r="Q808" t="n">
        <v>0</v>
      </c>
      <c r="R808" s="2" t="inlineStr"/>
    </row>
    <row r="809" ht="15" customHeight="1">
      <c r="A809" t="inlineStr">
        <is>
          <t>A 32077-2025</t>
        </is>
      </c>
      <c r="B809" s="1" t="n">
        <v>45835.45099537037</v>
      </c>
      <c r="C809" s="1" t="n">
        <v>45998</v>
      </c>
      <c r="D809" t="inlineStr">
        <is>
          <t>KALMAR LÄN</t>
        </is>
      </c>
      <c r="E809" t="inlineStr">
        <is>
          <t>VIMMERBY</t>
        </is>
      </c>
      <c r="G809" t="n">
        <v>1.8</v>
      </c>
      <c r="H809" t="n">
        <v>0</v>
      </c>
      <c r="I809" t="n">
        <v>0</v>
      </c>
      <c r="J809" t="n">
        <v>0</v>
      </c>
      <c r="K809" t="n">
        <v>0</v>
      </c>
      <c r="L809" t="n">
        <v>0</v>
      </c>
      <c r="M809" t="n">
        <v>0</v>
      </c>
      <c r="N809" t="n">
        <v>0</v>
      </c>
      <c r="O809" t="n">
        <v>0</v>
      </c>
      <c r="P809" t="n">
        <v>0</v>
      </c>
      <c r="Q809" t="n">
        <v>0</v>
      </c>
      <c r="R809" s="2" t="inlineStr"/>
    </row>
    <row r="810" ht="15" customHeight="1">
      <c r="A810" t="inlineStr">
        <is>
          <t>A 52465-2025</t>
        </is>
      </c>
      <c r="B810" s="1" t="n">
        <v>45954.44543981482</v>
      </c>
      <c r="C810" s="1" t="n">
        <v>45998</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32064-2025</t>
        </is>
      </c>
      <c r="B811" s="1" t="n">
        <v>45835.44709490741</v>
      </c>
      <c r="C811" s="1" t="n">
        <v>45998</v>
      </c>
      <c r="D811" t="inlineStr">
        <is>
          <t>KALMAR LÄN</t>
        </is>
      </c>
      <c r="E811" t="inlineStr">
        <is>
          <t>VIMMERBY</t>
        </is>
      </c>
      <c r="G811" t="n">
        <v>2.6</v>
      </c>
      <c r="H811" t="n">
        <v>0</v>
      </c>
      <c r="I811" t="n">
        <v>0</v>
      </c>
      <c r="J811" t="n">
        <v>0</v>
      </c>
      <c r="K811" t="n">
        <v>0</v>
      </c>
      <c r="L811" t="n">
        <v>0</v>
      </c>
      <c r="M811" t="n">
        <v>0</v>
      </c>
      <c r="N811" t="n">
        <v>0</v>
      </c>
      <c r="O811" t="n">
        <v>0</v>
      </c>
      <c r="P811" t="n">
        <v>0</v>
      </c>
      <c r="Q811" t="n">
        <v>0</v>
      </c>
      <c r="R811" s="2" t="inlineStr"/>
    </row>
    <row r="812" ht="15" customHeight="1">
      <c r="A812" t="inlineStr">
        <is>
          <t>A 32065-2025</t>
        </is>
      </c>
      <c r="B812" s="1" t="n">
        <v>45835.44732638889</v>
      </c>
      <c r="C812" s="1" t="n">
        <v>45998</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33186-2025</t>
        </is>
      </c>
      <c r="B813" s="1" t="n">
        <v>45840.59474537037</v>
      </c>
      <c r="C813" s="1" t="n">
        <v>45998</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43093-2024</t>
        </is>
      </c>
      <c r="B814" s="1" t="n">
        <v>45567</v>
      </c>
      <c r="C814" s="1" t="n">
        <v>45998</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30977-2025</t>
        </is>
      </c>
      <c r="B815" s="1" t="n">
        <v>45832.46649305556</v>
      </c>
      <c r="C815" s="1" t="n">
        <v>45998</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33695-2025</t>
        </is>
      </c>
      <c r="B816" s="1" t="n">
        <v>45841.70569444444</v>
      </c>
      <c r="C816" s="1" t="n">
        <v>45998</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33698-2025</t>
        </is>
      </c>
      <c r="B817" s="1" t="n">
        <v>45841.70868055556</v>
      </c>
      <c r="C817" s="1" t="n">
        <v>45998</v>
      </c>
      <c r="D817" t="inlineStr">
        <is>
          <t>KALMAR LÄN</t>
        </is>
      </c>
      <c r="E817" t="inlineStr">
        <is>
          <t>VIMMERBY</t>
        </is>
      </c>
      <c r="G817" t="n">
        <v>3.7</v>
      </c>
      <c r="H817" t="n">
        <v>0</v>
      </c>
      <c r="I817" t="n">
        <v>0</v>
      </c>
      <c r="J817" t="n">
        <v>0</v>
      </c>
      <c r="K817" t="n">
        <v>0</v>
      </c>
      <c r="L817" t="n">
        <v>0</v>
      </c>
      <c r="M817" t="n">
        <v>0</v>
      </c>
      <c r="N817" t="n">
        <v>0</v>
      </c>
      <c r="O817" t="n">
        <v>0</v>
      </c>
      <c r="P817" t="n">
        <v>0</v>
      </c>
      <c r="Q817" t="n">
        <v>0</v>
      </c>
      <c r="R817" s="2" t="inlineStr"/>
    </row>
    <row r="818" ht="15" customHeight="1">
      <c r="A818" t="inlineStr">
        <is>
          <t>A 35198-2023</t>
        </is>
      </c>
      <c r="B818" s="1" t="n">
        <v>45145</v>
      </c>
      <c r="C818" s="1" t="n">
        <v>45998</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33696-2025</t>
        </is>
      </c>
      <c r="B819" s="1" t="n">
        <v>45841.7072337963</v>
      </c>
      <c r="C819" s="1" t="n">
        <v>45998</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58374-2024</t>
        </is>
      </c>
      <c r="B820" s="1" t="n">
        <v>45632.72635416667</v>
      </c>
      <c r="C820" s="1" t="n">
        <v>45998</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55300-2021</t>
        </is>
      </c>
      <c r="B821" s="1" t="n">
        <v>44475</v>
      </c>
      <c r="C821" s="1" t="n">
        <v>45998</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28702-2025</t>
        </is>
      </c>
      <c r="B822" s="1" t="n">
        <v>45820.03976851852</v>
      </c>
      <c r="C822" s="1" t="n">
        <v>45998</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47263-2023</t>
        </is>
      </c>
      <c r="B823" s="1" t="n">
        <v>45202.4209837963</v>
      </c>
      <c r="C823" s="1" t="n">
        <v>45998</v>
      </c>
      <c r="D823" t="inlineStr">
        <is>
          <t>KALMAR LÄN</t>
        </is>
      </c>
      <c r="E823" t="inlineStr">
        <is>
          <t>VIMMERBY</t>
        </is>
      </c>
      <c r="G823" t="n">
        <v>1.8</v>
      </c>
      <c r="H823" t="n">
        <v>0</v>
      </c>
      <c r="I823" t="n">
        <v>0</v>
      </c>
      <c r="J823" t="n">
        <v>0</v>
      </c>
      <c r="K823" t="n">
        <v>0</v>
      </c>
      <c r="L823" t="n">
        <v>0</v>
      </c>
      <c r="M823" t="n">
        <v>0</v>
      </c>
      <c r="N823" t="n">
        <v>0</v>
      </c>
      <c r="O823" t="n">
        <v>0</v>
      </c>
      <c r="P823" t="n">
        <v>0</v>
      </c>
      <c r="Q823" t="n">
        <v>0</v>
      </c>
      <c r="R823" s="2" t="inlineStr"/>
    </row>
    <row r="824" ht="15" customHeight="1">
      <c r="A824" t="inlineStr">
        <is>
          <t>A 34071-2025</t>
        </is>
      </c>
      <c r="B824" s="1" t="n">
        <v>45845.43803240741</v>
      </c>
      <c r="C824" s="1" t="n">
        <v>45998</v>
      </c>
      <c r="D824" t="inlineStr">
        <is>
          <t>KALMAR LÄN</t>
        </is>
      </c>
      <c r="E824" t="inlineStr">
        <is>
          <t>VIMMERBY</t>
        </is>
      </c>
      <c r="G824" t="n">
        <v>6.8</v>
      </c>
      <c r="H824" t="n">
        <v>0</v>
      </c>
      <c r="I824" t="n">
        <v>0</v>
      </c>
      <c r="J824" t="n">
        <v>0</v>
      </c>
      <c r="K824" t="n">
        <v>0</v>
      </c>
      <c r="L824" t="n">
        <v>0</v>
      </c>
      <c r="M824" t="n">
        <v>0</v>
      </c>
      <c r="N824" t="n">
        <v>0</v>
      </c>
      <c r="O824" t="n">
        <v>0</v>
      </c>
      <c r="P824" t="n">
        <v>0</v>
      </c>
      <c r="Q824" t="n">
        <v>0</v>
      </c>
      <c r="R824" s="2" t="inlineStr"/>
    </row>
    <row r="825" ht="15" customHeight="1">
      <c r="A825" t="inlineStr">
        <is>
          <t>A 34106-2025</t>
        </is>
      </c>
      <c r="B825" s="1" t="n">
        <v>45845.49414351852</v>
      </c>
      <c r="C825" s="1" t="n">
        <v>45998</v>
      </c>
      <c r="D825" t="inlineStr">
        <is>
          <t>KALMAR LÄN</t>
        </is>
      </c>
      <c r="E825" t="inlineStr">
        <is>
          <t>VIMMERBY</t>
        </is>
      </c>
      <c r="G825" t="n">
        <v>6</v>
      </c>
      <c r="H825" t="n">
        <v>0</v>
      </c>
      <c r="I825" t="n">
        <v>0</v>
      </c>
      <c r="J825" t="n">
        <v>0</v>
      </c>
      <c r="K825" t="n">
        <v>0</v>
      </c>
      <c r="L825" t="n">
        <v>0</v>
      </c>
      <c r="M825" t="n">
        <v>0</v>
      </c>
      <c r="N825" t="n">
        <v>0</v>
      </c>
      <c r="O825" t="n">
        <v>0</v>
      </c>
      <c r="P825" t="n">
        <v>0</v>
      </c>
      <c r="Q825" t="n">
        <v>0</v>
      </c>
      <c r="R825" s="2" t="inlineStr"/>
    </row>
    <row r="826" ht="15" customHeight="1">
      <c r="A826" t="inlineStr">
        <is>
          <t>A 2536-2023</t>
        </is>
      </c>
      <c r="B826" s="1" t="n">
        <v>44943.62954861111</v>
      </c>
      <c r="C826" s="1" t="n">
        <v>45998</v>
      </c>
      <c r="D826" t="inlineStr">
        <is>
          <t>KALMAR LÄN</t>
        </is>
      </c>
      <c r="E826" t="inlineStr">
        <is>
          <t>VIMMERBY</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2801-2023</t>
        </is>
      </c>
      <c r="B827" s="1" t="n">
        <v>44944.73487268519</v>
      </c>
      <c r="C827" s="1" t="n">
        <v>45998</v>
      </c>
      <c r="D827" t="inlineStr">
        <is>
          <t>KALMAR LÄN</t>
        </is>
      </c>
      <c r="E827" t="inlineStr">
        <is>
          <t>VIMMERBY</t>
        </is>
      </c>
      <c r="G827" t="n">
        <v>0.6</v>
      </c>
      <c r="H827" t="n">
        <v>0</v>
      </c>
      <c r="I827" t="n">
        <v>0</v>
      </c>
      <c r="J827" t="n">
        <v>0</v>
      </c>
      <c r="K827" t="n">
        <v>0</v>
      </c>
      <c r="L827" t="n">
        <v>0</v>
      </c>
      <c r="M827" t="n">
        <v>0</v>
      </c>
      <c r="N827" t="n">
        <v>0</v>
      </c>
      <c r="O827" t="n">
        <v>0</v>
      </c>
      <c r="P827" t="n">
        <v>0</v>
      </c>
      <c r="Q827" t="n">
        <v>0</v>
      </c>
      <c r="R827" s="2" t="inlineStr"/>
    </row>
    <row r="828" ht="15" customHeight="1">
      <c r="A828" t="inlineStr">
        <is>
          <t>A 26956-2025</t>
        </is>
      </c>
      <c r="B828" s="1" t="n">
        <v>45811.45460648148</v>
      </c>
      <c r="C828" s="1" t="n">
        <v>45998</v>
      </c>
      <c r="D828" t="inlineStr">
        <is>
          <t>KALMAR LÄN</t>
        </is>
      </c>
      <c r="E828" t="inlineStr">
        <is>
          <t>VIMMERBY</t>
        </is>
      </c>
      <c r="G828" t="n">
        <v>1.1</v>
      </c>
      <c r="H828" t="n">
        <v>0</v>
      </c>
      <c r="I828" t="n">
        <v>0</v>
      </c>
      <c r="J828" t="n">
        <v>0</v>
      </c>
      <c r="K828" t="n">
        <v>0</v>
      </c>
      <c r="L828" t="n">
        <v>0</v>
      </c>
      <c r="M828" t="n">
        <v>0</v>
      </c>
      <c r="N828" t="n">
        <v>0</v>
      </c>
      <c r="O828" t="n">
        <v>0</v>
      </c>
      <c r="P828" t="n">
        <v>0</v>
      </c>
      <c r="Q828" t="n">
        <v>0</v>
      </c>
      <c r="R828" s="2" t="inlineStr"/>
    </row>
    <row r="829" ht="15" customHeight="1">
      <c r="A829" t="inlineStr">
        <is>
          <t>A 17968-2025</t>
        </is>
      </c>
      <c r="B829" s="1" t="n">
        <v>45761.35990740741</v>
      </c>
      <c r="C829" s="1" t="n">
        <v>45998</v>
      </c>
      <c r="D829" t="inlineStr">
        <is>
          <t>KALMAR LÄN</t>
        </is>
      </c>
      <c r="E829" t="inlineStr">
        <is>
          <t>VIMMERBY</t>
        </is>
      </c>
      <c r="G829" t="n">
        <v>3.3</v>
      </c>
      <c r="H829" t="n">
        <v>0</v>
      </c>
      <c r="I829" t="n">
        <v>0</v>
      </c>
      <c r="J829" t="n">
        <v>0</v>
      </c>
      <c r="K829" t="n">
        <v>0</v>
      </c>
      <c r="L829" t="n">
        <v>0</v>
      </c>
      <c r="M829" t="n">
        <v>0</v>
      </c>
      <c r="N829" t="n">
        <v>0</v>
      </c>
      <c r="O829" t="n">
        <v>0</v>
      </c>
      <c r="P829" t="n">
        <v>0</v>
      </c>
      <c r="Q829" t="n">
        <v>0</v>
      </c>
      <c r="R829" s="2" t="inlineStr"/>
    </row>
    <row r="830" ht="15" customHeight="1">
      <c r="A830" t="inlineStr">
        <is>
          <t>A 34628-2025</t>
        </is>
      </c>
      <c r="B830" s="1" t="n">
        <v>45847.91280092593</v>
      </c>
      <c r="C830" s="1" t="n">
        <v>45998</v>
      </c>
      <c r="D830" t="inlineStr">
        <is>
          <t>KALMAR LÄN</t>
        </is>
      </c>
      <c r="E830" t="inlineStr">
        <is>
          <t>VIMMERBY</t>
        </is>
      </c>
      <c r="G830" t="n">
        <v>4.2</v>
      </c>
      <c r="H830" t="n">
        <v>0</v>
      </c>
      <c r="I830" t="n">
        <v>0</v>
      </c>
      <c r="J830" t="n">
        <v>0</v>
      </c>
      <c r="K830" t="n">
        <v>0</v>
      </c>
      <c r="L830" t="n">
        <v>0</v>
      </c>
      <c r="M830" t="n">
        <v>0</v>
      </c>
      <c r="N830" t="n">
        <v>0</v>
      </c>
      <c r="O830" t="n">
        <v>0</v>
      </c>
      <c r="P830" t="n">
        <v>0</v>
      </c>
      <c r="Q830" t="n">
        <v>0</v>
      </c>
      <c r="R830" s="2" t="inlineStr"/>
    </row>
    <row r="831" ht="15" customHeight="1">
      <c r="A831" t="inlineStr">
        <is>
          <t>A 14451-2024</t>
        </is>
      </c>
      <c r="B831" s="1" t="n">
        <v>45394.50028935185</v>
      </c>
      <c r="C831" s="1" t="n">
        <v>45998</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46238-2024</t>
        </is>
      </c>
      <c r="B832" s="1" t="n">
        <v>45581.58418981481</v>
      </c>
      <c r="C832" s="1" t="n">
        <v>45998</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50993-2022</t>
        </is>
      </c>
      <c r="B833" s="1" t="n">
        <v>44867</v>
      </c>
      <c r="C833" s="1" t="n">
        <v>45998</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46225-2024</t>
        </is>
      </c>
      <c r="B834" s="1" t="n">
        <v>45581.57333333333</v>
      </c>
      <c r="C834" s="1" t="n">
        <v>45998</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36055-2024</t>
        </is>
      </c>
      <c r="B835" s="1" t="n">
        <v>45533.63056712963</v>
      </c>
      <c r="C835" s="1" t="n">
        <v>45998</v>
      </c>
      <c r="D835" t="inlineStr">
        <is>
          <t>KALMAR LÄN</t>
        </is>
      </c>
      <c r="E835" t="inlineStr">
        <is>
          <t>VIMMERBY</t>
        </is>
      </c>
      <c r="F835" t="inlineStr">
        <is>
          <t>Kommuner</t>
        </is>
      </c>
      <c r="G835" t="n">
        <v>1.9</v>
      </c>
      <c r="H835" t="n">
        <v>0</v>
      </c>
      <c r="I835" t="n">
        <v>0</v>
      </c>
      <c r="J835" t="n">
        <v>0</v>
      </c>
      <c r="K835" t="n">
        <v>0</v>
      </c>
      <c r="L835" t="n">
        <v>0</v>
      </c>
      <c r="M835" t="n">
        <v>0</v>
      </c>
      <c r="N835" t="n">
        <v>0</v>
      </c>
      <c r="O835" t="n">
        <v>0</v>
      </c>
      <c r="P835" t="n">
        <v>0</v>
      </c>
      <c r="Q835" t="n">
        <v>0</v>
      </c>
      <c r="R835" s="2" t="inlineStr"/>
    </row>
    <row r="836" ht="15" customHeight="1">
      <c r="A836" t="inlineStr">
        <is>
          <t>A 35270-2025</t>
        </is>
      </c>
      <c r="B836" s="1" t="n">
        <v>45853.87112268519</v>
      </c>
      <c r="C836" s="1" t="n">
        <v>45998</v>
      </c>
      <c r="D836" t="inlineStr">
        <is>
          <t>KALMAR LÄN</t>
        </is>
      </c>
      <c r="E836" t="inlineStr">
        <is>
          <t>VIMMERBY</t>
        </is>
      </c>
      <c r="G836" t="n">
        <v>2.4</v>
      </c>
      <c r="H836" t="n">
        <v>0</v>
      </c>
      <c r="I836" t="n">
        <v>0</v>
      </c>
      <c r="J836" t="n">
        <v>0</v>
      </c>
      <c r="K836" t="n">
        <v>0</v>
      </c>
      <c r="L836" t="n">
        <v>0</v>
      </c>
      <c r="M836" t="n">
        <v>0</v>
      </c>
      <c r="N836" t="n">
        <v>0</v>
      </c>
      <c r="O836" t="n">
        <v>0</v>
      </c>
      <c r="P836" t="n">
        <v>0</v>
      </c>
      <c r="Q836" t="n">
        <v>0</v>
      </c>
      <c r="R836" s="2" t="inlineStr"/>
    </row>
    <row r="837" ht="15" customHeight="1">
      <c r="A837" t="inlineStr">
        <is>
          <t>A 47859-2024</t>
        </is>
      </c>
      <c r="B837" s="1" t="n">
        <v>45588.67070601852</v>
      </c>
      <c r="C837" s="1" t="n">
        <v>45998</v>
      </c>
      <c r="D837" t="inlineStr">
        <is>
          <t>KALMAR LÄN</t>
        </is>
      </c>
      <c r="E837" t="inlineStr">
        <is>
          <t>VIMMERBY</t>
        </is>
      </c>
      <c r="G837" t="n">
        <v>1.7</v>
      </c>
      <c r="H837" t="n">
        <v>0</v>
      </c>
      <c r="I837" t="n">
        <v>0</v>
      </c>
      <c r="J837" t="n">
        <v>0</v>
      </c>
      <c r="K837" t="n">
        <v>0</v>
      </c>
      <c r="L837" t="n">
        <v>0</v>
      </c>
      <c r="M837" t="n">
        <v>0</v>
      </c>
      <c r="N837" t="n">
        <v>0</v>
      </c>
      <c r="O837" t="n">
        <v>0</v>
      </c>
      <c r="P837" t="n">
        <v>0</v>
      </c>
      <c r="Q837" t="n">
        <v>0</v>
      </c>
      <c r="R837" s="2" t="inlineStr"/>
    </row>
    <row r="838" ht="15" customHeight="1">
      <c r="A838" t="inlineStr">
        <is>
          <t>A 35271-2025</t>
        </is>
      </c>
      <c r="B838" s="1" t="n">
        <v>45853.87599537037</v>
      </c>
      <c r="C838" s="1" t="n">
        <v>45998</v>
      </c>
      <c r="D838" t="inlineStr">
        <is>
          <t>KALMAR LÄN</t>
        </is>
      </c>
      <c r="E838" t="inlineStr">
        <is>
          <t>VIMMERBY</t>
        </is>
      </c>
      <c r="G838" t="n">
        <v>0.4</v>
      </c>
      <c r="H838" t="n">
        <v>0</v>
      </c>
      <c r="I838" t="n">
        <v>0</v>
      </c>
      <c r="J838" t="n">
        <v>0</v>
      </c>
      <c r="K838" t="n">
        <v>0</v>
      </c>
      <c r="L838" t="n">
        <v>0</v>
      </c>
      <c r="M838" t="n">
        <v>0</v>
      </c>
      <c r="N838" t="n">
        <v>0</v>
      </c>
      <c r="O838" t="n">
        <v>0</v>
      </c>
      <c r="P838" t="n">
        <v>0</v>
      </c>
      <c r="Q838" t="n">
        <v>0</v>
      </c>
      <c r="R838" s="2" t="inlineStr"/>
    </row>
    <row r="839" ht="15" customHeight="1">
      <c r="A839" t="inlineStr">
        <is>
          <t>A 35272-2025</t>
        </is>
      </c>
      <c r="B839" s="1" t="n">
        <v>45853.88070601852</v>
      </c>
      <c r="C839" s="1" t="n">
        <v>45998</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32835-2022</t>
        </is>
      </c>
      <c r="B840" s="1" t="n">
        <v>44784.42528935185</v>
      </c>
      <c r="C840" s="1" t="n">
        <v>45998</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16953-2025</t>
        </is>
      </c>
      <c r="B841" s="1" t="n">
        <v>45755.44333333334</v>
      </c>
      <c r="C841" s="1" t="n">
        <v>45998</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41896-2023</t>
        </is>
      </c>
      <c r="B842" s="1" t="n">
        <v>45176.72427083334</v>
      </c>
      <c r="C842" s="1" t="n">
        <v>45998</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43606-2024</t>
        </is>
      </c>
      <c r="B843" s="1" t="n">
        <v>45569.45017361111</v>
      </c>
      <c r="C843" s="1" t="n">
        <v>45998</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12325-2023</t>
        </is>
      </c>
      <c r="B844" s="1" t="n">
        <v>44999.35858796296</v>
      </c>
      <c r="C844" s="1" t="n">
        <v>45998</v>
      </c>
      <c r="D844" t="inlineStr">
        <is>
          <t>KALMAR LÄN</t>
        </is>
      </c>
      <c r="E844" t="inlineStr">
        <is>
          <t>VIMMERBY</t>
        </is>
      </c>
      <c r="G844" t="n">
        <v>3.4</v>
      </c>
      <c r="H844" t="n">
        <v>0</v>
      </c>
      <c r="I844" t="n">
        <v>0</v>
      </c>
      <c r="J844" t="n">
        <v>0</v>
      </c>
      <c r="K844" t="n">
        <v>0</v>
      </c>
      <c r="L844" t="n">
        <v>0</v>
      </c>
      <c r="M844" t="n">
        <v>0</v>
      </c>
      <c r="N844" t="n">
        <v>0</v>
      </c>
      <c r="O844" t="n">
        <v>0</v>
      </c>
      <c r="P844" t="n">
        <v>0</v>
      </c>
      <c r="Q844" t="n">
        <v>0</v>
      </c>
      <c r="R844" s="2" t="inlineStr"/>
    </row>
    <row r="845" ht="15" customHeight="1">
      <c r="A845" t="inlineStr">
        <is>
          <t>A 8945-2025</t>
        </is>
      </c>
      <c r="B845" s="1" t="n">
        <v>45713.45311342592</v>
      </c>
      <c r="C845" s="1" t="n">
        <v>45998</v>
      </c>
      <c r="D845" t="inlineStr">
        <is>
          <t>KALMAR LÄN</t>
        </is>
      </c>
      <c r="E845" t="inlineStr">
        <is>
          <t>VIMMERBY</t>
        </is>
      </c>
      <c r="G845" t="n">
        <v>0.6</v>
      </c>
      <c r="H845" t="n">
        <v>0</v>
      </c>
      <c r="I845" t="n">
        <v>0</v>
      </c>
      <c r="J845" t="n">
        <v>0</v>
      </c>
      <c r="K845" t="n">
        <v>0</v>
      </c>
      <c r="L845" t="n">
        <v>0</v>
      </c>
      <c r="M845" t="n">
        <v>0</v>
      </c>
      <c r="N845" t="n">
        <v>0</v>
      </c>
      <c r="O845" t="n">
        <v>0</v>
      </c>
      <c r="P845" t="n">
        <v>0</v>
      </c>
      <c r="Q845" t="n">
        <v>0</v>
      </c>
      <c r="R845" s="2" t="inlineStr"/>
    </row>
    <row r="846" ht="15" customHeight="1">
      <c r="A846" t="inlineStr">
        <is>
          <t>A 40665-2023</t>
        </is>
      </c>
      <c r="B846" s="1" t="n">
        <v>45170</v>
      </c>
      <c r="C846" s="1" t="n">
        <v>45998</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13307-2025</t>
        </is>
      </c>
      <c r="B847" s="1" t="n">
        <v>45735.58024305556</v>
      </c>
      <c r="C847" s="1" t="n">
        <v>45998</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28034-2022</t>
        </is>
      </c>
      <c r="B848" s="1" t="n">
        <v>44746.38834490741</v>
      </c>
      <c r="C848" s="1" t="n">
        <v>45998</v>
      </c>
      <c r="D848" t="inlineStr">
        <is>
          <t>KALMAR LÄN</t>
        </is>
      </c>
      <c r="E848" t="inlineStr">
        <is>
          <t>VIMMERBY</t>
        </is>
      </c>
      <c r="G848" t="n">
        <v>2</v>
      </c>
      <c r="H848" t="n">
        <v>0</v>
      </c>
      <c r="I848" t="n">
        <v>0</v>
      </c>
      <c r="J848" t="n">
        <v>0</v>
      </c>
      <c r="K848" t="n">
        <v>0</v>
      </c>
      <c r="L848" t="n">
        <v>0</v>
      </c>
      <c r="M848" t="n">
        <v>0</v>
      </c>
      <c r="N848" t="n">
        <v>0</v>
      </c>
      <c r="O848" t="n">
        <v>0</v>
      </c>
      <c r="P848" t="n">
        <v>0</v>
      </c>
      <c r="Q848" t="n">
        <v>0</v>
      </c>
      <c r="R848" s="2" t="inlineStr"/>
    </row>
    <row r="849" ht="15" customHeight="1">
      <c r="A849" t="inlineStr">
        <is>
          <t>A 55605-2024</t>
        </is>
      </c>
      <c r="B849" s="1" t="n">
        <v>45622</v>
      </c>
      <c r="C849" s="1" t="n">
        <v>45998</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42165-2024</t>
        </is>
      </c>
      <c r="B850" s="1" t="n">
        <v>45562.46342592593</v>
      </c>
      <c r="C850" s="1" t="n">
        <v>45998</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20129-2024</t>
        </is>
      </c>
      <c r="B851" s="1" t="n">
        <v>45434.55831018519</v>
      </c>
      <c r="C851" s="1" t="n">
        <v>45998</v>
      </c>
      <c r="D851" t="inlineStr">
        <is>
          <t>KALMAR LÄN</t>
        </is>
      </c>
      <c r="E851" t="inlineStr">
        <is>
          <t>VIMMERBY</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20137-2024</t>
        </is>
      </c>
      <c r="B852" s="1" t="n">
        <v>45434.56398148148</v>
      </c>
      <c r="C852" s="1" t="n">
        <v>45998</v>
      </c>
      <c r="D852" t="inlineStr">
        <is>
          <t>KALMAR LÄN</t>
        </is>
      </c>
      <c r="E852" t="inlineStr">
        <is>
          <t>VIMMERBY</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23095-2023</t>
        </is>
      </c>
      <c r="B853" s="1" t="n">
        <v>45075.43059027778</v>
      </c>
      <c r="C853" s="1" t="n">
        <v>45998</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32919-2022</t>
        </is>
      </c>
      <c r="B854" s="1" t="n">
        <v>44784.62724537037</v>
      </c>
      <c r="C854" s="1" t="n">
        <v>45998</v>
      </c>
      <c r="D854" t="inlineStr">
        <is>
          <t>KALMAR LÄN</t>
        </is>
      </c>
      <c r="E854" t="inlineStr">
        <is>
          <t>VIMMERBY</t>
        </is>
      </c>
      <c r="G854" t="n">
        <v>1.7</v>
      </c>
      <c r="H854" t="n">
        <v>0</v>
      </c>
      <c r="I854" t="n">
        <v>0</v>
      </c>
      <c r="J854" t="n">
        <v>0</v>
      </c>
      <c r="K854" t="n">
        <v>0</v>
      </c>
      <c r="L854" t="n">
        <v>0</v>
      </c>
      <c r="M854" t="n">
        <v>0</v>
      </c>
      <c r="N854" t="n">
        <v>0</v>
      </c>
      <c r="O854" t="n">
        <v>0</v>
      </c>
      <c r="P854" t="n">
        <v>0</v>
      </c>
      <c r="Q854" t="n">
        <v>0</v>
      </c>
      <c r="R854" s="2" t="inlineStr"/>
    </row>
    <row r="855" ht="15" customHeight="1">
      <c r="A855" t="inlineStr">
        <is>
          <t>A 7068-2024</t>
        </is>
      </c>
      <c r="B855" s="1" t="n">
        <v>45343.68038194445</v>
      </c>
      <c r="C855" s="1" t="n">
        <v>45998</v>
      </c>
      <c r="D855" t="inlineStr">
        <is>
          <t>KALMAR LÄN</t>
        </is>
      </c>
      <c r="E855" t="inlineStr">
        <is>
          <t>VIMMERBY</t>
        </is>
      </c>
      <c r="G855" t="n">
        <v>2.5</v>
      </c>
      <c r="H855" t="n">
        <v>0</v>
      </c>
      <c r="I855" t="n">
        <v>0</v>
      </c>
      <c r="J855" t="n">
        <v>0</v>
      </c>
      <c r="K855" t="n">
        <v>0</v>
      </c>
      <c r="L855" t="n">
        <v>0</v>
      </c>
      <c r="M855" t="n">
        <v>0</v>
      </c>
      <c r="N855" t="n">
        <v>0</v>
      </c>
      <c r="O855" t="n">
        <v>0</v>
      </c>
      <c r="P855" t="n">
        <v>0</v>
      </c>
      <c r="Q855" t="n">
        <v>0</v>
      </c>
      <c r="R855" s="2" t="inlineStr"/>
    </row>
    <row r="856" ht="15" customHeight="1">
      <c r="A856" t="inlineStr">
        <is>
          <t>A 12596-2021</t>
        </is>
      </c>
      <c r="B856" s="1" t="n">
        <v>44270.39765046296</v>
      </c>
      <c r="C856" s="1" t="n">
        <v>45998</v>
      </c>
      <c r="D856" t="inlineStr">
        <is>
          <t>KALMAR LÄN</t>
        </is>
      </c>
      <c r="E856" t="inlineStr">
        <is>
          <t>VIMMERBY</t>
        </is>
      </c>
      <c r="F856" t="inlineStr">
        <is>
          <t>Sveaskog</t>
        </is>
      </c>
      <c r="G856" t="n">
        <v>3.1</v>
      </c>
      <c r="H856" t="n">
        <v>0</v>
      </c>
      <c r="I856" t="n">
        <v>0</v>
      </c>
      <c r="J856" t="n">
        <v>0</v>
      </c>
      <c r="K856" t="n">
        <v>0</v>
      </c>
      <c r="L856" t="n">
        <v>0</v>
      </c>
      <c r="M856" t="n">
        <v>0</v>
      </c>
      <c r="N856" t="n">
        <v>0</v>
      </c>
      <c r="O856" t="n">
        <v>0</v>
      </c>
      <c r="P856" t="n">
        <v>0</v>
      </c>
      <c r="Q856" t="n">
        <v>0</v>
      </c>
      <c r="R856" s="2" t="inlineStr"/>
    </row>
    <row r="857" ht="15" customHeight="1">
      <c r="A857" t="inlineStr">
        <is>
          <t>A 32655-2023</t>
        </is>
      </c>
      <c r="B857" s="1" t="n">
        <v>45121.61318287037</v>
      </c>
      <c r="C857" s="1" t="n">
        <v>45998</v>
      </c>
      <c r="D857" t="inlineStr">
        <is>
          <t>KALMAR LÄN</t>
        </is>
      </c>
      <c r="E857" t="inlineStr">
        <is>
          <t>VIMMERBY</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54409-2024</t>
        </is>
      </c>
      <c r="B858" s="1" t="n">
        <v>45617.47570601852</v>
      </c>
      <c r="C858" s="1" t="n">
        <v>45998</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9475-2023</t>
        </is>
      </c>
      <c r="B859" s="1" t="n">
        <v>44981.58834490741</v>
      </c>
      <c r="C859" s="1" t="n">
        <v>45998</v>
      </c>
      <c r="D859" t="inlineStr">
        <is>
          <t>KALMAR LÄN</t>
        </is>
      </c>
      <c r="E859" t="inlineStr">
        <is>
          <t>VIMMERBY</t>
        </is>
      </c>
      <c r="G859" t="n">
        <v>2</v>
      </c>
      <c r="H859" t="n">
        <v>0</v>
      </c>
      <c r="I859" t="n">
        <v>0</v>
      </c>
      <c r="J859" t="n">
        <v>0</v>
      </c>
      <c r="K859" t="n">
        <v>0</v>
      </c>
      <c r="L859" t="n">
        <v>0</v>
      </c>
      <c r="M859" t="n">
        <v>0</v>
      </c>
      <c r="N859" t="n">
        <v>0</v>
      </c>
      <c r="O859" t="n">
        <v>0</v>
      </c>
      <c r="P859" t="n">
        <v>0</v>
      </c>
      <c r="Q859" t="n">
        <v>0</v>
      </c>
      <c r="R859" s="2" t="inlineStr"/>
    </row>
    <row r="860" ht="15" customHeight="1">
      <c r="A860" t="inlineStr">
        <is>
          <t>A 43092-2024</t>
        </is>
      </c>
      <c r="B860" s="1" t="n">
        <v>45567</v>
      </c>
      <c r="C860" s="1" t="n">
        <v>45998</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11619-2023</t>
        </is>
      </c>
      <c r="B861" s="1" t="n">
        <v>44994.42113425926</v>
      </c>
      <c r="C861" s="1" t="n">
        <v>45998</v>
      </c>
      <c r="D861" t="inlineStr">
        <is>
          <t>KALMAR LÄN</t>
        </is>
      </c>
      <c r="E861" t="inlineStr">
        <is>
          <t>VIMMERBY</t>
        </is>
      </c>
      <c r="G861" t="n">
        <v>2.5</v>
      </c>
      <c r="H861" t="n">
        <v>0</v>
      </c>
      <c r="I861" t="n">
        <v>0</v>
      </c>
      <c r="J861" t="n">
        <v>0</v>
      </c>
      <c r="K861" t="n">
        <v>0</v>
      </c>
      <c r="L861" t="n">
        <v>0</v>
      </c>
      <c r="M861" t="n">
        <v>0</v>
      </c>
      <c r="N861" t="n">
        <v>0</v>
      </c>
      <c r="O861" t="n">
        <v>0</v>
      </c>
      <c r="P861" t="n">
        <v>0</v>
      </c>
      <c r="Q861" t="n">
        <v>0</v>
      </c>
      <c r="R861" s="2" t="inlineStr"/>
    </row>
    <row r="862" ht="15" customHeight="1">
      <c r="A862" t="inlineStr">
        <is>
          <t>A 5074-2023</t>
        </is>
      </c>
      <c r="B862" s="1" t="n">
        <v>44958.61047453704</v>
      </c>
      <c r="C862" s="1" t="n">
        <v>45998</v>
      </c>
      <c r="D862" t="inlineStr">
        <is>
          <t>KALMAR LÄN</t>
        </is>
      </c>
      <c r="E862" t="inlineStr">
        <is>
          <t>VIMMERBY</t>
        </is>
      </c>
      <c r="G862" t="n">
        <v>1.6</v>
      </c>
      <c r="H862" t="n">
        <v>0</v>
      </c>
      <c r="I862" t="n">
        <v>0</v>
      </c>
      <c r="J862" t="n">
        <v>0</v>
      </c>
      <c r="K862" t="n">
        <v>0</v>
      </c>
      <c r="L862" t="n">
        <v>0</v>
      </c>
      <c r="M862" t="n">
        <v>0</v>
      </c>
      <c r="N862" t="n">
        <v>0</v>
      </c>
      <c r="O862" t="n">
        <v>0</v>
      </c>
      <c r="P862" t="n">
        <v>0</v>
      </c>
      <c r="Q862" t="n">
        <v>0</v>
      </c>
      <c r="R862" s="2" t="inlineStr"/>
    </row>
    <row r="863" ht="15" customHeight="1">
      <c r="A863" t="inlineStr">
        <is>
          <t>A 6368-2023</t>
        </is>
      </c>
      <c r="B863" s="1" t="n">
        <v>44965</v>
      </c>
      <c r="C863" s="1" t="n">
        <v>45998</v>
      </c>
      <c r="D863" t="inlineStr">
        <is>
          <t>KALMAR LÄN</t>
        </is>
      </c>
      <c r="E863" t="inlineStr">
        <is>
          <t>VIMMERBY</t>
        </is>
      </c>
      <c r="G863" t="n">
        <v>1.3</v>
      </c>
      <c r="H863" t="n">
        <v>0</v>
      </c>
      <c r="I863" t="n">
        <v>0</v>
      </c>
      <c r="J863" t="n">
        <v>0</v>
      </c>
      <c r="K863" t="n">
        <v>0</v>
      </c>
      <c r="L863" t="n">
        <v>0</v>
      </c>
      <c r="M863" t="n">
        <v>0</v>
      </c>
      <c r="N863" t="n">
        <v>0</v>
      </c>
      <c r="O863" t="n">
        <v>0</v>
      </c>
      <c r="P863" t="n">
        <v>0</v>
      </c>
      <c r="Q863" t="n">
        <v>0</v>
      </c>
      <c r="R863" s="2" t="inlineStr"/>
    </row>
    <row r="864" ht="15" customHeight="1">
      <c r="A864" t="inlineStr">
        <is>
          <t>A 5701-2024</t>
        </is>
      </c>
      <c r="B864" s="1" t="n">
        <v>45334.78826388889</v>
      </c>
      <c r="C864" s="1" t="n">
        <v>45998</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7797-2023</t>
        </is>
      </c>
      <c r="B865" s="1" t="n">
        <v>44973.43075231482</v>
      </c>
      <c r="C865" s="1" t="n">
        <v>45998</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24655-2021</t>
        </is>
      </c>
      <c r="B866" s="1" t="n">
        <v>44340</v>
      </c>
      <c r="C866" s="1" t="n">
        <v>45998</v>
      </c>
      <c r="D866" t="inlineStr">
        <is>
          <t>KALMAR LÄN</t>
        </is>
      </c>
      <c r="E866" t="inlineStr">
        <is>
          <t>VIMMERBY</t>
        </is>
      </c>
      <c r="G866" t="n">
        <v>14.9</v>
      </c>
      <c r="H866" t="n">
        <v>0</v>
      </c>
      <c r="I866" t="n">
        <v>0</v>
      </c>
      <c r="J866" t="n">
        <v>0</v>
      </c>
      <c r="K866" t="n">
        <v>0</v>
      </c>
      <c r="L866" t="n">
        <v>0</v>
      </c>
      <c r="M866" t="n">
        <v>0</v>
      </c>
      <c r="N866" t="n">
        <v>0</v>
      </c>
      <c r="O866" t="n">
        <v>0</v>
      </c>
      <c r="P866" t="n">
        <v>0</v>
      </c>
      <c r="Q866" t="n">
        <v>0</v>
      </c>
      <c r="R866" s="2" t="inlineStr"/>
    </row>
    <row r="867" ht="15" customHeight="1">
      <c r="A867" t="inlineStr">
        <is>
          <t>A 8410-2023</t>
        </is>
      </c>
      <c r="B867" s="1" t="n">
        <v>44977</v>
      </c>
      <c r="C867" s="1" t="n">
        <v>45998</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6028-2023</t>
        </is>
      </c>
      <c r="B868" s="1" t="n">
        <v>44964.44356481481</v>
      </c>
      <c r="C868" s="1" t="n">
        <v>45998</v>
      </c>
      <c r="D868" t="inlineStr">
        <is>
          <t>KALMAR LÄN</t>
        </is>
      </c>
      <c r="E868" t="inlineStr">
        <is>
          <t>VIMMERBY</t>
        </is>
      </c>
      <c r="G868" t="n">
        <v>2.5</v>
      </c>
      <c r="H868" t="n">
        <v>0</v>
      </c>
      <c r="I868" t="n">
        <v>0</v>
      </c>
      <c r="J868" t="n">
        <v>0</v>
      </c>
      <c r="K868" t="n">
        <v>0</v>
      </c>
      <c r="L868" t="n">
        <v>0</v>
      </c>
      <c r="M868" t="n">
        <v>0</v>
      </c>
      <c r="N868" t="n">
        <v>0</v>
      </c>
      <c r="O868" t="n">
        <v>0</v>
      </c>
      <c r="P868" t="n">
        <v>0</v>
      </c>
      <c r="Q868" t="n">
        <v>0</v>
      </c>
      <c r="R868" s="2" t="inlineStr"/>
    </row>
    <row r="869" ht="15" customHeight="1">
      <c r="A869" t="inlineStr">
        <is>
          <t>A 52823-2024</t>
        </is>
      </c>
      <c r="B869" s="1" t="n">
        <v>45610.59094907407</v>
      </c>
      <c r="C869" s="1" t="n">
        <v>45998</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56853-2022</t>
        </is>
      </c>
      <c r="B870" s="1" t="n">
        <v>44894.49538194444</v>
      </c>
      <c r="C870" s="1" t="n">
        <v>45998</v>
      </c>
      <c r="D870" t="inlineStr">
        <is>
          <t>KALMAR LÄN</t>
        </is>
      </c>
      <c r="E870" t="inlineStr">
        <is>
          <t>VIMMERBY</t>
        </is>
      </c>
      <c r="G870" t="n">
        <v>4.3</v>
      </c>
      <c r="H870" t="n">
        <v>0</v>
      </c>
      <c r="I870" t="n">
        <v>0</v>
      </c>
      <c r="J870" t="n">
        <v>0</v>
      </c>
      <c r="K870" t="n">
        <v>0</v>
      </c>
      <c r="L870" t="n">
        <v>0</v>
      </c>
      <c r="M870" t="n">
        <v>0</v>
      </c>
      <c r="N870" t="n">
        <v>0</v>
      </c>
      <c r="O870" t="n">
        <v>0</v>
      </c>
      <c r="P870" t="n">
        <v>0</v>
      </c>
      <c r="Q870" t="n">
        <v>0</v>
      </c>
      <c r="R870" s="2" t="inlineStr"/>
    </row>
    <row r="871" ht="15" customHeight="1">
      <c r="A871" t="inlineStr">
        <is>
          <t>A 11152-2023</t>
        </is>
      </c>
      <c r="B871" s="1" t="n">
        <v>44992</v>
      </c>
      <c r="C871" s="1" t="n">
        <v>45998</v>
      </c>
      <c r="D871" t="inlineStr">
        <is>
          <t>KALMAR LÄN</t>
        </is>
      </c>
      <c r="E871" t="inlineStr">
        <is>
          <t>VIMMERBY</t>
        </is>
      </c>
      <c r="G871" t="n">
        <v>10.6</v>
      </c>
      <c r="H871" t="n">
        <v>0</v>
      </c>
      <c r="I871" t="n">
        <v>0</v>
      </c>
      <c r="J871" t="n">
        <v>0</v>
      </c>
      <c r="K871" t="n">
        <v>0</v>
      </c>
      <c r="L871" t="n">
        <v>0</v>
      </c>
      <c r="M871" t="n">
        <v>0</v>
      </c>
      <c r="N871" t="n">
        <v>0</v>
      </c>
      <c r="O871" t="n">
        <v>0</v>
      </c>
      <c r="P871" t="n">
        <v>0</v>
      </c>
      <c r="Q871" t="n">
        <v>0</v>
      </c>
      <c r="R871" s="2" t="inlineStr"/>
    </row>
    <row r="872" ht="15" customHeight="1">
      <c r="A872" t="inlineStr">
        <is>
          <t>A 15550-2023</t>
        </is>
      </c>
      <c r="B872" s="1" t="n">
        <v>45020</v>
      </c>
      <c r="C872" s="1" t="n">
        <v>45998</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31355-2023</t>
        </is>
      </c>
      <c r="B873" s="1" t="n">
        <v>45114.49505787037</v>
      </c>
      <c r="C873" s="1" t="n">
        <v>45998</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45998</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58100-2024</t>
        </is>
      </c>
      <c r="B875" s="1" t="n">
        <v>45632.36706018518</v>
      </c>
      <c r="C875" s="1" t="n">
        <v>45998</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27993-2022</t>
        </is>
      </c>
      <c r="B876" s="1" t="n">
        <v>44745.84396990741</v>
      </c>
      <c r="C876" s="1" t="n">
        <v>45998</v>
      </c>
      <c r="D876" t="inlineStr">
        <is>
          <t>KALMAR LÄN</t>
        </is>
      </c>
      <c r="E876" t="inlineStr">
        <is>
          <t>VIMMERBY</t>
        </is>
      </c>
      <c r="G876" t="n">
        <v>2.8</v>
      </c>
      <c r="H876" t="n">
        <v>0</v>
      </c>
      <c r="I876" t="n">
        <v>0</v>
      </c>
      <c r="J876" t="n">
        <v>0</v>
      </c>
      <c r="K876" t="n">
        <v>0</v>
      </c>
      <c r="L876" t="n">
        <v>0</v>
      </c>
      <c r="M876" t="n">
        <v>0</v>
      </c>
      <c r="N876" t="n">
        <v>0</v>
      </c>
      <c r="O876" t="n">
        <v>0</v>
      </c>
      <c r="P876" t="n">
        <v>0</v>
      </c>
      <c r="Q876" t="n">
        <v>0</v>
      </c>
      <c r="R876" s="2" t="inlineStr"/>
    </row>
    <row r="877" ht="15" customHeight="1">
      <c r="A877" t="inlineStr">
        <is>
          <t>A 38969-2023</t>
        </is>
      </c>
      <c r="B877" s="1" t="n">
        <v>45163.63621527778</v>
      </c>
      <c r="C877" s="1" t="n">
        <v>45998</v>
      </c>
      <c r="D877" t="inlineStr">
        <is>
          <t>KALMAR LÄN</t>
        </is>
      </c>
      <c r="E877" t="inlineStr">
        <is>
          <t>VIMMERBY</t>
        </is>
      </c>
      <c r="F877" t="inlineStr">
        <is>
          <t>Sveaskog</t>
        </is>
      </c>
      <c r="G877" t="n">
        <v>2.4</v>
      </c>
      <c r="H877" t="n">
        <v>0</v>
      </c>
      <c r="I877" t="n">
        <v>0</v>
      </c>
      <c r="J877" t="n">
        <v>0</v>
      </c>
      <c r="K877" t="n">
        <v>0</v>
      </c>
      <c r="L877" t="n">
        <v>0</v>
      </c>
      <c r="M877" t="n">
        <v>0</v>
      </c>
      <c r="N877" t="n">
        <v>0</v>
      </c>
      <c r="O877" t="n">
        <v>0</v>
      </c>
      <c r="P877" t="n">
        <v>0</v>
      </c>
      <c r="Q877" t="n">
        <v>0</v>
      </c>
      <c r="R877" s="2" t="inlineStr"/>
    </row>
    <row r="878" ht="15" customHeight="1">
      <c r="A878" t="inlineStr">
        <is>
          <t>A 53752-2024</t>
        </is>
      </c>
      <c r="B878" s="1" t="n">
        <v>45615.48927083334</v>
      </c>
      <c r="C878" s="1" t="n">
        <v>45998</v>
      </c>
      <c r="D878" t="inlineStr">
        <is>
          <t>KALMAR LÄN</t>
        </is>
      </c>
      <c r="E878" t="inlineStr">
        <is>
          <t>VIMMERBY</t>
        </is>
      </c>
      <c r="G878" t="n">
        <v>2.4</v>
      </c>
      <c r="H878" t="n">
        <v>0</v>
      </c>
      <c r="I878" t="n">
        <v>0</v>
      </c>
      <c r="J878" t="n">
        <v>0</v>
      </c>
      <c r="K878" t="n">
        <v>0</v>
      </c>
      <c r="L878" t="n">
        <v>0</v>
      </c>
      <c r="M878" t="n">
        <v>0</v>
      </c>
      <c r="N878" t="n">
        <v>0</v>
      </c>
      <c r="O878" t="n">
        <v>0</v>
      </c>
      <c r="P878" t="n">
        <v>0</v>
      </c>
      <c r="Q878" t="n">
        <v>0</v>
      </c>
      <c r="R878" s="2" t="inlineStr"/>
    </row>
    <row r="879" ht="15" customHeight="1">
      <c r="A879" t="inlineStr">
        <is>
          <t>A 58728-2024</t>
        </is>
      </c>
      <c r="B879" s="1" t="n">
        <v>45635.66695601852</v>
      </c>
      <c r="C879" s="1" t="n">
        <v>45998</v>
      </c>
      <c r="D879" t="inlineStr">
        <is>
          <t>KALMAR LÄN</t>
        </is>
      </c>
      <c r="E879" t="inlineStr">
        <is>
          <t>VIMMERBY</t>
        </is>
      </c>
      <c r="G879" t="n">
        <v>0.4</v>
      </c>
      <c r="H879" t="n">
        <v>0</v>
      </c>
      <c r="I879" t="n">
        <v>0</v>
      </c>
      <c r="J879" t="n">
        <v>0</v>
      </c>
      <c r="K879" t="n">
        <v>0</v>
      </c>
      <c r="L879" t="n">
        <v>0</v>
      </c>
      <c r="M879" t="n">
        <v>0</v>
      </c>
      <c r="N879" t="n">
        <v>0</v>
      </c>
      <c r="O879" t="n">
        <v>0</v>
      </c>
      <c r="P879" t="n">
        <v>0</v>
      </c>
      <c r="Q879" t="n">
        <v>0</v>
      </c>
      <c r="R879" s="2" t="inlineStr"/>
    </row>
    <row r="880" ht="15" customHeight="1">
      <c r="A880" t="inlineStr">
        <is>
          <t>A 43242-2024</t>
        </is>
      </c>
      <c r="B880" s="1" t="n">
        <v>45568.30189814815</v>
      </c>
      <c r="C880" s="1" t="n">
        <v>45998</v>
      </c>
      <c r="D880" t="inlineStr">
        <is>
          <t>KALMAR LÄN</t>
        </is>
      </c>
      <c r="E880" t="inlineStr">
        <is>
          <t>VIMMERBY</t>
        </is>
      </c>
      <c r="G880" t="n">
        <v>2.6</v>
      </c>
      <c r="H880" t="n">
        <v>0</v>
      </c>
      <c r="I880" t="n">
        <v>0</v>
      </c>
      <c r="J880" t="n">
        <v>0</v>
      </c>
      <c r="K880" t="n">
        <v>0</v>
      </c>
      <c r="L880" t="n">
        <v>0</v>
      </c>
      <c r="M880" t="n">
        <v>0</v>
      </c>
      <c r="N880" t="n">
        <v>0</v>
      </c>
      <c r="O880" t="n">
        <v>0</v>
      </c>
      <c r="P880" t="n">
        <v>0</v>
      </c>
      <c r="Q880" t="n">
        <v>0</v>
      </c>
      <c r="R880" s="2" t="inlineStr"/>
    </row>
    <row r="881" ht="15" customHeight="1">
      <c r="A881" t="inlineStr">
        <is>
          <t>A 16983-2023</t>
        </is>
      </c>
      <c r="B881" s="1" t="n">
        <v>45033.76043981482</v>
      </c>
      <c r="C881" s="1" t="n">
        <v>45998</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6405-2025</t>
        </is>
      </c>
      <c r="B882" s="1" t="n">
        <v>45699.45392361111</v>
      </c>
      <c r="C882" s="1" t="n">
        <v>45998</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36843-2023</t>
        </is>
      </c>
      <c r="B883" s="1" t="n">
        <v>45154.49831018518</v>
      </c>
      <c r="C883" s="1" t="n">
        <v>45998</v>
      </c>
      <c r="D883" t="inlineStr">
        <is>
          <t>KALMAR LÄN</t>
        </is>
      </c>
      <c r="E883" t="inlineStr">
        <is>
          <t>VIMMERBY</t>
        </is>
      </c>
      <c r="G883" t="n">
        <v>2</v>
      </c>
      <c r="H883" t="n">
        <v>0</v>
      </c>
      <c r="I883" t="n">
        <v>0</v>
      </c>
      <c r="J883" t="n">
        <v>0</v>
      </c>
      <c r="K883" t="n">
        <v>0</v>
      </c>
      <c r="L883" t="n">
        <v>0</v>
      </c>
      <c r="M883" t="n">
        <v>0</v>
      </c>
      <c r="N883" t="n">
        <v>0</v>
      </c>
      <c r="O883" t="n">
        <v>0</v>
      </c>
      <c r="P883" t="n">
        <v>0</v>
      </c>
      <c r="Q883" t="n">
        <v>0</v>
      </c>
      <c r="R883" s="2" t="inlineStr"/>
    </row>
    <row r="884" ht="15" customHeight="1">
      <c r="A884" t="inlineStr">
        <is>
          <t>A 57486-2024</t>
        </is>
      </c>
      <c r="B884" s="1" t="n">
        <v>45630.35827546296</v>
      </c>
      <c r="C884" s="1" t="n">
        <v>45998</v>
      </c>
      <c r="D884" t="inlineStr">
        <is>
          <t>KALMAR LÄN</t>
        </is>
      </c>
      <c r="E884" t="inlineStr">
        <is>
          <t>VIMMERBY</t>
        </is>
      </c>
      <c r="G884" t="n">
        <v>0.4</v>
      </c>
      <c r="H884" t="n">
        <v>0</v>
      </c>
      <c r="I884" t="n">
        <v>0</v>
      </c>
      <c r="J884" t="n">
        <v>0</v>
      </c>
      <c r="K884" t="n">
        <v>0</v>
      </c>
      <c r="L884" t="n">
        <v>0</v>
      </c>
      <c r="M884" t="n">
        <v>0</v>
      </c>
      <c r="N884" t="n">
        <v>0</v>
      </c>
      <c r="O884" t="n">
        <v>0</v>
      </c>
      <c r="P884" t="n">
        <v>0</v>
      </c>
      <c r="Q884" t="n">
        <v>0</v>
      </c>
      <c r="R884" s="2" t="inlineStr"/>
    </row>
    <row r="885" ht="15" customHeight="1">
      <c r="A885" t="inlineStr">
        <is>
          <t>A 66295-2020</t>
        </is>
      </c>
      <c r="B885" s="1" t="n">
        <v>44176</v>
      </c>
      <c r="C885" s="1" t="n">
        <v>45998</v>
      </c>
      <c r="D885" t="inlineStr">
        <is>
          <t>KALMAR LÄN</t>
        </is>
      </c>
      <c r="E885" t="inlineStr">
        <is>
          <t>VIMMERBY</t>
        </is>
      </c>
      <c r="G885" t="n">
        <v>4.1</v>
      </c>
      <c r="H885" t="n">
        <v>0</v>
      </c>
      <c r="I885" t="n">
        <v>0</v>
      </c>
      <c r="J885" t="n">
        <v>0</v>
      </c>
      <c r="K885" t="n">
        <v>0</v>
      </c>
      <c r="L885" t="n">
        <v>0</v>
      </c>
      <c r="M885" t="n">
        <v>0</v>
      </c>
      <c r="N885" t="n">
        <v>0</v>
      </c>
      <c r="O885" t="n">
        <v>0</v>
      </c>
      <c r="P885" t="n">
        <v>0</v>
      </c>
      <c r="Q885" t="n">
        <v>0</v>
      </c>
      <c r="R885" s="2" t="inlineStr"/>
    </row>
    <row r="886" ht="15" customHeight="1">
      <c r="A886" t="inlineStr">
        <is>
          <t>A 44423-2023</t>
        </is>
      </c>
      <c r="B886" s="1" t="n">
        <v>45189</v>
      </c>
      <c r="C886" s="1" t="n">
        <v>45998</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20-2025</t>
        </is>
      </c>
      <c r="B887" s="1" t="n">
        <v>45658.80232638889</v>
      </c>
      <c r="C887" s="1" t="n">
        <v>45998</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23-2025</t>
        </is>
      </c>
      <c r="B888" s="1" t="n">
        <v>45658.80827546296</v>
      </c>
      <c r="C888" s="1" t="n">
        <v>45998</v>
      </c>
      <c r="D888" t="inlineStr">
        <is>
          <t>KALMAR LÄN</t>
        </is>
      </c>
      <c r="E888" t="inlineStr">
        <is>
          <t>VIMMERBY</t>
        </is>
      </c>
      <c r="G888" t="n">
        <v>1.8</v>
      </c>
      <c r="H888" t="n">
        <v>0</v>
      </c>
      <c r="I888" t="n">
        <v>0</v>
      </c>
      <c r="J888" t="n">
        <v>0</v>
      </c>
      <c r="K888" t="n">
        <v>0</v>
      </c>
      <c r="L888" t="n">
        <v>0</v>
      </c>
      <c r="M888" t="n">
        <v>0</v>
      </c>
      <c r="N888" t="n">
        <v>0</v>
      </c>
      <c r="O888" t="n">
        <v>0</v>
      </c>
      <c r="P888" t="n">
        <v>0</v>
      </c>
      <c r="Q888" t="n">
        <v>0</v>
      </c>
      <c r="R888" s="2" t="inlineStr"/>
    </row>
    <row r="889" ht="15" customHeight="1">
      <c r="A889" t="inlineStr">
        <is>
          <t>A 21496-2023</t>
        </is>
      </c>
      <c r="B889" s="1" t="n">
        <v>45063.49936342592</v>
      </c>
      <c r="C889" s="1" t="n">
        <v>45998</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31056-2022</t>
        </is>
      </c>
      <c r="B890" s="1" t="n">
        <v>44769.45805555556</v>
      </c>
      <c r="C890" s="1" t="n">
        <v>45998</v>
      </c>
      <c r="D890" t="inlineStr">
        <is>
          <t>KALMAR LÄN</t>
        </is>
      </c>
      <c r="E890" t="inlineStr">
        <is>
          <t>VIMMERBY</t>
        </is>
      </c>
      <c r="G890" t="n">
        <v>2</v>
      </c>
      <c r="H890" t="n">
        <v>0</v>
      </c>
      <c r="I890" t="n">
        <v>0</v>
      </c>
      <c r="J890" t="n">
        <v>0</v>
      </c>
      <c r="K890" t="n">
        <v>0</v>
      </c>
      <c r="L890" t="n">
        <v>0</v>
      </c>
      <c r="M890" t="n">
        <v>0</v>
      </c>
      <c r="N890" t="n">
        <v>0</v>
      </c>
      <c r="O890" t="n">
        <v>0</v>
      </c>
      <c r="P890" t="n">
        <v>0</v>
      </c>
      <c r="Q890" t="n">
        <v>0</v>
      </c>
      <c r="R890" s="2" t="inlineStr"/>
    </row>
    <row r="891" ht="15" customHeight="1">
      <c r="A891" t="inlineStr">
        <is>
          <t>A 72701-2021</t>
        </is>
      </c>
      <c r="B891" s="1" t="n">
        <v>44546</v>
      </c>
      <c r="C891" s="1" t="n">
        <v>45998</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52294-2023</t>
        </is>
      </c>
      <c r="B892" s="1" t="n">
        <v>45224.60075231481</v>
      </c>
      <c r="C892" s="1" t="n">
        <v>45998</v>
      </c>
      <c r="D892" t="inlineStr">
        <is>
          <t>KALMAR LÄN</t>
        </is>
      </c>
      <c r="E892" t="inlineStr">
        <is>
          <t>VIMMERBY</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61355-2024</t>
        </is>
      </c>
      <c r="B893" s="1" t="n">
        <v>45646.38200231481</v>
      </c>
      <c r="C893" s="1" t="n">
        <v>45998</v>
      </c>
      <c r="D893" t="inlineStr">
        <is>
          <t>KALMAR LÄN</t>
        </is>
      </c>
      <c r="E893" t="inlineStr">
        <is>
          <t>VIMMERBY</t>
        </is>
      </c>
      <c r="G893" t="n">
        <v>2.7</v>
      </c>
      <c r="H893" t="n">
        <v>0</v>
      </c>
      <c r="I893" t="n">
        <v>0</v>
      </c>
      <c r="J893" t="n">
        <v>0</v>
      </c>
      <c r="K893" t="n">
        <v>0</v>
      </c>
      <c r="L893" t="n">
        <v>0</v>
      </c>
      <c r="M893" t="n">
        <v>0</v>
      </c>
      <c r="N893" t="n">
        <v>0</v>
      </c>
      <c r="O893" t="n">
        <v>0</v>
      </c>
      <c r="P893" t="n">
        <v>0</v>
      </c>
      <c r="Q893" t="n">
        <v>0</v>
      </c>
      <c r="R893" s="2" t="inlineStr"/>
    </row>
    <row r="894" ht="15" customHeight="1">
      <c r="A894" t="inlineStr">
        <is>
          <t>A 33374-2021</t>
        </is>
      </c>
      <c r="B894" s="1" t="n">
        <v>44377</v>
      </c>
      <c r="C894" s="1" t="n">
        <v>45998</v>
      </c>
      <c r="D894" t="inlineStr">
        <is>
          <t>KALMAR LÄN</t>
        </is>
      </c>
      <c r="E894" t="inlineStr">
        <is>
          <t>VIMMERBY</t>
        </is>
      </c>
      <c r="G894" t="n">
        <v>3.3</v>
      </c>
      <c r="H894" t="n">
        <v>0</v>
      </c>
      <c r="I894" t="n">
        <v>0</v>
      </c>
      <c r="J894" t="n">
        <v>0</v>
      </c>
      <c r="K894" t="n">
        <v>0</v>
      </c>
      <c r="L894" t="n">
        <v>0</v>
      </c>
      <c r="M894" t="n">
        <v>0</v>
      </c>
      <c r="N894" t="n">
        <v>0</v>
      </c>
      <c r="O894" t="n">
        <v>0</v>
      </c>
      <c r="P894" t="n">
        <v>0</v>
      </c>
      <c r="Q894" t="n">
        <v>0</v>
      </c>
      <c r="R894" s="2" t="inlineStr"/>
    </row>
    <row r="895" ht="15" customHeight="1">
      <c r="A895" t="inlineStr">
        <is>
          <t>A 10759-2023</t>
        </is>
      </c>
      <c r="B895" s="1" t="n">
        <v>44988</v>
      </c>
      <c r="C895" s="1" t="n">
        <v>45998</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18899-2025</t>
        </is>
      </c>
      <c r="B896" s="1" t="n">
        <v>45764.44931712963</v>
      </c>
      <c r="C896" s="1" t="n">
        <v>45998</v>
      </c>
      <c r="D896" t="inlineStr">
        <is>
          <t>KALMAR LÄN</t>
        </is>
      </c>
      <c r="E896" t="inlineStr">
        <is>
          <t>VIMMERBY</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12586-2021</t>
        </is>
      </c>
      <c r="B897" s="1" t="n">
        <v>44270.38002314815</v>
      </c>
      <c r="C897" s="1" t="n">
        <v>45998</v>
      </c>
      <c r="D897" t="inlineStr">
        <is>
          <t>KALMAR LÄN</t>
        </is>
      </c>
      <c r="E897" t="inlineStr">
        <is>
          <t>VIMMERBY</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32614-2023</t>
        </is>
      </c>
      <c r="B898" s="1" t="n">
        <v>45121</v>
      </c>
      <c r="C898" s="1" t="n">
        <v>45998</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61939-2021</t>
        </is>
      </c>
      <c r="B899" s="1" t="n">
        <v>44502</v>
      </c>
      <c r="C899" s="1" t="n">
        <v>45998</v>
      </c>
      <c r="D899" t="inlineStr">
        <is>
          <t>KALMAR LÄN</t>
        </is>
      </c>
      <c r="E899" t="inlineStr">
        <is>
          <t>VIMMERBY</t>
        </is>
      </c>
      <c r="G899" t="n">
        <v>2.7</v>
      </c>
      <c r="H899" t="n">
        <v>0</v>
      </c>
      <c r="I899" t="n">
        <v>0</v>
      </c>
      <c r="J899" t="n">
        <v>0</v>
      </c>
      <c r="K899" t="n">
        <v>0</v>
      </c>
      <c r="L899" t="n">
        <v>0</v>
      </c>
      <c r="M899" t="n">
        <v>0</v>
      </c>
      <c r="N899" t="n">
        <v>0</v>
      </c>
      <c r="O899" t="n">
        <v>0</v>
      </c>
      <c r="P899" t="n">
        <v>0</v>
      </c>
      <c r="Q899" t="n">
        <v>0</v>
      </c>
      <c r="R899" s="2" t="inlineStr"/>
    </row>
    <row r="900" ht="15" customHeight="1">
      <c r="A900" t="inlineStr">
        <is>
          <t>A 6218-2025</t>
        </is>
      </c>
      <c r="B900" s="1" t="n">
        <v>45698.53336805556</v>
      </c>
      <c r="C900" s="1" t="n">
        <v>45998</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40076-2021</t>
        </is>
      </c>
      <c r="B901" s="1" t="n">
        <v>44418</v>
      </c>
      <c r="C901" s="1" t="n">
        <v>45998</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12588-2025</t>
        </is>
      </c>
      <c r="B902" s="1" t="n">
        <v>45732.76936342593</v>
      </c>
      <c r="C902" s="1" t="n">
        <v>45998</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25979-2023</t>
        </is>
      </c>
      <c r="B903" s="1" t="n">
        <v>45090.89653935185</v>
      </c>
      <c r="C903" s="1" t="n">
        <v>45998</v>
      </c>
      <c r="D903" t="inlineStr">
        <is>
          <t>KALMAR LÄN</t>
        </is>
      </c>
      <c r="E903" t="inlineStr">
        <is>
          <t>VIMMERBY</t>
        </is>
      </c>
      <c r="G903" t="n">
        <v>2</v>
      </c>
      <c r="H903" t="n">
        <v>0</v>
      </c>
      <c r="I903" t="n">
        <v>0</v>
      </c>
      <c r="J903" t="n">
        <v>0</v>
      </c>
      <c r="K903" t="n">
        <v>0</v>
      </c>
      <c r="L903" t="n">
        <v>0</v>
      </c>
      <c r="M903" t="n">
        <v>0</v>
      </c>
      <c r="N903" t="n">
        <v>0</v>
      </c>
      <c r="O903" t="n">
        <v>0</v>
      </c>
      <c r="P903" t="n">
        <v>0</v>
      </c>
      <c r="Q903" t="n">
        <v>0</v>
      </c>
      <c r="R903" s="2" t="inlineStr"/>
    </row>
    <row r="904">
      <c r="A904" t="inlineStr">
        <is>
          <t>A 25980-2023</t>
        </is>
      </c>
      <c r="B904" s="1" t="n">
        <v>45090.89880787037</v>
      </c>
      <c r="C904" s="1" t="n">
        <v>45998</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2025-12-07T10:27:39Z</dcterms:created>
  <dcterms:modified xmlns:dcterms="http://purl.org/dc/terms/" xmlns:xsi="http://www.w3.org/2001/XMLSchema-instance" xsi:type="dcterms:W3CDTF">2025-12-07T10:27:39Z</dcterms:modified>
</cp:coreProperties>
</file>